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‘rsatma" sheetId="1" state="visible" r:id="rId3"/>
    <sheet name="Parametrlar" sheetId="2" state="visible" r:id="rId4"/>
    <sheet name="Narxlar" sheetId="3" state="visible" r:id="rId5"/>
    <sheet name="Hajmlar" sheetId="4" state="visible" r:id="rId6"/>
    <sheet name="Daromadlilik" sheetId="5" state="visible" r:id="rId7"/>
    <sheet name="Volatillik" sheetId="6" state="visible" r:id="rId8"/>
    <sheet name="Beta_CAPM" sheetId="7" state="visible" r:id="rId9"/>
    <sheet name="Portfel" sheetId="8" state="visible" r:id="rId10"/>
    <sheet name="VaR" sheetId="9" state="visible" r:id="rId11"/>
    <sheet name="Backtest" sheetId="10" state="visible" r:id="rId12"/>
    <sheet name="Stress" sheetId="11" state="visible" r:id="rId13"/>
    <sheet name="Hejlash" sheetId="12" state="visible" r:id="rId14"/>
    <sheet name="Opsion_BS" sheetId="13" state="visible" r:id="rId15"/>
    <sheet name="Samaradorlik" sheetId="14" state="visible" r:id="rId16"/>
    <sheet name="Likvidlik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<sst xmlns="http://schemas.openxmlformats.org/spreadsheetml/2006/main" count="434" uniqueCount="339">
  <si>
    <t xml:space="preserve">FOND BOZORI RISKLARINI BOSHQARISH — amaliy hisob-kitoblar ish kitobi</t>
  </si>
  <si>
    <t xml:space="preserve">Ma’lumotlar haqida</t>
  </si>
  <si>
    <t xml:space="preserve">“Narxlar” va “Hajmlar” varaqlaridagi kunlik ma’lumotlar O‘QUV MAQSADIDA MODELLASHTIRILGAN (sintetik). Ular real kompaniyalarga tegishli emas.</t>
  </si>
  <si>
    <t xml:space="preserve">Ma’lumotlar GARCH(1,1) jarayoni va bir omilli (bozor) model asosida yaratilgan; 2025-yil fevral–mart oylarida sun’iy stress davri bor.</t>
  </si>
  <si>
    <t xml:space="preserve">Real ma’lumot bilan ishlash uchun: “Narxlar” varag‘idagi B:F ustunlarga Toshkent RFB (uzse.uz) yoki boshqa manbadan olingan yopilish narxlarini qo‘ying — barcha formulalar avtomatik qayta hisoblanadi.</t>
  </si>
  <si>
    <t xml:space="preserve">Rang belgilari</t>
  </si>
  <si>
    <t xml:space="preserve">Ko‘k matn — qo‘lda kiritiladigan boshlang‘ich qiymat (o‘zgartirish mumkin).</t>
  </si>
  <si>
    <t xml:space="preserve">Sariq fon — asosiy faraz/parametr: talaba ssenariy tahlilida aynan shu kataklarni o‘zgartiradi.</t>
  </si>
  <si>
    <t xml:space="preserve">Yashil matn — boshqa varaqdan olingan havola.</t>
  </si>
  <si>
    <t xml:space="preserve">Qora matn — formula (o‘zgartirmang). Havorang fon — asosiy natija.</t>
  </si>
  <si>
    <t xml:space="preserve">Varaqlar va amaliy mashg‘ulotlar bog‘liqligi</t>
  </si>
  <si>
    <t xml:space="preserve">Parametrlar — umumiy faraz va parametrlar (risksiz stavka, portfel qiymati, ishonch darajasi, vaznlar).</t>
  </si>
  <si>
    <t xml:space="preserve">Daromadlilik — 1-mavzu: oddiy va logarifmik daromadlilik, tavsifiy statistika, logarifmik daromadlilikning qo‘shiluvchanligi.</t>
  </si>
  <si>
    <t xml:space="preserve">Volatillik — 2-mavzu: sirpanuvchi oyna va EWMA (RiskMetrics) volatilligi.</t>
  </si>
  <si>
    <t xml:space="preserve">Beta_CAPM — 3-mavzu: beta, tizimli va notizimli risk, CAPM.</t>
  </si>
  <si>
    <t xml:space="preserve">Portfel — 4-mavzu: kovariatsiya matritsasi, portfel riski, riskka hissa, diversifikatsiya, ikki aktivli chegara.</t>
  </si>
  <si>
    <t xml:space="preserve">VaR — 5–6-mavzular: parametrik, tarixiy va Monte-Karlo VaR, Expected Shortfall.</t>
  </si>
  <si>
    <t xml:space="preserve">Backtest — 6-mavzu: VaR modelini tekshirish, Kupiec testi, Bazel “svetofor” zonalari.</t>
  </si>
  <si>
    <t xml:space="preserve">Stress — 7-mavzu: stress-test va ssenariy tahlili.</t>
  </si>
  <si>
    <t xml:space="preserve">Hejlash — 8-mavzu: indeks fyuchersi bilan beta-hejlash va minimal dispersiyali hej.</t>
  </si>
  <si>
    <t xml:space="preserve">Opsion_BS — 9-mavzu: Blek–Shoulz modeli, greklar, himoya puti va yopiq koll strategiyalari.</t>
  </si>
  <si>
    <t xml:space="preserve">Samaradorlik — 10-mavzu: Sharp, Sortino, Treynor, Jensen alfasi, maksimal pasayish, Kalmar.</t>
  </si>
  <si>
    <t xml:space="preserve">Likvidlik — 11-mavzu: Amihud ko‘rsatkichi, pozitsiyani tugatish muddati, likvidlikka moslangan VaR.</t>
  </si>
  <si>
    <t xml:space="preserve">Eslatma: “VaR” varag‘idagi Monte-Karlo ustuni RAND() funksiyasidan foydalanadi, shuning uchun har qayta hisoblashda biroz o‘zgaradi (F9 tugmasi).</t>
  </si>
  <si>
    <t xml:space="preserve">Umumiy parametrlar</t>
  </si>
  <si>
    <t xml:space="preserve">Ko‘k/sariq kataklar — kiritiladigan qiymatlar. Qiymatlar o‘quv maqsadida faraz qilingan.</t>
  </si>
  <si>
    <t xml:space="preserve">Parametr</t>
  </si>
  <si>
    <t xml:space="preserve">Qiymat</t>
  </si>
  <si>
    <t xml:space="preserve">Izoh</t>
  </si>
  <si>
    <t xml:space="preserve">Risksiz stavka (yillik)</t>
  </si>
  <si>
    <t xml:space="preserve">Faraz: davlat qisqa muddatli obligatsiyalari daromadliligi darajasida</t>
  </si>
  <si>
    <t xml:space="preserve">Bozorning kutilayotgan daromadliligi (yillik)</t>
  </si>
  <si>
    <t xml:space="preserve">Faraz: CAPM uchun</t>
  </si>
  <si>
    <t xml:space="preserve">Yildagi savdo kunlari</t>
  </si>
  <si>
    <t xml:space="preserve">Yillik ko‘rsatkichga o‘tkazish uchun</t>
  </si>
  <si>
    <t xml:space="preserve">Portfel qiymati, so‘m</t>
  </si>
  <si>
    <t xml:space="preserve">Faraz: 10 mlrd so‘m</t>
  </si>
  <si>
    <t xml:space="preserve">VaR ishonch darajasi (α)</t>
  </si>
  <si>
    <t xml:space="preserve">0,95 yoki 0,99</t>
  </si>
  <si>
    <t xml:space="preserve">VaR gorizonti, kun</t>
  </si>
  <si>
    <t xml:space="preserve">√T qoidasi bilan masshtablanadi</t>
  </si>
  <si>
    <t xml:space="preserve">EWMA λ koeffitsienti</t>
  </si>
  <si>
    <t xml:space="preserve">RiskMetrics: kunlik ma’lumot uchun 0,94</t>
  </si>
  <si>
    <t xml:space="preserve">Sirpanuvchi oyna, kun</t>
  </si>
  <si>
    <t xml:space="preserve">Volatillik varag‘ida 20 kun uchun qurilgan</t>
  </si>
  <si>
    <t xml:space="preserve">Portfel vaznlari</t>
  </si>
  <si>
    <t xml:space="preserve">A_Sanoat</t>
  </si>
  <si>
    <t xml:space="preserve">B_Bank</t>
  </si>
  <si>
    <t xml:space="preserve">C_Telekom</t>
  </si>
  <si>
    <t xml:space="preserve">D_Energetika</t>
  </si>
  <si>
    <t xml:space="preserve">Jami</t>
  </si>
  <si>
    <t xml:space="preserve">Vazn (w)</t>
  </si>
  <si>
    <t xml:space="preserve">Tekshiruv</t>
  </si>
  <si>
    <t xml:space="preserve">Sana</t>
  </si>
  <si>
    <t xml:space="preserve">Indeks</t>
  </si>
  <si>
    <t xml:space="preserve">Narxlar — so‘m (indeks — punkt). O‘quv maqsadida modellashtirilgan ma’lumot.</t>
  </si>
  <si>
    <t xml:space="preserve">Kunlik savdo hajmi — dona aksiya. O‘quv maqsadida modellashtirilgan ma’lumot.</t>
  </si>
  <si>
    <t xml:space="preserve">Indeks R</t>
  </si>
  <si>
    <t xml:space="preserve">A_Sanoat R</t>
  </si>
  <si>
    <t xml:space="preserve">B_Bank R</t>
  </si>
  <si>
    <t xml:space="preserve">C_Telekom R</t>
  </si>
  <si>
    <t xml:space="preserve">D_Energetika R</t>
  </si>
  <si>
    <t xml:space="preserve">Indeks r=ln</t>
  </si>
  <si>
    <t xml:space="preserve">A_Sanoat r</t>
  </si>
  <si>
    <t xml:space="preserve">B_Bank r</t>
  </si>
  <si>
    <t xml:space="preserve">C_Telekom r</t>
  </si>
  <si>
    <t xml:space="preserve">D_Energetika r</t>
  </si>
  <si>
    <t xml:space="preserve">Ko‘rsatkich (log daromadlilik)</t>
  </si>
  <si>
    <t xml:space="preserve">Kuzatuvlar soni</t>
  </si>
  <si>
    <t xml:space="preserve">Kunlik o‘rtacha</t>
  </si>
  <si>
    <t xml:space="preserve">Kunlik standart og‘ish (σ)</t>
  </si>
  <si>
    <t xml:space="preserve">Yillik o‘rtacha daromadlilik</t>
  </si>
  <si>
    <t xml:space="preserve">Yillik volatillik (σ·√252)</t>
  </si>
  <si>
    <t xml:space="preserve">Variatsiya koeffitsienti (σ/μ)</t>
  </si>
  <si>
    <t xml:space="preserve">Minimum (eng katta kunlik pasayish)</t>
  </si>
  <si>
    <t xml:space="preserve">Maksimum</t>
  </si>
  <si>
    <t xml:space="preserve">Asimmetriya (skewness)</t>
  </si>
  <si>
    <t xml:space="preserve">Ortiqcha ekstsess (kurtosis)</t>
  </si>
  <si>
    <t xml:space="preserve">Σ ln-daromadliliklar</t>
  </si>
  <si>
    <t xml:space="preserve">ln(P oxirgi / P birinchi)</t>
  </si>
  <si>
    <t xml:space="preserve">Qo‘shiluvchanlik tekshiruvi</t>
  </si>
  <si>
    <t xml:space="preserve">Davr uchun oddiy daromadlilik</t>
  </si>
  <si>
    <t xml:space="preserve">Σ oddiy daromadliliklar (noto‘g‘ri usul)</t>
  </si>
  <si>
    <t xml:space="preserve">Izoh: logarifmik daromadliliklar yig‘indisi butun davr daromadliligiga aniq teng (qo‘shiluvchanlik); oddiy daromadliliklar yig‘indisi esa teng emas.</t>
  </si>
  <si>
    <t xml:space="preserve">Volatillikni baholash: sirpanuvchi oyna va EWMA (Indeks)</t>
  </si>
  <si>
    <t xml:space="preserve">σ²(t) = λ·σ²(t−1) + (1−λ)·r²(t−1). Boshlang‘ich dispersiya — dastlabki 20 kunlik tanlanma dispersiyasi.</t>
  </si>
  <si>
    <t xml:space="preserve">λ (Parametrlar)</t>
  </si>
  <si>
    <t xml:space="preserve">r (ln)</t>
  </si>
  <si>
    <t xml:space="preserve">r²</t>
  </si>
  <si>
    <t xml:space="preserve">EWMA σ² (prognoz)</t>
  </si>
  <si>
    <t xml:space="preserve">EWMA σ kunlik</t>
  </si>
  <si>
    <t xml:space="preserve">EWMA σ yillik</t>
  </si>
  <si>
    <t xml:space="preserve">20 kunlik σ yillik</t>
  </si>
  <si>
    <t xml:space="preserve">Xulosa</t>
  </si>
  <si>
    <t xml:space="preserve">Butun davr yillik volatilligi</t>
  </si>
  <si>
    <t xml:space="preserve">EWMA: oxirgi yillik prognoz</t>
  </si>
  <si>
    <t xml:space="preserve">EWMA: davrdagi maksimum</t>
  </si>
  <si>
    <t xml:space="preserve">EWMA: davrdagi minimum</t>
  </si>
  <si>
    <t xml:space="preserve">20 kunlik: maksimum</t>
  </si>
  <si>
    <t xml:space="preserve">20 kunlik: minimum</t>
  </si>
  <si>
    <t xml:space="preserve">Beta koeffitsienti, tizimli/notizimli risk va CAPM</t>
  </si>
  <si>
    <t xml:space="preserve">Kunlik log daromadlilik asosida: r(i) = α + β·r(m) + ε. Bozor portfeli sifatida Indeks olingan.</t>
  </si>
  <si>
    <t xml:space="preserve">Ko‘rsatkich</t>
  </si>
  <si>
    <t xml:space="preserve">Beta (β) = SLOPE</t>
  </si>
  <si>
    <t xml:space="preserve">Alfa (kunlik) = INTERCEPT</t>
  </si>
  <si>
    <t xml:space="preserve">Korrelyatsiya (ρ) indeks bilan</t>
  </si>
  <si>
    <t xml:space="preserve">Determinatsiya koeff. R²</t>
  </si>
  <si>
    <t xml:space="preserve">Umumiy dispersiya (yillik)</t>
  </si>
  <si>
    <t xml:space="preserve">Tizimli dispersiya β²·σ²m (yillik)</t>
  </si>
  <si>
    <t xml:space="preserve">Notizimli dispersiya (yillik)</t>
  </si>
  <si>
    <t xml:space="preserve">Tizimli risk ulushi</t>
  </si>
  <si>
    <t xml:space="preserve">Notizimli risk ulushi</t>
  </si>
  <si>
    <t xml:space="preserve">Umumiy risk σ (yillik)</t>
  </si>
  <si>
    <t xml:space="preserve">Tizimli risk β·σm (yillik)</t>
  </si>
  <si>
    <t xml:space="preserve">CAPM bo‘yicha talab qilinadigan daromadlilik</t>
  </si>
  <si>
    <t xml:space="preserve">Haqiqiy yillik o‘rtacha daromadlilik</t>
  </si>
  <si>
    <t xml:space="preserve">Farq (haqiqiy − CAPM)</t>
  </si>
  <si>
    <t xml:space="preserve">Portfel betasi (vaznlangan)</t>
  </si>
  <si>
    <t xml:space="preserve">Risksiz stavka / bozor daromadliligi (Parametrlar)</t>
  </si>
  <si>
    <t xml:space="preserve">Izoh: R² — aksiya riskining bozor bilan izohlanadigan (tizimli) qismi. Diversifikatsiya faqat notizimli qismni kamaytiradi.</t>
  </si>
  <si>
    <t xml:space="preserve">Portfel riski va diversifikatsiya (Markovits)</t>
  </si>
  <si>
    <t xml:space="preserve">Oddiy kunlik daromadlilik asosida; yillik ko‘rsatkichlar. Vaznlar — Parametrlar varag‘ida.</t>
  </si>
  <si>
    <t xml:space="preserve">Ikki aktivli portfel: korrelyatsiya ta’siri va samarali chegara</t>
  </si>
  <si>
    <t xml:space="preserve">Aktiv</t>
  </si>
  <si>
    <t xml:space="preserve">Vazn w</t>
  </si>
  <si>
    <t xml:space="preserve">Yillik μ</t>
  </si>
  <si>
    <t xml:space="preserve">Yillik σ</t>
  </si>
  <si>
    <t xml:space="preserve">Riskka hissa</t>
  </si>
  <si>
    <t xml:space="preserve">Marginal (cov(i,p)/σp)</t>
  </si>
  <si>
    <t xml:space="preserve">Komponent w·MCR</t>
  </si>
  <si>
    <t xml:space="preserve">Ulush, %</t>
  </si>
  <si>
    <t xml:space="preserve">μ1 (aktiv 1)</t>
  </si>
  <si>
    <t xml:space="preserve">σ1</t>
  </si>
  <si>
    <t xml:space="preserve">μ2 (aktiv 2)</t>
  </si>
  <si>
    <t xml:space="preserve">σ2</t>
  </si>
  <si>
    <t xml:space="preserve">ρ12</t>
  </si>
  <si>
    <t xml:space="preserve">Korrelyatsiya</t>
  </si>
  <si>
    <t xml:space="preserve">Minimal dispersiyali w1*</t>
  </si>
  <si>
    <t xml:space="preserve">σp min</t>
  </si>
  <si>
    <t xml:space="preserve">μp min</t>
  </si>
  <si>
    <t xml:space="preserve">w1</t>
  </si>
  <si>
    <t xml:space="preserve">μp</t>
  </si>
  <si>
    <t xml:space="preserve">σp</t>
  </si>
  <si>
    <t xml:space="preserve">σp (ρ=−1)</t>
  </si>
  <si>
    <t xml:space="preserve">σp (ρ=0)</t>
  </si>
  <si>
    <t xml:space="preserve">σp (ρ=+1)</t>
  </si>
  <si>
    <t xml:space="preserve">Kovariatsiya (yillik)</t>
  </si>
  <si>
    <t xml:space="preserve">w(i)·w(j)·cov(i,j)</t>
  </si>
  <si>
    <t xml:space="preserve">Natijalar</t>
  </si>
  <si>
    <t xml:space="preserve">Portfel kutilayotgan daromadliligi μp</t>
  </si>
  <si>
    <t xml:space="preserve">Portfel dispersiyasi σp²</t>
  </si>
  <si>
    <t xml:space="preserve">Portfel riski σp (yillik)</t>
  </si>
  <si>
    <t xml:space="preserve">Vaznlangan o‘rtacha σ (Σ w·σ)</t>
  </si>
  <si>
    <t xml:space="preserve">Diversifikatsiya samarasi (riskning kamayishi)</t>
  </si>
  <si>
    <t xml:space="preserve">Diversifikatsiya koeffitsienti Σw·σ / σp</t>
  </si>
  <si>
    <t xml:space="preserve">Sharp koeffitsienti (μp − rf)/σp</t>
  </si>
  <si>
    <t xml:space="preserve">Value at Risk va Expected Shortfall (portfel)</t>
  </si>
  <si>
    <t xml:space="preserve">Portfelning kunlik oddiy daromadliligi: Rp = Σ w(i)·R(i). VaR musbat son — yo‘qotish miqdori (so‘m).</t>
  </si>
  <si>
    <t xml:space="preserve">Rp (kunlik)</t>
  </si>
  <si>
    <t xml:space="preserve">ln(1+Rp)</t>
  </si>
  <si>
    <t xml:space="preserve">10 kunlik ln-yig‘indi</t>
  </si>
  <si>
    <t xml:space="preserve">Kiritilgan parametrlar</t>
  </si>
  <si>
    <t xml:space="preserve">MK simulyatsiya Rp</t>
  </si>
  <si>
    <t xml:space="preserve">Portfel qiymati V, so‘m</t>
  </si>
  <si>
    <t xml:space="preserve">Kunlik μ</t>
  </si>
  <si>
    <t xml:space="preserve">Kunlik σ</t>
  </si>
  <si>
    <t xml:space="preserve">Gorizont h, kun</t>
  </si>
  <si>
    <t xml:space="preserve">Usul / ishonch darajasi α</t>
  </si>
  <si>
    <t xml:space="preserve">95%</t>
  </si>
  <si>
    <t xml:space="preserve">97,5%</t>
  </si>
  <si>
    <t xml:space="preserve">99%</t>
  </si>
  <si>
    <t xml:space="preserve">α (o‘zgartirish mumkin)</t>
  </si>
  <si>
    <t xml:space="preserve">z(α) = NORMSINV(α)</t>
  </si>
  <si>
    <t xml:space="preserve">Parametrik VaR, 1 kun</t>
  </si>
  <si>
    <t xml:space="preserve">Parametrik VaR, h kun (√h qoidasi)</t>
  </si>
  <si>
    <t xml:space="preserve">Tarixiy VaR, 1 kun</t>
  </si>
  <si>
    <t xml:space="preserve">Tarixiy VaR, h kun (√h qoidasi)</t>
  </si>
  <si>
    <t xml:space="preserve">Parametrik ES, 1 kun</t>
  </si>
  <si>
    <t xml:space="preserve">Tarixiy ES, 1 kun</t>
  </si>
  <si>
    <t xml:space="preserve">Monte-Karlo VaR, 1 kun</t>
  </si>
  <si>
    <t xml:space="preserve">ES / VaR (tarixiy)</t>
  </si>
  <si>
    <t xml:space="preserve">VaR chegarasidan oshgan kunlar soni</t>
  </si>
  <si>
    <t xml:space="preserve">Diversifikatsiyalanmagan va diversifikatsiyalangan VaR (parametrik, 1 kun, α — Parametrlar)</t>
  </si>
  <si>
    <t xml:space="preserve">Pozitsiya, so‘m</t>
  </si>
  <si>
    <t xml:space="preserve">Alohida VaR</t>
  </si>
  <si>
    <t xml:space="preserve">Alohida VaR’lar yig‘indisi</t>
  </si>
  <si>
    <t xml:space="preserve">Portfel VaR (diversifikatsiyalangan)</t>
  </si>
  <si>
    <t xml:space="preserve">Diversifikatsiya samarasi, so‘m</t>
  </si>
  <si>
    <t xml:space="preserve">Eng yomon 10 kunlik davr (tarixiy, ln-yig‘indi)</t>
  </si>
  <si>
    <t xml:space="preserve">Eng yomon 10 kunlik yo‘qotish, so‘m</t>
  </si>
  <si>
    <t xml:space="preserve">Monte-Karlo: L ustunida N(μ, σ) taqsimotidan 5000 ta tasodifiy kunlik daromadlilik (F9 — qayta generatsiya).</t>
  </si>
  <si>
    <t xml:space="preserve">VaR modelini tekshirish (backtesting): Kupiec testi va Bazel svetofori</t>
  </si>
  <si>
    <t xml:space="preserve">Har kuni oldingi 250 kunlik ma’lumot bo‘yicha parametrik VaR(α) hisoblanadi va keyingi kunning haqiqiy natijasi bilan solishtiriladi.</t>
  </si>
  <si>
    <t xml:space="preserve">Rp haqiqiy</t>
  </si>
  <si>
    <t xml:space="preserve">VaR(α) prognoz, %</t>
  </si>
  <si>
    <t xml:space="preserve">Istisno (1/0)</t>
  </si>
  <si>
    <t xml:space="preserve">Kupiec (POF) testi</t>
  </si>
  <si>
    <t xml:space="preserve">−VaR</t>
  </si>
  <si>
    <t xml:space="preserve">Kuzatuvlar soni T</t>
  </si>
  <si>
    <t xml:space="preserve">Istisnolar soni x</t>
  </si>
  <si>
    <t xml:space="preserve">Kutilgan istisnolar T·(1−α)</t>
  </si>
  <si>
    <t xml:space="preserve">Haqiqiy istisnolar ulushi x/T</t>
  </si>
  <si>
    <t xml:space="preserve">LR(POF) statistikasi</t>
  </si>
  <si>
    <t xml:space="preserve">χ²(1) kritik qiymat (5%)</t>
  </si>
  <si>
    <t xml:space="preserve">p-qiymat</t>
  </si>
  <si>
    <t xml:space="preserve">Bazel zonasi (250 kun, α=99% uchun)</t>
  </si>
  <si>
    <t xml:space="preserve">Bazel svetofori (99% VaR, 250 kun): 0–4 istisno — yashil; 5–9 — sariq; 10 va undan ko‘p — qizil.</t>
  </si>
  <si>
    <t xml:space="preserve">Topshiriq: Parametrlar!B8 da α=0,95 qilib qo‘ying va natijani taqqoslang (svetofor faqat 99% uchun mo‘ljallangan).</t>
  </si>
  <si>
    <t xml:space="preserve">Stress-test va ssenariy tahlili</t>
  </si>
  <si>
    <t xml:space="preserve">Aksiya narxining o‘zgarishi = β·(bozor shoki) + (sektor shoki). Ssenariy parametrlari — o‘quv maqsadida faraz qilingan.</t>
  </si>
  <si>
    <t xml:space="preserve">Beta</t>
  </si>
  <si>
    <t xml:space="preserve">Ssenariy</t>
  </si>
  <si>
    <t xml:space="preserve">Bozor shoki</t>
  </si>
  <si>
    <t xml:space="preserve">Sektor shoki: A_Sanoat</t>
  </si>
  <si>
    <t xml:space="preserve">Sektor shoki: B_Bank</t>
  </si>
  <si>
    <t xml:space="preserve">Sektor shoki: C_Telekom</t>
  </si>
  <si>
    <t xml:space="preserve">Sektor shoki: D_Energetika</t>
  </si>
  <si>
    <t xml:space="preserve">Portfel natijasi, so‘m</t>
  </si>
  <si>
    <t xml:space="preserve">Portfel natijasi, %</t>
  </si>
  <si>
    <t xml:space="preserve">Natija / 1 kunlik VaR</t>
  </si>
  <si>
    <t xml:space="preserve">1. Bozorning o‘rtacha tuzatishi</t>
  </si>
  <si>
    <t xml:space="preserve">2. Kuchli inqiroz (2008-yil kabi)</t>
  </si>
  <si>
    <t xml:space="preserve">3. Pandemiya shoki (2020-yil mart kabi)</t>
  </si>
  <si>
    <t xml:space="preserve">4. Energetika sektori shoki</t>
  </si>
  <si>
    <t xml:space="preserve">5. Bank sektori inqirozi</t>
  </si>
  <si>
    <t xml:space="preserve">6. Ijobiy ssenariy (bozor o‘sishi)</t>
  </si>
  <si>
    <t xml:space="preserve">Tarixiy ssenariy: ma’lumotlardagi eng yomon 10 kunlik davr</t>
  </si>
  <si>
    <t xml:space="preserve">Teskari stress-test: portfel qiymatining 20 foizini yo‘qotishga olib keladigan bozor shoki (faqat beta orqali)</t>
  </si>
  <si>
    <t xml:space="preserve">Maqsadli yo‘qotish, %</t>
  </si>
  <si>
    <t xml:space="preserve">Kerakli bozor shoki</t>
  </si>
  <si>
    <t xml:space="preserve">Izoh: “Natija / VaR” 1 dan katta bo‘lsa, ssenariy normal sharoitdagi VaR baholaridan ancha og‘ir ekanini ko‘rsatadi — stress-testning asosiy maqsadi shu.</t>
  </si>
  <si>
    <t xml:space="preserve">Indeks fyuchersi bilan hejlash</t>
  </si>
  <si>
    <t xml:space="preserve">Fyuchers bazaviy aktivi sifatida Indeks olingan. Fyuchers narxi va multiplikator — faraz.</t>
  </si>
  <si>
    <t xml:space="preserve">Portfel betasi β (Beta_CAPM)</t>
  </si>
  <si>
    <t xml:space="preserve">Fyuchers narxi F, punkt</t>
  </si>
  <si>
    <t xml:space="preserve">Multiplikator, so‘m/punkt</t>
  </si>
  <si>
    <t xml:space="preserve">Bitta kontrakt qiymati, so‘m</t>
  </si>
  <si>
    <t xml:space="preserve">Maqsadli beta β*</t>
  </si>
  <si>
    <t xml:space="preserve">Kontraktlar soni: to‘liq hej (β*=0)</t>
  </si>
  <si>
    <t xml:space="preserve">Kontraktlar soni: β → β*</t>
  </si>
  <si>
    <t xml:space="preserve">Butun songa yaxlitlangan (β*=0)</t>
  </si>
  <si>
    <t xml:space="preserve">Butun songa yaxlitlangan (β → β*)</t>
  </si>
  <si>
    <t xml:space="preserve">Minimal dispersiyali hej koeffitsienti (tarixiy ma’lumot)</t>
  </si>
  <si>
    <t xml:space="preserve">ρ (portfel, indeks)</t>
  </si>
  <si>
    <t xml:space="preserve">σ portfel (kunlik)</t>
  </si>
  <si>
    <t xml:space="preserve">σ indeks (kunlik)</t>
  </si>
  <si>
    <t xml:space="preserve">h* = ρ·σS/σF</t>
  </si>
  <si>
    <t xml:space="preserve">Kontraktlar soni N* = −h*·V/(F·m)</t>
  </si>
  <si>
    <t xml:space="preserve">Hej samaradorligi (dispersiya kamayishi) ρ²</t>
  </si>
  <si>
    <t xml:space="preserve">Hejlangan portfel σ (yillik)</t>
  </si>
  <si>
    <t xml:space="preserve">Hejlanmagan portfel σ (yillik)</t>
  </si>
  <si>
    <t xml:space="preserve">Ssenariy: bozor X% ga tushsa, hej natijasi</t>
  </si>
  <si>
    <t xml:space="preserve">Bozor o‘zgarishi</t>
  </si>
  <si>
    <t xml:space="preserve">Portfel natijasi</t>
  </si>
  <si>
    <t xml:space="preserve">Fyuchers natijasi (β*=0)</t>
  </si>
  <si>
    <t xml:space="preserve">Jami (hejlangan)</t>
  </si>
  <si>
    <t xml:space="preserve">Izoh: manfiy kontraktlar soni — fyuchersni sotish (qisqa pozitsiya). Qolgan natija yaxlitlash va notizimli risk hisobiga.</t>
  </si>
  <si>
    <t xml:space="preserve">Opsionlarni baholash (Blek–Shoulz) va himoya strategiyalari</t>
  </si>
  <si>
    <t xml:space="preserve">Yevropa opsioni, dividendsiz aksiya. Parametrlar — faraz (σ ni Daromadlilik varag‘idan olish mumkin).</t>
  </si>
  <si>
    <t xml:space="preserve">Aksiya narxi S, so‘m</t>
  </si>
  <si>
    <t xml:space="preserve">Ijro narxi K, so‘m</t>
  </si>
  <si>
    <t xml:space="preserve">Muddat T, yil</t>
  </si>
  <si>
    <t xml:space="preserve">Risksiz stavka r (uzluksiz)</t>
  </si>
  <si>
    <t xml:space="preserve">Volatillik σ (yillik)</t>
  </si>
  <si>
    <t xml:space="preserve">← A_Sanoat tarixiy volatilligi (ma’lumot uchun)</t>
  </si>
  <si>
    <t xml:space="preserve">Aksiyalar soni</t>
  </si>
  <si>
    <t xml:space="preserve">Hisob</t>
  </si>
  <si>
    <t xml:space="preserve">d1</t>
  </si>
  <si>
    <t xml:space="preserve">d2</t>
  </si>
  <si>
    <t xml:space="preserve">N(d1)</t>
  </si>
  <si>
    <t xml:space="preserve">N(d2)</t>
  </si>
  <si>
    <t xml:space="preserve">Koll narxi C</t>
  </si>
  <si>
    <t xml:space="preserve">Put narxi P</t>
  </si>
  <si>
    <t xml:space="preserve">Put–koll paritet tekshiruvi C − P − (S − K·e^(−rT))</t>
  </si>
  <si>
    <t xml:space="preserve">Delta (koll)</t>
  </si>
  <si>
    <t xml:space="preserve">Delta (put)</t>
  </si>
  <si>
    <t xml:space="preserve">Gamma</t>
  </si>
  <si>
    <t xml:space="preserve">Vega (σ 1 p.p. ga o‘zgarganda)</t>
  </si>
  <si>
    <t xml:space="preserve">Himoya puti narxi (jami), so‘m</t>
  </si>
  <si>
    <t xml:space="preserve">Himoya puti narxi, S ga nisbatan</t>
  </si>
  <si>
    <t xml:space="preserve">Delta-neytral hej: put sotib olish kerak bo‘lgan soni</t>
  </si>
  <si>
    <t xml:space="preserve">Muddat oxiridagi narx S(T)</t>
  </si>
  <si>
    <t xml:space="preserve">Aksiya (hejsiz) P/L</t>
  </si>
  <si>
    <t xml:space="preserve">Himoya puti P/L</t>
  </si>
  <si>
    <t xml:space="preserve">Yopiq koll P/L</t>
  </si>
  <si>
    <t xml:space="preserve">Himoya puti: aksiya + put. Maksimal yo‘qotish = (S − K + P)·n. Yopiq koll: aksiya + sotilgan koll — o‘sish cheklanadi, evaziga premiya olinadi.</t>
  </si>
  <si>
    <t xml:space="preserve">Risk bilan tuzatilgan samaradorlik ko‘rsatkichlari</t>
  </si>
  <si>
    <t xml:space="preserve">Oddiy kunlik daromadlilik asosida; yillik ko‘rsatkichlar. Rf va bozor — Parametrlar va Indeks.</t>
  </si>
  <si>
    <t xml:space="preserve">Portfel</t>
  </si>
  <si>
    <t xml:space="preserve">Yillik o‘rtacha daromadlilik R</t>
  </si>
  <si>
    <t xml:space="preserve">Yillik volatillik σ</t>
  </si>
  <si>
    <t xml:space="preserve">Quyi og‘ish (downside deviation, yillik)</t>
  </si>
  <si>
    <t xml:space="preserve">Beta (indeksga nisbatan)</t>
  </si>
  <si>
    <t xml:space="preserve">Sharp koeffitsienti (R − rf)/σ</t>
  </si>
  <si>
    <t xml:space="preserve">Sortino koeffitsienti (R − rf)/σ↓</t>
  </si>
  <si>
    <t xml:space="preserve">Treynor koeffitsienti (R − rf)/β</t>
  </si>
  <si>
    <t xml:space="preserve">Jensen alfasi R − [rf + β(Rm − rf)]</t>
  </si>
  <si>
    <t xml:space="preserve">Maksimal pasayish (MDD)</t>
  </si>
  <si>
    <t xml:space="preserve">Kalmar koeffitsienti R/|MDD|</t>
  </si>
  <si>
    <t xml:space="preserve">Reyting (Sharp bo‘yicha, 1 — eng yaxshi)</t>
  </si>
  <si>
    <t xml:space="preserve">Reyting (Treynor bo‘yicha)</t>
  </si>
  <si>
    <t xml:space="preserve">Izoh: Sharp — umumiy riskka, Treynor va Jensen — faqat tizimli riskka asoslanadi. Yaxshi diversifikatsiyalangan portfel uchun Treynor, alohida aktiv uchun Sharp mosroq.</t>
  </si>
  <si>
    <t xml:space="preserve">Indeks: boylik indeksi</t>
  </si>
  <si>
    <t xml:space="preserve">A_Sanoat: boylik indeksi</t>
  </si>
  <si>
    <t xml:space="preserve">B_Bank: boylik indeksi</t>
  </si>
  <si>
    <t xml:space="preserve">C_Telekom: boylik indeksi</t>
  </si>
  <si>
    <t xml:space="preserve">D_Energetika: boylik indeksi</t>
  </si>
  <si>
    <t xml:space="preserve">Portfel: boylik indeksi</t>
  </si>
  <si>
    <t xml:space="preserve">Indeks: pasayish</t>
  </si>
  <si>
    <t xml:space="preserve">A_Sanoat: pasayish</t>
  </si>
  <si>
    <t xml:space="preserve">B_Bank: pasayish</t>
  </si>
  <si>
    <t xml:space="preserve">C_Telekom: pasayish</t>
  </si>
  <si>
    <t xml:space="preserve">D_Energetika: pasayish</t>
  </si>
  <si>
    <t xml:space="preserve">Portfel: pasayish</t>
  </si>
  <si>
    <t xml:space="preserve">Likvidlik riski</t>
  </si>
  <si>
    <t xml:space="preserve">Amihud (2002) ko‘rsatkichi: |r| / savdo aylanmasi. Spred va ishtirok ulushi — faraz.</t>
  </si>
  <si>
    <t xml:space="preserve">O‘rtacha kunlik hajm (ADV), dona</t>
  </si>
  <si>
    <t xml:space="preserve">Oxirgi narx, so‘m</t>
  </si>
  <si>
    <t xml:space="preserve">O‘rtacha kunlik aylanma, mln so‘m</t>
  </si>
  <si>
    <t xml:space="preserve">Amihud ko‘rsatkichi (|r| / 1 mlrd so‘m aylanma)</t>
  </si>
  <si>
    <t xml:space="preserve">Pozitsiya, dona</t>
  </si>
  <si>
    <t xml:space="preserve">Tugatish muddati, kun = dona/(ishtirok·ADV)</t>
  </si>
  <si>
    <t xml:space="preserve">Bid–ask spred (nisbiy)</t>
  </si>
  <si>
    <t xml:space="preserve">Likvidlik xarajati LC = ½·spred·pozitsiya</t>
  </si>
  <si>
    <t xml:space="preserve">Bozor VaR (1 kun, α)</t>
  </si>
  <si>
    <t xml:space="preserve">Likvidlikka moslangan VaR = VaR + LC</t>
  </si>
  <si>
    <t xml:space="preserve">Tugatish muddatiga moslangan VaR = VaR·√(kun)</t>
  </si>
  <si>
    <t xml:space="preserve">Bozor VaR yig‘indisi:</t>
  </si>
  <si>
    <t xml:space="preserve">LVaR yig‘indisi:</t>
  </si>
  <si>
    <t xml:space="preserve">Bozor hajmidagi maksimal ishtirok ulushi</t>
  </si>
  <si>
    <t xml:space="preserve">Izoh: Amihud ko‘rsatkichi qancha katta bo‘lsa, aksiya shuncha kam likvid (kichik aylanma narxni ko‘proq siljitadi).</t>
  </si>
  <si>
    <t xml:space="preserve">Aylanma A_Sanoat</t>
  </si>
  <si>
    <t xml:space="preserve">Aylanma B_Bank</t>
  </si>
  <si>
    <t xml:space="preserve">Aylanma C_Telekom</t>
  </si>
  <si>
    <t xml:space="preserve">Aylanma D_Energetika</t>
  </si>
  <si>
    <t xml:space="preserve">|r|/aylanma A_Sanoat</t>
  </si>
  <si>
    <t xml:space="preserve">|r|/aylanma B_Bank</t>
  </si>
  <si>
    <t xml:space="preserve">|r|/aylanma C_Telekom</t>
  </si>
  <si>
    <t xml:space="preserve">|r|/aylanma D_Energetika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</si>
</sst>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#,##0"/>
    <numFmt numFmtId="167" formatCode="#,##0;\(#,##0\);\-"/>
    <numFmt numFmtId="168" formatCode="#,##0.00"/>
    <numFmt numFmtId="169" formatCode="dd\.mm\.yyyy"/>
    <numFmt numFmtId="170" formatCode="0.000%"/>
    <numFmt numFmtId="171" formatCode="0.000000"/>
    <numFmt numFmtId="172" formatCode="0%"/>
    <numFmt numFmtId="173" formatCode="0.0000%"/>
    <numFmt numFmtId="174" formatCode="0.0000"/>
    <numFmt numFmtId="175" formatCode="0.00000"/>
    <numFmt numFmtId="176" formatCode="0.0%"/>
    <numFmt numFmtId="177" formatCode="General"/>
    <numFmt numFmtId="178" formatCode="0.00E+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89142"/>
      <rgbColor rgb="FF800080"/>
      <rgbColor rgb="FF008080"/>
      <rgbColor rgb="FFBFBFBF"/>
      <rgbColor rgb="FF878787"/>
      <rgbColor rgb="FF9999FF"/>
      <rgbColor rgb="FFBE4B48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C37E"/>
      <rgbColor rgb="FFFF99CC"/>
      <rgbColor rgb="FFCC99FF"/>
      <rgbColor rgb="FFC7D6B1"/>
      <rgbColor rgb="FF4A7EBB"/>
      <rgbColor rgb="FF33CCCC"/>
      <rgbColor rgb="FF98B855"/>
      <rgbColor rgb="FFFFCC00"/>
      <rgbColor rgb="FFFF9900"/>
      <rgbColor rgb="FFFF6600"/>
      <rgbColor rgb="FF595959"/>
      <rgbColor rgb="FF8EAD4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Indeks volatilligi (yillik): EWMA va 20 kunlik oyna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Volatillik!F6</c:f>
              <c:strCache>
                <c:ptCount val="1"/>
                <c:pt idx="0">
                  <c:v>EWMA σ yillik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Volatillik!$A$7:$A$510</c:f>
              <c:strCache>
                <c:ptCount val="504"/>
                <c:pt idx="0">
                  <c:v>03.01.2024</c:v>
                </c:pt>
                <c:pt idx="1">
                  <c:v>04.01.2024</c:v>
                </c:pt>
                <c:pt idx="2">
                  <c:v>05.01.2024</c:v>
                </c:pt>
                <c:pt idx="3">
                  <c:v>08.01.2024</c:v>
                </c:pt>
                <c:pt idx="4">
                  <c:v>09.01.2024</c:v>
                </c:pt>
                <c:pt idx="5">
                  <c:v>10.01.2024</c:v>
                </c:pt>
                <c:pt idx="6">
                  <c:v>11.01.2024</c:v>
                </c:pt>
                <c:pt idx="7">
                  <c:v>12.01.2024</c:v>
                </c:pt>
                <c:pt idx="8">
                  <c:v>15.01.2024</c:v>
                </c:pt>
                <c:pt idx="9">
                  <c:v>16.01.2024</c:v>
                </c:pt>
                <c:pt idx="10">
                  <c:v>17.01.2024</c:v>
                </c:pt>
                <c:pt idx="11">
                  <c:v>18.01.2024</c:v>
                </c:pt>
                <c:pt idx="12">
                  <c:v>19.01.2024</c:v>
                </c:pt>
                <c:pt idx="13">
                  <c:v>22.01.2024</c:v>
                </c:pt>
                <c:pt idx="14">
                  <c:v>23.01.2024</c:v>
                </c:pt>
                <c:pt idx="15">
                  <c:v>24.01.2024</c:v>
                </c:pt>
                <c:pt idx="16">
                  <c:v>25.01.2024</c:v>
                </c:pt>
                <c:pt idx="17">
                  <c:v>26.01.2024</c:v>
                </c:pt>
                <c:pt idx="18">
                  <c:v>29.01.2024</c:v>
                </c:pt>
                <c:pt idx="19">
                  <c:v>30.01.2024</c:v>
                </c:pt>
                <c:pt idx="20">
                  <c:v>31.01.2024</c:v>
                </c:pt>
                <c:pt idx="21">
                  <c:v>01.02.2024</c:v>
                </c:pt>
                <c:pt idx="22">
                  <c:v>02.02.2024</c:v>
                </c:pt>
                <c:pt idx="23">
                  <c:v>05.02.2024</c:v>
                </c:pt>
                <c:pt idx="24">
                  <c:v>06.02.2024</c:v>
                </c:pt>
                <c:pt idx="25">
                  <c:v>07.02.2024</c:v>
                </c:pt>
                <c:pt idx="26">
                  <c:v>08.02.2024</c:v>
                </c:pt>
                <c:pt idx="27">
                  <c:v>09.02.2024</c:v>
                </c:pt>
                <c:pt idx="28">
                  <c:v>12.02.2024</c:v>
                </c:pt>
                <c:pt idx="29">
                  <c:v>13.02.2024</c:v>
                </c:pt>
                <c:pt idx="30">
                  <c:v>14.02.2024</c:v>
                </c:pt>
                <c:pt idx="31">
                  <c:v>15.02.2024</c:v>
                </c:pt>
                <c:pt idx="32">
                  <c:v>16.02.2024</c:v>
                </c:pt>
                <c:pt idx="33">
                  <c:v>19.02.2024</c:v>
                </c:pt>
                <c:pt idx="34">
                  <c:v>20.02.2024</c:v>
                </c:pt>
                <c:pt idx="35">
                  <c:v>21.02.2024</c:v>
                </c:pt>
                <c:pt idx="36">
                  <c:v>22.02.2024</c:v>
                </c:pt>
                <c:pt idx="37">
                  <c:v>23.02.2024</c:v>
                </c:pt>
                <c:pt idx="38">
                  <c:v>26.02.2024</c:v>
                </c:pt>
                <c:pt idx="39">
                  <c:v>27.02.2024</c:v>
                </c:pt>
                <c:pt idx="40">
                  <c:v>28.02.2024</c:v>
                </c:pt>
                <c:pt idx="41">
                  <c:v>29.02.2024</c:v>
                </c:pt>
                <c:pt idx="42">
                  <c:v>01.03.2024</c:v>
                </c:pt>
                <c:pt idx="43">
                  <c:v>04.03.2024</c:v>
                </c:pt>
                <c:pt idx="44">
                  <c:v>05.03.2024</c:v>
                </c:pt>
                <c:pt idx="45">
                  <c:v>06.03.2024</c:v>
                </c:pt>
                <c:pt idx="46">
                  <c:v>07.03.2024</c:v>
                </c:pt>
                <c:pt idx="47">
                  <c:v>08.03.2024</c:v>
                </c:pt>
                <c:pt idx="48">
                  <c:v>11.03.2024</c:v>
                </c:pt>
                <c:pt idx="49">
                  <c:v>12.03.2024</c:v>
                </c:pt>
                <c:pt idx="50">
                  <c:v>13.03.2024</c:v>
                </c:pt>
                <c:pt idx="51">
                  <c:v>14.03.2024</c:v>
                </c:pt>
                <c:pt idx="52">
                  <c:v>15.03.2024</c:v>
                </c:pt>
                <c:pt idx="53">
                  <c:v>18.03.2024</c:v>
                </c:pt>
                <c:pt idx="54">
                  <c:v>19.03.2024</c:v>
                </c:pt>
                <c:pt idx="55">
                  <c:v>20.03.2024</c:v>
                </c:pt>
                <c:pt idx="56">
                  <c:v>21.03.2024</c:v>
                </c:pt>
                <c:pt idx="57">
                  <c:v>22.03.2024</c:v>
                </c:pt>
                <c:pt idx="58">
                  <c:v>25.03.2024</c:v>
                </c:pt>
                <c:pt idx="59">
                  <c:v>26.03.2024</c:v>
                </c:pt>
                <c:pt idx="60">
                  <c:v>27.03.2024</c:v>
                </c:pt>
                <c:pt idx="61">
                  <c:v>28.03.2024</c:v>
                </c:pt>
                <c:pt idx="62">
                  <c:v>29.03.2024</c:v>
                </c:pt>
                <c:pt idx="63">
                  <c:v>01.04.2024</c:v>
                </c:pt>
                <c:pt idx="64">
                  <c:v>02.04.2024</c:v>
                </c:pt>
                <c:pt idx="65">
                  <c:v>03.04.2024</c:v>
                </c:pt>
                <c:pt idx="66">
                  <c:v>04.04.2024</c:v>
                </c:pt>
                <c:pt idx="67">
                  <c:v>05.04.2024</c:v>
                </c:pt>
                <c:pt idx="68">
                  <c:v>08.04.2024</c:v>
                </c:pt>
                <c:pt idx="69">
                  <c:v>09.04.2024</c:v>
                </c:pt>
                <c:pt idx="70">
                  <c:v>10.04.2024</c:v>
                </c:pt>
                <c:pt idx="71">
                  <c:v>11.04.2024</c:v>
                </c:pt>
                <c:pt idx="72">
                  <c:v>12.04.2024</c:v>
                </c:pt>
                <c:pt idx="73">
                  <c:v>15.04.2024</c:v>
                </c:pt>
                <c:pt idx="74">
                  <c:v>16.04.2024</c:v>
                </c:pt>
                <c:pt idx="75">
                  <c:v>17.04.2024</c:v>
                </c:pt>
                <c:pt idx="76">
                  <c:v>18.04.2024</c:v>
                </c:pt>
                <c:pt idx="77">
                  <c:v>19.04.2024</c:v>
                </c:pt>
                <c:pt idx="78">
                  <c:v>22.04.2024</c:v>
                </c:pt>
                <c:pt idx="79">
                  <c:v>23.04.2024</c:v>
                </c:pt>
                <c:pt idx="80">
                  <c:v>24.04.2024</c:v>
                </c:pt>
                <c:pt idx="81">
                  <c:v>25.04.2024</c:v>
                </c:pt>
                <c:pt idx="82">
                  <c:v>26.04.2024</c:v>
                </c:pt>
                <c:pt idx="83">
                  <c:v>29.04.2024</c:v>
                </c:pt>
                <c:pt idx="84">
                  <c:v>30.04.2024</c:v>
                </c:pt>
                <c:pt idx="85">
                  <c:v>01.05.2024</c:v>
                </c:pt>
                <c:pt idx="86">
                  <c:v>02.05.2024</c:v>
                </c:pt>
                <c:pt idx="87">
                  <c:v>03.05.2024</c:v>
                </c:pt>
                <c:pt idx="88">
                  <c:v>06.05.2024</c:v>
                </c:pt>
                <c:pt idx="89">
                  <c:v>07.05.2024</c:v>
                </c:pt>
                <c:pt idx="90">
                  <c:v>08.05.2024</c:v>
                </c:pt>
                <c:pt idx="91">
                  <c:v>09.05.2024</c:v>
                </c:pt>
                <c:pt idx="92">
                  <c:v>10.05.2024</c:v>
                </c:pt>
                <c:pt idx="93">
                  <c:v>13.05.2024</c:v>
                </c:pt>
                <c:pt idx="94">
                  <c:v>14.05.2024</c:v>
                </c:pt>
                <c:pt idx="95">
                  <c:v>15.05.2024</c:v>
                </c:pt>
                <c:pt idx="96">
                  <c:v>16.05.2024</c:v>
                </c:pt>
                <c:pt idx="97">
                  <c:v>17.05.2024</c:v>
                </c:pt>
                <c:pt idx="98">
                  <c:v>20.05.2024</c:v>
                </c:pt>
                <c:pt idx="99">
                  <c:v>21.05.2024</c:v>
                </c:pt>
                <c:pt idx="100">
                  <c:v>22.05.2024</c:v>
                </c:pt>
                <c:pt idx="101">
                  <c:v>23.05.2024</c:v>
                </c:pt>
                <c:pt idx="102">
                  <c:v>24.05.2024</c:v>
                </c:pt>
                <c:pt idx="103">
                  <c:v>27.05.2024</c:v>
                </c:pt>
                <c:pt idx="104">
                  <c:v>28.05.2024</c:v>
                </c:pt>
                <c:pt idx="105">
                  <c:v>29.05.2024</c:v>
                </c:pt>
                <c:pt idx="106">
                  <c:v>30.05.2024</c:v>
                </c:pt>
                <c:pt idx="107">
                  <c:v>31.05.2024</c:v>
                </c:pt>
                <c:pt idx="108">
                  <c:v>03.06.2024</c:v>
                </c:pt>
                <c:pt idx="109">
                  <c:v>04.06.2024</c:v>
                </c:pt>
                <c:pt idx="110">
                  <c:v>05.06.2024</c:v>
                </c:pt>
                <c:pt idx="111">
                  <c:v>06.06.2024</c:v>
                </c:pt>
                <c:pt idx="112">
                  <c:v>07.06.2024</c:v>
                </c:pt>
                <c:pt idx="113">
                  <c:v>10.06.2024</c:v>
                </c:pt>
                <c:pt idx="114">
                  <c:v>11.06.2024</c:v>
                </c:pt>
                <c:pt idx="115">
                  <c:v>12.06.2024</c:v>
                </c:pt>
                <c:pt idx="116">
                  <c:v>13.06.2024</c:v>
                </c:pt>
                <c:pt idx="117">
                  <c:v>14.06.2024</c:v>
                </c:pt>
                <c:pt idx="118">
                  <c:v>17.06.2024</c:v>
                </c:pt>
                <c:pt idx="119">
                  <c:v>18.06.2024</c:v>
                </c:pt>
                <c:pt idx="120">
                  <c:v>19.06.2024</c:v>
                </c:pt>
                <c:pt idx="121">
                  <c:v>20.06.2024</c:v>
                </c:pt>
                <c:pt idx="122">
                  <c:v>21.06.2024</c:v>
                </c:pt>
                <c:pt idx="123">
                  <c:v>24.06.2024</c:v>
                </c:pt>
                <c:pt idx="124">
                  <c:v>25.06.2024</c:v>
                </c:pt>
                <c:pt idx="125">
                  <c:v>26.06.2024</c:v>
                </c:pt>
                <c:pt idx="126">
                  <c:v>27.06.2024</c:v>
                </c:pt>
                <c:pt idx="127">
                  <c:v>28.06.2024</c:v>
                </c:pt>
                <c:pt idx="128">
                  <c:v>01.07.2024</c:v>
                </c:pt>
                <c:pt idx="129">
                  <c:v>02.07.2024</c:v>
                </c:pt>
                <c:pt idx="130">
                  <c:v>03.07.2024</c:v>
                </c:pt>
                <c:pt idx="131">
                  <c:v>04.07.2024</c:v>
                </c:pt>
                <c:pt idx="132">
                  <c:v>05.07.2024</c:v>
                </c:pt>
                <c:pt idx="133">
                  <c:v>08.07.2024</c:v>
                </c:pt>
                <c:pt idx="134">
                  <c:v>09.07.2024</c:v>
                </c:pt>
                <c:pt idx="135">
                  <c:v>10.07.2024</c:v>
                </c:pt>
                <c:pt idx="136">
                  <c:v>11.07.2024</c:v>
                </c:pt>
                <c:pt idx="137">
                  <c:v>12.07.2024</c:v>
                </c:pt>
                <c:pt idx="138">
                  <c:v>15.07.2024</c:v>
                </c:pt>
                <c:pt idx="139">
                  <c:v>16.07.2024</c:v>
                </c:pt>
                <c:pt idx="140">
                  <c:v>17.07.2024</c:v>
                </c:pt>
                <c:pt idx="141">
                  <c:v>18.07.2024</c:v>
                </c:pt>
                <c:pt idx="142">
                  <c:v>19.07.2024</c:v>
                </c:pt>
                <c:pt idx="143">
                  <c:v>22.07.2024</c:v>
                </c:pt>
                <c:pt idx="144">
                  <c:v>23.07.2024</c:v>
                </c:pt>
                <c:pt idx="145">
                  <c:v>24.07.2024</c:v>
                </c:pt>
                <c:pt idx="146">
                  <c:v>25.07.2024</c:v>
                </c:pt>
                <c:pt idx="147">
                  <c:v>26.07.2024</c:v>
                </c:pt>
                <c:pt idx="148">
                  <c:v>29.07.2024</c:v>
                </c:pt>
                <c:pt idx="149">
                  <c:v>30.07.2024</c:v>
                </c:pt>
                <c:pt idx="150">
                  <c:v>31.07.2024</c:v>
                </c:pt>
                <c:pt idx="151">
                  <c:v>01.08.2024</c:v>
                </c:pt>
                <c:pt idx="152">
                  <c:v>02.08.2024</c:v>
                </c:pt>
                <c:pt idx="153">
                  <c:v>05.08.2024</c:v>
                </c:pt>
                <c:pt idx="154">
                  <c:v>06.08.2024</c:v>
                </c:pt>
                <c:pt idx="155">
                  <c:v>07.08.2024</c:v>
                </c:pt>
                <c:pt idx="156">
                  <c:v>08.08.2024</c:v>
                </c:pt>
                <c:pt idx="157">
                  <c:v>09.08.2024</c:v>
                </c:pt>
                <c:pt idx="158">
                  <c:v>12.08.2024</c:v>
                </c:pt>
                <c:pt idx="159">
                  <c:v>13.08.2024</c:v>
                </c:pt>
                <c:pt idx="160">
                  <c:v>14.08.2024</c:v>
                </c:pt>
                <c:pt idx="161">
                  <c:v>15.08.2024</c:v>
                </c:pt>
                <c:pt idx="162">
                  <c:v>16.08.2024</c:v>
                </c:pt>
                <c:pt idx="163">
                  <c:v>19.08.2024</c:v>
                </c:pt>
                <c:pt idx="164">
                  <c:v>20.08.2024</c:v>
                </c:pt>
                <c:pt idx="165">
                  <c:v>21.08.2024</c:v>
                </c:pt>
                <c:pt idx="166">
                  <c:v>22.08.2024</c:v>
                </c:pt>
                <c:pt idx="167">
                  <c:v>23.08.2024</c:v>
                </c:pt>
                <c:pt idx="168">
                  <c:v>26.08.2024</c:v>
                </c:pt>
                <c:pt idx="169">
                  <c:v>27.08.2024</c:v>
                </c:pt>
                <c:pt idx="170">
                  <c:v>28.08.2024</c:v>
                </c:pt>
                <c:pt idx="171">
                  <c:v>29.08.2024</c:v>
                </c:pt>
                <c:pt idx="172">
                  <c:v>30.08.2024</c:v>
                </c:pt>
                <c:pt idx="173">
                  <c:v>02.09.2024</c:v>
                </c:pt>
                <c:pt idx="174">
                  <c:v>03.09.2024</c:v>
                </c:pt>
                <c:pt idx="175">
                  <c:v>04.09.2024</c:v>
                </c:pt>
                <c:pt idx="176">
                  <c:v>05.09.2024</c:v>
                </c:pt>
                <c:pt idx="177">
                  <c:v>06.09.2024</c:v>
                </c:pt>
                <c:pt idx="178">
                  <c:v>09.09.2024</c:v>
                </c:pt>
                <c:pt idx="179">
                  <c:v>10.09.2024</c:v>
                </c:pt>
                <c:pt idx="180">
                  <c:v>11.09.2024</c:v>
                </c:pt>
                <c:pt idx="181">
                  <c:v>12.09.2024</c:v>
                </c:pt>
                <c:pt idx="182">
                  <c:v>13.09.2024</c:v>
                </c:pt>
                <c:pt idx="183">
                  <c:v>16.09.2024</c:v>
                </c:pt>
                <c:pt idx="184">
                  <c:v>17.09.2024</c:v>
                </c:pt>
                <c:pt idx="185">
                  <c:v>18.09.2024</c:v>
                </c:pt>
                <c:pt idx="186">
                  <c:v>19.09.2024</c:v>
                </c:pt>
                <c:pt idx="187">
                  <c:v>20.09.2024</c:v>
                </c:pt>
                <c:pt idx="188">
                  <c:v>23.09.2024</c:v>
                </c:pt>
                <c:pt idx="189">
                  <c:v>24.09.2024</c:v>
                </c:pt>
                <c:pt idx="190">
                  <c:v>25.09.2024</c:v>
                </c:pt>
                <c:pt idx="191">
                  <c:v>26.09.2024</c:v>
                </c:pt>
                <c:pt idx="192">
                  <c:v>27.09.2024</c:v>
                </c:pt>
                <c:pt idx="193">
                  <c:v>30.09.2024</c:v>
                </c:pt>
                <c:pt idx="194">
                  <c:v>01.10.2024</c:v>
                </c:pt>
                <c:pt idx="195">
                  <c:v>02.10.2024</c:v>
                </c:pt>
                <c:pt idx="196">
                  <c:v>03.10.2024</c:v>
                </c:pt>
                <c:pt idx="197">
                  <c:v>04.10.2024</c:v>
                </c:pt>
                <c:pt idx="198">
                  <c:v>07.10.2024</c:v>
                </c:pt>
                <c:pt idx="199">
                  <c:v>08.10.2024</c:v>
                </c:pt>
                <c:pt idx="200">
                  <c:v>09.10.2024</c:v>
                </c:pt>
                <c:pt idx="201">
                  <c:v>10.10.2024</c:v>
                </c:pt>
                <c:pt idx="202">
                  <c:v>11.10.2024</c:v>
                </c:pt>
                <c:pt idx="203">
                  <c:v>14.10.2024</c:v>
                </c:pt>
                <c:pt idx="204">
                  <c:v>15.10.2024</c:v>
                </c:pt>
                <c:pt idx="205">
                  <c:v>16.10.2024</c:v>
                </c:pt>
                <c:pt idx="206">
                  <c:v>17.10.2024</c:v>
                </c:pt>
                <c:pt idx="207">
                  <c:v>18.10.2024</c:v>
                </c:pt>
                <c:pt idx="208">
                  <c:v>21.10.2024</c:v>
                </c:pt>
                <c:pt idx="209">
                  <c:v>22.10.2024</c:v>
                </c:pt>
                <c:pt idx="210">
                  <c:v>23.10.2024</c:v>
                </c:pt>
                <c:pt idx="211">
                  <c:v>24.10.2024</c:v>
                </c:pt>
                <c:pt idx="212">
                  <c:v>25.10.2024</c:v>
                </c:pt>
                <c:pt idx="213">
                  <c:v>28.10.2024</c:v>
                </c:pt>
                <c:pt idx="214">
                  <c:v>29.10.2024</c:v>
                </c:pt>
                <c:pt idx="215">
                  <c:v>30.10.2024</c:v>
                </c:pt>
                <c:pt idx="216">
                  <c:v>31.10.2024</c:v>
                </c:pt>
                <c:pt idx="217">
                  <c:v>01.11.2024</c:v>
                </c:pt>
                <c:pt idx="218">
                  <c:v>04.11.2024</c:v>
                </c:pt>
                <c:pt idx="219">
                  <c:v>05.11.2024</c:v>
                </c:pt>
                <c:pt idx="220">
                  <c:v>06.11.2024</c:v>
                </c:pt>
                <c:pt idx="221">
                  <c:v>07.11.2024</c:v>
                </c:pt>
                <c:pt idx="222">
                  <c:v>08.11.2024</c:v>
                </c:pt>
                <c:pt idx="223">
                  <c:v>11.11.2024</c:v>
                </c:pt>
                <c:pt idx="224">
                  <c:v>12.11.2024</c:v>
                </c:pt>
                <c:pt idx="225">
                  <c:v>13.11.2024</c:v>
                </c:pt>
                <c:pt idx="226">
                  <c:v>14.11.2024</c:v>
                </c:pt>
                <c:pt idx="227">
                  <c:v>15.11.2024</c:v>
                </c:pt>
                <c:pt idx="228">
                  <c:v>18.11.2024</c:v>
                </c:pt>
                <c:pt idx="229">
                  <c:v>19.11.2024</c:v>
                </c:pt>
                <c:pt idx="230">
                  <c:v>20.11.2024</c:v>
                </c:pt>
                <c:pt idx="231">
                  <c:v>21.11.2024</c:v>
                </c:pt>
                <c:pt idx="232">
                  <c:v>22.11.2024</c:v>
                </c:pt>
                <c:pt idx="233">
                  <c:v>25.11.2024</c:v>
                </c:pt>
                <c:pt idx="234">
                  <c:v>26.11.2024</c:v>
                </c:pt>
                <c:pt idx="235">
                  <c:v>27.11.2024</c:v>
                </c:pt>
                <c:pt idx="236">
                  <c:v>28.11.2024</c:v>
                </c:pt>
                <c:pt idx="237">
                  <c:v>29.11.2024</c:v>
                </c:pt>
                <c:pt idx="238">
                  <c:v>02.12.2024</c:v>
                </c:pt>
                <c:pt idx="239">
                  <c:v>03.12.2024</c:v>
                </c:pt>
                <c:pt idx="240">
                  <c:v>04.12.2024</c:v>
                </c:pt>
                <c:pt idx="241">
                  <c:v>05.12.2024</c:v>
                </c:pt>
                <c:pt idx="242">
                  <c:v>06.12.2024</c:v>
                </c:pt>
                <c:pt idx="243">
                  <c:v>09.12.2024</c:v>
                </c:pt>
                <c:pt idx="244">
                  <c:v>10.12.2024</c:v>
                </c:pt>
                <c:pt idx="245">
                  <c:v>11.12.2024</c:v>
                </c:pt>
                <c:pt idx="246">
                  <c:v>12.12.2024</c:v>
                </c:pt>
                <c:pt idx="247">
                  <c:v>13.12.2024</c:v>
                </c:pt>
                <c:pt idx="248">
                  <c:v>16.12.2024</c:v>
                </c:pt>
                <c:pt idx="249">
                  <c:v>17.12.2024</c:v>
                </c:pt>
                <c:pt idx="250">
                  <c:v>18.12.2024</c:v>
                </c:pt>
                <c:pt idx="251">
                  <c:v>19.12.2024</c:v>
                </c:pt>
                <c:pt idx="252">
                  <c:v>20.12.2024</c:v>
                </c:pt>
                <c:pt idx="253">
                  <c:v>23.12.2024</c:v>
                </c:pt>
                <c:pt idx="254">
                  <c:v>24.12.2024</c:v>
                </c:pt>
                <c:pt idx="255">
                  <c:v>25.12.2024</c:v>
                </c:pt>
                <c:pt idx="256">
                  <c:v>26.12.2024</c:v>
                </c:pt>
                <c:pt idx="257">
                  <c:v>27.12.2024</c:v>
                </c:pt>
                <c:pt idx="258">
                  <c:v>30.12.2024</c:v>
                </c:pt>
                <c:pt idx="259">
                  <c:v>31.12.2024</c:v>
                </c:pt>
                <c:pt idx="260">
                  <c:v>01.01.2025</c:v>
                </c:pt>
                <c:pt idx="261">
                  <c:v>02.01.2025</c:v>
                </c:pt>
                <c:pt idx="262">
                  <c:v>03.01.2025</c:v>
                </c:pt>
                <c:pt idx="263">
                  <c:v>06.01.2025</c:v>
                </c:pt>
                <c:pt idx="264">
                  <c:v>07.01.2025</c:v>
                </c:pt>
                <c:pt idx="265">
                  <c:v>08.01.2025</c:v>
                </c:pt>
                <c:pt idx="266">
                  <c:v>09.01.2025</c:v>
                </c:pt>
                <c:pt idx="267">
                  <c:v>10.01.2025</c:v>
                </c:pt>
                <c:pt idx="268">
                  <c:v>13.01.2025</c:v>
                </c:pt>
                <c:pt idx="269">
                  <c:v>14.01.2025</c:v>
                </c:pt>
                <c:pt idx="270">
                  <c:v>15.01.2025</c:v>
                </c:pt>
                <c:pt idx="271">
                  <c:v>16.01.2025</c:v>
                </c:pt>
                <c:pt idx="272">
                  <c:v>17.01.2025</c:v>
                </c:pt>
                <c:pt idx="273">
                  <c:v>20.01.2025</c:v>
                </c:pt>
                <c:pt idx="274">
                  <c:v>21.01.2025</c:v>
                </c:pt>
                <c:pt idx="275">
                  <c:v>22.01.2025</c:v>
                </c:pt>
                <c:pt idx="276">
                  <c:v>23.01.2025</c:v>
                </c:pt>
                <c:pt idx="277">
                  <c:v>24.01.2025</c:v>
                </c:pt>
                <c:pt idx="278">
                  <c:v>27.01.2025</c:v>
                </c:pt>
                <c:pt idx="279">
                  <c:v>28.01.2025</c:v>
                </c:pt>
                <c:pt idx="280">
                  <c:v>29.01.2025</c:v>
                </c:pt>
                <c:pt idx="281">
                  <c:v>30.01.2025</c:v>
                </c:pt>
                <c:pt idx="282">
                  <c:v>31.01.2025</c:v>
                </c:pt>
                <c:pt idx="283">
                  <c:v>03.02.2025</c:v>
                </c:pt>
                <c:pt idx="284">
                  <c:v>04.02.2025</c:v>
                </c:pt>
                <c:pt idx="285">
                  <c:v>05.02.2025</c:v>
                </c:pt>
                <c:pt idx="286">
                  <c:v>06.02.2025</c:v>
                </c:pt>
                <c:pt idx="287">
                  <c:v>07.02.2025</c:v>
                </c:pt>
                <c:pt idx="288">
                  <c:v>10.02.2025</c:v>
                </c:pt>
                <c:pt idx="289">
                  <c:v>11.02.2025</c:v>
                </c:pt>
                <c:pt idx="290">
                  <c:v>12.02.2025</c:v>
                </c:pt>
                <c:pt idx="291">
                  <c:v>13.02.2025</c:v>
                </c:pt>
                <c:pt idx="292">
                  <c:v>14.02.2025</c:v>
                </c:pt>
                <c:pt idx="293">
                  <c:v>17.02.2025</c:v>
                </c:pt>
                <c:pt idx="294">
                  <c:v>18.02.2025</c:v>
                </c:pt>
                <c:pt idx="295">
                  <c:v>19.02.2025</c:v>
                </c:pt>
                <c:pt idx="296">
                  <c:v>20.02.2025</c:v>
                </c:pt>
                <c:pt idx="297">
                  <c:v>21.02.2025</c:v>
                </c:pt>
                <c:pt idx="298">
                  <c:v>24.02.2025</c:v>
                </c:pt>
                <c:pt idx="299">
                  <c:v>25.02.2025</c:v>
                </c:pt>
                <c:pt idx="300">
                  <c:v>26.02.2025</c:v>
                </c:pt>
                <c:pt idx="301">
                  <c:v>27.02.2025</c:v>
                </c:pt>
                <c:pt idx="302">
                  <c:v>28.02.2025</c:v>
                </c:pt>
                <c:pt idx="303">
                  <c:v>03.03.2025</c:v>
                </c:pt>
                <c:pt idx="304">
                  <c:v>04.03.2025</c:v>
                </c:pt>
                <c:pt idx="305">
                  <c:v>05.03.2025</c:v>
                </c:pt>
                <c:pt idx="306">
                  <c:v>06.03.2025</c:v>
                </c:pt>
                <c:pt idx="307">
                  <c:v>07.03.2025</c:v>
                </c:pt>
                <c:pt idx="308">
                  <c:v>10.03.2025</c:v>
                </c:pt>
                <c:pt idx="309">
                  <c:v>11.03.2025</c:v>
                </c:pt>
                <c:pt idx="310">
                  <c:v>12.03.2025</c:v>
                </c:pt>
                <c:pt idx="311">
                  <c:v>13.03.2025</c:v>
                </c:pt>
                <c:pt idx="312">
                  <c:v>14.03.2025</c:v>
                </c:pt>
                <c:pt idx="313">
                  <c:v>17.03.2025</c:v>
                </c:pt>
                <c:pt idx="314">
                  <c:v>18.03.2025</c:v>
                </c:pt>
                <c:pt idx="315">
                  <c:v>19.03.2025</c:v>
                </c:pt>
                <c:pt idx="316">
                  <c:v>20.03.2025</c:v>
                </c:pt>
                <c:pt idx="317">
                  <c:v>21.03.2025</c:v>
                </c:pt>
                <c:pt idx="318">
                  <c:v>24.03.2025</c:v>
                </c:pt>
                <c:pt idx="319">
                  <c:v>25.03.2025</c:v>
                </c:pt>
                <c:pt idx="320">
                  <c:v>26.03.2025</c:v>
                </c:pt>
                <c:pt idx="321">
                  <c:v>27.03.2025</c:v>
                </c:pt>
                <c:pt idx="322">
                  <c:v>28.03.2025</c:v>
                </c:pt>
                <c:pt idx="323">
                  <c:v>31.03.2025</c:v>
                </c:pt>
                <c:pt idx="324">
                  <c:v>01.04.2025</c:v>
                </c:pt>
                <c:pt idx="325">
                  <c:v>02.04.2025</c:v>
                </c:pt>
                <c:pt idx="326">
                  <c:v>03.04.2025</c:v>
                </c:pt>
                <c:pt idx="327">
                  <c:v>04.04.2025</c:v>
                </c:pt>
                <c:pt idx="328">
                  <c:v>07.04.2025</c:v>
                </c:pt>
                <c:pt idx="329">
                  <c:v>08.04.2025</c:v>
                </c:pt>
                <c:pt idx="330">
                  <c:v>09.04.2025</c:v>
                </c:pt>
                <c:pt idx="331">
                  <c:v>10.04.2025</c:v>
                </c:pt>
                <c:pt idx="332">
                  <c:v>11.04.2025</c:v>
                </c:pt>
                <c:pt idx="333">
                  <c:v>14.04.2025</c:v>
                </c:pt>
                <c:pt idx="334">
                  <c:v>15.04.2025</c:v>
                </c:pt>
                <c:pt idx="335">
                  <c:v>16.04.2025</c:v>
                </c:pt>
                <c:pt idx="336">
                  <c:v>17.04.2025</c:v>
                </c:pt>
                <c:pt idx="337">
                  <c:v>18.04.2025</c:v>
                </c:pt>
                <c:pt idx="338">
                  <c:v>21.04.2025</c:v>
                </c:pt>
                <c:pt idx="339">
                  <c:v>22.04.2025</c:v>
                </c:pt>
                <c:pt idx="340">
                  <c:v>23.04.2025</c:v>
                </c:pt>
                <c:pt idx="341">
                  <c:v>24.04.2025</c:v>
                </c:pt>
                <c:pt idx="342">
                  <c:v>25.04.2025</c:v>
                </c:pt>
                <c:pt idx="343">
                  <c:v>28.04.2025</c:v>
                </c:pt>
                <c:pt idx="344">
                  <c:v>29.04.2025</c:v>
                </c:pt>
                <c:pt idx="345">
                  <c:v>30.04.2025</c:v>
                </c:pt>
                <c:pt idx="346">
                  <c:v>01.05.2025</c:v>
                </c:pt>
                <c:pt idx="347">
                  <c:v>02.05.2025</c:v>
                </c:pt>
                <c:pt idx="348">
                  <c:v>05.05.2025</c:v>
                </c:pt>
                <c:pt idx="349">
                  <c:v>06.05.2025</c:v>
                </c:pt>
                <c:pt idx="350">
                  <c:v>07.05.2025</c:v>
                </c:pt>
                <c:pt idx="351">
                  <c:v>08.05.2025</c:v>
                </c:pt>
                <c:pt idx="352">
                  <c:v>09.05.2025</c:v>
                </c:pt>
                <c:pt idx="353">
                  <c:v>12.05.2025</c:v>
                </c:pt>
                <c:pt idx="354">
                  <c:v>13.05.2025</c:v>
                </c:pt>
                <c:pt idx="355">
                  <c:v>14.05.2025</c:v>
                </c:pt>
                <c:pt idx="356">
                  <c:v>15.05.2025</c:v>
                </c:pt>
                <c:pt idx="357">
                  <c:v>16.05.2025</c:v>
                </c:pt>
                <c:pt idx="358">
                  <c:v>19.05.2025</c:v>
                </c:pt>
                <c:pt idx="359">
                  <c:v>20.05.2025</c:v>
                </c:pt>
                <c:pt idx="360">
                  <c:v>21.05.2025</c:v>
                </c:pt>
                <c:pt idx="361">
                  <c:v>22.05.2025</c:v>
                </c:pt>
                <c:pt idx="362">
                  <c:v>23.05.2025</c:v>
                </c:pt>
                <c:pt idx="363">
                  <c:v>26.05.2025</c:v>
                </c:pt>
                <c:pt idx="364">
                  <c:v>27.05.2025</c:v>
                </c:pt>
                <c:pt idx="365">
                  <c:v>28.05.2025</c:v>
                </c:pt>
                <c:pt idx="366">
                  <c:v>29.05.2025</c:v>
                </c:pt>
                <c:pt idx="367">
                  <c:v>30.05.2025</c:v>
                </c:pt>
                <c:pt idx="368">
                  <c:v>02.06.2025</c:v>
                </c:pt>
                <c:pt idx="369">
                  <c:v>03.06.2025</c:v>
                </c:pt>
                <c:pt idx="370">
                  <c:v>04.06.2025</c:v>
                </c:pt>
                <c:pt idx="371">
                  <c:v>05.06.2025</c:v>
                </c:pt>
                <c:pt idx="372">
                  <c:v>06.06.2025</c:v>
                </c:pt>
                <c:pt idx="373">
                  <c:v>09.06.2025</c:v>
                </c:pt>
                <c:pt idx="374">
                  <c:v>10.06.2025</c:v>
                </c:pt>
                <c:pt idx="375">
                  <c:v>11.06.2025</c:v>
                </c:pt>
                <c:pt idx="376">
                  <c:v>12.06.2025</c:v>
                </c:pt>
                <c:pt idx="377">
                  <c:v>13.06.2025</c:v>
                </c:pt>
                <c:pt idx="378">
                  <c:v>16.06.2025</c:v>
                </c:pt>
                <c:pt idx="379">
                  <c:v>17.06.2025</c:v>
                </c:pt>
                <c:pt idx="380">
                  <c:v>18.06.2025</c:v>
                </c:pt>
                <c:pt idx="381">
                  <c:v>19.06.2025</c:v>
                </c:pt>
                <c:pt idx="382">
                  <c:v>20.06.2025</c:v>
                </c:pt>
                <c:pt idx="383">
                  <c:v>23.06.2025</c:v>
                </c:pt>
                <c:pt idx="384">
                  <c:v>24.06.2025</c:v>
                </c:pt>
                <c:pt idx="385">
                  <c:v>25.06.2025</c:v>
                </c:pt>
                <c:pt idx="386">
                  <c:v>26.06.2025</c:v>
                </c:pt>
                <c:pt idx="387">
                  <c:v>27.06.2025</c:v>
                </c:pt>
                <c:pt idx="388">
                  <c:v>30.06.2025</c:v>
                </c:pt>
                <c:pt idx="389">
                  <c:v>01.07.2025</c:v>
                </c:pt>
                <c:pt idx="390">
                  <c:v>02.07.2025</c:v>
                </c:pt>
                <c:pt idx="391">
                  <c:v>03.07.2025</c:v>
                </c:pt>
                <c:pt idx="392">
                  <c:v>04.07.2025</c:v>
                </c:pt>
                <c:pt idx="393">
                  <c:v>07.07.2025</c:v>
                </c:pt>
                <c:pt idx="394">
                  <c:v>08.07.2025</c:v>
                </c:pt>
                <c:pt idx="395">
                  <c:v>09.07.2025</c:v>
                </c:pt>
                <c:pt idx="396">
                  <c:v>10.07.2025</c:v>
                </c:pt>
                <c:pt idx="397">
                  <c:v>11.07.2025</c:v>
                </c:pt>
                <c:pt idx="398">
                  <c:v>14.07.2025</c:v>
                </c:pt>
                <c:pt idx="399">
                  <c:v>15.07.2025</c:v>
                </c:pt>
                <c:pt idx="400">
                  <c:v>16.07.2025</c:v>
                </c:pt>
                <c:pt idx="401">
                  <c:v>17.07.2025</c:v>
                </c:pt>
                <c:pt idx="402">
                  <c:v>18.07.2025</c:v>
                </c:pt>
                <c:pt idx="403">
                  <c:v>21.07.2025</c:v>
                </c:pt>
                <c:pt idx="404">
                  <c:v>22.07.2025</c:v>
                </c:pt>
                <c:pt idx="405">
                  <c:v>23.07.2025</c:v>
                </c:pt>
                <c:pt idx="406">
                  <c:v>24.07.2025</c:v>
                </c:pt>
                <c:pt idx="407">
                  <c:v>25.07.2025</c:v>
                </c:pt>
                <c:pt idx="408">
                  <c:v>28.07.2025</c:v>
                </c:pt>
                <c:pt idx="409">
                  <c:v>29.07.2025</c:v>
                </c:pt>
                <c:pt idx="410">
                  <c:v>30.07.2025</c:v>
                </c:pt>
                <c:pt idx="411">
                  <c:v>31.07.2025</c:v>
                </c:pt>
                <c:pt idx="412">
                  <c:v>01.08.2025</c:v>
                </c:pt>
                <c:pt idx="413">
                  <c:v>04.08.2025</c:v>
                </c:pt>
                <c:pt idx="414">
                  <c:v>05.08.2025</c:v>
                </c:pt>
                <c:pt idx="415">
                  <c:v>06.08.2025</c:v>
                </c:pt>
                <c:pt idx="416">
                  <c:v>07.08.2025</c:v>
                </c:pt>
                <c:pt idx="417">
                  <c:v>08.08.2025</c:v>
                </c:pt>
                <c:pt idx="418">
                  <c:v>11.08.2025</c:v>
                </c:pt>
                <c:pt idx="419">
                  <c:v>12.08.2025</c:v>
                </c:pt>
                <c:pt idx="420">
                  <c:v>13.08.2025</c:v>
                </c:pt>
                <c:pt idx="421">
                  <c:v>14.08.2025</c:v>
                </c:pt>
                <c:pt idx="422">
                  <c:v>15.08.2025</c:v>
                </c:pt>
                <c:pt idx="423">
                  <c:v>18.08.2025</c:v>
                </c:pt>
                <c:pt idx="424">
                  <c:v>19.08.2025</c:v>
                </c:pt>
                <c:pt idx="425">
                  <c:v>20.08.2025</c:v>
                </c:pt>
                <c:pt idx="426">
                  <c:v>21.08.2025</c:v>
                </c:pt>
                <c:pt idx="427">
                  <c:v>22.08.2025</c:v>
                </c:pt>
                <c:pt idx="428">
                  <c:v>25.08.2025</c:v>
                </c:pt>
                <c:pt idx="429">
                  <c:v>26.08.2025</c:v>
                </c:pt>
                <c:pt idx="430">
                  <c:v>27.08.2025</c:v>
                </c:pt>
                <c:pt idx="431">
                  <c:v>28.08.2025</c:v>
                </c:pt>
                <c:pt idx="432">
                  <c:v>29.08.2025</c:v>
                </c:pt>
                <c:pt idx="433">
                  <c:v>01.09.2025</c:v>
                </c:pt>
                <c:pt idx="434">
                  <c:v>02.09.2025</c:v>
                </c:pt>
                <c:pt idx="435">
                  <c:v>03.09.2025</c:v>
                </c:pt>
                <c:pt idx="436">
                  <c:v>04.09.2025</c:v>
                </c:pt>
                <c:pt idx="437">
                  <c:v>05.09.2025</c:v>
                </c:pt>
                <c:pt idx="438">
                  <c:v>08.09.2025</c:v>
                </c:pt>
                <c:pt idx="439">
                  <c:v>09.09.2025</c:v>
                </c:pt>
                <c:pt idx="440">
                  <c:v>10.09.2025</c:v>
                </c:pt>
                <c:pt idx="441">
                  <c:v>11.09.2025</c:v>
                </c:pt>
                <c:pt idx="442">
                  <c:v>12.09.2025</c:v>
                </c:pt>
                <c:pt idx="443">
                  <c:v>15.09.2025</c:v>
                </c:pt>
                <c:pt idx="444">
                  <c:v>16.09.2025</c:v>
                </c:pt>
                <c:pt idx="445">
                  <c:v>17.09.2025</c:v>
                </c:pt>
                <c:pt idx="446">
                  <c:v>18.09.2025</c:v>
                </c:pt>
                <c:pt idx="447">
                  <c:v>19.09.2025</c:v>
                </c:pt>
                <c:pt idx="448">
                  <c:v>22.09.2025</c:v>
                </c:pt>
                <c:pt idx="449">
                  <c:v>23.09.2025</c:v>
                </c:pt>
                <c:pt idx="450">
                  <c:v>24.09.2025</c:v>
                </c:pt>
                <c:pt idx="451">
                  <c:v>25.09.2025</c:v>
                </c:pt>
                <c:pt idx="452">
                  <c:v>26.09.2025</c:v>
                </c:pt>
                <c:pt idx="453">
                  <c:v>29.09.2025</c:v>
                </c:pt>
                <c:pt idx="454">
                  <c:v>30.09.2025</c:v>
                </c:pt>
                <c:pt idx="455">
                  <c:v>01.10.2025</c:v>
                </c:pt>
                <c:pt idx="456">
                  <c:v>02.10.2025</c:v>
                </c:pt>
                <c:pt idx="457">
                  <c:v>03.10.2025</c:v>
                </c:pt>
                <c:pt idx="458">
                  <c:v>06.10.2025</c:v>
                </c:pt>
                <c:pt idx="459">
                  <c:v>07.10.2025</c:v>
                </c:pt>
                <c:pt idx="460">
                  <c:v>08.10.2025</c:v>
                </c:pt>
                <c:pt idx="461">
                  <c:v>09.10.2025</c:v>
                </c:pt>
                <c:pt idx="462">
                  <c:v>10.10.2025</c:v>
                </c:pt>
                <c:pt idx="463">
                  <c:v>13.10.2025</c:v>
                </c:pt>
                <c:pt idx="464">
                  <c:v>14.10.2025</c:v>
                </c:pt>
                <c:pt idx="465">
                  <c:v>15.10.2025</c:v>
                </c:pt>
                <c:pt idx="466">
                  <c:v>16.10.2025</c:v>
                </c:pt>
                <c:pt idx="467">
                  <c:v>17.10.2025</c:v>
                </c:pt>
                <c:pt idx="468">
                  <c:v>20.10.2025</c:v>
                </c:pt>
                <c:pt idx="469">
                  <c:v>21.10.2025</c:v>
                </c:pt>
                <c:pt idx="470">
                  <c:v>22.10.2025</c:v>
                </c:pt>
                <c:pt idx="471">
                  <c:v>23.10.2025</c:v>
                </c:pt>
                <c:pt idx="472">
                  <c:v>24.10.2025</c:v>
                </c:pt>
                <c:pt idx="473">
                  <c:v>27.10.2025</c:v>
                </c:pt>
                <c:pt idx="474">
                  <c:v>28.10.2025</c:v>
                </c:pt>
                <c:pt idx="475">
                  <c:v>29.10.2025</c:v>
                </c:pt>
                <c:pt idx="476">
                  <c:v>30.10.2025</c:v>
                </c:pt>
                <c:pt idx="477">
                  <c:v>31.10.2025</c:v>
                </c:pt>
                <c:pt idx="478">
                  <c:v>03.11.2025</c:v>
                </c:pt>
                <c:pt idx="479">
                  <c:v>04.11.2025</c:v>
                </c:pt>
                <c:pt idx="480">
                  <c:v>05.11.2025</c:v>
                </c:pt>
                <c:pt idx="481">
                  <c:v>06.11.2025</c:v>
                </c:pt>
                <c:pt idx="482">
                  <c:v>07.11.2025</c:v>
                </c:pt>
                <c:pt idx="483">
                  <c:v>10.11.2025</c:v>
                </c:pt>
                <c:pt idx="484">
                  <c:v>11.11.2025</c:v>
                </c:pt>
                <c:pt idx="485">
                  <c:v>12.11.2025</c:v>
                </c:pt>
                <c:pt idx="486">
                  <c:v>13.11.2025</c:v>
                </c:pt>
                <c:pt idx="487">
                  <c:v>14.11.2025</c:v>
                </c:pt>
                <c:pt idx="488">
                  <c:v>17.11.2025</c:v>
                </c:pt>
                <c:pt idx="489">
                  <c:v>18.11.2025</c:v>
                </c:pt>
                <c:pt idx="490">
                  <c:v>19.11.2025</c:v>
                </c:pt>
                <c:pt idx="491">
                  <c:v>20.11.2025</c:v>
                </c:pt>
                <c:pt idx="492">
                  <c:v>21.11.2025</c:v>
                </c:pt>
                <c:pt idx="493">
                  <c:v>24.11.2025</c:v>
                </c:pt>
                <c:pt idx="494">
                  <c:v>25.11.2025</c:v>
                </c:pt>
                <c:pt idx="495">
                  <c:v>26.11.2025</c:v>
                </c:pt>
                <c:pt idx="496">
                  <c:v>27.11.2025</c:v>
                </c:pt>
                <c:pt idx="497">
                  <c:v>28.11.2025</c:v>
                </c:pt>
                <c:pt idx="498">
                  <c:v>01.12.2025</c:v>
                </c:pt>
                <c:pt idx="499">
                  <c:v>02.12.2025</c:v>
                </c:pt>
                <c:pt idx="500">
                  <c:v>03.12.2025</c:v>
                </c:pt>
                <c:pt idx="501">
                  <c:v>04.12.2025</c:v>
                </c:pt>
                <c:pt idx="502">
                  <c:v>05.12.2025</c:v>
                </c:pt>
                <c:pt idx="503">
                  <c:v>08.12.2025</c:v>
                </c:pt>
              </c:strCache>
            </c:strRef>
          </c:cat>
          <c:val>
            <c:numRef>
              <c:f>Volatillik!$F$7:$F$510</c:f>
              <c:numCache>
                <c:formatCode>0.00%</c:formatCode>
                <c:ptCount val="504"/>
                <c:pt idx="0">
                  <c:v>0.125299608495642</c:v>
                </c:pt>
                <c:pt idx="1">
                  <c:v>0.123504313984118</c:v>
                </c:pt>
                <c:pt idx="2">
                  <c:v>0.130670349400106</c:v>
                </c:pt>
                <c:pt idx="3">
                  <c:v>0.129216029675022</c:v>
                </c:pt>
                <c:pt idx="4">
                  <c:v>0.127034646876631</c:v>
                </c:pt>
                <c:pt idx="5">
                  <c:v>0.124858798340004</c:v>
                </c:pt>
                <c:pt idx="6">
                  <c:v>0.128793104742452</c:v>
                </c:pt>
                <c:pt idx="7">
                  <c:v>0.134950133114756</c:v>
                </c:pt>
                <c:pt idx="8">
                  <c:v>0.142199974969804</c:v>
                </c:pt>
                <c:pt idx="9">
                  <c:v>0.139058982526117</c:v>
                </c:pt>
                <c:pt idx="10">
                  <c:v>0.135014831600289</c:v>
                </c:pt>
                <c:pt idx="11">
                  <c:v>0.131330720591927</c:v>
                </c:pt>
                <c:pt idx="12">
                  <c:v>0.128011584778557</c:v>
                </c:pt>
                <c:pt idx="13">
                  <c:v>0.12465246042964</c:v>
                </c:pt>
                <c:pt idx="14">
                  <c:v>0.121995029587342</c:v>
                </c:pt>
                <c:pt idx="15">
                  <c:v>0.119430711021741</c:v>
                </c:pt>
                <c:pt idx="16">
                  <c:v>0.118998429593874</c:v>
                </c:pt>
                <c:pt idx="17">
                  <c:v>0.12608940347268</c:v>
                </c:pt>
                <c:pt idx="18">
                  <c:v>0.122670100837903</c:v>
                </c:pt>
                <c:pt idx="19">
                  <c:v>0.118948063815428</c:v>
                </c:pt>
                <c:pt idx="20">
                  <c:v>0.118390525091066</c:v>
                </c:pt>
                <c:pt idx="21">
                  <c:v>0.116193227225379</c:v>
                </c:pt>
                <c:pt idx="22">
                  <c:v>0.11486273309359</c:v>
                </c:pt>
                <c:pt idx="23">
                  <c:v>0.111539442726226</c:v>
                </c:pt>
                <c:pt idx="24">
                  <c:v>0.109947411001387</c:v>
                </c:pt>
                <c:pt idx="25">
                  <c:v>0.108673619820986</c:v>
                </c:pt>
                <c:pt idx="26">
                  <c:v>0.105420615364037</c:v>
                </c:pt>
                <c:pt idx="27">
                  <c:v>0.105733436867201</c:v>
                </c:pt>
                <c:pt idx="28">
                  <c:v>0.102512399911311</c:v>
                </c:pt>
                <c:pt idx="29">
                  <c:v>0.0995339162972017</c:v>
                </c:pt>
                <c:pt idx="30">
                  <c:v>0.102003875864845</c:v>
                </c:pt>
                <c:pt idx="31">
                  <c:v>0.101262589958989</c:v>
                </c:pt>
                <c:pt idx="32">
                  <c:v>0.0992140813513113</c:v>
                </c:pt>
                <c:pt idx="33">
                  <c:v>0.102467766042893</c:v>
                </c:pt>
                <c:pt idx="34">
                  <c:v>0.109164911334882</c:v>
                </c:pt>
                <c:pt idx="35">
                  <c:v>0.107149354050818</c:v>
                </c:pt>
                <c:pt idx="36">
                  <c:v>0.103885409653834</c:v>
                </c:pt>
                <c:pt idx="37">
                  <c:v>0.210678289867958</c:v>
                </c:pt>
                <c:pt idx="38">
                  <c:v>0.204311606655213</c:v>
                </c:pt>
                <c:pt idx="39">
                  <c:v>0.202204986461253</c:v>
                </c:pt>
                <c:pt idx="40">
                  <c:v>0.196314438399194</c:v>
                </c:pt>
                <c:pt idx="41">
                  <c:v>0.190566242997892</c:v>
                </c:pt>
                <c:pt idx="42">
                  <c:v>0.184802063772872</c:v>
                </c:pt>
                <c:pt idx="43">
                  <c:v>0.180437152971623</c:v>
                </c:pt>
                <c:pt idx="44">
                  <c:v>0.175043141767548</c:v>
                </c:pt>
                <c:pt idx="45">
                  <c:v>0.171350569481498</c:v>
                </c:pt>
                <c:pt idx="46">
                  <c:v>0.214513789862312</c:v>
                </c:pt>
                <c:pt idx="47">
                  <c:v>0.243500649011772</c:v>
                </c:pt>
                <c:pt idx="48">
                  <c:v>0.241701075372363</c:v>
                </c:pt>
                <c:pt idx="49">
                  <c:v>0.287514045145766</c:v>
                </c:pt>
                <c:pt idx="50">
                  <c:v>0.278882445102669</c:v>
                </c:pt>
                <c:pt idx="51">
                  <c:v>0.272241020959295</c:v>
                </c:pt>
                <c:pt idx="52">
                  <c:v>0.273850652575221</c:v>
                </c:pt>
                <c:pt idx="53">
                  <c:v>0.268009625039255</c:v>
                </c:pt>
                <c:pt idx="54">
                  <c:v>0.264919989524022</c:v>
                </c:pt>
                <c:pt idx="55">
                  <c:v>0.272010080057994</c:v>
                </c:pt>
                <c:pt idx="56">
                  <c:v>0.26398723829623</c:v>
                </c:pt>
                <c:pt idx="57">
                  <c:v>0.263131293292354</c:v>
                </c:pt>
                <c:pt idx="58">
                  <c:v>0.270426695672492</c:v>
                </c:pt>
                <c:pt idx="59">
                  <c:v>0.262486577693884</c:v>
                </c:pt>
                <c:pt idx="60">
                  <c:v>0.267168157704521</c:v>
                </c:pt>
                <c:pt idx="61">
                  <c:v>0.271452033022436</c:v>
                </c:pt>
                <c:pt idx="62">
                  <c:v>0.265884251235948</c:v>
                </c:pt>
                <c:pt idx="63">
                  <c:v>0.259804871524136</c:v>
                </c:pt>
                <c:pt idx="64">
                  <c:v>0.347360967469353</c:v>
                </c:pt>
                <c:pt idx="65">
                  <c:v>0.340943669004549</c:v>
                </c:pt>
                <c:pt idx="66">
                  <c:v>0.350812012793181</c:v>
                </c:pt>
                <c:pt idx="67">
                  <c:v>0.342372962531314</c:v>
                </c:pt>
                <c:pt idx="68">
                  <c:v>0.357655249719381</c:v>
                </c:pt>
                <c:pt idx="69">
                  <c:v>0.354476461729404</c:v>
                </c:pt>
                <c:pt idx="70">
                  <c:v>0.357617698416603</c:v>
                </c:pt>
                <c:pt idx="71">
                  <c:v>0.350173089678807</c:v>
                </c:pt>
                <c:pt idx="72">
                  <c:v>0.342382920309662</c:v>
                </c:pt>
                <c:pt idx="73">
                  <c:v>0.335185135792629</c:v>
                </c:pt>
                <c:pt idx="74">
                  <c:v>0.325918782380305</c:v>
                </c:pt>
                <c:pt idx="75">
                  <c:v>0.317025880504644</c:v>
                </c:pt>
                <c:pt idx="76">
                  <c:v>0.307573776392549</c:v>
                </c:pt>
                <c:pt idx="77">
                  <c:v>0.299135475309209</c:v>
                </c:pt>
                <c:pt idx="78">
                  <c:v>0.290172071344208</c:v>
                </c:pt>
                <c:pt idx="79">
                  <c:v>0.294792624577214</c:v>
                </c:pt>
                <c:pt idx="80">
                  <c:v>0.289295432682075</c:v>
                </c:pt>
                <c:pt idx="81">
                  <c:v>0.281304643834785</c:v>
                </c:pt>
                <c:pt idx="82">
                  <c:v>0.274958563136729</c:v>
                </c:pt>
                <c:pt idx="83">
                  <c:v>0.27688217237719</c:v>
                </c:pt>
                <c:pt idx="84">
                  <c:v>0.268581875795608</c:v>
                </c:pt>
                <c:pt idx="85">
                  <c:v>0.261173124254677</c:v>
                </c:pt>
                <c:pt idx="86">
                  <c:v>0.254114107457834</c:v>
                </c:pt>
                <c:pt idx="87">
                  <c:v>0.250691683781352</c:v>
                </c:pt>
                <c:pt idx="88">
                  <c:v>0.247299525009391</c:v>
                </c:pt>
                <c:pt idx="89">
                  <c:v>0.240611546986482</c:v>
                </c:pt>
                <c:pt idx="90">
                  <c:v>0.239107471887158</c:v>
                </c:pt>
                <c:pt idx="91">
                  <c:v>0.232869898412032</c:v>
                </c:pt>
                <c:pt idx="92">
                  <c:v>0.22588252022417</c:v>
                </c:pt>
                <c:pt idx="93">
                  <c:v>0.233474142638385</c:v>
                </c:pt>
                <c:pt idx="94">
                  <c:v>0.227019810090622</c:v>
                </c:pt>
                <c:pt idx="95">
                  <c:v>0.220109899050306</c:v>
                </c:pt>
                <c:pt idx="96">
                  <c:v>0.223974852610572</c:v>
                </c:pt>
                <c:pt idx="97">
                  <c:v>0.219067944360896</c:v>
                </c:pt>
                <c:pt idx="98">
                  <c:v>0.21479364178882</c:v>
                </c:pt>
                <c:pt idx="99">
                  <c:v>0.208364491605847</c:v>
                </c:pt>
                <c:pt idx="100">
                  <c:v>0.202478918399321</c:v>
                </c:pt>
                <c:pt idx="101">
                  <c:v>0.198256725972323</c:v>
                </c:pt>
                <c:pt idx="102">
                  <c:v>0.198108344122781</c:v>
                </c:pt>
                <c:pt idx="103">
                  <c:v>0.192895646508327</c:v>
                </c:pt>
                <c:pt idx="104">
                  <c:v>0.187020957166479</c:v>
                </c:pt>
                <c:pt idx="105">
                  <c:v>0.181339237353413</c:v>
                </c:pt>
                <c:pt idx="106">
                  <c:v>0.176414774878533</c:v>
                </c:pt>
                <c:pt idx="107">
                  <c:v>0.171478649289681</c:v>
                </c:pt>
                <c:pt idx="108">
                  <c:v>0.169375438409952</c:v>
                </c:pt>
                <c:pt idx="109">
                  <c:v>0.164272562994247</c:v>
                </c:pt>
                <c:pt idx="110">
                  <c:v>0.160335474896637</c:v>
                </c:pt>
                <c:pt idx="111">
                  <c:v>0.158364597786766</c:v>
                </c:pt>
                <c:pt idx="112">
                  <c:v>0.161575756201995</c:v>
                </c:pt>
                <c:pt idx="113">
                  <c:v>0.161003882437641</c:v>
                </c:pt>
                <c:pt idx="114">
                  <c:v>0.159804508823441</c:v>
                </c:pt>
                <c:pt idx="115">
                  <c:v>0.195108207322758</c:v>
                </c:pt>
                <c:pt idx="116">
                  <c:v>0.202734588527733</c:v>
                </c:pt>
                <c:pt idx="117">
                  <c:v>0.196560850997271</c:v>
                </c:pt>
                <c:pt idx="118">
                  <c:v>0.191339959153342</c:v>
                </c:pt>
                <c:pt idx="119">
                  <c:v>0.189750048983538</c:v>
                </c:pt>
                <c:pt idx="120">
                  <c:v>0.189177840500608</c:v>
                </c:pt>
                <c:pt idx="121">
                  <c:v>0.191693572071647</c:v>
                </c:pt>
                <c:pt idx="122">
                  <c:v>0.186773320597802</c:v>
                </c:pt>
                <c:pt idx="123">
                  <c:v>0.188933750041135</c:v>
                </c:pt>
                <c:pt idx="124">
                  <c:v>0.183256659781365</c:v>
                </c:pt>
                <c:pt idx="125">
                  <c:v>0.187739116519639</c:v>
                </c:pt>
                <c:pt idx="126">
                  <c:v>0.182063422427475</c:v>
                </c:pt>
                <c:pt idx="127">
                  <c:v>0.177196673288709</c:v>
                </c:pt>
                <c:pt idx="128">
                  <c:v>0.172310964896509</c:v>
                </c:pt>
                <c:pt idx="129">
                  <c:v>0.167263180624948</c:v>
                </c:pt>
                <c:pt idx="130">
                  <c:v>0.172580352218817</c:v>
                </c:pt>
                <c:pt idx="131">
                  <c:v>0.167500072247451</c:v>
                </c:pt>
                <c:pt idx="132">
                  <c:v>0.16243146486523</c:v>
                </c:pt>
                <c:pt idx="133">
                  <c:v>0.170249010753754</c:v>
                </c:pt>
                <c:pt idx="134">
                  <c:v>0.169424613427451</c:v>
                </c:pt>
                <c:pt idx="135">
                  <c:v>0.16472210328617</c:v>
                </c:pt>
                <c:pt idx="136">
                  <c:v>0.159706732146256</c:v>
                </c:pt>
                <c:pt idx="137">
                  <c:v>0.157825549675793</c:v>
                </c:pt>
                <c:pt idx="138">
                  <c:v>0.153147700616837</c:v>
                </c:pt>
                <c:pt idx="139">
                  <c:v>0.149125114502818</c:v>
                </c:pt>
                <c:pt idx="140">
                  <c:v>0.152750880396198</c:v>
                </c:pt>
                <c:pt idx="141">
                  <c:v>0.150514542937575</c:v>
                </c:pt>
                <c:pt idx="142">
                  <c:v>0.149395705421726</c:v>
                </c:pt>
                <c:pt idx="143">
                  <c:v>0.145449163677128</c:v>
                </c:pt>
                <c:pt idx="144">
                  <c:v>0.143559165570651</c:v>
                </c:pt>
                <c:pt idx="145">
                  <c:v>0.159127492087826</c:v>
                </c:pt>
                <c:pt idx="146">
                  <c:v>0.165564041249064</c:v>
                </c:pt>
                <c:pt idx="147">
                  <c:v>0.160524841660608</c:v>
                </c:pt>
                <c:pt idx="148">
                  <c:v>0.160059561800007</c:v>
                </c:pt>
                <c:pt idx="149">
                  <c:v>0.163948305157565</c:v>
                </c:pt>
                <c:pt idx="150">
                  <c:v>0.163099990132022</c:v>
                </c:pt>
                <c:pt idx="151">
                  <c:v>0.158776835415199</c:v>
                </c:pt>
                <c:pt idx="152">
                  <c:v>0.154077941572519</c:v>
                </c:pt>
                <c:pt idx="153">
                  <c:v>0.181349079547823</c:v>
                </c:pt>
                <c:pt idx="154">
                  <c:v>0.185962786956869</c:v>
                </c:pt>
                <c:pt idx="155">
                  <c:v>0.194679085519428</c:v>
                </c:pt>
                <c:pt idx="156">
                  <c:v>0.193289056526155</c:v>
                </c:pt>
                <c:pt idx="157">
                  <c:v>0.188619978585449</c:v>
                </c:pt>
                <c:pt idx="158">
                  <c:v>0.18798723163791</c:v>
                </c:pt>
                <c:pt idx="159">
                  <c:v>0.1822759695084</c:v>
                </c:pt>
                <c:pt idx="160">
                  <c:v>0.178014614243387</c:v>
                </c:pt>
                <c:pt idx="161">
                  <c:v>0.175075030703805</c:v>
                </c:pt>
                <c:pt idx="162">
                  <c:v>0.173898867434683</c:v>
                </c:pt>
                <c:pt idx="163">
                  <c:v>0.173356062697822</c:v>
                </c:pt>
                <c:pt idx="164">
                  <c:v>0.168514610003308</c:v>
                </c:pt>
                <c:pt idx="165">
                  <c:v>0.176058793133121</c:v>
                </c:pt>
                <c:pt idx="166">
                  <c:v>0.174202814258481</c:v>
                </c:pt>
                <c:pt idx="167">
                  <c:v>0.168896882381398</c:v>
                </c:pt>
                <c:pt idx="168">
                  <c:v>0.16530202998379</c:v>
                </c:pt>
                <c:pt idx="169">
                  <c:v>0.160396823426813</c:v>
                </c:pt>
                <c:pt idx="170">
                  <c:v>0.156427794417244</c:v>
                </c:pt>
                <c:pt idx="171">
                  <c:v>0.151738152996354</c:v>
                </c:pt>
                <c:pt idx="172">
                  <c:v>0.152711943492722</c:v>
                </c:pt>
                <c:pt idx="173">
                  <c:v>0.148290701233333</c:v>
                </c:pt>
                <c:pt idx="174">
                  <c:v>0.143835360612845</c:v>
                </c:pt>
                <c:pt idx="175">
                  <c:v>0.139736955996008</c:v>
                </c:pt>
                <c:pt idx="176">
                  <c:v>0.135872532549823</c:v>
                </c:pt>
                <c:pt idx="177">
                  <c:v>0.133082525914111</c:v>
                </c:pt>
                <c:pt idx="178">
                  <c:v>0.134434098131169</c:v>
                </c:pt>
                <c:pt idx="179">
                  <c:v>0.13429491504875</c:v>
                </c:pt>
                <c:pt idx="180">
                  <c:v>0.133736641465395</c:v>
                </c:pt>
                <c:pt idx="181">
                  <c:v>0.131651815516855</c:v>
                </c:pt>
                <c:pt idx="182">
                  <c:v>0.128714931842281</c:v>
                </c:pt>
                <c:pt idx="183">
                  <c:v>0.125429684535335</c:v>
                </c:pt>
                <c:pt idx="184">
                  <c:v>0.122806315798815</c:v>
                </c:pt>
                <c:pt idx="185">
                  <c:v>0.119119425112093</c:v>
                </c:pt>
                <c:pt idx="186">
                  <c:v>0.119895394727309</c:v>
                </c:pt>
                <c:pt idx="187">
                  <c:v>0.116402972654078</c:v>
                </c:pt>
                <c:pt idx="188">
                  <c:v>0.113198727149771</c:v>
                </c:pt>
                <c:pt idx="189">
                  <c:v>0.110388813356916</c:v>
                </c:pt>
                <c:pt idx="190">
                  <c:v>0.107073978115037</c:v>
                </c:pt>
                <c:pt idx="191">
                  <c:v>0.10450365172441</c:v>
                </c:pt>
                <c:pt idx="192">
                  <c:v>0.104682123975217</c:v>
                </c:pt>
                <c:pt idx="193">
                  <c:v>0.101720372252157</c:v>
                </c:pt>
                <c:pt idx="194">
                  <c:v>0.0991595696451937</c:v>
                </c:pt>
                <c:pt idx="195">
                  <c:v>0.0978414897646132</c:v>
                </c:pt>
                <c:pt idx="196">
                  <c:v>0.0951406033453904</c:v>
                </c:pt>
                <c:pt idx="197">
                  <c:v>0.0922423223646969</c:v>
                </c:pt>
                <c:pt idx="198">
                  <c:v>0.0901303466246841</c:v>
                </c:pt>
                <c:pt idx="199">
                  <c:v>0.087662168397446</c:v>
                </c:pt>
                <c:pt idx="200">
                  <c:v>0.08534716540981</c:v>
                </c:pt>
                <c:pt idx="201">
                  <c:v>0.0832569841025945</c:v>
                </c:pt>
                <c:pt idx="202">
                  <c:v>0.0836707075292834</c:v>
                </c:pt>
                <c:pt idx="203">
                  <c:v>0.0826754377838724</c:v>
                </c:pt>
                <c:pt idx="204">
                  <c:v>0.0812356181745752</c:v>
                </c:pt>
                <c:pt idx="205">
                  <c:v>0.0802770236187907</c:v>
                </c:pt>
                <c:pt idx="206">
                  <c:v>0.0778473783822538</c:v>
                </c:pt>
                <c:pt idx="207">
                  <c:v>0.0905224648196795</c:v>
                </c:pt>
                <c:pt idx="208">
                  <c:v>0.088547390823871</c:v>
                </c:pt>
                <c:pt idx="209">
                  <c:v>0.0884676047724287</c:v>
                </c:pt>
                <c:pt idx="210">
                  <c:v>0.0860499764448181</c:v>
                </c:pt>
                <c:pt idx="211">
                  <c:v>0.0834345945317623</c:v>
                </c:pt>
                <c:pt idx="212">
                  <c:v>0.0809467359227919</c:v>
                </c:pt>
                <c:pt idx="213">
                  <c:v>0.0787976850573711</c:v>
                </c:pt>
                <c:pt idx="214">
                  <c:v>0.0779247652332932</c:v>
                </c:pt>
                <c:pt idx="215">
                  <c:v>0.080325313535389</c:v>
                </c:pt>
                <c:pt idx="216">
                  <c:v>0.09036221100408</c:v>
                </c:pt>
                <c:pt idx="217">
                  <c:v>0.0883861413191381</c:v>
                </c:pt>
                <c:pt idx="218">
                  <c:v>0.0857661202561543</c:v>
                </c:pt>
                <c:pt idx="219">
                  <c:v>0.0832630538124971</c:v>
                </c:pt>
                <c:pt idx="220">
                  <c:v>0.0807281033988848</c:v>
                </c:pt>
                <c:pt idx="221">
                  <c:v>0.0790010760985551</c:v>
                </c:pt>
                <c:pt idx="222">
                  <c:v>0.0778752523857026</c:v>
                </c:pt>
                <c:pt idx="223">
                  <c:v>0.0755370333047234</c:v>
                </c:pt>
                <c:pt idx="224">
                  <c:v>0.0736483799520731</c:v>
                </c:pt>
                <c:pt idx="225">
                  <c:v>0.0728032133932642</c:v>
                </c:pt>
                <c:pt idx="226">
                  <c:v>0.0744288882525131</c:v>
                </c:pt>
                <c:pt idx="227">
                  <c:v>0.0748374629316178</c:v>
                </c:pt>
                <c:pt idx="228">
                  <c:v>0.072613567945938</c:v>
                </c:pt>
                <c:pt idx="229">
                  <c:v>0.0711975553259574</c:v>
                </c:pt>
                <c:pt idx="230">
                  <c:v>0.0733372258055259</c:v>
                </c:pt>
                <c:pt idx="231">
                  <c:v>0.0720312105082872</c:v>
                </c:pt>
                <c:pt idx="232">
                  <c:v>0.0699707216392375</c:v>
                </c:pt>
                <c:pt idx="233">
                  <c:v>0.0678578027583354</c:v>
                </c:pt>
                <c:pt idx="234">
                  <c:v>0.0657959580459321</c:v>
                </c:pt>
                <c:pt idx="235">
                  <c:v>0.0643348916181635</c:v>
                </c:pt>
                <c:pt idx="236">
                  <c:v>0.063713267065344</c:v>
                </c:pt>
                <c:pt idx="237">
                  <c:v>0.0617741546281685</c:v>
                </c:pt>
                <c:pt idx="238">
                  <c:v>0.0605405242222221</c:v>
                </c:pt>
                <c:pt idx="239">
                  <c:v>0.0587388246370713</c:v>
                </c:pt>
                <c:pt idx="240">
                  <c:v>0.0571777509548213</c:v>
                </c:pt>
                <c:pt idx="241">
                  <c:v>0.0728912905545169</c:v>
                </c:pt>
                <c:pt idx="242">
                  <c:v>0.0706992008516462</c:v>
                </c:pt>
                <c:pt idx="243">
                  <c:v>0.0689673965166702</c:v>
                </c:pt>
                <c:pt idx="244">
                  <c:v>0.0691049677453562</c:v>
                </c:pt>
                <c:pt idx="245">
                  <c:v>0.0720324970041731</c:v>
                </c:pt>
                <c:pt idx="246">
                  <c:v>0.0772707546323289</c:v>
                </c:pt>
                <c:pt idx="247">
                  <c:v>0.0756539279016392</c:v>
                </c:pt>
                <c:pt idx="248">
                  <c:v>0.0733625061056102</c:v>
                </c:pt>
                <c:pt idx="249">
                  <c:v>0.0711492010660054</c:v>
                </c:pt>
                <c:pt idx="250">
                  <c:v>0.074765774148911</c:v>
                </c:pt>
                <c:pt idx="251">
                  <c:v>0.0757894802249574</c:v>
                </c:pt>
                <c:pt idx="252">
                  <c:v>0.0799994128520824</c:v>
                </c:pt>
                <c:pt idx="253">
                  <c:v>0.0860874528779632</c:v>
                </c:pt>
                <c:pt idx="254">
                  <c:v>0.0850902292884626</c:v>
                </c:pt>
                <c:pt idx="255">
                  <c:v>0.0845549685926342</c:v>
                </c:pt>
                <c:pt idx="256">
                  <c:v>0.0837805157226783</c:v>
                </c:pt>
                <c:pt idx="257">
                  <c:v>0.0915640116918418</c:v>
                </c:pt>
                <c:pt idx="258">
                  <c:v>0.0992237998894489</c:v>
                </c:pt>
                <c:pt idx="259">
                  <c:v>0.0969636172418219</c:v>
                </c:pt>
                <c:pt idx="260">
                  <c:v>0.0940239108273626</c:v>
                </c:pt>
                <c:pt idx="261">
                  <c:v>0.0913756921082851</c:v>
                </c:pt>
                <c:pt idx="262">
                  <c:v>0.0972065898777509</c:v>
                </c:pt>
                <c:pt idx="263">
                  <c:v>0.101397014692018</c:v>
                </c:pt>
                <c:pt idx="264">
                  <c:v>0.10329244158521</c:v>
                </c:pt>
                <c:pt idx="265">
                  <c:v>0.10893686725168</c:v>
                </c:pt>
                <c:pt idx="266">
                  <c:v>0.106232062111474</c:v>
                </c:pt>
                <c:pt idx="267">
                  <c:v>0.105267463519599</c:v>
                </c:pt>
                <c:pt idx="268">
                  <c:v>0.102086190763017</c:v>
                </c:pt>
                <c:pt idx="269">
                  <c:v>0.101921442845924</c:v>
                </c:pt>
                <c:pt idx="270">
                  <c:v>0.100007889024537</c:v>
                </c:pt>
                <c:pt idx="271">
                  <c:v>0.106298271199087</c:v>
                </c:pt>
                <c:pt idx="272">
                  <c:v>0.109820634647564</c:v>
                </c:pt>
                <c:pt idx="273">
                  <c:v>0.108045501861157</c:v>
                </c:pt>
                <c:pt idx="274">
                  <c:v>0.10524685983018</c:v>
                </c:pt>
                <c:pt idx="275">
                  <c:v>0.106171487653395</c:v>
                </c:pt>
                <c:pt idx="276">
                  <c:v>0.105409467082195</c:v>
                </c:pt>
                <c:pt idx="277">
                  <c:v>0.140084383780898</c:v>
                </c:pt>
                <c:pt idx="278">
                  <c:v>0.140160421237964</c:v>
                </c:pt>
                <c:pt idx="279">
                  <c:v>0.13589791740005</c:v>
                </c:pt>
                <c:pt idx="280">
                  <c:v>0.132812268155754</c:v>
                </c:pt>
                <c:pt idx="281">
                  <c:v>0.128810875916953</c:v>
                </c:pt>
                <c:pt idx="282">
                  <c:v>0.126897066075126</c:v>
                </c:pt>
                <c:pt idx="283">
                  <c:v>0.132890055552588</c:v>
                </c:pt>
                <c:pt idx="284">
                  <c:v>0.130146578206609</c:v>
                </c:pt>
                <c:pt idx="285">
                  <c:v>0.130502889422081</c:v>
                </c:pt>
                <c:pt idx="286">
                  <c:v>0.126941080389987</c:v>
                </c:pt>
                <c:pt idx="287">
                  <c:v>0.125199861287897</c:v>
                </c:pt>
                <c:pt idx="288">
                  <c:v>0.134753405990097</c:v>
                </c:pt>
                <c:pt idx="289">
                  <c:v>0.131949477612465</c:v>
                </c:pt>
                <c:pt idx="290">
                  <c:v>0.129756146772386</c:v>
                </c:pt>
                <c:pt idx="291">
                  <c:v>0.127025966087204</c:v>
                </c:pt>
                <c:pt idx="292">
                  <c:v>0.129730820467309</c:v>
                </c:pt>
                <c:pt idx="293">
                  <c:v>0.131621042714558</c:v>
                </c:pt>
                <c:pt idx="294">
                  <c:v>0.13134486763853</c:v>
                </c:pt>
                <c:pt idx="295">
                  <c:v>0.149178447990975</c:v>
                </c:pt>
                <c:pt idx="296">
                  <c:v>0.149275664240649</c:v>
                </c:pt>
                <c:pt idx="297">
                  <c:v>0.145486273842226</c:v>
                </c:pt>
                <c:pt idx="298">
                  <c:v>0.141201382978489</c:v>
                </c:pt>
                <c:pt idx="299">
                  <c:v>0.13779702627087</c:v>
                </c:pt>
                <c:pt idx="300">
                  <c:v>0.135222541281957</c:v>
                </c:pt>
                <c:pt idx="301">
                  <c:v>0.135184332645723</c:v>
                </c:pt>
                <c:pt idx="302">
                  <c:v>0.131071395703226</c:v>
                </c:pt>
                <c:pt idx="303">
                  <c:v>0.168337702842064</c:v>
                </c:pt>
                <c:pt idx="304">
                  <c:v>0.172964263656647</c:v>
                </c:pt>
                <c:pt idx="305">
                  <c:v>0.168953695188862</c:v>
                </c:pt>
                <c:pt idx="306">
                  <c:v>0.18259445697332</c:v>
                </c:pt>
                <c:pt idx="307">
                  <c:v>0.183646766403867</c:v>
                </c:pt>
                <c:pt idx="308">
                  <c:v>0.206656608448088</c:v>
                </c:pt>
                <c:pt idx="309">
                  <c:v>0.210913609588155</c:v>
                </c:pt>
                <c:pt idx="310">
                  <c:v>0.213665196263096</c:v>
                </c:pt>
                <c:pt idx="311">
                  <c:v>0.207675960853965</c:v>
                </c:pt>
                <c:pt idx="312">
                  <c:v>0.201674561543554</c:v>
                </c:pt>
                <c:pt idx="313">
                  <c:v>0.196601160425066</c:v>
                </c:pt>
                <c:pt idx="314">
                  <c:v>0.190694326886962</c:v>
                </c:pt>
                <c:pt idx="315">
                  <c:v>0.198149014280852</c:v>
                </c:pt>
                <c:pt idx="316">
                  <c:v>0.193735877122942</c:v>
                </c:pt>
                <c:pt idx="317">
                  <c:v>0.192013759202653</c:v>
                </c:pt>
                <c:pt idx="318">
                  <c:v>0.19925692552998</c:v>
                </c:pt>
                <c:pt idx="319">
                  <c:v>0.234432250421194</c:v>
                </c:pt>
                <c:pt idx="320">
                  <c:v>0.236175641815833</c:v>
                </c:pt>
                <c:pt idx="321">
                  <c:v>0.230425451322956</c:v>
                </c:pt>
                <c:pt idx="322">
                  <c:v>0.226149010447217</c:v>
                </c:pt>
                <c:pt idx="323">
                  <c:v>0.228742192363434</c:v>
                </c:pt>
                <c:pt idx="324">
                  <c:v>0.221976068285207</c:v>
                </c:pt>
                <c:pt idx="325">
                  <c:v>0.222994648393058</c:v>
                </c:pt>
                <c:pt idx="326">
                  <c:v>0.274463280617289</c:v>
                </c:pt>
                <c:pt idx="327">
                  <c:v>0.270865282437587</c:v>
                </c:pt>
                <c:pt idx="328">
                  <c:v>0.263693043126687</c:v>
                </c:pt>
                <c:pt idx="329">
                  <c:v>0.258360814766145</c:v>
                </c:pt>
                <c:pt idx="330">
                  <c:v>0.251239989647082</c:v>
                </c:pt>
                <c:pt idx="331">
                  <c:v>0.287448529273877</c:v>
                </c:pt>
                <c:pt idx="332">
                  <c:v>0.278847580017425</c:v>
                </c:pt>
                <c:pt idx="333">
                  <c:v>0.28039366116092</c:v>
                </c:pt>
                <c:pt idx="334">
                  <c:v>0.272122031827721</c:v>
                </c:pt>
                <c:pt idx="335">
                  <c:v>0.286344456665158</c:v>
                </c:pt>
                <c:pt idx="336">
                  <c:v>0.286002816704684</c:v>
                </c:pt>
                <c:pt idx="337">
                  <c:v>0.285148137440887</c:v>
                </c:pt>
                <c:pt idx="338">
                  <c:v>0.276638777735623</c:v>
                </c:pt>
                <c:pt idx="339">
                  <c:v>0.268504787345887</c:v>
                </c:pt>
                <c:pt idx="340">
                  <c:v>0.260553739254174</c:v>
                </c:pt>
                <c:pt idx="341">
                  <c:v>0.25923710172405</c:v>
                </c:pt>
                <c:pt idx="342">
                  <c:v>0.270709799559765</c:v>
                </c:pt>
                <c:pt idx="343">
                  <c:v>0.263613025467893</c:v>
                </c:pt>
                <c:pt idx="344">
                  <c:v>0.256680894176596</c:v>
                </c:pt>
                <c:pt idx="345">
                  <c:v>0.249514816305886</c:v>
                </c:pt>
                <c:pt idx="346">
                  <c:v>0.24266724633625</c:v>
                </c:pt>
                <c:pt idx="347">
                  <c:v>0.235864980310831</c:v>
                </c:pt>
                <c:pt idx="348">
                  <c:v>0.229421954257578</c:v>
                </c:pt>
                <c:pt idx="349">
                  <c:v>0.233835086003987</c:v>
                </c:pt>
                <c:pt idx="350">
                  <c:v>0.228577601796925</c:v>
                </c:pt>
                <c:pt idx="351">
                  <c:v>0.281821479830812</c:v>
                </c:pt>
                <c:pt idx="352">
                  <c:v>0.273708106516775</c:v>
                </c:pt>
                <c:pt idx="353">
                  <c:v>0.266384889326704</c:v>
                </c:pt>
                <c:pt idx="354">
                  <c:v>0.258639773030725</c:v>
                </c:pt>
                <c:pt idx="355">
                  <c:v>0.25159351670195</c:v>
                </c:pt>
                <c:pt idx="356">
                  <c:v>0.244053744377321</c:v>
                </c:pt>
                <c:pt idx="357">
                  <c:v>0.236632773854262</c:v>
                </c:pt>
                <c:pt idx="358">
                  <c:v>0.237754959259971</c:v>
                </c:pt>
                <c:pt idx="359">
                  <c:v>0.230515001330564</c:v>
                </c:pt>
                <c:pt idx="360">
                  <c:v>0.240710437041054</c:v>
                </c:pt>
                <c:pt idx="361">
                  <c:v>0.244853749702699</c:v>
                </c:pt>
                <c:pt idx="362">
                  <c:v>0.257589158568955</c:v>
                </c:pt>
                <c:pt idx="363">
                  <c:v>0.250143190874008</c:v>
                </c:pt>
                <c:pt idx="364">
                  <c:v>0.253273841944433</c:v>
                </c:pt>
                <c:pt idx="365">
                  <c:v>0.249864348291126</c:v>
                </c:pt>
                <c:pt idx="366">
                  <c:v>0.244489274541667</c:v>
                </c:pt>
                <c:pt idx="367">
                  <c:v>0.238532955485845</c:v>
                </c:pt>
                <c:pt idx="368">
                  <c:v>0.231280958447841</c:v>
                </c:pt>
                <c:pt idx="369">
                  <c:v>0.230948294160982</c:v>
                </c:pt>
                <c:pt idx="370">
                  <c:v>0.2257766010278</c:v>
                </c:pt>
                <c:pt idx="371">
                  <c:v>0.233654780280725</c:v>
                </c:pt>
                <c:pt idx="372">
                  <c:v>0.229449080675571</c:v>
                </c:pt>
                <c:pt idx="373">
                  <c:v>0.222994548285402</c:v>
                </c:pt>
                <c:pt idx="374">
                  <c:v>0.216932978278902</c:v>
                </c:pt>
                <c:pt idx="375">
                  <c:v>0.210437531934506</c:v>
                </c:pt>
                <c:pt idx="376">
                  <c:v>0.205040800093619</c:v>
                </c:pt>
                <c:pt idx="377">
                  <c:v>0.228523127526081</c:v>
                </c:pt>
                <c:pt idx="378">
                  <c:v>0.244713279627905</c:v>
                </c:pt>
                <c:pt idx="379">
                  <c:v>0.245460576371341</c:v>
                </c:pt>
                <c:pt idx="380">
                  <c:v>0.251204430677549</c:v>
                </c:pt>
                <c:pt idx="381">
                  <c:v>0.245060729291226</c:v>
                </c:pt>
                <c:pt idx="382">
                  <c:v>0.238602794826245</c:v>
                </c:pt>
                <c:pt idx="383">
                  <c:v>0.231431505283292</c:v>
                </c:pt>
                <c:pt idx="384">
                  <c:v>0.226187512564802</c:v>
                </c:pt>
                <c:pt idx="385">
                  <c:v>0.221458897713594</c:v>
                </c:pt>
                <c:pt idx="386">
                  <c:v>0.22143036986616</c:v>
                </c:pt>
                <c:pt idx="387">
                  <c:v>0.215639126522944</c:v>
                </c:pt>
                <c:pt idx="388">
                  <c:v>0.246194219993355</c:v>
                </c:pt>
                <c:pt idx="389">
                  <c:v>0.239267741771685</c:v>
                </c:pt>
                <c:pt idx="390">
                  <c:v>0.241578598803982</c:v>
                </c:pt>
                <c:pt idx="391">
                  <c:v>0.252752607509619</c:v>
                </c:pt>
                <c:pt idx="392">
                  <c:v>0.245496877038292</c:v>
                </c:pt>
                <c:pt idx="393">
                  <c:v>0.248075932990967</c:v>
                </c:pt>
                <c:pt idx="394">
                  <c:v>0.248382469403044</c:v>
                </c:pt>
                <c:pt idx="395">
                  <c:v>0.255587192795983</c:v>
                </c:pt>
                <c:pt idx="396">
                  <c:v>0.248927370125051</c:v>
                </c:pt>
                <c:pt idx="397">
                  <c:v>0.282085624803967</c:v>
                </c:pt>
                <c:pt idx="398">
                  <c:v>0.286253636047734</c:v>
                </c:pt>
                <c:pt idx="399">
                  <c:v>0.277733263910653</c:v>
                </c:pt>
                <c:pt idx="400">
                  <c:v>0.270860119353029</c:v>
                </c:pt>
                <c:pt idx="401">
                  <c:v>0.272315427299019</c:v>
                </c:pt>
                <c:pt idx="402">
                  <c:v>0.26408058594628</c:v>
                </c:pt>
                <c:pt idx="403">
                  <c:v>0.256347018915968</c:v>
                </c:pt>
                <c:pt idx="404">
                  <c:v>0.248552137527025</c:v>
                </c:pt>
                <c:pt idx="405">
                  <c:v>0.24141795901029</c:v>
                </c:pt>
                <c:pt idx="406">
                  <c:v>0.234868074275793</c:v>
                </c:pt>
                <c:pt idx="407">
                  <c:v>0.231144257718092</c:v>
                </c:pt>
                <c:pt idx="408">
                  <c:v>0.224234244190006</c:v>
                </c:pt>
                <c:pt idx="409">
                  <c:v>0.224735764976477</c:v>
                </c:pt>
                <c:pt idx="410">
                  <c:v>0.220158556916198</c:v>
                </c:pt>
                <c:pt idx="411">
                  <c:v>0.213464294321967</c:v>
                </c:pt>
                <c:pt idx="412">
                  <c:v>0.207795205275367</c:v>
                </c:pt>
                <c:pt idx="413">
                  <c:v>0.204999600628419</c:v>
                </c:pt>
                <c:pt idx="414">
                  <c:v>0.205684391464355</c:v>
                </c:pt>
                <c:pt idx="415">
                  <c:v>0.200444383167375</c:v>
                </c:pt>
                <c:pt idx="416">
                  <c:v>0.200476278385595</c:v>
                </c:pt>
                <c:pt idx="417">
                  <c:v>0.195584235610987</c:v>
                </c:pt>
                <c:pt idx="418">
                  <c:v>0.191055706957463</c:v>
                </c:pt>
                <c:pt idx="419">
                  <c:v>0.185662080153612</c:v>
                </c:pt>
                <c:pt idx="420">
                  <c:v>0.184190198494425</c:v>
                </c:pt>
                <c:pt idx="421">
                  <c:v>0.202687330895367</c:v>
                </c:pt>
                <c:pt idx="422">
                  <c:v>0.198503391863228</c:v>
                </c:pt>
                <c:pt idx="423">
                  <c:v>0.195487617861593</c:v>
                </c:pt>
                <c:pt idx="424">
                  <c:v>0.189596868769971</c:v>
                </c:pt>
                <c:pt idx="425">
                  <c:v>0.188401890354097</c:v>
                </c:pt>
                <c:pt idx="426">
                  <c:v>0.18284710014627</c:v>
                </c:pt>
                <c:pt idx="427">
                  <c:v>0.177599281607822</c:v>
                </c:pt>
                <c:pt idx="428">
                  <c:v>0.174788353675676</c:v>
                </c:pt>
                <c:pt idx="429">
                  <c:v>0.181416551106027</c:v>
                </c:pt>
                <c:pt idx="430">
                  <c:v>0.181673451329153</c:v>
                </c:pt>
                <c:pt idx="431">
                  <c:v>0.185959274904119</c:v>
                </c:pt>
                <c:pt idx="432">
                  <c:v>0.181430689578206</c:v>
                </c:pt>
                <c:pt idx="433">
                  <c:v>0.179502480325314</c:v>
                </c:pt>
                <c:pt idx="434">
                  <c:v>0.174444445816803</c:v>
                </c:pt>
                <c:pt idx="435">
                  <c:v>0.171914112411505</c:v>
                </c:pt>
                <c:pt idx="436">
                  <c:v>0.167773851841264</c:v>
                </c:pt>
                <c:pt idx="437">
                  <c:v>0.163472048787827</c:v>
                </c:pt>
                <c:pt idx="438">
                  <c:v>0.15985328802691</c:v>
                </c:pt>
                <c:pt idx="439">
                  <c:v>0.155203174747573</c:v>
                </c:pt>
                <c:pt idx="440">
                  <c:v>0.21875692154193</c:v>
                </c:pt>
                <c:pt idx="441">
                  <c:v>0.218832724432819</c:v>
                </c:pt>
                <c:pt idx="442">
                  <c:v>0.219701550525999</c:v>
                </c:pt>
                <c:pt idx="443">
                  <c:v>0.224961097318535</c:v>
                </c:pt>
                <c:pt idx="444">
                  <c:v>0.221921831958828</c:v>
                </c:pt>
                <c:pt idx="445">
                  <c:v>0.218070138227039</c:v>
                </c:pt>
                <c:pt idx="446">
                  <c:v>0.216548953624964</c:v>
                </c:pt>
                <c:pt idx="447">
                  <c:v>0.210012586190968</c:v>
                </c:pt>
                <c:pt idx="448">
                  <c:v>0.210649398798914</c:v>
                </c:pt>
                <c:pt idx="449">
                  <c:v>0.204396135131538</c:v>
                </c:pt>
                <c:pt idx="450">
                  <c:v>0.198691474467155</c:v>
                </c:pt>
                <c:pt idx="451">
                  <c:v>0.192872146089298</c:v>
                </c:pt>
                <c:pt idx="452">
                  <c:v>0.189169175440234</c:v>
                </c:pt>
                <c:pt idx="453">
                  <c:v>0.183467050489041</c:v>
                </c:pt>
                <c:pt idx="454">
                  <c:v>0.179143956269329</c:v>
                </c:pt>
                <c:pt idx="455">
                  <c:v>0.174317381522014</c:v>
                </c:pt>
                <c:pt idx="456">
                  <c:v>0.169336319750392</c:v>
                </c:pt>
                <c:pt idx="457">
                  <c:v>0.171816222939958</c:v>
                </c:pt>
                <c:pt idx="458">
                  <c:v>0.166582831193467</c:v>
                </c:pt>
                <c:pt idx="459">
                  <c:v>0.164859497122631</c:v>
                </c:pt>
                <c:pt idx="460">
                  <c:v>0.170948583978147</c:v>
                </c:pt>
                <c:pt idx="461">
                  <c:v>0.16935302681779</c:v>
                </c:pt>
                <c:pt idx="462">
                  <c:v>0.169358972351127</c:v>
                </c:pt>
                <c:pt idx="463">
                  <c:v>0.164480969719208</c:v>
                </c:pt>
                <c:pt idx="464">
                  <c:v>0.164524080796192</c:v>
                </c:pt>
                <c:pt idx="465">
                  <c:v>0.162344091651779</c:v>
                </c:pt>
                <c:pt idx="466">
                  <c:v>0.159901471133641</c:v>
                </c:pt>
                <c:pt idx="467">
                  <c:v>0.155117041461123</c:v>
                </c:pt>
                <c:pt idx="468">
                  <c:v>0.150418843847647</c:v>
                </c:pt>
                <c:pt idx="469">
                  <c:v>0.146006785903522</c:v>
                </c:pt>
                <c:pt idx="470">
                  <c:v>0.142347976883562</c:v>
                </c:pt>
                <c:pt idx="471">
                  <c:v>0.144090685729789</c:v>
                </c:pt>
                <c:pt idx="472">
                  <c:v>0.140254254277589</c:v>
                </c:pt>
                <c:pt idx="473">
                  <c:v>0.138575485406248</c:v>
                </c:pt>
                <c:pt idx="474">
                  <c:v>0.134445954952126</c:v>
                </c:pt>
                <c:pt idx="475">
                  <c:v>0.141645390449969</c:v>
                </c:pt>
                <c:pt idx="476">
                  <c:v>0.137414384244311</c:v>
                </c:pt>
                <c:pt idx="477">
                  <c:v>0.152703019377056</c:v>
                </c:pt>
                <c:pt idx="478">
                  <c:v>0.148496629722821</c:v>
                </c:pt>
                <c:pt idx="479">
                  <c:v>0.158205647562766</c:v>
                </c:pt>
                <c:pt idx="480">
                  <c:v>0.155173690121592</c:v>
                </c:pt>
                <c:pt idx="481">
                  <c:v>0.152476423327621</c:v>
                </c:pt>
                <c:pt idx="482">
                  <c:v>0.19162453275172</c:v>
                </c:pt>
                <c:pt idx="483">
                  <c:v>0.196081083471574</c:v>
                </c:pt>
                <c:pt idx="484">
                  <c:v>0.199850789380485</c:v>
                </c:pt>
                <c:pt idx="485">
                  <c:v>0.194305039887698</c:v>
                </c:pt>
                <c:pt idx="486">
                  <c:v>0.19037582441032</c:v>
                </c:pt>
                <c:pt idx="487">
                  <c:v>0.186832427960771</c:v>
                </c:pt>
                <c:pt idx="488">
                  <c:v>0.197508988946153</c:v>
                </c:pt>
                <c:pt idx="489">
                  <c:v>0.19267415969024</c:v>
                </c:pt>
                <c:pt idx="490">
                  <c:v>0.188146551836758</c:v>
                </c:pt>
                <c:pt idx="491">
                  <c:v>0.19011242804639</c:v>
                </c:pt>
                <c:pt idx="492">
                  <c:v>0.194480342906454</c:v>
                </c:pt>
                <c:pt idx="493">
                  <c:v>0.192621642888424</c:v>
                </c:pt>
                <c:pt idx="494">
                  <c:v>0.189662650387981</c:v>
                </c:pt>
                <c:pt idx="495">
                  <c:v>0.185348895442788</c:v>
                </c:pt>
                <c:pt idx="496">
                  <c:v>0.179822786157272</c:v>
                </c:pt>
                <c:pt idx="497">
                  <c:v>0.175746999881953</c:v>
                </c:pt>
                <c:pt idx="498">
                  <c:v>0.173201807494337</c:v>
                </c:pt>
                <c:pt idx="499">
                  <c:v>0.167929799018434</c:v>
                </c:pt>
                <c:pt idx="500">
                  <c:v>0.164292013379953</c:v>
                </c:pt>
                <c:pt idx="501">
                  <c:v>0.159603385585191</c:v>
                </c:pt>
                <c:pt idx="502">
                  <c:v>0.157051523128531</c:v>
                </c:pt>
                <c:pt idx="503">
                  <c:v>0.152272267162979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Volatillik!G6</c:f>
              <c:strCache>
                <c:ptCount val="1"/>
                <c:pt idx="0">
                  <c:v>20 kunlik σ yillik</c:v>
                </c:pt>
              </c:strCache>
            </c:strRef>
          </c:tx>
          <c:spPr>
            <a:solidFill>
              <a:srgbClr val="be4b48"/>
            </a:solidFill>
            <a:ln w="151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Volatillik!$A$7:$A$510</c:f>
              <c:strCache>
                <c:ptCount val="504"/>
                <c:pt idx="0">
                  <c:v>03.01.2024</c:v>
                </c:pt>
                <c:pt idx="1">
                  <c:v>04.01.2024</c:v>
                </c:pt>
                <c:pt idx="2">
                  <c:v>05.01.2024</c:v>
                </c:pt>
                <c:pt idx="3">
                  <c:v>08.01.2024</c:v>
                </c:pt>
                <c:pt idx="4">
                  <c:v>09.01.2024</c:v>
                </c:pt>
                <c:pt idx="5">
                  <c:v>10.01.2024</c:v>
                </c:pt>
                <c:pt idx="6">
                  <c:v>11.01.2024</c:v>
                </c:pt>
                <c:pt idx="7">
                  <c:v>12.01.2024</c:v>
                </c:pt>
                <c:pt idx="8">
                  <c:v>15.01.2024</c:v>
                </c:pt>
                <c:pt idx="9">
                  <c:v>16.01.2024</c:v>
                </c:pt>
                <c:pt idx="10">
                  <c:v>17.01.2024</c:v>
                </c:pt>
                <c:pt idx="11">
                  <c:v>18.01.2024</c:v>
                </c:pt>
                <c:pt idx="12">
                  <c:v>19.01.2024</c:v>
                </c:pt>
                <c:pt idx="13">
                  <c:v>22.01.2024</c:v>
                </c:pt>
                <c:pt idx="14">
                  <c:v>23.01.2024</c:v>
                </c:pt>
                <c:pt idx="15">
                  <c:v>24.01.2024</c:v>
                </c:pt>
                <c:pt idx="16">
                  <c:v>25.01.2024</c:v>
                </c:pt>
                <c:pt idx="17">
                  <c:v>26.01.2024</c:v>
                </c:pt>
                <c:pt idx="18">
                  <c:v>29.01.2024</c:v>
                </c:pt>
                <c:pt idx="19">
                  <c:v>30.01.2024</c:v>
                </c:pt>
                <c:pt idx="20">
                  <c:v>31.01.2024</c:v>
                </c:pt>
                <c:pt idx="21">
                  <c:v>01.02.2024</c:v>
                </c:pt>
                <c:pt idx="22">
                  <c:v>02.02.2024</c:v>
                </c:pt>
                <c:pt idx="23">
                  <c:v>05.02.2024</c:v>
                </c:pt>
                <c:pt idx="24">
                  <c:v>06.02.2024</c:v>
                </c:pt>
                <c:pt idx="25">
                  <c:v>07.02.2024</c:v>
                </c:pt>
                <c:pt idx="26">
                  <c:v>08.02.2024</c:v>
                </c:pt>
                <c:pt idx="27">
                  <c:v>09.02.2024</c:v>
                </c:pt>
                <c:pt idx="28">
                  <c:v>12.02.2024</c:v>
                </c:pt>
                <c:pt idx="29">
                  <c:v>13.02.2024</c:v>
                </c:pt>
                <c:pt idx="30">
                  <c:v>14.02.2024</c:v>
                </c:pt>
                <c:pt idx="31">
                  <c:v>15.02.2024</c:v>
                </c:pt>
                <c:pt idx="32">
                  <c:v>16.02.2024</c:v>
                </c:pt>
                <c:pt idx="33">
                  <c:v>19.02.2024</c:v>
                </c:pt>
                <c:pt idx="34">
                  <c:v>20.02.2024</c:v>
                </c:pt>
                <c:pt idx="35">
                  <c:v>21.02.2024</c:v>
                </c:pt>
                <c:pt idx="36">
                  <c:v>22.02.2024</c:v>
                </c:pt>
                <c:pt idx="37">
                  <c:v>23.02.2024</c:v>
                </c:pt>
                <c:pt idx="38">
                  <c:v>26.02.2024</c:v>
                </c:pt>
                <c:pt idx="39">
                  <c:v>27.02.2024</c:v>
                </c:pt>
                <c:pt idx="40">
                  <c:v>28.02.2024</c:v>
                </c:pt>
                <c:pt idx="41">
                  <c:v>29.02.2024</c:v>
                </c:pt>
                <c:pt idx="42">
                  <c:v>01.03.2024</c:v>
                </c:pt>
                <c:pt idx="43">
                  <c:v>04.03.2024</c:v>
                </c:pt>
                <c:pt idx="44">
                  <c:v>05.03.2024</c:v>
                </c:pt>
                <c:pt idx="45">
                  <c:v>06.03.2024</c:v>
                </c:pt>
                <c:pt idx="46">
                  <c:v>07.03.2024</c:v>
                </c:pt>
                <c:pt idx="47">
                  <c:v>08.03.2024</c:v>
                </c:pt>
                <c:pt idx="48">
                  <c:v>11.03.2024</c:v>
                </c:pt>
                <c:pt idx="49">
                  <c:v>12.03.2024</c:v>
                </c:pt>
                <c:pt idx="50">
                  <c:v>13.03.2024</c:v>
                </c:pt>
                <c:pt idx="51">
                  <c:v>14.03.2024</c:v>
                </c:pt>
                <c:pt idx="52">
                  <c:v>15.03.2024</c:v>
                </c:pt>
                <c:pt idx="53">
                  <c:v>18.03.2024</c:v>
                </c:pt>
                <c:pt idx="54">
                  <c:v>19.03.2024</c:v>
                </c:pt>
                <c:pt idx="55">
                  <c:v>20.03.2024</c:v>
                </c:pt>
                <c:pt idx="56">
                  <c:v>21.03.2024</c:v>
                </c:pt>
                <c:pt idx="57">
                  <c:v>22.03.2024</c:v>
                </c:pt>
                <c:pt idx="58">
                  <c:v>25.03.2024</c:v>
                </c:pt>
                <c:pt idx="59">
                  <c:v>26.03.2024</c:v>
                </c:pt>
                <c:pt idx="60">
                  <c:v>27.03.2024</c:v>
                </c:pt>
                <c:pt idx="61">
                  <c:v>28.03.2024</c:v>
                </c:pt>
                <c:pt idx="62">
                  <c:v>29.03.2024</c:v>
                </c:pt>
                <c:pt idx="63">
                  <c:v>01.04.2024</c:v>
                </c:pt>
                <c:pt idx="64">
                  <c:v>02.04.2024</c:v>
                </c:pt>
                <c:pt idx="65">
                  <c:v>03.04.2024</c:v>
                </c:pt>
                <c:pt idx="66">
                  <c:v>04.04.2024</c:v>
                </c:pt>
                <c:pt idx="67">
                  <c:v>05.04.2024</c:v>
                </c:pt>
                <c:pt idx="68">
                  <c:v>08.04.2024</c:v>
                </c:pt>
                <c:pt idx="69">
                  <c:v>09.04.2024</c:v>
                </c:pt>
                <c:pt idx="70">
                  <c:v>10.04.2024</c:v>
                </c:pt>
                <c:pt idx="71">
                  <c:v>11.04.2024</c:v>
                </c:pt>
                <c:pt idx="72">
                  <c:v>12.04.2024</c:v>
                </c:pt>
                <c:pt idx="73">
                  <c:v>15.04.2024</c:v>
                </c:pt>
                <c:pt idx="74">
                  <c:v>16.04.2024</c:v>
                </c:pt>
                <c:pt idx="75">
                  <c:v>17.04.2024</c:v>
                </c:pt>
                <c:pt idx="76">
                  <c:v>18.04.2024</c:v>
                </c:pt>
                <c:pt idx="77">
                  <c:v>19.04.2024</c:v>
                </c:pt>
                <c:pt idx="78">
                  <c:v>22.04.2024</c:v>
                </c:pt>
                <c:pt idx="79">
                  <c:v>23.04.2024</c:v>
                </c:pt>
                <c:pt idx="80">
                  <c:v>24.04.2024</c:v>
                </c:pt>
                <c:pt idx="81">
                  <c:v>25.04.2024</c:v>
                </c:pt>
                <c:pt idx="82">
                  <c:v>26.04.2024</c:v>
                </c:pt>
                <c:pt idx="83">
                  <c:v>29.04.2024</c:v>
                </c:pt>
                <c:pt idx="84">
                  <c:v>30.04.2024</c:v>
                </c:pt>
                <c:pt idx="85">
                  <c:v>01.05.2024</c:v>
                </c:pt>
                <c:pt idx="86">
                  <c:v>02.05.2024</c:v>
                </c:pt>
                <c:pt idx="87">
                  <c:v>03.05.2024</c:v>
                </c:pt>
                <c:pt idx="88">
                  <c:v>06.05.2024</c:v>
                </c:pt>
                <c:pt idx="89">
                  <c:v>07.05.2024</c:v>
                </c:pt>
                <c:pt idx="90">
                  <c:v>08.05.2024</c:v>
                </c:pt>
                <c:pt idx="91">
                  <c:v>09.05.2024</c:v>
                </c:pt>
                <c:pt idx="92">
                  <c:v>10.05.2024</c:v>
                </c:pt>
                <c:pt idx="93">
                  <c:v>13.05.2024</c:v>
                </c:pt>
                <c:pt idx="94">
                  <c:v>14.05.2024</c:v>
                </c:pt>
                <c:pt idx="95">
                  <c:v>15.05.2024</c:v>
                </c:pt>
                <c:pt idx="96">
                  <c:v>16.05.2024</c:v>
                </c:pt>
                <c:pt idx="97">
                  <c:v>17.05.2024</c:v>
                </c:pt>
                <c:pt idx="98">
                  <c:v>20.05.2024</c:v>
                </c:pt>
                <c:pt idx="99">
                  <c:v>21.05.2024</c:v>
                </c:pt>
                <c:pt idx="100">
                  <c:v>22.05.2024</c:v>
                </c:pt>
                <c:pt idx="101">
                  <c:v>23.05.2024</c:v>
                </c:pt>
                <c:pt idx="102">
                  <c:v>24.05.2024</c:v>
                </c:pt>
                <c:pt idx="103">
                  <c:v>27.05.2024</c:v>
                </c:pt>
                <c:pt idx="104">
                  <c:v>28.05.2024</c:v>
                </c:pt>
                <c:pt idx="105">
                  <c:v>29.05.2024</c:v>
                </c:pt>
                <c:pt idx="106">
                  <c:v>30.05.2024</c:v>
                </c:pt>
                <c:pt idx="107">
                  <c:v>31.05.2024</c:v>
                </c:pt>
                <c:pt idx="108">
                  <c:v>03.06.2024</c:v>
                </c:pt>
                <c:pt idx="109">
                  <c:v>04.06.2024</c:v>
                </c:pt>
                <c:pt idx="110">
                  <c:v>05.06.2024</c:v>
                </c:pt>
                <c:pt idx="111">
                  <c:v>06.06.2024</c:v>
                </c:pt>
                <c:pt idx="112">
                  <c:v>07.06.2024</c:v>
                </c:pt>
                <c:pt idx="113">
                  <c:v>10.06.2024</c:v>
                </c:pt>
                <c:pt idx="114">
                  <c:v>11.06.2024</c:v>
                </c:pt>
                <c:pt idx="115">
                  <c:v>12.06.2024</c:v>
                </c:pt>
                <c:pt idx="116">
                  <c:v>13.06.2024</c:v>
                </c:pt>
                <c:pt idx="117">
                  <c:v>14.06.2024</c:v>
                </c:pt>
                <c:pt idx="118">
                  <c:v>17.06.2024</c:v>
                </c:pt>
                <c:pt idx="119">
                  <c:v>18.06.2024</c:v>
                </c:pt>
                <c:pt idx="120">
                  <c:v>19.06.2024</c:v>
                </c:pt>
                <c:pt idx="121">
                  <c:v>20.06.2024</c:v>
                </c:pt>
                <c:pt idx="122">
                  <c:v>21.06.2024</c:v>
                </c:pt>
                <c:pt idx="123">
                  <c:v>24.06.2024</c:v>
                </c:pt>
                <c:pt idx="124">
                  <c:v>25.06.2024</c:v>
                </c:pt>
                <c:pt idx="125">
                  <c:v>26.06.2024</c:v>
                </c:pt>
                <c:pt idx="126">
                  <c:v>27.06.2024</c:v>
                </c:pt>
                <c:pt idx="127">
                  <c:v>28.06.2024</c:v>
                </c:pt>
                <c:pt idx="128">
                  <c:v>01.07.2024</c:v>
                </c:pt>
                <c:pt idx="129">
                  <c:v>02.07.2024</c:v>
                </c:pt>
                <c:pt idx="130">
                  <c:v>03.07.2024</c:v>
                </c:pt>
                <c:pt idx="131">
                  <c:v>04.07.2024</c:v>
                </c:pt>
                <c:pt idx="132">
                  <c:v>05.07.2024</c:v>
                </c:pt>
                <c:pt idx="133">
                  <c:v>08.07.2024</c:v>
                </c:pt>
                <c:pt idx="134">
                  <c:v>09.07.2024</c:v>
                </c:pt>
                <c:pt idx="135">
                  <c:v>10.07.2024</c:v>
                </c:pt>
                <c:pt idx="136">
                  <c:v>11.07.2024</c:v>
                </c:pt>
                <c:pt idx="137">
                  <c:v>12.07.2024</c:v>
                </c:pt>
                <c:pt idx="138">
                  <c:v>15.07.2024</c:v>
                </c:pt>
                <c:pt idx="139">
                  <c:v>16.07.2024</c:v>
                </c:pt>
                <c:pt idx="140">
                  <c:v>17.07.2024</c:v>
                </c:pt>
                <c:pt idx="141">
                  <c:v>18.07.2024</c:v>
                </c:pt>
                <c:pt idx="142">
                  <c:v>19.07.2024</c:v>
                </c:pt>
                <c:pt idx="143">
                  <c:v>22.07.2024</c:v>
                </c:pt>
                <c:pt idx="144">
                  <c:v>23.07.2024</c:v>
                </c:pt>
                <c:pt idx="145">
                  <c:v>24.07.2024</c:v>
                </c:pt>
                <c:pt idx="146">
                  <c:v>25.07.2024</c:v>
                </c:pt>
                <c:pt idx="147">
                  <c:v>26.07.2024</c:v>
                </c:pt>
                <c:pt idx="148">
                  <c:v>29.07.2024</c:v>
                </c:pt>
                <c:pt idx="149">
                  <c:v>30.07.2024</c:v>
                </c:pt>
                <c:pt idx="150">
                  <c:v>31.07.2024</c:v>
                </c:pt>
                <c:pt idx="151">
                  <c:v>01.08.2024</c:v>
                </c:pt>
                <c:pt idx="152">
                  <c:v>02.08.2024</c:v>
                </c:pt>
                <c:pt idx="153">
                  <c:v>05.08.2024</c:v>
                </c:pt>
                <c:pt idx="154">
                  <c:v>06.08.2024</c:v>
                </c:pt>
                <c:pt idx="155">
                  <c:v>07.08.2024</c:v>
                </c:pt>
                <c:pt idx="156">
                  <c:v>08.08.2024</c:v>
                </c:pt>
                <c:pt idx="157">
                  <c:v>09.08.2024</c:v>
                </c:pt>
                <c:pt idx="158">
                  <c:v>12.08.2024</c:v>
                </c:pt>
                <c:pt idx="159">
                  <c:v>13.08.2024</c:v>
                </c:pt>
                <c:pt idx="160">
                  <c:v>14.08.2024</c:v>
                </c:pt>
                <c:pt idx="161">
                  <c:v>15.08.2024</c:v>
                </c:pt>
                <c:pt idx="162">
                  <c:v>16.08.2024</c:v>
                </c:pt>
                <c:pt idx="163">
                  <c:v>19.08.2024</c:v>
                </c:pt>
                <c:pt idx="164">
                  <c:v>20.08.2024</c:v>
                </c:pt>
                <c:pt idx="165">
                  <c:v>21.08.2024</c:v>
                </c:pt>
                <c:pt idx="166">
                  <c:v>22.08.2024</c:v>
                </c:pt>
                <c:pt idx="167">
                  <c:v>23.08.2024</c:v>
                </c:pt>
                <c:pt idx="168">
                  <c:v>26.08.2024</c:v>
                </c:pt>
                <c:pt idx="169">
                  <c:v>27.08.2024</c:v>
                </c:pt>
                <c:pt idx="170">
                  <c:v>28.08.2024</c:v>
                </c:pt>
                <c:pt idx="171">
                  <c:v>29.08.2024</c:v>
                </c:pt>
                <c:pt idx="172">
                  <c:v>30.08.2024</c:v>
                </c:pt>
                <c:pt idx="173">
                  <c:v>02.09.2024</c:v>
                </c:pt>
                <c:pt idx="174">
                  <c:v>03.09.2024</c:v>
                </c:pt>
                <c:pt idx="175">
                  <c:v>04.09.2024</c:v>
                </c:pt>
                <c:pt idx="176">
                  <c:v>05.09.2024</c:v>
                </c:pt>
                <c:pt idx="177">
                  <c:v>06.09.2024</c:v>
                </c:pt>
                <c:pt idx="178">
                  <c:v>09.09.2024</c:v>
                </c:pt>
                <c:pt idx="179">
                  <c:v>10.09.2024</c:v>
                </c:pt>
                <c:pt idx="180">
                  <c:v>11.09.2024</c:v>
                </c:pt>
                <c:pt idx="181">
                  <c:v>12.09.2024</c:v>
                </c:pt>
                <c:pt idx="182">
                  <c:v>13.09.2024</c:v>
                </c:pt>
                <c:pt idx="183">
                  <c:v>16.09.2024</c:v>
                </c:pt>
                <c:pt idx="184">
                  <c:v>17.09.2024</c:v>
                </c:pt>
                <c:pt idx="185">
                  <c:v>18.09.2024</c:v>
                </c:pt>
                <c:pt idx="186">
                  <c:v>19.09.2024</c:v>
                </c:pt>
                <c:pt idx="187">
                  <c:v>20.09.2024</c:v>
                </c:pt>
                <c:pt idx="188">
                  <c:v>23.09.2024</c:v>
                </c:pt>
                <c:pt idx="189">
                  <c:v>24.09.2024</c:v>
                </c:pt>
                <c:pt idx="190">
                  <c:v>25.09.2024</c:v>
                </c:pt>
                <c:pt idx="191">
                  <c:v>26.09.2024</c:v>
                </c:pt>
                <c:pt idx="192">
                  <c:v>27.09.2024</c:v>
                </c:pt>
                <c:pt idx="193">
                  <c:v>30.09.2024</c:v>
                </c:pt>
                <c:pt idx="194">
                  <c:v>01.10.2024</c:v>
                </c:pt>
                <c:pt idx="195">
                  <c:v>02.10.2024</c:v>
                </c:pt>
                <c:pt idx="196">
                  <c:v>03.10.2024</c:v>
                </c:pt>
                <c:pt idx="197">
                  <c:v>04.10.2024</c:v>
                </c:pt>
                <c:pt idx="198">
                  <c:v>07.10.2024</c:v>
                </c:pt>
                <c:pt idx="199">
                  <c:v>08.10.2024</c:v>
                </c:pt>
                <c:pt idx="200">
                  <c:v>09.10.2024</c:v>
                </c:pt>
                <c:pt idx="201">
                  <c:v>10.10.2024</c:v>
                </c:pt>
                <c:pt idx="202">
                  <c:v>11.10.2024</c:v>
                </c:pt>
                <c:pt idx="203">
                  <c:v>14.10.2024</c:v>
                </c:pt>
                <c:pt idx="204">
                  <c:v>15.10.2024</c:v>
                </c:pt>
                <c:pt idx="205">
                  <c:v>16.10.2024</c:v>
                </c:pt>
                <c:pt idx="206">
                  <c:v>17.10.2024</c:v>
                </c:pt>
                <c:pt idx="207">
                  <c:v>18.10.2024</c:v>
                </c:pt>
                <c:pt idx="208">
                  <c:v>21.10.2024</c:v>
                </c:pt>
                <c:pt idx="209">
                  <c:v>22.10.2024</c:v>
                </c:pt>
                <c:pt idx="210">
                  <c:v>23.10.2024</c:v>
                </c:pt>
                <c:pt idx="211">
                  <c:v>24.10.2024</c:v>
                </c:pt>
                <c:pt idx="212">
                  <c:v>25.10.2024</c:v>
                </c:pt>
                <c:pt idx="213">
                  <c:v>28.10.2024</c:v>
                </c:pt>
                <c:pt idx="214">
                  <c:v>29.10.2024</c:v>
                </c:pt>
                <c:pt idx="215">
                  <c:v>30.10.2024</c:v>
                </c:pt>
                <c:pt idx="216">
                  <c:v>31.10.2024</c:v>
                </c:pt>
                <c:pt idx="217">
                  <c:v>01.11.2024</c:v>
                </c:pt>
                <c:pt idx="218">
                  <c:v>04.11.2024</c:v>
                </c:pt>
                <c:pt idx="219">
                  <c:v>05.11.2024</c:v>
                </c:pt>
                <c:pt idx="220">
                  <c:v>06.11.2024</c:v>
                </c:pt>
                <c:pt idx="221">
                  <c:v>07.11.2024</c:v>
                </c:pt>
                <c:pt idx="222">
                  <c:v>08.11.2024</c:v>
                </c:pt>
                <c:pt idx="223">
                  <c:v>11.11.2024</c:v>
                </c:pt>
                <c:pt idx="224">
                  <c:v>12.11.2024</c:v>
                </c:pt>
                <c:pt idx="225">
                  <c:v>13.11.2024</c:v>
                </c:pt>
                <c:pt idx="226">
                  <c:v>14.11.2024</c:v>
                </c:pt>
                <c:pt idx="227">
                  <c:v>15.11.2024</c:v>
                </c:pt>
                <c:pt idx="228">
                  <c:v>18.11.2024</c:v>
                </c:pt>
                <c:pt idx="229">
                  <c:v>19.11.2024</c:v>
                </c:pt>
                <c:pt idx="230">
                  <c:v>20.11.2024</c:v>
                </c:pt>
                <c:pt idx="231">
                  <c:v>21.11.2024</c:v>
                </c:pt>
                <c:pt idx="232">
                  <c:v>22.11.2024</c:v>
                </c:pt>
                <c:pt idx="233">
                  <c:v>25.11.2024</c:v>
                </c:pt>
                <c:pt idx="234">
                  <c:v>26.11.2024</c:v>
                </c:pt>
                <c:pt idx="235">
                  <c:v>27.11.2024</c:v>
                </c:pt>
                <c:pt idx="236">
                  <c:v>28.11.2024</c:v>
                </c:pt>
                <c:pt idx="237">
                  <c:v>29.11.2024</c:v>
                </c:pt>
                <c:pt idx="238">
                  <c:v>02.12.2024</c:v>
                </c:pt>
                <c:pt idx="239">
                  <c:v>03.12.2024</c:v>
                </c:pt>
                <c:pt idx="240">
                  <c:v>04.12.2024</c:v>
                </c:pt>
                <c:pt idx="241">
                  <c:v>05.12.2024</c:v>
                </c:pt>
                <c:pt idx="242">
                  <c:v>06.12.2024</c:v>
                </c:pt>
                <c:pt idx="243">
                  <c:v>09.12.2024</c:v>
                </c:pt>
                <c:pt idx="244">
                  <c:v>10.12.2024</c:v>
                </c:pt>
                <c:pt idx="245">
                  <c:v>11.12.2024</c:v>
                </c:pt>
                <c:pt idx="246">
                  <c:v>12.12.2024</c:v>
                </c:pt>
                <c:pt idx="247">
                  <c:v>13.12.2024</c:v>
                </c:pt>
                <c:pt idx="248">
                  <c:v>16.12.2024</c:v>
                </c:pt>
                <c:pt idx="249">
                  <c:v>17.12.2024</c:v>
                </c:pt>
                <c:pt idx="250">
                  <c:v>18.12.2024</c:v>
                </c:pt>
                <c:pt idx="251">
                  <c:v>19.12.2024</c:v>
                </c:pt>
                <c:pt idx="252">
                  <c:v>20.12.2024</c:v>
                </c:pt>
                <c:pt idx="253">
                  <c:v>23.12.2024</c:v>
                </c:pt>
                <c:pt idx="254">
                  <c:v>24.12.2024</c:v>
                </c:pt>
                <c:pt idx="255">
                  <c:v>25.12.2024</c:v>
                </c:pt>
                <c:pt idx="256">
                  <c:v>26.12.2024</c:v>
                </c:pt>
                <c:pt idx="257">
                  <c:v>27.12.2024</c:v>
                </c:pt>
                <c:pt idx="258">
                  <c:v>30.12.2024</c:v>
                </c:pt>
                <c:pt idx="259">
                  <c:v>31.12.2024</c:v>
                </c:pt>
                <c:pt idx="260">
                  <c:v>01.01.2025</c:v>
                </c:pt>
                <c:pt idx="261">
                  <c:v>02.01.2025</c:v>
                </c:pt>
                <c:pt idx="262">
                  <c:v>03.01.2025</c:v>
                </c:pt>
                <c:pt idx="263">
                  <c:v>06.01.2025</c:v>
                </c:pt>
                <c:pt idx="264">
                  <c:v>07.01.2025</c:v>
                </c:pt>
                <c:pt idx="265">
                  <c:v>08.01.2025</c:v>
                </c:pt>
                <c:pt idx="266">
                  <c:v>09.01.2025</c:v>
                </c:pt>
                <c:pt idx="267">
                  <c:v>10.01.2025</c:v>
                </c:pt>
                <c:pt idx="268">
                  <c:v>13.01.2025</c:v>
                </c:pt>
                <c:pt idx="269">
                  <c:v>14.01.2025</c:v>
                </c:pt>
                <c:pt idx="270">
                  <c:v>15.01.2025</c:v>
                </c:pt>
                <c:pt idx="271">
                  <c:v>16.01.2025</c:v>
                </c:pt>
                <c:pt idx="272">
                  <c:v>17.01.2025</c:v>
                </c:pt>
                <c:pt idx="273">
                  <c:v>20.01.2025</c:v>
                </c:pt>
                <c:pt idx="274">
                  <c:v>21.01.2025</c:v>
                </c:pt>
                <c:pt idx="275">
                  <c:v>22.01.2025</c:v>
                </c:pt>
                <c:pt idx="276">
                  <c:v>23.01.2025</c:v>
                </c:pt>
                <c:pt idx="277">
                  <c:v>24.01.2025</c:v>
                </c:pt>
                <c:pt idx="278">
                  <c:v>27.01.2025</c:v>
                </c:pt>
                <c:pt idx="279">
                  <c:v>28.01.2025</c:v>
                </c:pt>
                <c:pt idx="280">
                  <c:v>29.01.2025</c:v>
                </c:pt>
                <c:pt idx="281">
                  <c:v>30.01.2025</c:v>
                </c:pt>
                <c:pt idx="282">
                  <c:v>31.01.2025</c:v>
                </c:pt>
                <c:pt idx="283">
                  <c:v>03.02.2025</c:v>
                </c:pt>
                <c:pt idx="284">
                  <c:v>04.02.2025</c:v>
                </c:pt>
                <c:pt idx="285">
                  <c:v>05.02.2025</c:v>
                </c:pt>
                <c:pt idx="286">
                  <c:v>06.02.2025</c:v>
                </c:pt>
                <c:pt idx="287">
                  <c:v>07.02.2025</c:v>
                </c:pt>
                <c:pt idx="288">
                  <c:v>10.02.2025</c:v>
                </c:pt>
                <c:pt idx="289">
                  <c:v>11.02.2025</c:v>
                </c:pt>
                <c:pt idx="290">
                  <c:v>12.02.2025</c:v>
                </c:pt>
                <c:pt idx="291">
                  <c:v>13.02.2025</c:v>
                </c:pt>
                <c:pt idx="292">
                  <c:v>14.02.2025</c:v>
                </c:pt>
                <c:pt idx="293">
                  <c:v>17.02.2025</c:v>
                </c:pt>
                <c:pt idx="294">
                  <c:v>18.02.2025</c:v>
                </c:pt>
                <c:pt idx="295">
                  <c:v>19.02.2025</c:v>
                </c:pt>
                <c:pt idx="296">
                  <c:v>20.02.2025</c:v>
                </c:pt>
                <c:pt idx="297">
                  <c:v>21.02.2025</c:v>
                </c:pt>
                <c:pt idx="298">
                  <c:v>24.02.2025</c:v>
                </c:pt>
                <c:pt idx="299">
                  <c:v>25.02.2025</c:v>
                </c:pt>
                <c:pt idx="300">
                  <c:v>26.02.2025</c:v>
                </c:pt>
                <c:pt idx="301">
                  <c:v>27.02.2025</c:v>
                </c:pt>
                <c:pt idx="302">
                  <c:v>28.02.2025</c:v>
                </c:pt>
                <c:pt idx="303">
                  <c:v>03.03.2025</c:v>
                </c:pt>
                <c:pt idx="304">
                  <c:v>04.03.2025</c:v>
                </c:pt>
                <c:pt idx="305">
                  <c:v>05.03.2025</c:v>
                </c:pt>
                <c:pt idx="306">
                  <c:v>06.03.2025</c:v>
                </c:pt>
                <c:pt idx="307">
                  <c:v>07.03.2025</c:v>
                </c:pt>
                <c:pt idx="308">
                  <c:v>10.03.2025</c:v>
                </c:pt>
                <c:pt idx="309">
                  <c:v>11.03.2025</c:v>
                </c:pt>
                <c:pt idx="310">
                  <c:v>12.03.2025</c:v>
                </c:pt>
                <c:pt idx="311">
                  <c:v>13.03.2025</c:v>
                </c:pt>
                <c:pt idx="312">
                  <c:v>14.03.2025</c:v>
                </c:pt>
                <c:pt idx="313">
                  <c:v>17.03.2025</c:v>
                </c:pt>
                <c:pt idx="314">
                  <c:v>18.03.2025</c:v>
                </c:pt>
                <c:pt idx="315">
                  <c:v>19.03.2025</c:v>
                </c:pt>
                <c:pt idx="316">
                  <c:v>20.03.2025</c:v>
                </c:pt>
                <c:pt idx="317">
                  <c:v>21.03.2025</c:v>
                </c:pt>
                <c:pt idx="318">
                  <c:v>24.03.2025</c:v>
                </c:pt>
                <c:pt idx="319">
                  <c:v>25.03.2025</c:v>
                </c:pt>
                <c:pt idx="320">
                  <c:v>26.03.2025</c:v>
                </c:pt>
                <c:pt idx="321">
                  <c:v>27.03.2025</c:v>
                </c:pt>
                <c:pt idx="322">
                  <c:v>28.03.2025</c:v>
                </c:pt>
                <c:pt idx="323">
                  <c:v>31.03.2025</c:v>
                </c:pt>
                <c:pt idx="324">
                  <c:v>01.04.2025</c:v>
                </c:pt>
                <c:pt idx="325">
                  <c:v>02.04.2025</c:v>
                </c:pt>
                <c:pt idx="326">
                  <c:v>03.04.2025</c:v>
                </c:pt>
                <c:pt idx="327">
                  <c:v>04.04.2025</c:v>
                </c:pt>
                <c:pt idx="328">
                  <c:v>07.04.2025</c:v>
                </c:pt>
                <c:pt idx="329">
                  <c:v>08.04.2025</c:v>
                </c:pt>
                <c:pt idx="330">
                  <c:v>09.04.2025</c:v>
                </c:pt>
                <c:pt idx="331">
                  <c:v>10.04.2025</c:v>
                </c:pt>
                <c:pt idx="332">
                  <c:v>11.04.2025</c:v>
                </c:pt>
                <c:pt idx="333">
                  <c:v>14.04.2025</c:v>
                </c:pt>
                <c:pt idx="334">
                  <c:v>15.04.2025</c:v>
                </c:pt>
                <c:pt idx="335">
                  <c:v>16.04.2025</c:v>
                </c:pt>
                <c:pt idx="336">
                  <c:v>17.04.2025</c:v>
                </c:pt>
                <c:pt idx="337">
                  <c:v>18.04.2025</c:v>
                </c:pt>
                <c:pt idx="338">
                  <c:v>21.04.2025</c:v>
                </c:pt>
                <c:pt idx="339">
                  <c:v>22.04.2025</c:v>
                </c:pt>
                <c:pt idx="340">
                  <c:v>23.04.2025</c:v>
                </c:pt>
                <c:pt idx="341">
                  <c:v>24.04.2025</c:v>
                </c:pt>
                <c:pt idx="342">
                  <c:v>25.04.2025</c:v>
                </c:pt>
                <c:pt idx="343">
                  <c:v>28.04.2025</c:v>
                </c:pt>
                <c:pt idx="344">
                  <c:v>29.04.2025</c:v>
                </c:pt>
                <c:pt idx="345">
                  <c:v>30.04.2025</c:v>
                </c:pt>
                <c:pt idx="346">
                  <c:v>01.05.2025</c:v>
                </c:pt>
                <c:pt idx="347">
                  <c:v>02.05.2025</c:v>
                </c:pt>
                <c:pt idx="348">
                  <c:v>05.05.2025</c:v>
                </c:pt>
                <c:pt idx="349">
                  <c:v>06.05.2025</c:v>
                </c:pt>
                <c:pt idx="350">
                  <c:v>07.05.2025</c:v>
                </c:pt>
                <c:pt idx="351">
                  <c:v>08.05.2025</c:v>
                </c:pt>
                <c:pt idx="352">
                  <c:v>09.05.2025</c:v>
                </c:pt>
                <c:pt idx="353">
                  <c:v>12.05.2025</c:v>
                </c:pt>
                <c:pt idx="354">
                  <c:v>13.05.2025</c:v>
                </c:pt>
                <c:pt idx="355">
                  <c:v>14.05.2025</c:v>
                </c:pt>
                <c:pt idx="356">
                  <c:v>15.05.2025</c:v>
                </c:pt>
                <c:pt idx="357">
                  <c:v>16.05.2025</c:v>
                </c:pt>
                <c:pt idx="358">
                  <c:v>19.05.2025</c:v>
                </c:pt>
                <c:pt idx="359">
                  <c:v>20.05.2025</c:v>
                </c:pt>
                <c:pt idx="360">
                  <c:v>21.05.2025</c:v>
                </c:pt>
                <c:pt idx="361">
                  <c:v>22.05.2025</c:v>
                </c:pt>
                <c:pt idx="362">
                  <c:v>23.05.2025</c:v>
                </c:pt>
                <c:pt idx="363">
                  <c:v>26.05.2025</c:v>
                </c:pt>
                <c:pt idx="364">
                  <c:v>27.05.2025</c:v>
                </c:pt>
                <c:pt idx="365">
                  <c:v>28.05.2025</c:v>
                </c:pt>
                <c:pt idx="366">
                  <c:v>29.05.2025</c:v>
                </c:pt>
                <c:pt idx="367">
                  <c:v>30.05.2025</c:v>
                </c:pt>
                <c:pt idx="368">
                  <c:v>02.06.2025</c:v>
                </c:pt>
                <c:pt idx="369">
                  <c:v>03.06.2025</c:v>
                </c:pt>
                <c:pt idx="370">
                  <c:v>04.06.2025</c:v>
                </c:pt>
                <c:pt idx="371">
                  <c:v>05.06.2025</c:v>
                </c:pt>
                <c:pt idx="372">
                  <c:v>06.06.2025</c:v>
                </c:pt>
                <c:pt idx="373">
                  <c:v>09.06.2025</c:v>
                </c:pt>
                <c:pt idx="374">
                  <c:v>10.06.2025</c:v>
                </c:pt>
                <c:pt idx="375">
                  <c:v>11.06.2025</c:v>
                </c:pt>
                <c:pt idx="376">
                  <c:v>12.06.2025</c:v>
                </c:pt>
                <c:pt idx="377">
                  <c:v>13.06.2025</c:v>
                </c:pt>
                <c:pt idx="378">
                  <c:v>16.06.2025</c:v>
                </c:pt>
                <c:pt idx="379">
                  <c:v>17.06.2025</c:v>
                </c:pt>
                <c:pt idx="380">
                  <c:v>18.06.2025</c:v>
                </c:pt>
                <c:pt idx="381">
                  <c:v>19.06.2025</c:v>
                </c:pt>
                <c:pt idx="382">
                  <c:v>20.06.2025</c:v>
                </c:pt>
                <c:pt idx="383">
                  <c:v>23.06.2025</c:v>
                </c:pt>
                <c:pt idx="384">
                  <c:v>24.06.2025</c:v>
                </c:pt>
                <c:pt idx="385">
                  <c:v>25.06.2025</c:v>
                </c:pt>
                <c:pt idx="386">
                  <c:v>26.06.2025</c:v>
                </c:pt>
                <c:pt idx="387">
                  <c:v>27.06.2025</c:v>
                </c:pt>
                <c:pt idx="388">
                  <c:v>30.06.2025</c:v>
                </c:pt>
                <c:pt idx="389">
                  <c:v>01.07.2025</c:v>
                </c:pt>
                <c:pt idx="390">
                  <c:v>02.07.2025</c:v>
                </c:pt>
                <c:pt idx="391">
                  <c:v>03.07.2025</c:v>
                </c:pt>
                <c:pt idx="392">
                  <c:v>04.07.2025</c:v>
                </c:pt>
                <c:pt idx="393">
                  <c:v>07.07.2025</c:v>
                </c:pt>
                <c:pt idx="394">
                  <c:v>08.07.2025</c:v>
                </c:pt>
                <c:pt idx="395">
                  <c:v>09.07.2025</c:v>
                </c:pt>
                <c:pt idx="396">
                  <c:v>10.07.2025</c:v>
                </c:pt>
                <c:pt idx="397">
                  <c:v>11.07.2025</c:v>
                </c:pt>
                <c:pt idx="398">
                  <c:v>14.07.2025</c:v>
                </c:pt>
                <c:pt idx="399">
                  <c:v>15.07.2025</c:v>
                </c:pt>
                <c:pt idx="400">
                  <c:v>16.07.2025</c:v>
                </c:pt>
                <c:pt idx="401">
                  <c:v>17.07.2025</c:v>
                </c:pt>
                <c:pt idx="402">
                  <c:v>18.07.2025</c:v>
                </c:pt>
                <c:pt idx="403">
                  <c:v>21.07.2025</c:v>
                </c:pt>
                <c:pt idx="404">
                  <c:v>22.07.2025</c:v>
                </c:pt>
                <c:pt idx="405">
                  <c:v>23.07.2025</c:v>
                </c:pt>
                <c:pt idx="406">
                  <c:v>24.07.2025</c:v>
                </c:pt>
                <c:pt idx="407">
                  <c:v>25.07.2025</c:v>
                </c:pt>
                <c:pt idx="408">
                  <c:v>28.07.2025</c:v>
                </c:pt>
                <c:pt idx="409">
                  <c:v>29.07.2025</c:v>
                </c:pt>
                <c:pt idx="410">
                  <c:v>30.07.2025</c:v>
                </c:pt>
                <c:pt idx="411">
                  <c:v>31.07.2025</c:v>
                </c:pt>
                <c:pt idx="412">
                  <c:v>01.08.2025</c:v>
                </c:pt>
                <c:pt idx="413">
                  <c:v>04.08.2025</c:v>
                </c:pt>
                <c:pt idx="414">
                  <c:v>05.08.2025</c:v>
                </c:pt>
                <c:pt idx="415">
                  <c:v>06.08.2025</c:v>
                </c:pt>
                <c:pt idx="416">
                  <c:v>07.08.2025</c:v>
                </c:pt>
                <c:pt idx="417">
                  <c:v>08.08.2025</c:v>
                </c:pt>
                <c:pt idx="418">
                  <c:v>11.08.2025</c:v>
                </c:pt>
                <c:pt idx="419">
                  <c:v>12.08.2025</c:v>
                </c:pt>
                <c:pt idx="420">
                  <c:v>13.08.2025</c:v>
                </c:pt>
                <c:pt idx="421">
                  <c:v>14.08.2025</c:v>
                </c:pt>
                <c:pt idx="422">
                  <c:v>15.08.2025</c:v>
                </c:pt>
                <c:pt idx="423">
                  <c:v>18.08.2025</c:v>
                </c:pt>
                <c:pt idx="424">
                  <c:v>19.08.2025</c:v>
                </c:pt>
                <c:pt idx="425">
                  <c:v>20.08.2025</c:v>
                </c:pt>
                <c:pt idx="426">
                  <c:v>21.08.2025</c:v>
                </c:pt>
                <c:pt idx="427">
                  <c:v>22.08.2025</c:v>
                </c:pt>
                <c:pt idx="428">
                  <c:v>25.08.2025</c:v>
                </c:pt>
                <c:pt idx="429">
                  <c:v>26.08.2025</c:v>
                </c:pt>
                <c:pt idx="430">
                  <c:v>27.08.2025</c:v>
                </c:pt>
                <c:pt idx="431">
                  <c:v>28.08.2025</c:v>
                </c:pt>
                <c:pt idx="432">
                  <c:v>29.08.2025</c:v>
                </c:pt>
                <c:pt idx="433">
                  <c:v>01.09.2025</c:v>
                </c:pt>
                <c:pt idx="434">
                  <c:v>02.09.2025</c:v>
                </c:pt>
                <c:pt idx="435">
                  <c:v>03.09.2025</c:v>
                </c:pt>
                <c:pt idx="436">
                  <c:v>04.09.2025</c:v>
                </c:pt>
                <c:pt idx="437">
                  <c:v>05.09.2025</c:v>
                </c:pt>
                <c:pt idx="438">
                  <c:v>08.09.2025</c:v>
                </c:pt>
                <c:pt idx="439">
                  <c:v>09.09.2025</c:v>
                </c:pt>
                <c:pt idx="440">
                  <c:v>10.09.2025</c:v>
                </c:pt>
                <c:pt idx="441">
                  <c:v>11.09.2025</c:v>
                </c:pt>
                <c:pt idx="442">
                  <c:v>12.09.2025</c:v>
                </c:pt>
                <c:pt idx="443">
                  <c:v>15.09.2025</c:v>
                </c:pt>
                <c:pt idx="444">
                  <c:v>16.09.2025</c:v>
                </c:pt>
                <c:pt idx="445">
                  <c:v>17.09.2025</c:v>
                </c:pt>
                <c:pt idx="446">
                  <c:v>18.09.2025</c:v>
                </c:pt>
                <c:pt idx="447">
                  <c:v>19.09.2025</c:v>
                </c:pt>
                <c:pt idx="448">
                  <c:v>22.09.2025</c:v>
                </c:pt>
                <c:pt idx="449">
                  <c:v>23.09.2025</c:v>
                </c:pt>
                <c:pt idx="450">
                  <c:v>24.09.2025</c:v>
                </c:pt>
                <c:pt idx="451">
                  <c:v>25.09.2025</c:v>
                </c:pt>
                <c:pt idx="452">
                  <c:v>26.09.2025</c:v>
                </c:pt>
                <c:pt idx="453">
                  <c:v>29.09.2025</c:v>
                </c:pt>
                <c:pt idx="454">
                  <c:v>30.09.2025</c:v>
                </c:pt>
                <c:pt idx="455">
                  <c:v>01.10.2025</c:v>
                </c:pt>
                <c:pt idx="456">
                  <c:v>02.10.2025</c:v>
                </c:pt>
                <c:pt idx="457">
                  <c:v>03.10.2025</c:v>
                </c:pt>
                <c:pt idx="458">
                  <c:v>06.10.2025</c:v>
                </c:pt>
                <c:pt idx="459">
                  <c:v>07.10.2025</c:v>
                </c:pt>
                <c:pt idx="460">
                  <c:v>08.10.2025</c:v>
                </c:pt>
                <c:pt idx="461">
                  <c:v>09.10.2025</c:v>
                </c:pt>
                <c:pt idx="462">
                  <c:v>10.10.2025</c:v>
                </c:pt>
                <c:pt idx="463">
                  <c:v>13.10.2025</c:v>
                </c:pt>
                <c:pt idx="464">
                  <c:v>14.10.2025</c:v>
                </c:pt>
                <c:pt idx="465">
                  <c:v>15.10.2025</c:v>
                </c:pt>
                <c:pt idx="466">
                  <c:v>16.10.2025</c:v>
                </c:pt>
                <c:pt idx="467">
                  <c:v>17.10.2025</c:v>
                </c:pt>
                <c:pt idx="468">
                  <c:v>20.10.2025</c:v>
                </c:pt>
                <c:pt idx="469">
                  <c:v>21.10.2025</c:v>
                </c:pt>
                <c:pt idx="470">
                  <c:v>22.10.2025</c:v>
                </c:pt>
                <c:pt idx="471">
                  <c:v>23.10.2025</c:v>
                </c:pt>
                <c:pt idx="472">
                  <c:v>24.10.2025</c:v>
                </c:pt>
                <c:pt idx="473">
                  <c:v>27.10.2025</c:v>
                </c:pt>
                <c:pt idx="474">
                  <c:v>28.10.2025</c:v>
                </c:pt>
                <c:pt idx="475">
                  <c:v>29.10.2025</c:v>
                </c:pt>
                <c:pt idx="476">
                  <c:v>30.10.2025</c:v>
                </c:pt>
                <c:pt idx="477">
                  <c:v>31.10.2025</c:v>
                </c:pt>
                <c:pt idx="478">
                  <c:v>03.11.2025</c:v>
                </c:pt>
                <c:pt idx="479">
                  <c:v>04.11.2025</c:v>
                </c:pt>
                <c:pt idx="480">
                  <c:v>05.11.2025</c:v>
                </c:pt>
                <c:pt idx="481">
                  <c:v>06.11.2025</c:v>
                </c:pt>
                <c:pt idx="482">
                  <c:v>07.11.2025</c:v>
                </c:pt>
                <c:pt idx="483">
                  <c:v>10.11.2025</c:v>
                </c:pt>
                <c:pt idx="484">
                  <c:v>11.11.2025</c:v>
                </c:pt>
                <c:pt idx="485">
                  <c:v>12.11.2025</c:v>
                </c:pt>
                <c:pt idx="486">
                  <c:v>13.11.2025</c:v>
                </c:pt>
                <c:pt idx="487">
                  <c:v>14.11.2025</c:v>
                </c:pt>
                <c:pt idx="488">
                  <c:v>17.11.2025</c:v>
                </c:pt>
                <c:pt idx="489">
                  <c:v>18.11.2025</c:v>
                </c:pt>
                <c:pt idx="490">
                  <c:v>19.11.2025</c:v>
                </c:pt>
                <c:pt idx="491">
                  <c:v>20.11.2025</c:v>
                </c:pt>
                <c:pt idx="492">
                  <c:v>21.11.2025</c:v>
                </c:pt>
                <c:pt idx="493">
                  <c:v>24.11.2025</c:v>
                </c:pt>
                <c:pt idx="494">
                  <c:v>25.11.2025</c:v>
                </c:pt>
                <c:pt idx="495">
                  <c:v>26.11.2025</c:v>
                </c:pt>
                <c:pt idx="496">
                  <c:v>27.11.2025</c:v>
                </c:pt>
                <c:pt idx="497">
                  <c:v>28.11.2025</c:v>
                </c:pt>
                <c:pt idx="498">
                  <c:v>01.12.2025</c:v>
                </c:pt>
                <c:pt idx="499">
                  <c:v>02.12.2025</c:v>
                </c:pt>
                <c:pt idx="500">
                  <c:v>03.12.2025</c:v>
                </c:pt>
                <c:pt idx="501">
                  <c:v>04.12.2025</c:v>
                </c:pt>
                <c:pt idx="502">
                  <c:v>05.12.2025</c:v>
                </c:pt>
                <c:pt idx="503">
                  <c:v>08.12.2025</c:v>
                </c:pt>
              </c:strCache>
            </c:strRef>
          </c:cat>
          <c:val>
            <c:numRef>
              <c:f>Volatillik!$G$7:$G$510</c:f>
              <c:numCache>
                <c:formatCode>0.00%</c:formatCode>
                <c:ptCount val="504"/>
                <c:pt idx="19">
                  <c:v>0.125299608495642</c:v>
                </c:pt>
                <c:pt idx="20">
                  <c:v>0.124674905513767</c:v>
                </c:pt>
                <c:pt idx="21">
                  <c:v>0.11662644046959</c:v>
                </c:pt>
                <c:pt idx="22">
                  <c:v>0.114227434672971</c:v>
                </c:pt>
                <c:pt idx="23">
                  <c:v>0.11402815260032</c:v>
                </c:pt>
                <c:pt idx="24">
                  <c:v>0.114124448831373</c:v>
                </c:pt>
                <c:pt idx="25">
                  <c:v>0.105723846515345</c:v>
                </c:pt>
                <c:pt idx="26">
                  <c:v>0.0985173603354898</c:v>
                </c:pt>
                <c:pt idx="27">
                  <c:v>0.0823835958374402</c:v>
                </c:pt>
                <c:pt idx="28">
                  <c:v>0.079735944777414</c:v>
                </c:pt>
                <c:pt idx="29">
                  <c:v>0.0829173107167542</c:v>
                </c:pt>
                <c:pt idx="30">
                  <c:v>0.082287167563283</c:v>
                </c:pt>
                <c:pt idx="31">
                  <c:v>0.0846245919340478</c:v>
                </c:pt>
                <c:pt idx="32">
                  <c:v>0.0916361406816376</c:v>
                </c:pt>
                <c:pt idx="33">
                  <c:v>0.0957482410674939</c:v>
                </c:pt>
                <c:pt idx="34">
                  <c:v>0.0957842417699421</c:v>
                </c:pt>
                <c:pt idx="35">
                  <c:v>0.0943364263330816</c:v>
                </c:pt>
                <c:pt idx="36">
                  <c:v>0.184761971104299</c:v>
                </c:pt>
                <c:pt idx="37">
                  <c:v>0.184936274799107</c:v>
                </c:pt>
                <c:pt idx="38">
                  <c:v>0.191297528778341</c:v>
                </c:pt>
                <c:pt idx="39">
                  <c:v>0.19074891893457</c:v>
                </c:pt>
                <c:pt idx="40">
                  <c:v>0.190626833485095</c:v>
                </c:pt>
                <c:pt idx="41">
                  <c:v>0.188145516580182</c:v>
                </c:pt>
                <c:pt idx="42">
                  <c:v>0.187513097452525</c:v>
                </c:pt>
                <c:pt idx="43">
                  <c:v>0.187504198998544</c:v>
                </c:pt>
                <c:pt idx="44">
                  <c:v>0.184908431465608</c:v>
                </c:pt>
                <c:pt idx="45">
                  <c:v>0.230369735256239</c:v>
                </c:pt>
                <c:pt idx="46">
                  <c:v>0.259885347729656</c:v>
                </c:pt>
                <c:pt idx="47">
                  <c:v>0.264149089025031</c:v>
                </c:pt>
                <c:pt idx="48">
                  <c:v>0.303662140314301</c:v>
                </c:pt>
                <c:pt idx="49">
                  <c:v>0.303342272311522</c:v>
                </c:pt>
                <c:pt idx="50">
                  <c:v>0.303856953919294</c:v>
                </c:pt>
                <c:pt idx="51">
                  <c:v>0.308371671906092</c:v>
                </c:pt>
                <c:pt idx="52">
                  <c:v>0.305362191194432</c:v>
                </c:pt>
                <c:pt idx="53">
                  <c:v>0.305931695007454</c:v>
                </c:pt>
                <c:pt idx="54">
                  <c:v>0.310882714432753</c:v>
                </c:pt>
                <c:pt idx="55">
                  <c:v>0.310328531789375</c:v>
                </c:pt>
                <c:pt idx="56">
                  <c:v>0.277364500083232</c:v>
                </c:pt>
                <c:pt idx="57">
                  <c:v>0.2922241714091</c:v>
                </c:pt>
                <c:pt idx="58">
                  <c:v>0.288756681264539</c:v>
                </c:pt>
                <c:pt idx="59">
                  <c:v>0.300253486076973</c:v>
                </c:pt>
                <c:pt idx="60">
                  <c:v>0.310133392023788</c:v>
                </c:pt>
                <c:pt idx="61">
                  <c:v>0.312065648222689</c:v>
                </c:pt>
                <c:pt idx="62">
                  <c:v>0.312840561062585</c:v>
                </c:pt>
                <c:pt idx="63">
                  <c:v>0.380529530177919</c:v>
                </c:pt>
                <c:pt idx="64">
                  <c:v>0.385194593568835</c:v>
                </c:pt>
                <c:pt idx="65">
                  <c:v>0.37946799721536</c:v>
                </c:pt>
                <c:pt idx="66">
                  <c:v>0.359562568423039</c:v>
                </c:pt>
                <c:pt idx="67">
                  <c:v>0.381967004975464</c:v>
                </c:pt>
                <c:pt idx="68">
                  <c:v>0.356211216677193</c:v>
                </c:pt>
                <c:pt idx="69">
                  <c:v>0.366960482175298</c:v>
                </c:pt>
                <c:pt idx="70">
                  <c:v>0.369509086995959</c:v>
                </c:pt>
                <c:pt idx="71">
                  <c:v>0.365622400953018</c:v>
                </c:pt>
                <c:pt idx="72">
                  <c:v>0.366574175305922</c:v>
                </c:pt>
                <c:pt idx="73">
                  <c:v>0.364064663358885</c:v>
                </c:pt>
                <c:pt idx="74">
                  <c:v>0.354486605441301</c:v>
                </c:pt>
                <c:pt idx="75">
                  <c:v>0.354463708677125</c:v>
                </c:pt>
                <c:pt idx="76">
                  <c:v>0.350934005147849</c:v>
                </c:pt>
                <c:pt idx="77">
                  <c:v>0.341110167856308</c:v>
                </c:pt>
                <c:pt idx="78">
                  <c:v>0.350119026205108</c:v>
                </c:pt>
                <c:pt idx="79">
                  <c:v>0.341603792412267</c:v>
                </c:pt>
                <c:pt idx="80">
                  <c:v>0.329824375336461</c:v>
                </c:pt>
                <c:pt idx="81">
                  <c:v>0.332397523609119</c:v>
                </c:pt>
                <c:pt idx="82">
                  <c:v>0.336798584260571</c:v>
                </c:pt>
                <c:pt idx="83">
                  <c:v>0.259030841756632</c:v>
                </c:pt>
                <c:pt idx="84">
                  <c:v>0.25439951774375</c:v>
                </c:pt>
                <c:pt idx="85">
                  <c:v>0.22742771131481</c:v>
                </c:pt>
                <c:pt idx="86">
                  <c:v>0.224573126104138</c:v>
                </c:pt>
                <c:pt idx="87">
                  <c:v>0.184851388292336</c:v>
                </c:pt>
                <c:pt idx="88">
                  <c:v>0.177218420202939</c:v>
                </c:pt>
                <c:pt idx="89">
                  <c:v>0.162651604118481</c:v>
                </c:pt>
                <c:pt idx="90">
                  <c:v>0.155217735790898</c:v>
                </c:pt>
                <c:pt idx="91">
                  <c:v>0.153791813096161</c:v>
                </c:pt>
                <c:pt idx="92">
                  <c:v>0.163390985764803</c:v>
                </c:pt>
                <c:pt idx="93">
                  <c:v>0.159034378389858</c:v>
                </c:pt>
                <c:pt idx="94">
                  <c:v>0.159312349086403</c:v>
                </c:pt>
                <c:pt idx="95">
                  <c:v>0.166367733583323</c:v>
                </c:pt>
                <c:pt idx="96">
                  <c:v>0.167599997040786</c:v>
                </c:pt>
                <c:pt idx="97">
                  <c:v>0.167885284911765</c:v>
                </c:pt>
                <c:pt idx="98">
                  <c:v>0.154326832109744</c:v>
                </c:pt>
                <c:pt idx="99">
                  <c:v>0.151613348701127</c:v>
                </c:pt>
                <c:pt idx="100">
                  <c:v>0.155851288777032</c:v>
                </c:pt>
                <c:pt idx="101">
                  <c:v>0.152885560273395</c:v>
                </c:pt>
                <c:pt idx="102">
                  <c:v>0.144173474944408</c:v>
                </c:pt>
                <c:pt idx="103">
                  <c:v>0.144522744788055</c:v>
                </c:pt>
                <c:pt idx="104">
                  <c:v>0.142196647701099</c:v>
                </c:pt>
                <c:pt idx="105">
                  <c:v>0.14098340316174</c:v>
                </c:pt>
                <c:pt idx="106">
                  <c:v>0.138230786174052</c:v>
                </c:pt>
                <c:pt idx="107">
                  <c:v>0.134180944896206</c:v>
                </c:pt>
                <c:pt idx="108">
                  <c:v>0.133779281534263</c:v>
                </c:pt>
                <c:pt idx="109">
                  <c:v>0.12865902022551</c:v>
                </c:pt>
                <c:pt idx="110">
                  <c:v>0.130342419729488</c:v>
                </c:pt>
                <c:pt idx="111">
                  <c:v>0.136458311889756</c:v>
                </c:pt>
                <c:pt idx="112">
                  <c:v>0.122073572192563</c:v>
                </c:pt>
                <c:pt idx="113">
                  <c:v>0.125054367299478</c:v>
                </c:pt>
                <c:pt idx="114">
                  <c:v>0.164316037334901</c:v>
                </c:pt>
                <c:pt idx="115">
                  <c:v>0.157659010010377</c:v>
                </c:pt>
                <c:pt idx="116">
                  <c:v>0.157648739823828</c:v>
                </c:pt>
                <c:pt idx="117">
                  <c:v>0.151559958077542</c:v>
                </c:pt>
                <c:pt idx="118">
                  <c:v>0.151478942691587</c:v>
                </c:pt>
                <c:pt idx="119">
                  <c:v>0.150068630887477</c:v>
                </c:pt>
                <c:pt idx="120">
                  <c:v>0.165280111921296</c:v>
                </c:pt>
                <c:pt idx="121">
                  <c:v>0.153175420842633</c:v>
                </c:pt>
                <c:pt idx="122">
                  <c:v>0.156234268518875</c:v>
                </c:pt>
                <c:pt idx="123">
                  <c:v>0.157060120011209</c:v>
                </c:pt>
                <c:pt idx="124">
                  <c:v>0.173470483939325</c:v>
                </c:pt>
                <c:pt idx="125">
                  <c:v>0.174647024403741</c:v>
                </c:pt>
                <c:pt idx="126">
                  <c:v>0.174587816819871</c:v>
                </c:pt>
                <c:pt idx="127">
                  <c:v>0.17403875649676</c:v>
                </c:pt>
                <c:pt idx="128">
                  <c:v>0.173088545687923</c:v>
                </c:pt>
                <c:pt idx="129">
                  <c:v>0.186549383291983</c:v>
                </c:pt>
                <c:pt idx="130">
                  <c:v>0.186756652278105</c:v>
                </c:pt>
                <c:pt idx="131">
                  <c:v>0.177368833864373</c:v>
                </c:pt>
                <c:pt idx="132">
                  <c:v>0.189719421189328</c:v>
                </c:pt>
                <c:pt idx="133">
                  <c:v>0.190216777295589</c:v>
                </c:pt>
                <c:pt idx="134">
                  <c:v>0.158785910380777</c:v>
                </c:pt>
                <c:pt idx="135">
                  <c:v>0.144294686863581</c:v>
                </c:pt>
                <c:pt idx="136">
                  <c:v>0.146885567330802</c:v>
                </c:pt>
                <c:pt idx="137">
                  <c:v>0.146235467752389</c:v>
                </c:pt>
                <c:pt idx="138">
                  <c:v>0.141992234060136</c:v>
                </c:pt>
                <c:pt idx="139">
                  <c:v>0.141397033891665</c:v>
                </c:pt>
                <c:pt idx="140">
                  <c:v>0.134787065010139</c:v>
                </c:pt>
                <c:pt idx="141">
                  <c:v>0.135102251844827</c:v>
                </c:pt>
                <c:pt idx="142">
                  <c:v>0.123627256070012</c:v>
                </c:pt>
                <c:pt idx="143">
                  <c:v>0.124617937364204</c:v>
                </c:pt>
                <c:pt idx="144">
                  <c:v>0.131210261004192</c:v>
                </c:pt>
                <c:pt idx="145">
                  <c:v>0.146362418635027</c:v>
                </c:pt>
                <c:pt idx="146">
                  <c:v>0.144942722839521</c:v>
                </c:pt>
                <c:pt idx="147">
                  <c:v>0.149708174597637</c:v>
                </c:pt>
                <c:pt idx="148">
                  <c:v>0.154474947047088</c:v>
                </c:pt>
                <c:pt idx="149">
                  <c:v>0.149539839400302</c:v>
                </c:pt>
                <c:pt idx="150">
                  <c:v>0.151076411484497</c:v>
                </c:pt>
                <c:pt idx="151">
                  <c:v>0.151316470957532</c:v>
                </c:pt>
                <c:pt idx="152">
                  <c:v>0.172067909864489</c:v>
                </c:pt>
                <c:pt idx="153">
                  <c:v>0.176606805276511</c:v>
                </c:pt>
                <c:pt idx="154">
                  <c:v>0.186510784959084</c:v>
                </c:pt>
                <c:pt idx="155">
                  <c:v>0.191998336138167</c:v>
                </c:pt>
                <c:pt idx="156">
                  <c:v>0.188975476732762</c:v>
                </c:pt>
                <c:pt idx="157">
                  <c:v>0.194656779251043</c:v>
                </c:pt>
                <c:pt idx="158">
                  <c:v>0.194610861403793</c:v>
                </c:pt>
                <c:pt idx="159">
                  <c:v>0.191794699804166</c:v>
                </c:pt>
                <c:pt idx="160">
                  <c:v>0.192078558846841</c:v>
                </c:pt>
                <c:pt idx="161">
                  <c:v>0.192904146878305</c:v>
                </c:pt>
                <c:pt idx="162">
                  <c:v>0.194935962334525</c:v>
                </c:pt>
                <c:pt idx="163">
                  <c:v>0.194611077107456</c:v>
                </c:pt>
                <c:pt idx="164">
                  <c:v>0.191091635897695</c:v>
                </c:pt>
                <c:pt idx="165">
                  <c:v>0.182639232971451</c:v>
                </c:pt>
                <c:pt idx="166">
                  <c:v>0.182561452910797</c:v>
                </c:pt>
                <c:pt idx="167">
                  <c:v>0.177391976591474</c:v>
                </c:pt>
                <c:pt idx="168">
                  <c:v>0.172964979854157</c:v>
                </c:pt>
                <c:pt idx="169">
                  <c:v>0.1725096780559</c:v>
                </c:pt>
                <c:pt idx="170">
                  <c:v>0.171337375248836</c:v>
                </c:pt>
                <c:pt idx="171">
                  <c:v>0.173338366156774</c:v>
                </c:pt>
                <c:pt idx="172">
                  <c:v>0.135341439957161</c:v>
                </c:pt>
                <c:pt idx="173">
                  <c:v>0.129283109761336</c:v>
                </c:pt>
                <c:pt idx="174">
                  <c:v>0.115236015496642</c:v>
                </c:pt>
                <c:pt idx="175">
                  <c:v>0.104366217457802</c:v>
                </c:pt>
                <c:pt idx="176">
                  <c:v>0.104188766269635</c:v>
                </c:pt>
                <c:pt idx="177">
                  <c:v>0.101590145964924</c:v>
                </c:pt>
                <c:pt idx="178">
                  <c:v>0.102784196804007</c:v>
                </c:pt>
                <c:pt idx="179">
                  <c:v>0.0981535191674565</c:v>
                </c:pt>
                <c:pt idx="180">
                  <c:v>0.09755263326006</c:v>
                </c:pt>
                <c:pt idx="181">
                  <c:v>0.0993858778212941</c:v>
                </c:pt>
                <c:pt idx="182">
                  <c:v>0.0983758411776577</c:v>
                </c:pt>
                <c:pt idx="183">
                  <c:v>0.0960941030013856</c:v>
                </c:pt>
                <c:pt idx="184">
                  <c:v>0.0818434295973202</c:v>
                </c:pt>
                <c:pt idx="185">
                  <c:v>0.0856454190786084</c:v>
                </c:pt>
                <c:pt idx="186">
                  <c:v>0.086165908109736</c:v>
                </c:pt>
                <c:pt idx="187">
                  <c:v>0.0845592529369015</c:v>
                </c:pt>
                <c:pt idx="188">
                  <c:v>0.084839135989295</c:v>
                </c:pt>
                <c:pt idx="189">
                  <c:v>0.0823821590682976</c:v>
                </c:pt>
                <c:pt idx="190">
                  <c:v>0.0838835436262414</c:v>
                </c:pt>
                <c:pt idx="191">
                  <c:v>0.0806130236046588</c:v>
                </c:pt>
                <c:pt idx="192">
                  <c:v>0.0806076844627453</c:v>
                </c:pt>
                <c:pt idx="193">
                  <c:v>0.0809788015502094</c:v>
                </c:pt>
                <c:pt idx="194">
                  <c:v>0.0822004612182795</c:v>
                </c:pt>
                <c:pt idx="195">
                  <c:v>0.0821187365041156</c:v>
                </c:pt>
                <c:pt idx="196">
                  <c:v>0.0802228339309337</c:v>
                </c:pt>
                <c:pt idx="197">
                  <c:v>0.0722285996959189</c:v>
                </c:pt>
                <c:pt idx="198">
                  <c:v>0.0664948979129662</c:v>
                </c:pt>
                <c:pt idx="199">
                  <c:v>0.0603429881795577</c:v>
                </c:pt>
                <c:pt idx="200">
                  <c:v>0.0568206820600358</c:v>
                </c:pt>
                <c:pt idx="201">
                  <c:v>0.058804618474443</c:v>
                </c:pt>
                <c:pt idx="202">
                  <c:v>0.0595220247787304</c:v>
                </c:pt>
                <c:pt idx="203">
                  <c:v>0.0586431028998823</c:v>
                </c:pt>
                <c:pt idx="204">
                  <c:v>0.0602115799170096</c:v>
                </c:pt>
                <c:pt idx="205">
                  <c:v>0.0511415276221058</c:v>
                </c:pt>
                <c:pt idx="206">
                  <c:v>0.0661990844723604</c:v>
                </c:pt>
                <c:pt idx="207">
                  <c:v>0.0679038936068237</c:v>
                </c:pt>
                <c:pt idx="208">
                  <c:v>0.0693638090597493</c:v>
                </c:pt>
                <c:pt idx="209">
                  <c:v>0.0701805991401393</c:v>
                </c:pt>
                <c:pt idx="210">
                  <c:v>0.0685109156891364</c:v>
                </c:pt>
                <c:pt idx="211">
                  <c:v>0.0621775019844003</c:v>
                </c:pt>
                <c:pt idx="212">
                  <c:v>0.0609222480827404</c:v>
                </c:pt>
                <c:pt idx="213">
                  <c:v>0.061346881458731</c:v>
                </c:pt>
                <c:pt idx="214">
                  <c:v>0.0633220206753579</c:v>
                </c:pt>
                <c:pt idx="215">
                  <c:v>0.0705605772583526</c:v>
                </c:pt>
                <c:pt idx="216">
                  <c:v>0.0698990942765014</c:v>
                </c:pt>
                <c:pt idx="217">
                  <c:v>0.0711034376752386</c:v>
                </c:pt>
                <c:pt idx="218">
                  <c:v>0.0705780809766208</c:v>
                </c:pt>
                <c:pt idx="219">
                  <c:v>0.0711052175970955</c:v>
                </c:pt>
                <c:pt idx="220">
                  <c:v>0.0711074113404399</c:v>
                </c:pt>
                <c:pt idx="221">
                  <c:v>0.0702826212021172</c:v>
                </c:pt>
                <c:pt idx="222">
                  <c:v>0.0669698301896846</c:v>
                </c:pt>
                <c:pt idx="223">
                  <c:v>0.0669378718334184</c:v>
                </c:pt>
                <c:pt idx="224">
                  <c:v>0.0668509460261598</c:v>
                </c:pt>
                <c:pt idx="225">
                  <c:v>0.0732297076758199</c:v>
                </c:pt>
                <c:pt idx="226">
                  <c:v>0.0659811116504566</c:v>
                </c:pt>
                <c:pt idx="227">
                  <c:v>0.064472622996494</c:v>
                </c:pt>
                <c:pt idx="228">
                  <c:v>0.0641938527983797</c:v>
                </c:pt>
                <c:pt idx="229">
                  <c:v>0.0687486210984649</c:v>
                </c:pt>
                <c:pt idx="230">
                  <c:v>0.0700140587092092</c:v>
                </c:pt>
                <c:pt idx="231">
                  <c:v>0.0698397072799858</c:v>
                </c:pt>
                <c:pt idx="232">
                  <c:v>0.0698209344681968</c:v>
                </c:pt>
                <c:pt idx="233">
                  <c:v>0.0687307918622694</c:v>
                </c:pt>
                <c:pt idx="234">
                  <c:v>0.0645557268222511</c:v>
                </c:pt>
                <c:pt idx="235">
                  <c:v>0.049595332404928</c:v>
                </c:pt>
                <c:pt idx="236">
                  <c:v>0.0480728294874099</c:v>
                </c:pt>
                <c:pt idx="237">
                  <c:v>0.0489684456187303</c:v>
                </c:pt>
                <c:pt idx="238">
                  <c:v>0.0488858707611055</c:v>
                </c:pt>
                <c:pt idx="239">
                  <c:v>0.0490083120762926</c:v>
                </c:pt>
                <c:pt idx="240">
                  <c:v>0.0654633605848503</c:v>
                </c:pt>
                <c:pt idx="241">
                  <c:v>0.0642020080800178</c:v>
                </c:pt>
                <c:pt idx="242">
                  <c:v>0.0645527643488819</c:v>
                </c:pt>
                <c:pt idx="243">
                  <c:v>0.0658889824668636</c:v>
                </c:pt>
                <c:pt idx="244">
                  <c:v>0.0678014174330406</c:v>
                </c:pt>
                <c:pt idx="245">
                  <c:v>0.0726638826708159</c:v>
                </c:pt>
                <c:pt idx="246">
                  <c:v>0.0709954303456695</c:v>
                </c:pt>
                <c:pt idx="247">
                  <c:v>0.0709612815271502</c:v>
                </c:pt>
                <c:pt idx="248">
                  <c:v>0.0702612070819276</c:v>
                </c:pt>
                <c:pt idx="249">
                  <c:v>0.0704356792943393</c:v>
                </c:pt>
                <c:pt idx="250">
                  <c:v>0.0729863855976886</c:v>
                </c:pt>
                <c:pt idx="251">
                  <c:v>0.0793376467012705</c:v>
                </c:pt>
                <c:pt idx="252">
                  <c:v>0.0859993507078339</c:v>
                </c:pt>
                <c:pt idx="253">
                  <c:v>0.0868270889245639</c:v>
                </c:pt>
                <c:pt idx="254">
                  <c:v>0.0878084521668722</c:v>
                </c:pt>
                <c:pt idx="255">
                  <c:v>0.0882750615977075</c:v>
                </c:pt>
                <c:pt idx="256">
                  <c:v>0.0946277984985812</c:v>
                </c:pt>
                <c:pt idx="257">
                  <c:v>0.100754791906429</c:v>
                </c:pt>
                <c:pt idx="258">
                  <c:v>0.102054499267668</c:v>
                </c:pt>
                <c:pt idx="259">
                  <c:v>0.101494223901251</c:v>
                </c:pt>
                <c:pt idx="260">
                  <c:v>0.0948925076451044</c:v>
                </c:pt>
                <c:pt idx="261">
                  <c:v>0.0999089919735691</c:v>
                </c:pt>
                <c:pt idx="262">
                  <c:v>0.102434512808045</c:v>
                </c:pt>
                <c:pt idx="263">
                  <c:v>0.106476120226421</c:v>
                </c:pt>
                <c:pt idx="264">
                  <c:v>0.112153847364491</c:v>
                </c:pt>
                <c:pt idx="265">
                  <c:v>0.110779555171856</c:v>
                </c:pt>
                <c:pt idx="266">
                  <c:v>0.112686353653525</c:v>
                </c:pt>
                <c:pt idx="267">
                  <c:v>0.112735142185422</c:v>
                </c:pt>
                <c:pt idx="268">
                  <c:v>0.1140077824325</c:v>
                </c:pt>
                <c:pt idx="269">
                  <c:v>0.113492277078537</c:v>
                </c:pt>
                <c:pt idx="270">
                  <c:v>0.11598943147703</c:v>
                </c:pt>
                <c:pt idx="271">
                  <c:v>0.117976202245122</c:v>
                </c:pt>
                <c:pt idx="272">
                  <c:v>0.114934904696572</c:v>
                </c:pt>
                <c:pt idx="273">
                  <c:v>0.11539635799752</c:v>
                </c:pt>
                <c:pt idx="274">
                  <c:v>0.116934289143956</c:v>
                </c:pt>
                <c:pt idx="275">
                  <c:v>0.117522945898353</c:v>
                </c:pt>
                <c:pt idx="276">
                  <c:v>0.14428043783652</c:v>
                </c:pt>
                <c:pt idx="277">
                  <c:v>0.141840888228216</c:v>
                </c:pt>
                <c:pt idx="278">
                  <c:v>0.14151282525</c:v>
                </c:pt>
                <c:pt idx="279">
                  <c:v>0.142188933748665</c:v>
                </c:pt>
                <c:pt idx="280">
                  <c:v>0.14213758488403</c:v>
                </c:pt>
                <c:pt idx="281">
                  <c:v>0.13735002782076</c:v>
                </c:pt>
                <c:pt idx="282">
                  <c:v>0.136907860594449</c:v>
                </c:pt>
                <c:pt idx="283">
                  <c:v>0.137382551153859</c:v>
                </c:pt>
                <c:pt idx="284">
                  <c:v>0.137479321716558</c:v>
                </c:pt>
                <c:pt idx="285">
                  <c:v>0.137421683982908</c:v>
                </c:pt>
                <c:pt idx="286">
                  <c:v>0.137572378893101</c:v>
                </c:pt>
                <c:pt idx="287">
                  <c:v>0.148632692820113</c:v>
                </c:pt>
                <c:pt idx="288">
                  <c:v>0.147886645624459</c:v>
                </c:pt>
                <c:pt idx="289">
                  <c:v>0.148448367251104</c:v>
                </c:pt>
                <c:pt idx="290">
                  <c:v>0.143815890132443</c:v>
                </c:pt>
                <c:pt idx="291">
                  <c:v>0.143445836019899</c:v>
                </c:pt>
                <c:pt idx="292">
                  <c:v>0.14789798018767</c:v>
                </c:pt>
                <c:pt idx="293">
                  <c:v>0.149874253924935</c:v>
                </c:pt>
                <c:pt idx="294">
                  <c:v>0.163144279162769</c:v>
                </c:pt>
                <c:pt idx="295">
                  <c:v>0.166762980338711</c:v>
                </c:pt>
                <c:pt idx="296">
                  <c:v>0.137369846514928</c:v>
                </c:pt>
                <c:pt idx="297">
                  <c:v>0.135579520755561</c:v>
                </c:pt>
                <c:pt idx="298">
                  <c:v>0.137010646356709</c:v>
                </c:pt>
                <c:pt idx="299">
                  <c:v>0.135979234815743</c:v>
                </c:pt>
                <c:pt idx="300">
                  <c:v>0.140620693170995</c:v>
                </c:pt>
                <c:pt idx="301">
                  <c:v>0.138075527050667</c:v>
                </c:pt>
                <c:pt idx="302">
                  <c:v>0.167703523324504</c:v>
                </c:pt>
                <c:pt idx="303">
                  <c:v>0.176024022057607</c:v>
                </c:pt>
                <c:pt idx="304">
                  <c:v>0.174301294469317</c:v>
                </c:pt>
                <c:pt idx="305">
                  <c:v>0.189019842347958</c:v>
                </c:pt>
                <c:pt idx="306">
                  <c:v>0.192743778221702</c:v>
                </c:pt>
                <c:pt idx="307">
                  <c:v>0.202800130874557</c:v>
                </c:pt>
                <c:pt idx="308">
                  <c:v>0.205764604472604</c:v>
                </c:pt>
                <c:pt idx="309">
                  <c:v>0.205911582232633</c:v>
                </c:pt>
                <c:pt idx="310">
                  <c:v>0.205441934360536</c:v>
                </c:pt>
                <c:pt idx="311">
                  <c:v>0.196805094856206</c:v>
                </c:pt>
                <c:pt idx="312">
                  <c:v>0.196353740082319</c:v>
                </c:pt>
                <c:pt idx="313">
                  <c:v>0.190138656861226</c:v>
                </c:pt>
                <c:pt idx="314">
                  <c:v>0.187146891915369</c:v>
                </c:pt>
                <c:pt idx="315">
                  <c:v>0.186840934546269</c:v>
                </c:pt>
                <c:pt idx="316">
                  <c:v>0.192841791449419</c:v>
                </c:pt>
                <c:pt idx="317">
                  <c:v>0.196673201481605</c:v>
                </c:pt>
                <c:pt idx="318">
                  <c:v>0.218514687409416</c:v>
                </c:pt>
                <c:pt idx="319">
                  <c:v>0.213845729846756</c:v>
                </c:pt>
                <c:pt idx="320">
                  <c:v>0.221472625632902</c:v>
                </c:pt>
                <c:pt idx="321">
                  <c:v>0.228310664774971</c:v>
                </c:pt>
                <c:pt idx="322">
                  <c:v>0.232097265649192</c:v>
                </c:pt>
                <c:pt idx="323">
                  <c:v>0.231672654762122</c:v>
                </c:pt>
                <c:pt idx="324">
                  <c:v>0.239982306574802</c:v>
                </c:pt>
                <c:pt idx="325">
                  <c:v>0.287048755121384</c:v>
                </c:pt>
                <c:pt idx="326">
                  <c:v>0.288426626634943</c:v>
                </c:pt>
                <c:pt idx="327">
                  <c:v>0.271253704088333</c:v>
                </c:pt>
                <c:pt idx="328">
                  <c:v>0.263769888607817</c:v>
                </c:pt>
                <c:pt idx="329">
                  <c:v>0.256286840097867</c:v>
                </c:pt>
                <c:pt idx="330">
                  <c:v>0.286461799702897</c:v>
                </c:pt>
                <c:pt idx="331">
                  <c:v>0.285122659873309</c:v>
                </c:pt>
                <c:pt idx="332">
                  <c:v>0.29594626088647</c:v>
                </c:pt>
                <c:pt idx="333">
                  <c:v>0.296457299714783</c:v>
                </c:pt>
                <c:pt idx="334">
                  <c:v>0.313718389855327</c:v>
                </c:pt>
                <c:pt idx="335">
                  <c:v>0.320261237226797</c:v>
                </c:pt>
                <c:pt idx="336">
                  <c:v>0.325113041729059</c:v>
                </c:pt>
                <c:pt idx="337">
                  <c:v>0.317973672973797</c:v>
                </c:pt>
                <c:pt idx="338">
                  <c:v>0.290385984701919</c:v>
                </c:pt>
                <c:pt idx="339">
                  <c:v>0.281544941007278</c:v>
                </c:pt>
                <c:pt idx="340">
                  <c:v>0.284316169535077</c:v>
                </c:pt>
                <c:pt idx="341">
                  <c:v>0.30240425043409</c:v>
                </c:pt>
                <c:pt idx="342">
                  <c:v>0.2987198469005</c:v>
                </c:pt>
                <c:pt idx="343">
                  <c:v>0.299720114115852</c:v>
                </c:pt>
                <c:pt idx="344">
                  <c:v>0.295330344343596</c:v>
                </c:pt>
                <c:pt idx="345">
                  <c:v>0.247006046763108</c:v>
                </c:pt>
                <c:pt idx="346">
                  <c:v>0.240291531747063</c:v>
                </c:pt>
                <c:pt idx="347">
                  <c:v>0.237775286396719</c:v>
                </c:pt>
                <c:pt idx="348">
                  <c:v>0.246416990170106</c:v>
                </c:pt>
                <c:pt idx="349">
                  <c:v>0.246805213353505</c:v>
                </c:pt>
                <c:pt idx="350">
                  <c:v>0.259905495337237</c:v>
                </c:pt>
                <c:pt idx="351">
                  <c:v>0.25908913714586</c:v>
                </c:pt>
                <c:pt idx="352">
                  <c:v>0.254257162907991</c:v>
                </c:pt>
                <c:pt idx="353">
                  <c:v>0.255047750077893</c:v>
                </c:pt>
                <c:pt idx="354">
                  <c:v>0.235557188431293</c:v>
                </c:pt>
                <c:pt idx="355">
                  <c:v>0.226526914808588</c:v>
                </c:pt>
                <c:pt idx="356">
                  <c:v>0.216810971952629</c:v>
                </c:pt>
                <c:pt idx="357">
                  <c:v>0.225210014497367</c:v>
                </c:pt>
                <c:pt idx="358">
                  <c:v>0.224765976753543</c:v>
                </c:pt>
                <c:pt idx="359">
                  <c:v>0.238082693398025</c:v>
                </c:pt>
                <c:pt idx="360">
                  <c:v>0.241472738127664</c:v>
                </c:pt>
                <c:pt idx="361">
                  <c:v>0.241244510280913</c:v>
                </c:pt>
                <c:pt idx="362">
                  <c:v>0.240186521574941</c:v>
                </c:pt>
                <c:pt idx="363">
                  <c:v>0.24491737175982</c:v>
                </c:pt>
                <c:pt idx="364">
                  <c:v>0.246712580687787</c:v>
                </c:pt>
                <c:pt idx="365">
                  <c:v>0.244982575955701</c:v>
                </c:pt>
                <c:pt idx="366">
                  <c:v>0.242855689061782</c:v>
                </c:pt>
                <c:pt idx="367">
                  <c:v>0.241097004885117</c:v>
                </c:pt>
                <c:pt idx="368">
                  <c:v>0.238408072957496</c:v>
                </c:pt>
                <c:pt idx="369">
                  <c:v>0.238372842493509</c:v>
                </c:pt>
                <c:pt idx="370">
                  <c:v>0.205064585351919</c:v>
                </c:pt>
                <c:pt idx="371">
                  <c:v>0.20788889317593</c:v>
                </c:pt>
                <c:pt idx="372">
                  <c:v>0.208052758453144</c:v>
                </c:pt>
                <c:pt idx="373">
                  <c:v>0.20873551400583</c:v>
                </c:pt>
                <c:pt idx="374">
                  <c:v>0.208147143854352</c:v>
                </c:pt>
                <c:pt idx="375">
                  <c:v>0.208691937578113</c:v>
                </c:pt>
                <c:pt idx="376">
                  <c:v>0.233709225926227</c:v>
                </c:pt>
                <c:pt idx="377">
                  <c:v>0.245706464501186</c:v>
                </c:pt>
                <c:pt idx="378">
                  <c:v>0.251154891478933</c:v>
                </c:pt>
                <c:pt idx="379">
                  <c:v>0.250958135577588</c:v>
                </c:pt>
                <c:pt idx="380">
                  <c:v>0.242298543908066</c:v>
                </c:pt>
                <c:pt idx="381">
                  <c:v>0.224120581544032</c:v>
                </c:pt>
                <c:pt idx="382">
                  <c:v>0.223703927939267</c:v>
                </c:pt>
                <c:pt idx="383">
                  <c:v>0.215285204514936</c:v>
                </c:pt>
                <c:pt idx="384">
                  <c:v>0.212776422966131</c:v>
                </c:pt>
                <c:pt idx="385">
                  <c:v>0.215126063452784</c:v>
                </c:pt>
                <c:pt idx="386">
                  <c:v>0.214351246977758</c:v>
                </c:pt>
                <c:pt idx="387">
                  <c:v>0.24799970881515</c:v>
                </c:pt>
                <c:pt idx="388">
                  <c:v>0.242915625526801</c:v>
                </c:pt>
                <c:pt idx="389">
                  <c:v>0.249311102316039</c:v>
                </c:pt>
                <c:pt idx="390">
                  <c:v>0.253530796645237</c:v>
                </c:pt>
                <c:pt idx="391">
                  <c:v>0.251383265343928</c:v>
                </c:pt>
                <c:pt idx="392">
                  <c:v>0.257753854923424</c:v>
                </c:pt>
                <c:pt idx="393">
                  <c:v>0.264658683938129</c:v>
                </c:pt>
                <c:pt idx="394">
                  <c:v>0.274162739033969</c:v>
                </c:pt>
                <c:pt idx="395">
                  <c:v>0.275662228898159</c:v>
                </c:pt>
                <c:pt idx="396">
                  <c:v>0.277517591725022</c:v>
                </c:pt>
                <c:pt idx="397">
                  <c:v>0.272957282785628</c:v>
                </c:pt>
                <c:pt idx="398">
                  <c:v>0.271031314814729</c:v>
                </c:pt>
                <c:pt idx="399">
                  <c:v>0.258778402994628</c:v>
                </c:pt>
                <c:pt idx="400">
                  <c:v>0.26326043219666</c:v>
                </c:pt>
                <c:pt idx="401">
                  <c:v>0.26362967283166</c:v>
                </c:pt>
                <c:pt idx="402">
                  <c:v>0.264214299516252</c:v>
                </c:pt>
                <c:pt idx="403">
                  <c:v>0.261091927836471</c:v>
                </c:pt>
                <c:pt idx="404">
                  <c:v>0.260987879821877</c:v>
                </c:pt>
                <c:pt idx="405">
                  <c:v>0.251010277903798</c:v>
                </c:pt>
                <c:pt idx="406">
                  <c:v>0.251377238842603</c:v>
                </c:pt>
                <c:pt idx="407">
                  <c:v>0.230510238329229</c:v>
                </c:pt>
                <c:pt idx="408">
                  <c:v>0.240711721456775</c:v>
                </c:pt>
                <c:pt idx="409">
                  <c:v>0.236072814778027</c:v>
                </c:pt>
                <c:pt idx="410">
                  <c:v>0.212378608760704</c:v>
                </c:pt>
                <c:pt idx="411">
                  <c:v>0.209989774082852</c:v>
                </c:pt>
                <c:pt idx="412">
                  <c:v>0.205293472887186</c:v>
                </c:pt>
                <c:pt idx="413">
                  <c:v>0.192205412790078</c:v>
                </c:pt>
                <c:pt idx="414">
                  <c:v>0.186716889710161</c:v>
                </c:pt>
                <c:pt idx="415">
                  <c:v>0.183998966956664</c:v>
                </c:pt>
                <c:pt idx="416">
                  <c:v>0.14067848628817</c:v>
                </c:pt>
                <c:pt idx="417">
                  <c:v>0.124839605161047</c:v>
                </c:pt>
                <c:pt idx="418">
                  <c:v>0.125193578232737</c:v>
                </c:pt>
                <c:pt idx="419">
                  <c:v>0.120337735687617</c:v>
                </c:pt>
                <c:pt idx="420">
                  <c:v>0.131429700623577</c:v>
                </c:pt>
                <c:pt idx="421">
                  <c:v>0.131217205847727</c:v>
                </c:pt>
                <c:pt idx="422">
                  <c:v>0.137131348892851</c:v>
                </c:pt>
                <c:pt idx="423">
                  <c:v>0.137442811122458</c:v>
                </c:pt>
                <c:pt idx="424">
                  <c:v>0.147622211160662</c:v>
                </c:pt>
                <c:pt idx="425">
                  <c:v>0.149021061867167</c:v>
                </c:pt>
                <c:pt idx="426">
                  <c:v>0.148343418105291</c:v>
                </c:pt>
                <c:pt idx="427">
                  <c:v>0.149311216264761</c:v>
                </c:pt>
                <c:pt idx="428">
                  <c:v>0.15261685927553</c:v>
                </c:pt>
                <c:pt idx="429">
                  <c:v>0.159848603319875</c:v>
                </c:pt>
                <c:pt idx="430">
                  <c:v>0.16653831799066</c:v>
                </c:pt>
                <c:pt idx="431">
                  <c:v>0.16868674822485</c:v>
                </c:pt>
                <c:pt idx="432">
                  <c:v>0.170908556628655</c:v>
                </c:pt>
                <c:pt idx="433">
                  <c:v>0.164824862232954</c:v>
                </c:pt>
                <c:pt idx="434">
                  <c:v>0.165092478168533</c:v>
                </c:pt>
                <c:pt idx="435">
                  <c:v>0.160330104847674</c:v>
                </c:pt>
                <c:pt idx="436">
                  <c:v>0.15987378624045</c:v>
                </c:pt>
                <c:pt idx="437">
                  <c:v>0.160219923990821</c:v>
                </c:pt>
                <c:pt idx="438">
                  <c:v>0.159732451401628</c:v>
                </c:pt>
                <c:pt idx="439">
                  <c:v>0.213279355218972</c:v>
                </c:pt>
                <c:pt idx="440">
                  <c:v>0.198394881063884</c:v>
                </c:pt>
                <c:pt idx="441">
                  <c:v>0.199523997211785</c:v>
                </c:pt>
                <c:pt idx="442">
                  <c:v>0.213118561162477</c:v>
                </c:pt>
                <c:pt idx="443">
                  <c:v>0.217819369792162</c:v>
                </c:pt>
                <c:pt idx="444">
                  <c:v>0.217058651291545</c:v>
                </c:pt>
                <c:pt idx="445">
                  <c:v>0.222251769605504</c:v>
                </c:pt>
                <c:pt idx="446">
                  <c:v>0.222138802077911</c:v>
                </c:pt>
                <c:pt idx="447">
                  <c:v>0.224517358202668</c:v>
                </c:pt>
                <c:pt idx="448">
                  <c:v>0.217792065261612</c:v>
                </c:pt>
                <c:pt idx="449">
                  <c:v>0.214322992850515</c:v>
                </c:pt>
                <c:pt idx="450">
                  <c:v>0.206487857054842</c:v>
                </c:pt>
                <c:pt idx="451">
                  <c:v>0.207958219383676</c:v>
                </c:pt>
                <c:pt idx="452">
                  <c:v>0.205417022768078</c:v>
                </c:pt>
                <c:pt idx="453">
                  <c:v>0.205933071211178</c:v>
                </c:pt>
                <c:pt idx="454">
                  <c:v>0.203788140551943</c:v>
                </c:pt>
                <c:pt idx="455">
                  <c:v>0.203076683010656</c:v>
                </c:pt>
                <c:pt idx="456">
                  <c:v>0.206226713535833</c:v>
                </c:pt>
                <c:pt idx="457">
                  <c:v>0.205973817705018</c:v>
                </c:pt>
                <c:pt idx="458">
                  <c:v>0.208794743601605</c:v>
                </c:pt>
                <c:pt idx="459">
                  <c:v>0.158881738947897</c:v>
                </c:pt>
                <c:pt idx="460">
                  <c:v>0.152665160833142</c:v>
                </c:pt>
                <c:pt idx="461">
                  <c:v>0.14973834865063</c:v>
                </c:pt>
                <c:pt idx="462">
                  <c:v>0.132624195016123</c:v>
                </c:pt>
                <c:pt idx="463">
                  <c:v>0.132474828017849</c:v>
                </c:pt>
                <c:pt idx="464">
                  <c:v>0.132480791746206</c:v>
                </c:pt>
                <c:pt idx="465">
                  <c:v>0.126266477761262</c:v>
                </c:pt>
                <c:pt idx="466">
                  <c:v>0.126592529359826</c:v>
                </c:pt>
                <c:pt idx="467">
                  <c:v>0.117303410404198</c:v>
                </c:pt>
                <c:pt idx="468">
                  <c:v>0.117226394869547</c:v>
                </c:pt>
                <c:pt idx="469">
                  <c:v>0.11745279601384</c:v>
                </c:pt>
                <c:pt idx="470">
                  <c:v>0.123192501126933</c:v>
                </c:pt>
                <c:pt idx="471">
                  <c:v>0.12097775478513</c:v>
                </c:pt>
                <c:pt idx="472">
                  <c:v>0.123382346391108</c:v>
                </c:pt>
                <c:pt idx="473">
                  <c:v>0.121521138719754</c:v>
                </c:pt>
                <c:pt idx="474">
                  <c:v>0.131793647870905</c:v>
                </c:pt>
                <c:pt idx="475">
                  <c:v>0.131508639213992</c:v>
                </c:pt>
                <c:pt idx="476">
                  <c:v>0.141091302004075</c:v>
                </c:pt>
                <c:pt idx="477">
                  <c:v>0.141396223570413</c:v>
                </c:pt>
                <c:pt idx="478">
                  <c:v>0.148609738605319</c:v>
                </c:pt>
                <c:pt idx="479">
                  <c:v>0.140414814970109</c:v>
                </c:pt>
                <c:pt idx="480">
                  <c:v>0.138828322294502</c:v>
                </c:pt>
                <c:pt idx="481">
                  <c:v>0.168536301473386</c:v>
                </c:pt>
                <c:pt idx="482">
                  <c:v>0.174610386602083</c:v>
                </c:pt>
                <c:pt idx="483">
                  <c:v>0.17094646275136</c:v>
                </c:pt>
                <c:pt idx="484">
                  <c:v>0.164120069649385</c:v>
                </c:pt>
                <c:pt idx="485">
                  <c:v>0.164099114258951</c:v>
                </c:pt>
                <c:pt idx="486">
                  <c:v>0.162009124723547</c:v>
                </c:pt>
                <c:pt idx="487">
                  <c:v>0.167131115953226</c:v>
                </c:pt>
                <c:pt idx="488">
                  <c:v>0.163858357846531</c:v>
                </c:pt>
                <c:pt idx="489">
                  <c:v>0.158398822006633</c:v>
                </c:pt>
                <c:pt idx="490">
                  <c:v>0.143042066122096</c:v>
                </c:pt>
                <c:pt idx="491">
                  <c:v>0.1429724671623</c:v>
                </c:pt>
                <c:pt idx="492">
                  <c:v>0.128447567060071</c:v>
                </c:pt>
                <c:pt idx="493">
                  <c:v>0.139553845467996</c:v>
                </c:pt>
                <c:pt idx="494">
                  <c:v>0.139647179264621</c:v>
                </c:pt>
                <c:pt idx="495">
                  <c:v>0.136873884823465</c:v>
                </c:pt>
                <c:pt idx="496">
                  <c:v>0.143483533740868</c:v>
                </c:pt>
                <c:pt idx="497">
                  <c:v>0.154375200697624</c:v>
                </c:pt>
                <c:pt idx="498">
                  <c:v>0.153491412474673</c:v>
                </c:pt>
                <c:pt idx="499">
                  <c:v>0.160477801253444</c:v>
                </c:pt>
                <c:pt idx="500">
                  <c:v>0.161227426492805</c:v>
                </c:pt>
                <c:pt idx="501">
                  <c:v>0.13262079691176</c:v>
                </c:pt>
                <c:pt idx="502">
                  <c:v>0.127694197188961</c:v>
                </c:pt>
                <c:pt idx="503">
                  <c:v>0.131128438003539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420287"/>
        <c:axId val="11301154"/>
      </c:lineChart>
      <c:catAx>
        <c:axId val="83420287"/>
        <c:scaling>
          <c:orientation val="minMax"/>
        </c:scaling>
        <c:delete val="0"/>
        <c:axPos val="b"/>
        <c:numFmt formatCode="mm\.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01154"/>
        <c:crosses val="autoZero"/>
        <c:auto val="1"/>
        <c:lblAlgn val="ctr"/>
        <c:lblOffset val="100"/>
        <c:noMultiLvlLbl val="0"/>
      </c:catAx>
      <c:valAx>
        <c:axId val="113011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σ (yillik)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202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Ikki aktivli portfel: risk–daromadlilik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"ρ = kiritilgan"</c:f>
              <c:strCache>
                <c:ptCount val="1"/>
                <c:pt idx="0">
                  <c:v>ρ = kiritilgan</c:v>
                </c:pt>
              </c:strCache>
            </c:strRef>
          </c:tx>
          <c:spPr>
            <a:solidFill>
              <a:srgbClr val="789142"/>
            </a:solidFill>
            <a:ln w="47520">
              <a:solidFill>
                <a:srgbClr val="789142"/>
              </a:solidFill>
              <a:round/>
            </a:ln>
          </c:spPr>
          <c:marker>
            <c:symbol val="circle"/>
            <c:size val="4"/>
            <c:spPr>
              <a:solidFill>
                <a:srgbClr val="78914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Portfel!$M$15:$M$25</c:f>
              <c:numCache>
                <c:formatCode>0.00%</c:formatCode>
                <c:ptCount val="11"/>
                <c:pt idx="0">
                  <c:v>0.18</c:v>
                </c:pt>
                <c:pt idx="1">
                  <c:v>0.173378199321599</c:v>
                </c:pt>
                <c:pt idx="2">
                  <c:v>0.171813852759316</c:v>
                </c:pt>
                <c:pt idx="3">
                  <c:v>0.175442298206561</c:v>
                </c:pt>
                <c:pt idx="4">
                  <c:v>0.183956516601071</c:v>
                </c:pt>
                <c:pt idx="5">
                  <c:v>0.19672315572906</c:v>
                </c:pt>
                <c:pt idx="6">
                  <c:v>0.212978872191586</c:v>
                </c:pt>
                <c:pt idx="7">
                  <c:v>0.231991379150174</c:v>
                </c:pt>
                <c:pt idx="8">
                  <c:v>0.253140277316748</c:v>
                </c:pt>
                <c:pt idx="9">
                  <c:v>0.275934774901606</c:v>
                </c:pt>
                <c:pt idx="10">
                  <c:v>0.3</c:v>
                </c:pt>
              </c:numCache>
            </c:numRef>
          </c:xVal>
          <c:yVal>
            <c:numRef>
              <c:f>Portfel!$L$15:$L$25</c:f>
              <c:numCache>
                <c:formatCode>0.00%</c:formatCode>
                <c:ptCount val="11"/>
                <c:pt idx="0">
                  <c:v>0.12</c:v>
                </c:pt>
                <c:pt idx="1">
                  <c:v>0.126</c:v>
                </c:pt>
                <c:pt idx="2">
                  <c:v>0.132</c:v>
                </c:pt>
                <c:pt idx="3">
                  <c:v>0.138</c:v>
                </c:pt>
                <c:pt idx="4">
                  <c:v>0.144</c:v>
                </c:pt>
                <c:pt idx="5">
                  <c:v>0.15</c:v>
                </c:pt>
                <c:pt idx="6">
                  <c:v>0.156</c:v>
                </c:pt>
                <c:pt idx="7">
                  <c:v>0.162</c:v>
                </c:pt>
                <c:pt idx="8">
                  <c:v>0.168</c:v>
                </c:pt>
                <c:pt idx="9">
                  <c:v>0.174</c:v>
                </c:pt>
                <c:pt idx="10">
                  <c:v>0.18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"ρ = −1"</c:f>
              <c:strCache>
                <c:ptCount val="1"/>
                <c:pt idx="0">
                  <c:v>ρ = −1</c:v>
                </c:pt>
              </c:strCache>
            </c:strRef>
          </c:tx>
          <c:spPr>
            <a:solidFill>
              <a:srgbClr val="8ead4f"/>
            </a:solidFill>
            <a:ln w="47520">
              <a:solidFill>
                <a:srgbClr val="8ead4f"/>
              </a:solidFill>
              <a:round/>
            </a:ln>
          </c:spPr>
          <c:marker>
            <c:symbol val="circle"/>
            <c:size val="4"/>
            <c:spPr>
              <a:solidFill>
                <a:srgbClr val="8ead4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Portfel!$N$15:$N$25</c:f>
              <c:numCache>
                <c:formatCode>0.00%</c:formatCode>
                <c:ptCount val="11"/>
                <c:pt idx="0">
                  <c:v>0.18</c:v>
                </c:pt>
                <c:pt idx="1">
                  <c:v>0.132</c:v>
                </c:pt>
                <c:pt idx="2">
                  <c:v>0.084</c:v>
                </c:pt>
                <c:pt idx="3">
                  <c:v>0.036</c:v>
                </c:pt>
                <c:pt idx="4">
                  <c:v>0.0120000000000002</c:v>
                </c:pt>
                <c:pt idx="5">
                  <c:v>0.06</c:v>
                </c:pt>
                <c:pt idx="6">
                  <c:v>0.108</c:v>
                </c:pt>
                <c:pt idx="7">
                  <c:v>0.156</c:v>
                </c:pt>
                <c:pt idx="8">
                  <c:v>0.204</c:v>
                </c:pt>
                <c:pt idx="9">
                  <c:v>0.252</c:v>
                </c:pt>
                <c:pt idx="10">
                  <c:v>0.3</c:v>
                </c:pt>
              </c:numCache>
            </c:numRef>
          </c:xVal>
          <c:yVal>
            <c:numRef>
              <c:f>Portfel!$L$15:$L$25</c:f>
              <c:numCache>
                <c:formatCode>0.00%</c:formatCode>
                <c:ptCount val="11"/>
                <c:pt idx="0">
                  <c:v>0.12</c:v>
                </c:pt>
                <c:pt idx="1">
                  <c:v>0.126</c:v>
                </c:pt>
                <c:pt idx="2">
                  <c:v>0.132</c:v>
                </c:pt>
                <c:pt idx="3">
                  <c:v>0.138</c:v>
                </c:pt>
                <c:pt idx="4">
                  <c:v>0.144</c:v>
                </c:pt>
                <c:pt idx="5">
                  <c:v>0.15</c:v>
                </c:pt>
                <c:pt idx="6">
                  <c:v>0.156</c:v>
                </c:pt>
                <c:pt idx="7">
                  <c:v>0.162</c:v>
                </c:pt>
                <c:pt idx="8">
                  <c:v>0.168</c:v>
                </c:pt>
                <c:pt idx="9">
                  <c:v>0.174</c:v>
                </c:pt>
                <c:pt idx="10">
                  <c:v>0.18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"ρ = 0"</c:f>
              <c:strCache>
                <c:ptCount val="1"/>
                <c:pt idx="0">
                  <c:v>ρ = 0</c:v>
                </c:pt>
              </c:strCache>
            </c:strRef>
          </c:tx>
          <c:spPr>
            <a:solidFill>
              <a:srgbClr val="a9c37e"/>
            </a:solidFill>
            <a:ln w="47520">
              <a:solidFill>
                <a:srgbClr val="a9c37e"/>
              </a:solidFill>
              <a:round/>
            </a:ln>
          </c:spPr>
          <c:marker>
            <c:symbol val="circle"/>
            <c:size val="4"/>
            <c:spPr>
              <a:solidFill>
                <a:srgbClr val="a9c37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Portfel!$O$15:$O$25</c:f>
              <c:numCache>
                <c:formatCode>0.00%</c:formatCode>
                <c:ptCount val="11"/>
                <c:pt idx="0">
                  <c:v>0.18</c:v>
                </c:pt>
                <c:pt idx="1">
                  <c:v>0.164754362612952</c:v>
                </c:pt>
                <c:pt idx="2">
                  <c:v>0.156</c:v>
                </c:pt>
                <c:pt idx="3">
                  <c:v>0.154841854806767</c:v>
                </c:pt>
                <c:pt idx="4">
                  <c:v>0.161443488564885</c:v>
                </c:pt>
                <c:pt idx="5">
                  <c:v>0.174928556845359</c:v>
                </c:pt>
                <c:pt idx="6">
                  <c:v>0.193865933056842</c:v>
                </c:pt>
                <c:pt idx="7">
                  <c:v>0.216831731995112</c:v>
                </c:pt>
                <c:pt idx="8">
                  <c:v>0.24268498099388</c:v>
                </c:pt>
                <c:pt idx="9">
                  <c:v>0.270599334810712</c:v>
                </c:pt>
                <c:pt idx="10">
                  <c:v>0.3</c:v>
                </c:pt>
              </c:numCache>
            </c:numRef>
          </c:xVal>
          <c:yVal>
            <c:numRef>
              <c:f>Portfel!$L$15:$L$25</c:f>
              <c:numCache>
                <c:formatCode>0.00%</c:formatCode>
                <c:ptCount val="11"/>
                <c:pt idx="0">
                  <c:v>0.12</c:v>
                </c:pt>
                <c:pt idx="1">
                  <c:v>0.126</c:v>
                </c:pt>
                <c:pt idx="2">
                  <c:v>0.132</c:v>
                </c:pt>
                <c:pt idx="3">
                  <c:v>0.138</c:v>
                </c:pt>
                <c:pt idx="4">
                  <c:v>0.144</c:v>
                </c:pt>
                <c:pt idx="5">
                  <c:v>0.15</c:v>
                </c:pt>
                <c:pt idx="6">
                  <c:v>0.156</c:v>
                </c:pt>
                <c:pt idx="7">
                  <c:v>0.162</c:v>
                </c:pt>
                <c:pt idx="8">
                  <c:v>0.168</c:v>
                </c:pt>
                <c:pt idx="9">
                  <c:v>0.174</c:v>
                </c:pt>
                <c:pt idx="10">
                  <c:v>0.18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"ρ = +1"</c:f>
              <c:strCache>
                <c:ptCount val="1"/>
                <c:pt idx="0">
                  <c:v>ρ = +1</c:v>
                </c:pt>
              </c:strCache>
            </c:strRef>
          </c:tx>
          <c:spPr>
            <a:solidFill>
              <a:srgbClr val="c7d6b1"/>
            </a:solidFill>
            <a:ln w="47520">
              <a:solidFill>
                <a:srgbClr val="c7d6b1"/>
              </a:solidFill>
              <a:round/>
            </a:ln>
          </c:spPr>
          <c:marker>
            <c:symbol val="circle"/>
            <c:size val="4"/>
            <c:spPr>
              <a:solidFill>
                <a:srgbClr val="c7d6b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Portfel!$P$15:$P$25</c:f>
              <c:numCache>
                <c:formatCode>0.00%</c:formatCode>
                <c:ptCount val="11"/>
                <c:pt idx="0">
                  <c:v>0.18</c:v>
                </c:pt>
                <c:pt idx="1">
                  <c:v>0.192</c:v>
                </c:pt>
                <c:pt idx="2">
                  <c:v>0.204</c:v>
                </c:pt>
                <c:pt idx="3">
                  <c:v>0.216</c:v>
                </c:pt>
                <c:pt idx="4">
                  <c:v>0.228</c:v>
                </c:pt>
                <c:pt idx="5">
                  <c:v>0.24</c:v>
                </c:pt>
                <c:pt idx="6">
                  <c:v>0.252</c:v>
                </c:pt>
                <c:pt idx="7">
                  <c:v>0.264</c:v>
                </c:pt>
                <c:pt idx="8">
                  <c:v>0.276</c:v>
                </c:pt>
                <c:pt idx="9">
                  <c:v>0.288</c:v>
                </c:pt>
                <c:pt idx="10">
                  <c:v>0.3</c:v>
                </c:pt>
              </c:numCache>
            </c:numRef>
          </c:xVal>
          <c:yVal>
            <c:numRef>
              <c:f>Portfel!$L$15:$L$25</c:f>
              <c:numCache>
                <c:formatCode>0.00%</c:formatCode>
                <c:ptCount val="11"/>
                <c:pt idx="0">
                  <c:v>0.12</c:v>
                </c:pt>
                <c:pt idx="1">
                  <c:v>0.126</c:v>
                </c:pt>
                <c:pt idx="2">
                  <c:v>0.132</c:v>
                </c:pt>
                <c:pt idx="3">
                  <c:v>0.138</c:v>
                </c:pt>
                <c:pt idx="4">
                  <c:v>0.144</c:v>
                </c:pt>
                <c:pt idx="5">
                  <c:v>0.15</c:v>
                </c:pt>
                <c:pt idx="6">
                  <c:v>0.156</c:v>
                </c:pt>
                <c:pt idx="7">
                  <c:v>0.162</c:v>
                </c:pt>
                <c:pt idx="8">
                  <c:v>0.168</c:v>
                </c:pt>
                <c:pt idx="9">
                  <c:v>0.174</c:v>
                </c:pt>
                <c:pt idx="10">
                  <c:v>0.18</c:v>
                </c:pt>
              </c:numCache>
            </c:numRef>
          </c:yVal>
          <c:smooth val="1"/>
        </c:ser>
        <c:axId val="99706063"/>
        <c:axId val="50402404"/>
      </c:scatterChart>
      <c:valAx>
        <c:axId val="9970606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σp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02404"/>
        <c:crosses val="autoZero"/>
        <c:crossBetween val="midCat"/>
      </c:valAx>
      <c:valAx>
        <c:axId val="504024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μp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0606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Haqiqiy daromadlilik va −VaR chegarasi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Backtest!B4</c:f>
              <c:strCache>
                <c:ptCount val="1"/>
                <c:pt idx="0">
                  <c:v>Rp haqiqiy</c:v>
                </c:pt>
              </c:strCache>
            </c:strRef>
          </c:tx>
          <c:spPr>
            <a:solidFill>
              <a:srgbClr val="4a7ebb"/>
            </a:solidFill>
            <a:ln w="1188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Backtest!$A$5:$A$258</c:f>
              <c:strCache>
                <c:ptCount val="254"/>
                <c:pt idx="0">
                  <c:v>18.12.2024</c:v>
                </c:pt>
                <c:pt idx="1">
                  <c:v>19.12.2024</c:v>
                </c:pt>
                <c:pt idx="2">
                  <c:v>20.12.2024</c:v>
                </c:pt>
                <c:pt idx="3">
                  <c:v>23.12.2024</c:v>
                </c:pt>
                <c:pt idx="4">
                  <c:v>24.12.2024</c:v>
                </c:pt>
                <c:pt idx="5">
                  <c:v>25.12.2024</c:v>
                </c:pt>
                <c:pt idx="6">
                  <c:v>26.12.2024</c:v>
                </c:pt>
                <c:pt idx="7">
                  <c:v>27.12.2024</c:v>
                </c:pt>
                <c:pt idx="8">
                  <c:v>30.12.2024</c:v>
                </c:pt>
                <c:pt idx="9">
                  <c:v>31.12.2024</c:v>
                </c:pt>
                <c:pt idx="10">
                  <c:v>01.01.2025</c:v>
                </c:pt>
                <c:pt idx="11">
                  <c:v>02.01.2025</c:v>
                </c:pt>
                <c:pt idx="12">
                  <c:v>03.01.2025</c:v>
                </c:pt>
                <c:pt idx="13">
                  <c:v>06.01.2025</c:v>
                </c:pt>
                <c:pt idx="14">
                  <c:v>07.01.2025</c:v>
                </c:pt>
                <c:pt idx="15">
                  <c:v>08.01.2025</c:v>
                </c:pt>
                <c:pt idx="16">
                  <c:v>09.01.2025</c:v>
                </c:pt>
                <c:pt idx="17">
                  <c:v>10.01.2025</c:v>
                </c:pt>
                <c:pt idx="18">
                  <c:v>13.01.2025</c:v>
                </c:pt>
                <c:pt idx="19">
                  <c:v>14.01.2025</c:v>
                </c:pt>
                <c:pt idx="20">
                  <c:v>15.01.2025</c:v>
                </c:pt>
                <c:pt idx="21">
                  <c:v>16.01.2025</c:v>
                </c:pt>
                <c:pt idx="22">
                  <c:v>17.01.2025</c:v>
                </c:pt>
                <c:pt idx="23">
                  <c:v>20.01.2025</c:v>
                </c:pt>
                <c:pt idx="24">
                  <c:v>21.01.2025</c:v>
                </c:pt>
                <c:pt idx="25">
                  <c:v>22.01.2025</c:v>
                </c:pt>
                <c:pt idx="26">
                  <c:v>23.01.2025</c:v>
                </c:pt>
                <c:pt idx="27">
                  <c:v>24.01.2025</c:v>
                </c:pt>
                <c:pt idx="28">
                  <c:v>27.01.2025</c:v>
                </c:pt>
                <c:pt idx="29">
                  <c:v>28.01.2025</c:v>
                </c:pt>
                <c:pt idx="30">
                  <c:v>29.01.2025</c:v>
                </c:pt>
                <c:pt idx="31">
                  <c:v>30.01.2025</c:v>
                </c:pt>
                <c:pt idx="32">
                  <c:v>31.01.2025</c:v>
                </c:pt>
                <c:pt idx="33">
                  <c:v>03.02.2025</c:v>
                </c:pt>
                <c:pt idx="34">
                  <c:v>04.02.2025</c:v>
                </c:pt>
                <c:pt idx="35">
                  <c:v>05.02.2025</c:v>
                </c:pt>
                <c:pt idx="36">
                  <c:v>06.02.2025</c:v>
                </c:pt>
                <c:pt idx="37">
                  <c:v>07.02.2025</c:v>
                </c:pt>
                <c:pt idx="38">
                  <c:v>10.02.2025</c:v>
                </c:pt>
                <c:pt idx="39">
                  <c:v>11.02.2025</c:v>
                </c:pt>
                <c:pt idx="40">
                  <c:v>12.02.2025</c:v>
                </c:pt>
                <c:pt idx="41">
                  <c:v>13.02.2025</c:v>
                </c:pt>
                <c:pt idx="42">
                  <c:v>14.02.2025</c:v>
                </c:pt>
                <c:pt idx="43">
                  <c:v>17.02.2025</c:v>
                </c:pt>
                <c:pt idx="44">
                  <c:v>18.02.2025</c:v>
                </c:pt>
                <c:pt idx="45">
                  <c:v>19.02.2025</c:v>
                </c:pt>
                <c:pt idx="46">
                  <c:v>20.02.2025</c:v>
                </c:pt>
                <c:pt idx="47">
                  <c:v>21.02.2025</c:v>
                </c:pt>
                <c:pt idx="48">
                  <c:v>24.02.2025</c:v>
                </c:pt>
                <c:pt idx="49">
                  <c:v>25.02.2025</c:v>
                </c:pt>
                <c:pt idx="50">
                  <c:v>26.02.2025</c:v>
                </c:pt>
                <c:pt idx="51">
                  <c:v>27.02.2025</c:v>
                </c:pt>
                <c:pt idx="52">
                  <c:v>28.02.2025</c:v>
                </c:pt>
                <c:pt idx="53">
                  <c:v>03.03.2025</c:v>
                </c:pt>
                <c:pt idx="54">
                  <c:v>04.03.2025</c:v>
                </c:pt>
                <c:pt idx="55">
                  <c:v>05.03.2025</c:v>
                </c:pt>
                <c:pt idx="56">
                  <c:v>06.03.2025</c:v>
                </c:pt>
                <c:pt idx="57">
                  <c:v>07.03.2025</c:v>
                </c:pt>
                <c:pt idx="58">
                  <c:v>10.03.2025</c:v>
                </c:pt>
                <c:pt idx="59">
                  <c:v>11.03.2025</c:v>
                </c:pt>
                <c:pt idx="60">
                  <c:v>12.03.2025</c:v>
                </c:pt>
                <c:pt idx="61">
                  <c:v>13.03.2025</c:v>
                </c:pt>
                <c:pt idx="62">
                  <c:v>14.03.2025</c:v>
                </c:pt>
                <c:pt idx="63">
                  <c:v>17.03.2025</c:v>
                </c:pt>
                <c:pt idx="64">
                  <c:v>18.03.2025</c:v>
                </c:pt>
                <c:pt idx="65">
                  <c:v>19.03.2025</c:v>
                </c:pt>
                <c:pt idx="66">
                  <c:v>20.03.2025</c:v>
                </c:pt>
                <c:pt idx="67">
                  <c:v>21.03.2025</c:v>
                </c:pt>
                <c:pt idx="68">
                  <c:v>24.03.2025</c:v>
                </c:pt>
                <c:pt idx="69">
                  <c:v>25.03.2025</c:v>
                </c:pt>
                <c:pt idx="70">
                  <c:v>26.03.2025</c:v>
                </c:pt>
                <c:pt idx="71">
                  <c:v>27.03.2025</c:v>
                </c:pt>
                <c:pt idx="72">
                  <c:v>28.03.2025</c:v>
                </c:pt>
                <c:pt idx="73">
                  <c:v>31.03.2025</c:v>
                </c:pt>
                <c:pt idx="74">
                  <c:v>01.04.2025</c:v>
                </c:pt>
                <c:pt idx="75">
                  <c:v>02.04.2025</c:v>
                </c:pt>
                <c:pt idx="76">
                  <c:v>03.04.2025</c:v>
                </c:pt>
                <c:pt idx="77">
                  <c:v>04.04.2025</c:v>
                </c:pt>
                <c:pt idx="78">
                  <c:v>07.04.2025</c:v>
                </c:pt>
                <c:pt idx="79">
                  <c:v>08.04.2025</c:v>
                </c:pt>
                <c:pt idx="80">
                  <c:v>09.04.2025</c:v>
                </c:pt>
                <c:pt idx="81">
                  <c:v>10.04.2025</c:v>
                </c:pt>
                <c:pt idx="82">
                  <c:v>11.04.2025</c:v>
                </c:pt>
                <c:pt idx="83">
                  <c:v>14.04.2025</c:v>
                </c:pt>
                <c:pt idx="84">
                  <c:v>15.04.2025</c:v>
                </c:pt>
                <c:pt idx="85">
                  <c:v>16.04.2025</c:v>
                </c:pt>
                <c:pt idx="86">
                  <c:v>17.04.2025</c:v>
                </c:pt>
                <c:pt idx="87">
                  <c:v>18.04.2025</c:v>
                </c:pt>
                <c:pt idx="88">
                  <c:v>21.04.2025</c:v>
                </c:pt>
                <c:pt idx="89">
                  <c:v>22.04.2025</c:v>
                </c:pt>
                <c:pt idx="90">
                  <c:v>23.04.2025</c:v>
                </c:pt>
                <c:pt idx="91">
                  <c:v>24.04.2025</c:v>
                </c:pt>
                <c:pt idx="92">
                  <c:v>25.04.2025</c:v>
                </c:pt>
                <c:pt idx="93">
                  <c:v>28.04.2025</c:v>
                </c:pt>
                <c:pt idx="94">
                  <c:v>29.04.2025</c:v>
                </c:pt>
                <c:pt idx="95">
                  <c:v>30.04.2025</c:v>
                </c:pt>
                <c:pt idx="96">
                  <c:v>01.05.2025</c:v>
                </c:pt>
                <c:pt idx="97">
                  <c:v>02.05.2025</c:v>
                </c:pt>
                <c:pt idx="98">
                  <c:v>05.05.2025</c:v>
                </c:pt>
                <c:pt idx="99">
                  <c:v>06.05.2025</c:v>
                </c:pt>
                <c:pt idx="100">
                  <c:v>07.05.2025</c:v>
                </c:pt>
                <c:pt idx="101">
                  <c:v>08.05.2025</c:v>
                </c:pt>
                <c:pt idx="102">
                  <c:v>09.05.2025</c:v>
                </c:pt>
                <c:pt idx="103">
                  <c:v>12.05.2025</c:v>
                </c:pt>
                <c:pt idx="104">
                  <c:v>13.05.2025</c:v>
                </c:pt>
                <c:pt idx="105">
                  <c:v>14.05.2025</c:v>
                </c:pt>
                <c:pt idx="106">
                  <c:v>15.05.2025</c:v>
                </c:pt>
                <c:pt idx="107">
                  <c:v>16.05.2025</c:v>
                </c:pt>
                <c:pt idx="108">
                  <c:v>19.05.2025</c:v>
                </c:pt>
                <c:pt idx="109">
                  <c:v>20.05.2025</c:v>
                </c:pt>
                <c:pt idx="110">
                  <c:v>21.05.2025</c:v>
                </c:pt>
                <c:pt idx="111">
                  <c:v>22.05.2025</c:v>
                </c:pt>
                <c:pt idx="112">
                  <c:v>23.05.2025</c:v>
                </c:pt>
                <c:pt idx="113">
                  <c:v>26.05.2025</c:v>
                </c:pt>
                <c:pt idx="114">
                  <c:v>27.05.2025</c:v>
                </c:pt>
                <c:pt idx="115">
                  <c:v>28.05.2025</c:v>
                </c:pt>
                <c:pt idx="116">
                  <c:v>29.05.2025</c:v>
                </c:pt>
                <c:pt idx="117">
                  <c:v>30.05.2025</c:v>
                </c:pt>
                <c:pt idx="118">
                  <c:v>02.06.2025</c:v>
                </c:pt>
                <c:pt idx="119">
                  <c:v>03.06.2025</c:v>
                </c:pt>
                <c:pt idx="120">
                  <c:v>04.06.2025</c:v>
                </c:pt>
                <c:pt idx="121">
                  <c:v>05.06.2025</c:v>
                </c:pt>
                <c:pt idx="122">
                  <c:v>06.06.2025</c:v>
                </c:pt>
                <c:pt idx="123">
                  <c:v>09.06.2025</c:v>
                </c:pt>
                <c:pt idx="124">
                  <c:v>10.06.2025</c:v>
                </c:pt>
                <c:pt idx="125">
                  <c:v>11.06.2025</c:v>
                </c:pt>
                <c:pt idx="126">
                  <c:v>12.06.2025</c:v>
                </c:pt>
                <c:pt idx="127">
                  <c:v>13.06.2025</c:v>
                </c:pt>
                <c:pt idx="128">
                  <c:v>16.06.2025</c:v>
                </c:pt>
                <c:pt idx="129">
                  <c:v>17.06.2025</c:v>
                </c:pt>
                <c:pt idx="130">
                  <c:v>18.06.2025</c:v>
                </c:pt>
                <c:pt idx="131">
                  <c:v>19.06.2025</c:v>
                </c:pt>
                <c:pt idx="132">
                  <c:v>20.06.2025</c:v>
                </c:pt>
                <c:pt idx="133">
                  <c:v>23.06.2025</c:v>
                </c:pt>
                <c:pt idx="134">
                  <c:v>24.06.2025</c:v>
                </c:pt>
                <c:pt idx="135">
                  <c:v>25.06.2025</c:v>
                </c:pt>
                <c:pt idx="136">
                  <c:v>26.06.2025</c:v>
                </c:pt>
                <c:pt idx="137">
                  <c:v>27.06.2025</c:v>
                </c:pt>
                <c:pt idx="138">
                  <c:v>30.06.2025</c:v>
                </c:pt>
                <c:pt idx="139">
                  <c:v>01.07.2025</c:v>
                </c:pt>
                <c:pt idx="140">
                  <c:v>02.07.2025</c:v>
                </c:pt>
                <c:pt idx="141">
                  <c:v>03.07.2025</c:v>
                </c:pt>
                <c:pt idx="142">
                  <c:v>04.07.2025</c:v>
                </c:pt>
                <c:pt idx="143">
                  <c:v>07.07.2025</c:v>
                </c:pt>
                <c:pt idx="144">
                  <c:v>08.07.2025</c:v>
                </c:pt>
                <c:pt idx="145">
                  <c:v>09.07.2025</c:v>
                </c:pt>
                <c:pt idx="146">
                  <c:v>10.07.2025</c:v>
                </c:pt>
                <c:pt idx="147">
                  <c:v>11.07.2025</c:v>
                </c:pt>
                <c:pt idx="148">
                  <c:v>14.07.2025</c:v>
                </c:pt>
                <c:pt idx="149">
                  <c:v>15.07.2025</c:v>
                </c:pt>
                <c:pt idx="150">
                  <c:v>16.07.2025</c:v>
                </c:pt>
                <c:pt idx="151">
                  <c:v>17.07.2025</c:v>
                </c:pt>
                <c:pt idx="152">
                  <c:v>18.07.2025</c:v>
                </c:pt>
                <c:pt idx="153">
                  <c:v>21.07.2025</c:v>
                </c:pt>
                <c:pt idx="154">
                  <c:v>22.07.2025</c:v>
                </c:pt>
                <c:pt idx="155">
                  <c:v>23.07.2025</c:v>
                </c:pt>
                <c:pt idx="156">
                  <c:v>24.07.2025</c:v>
                </c:pt>
                <c:pt idx="157">
                  <c:v>25.07.2025</c:v>
                </c:pt>
                <c:pt idx="158">
                  <c:v>28.07.2025</c:v>
                </c:pt>
                <c:pt idx="159">
                  <c:v>29.07.2025</c:v>
                </c:pt>
                <c:pt idx="160">
                  <c:v>30.07.2025</c:v>
                </c:pt>
                <c:pt idx="161">
                  <c:v>31.07.2025</c:v>
                </c:pt>
                <c:pt idx="162">
                  <c:v>01.08.2025</c:v>
                </c:pt>
                <c:pt idx="163">
                  <c:v>04.08.2025</c:v>
                </c:pt>
                <c:pt idx="164">
                  <c:v>05.08.2025</c:v>
                </c:pt>
                <c:pt idx="165">
                  <c:v>06.08.2025</c:v>
                </c:pt>
                <c:pt idx="166">
                  <c:v>07.08.2025</c:v>
                </c:pt>
                <c:pt idx="167">
                  <c:v>08.08.2025</c:v>
                </c:pt>
                <c:pt idx="168">
                  <c:v>11.08.2025</c:v>
                </c:pt>
                <c:pt idx="169">
                  <c:v>12.08.2025</c:v>
                </c:pt>
                <c:pt idx="170">
                  <c:v>13.08.2025</c:v>
                </c:pt>
                <c:pt idx="171">
                  <c:v>14.08.2025</c:v>
                </c:pt>
                <c:pt idx="172">
                  <c:v>15.08.2025</c:v>
                </c:pt>
                <c:pt idx="173">
                  <c:v>18.08.2025</c:v>
                </c:pt>
                <c:pt idx="174">
                  <c:v>19.08.2025</c:v>
                </c:pt>
                <c:pt idx="175">
                  <c:v>20.08.2025</c:v>
                </c:pt>
                <c:pt idx="176">
                  <c:v>21.08.2025</c:v>
                </c:pt>
                <c:pt idx="177">
                  <c:v>22.08.2025</c:v>
                </c:pt>
                <c:pt idx="178">
                  <c:v>25.08.2025</c:v>
                </c:pt>
                <c:pt idx="179">
                  <c:v>26.08.2025</c:v>
                </c:pt>
                <c:pt idx="180">
                  <c:v>27.08.2025</c:v>
                </c:pt>
                <c:pt idx="181">
                  <c:v>28.08.2025</c:v>
                </c:pt>
                <c:pt idx="182">
                  <c:v>29.08.2025</c:v>
                </c:pt>
                <c:pt idx="183">
                  <c:v>01.09.2025</c:v>
                </c:pt>
                <c:pt idx="184">
                  <c:v>02.09.2025</c:v>
                </c:pt>
                <c:pt idx="185">
                  <c:v>03.09.2025</c:v>
                </c:pt>
                <c:pt idx="186">
                  <c:v>04.09.2025</c:v>
                </c:pt>
                <c:pt idx="187">
                  <c:v>05.09.2025</c:v>
                </c:pt>
                <c:pt idx="188">
                  <c:v>08.09.2025</c:v>
                </c:pt>
                <c:pt idx="189">
                  <c:v>09.09.2025</c:v>
                </c:pt>
                <c:pt idx="190">
                  <c:v>10.09.2025</c:v>
                </c:pt>
                <c:pt idx="191">
                  <c:v>11.09.2025</c:v>
                </c:pt>
                <c:pt idx="192">
                  <c:v>12.09.2025</c:v>
                </c:pt>
                <c:pt idx="193">
                  <c:v>15.09.2025</c:v>
                </c:pt>
                <c:pt idx="194">
                  <c:v>16.09.2025</c:v>
                </c:pt>
                <c:pt idx="195">
                  <c:v>17.09.2025</c:v>
                </c:pt>
                <c:pt idx="196">
                  <c:v>18.09.2025</c:v>
                </c:pt>
                <c:pt idx="197">
                  <c:v>19.09.2025</c:v>
                </c:pt>
                <c:pt idx="198">
                  <c:v>22.09.2025</c:v>
                </c:pt>
                <c:pt idx="199">
                  <c:v>23.09.2025</c:v>
                </c:pt>
                <c:pt idx="200">
                  <c:v>24.09.2025</c:v>
                </c:pt>
                <c:pt idx="201">
                  <c:v>25.09.2025</c:v>
                </c:pt>
                <c:pt idx="202">
                  <c:v>26.09.2025</c:v>
                </c:pt>
                <c:pt idx="203">
                  <c:v>29.09.2025</c:v>
                </c:pt>
                <c:pt idx="204">
                  <c:v>30.09.2025</c:v>
                </c:pt>
                <c:pt idx="205">
                  <c:v>01.10.2025</c:v>
                </c:pt>
                <c:pt idx="206">
                  <c:v>02.10.2025</c:v>
                </c:pt>
                <c:pt idx="207">
                  <c:v>03.10.2025</c:v>
                </c:pt>
                <c:pt idx="208">
                  <c:v>06.10.2025</c:v>
                </c:pt>
                <c:pt idx="209">
                  <c:v>07.10.2025</c:v>
                </c:pt>
                <c:pt idx="210">
                  <c:v>08.10.2025</c:v>
                </c:pt>
                <c:pt idx="211">
                  <c:v>09.10.2025</c:v>
                </c:pt>
                <c:pt idx="212">
                  <c:v>10.10.2025</c:v>
                </c:pt>
                <c:pt idx="213">
                  <c:v>13.10.2025</c:v>
                </c:pt>
                <c:pt idx="214">
                  <c:v>14.10.2025</c:v>
                </c:pt>
                <c:pt idx="215">
                  <c:v>15.10.2025</c:v>
                </c:pt>
                <c:pt idx="216">
                  <c:v>16.10.2025</c:v>
                </c:pt>
                <c:pt idx="217">
                  <c:v>17.10.2025</c:v>
                </c:pt>
                <c:pt idx="218">
                  <c:v>20.10.2025</c:v>
                </c:pt>
                <c:pt idx="219">
                  <c:v>21.10.2025</c:v>
                </c:pt>
                <c:pt idx="220">
                  <c:v>22.10.2025</c:v>
                </c:pt>
                <c:pt idx="221">
                  <c:v>23.10.2025</c:v>
                </c:pt>
                <c:pt idx="222">
                  <c:v>24.10.2025</c:v>
                </c:pt>
                <c:pt idx="223">
                  <c:v>27.10.2025</c:v>
                </c:pt>
                <c:pt idx="224">
                  <c:v>28.10.2025</c:v>
                </c:pt>
                <c:pt idx="225">
                  <c:v>29.10.2025</c:v>
                </c:pt>
                <c:pt idx="226">
                  <c:v>30.10.2025</c:v>
                </c:pt>
                <c:pt idx="227">
                  <c:v>31.10.2025</c:v>
                </c:pt>
                <c:pt idx="228">
                  <c:v>03.11.2025</c:v>
                </c:pt>
                <c:pt idx="229">
                  <c:v>04.11.2025</c:v>
                </c:pt>
                <c:pt idx="230">
                  <c:v>05.11.2025</c:v>
                </c:pt>
                <c:pt idx="231">
                  <c:v>06.11.2025</c:v>
                </c:pt>
                <c:pt idx="232">
                  <c:v>07.11.2025</c:v>
                </c:pt>
                <c:pt idx="233">
                  <c:v>10.11.2025</c:v>
                </c:pt>
                <c:pt idx="234">
                  <c:v>11.11.2025</c:v>
                </c:pt>
                <c:pt idx="235">
                  <c:v>12.11.2025</c:v>
                </c:pt>
                <c:pt idx="236">
                  <c:v>13.11.2025</c:v>
                </c:pt>
                <c:pt idx="237">
                  <c:v>14.11.2025</c:v>
                </c:pt>
                <c:pt idx="238">
                  <c:v>17.11.2025</c:v>
                </c:pt>
                <c:pt idx="239">
                  <c:v>18.11.2025</c:v>
                </c:pt>
                <c:pt idx="240">
                  <c:v>19.11.2025</c:v>
                </c:pt>
                <c:pt idx="241">
                  <c:v>20.11.2025</c:v>
                </c:pt>
                <c:pt idx="242">
                  <c:v>21.11.2025</c:v>
                </c:pt>
                <c:pt idx="243">
                  <c:v>24.11.2025</c:v>
                </c:pt>
                <c:pt idx="244">
                  <c:v>25.11.2025</c:v>
                </c:pt>
                <c:pt idx="245">
                  <c:v>26.11.2025</c:v>
                </c:pt>
                <c:pt idx="246">
                  <c:v>27.11.2025</c:v>
                </c:pt>
                <c:pt idx="247">
                  <c:v>28.11.2025</c:v>
                </c:pt>
                <c:pt idx="248">
                  <c:v>01.12.2025</c:v>
                </c:pt>
                <c:pt idx="249">
                  <c:v>02.12.2025</c:v>
                </c:pt>
                <c:pt idx="250">
                  <c:v>03.12.2025</c:v>
                </c:pt>
                <c:pt idx="251">
                  <c:v>04.12.2025</c:v>
                </c:pt>
                <c:pt idx="252">
                  <c:v>05.12.2025</c:v>
                </c:pt>
                <c:pt idx="253">
                  <c:v>08.12.2025</c:v>
                </c:pt>
              </c:strCache>
            </c:strRef>
          </c:cat>
          <c:val>
            <c:numRef>
              <c:f>Backtest!$B$5:$B$258</c:f>
              <c:numCache>
                <c:formatCode>0.00%</c:formatCode>
                <c:ptCount val="254"/>
                <c:pt idx="0">
                  <c:v>-0.00530634024222335</c:v>
                </c:pt>
                <c:pt idx="1">
                  <c:v>-0.012692111949668</c:v>
                </c:pt>
                <c:pt idx="2">
                  <c:v>0.0180055799213799</c:v>
                </c:pt>
                <c:pt idx="3">
                  <c:v>0.000594896289665836</c:v>
                </c:pt>
                <c:pt idx="4">
                  <c:v>0.00560871579264971</c:v>
                </c:pt>
                <c:pt idx="5">
                  <c:v>0.0110694502271551</c:v>
                </c:pt>
                <c:pt idx="6">
                  <c:v>0.0159213434998253</c:v>
                </c:pt>
                <c:pt idx="7">
                  <c:v>0.00556550661669768</c:v>
                </c:pt>
                <c:pt idx="8">
                  <c:v>-0.00733763308574922</c:v>
                </c:pt>
                <c:pt idx="9">
                  <c:v>0.00964858412990095</c:v>
                </c:pt>
                <c:pt idx="10">
                  <c:v>-0.00683676802231947</c:v>
                </c:pt>
                <c:pt idx="11">
                  <c:v>0.0110197561300507</c:v>
                </c:pt>
                <c:pt idx="12">
                  <c:v>0.00143910207006425</c:v>
                </c:pt>
                <c:pt idx="13">
                  <c:v>-0.0143346113001683</c:v>
                </c:pt>
                <c:pt idx="14">
                  <c:v>-0.0121884163815026</c:v>
                </c:pt>
                <c:pt idx="15">
                  <c:v>0.00162871269642506</c:v>
                </c:pt>
                <c:pt idx="16">
                  <c:v>-0.0111580311682985</c:v>
                </c:pt>
                <c:pt idx="17">
                  <c:v>-0.00118220615796514</c:v>
                </c:pt>
                <c:pt idx="18">
                  <c:v>0.00346036329370033</c:v>
                </c:pt>
                <c:pt idx="19">
                  <c:v>0.000209523941830142</c:v>
                </c:pt>
                <c:pt idx="20">
                  <c:v>0.00746736829928297</c:v>
                </c:pt>
                <c:pt idx="21">
                  <c:v>-0.0163772056792912</c:v>
                </c:pt>
                <c:pt idx="22">
                  <c:v>0.00191808938637831</c:v>
                </c:pt>
                <c:pt idx="23">
                  <c:v>-0.00644477626509852</c:v>
                </c:pt>
                <c:pt idx="24">
                  <c:v>0.00921302389698309</c:v>
                </c:pt>
                <c:pt idx="25">
                  <c:v>0.0137534386255074</c:v>
                </c:pt>
                <c:pt idx="26">
                  <c:v>-0.0277077864789425</c:v>
                </c:pt>
                <c:pt idx="27">
                  <c:v>0.0210892612079083</c:v>
                </c:pt>
                <c:pt idx="28">
                  <c:v>-0.000462825530388456</c:v>
                </c:pt>
                <c:pt idx="29">
                  <c:v>-0.0130714072868246</c:v>
                </c:pt>
                <c:pt idx="30">
                  <c:v>0.00260298617509917</c:v>
                </c:pt>
                <c:pt idx="31">
                  <c:v>-0.00949112099310404</c:v>
                </c:pt>
                <c:pt idx="32">
                  <c:v>-0.0122713809745996</c:v>
                </c:pt>
                <c:pt idx="33">
                  <c:v>0.0110534268835554</c:v>
                </c:pt>
                <c:pt idx="34">
                  <c:v>0.00665430131285604</c:v>
                </c:pt>
                <c:pt idx="35">
                  <c:v>0.00556880199215251</c:v>
                </c:pt>
                <c:pt idx="36">
                  <c:v>2.20577310416247E-005</c:v>
                </c:pt>
                <c:pt idx="37">
                  <c:v>0.017945274080243</c:v>
                </c:pt>
                <c:pt idx="38">
                  <c:v>0.00356828232803938</c:v>
                </c:pt>
                <c:pt idx="39">
                  <c:v>0.00763542713665504</c:v>
                </c:pt>
                <c:pt idx="40">
                  <c:v>0.00730775134416051</c:v>
                </c:pt>
                <c:pt idx="41">
                  <c:v>0.00847143364260649</c:v>
                </c:pt>
                <c:pt idx="42">
                  <c:v>-0.0113647781717331</c:v>
                </c:pt>
                <c:pt idx="43">
                  <c:v>0.0103111781477725</c:v>
                </c:pt>
                <c:pt idx="44">
                  <c:v>0.0123116989203423</c:v>
                </c:pt>
                <c:pt idx="45">
                  <c:v>-0.0117034484880422</c:v>
                </c:pt>
                <c:pt idx="46">
                  <c:v>-0.0102403379044639</c:v>
                </c:pt>
                <c:pt idx="47">
                  <c:v>-0.0162001231818041</c:v>
                </c:pt>
                <c:pt idx="48">
                  <c:v>-0.00357415759546783</c:v>
                </c:pt>
                <c:pt idx="49">
                  <c:v>0.0132419584925819</c:v>
                </c:pt>
                <c:pt idx="50">
                  <c:v>-0.0174935566705157</c:v>
                </c:pt>
                <c:pt idx="51">
                  <c:v>0.00357403358563951</c:v>
                </c:pt>
                <c:pt idx="52">
                  <c:v>-0.0225678423507341</c:v>
                </c:pt>
                <c:pt idx="53">
                  <c:v>-0.0145494015423532</c:v>
                </c:pt>
                <c:pt idx="54">
                  <c:v>-0.00966219017198909</c:v>
                </c:pt>
                <c:pt idx="55">
                  <c:v>-0.0211297262768026</c:v>
                </c:pt>
                <c:pt idx="56">
                  <c:v>-0.0112906395983814</c:v>
                </c:pt>
                <c:pt idx="57">
                  <c:v>-0.0251302163333247</c:v>
                </c:pt>
                <c:pt idx="58">
                  <c:v>-0.0115664585037302</c:v>
                </c:pt>
                <c:pt idx="59">
                  <c:v>-0.0123063967253061</c:v>
                </c:pt>
                <c:pt idx="60">
                  <c:v>0.00971429716080188</c:v>
                </c:pt>
                <c:pt idx="61">
                  <c:v>0.00818133647047225</c:v>
                </c:pt>
                <c:pt idx="62">
                  <c:v>-1.53233158713406E-005</c:v>
                </c:pt>
                <c:pt idx="63">
                  <c:v>-0.00106232829902138</c:v>
                </c:pt>
                <c:pt idx="64">
                  <c:v>0.0194130023924999</c:v>
                </c:pt>
                <c:pt idx="65">
                  <c:v>0.00180811386150083</c:v>
                </c:pt>
                <c:pt idx="66">
                  <c:v>0.0139501589882669</c:v>
                </c:pt>
                <c:pt idx="67">
                  <c:v>-0.0136662430218262</c:v>
                </c:pt>
                <c:pt idx="68">
                  <c:v>-0.0337128291784392</c:v>
                </c:pt>
                <c:pt idx="69">
                  <c:v>-0.0271280864733935</c:v>
                </c:pt>
                <c:pt idx="70">
                  <c:v>0.019094856327427</c:v>
                </c:pt>
                <c:pt idx="71">
                  <c:v>0.0245209870747827</c:v>
                </c:pt>
                <c:pt idx="72">
                  <c:v>0.026824305306411</c:v>
                </c:pt>
                <c:pt idx="73">
                  <c:v>-0.00345663373827549</c:v>
                </c:pt>
                <c:pt idx="74">
                  <c:v>0.018693442570094</c:v>
                </c:pt>
                <c:pt idx="75">
                  <c:v>0.0458224821270778</c:v>
                </c:pt>
                <c:pt idx="76">
                  <c:v>0.0112097114511398</c:v>
                </c:pt>
                <c:pt idx="77">
                  <c:v>0.00622179680628979</c:v>
                </c:pt>
                <c:pt idx="78">
                  <c:v>0.00666155701015254</c:v>
                </c:pt>
                <c:pt idx="79">
                  <c:v>-0.0120932005396722</c:v>
                </c:pt>
                <c:pt idx="80">
                  <c:v>0.0483861949328139</c:v>
                </c:pt>
                <c:pt idx="81">
                  <c:v>0.0134375063207537</c:v>
                </c:pt>
                <c:pt idx="82">
                  <c:v>-0.0203431738998905</c:v>
                </c:pt>
                <c:pt idx="83">
                  <c:v>-0.000665721755697224</c:v>
                </c:pt>
                <c:pt idx="84">
                  <c:v>-0.0103220534682917</c:v>
                </c:pt>
                <c:pt idx="85">
                  <c:v>-0.0199382755677024</c:v>
                </c:pt>
                <c:pt idx="86">
                  <c:v>-0.0139120314274437</c:v>
                </c:pt>
                <c:pt idx="87">
                  <c:v>0.00167985328842704</c:v>
                </c:pt>
                <c:pt idx="88">
                  <c:v>-0.00258267434405424</c:v>
                </c:pt>
                <c:pt idx="89">
                  <c:v>0.00591587138796683</c:v>
                </c:pt>
                <c:pt idx="90">
                  <c:v>0.0205473886661881</c:v>
                </c:pt>
                <c:pt idx="91">
                  <c:v>-0.0194222192346157</c:v>
                </c:pt>
                <c:pt idx="92">
                  <c:v>-0.0182359093110951</c:v>
                </c:pt>
                <c:pt idx="93">
                  <c:v>-0.0141080683439621</c:v>
                </c:pt>
                <c:pt idx="94">
                  <c:v>0.0039735787953705</c:v>
                </c:pt>
                <c:pt idx="95">
                  <c:v>-0.00458673597769085</c:v>
                </c:pt>
                <c:pt idx="96">
                  <c:v>-0.00417078647928946</c:v>
                </c:pt>
                <c:pt idx="97">
                  <c:v>-0.00324694930731912</c:v>
                </c:pt>
                <c:pt idx="98">
                  <c:v>0.0240975943713846</c:v>
                </c:pt>
                <c:pt idx="99">
                  <c:v>-0.00724009572331749</c:v>
                </c:pt>
                <c:pt idx="100">
                  <c:v>0.0557128387097448</c:v>
                </c:pt>
                <c:pt idx="101">
                  <c:v>-0.0107354352212669</c:v>
                </c:pt>
                <c:pt idx="102">
                  <c:v>0.00675788173353068</c:v>
                </c:pt>
                <c:pt idx="103">
                  <c:v>0.00482909413071033</c:v>
                </c:pt>
                <c:pt idx="104">
                  <c:v>0.00380237916853183</c:v>
                </c:pt>
                <c:pt idx="105">
                  <c:v>0.00462566209006898</c:v>
                </c:pt>
                <c:pt idx="106">
                  <c:v>-0.00519885732650934</c:v>
                </c:pt>
                <c:pt idx="107">
                  <c:v>-0.0107428881799284</c:v>
                </c:pt>
                <c:pt idx="108">
                  <c:v>0.00285021301195891</c:v>
                </c:pt>
                <c:pt idx="109">
                  <c:v>0.0324592757008107</c:v>
                </c:pt>
                <c:pt idx="110">
                  <c:v>0.0133800312469328</c:v>
                </c:pt>
                <c:pt idx="111">
                  <c:v>-0.0272282872245014</c:v>
                </c:pt>
                <c:pt idx="112">
                  <c:v>-0.00702580338281523</c:v>
                </c:pt>
                <c:pt idx="113">
                  <c:v>0.0242113641096556</c:v>
                </c:pt>
                <c:pt idx="114">
                  <c:v>0.0108136253053034</c:v>
                </c:pt>
                <c:pt idx="115">
                  <c:v>0.0159539080398766</c:v>
                </c:pt>
                <c:pt idx="116">
                  <c:v>0.00117744650338711</c:v>
                </c:pt>
                <c:pt idx="117">
                  <c:v>0.0109568551590949</c:v>
                </c:pt>
                <c:pt idx="118">
                  <c:v>0.0135754036307534</c:v>
                </c:pt>
                <c:pt idx="119">
                  <c:v>-0.00452988000910154</c:v>
                </c:pt>
                <c:pt idx="120">
                  <c:v>-0.0208532070380834</c:v>
                </c:pt>
                <c:pt idx="121">
                  <c:v>-0.00941721866976987</c:v>
                </c:pt>
                <c:pt idx="122">
                  <c:v>-0.00343553149172377</c:v>
                </c:pt>
                <c:pt idx="123">
                  <c:v>-0.00619260998871218</c:v>
                </c:pt>
                <c:pt idx="124">
                  <c:v>-0.000167421192668466</c:v>
                </c:pt>
                <c:pt idx="125">
                  <c:v>0.000805428072532494</c:v>
                </c:pt>
                <c:pt idx="126">
                  <c:v>-0.0233615667606197</c:v>
                </c:pt>
                <c:pt idx="127">
                  <c:v>0.0230601992209515</c:v>
                </c:pt>
                <c:pt idx="128">
                  <c:v>0.0163919434102978</c:v>
                </c:pt>
                <c:pt idx="129">
                  <c:v>-0.0269679586285368</c:v>
                </c:pt>
                <c:pt idx="130">
                  <c:v>0.00615885351390031</c:v>
                </c:pt>
                <c:pt idx="131">
                  <c:v>0.0115508226755954</c:v>
                </c:pt>
                <c:pt idx="132">
                  <c:v>0.000601272537809106</c:v>
                </c:pt>
                <c:pt idx="133">
                  <c:v>-0.00405342329630836</c:v>
                </c:pt>
                <c:pt idx="134">
                  <c:v>0.0111139612588025</c:v>
                </c:pt>
                <c:pt idx="135">
                  <c:v>-0.0211677793341353</c:v>
                </c:pt>
                <c:pt idx="136">
                  <c:v>0.00962570349561368</c:v>
                </c:pt>
                <c:pt idx="137">
                  <c:v>0.0456239443127523</c:v>
                </c:pt>
                <c:pt idx="138">
                  <c:v>0.00776429407408412</c:v>
                </c:pt>
                <c:pt idx="139">
                  <c:v>0.0174283324016619</c:v>
                </c:pt>
                <c:pt idx="140">
                  <c:v>-0.0326750171834411</c:v>
                </c:pt>
                <c:pt idx="141">
                  <c:v>-0.00471679094444434</c:v>
                </c:pt>
                <c:pt idx="142">
                  <c:v>0.0202458598401529</c:v>
                </c:pt>
                <c:pt idx="143">
                  <c:v>-0.0119993264529833</c:v>
                </c:pt>
                <c:pt idx="144">
                  <c:v>0.0218144958500437</c:v>
                </c:pt>
                <c:pt idx="145">
                  <c:v>-0.00533640629219176</c:v>
                </c:pt>
                <c:pt idx="146">
                  <c:v>0.0429014326867281</c:v>
                </c:pt>
                <c:pt idx="147">
                  <c:v>0.0204930314063858</c:v>
                </c:pt>
                <c:pt idx="148">
                  <c:v>-0.00477718389760464</c:v>
                </c:pt>
                <c:pt idx="149">
                  <c:v>-0.00466160556862965</c:v>
                </c:pt>
                <c:pt idx="150">
                  <c:v>0.0234733276575387</c:v>
                </c:pt>
                <c:pt idx="151">
                  <c:v>-0.0058837390020376</c:v>
                </c:pt>
                <c:pt idx="152">
                  <c:v>0.00331104178203915</c:v>
                </c:pt>
                <c:pt idx="153">
                  <c:v>-0.00433128270620004</c:v>
                </c:pt>
                <c:pt idx="154">
                  <c:v>-0.00521708963521683</c:v>
                </c:pt>
                <c:pt idx="155">
                  <c:v>0.00209288733080439</c:v>
                </c:pt>
                <c:pt idx="156">
                  <c:v>0.00587958973776812</c:v>
                </c:pt>
                <c:pt idx="157">
                  <c:v>0.00886080068925069</c:v>
                </c:pt>
                <c:pt idx="158">
                  <c:v>-0.0128922972146679</c:v>
                </c:pt>
                <c:pt idx="159">
                  <c:v>0.00100127207605237</c:v>
                </c:pt>
                <c:pt idx="160">
                  <c:v>-0.00445445343157717</c:v>
                </c:pt>
                <c:pt idx="161">
                  <c:v>0.000897190429754336</c:v>
                </c:pt>
                <c:pt idx="162">
                  <c:v>0.0139962457727731</c:v>
                </c:pt>
                <c:pt idx="163">
                  <c:v>0.0137475934325395</c:v>
                </c:pt>
                <c:pt idx="164">
                  <c:v>-0.00671675569383312</c:v>
                </c:pt>
                <c:pt idx="165">
                  <c:v>0.00703979546782336</c:v>
                </c:pt>
                <c:pt idx="166">
                  <c:v>0.00903396380188575</c:v>
                </c:pt>
                <c:pt idx="167">
                  <c:v>0.00942739516807308</c:v>
                </c:pt>
                <c:pt idx="168">
                  <c:v>0.000148410859007114</c:v>
                </c:pt>
                <c:pt idx="169">
                  <c:v>0.0124703449513275</c:v>
                </c:pt>
                <c:pt idx="170">
                  <c:v>0.0200065258793323</c:v>
                </c:pt>
                <c:pt idx="171">
                  <c:v>-0.00156088194960805</c:v>
                </c:pt>
                <c:pt idx="172">
                  <c:v>-0.00866713675669182</c:v>
                </c:pt>
                <c:pt idx="173">
                  <c:v>0.00288429530093053</c:v>
                </c:pt>
                <c:pt idx="174">
                  <c:v>-0.0155751179549106</c:v>
                </c:pt>
                <c:pt idx="175">
                  <c:v>-0.00847845402292077</c:v>
                </c:pt>
                <c:pt idx="176">
                  <c:v>-0.00352746404087256</c:v>
                </c:pt>
                <c:pt idx="177">
                  <c:v>0.00738787709074795</c:v>
                </c:pt>
                <c:pt idx="178">
                  <c:v>-0.0177697765740963</c:v>
                </c:pt>
                <c:pt idx="179">
                  <c:v>-0.00596025105582381</c:v>
                </c:pt>
                <c:pt idx="180">
                  <c:v>0.0144757916245816</c:v>
                </c:pt>
                <c:pt idx="181">
                  <c:v>-0.00310075609751087</c:v>
                </c:pt>
                <c:pt idx="182">
                  <c:v>-0.000666130947500715</c:v>
                </c:pt>
                <c:pt idx="183">
                  <c:v>0.0010811909474169</c:v>
                </c:pt>
                <c:pt idx="184">
                  <c:v>0.00812654939204799</c:v>
                </c:pt>
                <c:pt idx="185">
                  <c:v>0.00628954559439277</c:v>
                </c:pt>
                <c:pt idx="186">
                  <c:v>0.005307485656391</c:v>
                </c:pt>
                <c:pt idx="187">
                  <c:v>-0.00810000996065817</c:v>
                </c:pt>
                <c:pt idx="188">
                  <c:v>-0.00168122124154653</c:v>
                </c:pt>
                <c:pt idx="189">
                  <c:v>-0.0380978533337075</c:v>
                </c:pt>
                <c:pt idx="190">
                  <c:v>0.0168044604733137</c:v>
                </c:pt>
                <c:pt idx="191">
                  <c:v>-0.0117984288484517</c:v>
                </c:pt>
                <c:pt idx="192">
                  <c:v>0.0124741394297771</c:v>
                </c:pt>
                <c:pt idx="193">
                  <c:v>0.0111071442969342</c:v>
                </c:pt>
                <c:pt idx="194">
                  <c:v>-0.00526845880417837</c:v>
                </c:pt>
                <c:pt idx="195">
                  <c:v>0.0154635606455477</c:v>
                </c:pt>
                <c:pt idx="196">
                  <c:v>-0.00586550730519347</c:v>
                </c:pt>
                <c:pt idx="197">
                  <c:v>-0.0109976792311577</c:v>
                </c:pt>
                <c:pt idx="198">
                  <c:v>-0.000787891159229804</c:v>
                </c:pt>
                <c:pt idx="199">
                  <c:v>-0.00137165903488687</c:v>
                </c:pt>
                <c:pt idx="200">
                  <c:v>-0.000644778924440775</c:v>
                </c:pt>
                <c:pt idx="201">
                  <c:v>0.00651722438114267</c:v>
                </c:pt>
                <c:pt idx="202">
                  <c:v>0.0019403348998383</c:v>
                </c:pt>
                <c:pt idx="203">
                  <c:v>-0.00465891839657852</c:v>
                </c:pt>
                <c:pt idx="204">
                  <c:v>-0.00323663722777892</c:v>
                </c:pt>
                <c:pt idx="205">
                  <c:v>0.0105101725809172</c:v>
                </c:pt>
                <c:pt idx="206">
                  <c:v>-0.011372459680036</c:v>
                </c:pt>
                <c:pt idx="207">
                  <c:v>0.00044381760981313</c:v>
                </c:pt>
                <c:pt idx="208">
                  <c:v>0.000508332144715728</c:v>
                </c:pt>
                <c:pt idx="209">
                  <c:v>-0.0167132524845047</c:v>
                </c:pt>
                <c:pt idx="210">
                  <c:v>-0.0126166793573924</c:v>
                </c:pt>
                <c:pt idx="211">
                  <c:v>0.0167930040963545</c:v>
                </c:pt>
                <c:pt idx="212">
                  <c:v>0.0101736074423489</c:v>
                </c:pt>
                <c:pt idx="213">
                  <c:v>0.00922118712844503</c:v>
                </c:pt>
                <c:pt idx="214">
                  <c:v>0.00421365955716173</c:v>
                </c:pt>
                <c:pt idx="215">
                  <c:v>-0.0181700171864625</c:v>
                </c:pt>
                <c:pt idx="216">
                  <c:v>-0.000632680837430206</c:v>
                </c:pt>
                <c:pt idx="217">
                  <c:v>-0.00164098119041884</c:v>
                </c:pt>
                <c:pt idx="218">
                  <c:v>-0.000251577589445929</c:v>
                </c:pt>
                <c:pt idx="219">
                  <c:v>0.00355652144883907</c:v>
                </c:pt>
                <c:pt idx="220">
                  <c:v>0.00702209214811121</c:v>
                </c:pt>
                <c:pt idx="221">
                  <c:v>-0.0100424544966052</c:v>
                </c:pt>
                <c:pt idx="222">
                  <c:v>0.00752589636826571</c:v>
                </c:pt>
                <c:pt idx="223">
                  <c:v>0.000165939986318359</c:v>
                </c:pt>
                <c:pt idx="224">
                  <c:v>-0.0170593854796403</c:v>
                </c:pt>
                <c:pt idx="225">
                  <c:v>0.00708476976485716</c:v>
                </c:pt>
                <c:pt idx="226">
                  <c:v>-0.0119693137600034</c:v>
                </c:pt>
                <c:pt idx="227">
                  <c:v>-0.00564616261710313</c:v>
                </c:pt>
                <c:pt idx="228">
                  <c:v>-0.023111681702977</c:v>
                </c:pt>
                <c:pt idx="229">
                  <c:v>-0.00691319586917998</c:v>
                </c:pt>
                <c:pt idx="230">
                  <c:v>-0.00513547530364157</c:v>
                </c:pt>
                <c:pt idx="231">
                  <c:v>-0.0347073222590788</c:v>
                </c:pt>
                <c:pt idx="232">
                  <c:v>-0.0116773324326162</c:v>
                </c:pt>
                <c:pt idx="233">
                  <c:v>-0.00786816953612129</c:v>
                </c:pt>
                <c:pt idx="234">
                  <c:v>-0.0109897345662364</c:v>
                </c:pt>
                <c:pt idx="235">
                  <c:v>-0.00503179876446359</c:v>
                </c:pt>
                <c:pt idx="236">
                  <c:v>-0.0183014259914478</c:v>
                </c:pt>
                <c:pt idx="237">
                  <c:v>-0.0184020790529331</c:v>
                </c:pt>
                <c:pt idx="238">
                  <c:v>-0.000839543750801603</c:v>
                </c:pt>
                <c:pt idx="239">
                  <c:v>-0.00589971242413073</c:v>
                </c:pt>
                <c:pt idx="240">
                  <c:v>-0.0164401493843049</c:v>
                </c:pt>
                <c:pt idx="241">
                  <c:v>-0.00379239749556672</c:v>
                </c:pt>
                <c:pt idx="242">
                  <c:v>-0.0269932174505972</c:v>
                </c:pt>
                <c:pt idx="243">
                  <c:v>0.00384681616000524</c:v>
                </c:pt>
                <c:pt idx="244">
                  <c:v>-0.00671457881371367</c:v>
                </c:pt>
                <c:pt idx="245">
                  <c:v>0.00417482372910875</c:v>
                </c:pt>
                <c:pt idx="246">
                  <c:v>0.00260816182421272</c:v>
                </c:pt>
                <c:pt idx="247">
                  <c:v>0.00625471528697011</c:v>
                </c:pt>
                <c:pt idx="248">
                  <c:v>0.00109174055048354</c:v>
                </c:pt>
                <c:pt idx="249">
                  <c:v>0.0069362265342179</c:v>
                </c:pt>
                <c:pt idx="250">
                  <c:v>-0.00546324516651561</c:v>
                </c:pt>
                <c:pt idx="251">
                  <c:v>-0.00529703511111028</c:v>
                </c:pt>
                <c:pt idx="252">
                  <c:v>-0.00346167269272161</c:v>
                </c:pt>
                <c:pt idx="253">
                  <c:v>-0.0247044795875322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Backtest!H4</c:f>
              <c:strCache>
                <c:ptCount val="1"/>
                <c:pt idx="0">
                  <c:v>−VaR</c:v>
                </c:pt>
              </c:strCache>
            </c:strRef>
          </c:tx>
          <c:spPr>
            <a:solidFill>
              <a:srgbClr val="be4b48"/>
            </a:solidFill>
            <a:ln w="1188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Backtest!$A$5:$A$258</c:f>
              <c:strCache>
                <c:ptCount val="254"/>
                <c:pt idx="0">
                  <c:v>18.12.2024</c:v>
                </c:pt>
                <c:pt idx="1">
                  <c:v>19.12.2024</c:v>
                </c:pt>
                <c:pt idx="2">
                  <c:v>20.12.2024</c:v>
                </c:pt>
                <c:pt idx="3">
                  <c:v>23.12.2024</c:v>
                </c:pt>
                <c:pt idx="4">
                  <c:v>24.12.2024</c:v>
                </c:pt>
                <c:pt idx="5">
                  <c:v>25.12.2024</c:v>
                </c:pt>
                <c:pt idx="6">
                  <c:v>26.12.2024</c:v>
                </c:pt>
                <c:pt idx="7">
                  <c:v>27.12.2024</c:v>
                </c:pt>
                <c:pt idx="8">
                  <c:v>30.12.2024</c:v>
                </c:pt>
                <c:pt idx="9">
                  <c:v>31.12.2024</c:v>
                </c:pt>
                <c:pt idx="10">
                  <c:v>01.01.2025</c:v>
                </c:pt>
                <c:pt idx="11">
                  <c:v>02.01.2025</c:v>
                </c:pt>
                <c:pt idx="12">
                  <c:v>03.01.2025</c:v>
                </c:pt>
                <c:pt idx="13">
                  <c:v>06.01.2025</c:v>
                </c:pt>
                <c:pt idx="14">
                  <c:v>07.01.2025</c:v>
                </c:pt>
                <c:pt idx="15">
                  <c:v>08.01.2025</c:v>
                </c:pt>
                <c:pt idx="16">
                  <c:v>09.01.2025</c:v>
                </c:pt>
                <c:pt idx="17">
                  <c:v>10.01.2025</c:v>
                </c:pt>
                <c:pt idx="18">
                  <c:v>13.01.2025</c:v>
                </c:pt>
                <c:pt idx="19">
                  <c:v>14.01.2025</c:v>
                </c:pt>
                <c:pt idx="20">
                  <c:v>15.01.2025</c:v>
                </c:pt>
                <c:pt idx="21">
                  <c:v>16.01.2025</c:v>
                </c:pt>
                <c:pt idx="22">
                  <c:v>17.01.2025</c:v>
                </c:pt>
                <c:pt idx="23">
                  <c:v>20.01.2025</c:v>
                </c:pt>
                <c:pt idx="24">
                  <c:v>21.01.2025</c:v>
                </c:pt>
                <c:pt idx="25">
                  <c:v>22.01.2025</c:v>
                </c:pt>
                <c:pt idx="26">
                  <c:v>23.01.2025</c:v>
                </c:pt>
                <c:pt idx="27">
                  <c:v>24.01.2025</c:v>
                </c:pt>
                <c:pt idx="28">
                  <c:v>27.01.2025</c:v>
                </c:pt>
                <c:pt idx="29">
                  <c:v>28.01.2025</c:v>
                </c:pt>
                <c:pt idx="30">
                  <c:v>29.01.2025</c:v>
                </c:pt>
                <c:pt idx="31">
                  <c:v>30.01.2025</c:v>
                </c:pt>
                <c:pt idx="32">
                  <c:v>31.01.2025</c:v>
                </c:pt>
                <c:pt idx="33">
                  <c:v>03.02.2025</c:v>
                </c:pt>
                <c:pt idx="34">
                  <c:v>04.02.2025</c:v>
                </c:pt>
                <c:pt idx="35">
                  <c:v>05.02.2025</c:v>
                </c:pt>
                <c:pt idx="36">
                  <c:v>06.02.2025</c:v>
                </c:pt>
                <c:pt idx="37">
                  <c:v>07.02.2025</c:v>
                </c:pt>
                <c:pt idx="38">
                  <c:v>10.02.2025</c:v>
                </c:pt>
                <c:pt idx="39">
                  <c:v>11.02.2025</c:v>
                </c:pt>
                <c:pt idx="40">
                  <c:v>12.02.2025</c:v>
                </c:pt>
                <c:pt idx="41">
                  <c:v>13.02.2025</c:v>
                </c:pt>
                <c:pt idx="42">
                  <c:v>14.02.2025</c:v>
                </c:pt>
                <c:pt idx="43">
                  <c:v>17.02.2025</c:v>
                </c:pt>
                <c:pt idx="44">
                  <c:v>18.02.2025</c:v>
                </c:pt>
                <c:pt idx="45">
                  <c:v>19.02.2025</c:v>
                </c:pt>
                <c:pt idx="46">
                  <c:v>20.02.2025</c:v>
                </c:pt>
                <c:pt idx="47">
                  <c:v>21.02.2025</c:v>
                </c:pt>
                <c:pt idx="48">
                  <c:v>24.02.2025</c:v>
                </c:pt>
                <c:pt idx="49">
                  <c:v>25.02.2025</c:v>
                </c:pt>
                <c:pt idx="50">
                  <c:v>26.02.2025</c:v>
                </c:pt>
                <c:pt idx="51">
                  <c:v>27.02.2025</c:v>
                </c:pt>
                <c:pt idx="52">
                  <c:v>28.02.2025</c:v>
                </c:pt>
                <c:pt idx="53">
                  <c:v>03.03.2025</c:v>
                </c:pt>
                <c:pt idx="54">
                  <c:v>04.03.2025</c:v>
                </c:pt>
                <c:pt idx="55">
                  <c:v>05.03.2025</c:v>
                </c:pt>
                <c:pt idx="56">
                  <c:v>06.03.2025</c:v>
                </c:pt>
                <c:pt idx="57">
                  <c:v>07.03.2025</c:v>
                </c:pt>
                <c:pt idx="58">
                  <c:v>10.03.2025</c:v>
                </c:pt>
                <c:pt idx="59">
                  <c:v>11.03.2025</c:v>
                </c:pt>
                <c:pt idx="60">
                  <c:v>12.03.2025</c:v>
                </c:pt>
                <c:pt idx="61">
                  <c:v>13.03.2025</c:v>
                </c:pt>
                <c:pt idx="62">
                  <c:v>14.03.2025</c:v>
                </c:pt>
                <c:pt idx="63">
                  <c:v>17.03.2025</c:v>
                </c:pt>
                <c:pt idx="64">
                  <c:v>18.03.2025</c:v>
                </c:pt>
                <c:pt idx="65">
                  <c:v>19.03.2025</c:v>
                </c:pt>
                <c:pt idx="66">
                  <c:v>20.03.2025</c:v>
                </c:pt>
                <c:pt idx="67">
                  <c:v>21.03.2025</c:v>
                </c:pt>
                <c:pt idx="68">
                  <c:v>24.03.2025</c:v>
                </c:pt>
                <c:pt idx="69">
                  <c:v>25.03.2025</c:v>
                </c:pt>
                <c:pt idx="70">
                  <c:v>26.03.2025</c:v>
                </c:pt>
                <c:pt idx="71">
                  <c:v>27.03.2025</c:v>
                </c:pt>
                <c:pt idx="72">
                  <c:v>28.03.2025</c:v>
                </c:pt>
                <c:pt idx="73">
                  <c:v>31.03.2025</c:v>
                </c:pt>
                <c:pt idx="74">
                  <c:v>01.04.2025</c:v>
                </c:pt>
                <c:pt idx="75">
                  <c:v>02.04.2025</c:v>
                </c:pt>
                <c:pt idx="76">
                  <c:v>03.04.2025</c:v>
                </c:pt>
                <c:pt idx="77">
                  <c:v>04.04.2025</c:v>
                </c:pt>
                <c:pt idx="78">
                  <c:v>07.04.2025</c:v>
                </c:pt>
                <c:pt idx="79">
                  <c:v>08.04.2025</c:v>
                </c:pt>
                <c:pt idx="80">
                  <c:v>09.04.2025</c:v>
                </c:pt>
                <c:pt idx="81">
                  <c:v>10.04.2025</c:v>
                </c:pt>
                <c:pt idx="82">
                  <c:v>11.04.2025</c:v>
                </c:pt>
                <c:pt idx="83">
                  <c:v>14.04.2025</c:v>
                </c:pt>
                <c:pt idx="84">
                  <c:v>15.04.2025</c:v>
                </c:pt>
                <c:pt idx="85">
                  <c:v>16.04.2025</c:v>
                </c:pt>
                <c:pt idx="86">
                  <c:v>17.04.2025</c:v>
                </c:pt>
                <c:pt idx="87">
                  <c:v>18.04.2025</c:v>
                </c:pt>
                <c:pt idx="88">
                  <c:v>21.04.2025</c:v>
                </c:pt>
                <c:pt idx="89">
                  <c:v>22.04.2025</c:v>
                </c:pt>
                <c:pt idx="90">
                  <c:v>23.04.2025</c:v>
                </c:pt>
                <c:pt idx="91">
                  <c:v>24.04.2025</c:v>
                </c:pt>
                <c:pt idx="92">
                  <c:v>25.04.2025</c:v>
                </c:pt>
                <c:pt idx="93">
                  <c:v>28.04.2025</c:v>
                </c:pt>
                <c:pt idx="94">
                  <c:v>29.04.2025</c:v>
                </c:pt>
                <c:pt idx="95">
                  <c:v>30.04.2025</c:v>
                </c:pt>
                <c:pt idx="96">
                  <c:v>01.05.2025</c:v>
                </c:pt>
                <c:pt idx="97">
                  <c:v>02.05.2025</c:v>
                </c:pt>
                <c:pt idx="98">
                  <c:v>05.05.2025</c:v>
                </c:pt>
                <c:pt idx="99">
                  <c:v>06.05.2025</c:v>
                </c:pt>
                <c:pt idx="100">
                  <c:v>07.05.2025</c:v>
                </c:pt>
                <c:pt idx="101">
                  <c:v>08.05.2025</c:v>
                </c:pt>
                <c:pt idx="102">
                  <c:v>09.05.2025</c:v>
                </c:pt>
                <c:pt idx="103">
                  <c:v>12.05.2025</c:v>
                </c:pt>
                <c:pt idx="104">
                  <c:v>13.05.2025</c:v>
                </c:pt>
                <c:pt idx="105">
                  <c:v>14.05.2025</c:v>
                </c:pt>
                <c:pt idx="106">
                  <c:v>15.05.2025</c:v>
                </c:pt>
                <c:pt idx="107">
                  <c:v>16.05.2025</c:v>
                </c:pt>
                <c:pt idx="108">
                  <c:v>19.05.2025</c:v>
                </c:pt>
                <c:pt idx="109">
                  <c:v>20.05.2025</c:v>
                </c:pt>
                <c:pt idx="110">
                  <c:v>21.05.2025</c:v>
                </c:pt>
                <c:pt idx="111">
                  <c:v>22.05.2025</c:v>
                </c:pt>
                <c:pt idx="112">
                  <c:v>23.05.2025</c:v>
                </c:pt>
                <c:pt idx="113">
                  <c:v>26.05.2025</c:v>
                </c:pt>
                <c:pt idx="114">
                  <c:v>27.05.2025</c:v>
                </c:pt>
                <c:pt idx="115">
                  <c:v>28.05.2025</c:v>
                </c:pt>
                <c:pt idx="116">
                  <c:v>29.05.2025</c:v>
                </c:pt>
                <c:pt idx="117">
                  <c:v>30.05.2025</c:v>
                </c:pt>
                <c:pt idx="118">
                  <c:v>02.06.2025</c:v>
                </c:pt>
                <c:pt idx="119">
                  <c:v>03.06.2025</c:v>
                </c:pt>
                <c:pt idx="120">
                  <c:v>04.06.2025</c:v>
                </c:pt>
                <c:pt idx="121">
                  <c:v>05.06.2025</c:v>
                </c:pt>
                <c:pt idx="122">
                  <c:v>06.06.2025</c:v>
                </c:pt>
                <c:pt idx="123">
                  <c:v>09.06.2025</c:v>
                </c:pt>
                <c:pt idx="124">
                  <c:v>10.06.2025</c:v>
                </c:pt>
                <c:pt idx="125">
                  <c:v>11.06.2025</c:v>
                </c:pt>
                <c:pt idx="126">
                  <c:v>12.06.2025</c:v>
                </c:pt>
                <c:pt idx="127">
                  <c:v>13.06.2025</c:v>
                </c:pt>
                <c:pt idx="128">
                  <c:v>16.06.2025</c:v>
                </c:pt>
                <c:pt idx="129">
                  <c:v>17.06.2025</c:v>
                </c:pt>
                <c:pt idx="130">
                  <c:v>18.06.2025</c:v>
                </c:pt>
                <c:pt idx="131">
                  <c:v>19.06.2025</c:v>
                </c:pt>
                <c:pt idx="132">
                  <c:v>20.06.2025</c:v>
                </c:pt>
                <c:pt idx="133">
                  <c:v>23.06.2025</c:v>
                </c:pt>
                <c:pt idx="134">
                  <c:v>24.06.2025</c:v>
                </c:pt>
                <c:pt idx="135">
                  <c:v>25.06.2025</c:v>
                </c:pt>
                <c:pt idx="136">
                  <c:v>26.06.2025</c:v>
                </c:pt>
                <c:pt idx="137">
                  <c:v>27.06.2025</c:v>
                </c:pt>
                <c:pt idx="138">
                  <c:v>30.06.2025</c:v>
                </c:pt>
                <c:pt idx="139">
                  <c:v>01.07.2025</c:v>
                </c:pt>
                <c:pt idx="140">
                  <c:v>02.07.2025</c:v>
                </c:pt>
                <c:pt idx="141">
                  <c:v>03.07.2025</c:v>
                </c:pt>
                <c:pt idx="142">
                  <c:v>04.07.2025</c:v>
                </c:pt>
                <c:pt idx="143">
                  <c:v>07.07.2025</c:v>
                </c:pt>
                <c:pt idx="144">
                  <c:v>08.07.2025</c:v>
                </c:pt>
                <c:pt idx="145">
                  <c:v>09.07.2025</c:v>
                </c:pt>
                <c:pt idx="146">
                  <c:v>10.07.2025</c:v>
                </c:pt>
                <c:pt idx="147">
                  <c:v>11.07.2025</c:v>
                </c:pt>
                <c:pt idx="148">
                  <c:v>14.07.2025</c:v>
                </c:pt>
                <c:pt idx="149">
                  <c:v>15.07.2025</c:v>
                </c:pt>
                <c:pt idx="150">
                  <c:v>16.07.2025</c:v>
                </c:pt>
                <c:pt idx="151">
                  <c:v>17.07.2025</c:v>
                </c:pt>
                <c:pt idx="152">
                  <c:v>18.07.2025</c:v>
                </c:pt>
                <c:pt idx="153">
                  <c:v>21.07.2025</c:v>
                </c:pt>
                <c:pt idx="154">
                  <c:v>22.07.2025</c:v>
                </c:pt>
                <c:pt idx="155">
                  <c:v>23.07.2025</c:v>
                </c:pt>
                <c:pt idx="156">
                  <c:v>24.07.2025</c:v>
                </c:pt>
                <c:pt idx="157">
                  <c:v>25.07.2025</c:v>
                </c:pt>
                <c:pt idx="158">
                  <c:v>28.07.2025</c:v>
                </c:pt>
                <c:pt idx="159">
                  <c:v>29.07.2025</c:v>
                </c:pt>
                <c:pt idx="160">
                  <c:v>30.07.2025</c:v>
                </c:pt>
                <c:pt idx="161">
                  <c:v>31.07.2025</c:v>
                </c:pt>
                <c:pt idx="162">
                  <c:v>01.08.2025</c:v>
                </c:pt>
                <c:pt idx="163">
                  <c:v>04.08.2025</c:v>
                </c:pt>
                <c:pt idx="164">
                  <c:v>05.08.2025</c:v>
                </c:pt>
                <c:pt idx="165">
                  <c:v>06.08.2025</c:v>
                </c:pt>
                <c:pt idx="166">
                  <c:v>07.08.2025</c:v>
                </c:pt>
                <c:pt idx="167">
                  <c:v>08.08.2025</c:v>
                </c:pt>
                <c:pt idx="168">
                  <c:v>11.08.2025</c:v>
                </c:pt>
                <c:pt idx="169">
                  <c:v>12.08.2025</c:v>
                </c:pt>
                <c:pt idx="170">
                  <c:v>13.08.2025</c:v>
                </c:pt>
                <c:pt idx="171">
                  <c:v>14.08.2025</c:v>
                </c:pt>
                <c:pt idx="172">
                  <c:v>15.08.2025</c:v>
                </c:pt>
                <c:pt idx="173">
                  <c:v>18.08.2025</c:v>
                </c:pt>
                <c:pt idx="174">
                  <c:v>19.08.2025</c:v>
                </c:pt>
                <c:pt idx="175">
                  <c:v>20.08.2025</c:v>
                </c:pt>
                <c:pt idx="176">
                  <c:v>21.08.2025</c:v>
                </c:pt>
                <c:pt idx="177">
                  <c:v>22.08.2025</c:v>
                </c:pt>
                <c:pt idx="178">
                  <c:v>25.08.2025</c:v>
                </c:pt>
                <c:pt idx="179">
                  <c:v>26.08.2025</c:v>
                </c:pt>
                <c:pt idx="180">
                  <c:v>27.08.2025</c:v>
                </c:pt>
                <c:pt idx="181">
                  <c:v>28.08.2025</c:v>
                </c:pt>
                <c:pt idx="182">
                  <c:v>29.08.2025</c:v>
                </c:pt>
                <c:pt idx="183">
                  <c:v>01.09.2025</c:v>
                </c:pt>
                <c:pt idx="184">
                  <c:v>02.09.2025</c:v>
                </c:pt>
                <c:pt idx="185">
                  <c:v>03.09.2025</c:v>
                </c:pt>
                <c:pt idx="186">
                  <c:v>04.09.2025</c:v>
                </c:pt>
                <c:pt idx="187">
                  <c:v>05.09.2025</c:v>
                </c:pt>
                <c:pt idx="188">
                  <c:v>08.09.2025</c:v>
                </c:pt>
                <c:pt idx="189">
                  <c:v>09.09.2025</c:v>
                </c:pt>
                <c:pt idx="190">
                  <c:v>10.09.2025</c:v>
                </c:pt>
                <c:pt idx="191">
                  <c:v>11.09.2025</c:v>
                </c:pt>
                <c:pt idx="192">
                  <c:v>12.09.2025</c:v>
                </c:pt>
                <c:pt idx="193">
                  <c:v>15.09.2025</c:v>
                </c:pt>
                <c:pt idx="194">
                  <c:v>16.09.2025</c:v>
                </c:pt>
                <c:pt idx="195">
                  <c:v>17.09.2025</c:v>
                </c:pt>
                <c:pt idx="196">
                  <c:v>18.09.2025</c:v>
                </c:pt>
                <c:pt idx="197">
                  <c:v>19.09.2025</c:v>
                </c:pt>
                <c:pt idx="198">
                  <c:v>22.09.2025</c:v>
                </c:pt>
                <c:pt idx="199">
                  <c:v>23.09.2025</c:v>
                </c:pt>
                <c:pt idx="200">
                  <c:v>24.09.2025</c:v>
                </c:pt>
                <c:pt idx="201">
                  <c:v>25.09.2025</c:v>
                </c:pt>
                <c:pt idx="202">
                  <c:v>26.09.2025</c:v>
                </c:pt>
                <c:pt idx="203">
                  <c:v>29.09.2025</c:v>
                </c:pt>
                <c:pt idx="204">
                  <c:v>30.09.2025</c:v>
                </c:pt>
                <c:pt idx="205">
                  <c:v>01.10.2025</c:v>
                </c:pt>
                <c:pt idx="206">
                  <c:v>02.10.2025</c:v>
                </c:pt>
                <c:pt idx="207">
                  <c:v>03.10.2025</c:v>
                </c:pt>
                <c:pt idx="208">
                  <c:v>06.10.2025</c:v>
                </c:pt>
                <c:pt idx="209">
                  <c:v>07.10.2025</c:v>
                </c:pt>
                <c:pt idx="210">
                  <c:v>08.10.2025</c:v>
                </c:pt>
                <c:pt idx="211">
                  <c:v>09.10.2025</c:v>
                </c:pt>
                <c:pt idx="212">
                  <c:v>10.10.2025</c:v>
                </c:pt>
                <c:pt idx="213">
                  <c:v>13.10.2025</c:v>
                </c:pt>
                <c:pt idx="214">
                  <c:v>14.10.2025</c:v>
                </c:pt>
                <c:pt idx="215">
                  <c:v>15.10.2025</c:v>
                </c:pt>
                <c:pt idx="216">
                  <c:v>16.10.2025</c:v>
                </c:pt>
                <c:pt idx="217">
                  <c:v>17.10.2025</c:v>
                </c:pt>
                <c:pt idx="218">
                  <c:v>20.10.2025</c:v>
                </c:pt>
                <c:pt idx="219">
                  <c:v>21.10.2025</c:v>
                </c:pt>
                <c:pt idx="220">
                  <c:v>22.10.2025</c:v>
                </c:pt>
                <c:pt idx="221">
                  <c:v>23.10.2025</c:v>
                </c:pt>
                <c:pt idx="222">
                  <c:v>24.10.2025</c:v>
                </c:pt>
                <c:pt idx="223">
                  <c:v>27.10.2025</c:v>
                </c:pt>
                <c:pt idx="224">
                  <c:v>28.10.2025</c:v>
                </c:pt>
                <c:pt idx="225">
                  <c:v>29.10.2025</c:v>
                </c:pt>
                <c:pt idx="226">
                  <c:v>30.10.2025</c:v>
                </c:pt>
                <c:pt idx="227">
                  <c:v>31.10.2025</c:v>
                </c:pt>
                <c:pt idx="228">
                  <c:v>03.11.2025</c:v>
                </c:pt>
                <c:pt idx="229">
                  <c:v>04.11.2025</c:v>
                </c:pt>
                <c:pt idx="230">
                  <c:v>05.11.2025</c:v>
                </c:pt>
                <c:pt idx="231">
                  <c:v>06.11.2025</c:v>
                </c:pt>
                <c:pt idx="232">
                  <c:v>07.11.2025</c:v>
                </c:pt>
                <c:pt idx="233">
                  <c:v>10.11.2025</c:v>
                </c:pt>
                <c:pt idx="234">
                  <c:v>11.11.2025</c:v>
                </c:pt>
                <c:pt idx="235">
                  <c:v>12.11.2025</c:v>
                </c:pt>
                <c:pt idx="236">
                  <c:v>13.11.2025</c:v>
                </c:pt>
                <c:pt idx="237">
                  <c:v>14.11.2025</c:v>
                </c:pt>
                <c:pt idx="238">
                  <c:v>17.11.2025</c:v>
                </c:pt>
                <c:pt idx="239">
                  <c:v>18.11.2025</c:v>
                </c:pt>
                <c:pt idx="240">
                  <c:v>19.11.2025</c:v>
                </c:pt>
                <c:pt idx="241">
                  <c:v>20.11.2025</c:v>
                </c:pt>
                <c:pt idx="242">
                  <c:v>21.11.2025</c:v>
                </c:pt>
                <c:pt idx="243">
                  <c:v>24.11.2025</c:v>
                </c:pt>
                <c:pt idx="244">
                  <c:v>25.11.2025</c:v>
                </c:pt>
                <c:pt idx="245">
                  <c:v>26.11.2025</c:v>
                </c:pt>
                <c:pt idx="246">
                  <c:v>27.11.2025</c:v>
                </c:pt>
                <c:pt idx="247">
                  <c:v>28.11.2025</c:v>
                </c:pt>
                <c:pt idx="248">
                  <c:v>01.12.2025</c:v>
                </c:pt>
                <c:pt idx="249">
                  <c:v>02.12.2025</c:v>
                </c:pt>
                <c:pt idx="250">
                  <c:v>03.12.2025</c:v>
                </c:pt>
                <c:pt idx="251">
                  <c:v>04.12.2025</c:v>
                </c:pt>
                <c:pt idx="252">
                  <c:v>05.12.2025</c:v>
                </c:pt>
                <c:pt idx="253">
                  <c:v>08.12.2025</c:v>
                </c:pt>
              </c:strCache>
            </c:strRef>
          </c:cat>
          <c:val>
            <c:numRef>
              <c:f>Backtest!$H$5:$H$258</c:f>
              <c:numCache>
                <c:formatCode>0.00%</c:formatCode>
                <c:ptCount val="254"/>
                <c:pt idx="0">
                  <c:v>-0.0281841057360288</c:v>
                </c:pt>
                <c:pt idx="1">
                  <c:v>-0.0282426898337272</c:v>
                </c:pt>
                <c:pt idx="2">
                  <c:v>-0.0283052961613354</c:v>
                </c:pt>
                <c:pt idx="3">
                  <c:v>-0.0283440290120304</c:v>
                </c:pt>
                <c:pt idx="4">
                  <c:v>-0.0283593949584372</c:v>
                </c:pt>
                <c:pt idx="5">
                  <c:v>-0.0282075195239486</c:v>
                </c:pt>
                <c:pt idx="6">
                  <c:v>-0.0281973734051482</c:v>
                </c:pt>
                <c:pt idx="7">
                  <c:v>-0.028069769455541</c:v>
                </c:pt>
                <c:pt idx="8">
                  <c:v>-0.0277860233589445</c:v>
                </c:pt>
                <c:pt idx="9">
                  <c:v>-0.0278192959061636</c:v>
                </c:pt>
                <c:pt idx="10">
                  <c:v>-0.0277519911477383</c:v>
                </c:pt>
                <c:pt idx="11">
                  <c:v>-0.0278172646384859</c:v>
                </c:pt>
                <c:pt idx="12">
                  <c:v>-0.027821146149886</c:v>
                </c:pt>
                <c:pt idx="13">
                  <c:v>-0.0278097721793472</c:v>
                </c:pt>
                <c:pt idx="14">
                  <c:v>-0.0279071678277106</c:v>
                </c:pt>
                <c:pt idx="15">
                  <c:v>-0.0280110720380824</c:v>
                </c:pt>
                <c:pt idx="16">
                  <c:v>-0.0280241614076305</c:v>
                </c:pt>
                <c:pt idx="17">
                  <c:v>-0.028080454828296</c:v>
                </c:pt>
                <c:pt idx="18">
                  <c:v>-0.0281075763077555</c:v>
                </c:pt>
                <c:pt idx="19">
                  <c:v>-0.0280880344335821</c:v>
                </c:pt>
                <c:pt idx="20">
                  <c:v>-0.0281009465517423</c:v>
                </c:pt>
                <c:pt idx="21">
                  <c:v>-0.0280983244317601</c:v>
                </c:pt>
                <c:pt idx="22">
                  <c:v>-0.0282911136679469</c:v>
                </c:pt>
                <c:pt idx="23">
                  <c:v>-0.028288047278991</c:v>
                </c:pt>
                <c:pt idx="24">
                  <c:v>-0.0283363516529257</c:v>
                </c:pt>
                <c:pt idx="25">
                  <c:v>-0.0281453296762152</c:v>
                </c:pt>
                <c:pt idx="26">
                  <c:v>-0.028151922949148</c:v>
                </c:pt>
                <c:pt idx="27">
                  <c:v>-0.0285913155834236</c:v>
                </c:pt>
                <c:pt idx="28">
                  <c:v>-0.0286217312489067</c:v>
                </c:pt>
                <c:pt idx="29">
                  <c:v>-0.0286270412205608</c:v>
                </c:pt>
                <c:pt idx="30">
                  <c:v>-0.0287718461609408</c:v>
                </c:pt>
                <c:pt idx="31">
                  <c:v>-0.0287795388922252</c:v>
                </c:pt>
                <c:pt idx="32">
                  <c:v>-0.028857376397793</c:v>
                </c:pt>
                <c:pt idx="33">
                  <c:v>-0.0289347220654926</c:v>
                </c:pt>
                <c:pt idx="34">
                  <c:v>-0.028932407798565</c:v>
                </c:pt>
                <c:pt idx="35">
                  <c:v>-0.0289208276443924</c:v>
                </c:pt>
                <c:pt idx="36">
                  <c:v>-0.0287899561288762</c:v>
                </c:pt>
                <c:pt idx="37">
                  <c:v>-0.0278346428951837</c:v>
                </c:pt>
                <c:pt idx="38">
                  <c:v>-0.0278718817559544</c:v>
                </c:pt>
                <c:pt idx="39">
                  <c:v>-0.0278118687256034</c:v>
                </c:pt>
                <c:pt idx="40">
                  <c:v>-0.0278107412131075</c:v>
                </c:pt>
                <c:pt idx="41">
                  <c:v>-0.027790523267431</c:v>
                </c:pt>
                <c:pt idx="42">
                  <c:v>-0.0277817362417722</c:v>
                </c:pt>
                <c:pt idx="43">
                  <c:v>-0.0279068813147566</c:v>
                </c:pt>
                <c:pt idx="44">
                  <c:v>-0.0278885066818628</c:v>
                </c:pt>
                <c:pt idx="45">
                  <c:v>-0.0278888787958584</c:v>
                </c:pt>
                <c:pt idx="46">
                  <c:v>-0.0273428458651876</c:v>
                </c:pt>
                <c:pt idx="47">
                  <c:v>-0.0267534301642817</c:v>
                </c:pt>
                <c:pt idx="48">
                  <c:v>-0.0269148432073002</c:v>
                </c:pt>
                <c:pt idx="49">
                  <c:v>-0.0264159307309165</c:v>
                </c:pt>
                <c:pt idx="50">
                  <c:v>-0.0263848818681992</c:v>
                </c:pt>
                <c:pt idx="51">
                  <c:v>-0.0266135931511104</c:v>
                </c:pt>
                <c:pt idx="52">
                  <c:v>-0.0265298003284192</c:v>
                </c:pt>
                <c:pt idx="53">
                  <c:v>-0.0267777205040945</c:v>
                </c:pt>
                <c:pt idx="54">
                  <c:v>-0.0269083705504581</c:v>
                </c:pt>
                <c:pt idx="55">
                  <c:v>-0.0268653286817315</c:v>
                </c:pt>
                <c:pt idx="56">
                  <c:v>-0.0271470612247448</c:v>
                </c:pt>
                <c:pt idx="57">
                  <c:v>-0.02662968291519</c:v>
                </c:pt>
                <c:pt idx="58">
                  <c:v>-0.0268395453649204</c:v>
                </c:pt>
                <c:pt idx="59">
                  <c:v>-0.0269595633044636</c:v>
                </c:pt>
                <c:pt idx="60">
                  <c:v>-0.0267126620676491</c:v>
                </c:pt>
                <c:pt idx="61">
                  <c:v>-0.0265839477267041</c:v>
                </c:pt>
                <c:pt idx="62">
                  <c:v>-0.0265815539564251</c:v>
                </c:pt>
                <c:pt idx="63">
                  <c:v>-0.0265837910138028</c:v>
                </c:pt>
                <c:pt idx="64">
                  <c:v>-0.0252079243129318</c:v>
                </c:pt>
                <c:pt idx="65">
                  <c:v>-0.0251692975098006</c:v>
                </c:pt>
                <c:pt idx="66">
                  <c:v>-0.0245285990222725</c:v>
                </c:pt>
                <c:pt idx="67">
                  <c:v>-0.0245370410099197</c:v>
                </c:pt>
                <c:pt idx="68">
                  <c:v>-0.0239892217207565</c:v>
                </c:pt>
                <c:pt idx="69">
                  <c:v>-0.0246238212716176</c:v>
                </c:pt>
                <c:pt idx="70">
                  <c:v>-0.0249595402357498</c:v>
                </c:pt>
                <c:pt idx="71">
                  <c:v>-0.0249263018055031</c:v>
                </c:pt>
                <c:pt idx="72">
                  <c:v>-0.0249860652243967</c:v>
                </c:pt>
                <c:pt idx="73">
                  <c:v>-0.025118276453343</c:v>
                </c:pt>
                <c:pt idx="74">
                  <c:v>-0.0250584672404431</c:v>
                </c:pt>
                <c:pt idx="75">
                  <c:v>-0.0251193507529168</c:v>
                </c:pt>
                <c:pt idx="76">
                  <c:v>-0.025751899065713</c:v>
                </c:pt>
                <c:pt idx="77">
                  <c:v>-0.0257300204446111</c:v>
                </c:pt>
                <c:pt idx="78">
                  <c:v>-0.0257290638399494</c:v>
                </c:pt>
                <c:pt idx="79">
                  <c:v>-0.0254451385409656</c:v>
                </c:pt>
                <c:pt idx="80">
                  <c:v>-0.0255779662815416</c:v>
                </c:pt>
                <c:pt idx="81">
                  <c:v>-0.0262629811611854</c:v>
                </c:pt>
                <c:pt idx="82">
                  <c:v>-0.0262348402952222</c:v>
                </c:pt>
                <c:pt idx="83">
                  <c:v>-0.0263464983681636</c:v>
                </c:pt>
                <c:pt idx="84">
                  <c:v>-0.0263638678361821</c:v>
                </c:pt>
                <c:pt idx="85">
                  <c:v>-0.0264428436774383</c:v>
                </c:pt>
                <c:pt idx="86">
                  <c:v>-0.0267012904121454</c:v>
                </c:pt>
                <c:pt idx="87">
                  <c:v>-0.0268576843788043</c:v>
                </c:pt>
                <c:pt idx="88">
                  <c:v>-0.0265509029623186</c:v>
                </c:pt>
                <c:pt idx="89">
                  <c:v>-0.026580024435775</c:v>
                </c:pt>
                <c:pt idx="90">
                  <c:v>-0.0265791937052738</c:v>
                </c:pt>
                <c:pt idx="91">
                  <c:v>-0.0266065725182668</c:v>
                </c:pt>
                <c:pt idx="92">
                  <c:v>-0.0268623336519689</c:v>
                </c:pt>
                <c:pt idx="93">
                  <c:v>-0.0270271811955082</c:v>
                </c:pt>
                <c:pt idx="94">
                  <c:v>-0.0271703650442779</c:v>
                </c:pt>
                <c:pt idx="95">
                  <c:v>-0.0271687009087367</c:v>
                </c:pt>
                <c:pt idx="96">
                  <c:v>-0.0271072251409112</c:v>
                </c:pt>
                <c:pt idx="97">
                  <c:v>-0.0270738461900744</c:v>
                </c:pt>
                <c:pt idx="98">
                  <c:v>-0.0271032801075328</c:v>
                </c:pt>
                <c:pt idx="99">
                  <c:v>-0.0272215721686804</c:v>
                </c:pt>
                <c:pt idx="100">
                  <c:v>-0.0272744487915566</c:v>
                </c:pt>
                <c:pt idx="101">
                  <c:v>-0.0281354432035667</c:v>
                </c:pt>
                <c:pt idx="102">
                  <c:v>-0.0282416290407166</c:v>
                </c:pt>
                <c:pt idx="103">
                  <c:v>-0.0282375904959663</c:v>
                </c:pt>
                <c:pt idx="104">
                  <c:v>-0.0282377681049562</c:v>
                </c:pt>
                <c:pt idx="105">
                  <c:v>-0.0282103577226506</c:v>
                </c:pt>
                <c:pt idx="106">
                  <c:v>-0.0281014701044974</c:v>
                </c:pt>
                <c:pt idx="107">
                  <c:v>-0.0281160958233776</c:v>
                </c:pt>
                <c:pt idx="108">
                  <c:v>-0.0281885893323267</c:v>
                </c:pt>
                <c:pt idx="109">
                  <c:v>-0.0281257811969979</c:v>
                </c:pt>
                <c:pt idx="110">
                  <c:v>-0.0283456484760072</c:v>
                </c:pt>
                <c:pt idx="111">
                  <c:v>-0.0282817044207187</c:v>
                </c:pt>
                <c:pt idx="112">
                  <c:v>-0.0286996778857818</c:v>
                </c:pt>
                <c:pt idx="113">
                  <c:v>-0.028663062449648</c:v>
                </c:pt>
                <c:pt idx="114">
                  <c:v>-0.0287612476853147</c:v>
                </c:pt>
                <c:pt idx="115">
                  <c:v>-0.028350473678653</c:v>
                </c:pt>
                <c:pt idx="116">
                  <c:v>-0.0279663128282118</c:v>
                </c:pt>
                <c:pt idx="117">
                  <c:v>-0.0279586692401712</c:v>
                </c:pt>
                <c:pt idx="118">
                  <c:v>-0.0279578005891207</c:v>
                </c:pt>
                <c:pt idx="119">
                  <c:v>-0.0279001124371568</c:v>
                </c:pt>
                <c:pt idx="120">
                  <c:v>-0.0279019323335127</c:v>
                </c:pt>
                <c:pt idx="121">
                  <c:v>-0.0281802235505279</c:v>
                </c:pt>
                <c:pt idx="122">
                  <c:v>-0.0282639863649065</c:v>
                </c:pt>
                <c:pt idx="123">
                  <c:v>-0.0281182889655219</c:v>
                </c:pt>
                <c:pt idx="124">
                  <c:v>-0.0281802290489865</c:v>
                </c:pt>
                <c:pt idx="125">
                  <c:v>-0.0281930392594445</c:v>
                </c:pt>
                <c:pt idx="126">
                  <c:v>-0.02817181202477</c:v>
                </c:pt>
                <c:pt idx="127">
                  <c:v>-0.0284240343966998</c:v>
                </c:pt>
                <c:pt idx="128">
                  <c:v>-0.0285100728493333</c:v>
                </c:pt>
                <c:pt idx="129">
                  <c:v>-0.0285329423667573</c:v>
                </c:pt>
                <c:pt idx="130">
                  <c:v>-0.0289041000542189</c:v>
                </c:pt>
                <c:pt idx="131">
                  <c:v>-0.0289042356642949</c:v>
                </c:pt>
                <c:pt idx="132">
                  <c:v>-0.0288138599217837</c:v>
                </c:pt>
                <c:pt idx="133">
                  <c:v>-0.0288202416725059</c:v>
                </c:pt>
                <c:pt idx="134">
                  <c:v>-0.0288262236031977</c:v>
                </c:pt>
                <c:pt idx="135">
                  <c:v>-0.0287912133220436</c:v>
                </c:pt>
                <c:pt idx="136">
                  <c:v>-0.0290721314719814</c:v>
                </c:pt>
                <c:pt idx="137">
                  <c:v>-0.0290647917046837</c:v>
                </c:pt>
                <c:pt idx="138">
                  <c:v>-0.0295818665571159</c:v>
                </c:pt>
                <c:pt idx="139">
                  <c:v>-0.0295721223477842</c:v>
                </c:pt>
                <c:pt idx="140">
                  <c:v>-0.0295874945743722</c:v>
                </c:pt>
                <c:pt idx="141">
                  <c:v>-0.0301366126433854</c:v>
                </c:pt>
                <c:pt idx="142">
                  <c:v>-0.0301629325357064</c:v>
                </c:pt>
                <c:pt idx="143">
                  <c:v>-0.0301193143391042</c:v>
                </c:pt>
                <c:pt idx="144">
                  <c:v>-0.0302378408613362</c:v>
                </c:pt>
                <c:pt idx="145">
                  <c:v>-0.0301568759145942</c:v>
                </c:pt>
                <c:pt idx="146">
                  <c:v>-0.0300974939583005</c:v>
                </c:pt>
                <c:pt idx="147">
                  <c:v>-0.0305262784002452</c:v>
                </c:pt>
                <c:pt idx="148">
                  <c:v>-0.0304675249271535</c:v>
                </c:pt>
                <c:pt idx="149">
                  <c:v>-0.0305072446247971</c:v>
                </c:pt>
                <c:pt idx="150">
                  <c:v>-0.0305529328269244</c:v>
                </c:pt>
                <c:pt idx="151">
                  <c:v>-0.0306409691530195</c:v>
                </c:pt>
                <c:pt idx="152">
                  <c:v>-0.0306242534588699</c:v>
                </c:pt>
                <c:pt idx="153">
                  <c:v>-0.030106876681877</c:v>
                </c:pt>
                <c:pt idx="154">
                  <c:v>-0.0300387645808677</c:v>
                </c:pt>
                <c:pt idx="155">
                  <c:v>-0.0300391087560258</c:v>
                </c:pt>
                <c:pt idx="156">
                  <c:v>-0.0298652355013891</c:v>
                </c:pt>
                <c:pt idx="157">
                  <c:v>-0.0298623248246719</c:v>
                </c:pt>
                <c:pt idx="158">
                  <c:v>-0.0297627630583317</c:v>
                </c:pt>
                <c:pt idx="159">
                  <c:v>-0.0298863777821573</c:v>
                </c:pt>
                <c:pt idx="160">
                  <c:v>-0.0298043026543657</c:v>
                </c:pt>
                <c:pt idx="161">
                  <c:v>-0.0298424520213628</c:v>
                </c:pt>
                <c:pt idx="162">
                  <c:v>-0.0298555841760793</c:v>
                </c:pt>
                <c:pt idx="163">
                  <c:v>-0.0298093215754605</c:v>
                </c:pt>
                <c:pt idx="164">
                  <c:v>-0.0298222910159527</c:v>
                </c:pt>
                <c:pt idx="165">
                  <c:v>-0.0298887306149821</c:v>
                </c:pt>
                <c:pt idx="166">
                  <c:v>-0.0298752972202532</c:v>
                </c:pt>
                <c:pt idx="167">
                  <c:v>-0.0297865479156211</c:v>
                </c:pt>
                <c:pt idx="168">
                  <c:v>-0.0297369822693835</c:v>
                </c:pt>
                <c:pt idx="169">
                  <c:v>-0.029737495731054</c:v>
                </c:pt>
                <c:pt idx="170">
                  <c:v>-0.0297383692019205</c:v>
                </c:pt>
                <c:pt idx="171">
                  <c:v>-0.0297922115408731</c:v>
                </c:pt>
                <c:pt idx="172">
                  <c:v>-0.0298107234967699</c:v>
                </c:pt>
                <c:pt idx="173">
                  <c:v>-0.0298768784214864</c:v>
                </c:pt>
                <c:pt idx="174">
                  <c:v>-0.0298676552670886</c:v>
                </c:pt>
                <c:pt idx="175">
                  <c:v>-0.030004235486415</c:v>
                </c:pt>
                <c:pt idx="176">
                  <c:v>-0.0300795523508579</c:v>
                </c:pt>
                <c:pt idx="177">
                  <c:v>-0.0301168652480742</c:v>
                </c:pt>
                <c:pt idx="178">
                  <c:v>-0.029930596160947</c:v>
                </c:pt>
                <c:pt idx="179">
                  <c:v>-0.0301421331979781</c:v>
                </c:pt>
                <c:pt idx="180">
                  <c:v>-0.0301981346194611</c:v>
                </c:pt>
                <c:pt idx="181">
                  <c:v>-0.0301657984105812</c:v>
                </c:pt>
                <c:pt idx="182">
                  <c:v>-0.0301462459383131</c:v>
                </c:pt>
                <c:pt idx="183">
                  <c:v>-0.0300737164335798</c:v>
                </c:pt>
                <c:pt idx="184">
                  <c:v>-0.0300519109412243</c:v>
                </c:pt>
                <c:pt idx="185">
                  <c:v>-0.0300309960218639</c:v>
                </c:pt>
                <c:pt idx="186">
                  <c:v>-0.0300102966454885</c:v>
                </c:pt>
                <c:pt idx="187">
                  <c:v>-0.0300109076167394</c:v>
                </c:pt>
                <c:pt idx="188">
                  <c:v>-0.0300793412670189</c:v>
                </c:pt>
                <c:pt idx="189">
                  <c:v>-0.0301038527840537</c:v>
                </c:pt>
                <c:pt idx="190">
                  <c:v>-0.0307717293432071</c:v>
                </c:pt>
                <c:pt idx="191">
                  <c:v>-0.0307960755299567</c:v>
                </c:pt>
                <c:pt idx="192">
                  <c:v>-0.0308387571194247</c:v>
                </c:pt>
                <c:pt idx="193">
                  <c:v>-0.0307766360276075</c:v>
                </c:pt>
                <c:pt idx="194">
                  <c:v>-0.0307822557885272</c:v>
                </c:pt>
                <c:pt idx="195">
                  <c:v>-0.0308300291642988</c:v>
                </c:pt>
                <c:pt idx="196">
                  <c:v>-0.0307907350029168</c:v>
                </c:pt>
                <c:pt idx="197">
                  <c:v>-0.0308465739904343</c:v>
                </c:pt>
                <c:pt idx="198">
                  <c:v>-0.0308747320787828</c:v>
                </c:pt>
                <c:pt idx="199">
                  <c:v>-0.0308825052786672</c:v>
                </c:pt>
                <c:pt idx="200">
                  <c:v>-0.0309033922306402</c:v>
                </c:pt>
                <c:pt idx="201">
                  <c:v>-0.0309134339842773</c:v>
                </c:pt>
                <c:pt idx="202">
                  <c:v>-0.0308962285940497</c:v>
                </c:pt>
                <c:pt idx="203">
                  <c:v>-0.0308964371929257</c:v>
                </c:pt>
                <c:pt idx="204">
                  <c:v>-0.03094135317465</c:v>
                </c:pt>
                <c:pt idx="205">
                  <c:v>-0.0309395178608565</c:v>
                </c:pt>
                <c:pt idx="206">
                  <c:v>-0.0308538747944723</c:v>
                </c:pt>
                <c:pt idx="207">
                  <c:v>-0.0309677304859888</c:v>
                </c:pt>
                <c:pt idx="208">
                  <c:v>-0.0309103445892348</c:v>
                </c:pt>
                <c:pt idx="209">
                  <c:v>-0.0309234516822417</c:v>
                </c:pt>
                <c:pt idx="210">
                  <c:v>-0.0310556211131369</c:v>
                </c:pt>
                <c:pt idx="211">
                  <c:v>-0.0311515730625129</c:v>
                </c:pt>
                <c:pt idx="212">
                  <c:v>-0.0311520506866578</c:v>
                </c:pt>
                <c:pt idx="213">
                  <c:v>-0.0311464738277381</c:v>
                </c:pt>
                <c:pt idx="214">
                  <c:v>-0.0311378614231892</c:v>
                </c:pt>
                <c:pt idx="215">
                  <c:v>-0.0311376945850402</c:v>
                </c:pt>
                <c:pt idx="216">
                  <c:v>-0.0313065082714042</c:v>
                </c:pt>
                <c:pt idx="217">
                  <c:v>-0.0313249808158836</c:v>
                </c:pt>
                <c:pt idx="218">
                  <c:v>-0.0312558826038599</c:v>
                </c:pt>
                <c:pt idx="219">
                  <c:v>-0.0312399548159522</c:v>
                </c:pt>
                <c:pt idx="220">
                  <c:v>-0.0311935326938056</c:v>
                </c:pt>
                <c:pt idx="221">
                  <c:v>-0.0311898920753882</c:v>
                </c:pt>
                <c:pt idx="222">
                  <c:v>-0.0312841386070671</c:v>
                </c:pt>
                <c:pt idx="223">
                  <c:v>-0.0312841028558063</c:v>
                </c:pt>
                <c:pt idx="224">
                  <c:v>-0.0312594122228008</c:v>
                </c:pt>
                <c:pt idx="225">
                  <c:v>-0.0314507001621259</c:v>
                </c:pt>
                <c:pt idx="226">
                  <c:v>-0.0313981705407518</c:v>
                </c:pt>
                <c:pt idx="227">
                  <c:v>-0.0313363288909451</c:v>
                </c:pt>
                <c:pt idx="228">
                  <c:v>-0.0313467406059527</c:v>
                </c:pt>
                <c:pt idx="229">
                  <c:v>-0.0316365320822189</c:v>
                </c:pt>
                <c:pt idx="230">
                  <c:v>-0.0316114104538332</c:v>
                </c:pt>
                <c:pt idx="231">
                  <c:v>-0.0316482402879991</c:v>
                </c:pt>
                <c:pt idx="232">
                  <c:v>-0.0321829910052102</c:v>
                </c:pt>
                <c:pt idx="233">
                  <c:v>-0.0322190958617449</c:v>
                </c:pt>
                <c:pt idx="234">
                  <c:v>-0.0322816780769178</c:v>
                </c:pt>
                <c:pt idx="235">
                  <c:v>-0.0323807509780446</c:v>
                </c:pt>
                <c:pt idx="236">
                  <c:v>-0.0324239505989923</c:v>
                </c:pt>
                <c:pt idx="237">
                  <c:v>-0.0326198588926063</c:v>
                </c:pt>
                <c:pt idx="238">
                  <c:v>-0.0327996964926447</c:v>
                </c:pt>
                <c:pt idx="239">
                  <c:v>-0.0327540915306808</c:v>
                </c:pt>
                <c:pt idx="240">
                  <c:v>-0.0327167096738904</c:v>
                </c:pt>
                <c:pt idx="241">
                  <c:v>-0.0328361438733873</c:v>
                </c:pt>
                <c:pt idx="242">
                  <c:v>-0.0328148603582314</c:v>
                </c:pt>
                <c:pt idx="243">
                  <c:v>-0.0331702016014292</c:v>
                </c:pt>
                <c:pt idx="244">
                  <c:v>-0.0331471732158714</c:v>
                </c:pt>
                <c:pt idx="245">
                  <c:v>-0.033189679709152</c:v>
                </c:pt>
                <c:pt idx="246">
                  <c:v>-0.0331889800424924</c:v>
                </c:pt>
                <c:pt idx="247">
                  <c:v>-0.0331332746651705</c:v>
                </c:pt>
                <c:pt idx="248">
                  <c:v>-0.0331327370242567</c:v>
                </c:pt>
                <c:pt idx="249">
                  <c:v>-0.0331217153363996</c:v>
                </c:pt>
                <c:pt idx="250">
                  <c:v>-0.0331214023767011</c:v>
                </c:pt>
                <c:pt idx="251">
                  <c:v>-0.0331225984807251</c:v>
                </c:pt>
                <c:pt idx="252">
                  <c:v>-0.0330486953170275</c:v>
                </c:pt>
                <c:pt idx="253">
                  <c:v>-0.033034454034322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675192"/>
        <c:axId val="31857763"/>
      </c:lineChart>
      <c:catAx>
        <c:axId val="92675192"/>
        <c:scaling>
          <c:orientation val="minMax"/>
        </c:scaling>
        <c:delete val="0"/>
        <c:axPos val="b"/>
        <c:numFmt formatCode="mm\.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57763"/>
        <c:crosses val="autoZero"/>
        <c:auto val="1"/>
        <c:lblAlgn val="ctr"/>
        <c:lblOffset val="100"/>
        <c:noMultiLvlLbl val="0"/>
      </c:catAx>
      <c:valAx>
        <c:axId val="318577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751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Strategiyalar natijasi muddat oxirida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Opsion_BS!B28</c:f>
              <c:strCache>
                <c:ptCount val="1"/>
                <c:pt idx="0">
                  <c:v>Aksiya (hejsiz) P/L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Opsion_BS!$A$29:$A$37</c:f>
              <c:strCache>
                <c:ptCount val="9"/>
                <c:pt idx="0">
                  <c:v>16,000</c:v>
                </c:pt>
                <c:pt idx="1">
                  <c:v>18,000</c:v>
                </c:pt>
                <c:pt idx="2">
                  <c:v>20,000</c:v>
                </c:pt>
                <c:pt idx="3">
                  <c:v>22,000</c:v>
                </c:pt>
                <c:pt idx="4">
                  <c:v>24,000</c:v>
                </c:pt>
                <c:pt idx="5">
                  <c:v>26,000</c:v>
                </c:pt>
                <c:pt idx="6">
                  <c:v>28,000</c:v>
                </c:pt>
                <c:pt idx="7">
                  <c:v>30,000</c:v>
                </c:pt>
                <c:pt idx="8">
                  <c:v>32,000</c:v>
                </c:pt>
              </c:strCache>
            </c:strRef>
          </c:cat>
          <c:val>
            <c:numRef>
              <c:f>Opsion_BS!$B$29:$B$37</c:f>
              <c:numCache>
                <c:formatCode>#,##0;\(#,##0\);\-</c:formatCode>
                <c:ptCount val="9"/>
                <c:pt idx="0">
                  <c:v>-80000000</c:v>
                </c:pt>
                <c:pt idx="1">
                  <c:v>-60000000</c:v>
                </c:pt>
                <c:pt idx="2">
                  <c:v>-40000000</c:v>
                </c:pt>
                <c:pt idx="3">
                  <c:v>-20000000</c:v>
                </c:pt>
                <c:pt idx="4">
                  <c:v>0</c:v>
                </c:pt>
                <c:pt idx="5">
                  <c:v>20000000</c:v>
                </c:pt>
                <c:pt idx="6">
                  <c:v>40000000</c:v>
                </c:pt>
                <c:pt idx="7">
                  <c:v>60000000</c:v>
                </c:pt>
                <c:pt idx="8">
                  <c:v>80000000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Opsion_BS!C28</c:f>
              <c:strCache>
                <c:ptCount val="1"/>
                <c:pt idx="0">
                  <c:v>Himoya puti P/L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Opsion_BS!$A$29:$A$37</c:f>
              <c:strCache>
                <c:ptCount val="9"/>
                <c:pt idx="0">
                  <c:v>16,000</c:v>
                </c:pt>
                <c:pt idx="1">
                  <c:v>18,000</c:v>
                </c:pt>
                <c:pt idx="2">
                  <c:v>20,000</c:v>
                </c:pt>
                <c:pt idx="3">
                  <c:v>22,000</c:v>
                </c:pt>
                <c:pt idx="4">
                  <c:v>24,000</c:v>
                </c:pt>
                <c:pt idx="5">
                  <c:v>26,000</c:v>
                </c:pt>
                <c:pt idx="6">
                  <c:v>28,000</c:v>
                </c:pt>
                <c:pt idx="7">
                  <c:v>30,000</c:v>
                </c:pt>
                <c:pt idx="8">
                  <c:v>32,000</c:v>
                </c:pt>
              </c:strCache>
            </c:strRef>
          </c:cat>
          <c:val>
            <c:numRef>
              <c:f>Opsion_BS!$C$29:$C$37</c:f>
              <c:numCache>
                <c:formatCode>#,##0;\(#,##0\);\-</c:formatCode>
                <c:ptCount val="9"/>
                <c:pt idx="0">
                  <c:v>-11300217.6243459</c:v>
                </c:pt>
                <c:pt idx="1">
                  <c:v>-11300217.6243459</c:v>
                </c:pt>
                <c:pt idx="2">
                  <c:v>-11300217.6243459</c:v>
                </c:pt>
                <c:pt idx="3">
                  <c:v>-11300217.6243459</c:v>
                </c:pt>
                <c:pt idx="4">
                  <c:v>-11300217.6243459</c:v>
                </c:pt>
                <c:pt idx="5">
                  <c:v>8699782.37565409</c:v>
                </c:pt>
                <c:pt idx="6">
                  <c:v>28699782.3756541</c:v>
                </c:pt>
                <c:pt idx="7">
                  <c:v>48699782.3756541</c:v>
                </c:pt>
                <c:pt idx="8">
                  <c:v>68699782.3756541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Opsion_BS!D28</c:f>
              <c:strCache>
                <c:ptCount val="1"/>
                <c:pt idx="0">
                  <c:v>Yopiq koll P/L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Opsion_BS!$A$29:$A$37</c:f>
              <c:strCache>
                <c:ptCount val="9"/>
                <c:pt idx="0">
                  <c:v>16,000</c:v>
                </c:pt>
                <c:pt idx="1">
                  <c:v>18,000</c:v>
                </c:pt>
                <c:pt idx="2">
                  <c:v>20,000</c:v>
                </c:pt>
                <c:pt idx="3">
                  <c:v>22,000</c:v>
                </c:pt>
                <c:pt idx="4">
                  <c:v>24,000</c:v>
                </c:pt>
                <c:pt idx="5">
                  <c:v>26,000</c:v>
                </c:pt>
                <c:pt idx="6">
                  <c:v>28,000</c:v>
                </c:pt>
                <c:pt idx="7">
                  <c:v>30,000</c:v>
                </c:pt>
                <c:pt idx="8">
                  <c:v>32,000</c:v>
                </c:pt>
              </c:strCache>
            </c:strRef>
          </c:cat>
          <c:val>
            <c:numRef>
              <c:f>Opsion_BS!$D$29:$D$37</c:f>
              <c:numCache>
                <c:formatCode>#,##0;\(#,##0\);\-</c:formatCode>
                <c:ptCount val="9"/>
                <c:pt idx="0">
                  <c:v>-52474299.1530817</c:v>
                </c:pt>
                <c:pt idx="1">
                  <c:v>-32474299.1530817</c:v>
                </c:pt>
                <c:pt idx="2">
                  <c:v>-12474299.1530817</c:v>
                </c:pt>
                <c:pt idx="3">
                  <c:v>7525700.84691832</c:v>
                </c:pt>
                <c:pt idx="4">
                  <c:v>27525700.8469183</c:v>
                </c:pt>
                <c:pt idx="5">
                  <c:v>27525700.8469183</c:v>
                </c:pt>
                <c:pt idx="6">
                  <c:v>27525700.8469183</c:v>
                </c:pt>
                <c:pt idx="7">
                  <c:v>27525700.8469183</c:v>
                </c:pt>
                <c:pt idx="8">
                  <c:v>27525700.8469183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436940"/>
        <c:axId val="46615542"/>
      </c:lineChart>
      <c:catAx>
        <c:axId val="224369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S(T)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15542"/>
        <c:crosses val="autoZero"/>
        <c:auto val="1"/>
        <c:lblAlgn val="ctr"/>
        <c:lblOffset val="100"/>
        <c:noMultiLvlLbl val="0"/>
      </c:catAx>
      <c:valAx>
        <c:axId val="46615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so‘m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369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Boylik indeksi (1 so‘m investitsiya)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Samaradorlik!B21</c:f>
              <c:strCache>
                <c:ptCount val="1"/>
                <c:pt idx="0">
                  <c:v>Indeks: boylik indeksi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Samaradorlik!$A$22:$A$526</c:f>
              <c:strCache>
                <c:ptCount val="505"/>
                <c:pt idx="0">
                  <c:v>02.01.2024</c:v>
                </c:pt>
                <c:pt idx="1">
                  <c:v>03.01.2024</c:v>
                </c:pt>
                <c:pt idx="2">
                  <c:v>04.01.2024</c:v>
                </c:pt>
                <c:pt idx="3">
                  <c:v>05.01.2024</c:v>
                </c:pt>
                <c:pt idx="4">
                  <c:v>08.01.2024</c:v>
                </c:pt>
                <c:pt idx="5">
                  <c:v>09.01.2024</c:v>
                </c:pt>
                <c:pt idx="6">
                  <c:v>10.01.2024</c:v>
                </c:pt>
                <c:pt idx="7">
                  <c:v>11.01.2024</c:v>
                </c:pt>
                <c:pt idx="8">
                  <c:v>12.01.2024</c:v>
                </c:pt>
                <c:pt idx="9">
                  <c:v>15.01.2024</c:v>
                </c:pt>
                <c:pt idx="10">
                  <c:v>16.01.2024</c:v>
                </c:pt>
                <c:pt idx="11">
                  <c:v>17.01.2024</c:v>
                </c:pt>
                <c:pt idx="12">
                  <c:v>18.01.2024</c:v>
                </c:pt>
                <c:pt idx="13">
                  <c:v>19.01.2024</c:v>
                </c:pt>
                <c:pt idx="14">
                  <c:v>22.01.2024</c:v>
                </c:pt>
                <c:pt idx="15">
                  <c:v>23.01.2024</c:v>
                </c:pt>
                <c:pt idx="16">
                  <c:v>24.01.2024</c:v>
                </c:pt>
                <c:pt idx="17">
                  <c:v>25.01.2024</c:v>
                </c:pt>
                <c:pt idx="18">
                  <c:v>26.01.2024</c:v>
                </c:pt>
                <c:pt idx="19">
                  <c:v>29.01.2024</c:v>
                </c:pt>
                <c:pt idx="20">
                  <c:v>30.01.2024</c:v>
                </c:pt>
                <c:pt idx="21">
                  <c:v>31.01.2024</c:v>
                </c:pt>
                <c:pt idx="22">
                  <c:v>01.02.2024</c:v>
                </c:pt>
                <c:pt idx="23">
                  <c:v>02.02.2024</c:v>
                </c:pt>
                <c:pt idx="24">
                  <c:v>05.02.2024</c:v>
                </c:pt>
                <c:pt idx="25">
                  <c:v>06.02.2024</c:v>
                </c:pt>
                <c:pt idx="26">
                  <c:v>07.02.2024</c:v>
                </c:pt>
                <c:pt idx="27">
                  <c:v>08.02.2024</c:v>
                </c:pt>
                <c:pt idx="28">
                  <c:v>09.02.2024</c:v>
                </c:pt>
                <c:pt idx="29">
                  <c:v>12.02.2024</c:v>
                </c:pt>
                <c:pt idx="30">
                  <c:v>13.02.2024</c:v>
                </c:pt>
                <c:pt idx="31">
                  <c:v>14.02.2024</c:v>
                </c:pt>
                <c:pt idx="32">
                  <c:v>15.02.2024</c:v>
                </c:pt>
                <c:pt idx="33">
                  <c:v>16.02.2024</c:v>
                </c:pt>
                <c:pt idx="34">
                  <c:v>19.02.2024</c:v>
                </c:pt>
                <c:pt idx="35">
                  <c:v>20.02.2024</c:v>
                </c:pt>
                <c:pt idx="36">
                  <c:v>21.02.2024</c:v>
                </c:pt>
                <c:pt idx="37">
                  <c:v>22.02.2024</c:v>
                </c:pt>
                <c:pt idx="38">
                  <c:v>23.02.2024</c:v>
                </c:pt>
                <c:pt idx="39">
                  <c:v>26.02.2024</c:v>
                </c:pt>
                <c:pt idx="40">
                  <c:v>27.02.2024</c:v>
                </c:pt>
                <c:pt idx="41">
                  <c:v>28.02.2024</c:v>
                </c:pt>
                <c:pt idx="42">
                  <c:v>29.02.2024</c:v>
                </c:pt>
                <c:pt idx="43">
                  <c:v>01.03.2024</c:v>
                </c:pt>
                <c:pt idx="44">
                  <c:v>04.03.2024</c:v>
                </c:pt>
                <c:pt idx="45">
                  <c:v>05.03.2024</c:v>
                </c:pt>
                <c:pt idx="46">
                  <c:v>06.03.2024</c:v>
                </c:pt>
                <c:pt idx="47">
                  <c:v>07.03.2024</c:v>
                </c:pt>
                <c:pt idx="48">
                  <c:v>08.03.2024</c:v>
                </c:pt>
                <c:pt idx="49">
                  <c:v>11.03.2024</c:v>
                </c:pt>
                <c:pt idx="50">
                  <c:v>12.03.2024</c:v>
                </c:pt>
                <c:pt idx="51">
                  <c:v>13.03.2024</c:v>
                </c:pt>
                <c:pt idx="52">
                  <c:v>14.03.2024</c:v>
                </c:pt>
                <c:pt idx="53">
                  <c:v>15.03.2024</c:v>
                </c:pt>
                <c:pt idx="54">
                  <c:v>18.03.2024</c:v>
                </c:pt>
                <c:pt idx="55">
                  <c:v>19.03.2024</c:v>
                </c:pt>
                <c:pt idx="56">
                  <c:v>20.03.2024</c:v>
                </c:pt>
                <c:pt idx="57">
                  <c:v>21.03.2024</c:v>
                </c:pt>
                <c:pt idx="58">
                  <c:v>22.03.2024</c:v>
                </c:pt>
                <c:pt idx="59">
                  <c:v>25.03.2024</c:v>
                </c:pt>
                <c:pt idx="60">
                  <c:v>26.03.2024</c:v>
                </c:pt>
                <c:pt idx="61">
                  <c:v>27.03.2024</c:v>
                </c:pt>
                <c:pt idx="62">
                  <c:v>28.03.2024</c:v>
                </c:pt>
                <c:pt idx="63">
                  <c:v>29.03.2024</c:v>
                </c:pt>
                <c:pt idx="64">
                  <c:v>01.04.2024</c:v>
                </c:pt>
                <c:pt idx="65">
                  <c:v>02.04.2024</c:v>
                </c:pt>
                <c:pt idx="66">
                  <c:v>03.04.2024</c:v>
                </c:pt>
                <c:pt idx="67">
                  <c:v>04.04.2024</c:v>
                </c:pt>
                <c:pt idx="68">
                  <c:v>05.04.2024</c:v>
                </c:pt>
                <c:pt idx="69">
                  <c:v>08.04.2024</c:v>
                </c:pt>
                <c:pt idx="70">
                  <c:v>09.04.2024</c:v>
                </c:pt>
                <c:pt idx="71">
                  <c:v>10.04.2024</c:v>
                </c:pt>
                <c:pt idx="72">
                  <c:v>11.04.2024</c:v>
                </c:pt>
                <c:pt idx="73">
                  <c:v>12.04.2024</c:v>
                </c:pt>
                <c:pt idx="74">
                  <c:v>15.04.2024</c:v>
                </c:pt>
                <c:pt idx="75">
                  <c:v>16.04.2024</c:v>
                </c:pt>
                <c:pt idx="76">
                  <c:v>17.04.2024</c:v>
                </c:pt>
                <c:pt idx="77">
                  <c:v>18.04.2024</c:v>
                </c:pt>
                <c:pt idx="78">
                  <c:v>19.04.2024</c:v>
                </c:pt>
                <c:pt idx="79">
                  <c:v>22.04.2024</c:v>
                </c:pt>
                <c:pt idx="80">
                  <c:v>23.04.2024</c:v>
                </c:pt>
                <c:pt idx="81">
                  <c:v>24.04.2024</c:v>
                </c:pt>
                <c:pt idx="82">
                  <c:v>25.04.2024</c:v>
                </c:pt>
                <c:pt idx="83">
                  <c:v>26.04.2024</c:v>
                </c:pt>
                <c:pt idx="84">
                  <c:v>29.04.2024</c:v>
                </c:pt>
                <c:pt idx="85">
                  <c:v>30.04.2024</c:v>
                </c:pt>
                <c:pt idx="86">
                  <c:v>01.05.2024</c:v>
                </c:pt>
                <c:pt idx="87">
                  <c:v>02.05.2024</c:v>
                </c:pt>
                <c:pt idx="88">
                  <c:v>03.05.2024</c:v>
                </c:pt>
                <c:pt idx="89">
                  <c:v>06.05.2024</c:v>
                </c:pt>
                <c:pt idx="90">
                  <c:v>07.05.2024</c:v>
                </c:pt>
                <c:pt idx="91">
                  <c:v>08.05.2024</c:v>
                </c:pt>
                <c:pt idx="92">
                  <c:v>09.05.2024</c:v>
                </c:pt>
                <c:pt idx="93">
                  <c:v>10.05.2024</c:v>
                </c:pt>
                <c:pt idx="94">
                  <c:v>13.05.2024</c:v>
                </c:pt>
                <c:pt idx="95">
                  <c:v>14.05.2024</c:v>
                </c:pt>
                <c:pt idx="96">
                  <c:v>15.05.2024</c:v>
                </c:pt>
                <c:pt idx="97">
                  <c:v>16.05.2024</c:v>
                </c:pt>
                <c:pt idx="98">
                  <c:v>17.05.2024</c:v>
                </c:pt>
                <c:pt idx="99">
                  <c:v>20.05.2024</c:v>
                </c:pt>
                <c:pt idx="100">
                  <c:v>21.05.2024</c:v>
                </c:pt>
                <c:pt idx="101">
                  <c:v>22.05.2024</c:v>
                </c:pt>
                <c:pt idx="102">
                  <c:v>23.05.2024</c:v>
                </c:pt>
                <c:pt idx="103">
                  <c:v>24.05.2024</c:v>
                </c:pt>
                <c:pt idx="104">
                  <c:v>27.05.2024</c:v>
                </c:pt>
                <c:pt idx="105">
                  <c:v>28.05.2024</c:v>
                </c:pt>
                <c:pt idx="106">
                  <c:v>29.05.2024</c:v>
                </c:pt>
                <c:pt idx="107">
                  <c:v>30.05.2024</c:v>
                </c:pt>
                <c:pt idx="108">
                  <c:v>31.05.2024</c:v>
                </c:pt>
                <c:pt idx="109">
                  <c:v>03.06.2024</c:v>
                </c:pt>
                <c:pt idx="110">
                  <c:v>04.06.2024</c:v>
                </c:pt>
                <c:pt idx="111">
                  <c:v>05.06.2024</c:v>
                </c:pt>
                <c:pt idx="112">
                  <c:v>06.06.2024</c:v>
                </c:pt>
                <c:pt idx="113">
                  <c:v>07.06.2024</c:v>
                </c:pt>
                <c:pt idx="114">
                  <c:v>10.06.2024</c:v>
                </c:pt>
                <c:pt idx="115">
                  <c:v>11.06.2024</c:v>
                </c:pt>
                <c:pt idx="116">
                  <c:v>12.06.2024</c:v>
                </c:pt>
                <c:pt idx="117">
                  <c:v>13.06.2024</c:v>
                </c:pt>
                <c:pt idx="118">
                  <c:v>14.06.2024</c:v>
                </c:pt>
                <c:pt idx="119">
                  <c:v>17.06.2024</c:v>
                </c:pt>
                <c:pt idx="120">
                  <c:v>18.06.2024</c:v>
                </c:pt>
                <c:pt idx="121">
                  <c:v>19.06.2024</c:v>
                </c:pt>
                <c:pt idx="122">
                  <c:v>20.06.2024</c:v>
                </c:pt>
                <c:pt idx="123">
                  <c:v>21.06.2024</c:v>
                </c:pt>
                <c:pt idx="124">
                  <c:v>24.06.2024</c:v>
                </c:pt>
                <c:pt idx="125">
                  <c:v>25.06.2024</c:v>
                </c:pt>
                <c:pt idx="126">
                  <c:v>26.06.2024</c:v>
                </c:pt>
                <c:pt idx="127">
                  <c:v>27.06.2024</c:v>
                </c:pt>
                <c:pt idx="128">
                  <c:v>28.06.2024</c:v>
                </c:pt>
                <c:pt idx="129">
                  <c:v>01.07.2024</c:v>
                </c:pt>
                <c:pt idx="130">
                  <c:v>02.07.2024</c:v>
                </c:pt>
                <c:pt idx="131">
                  <c:v>03.07.2024</c:v>
                </c:pt>
                <c:pt idx="132">
                  <c:v>04.07.2024</c:v>
                </c:pt>
                <c:pt idx="133">
                  <c:v>05.07.2024</c:v>
                </c:pt>
                <c:pt idx="134">
                  <c:v>08.07.2024</c:v>
                </c:pt>
                <c:pt idx="135">
                  <c:v>09.07.2024</c:v>
                </c:pt>
                <c:pt idx="136">
                  <c:v>10.07.2024</c:v>
                </c:pt>
                <c:pt idx="137">
                  <c:v>11.07.2024</c:v>
                </c:pt>
                <c:pt idx="138">
                  <c:v>12.07.2024</c:v>
                </c:pt>
                <c:pt idx="139">
                  <c:v>15.07.2024</c:v>
                </c:pt>
                <c:pt idx="140">
                  <c:v>16.07.2024</c:v>
                </c:pt>
                <c:pt idx="141">
                  <c:v>17.07.2024</c:v>
                </c:pt>
                <c:pt idx="142">
                  <c:v>18.07.2024</c:v>
                </c:pt>
                <c:pt idx="143">
                  <c:v>19.07.2024</c:v>
                </c:pt>
                <c:pt idx="144">
                  <c:v>22.07.2024</c:v>
                </c:pt>
                <c:pt idx="145">
                  <c:v>23.07.2024</c:v>
                </c:pt>
                <c:pt idx="146">
                  <c:v>24.07.2024</c:v>
                </c:pt>
                <c:pt idx="147">
                  <c:v>25.07.2024</c:v>
                </c:pt>
                <c:pt idx="148">
                  <c:v>26.07.2024</c:v>
                </c:pt>
                <c:pt idx="149">
                  <c:v>29.07.2024</c:v>
                </c:pt>
                <c:pt idx="150">
                  <c:v>30.07.2024</c:v>
                </c:pt>
                <c:pt idx="151">
                  <c:v>31.07.2024</c:v>
                </c:pt>
                <c:pt idx="152">
                  <c:v>01.08.2024</c:v>
                </c:pt>
                <c:pt idx="153">
                  <c:v>02.08.2024</c:v>
                </c:pt>
                <c:pt idx="154">
                  <c:v>05.08.2024</c:v>
                </c:pt>
                <c:pt idx="155">
                  <c:v>06.08.2024</c:v>
                </c:pt>
                <c:pt idx="156">
                  <c:v>07.08.2024</c:v>
                </c:pt>
                <c:pt idx="157">
                  <c:v>08.08.2024</c:v>
                </c:pt>
                <c:pt idx="158">
                  <c:v>09.08.2024</c:v>
                </c:pt>
                <c:pt idx="159">
                  <c:v>12.08.2024</c:v>
                </c:pt>
                <c:pt idx="160">
                  <c:v>13.08.2024</c:v>
                </c:pt>
                <c:pt idx="161">
                  <c:v>14.08.2024</c:v>
                </c:pt>
                <c:pt idx="162">
                  <c:v>15.08.2024</c:v>
                </c:pt>
                <c:pt idx="163">
                  <c:v>16.08.2024</c:v>
                </c:pt>
                <c:pt idx="164">
                  <c:v>19.08.2024</c:v>
                </c:pt>
                <c:pt idx="165">
                  <c:v>20.08.2024</c:v>
                </c:pt>
                <c:pt idx="166">
                  <c:v>21.08.2024</c:v>
                </c:pt>
                <c:pt idx="167">
                  <c:v>22.08.2024</c:v>
                </c:pt>
                <c:pt idx="168">
                  <c:v>23.08.2024</c:v>
                </c:pt>
                <c:pt idx="169">
                  <c:v>26.08.2024</c:v>
                </c:pt>
                <c:pt idx="170">
                  <c:v>27.08.2024</c:v>
                </c:pt>
                <c:pt idx="171">
                  <c:v>28.08.2024</c:v>
                </c:pt>
                <c:pt idx="172">
                  <c:v>29.08.2024</c:v>
                </c:pt>
                <c:pt idx="173">
                  <c:v>30.08.2024</c:v>
                </c:pt>
                <c:pt idx="174">
                  <c:v>02.09.2024</c:v>
                </c:pt>
                <c:pt idx="175">
                  <c:v>03.09.2024</c:v>
                </c:pt>
                <c:pt idx="176">
                  <c:v>04.09.2024</c:v>
                </c:pt>
                <c:pt idx="177">
                  <c:v>05.09.2024</c:v>
                </c:pt>
                <c:pt idx="178">
                  <c:v>06.09.2024</c:v>
                </c:pt>
                <c:pt idx="179">
                  <c:v>09.09.2024</c:v>
                </c:pt>
                <c:pt idx="180">
                  <c:v>10.09.2024</c:v>
                </c:pt>
                <c:pt idx="181">
                  <c:v>11.09.2024</c:v>
                </c:pt>
                <c:pt idx="182">
                  <c:v>12.09.2024</c:v>
                </c:pt>
                <c:pt idx="183">
                  <c:v>13.09.2024</c:v>
                </c:pt>
                <c:pt idx="184">
                  <c:v>16.09.2024</c:v>
                </c:pt>
                <c:pt idx="185">
                  <c:v>17.09.2024</c:v>
                </c:pt>
                <c:pt idx="186">
                  <c:v>18.09.2024</c:v>
                </c:pt>
                <c:pt idx="187">
                  <c:v>19.09.2024</c:v>
                </c:pt>
                <c:pt idx="188">
                  <c:v>20.09.2024</c:v>
                </c:pt>
                <c:pt idx="189">
                  <c:v>23.09.2024</c:v>
                </c:pt>
                <c:pt idx="190">
                  <c:v>24.09.2024</c:v>
                </c:pt>
                <c:pt idx="191">
                  <c:v>25.09.2024</c:v>
                </c:pt>
                <c:pt idx="192">
                  <c:v>26.09.2024</c:v>
                </c:pt>
                <c:pt idx="193">
                  <c:v>27.09.2024</c:v>
                </c:pt>
                <c:pt idx="194">
                  <c:v>30.09.2024</c:v>
                </c:pt>
                <c:pt idx="195">
                  <c:v>01.10.2024</c:v>
                </c:pt>
                <c:pt idx="196">
                  <c:v>02.10.2024</c:v>
                </c:pt>
                <c:pt idx="197">
                  <c:v>03.10.2024</c:v>
                </c:pt>
                <c:pt idx="198">
                  <c:v>04.10.2024</c:v>
                </c:pt>
                <c:pt idx="199">
                  <c:v>07.10.2024</c:v>
                </c:pt>
                <c:pt idx="200">
                  <c:v>08.10.2024</c:v>
                </c:pt>
                <c:pt idx="201">
                  <c:v>09.10.2024</c:v>
                </c:pt>
                <c:pt idx="202">
                  <c:v>10.10.2024</c:v>
                </c:pt>
                <c:pt idx="203">
                  <c:v>11.10.2024</c:v>
                </c:pt>
                <c:pt idx="204">
                  <c:v>14.10.2024</c:v>
                </c:pt>
                <c:pt idx="205">
                  <c:v>15.10.2024</c:v>
                </c:pt>
                <c:pt idx="206">
                  <c:v>16.10.2024</c:v>
                </c:pt>
                <c:pt idx="207">
                  <c:v>17.10.2024</c:v>
                </c:pt>
                <c:pt idx="208">
                  <c:v>18.10.2024</c:v>
                </c:pt>
                <c:pt idx="209">
                  <c:v>21.10.2024</c:v>
                </c:pt>
                <c:pt idx="210">
                  <c:v>22.10.2024</c:v>
                </c:pt>
                <c:pt idx="211">
                  <c:v>23.10.2024</c:v>
                </c:pt>
                <c:pt idx="212">
                  <c:v>24.10.2024</c:v>
                </c:pt>
                <c:pt idx="213">
                  <c:v>25.10.2024</c:v>
                </c:pt>
                <c:pt idx="214">
                  <c:v>28.10.2024</c:v>
                </c:pt>
                <c:pt idx="215">
                  <c:v>29.10.2024</c:v>
                </c:pt>
                <c:pt idx="216">
                  <c:v>30.10.2024</c:v>
                </c:pt>
                <c:pt idx="217">
                  <c:v>31.10.2024</c:v>
                </c:pt>
                <c:pt idx="218">
                  <c:v>01.11.2024</c:v>
                </c:pt>
                <c:pt idx="219">
                  <c:v>04.11.2024</c:v>
                </c:pt>
                <c:pt idx="220">
                  <c:v>05.11.2024</c:v>
                </c:pt>
                <c:pt idx="221">
                  <c:v>06.11.2024</c:v>
                </c:pt>
                <c:pt idx="222">
                  <c:v>07.11.2024</c:v>
                </c:pt>
                <c:pt idx="223">
                  <c:v>08.11.2024</c:v>
                </c:pt>
                <c:pt idx="224">
                  <c:v>11.11.2024</c:v>
                </c:pt>
                <c:pt idx="225">
                  <c:v>12.11.2024</c:v>
                </c:pt>
                <c:pt idx="226">
                  <c:v>13.11.2024</c:v>
                </c:pt>
                <c:pt idx="227">
                  <c:v>14.11.2024</c:v>
                </c:pt>
                <c:pt idx="228">
                  <c:v>15.11.2024</c:v>
                </c:pt>
                <c:pt idx="229">
                  <c:v>18.11.2024</c:v>
                </c:pt>
                <c:pt idx="230">
                  <c:v>19.11.2024</c:v>
                </c:pt>
                <c:pt idx="231">
                  <c:v>20.11.2024</c:v>
                </c:pt>
                <c:pt idx="232">
                  <c:v>21.11.2024</c:v>
                </c:pt>
                <c:pt idx="233">
                  <c:v>22.11.2024</c:v>
                </c:pt>
                <c:pt idx="234">
                  <c:v>25.11.2024</c:v>
                </c:pt>
                <c:pt idx="235">
                  <c:v>26.11.2024</c:v>
                </c:pt>
                <c:pt idx="236">
                  <c:v>27.11.2024</c:v>
                </c:pt>
                <c:pt idx="237">
                  <c:v>28.11.2024</c:v>
                </c:pt>
                <c:pt idx="238">
                  <c:v>29.11.2024</c:v>
                </c:pt>
                <c:pt idx="239">
                  <c:v>02.12.2024</c:v>
                </c:pt>
                <c:pt idx="240">
                  <c:v>03.12.2024</c:v>
                </c:pt>
                <c:pt idx="241">
                  <c:v>04.12.2024</c:v>
                </c:pt>
                <c:pt idx="242">
                  <c:v>05.12.2024</c:v>
                </c:pt>
                <c:pt idx="243">
                  <c:v>06.12.2024</c:v>
                </c:pt>
                <c:pt idx="244">
                  <c:v>09.12.2024</c:v>
                </c:pt>
                <c:pt idx="245">
                  <c:v>10.12.2024</c:v>
                </c:pt>
                <c:pt idx="246">
                  <c:v>11.12.2024</c:v>
                </c:pt>
                <c:pt idx="247">
                  <c:v>12.12.2024</c:v>
                </c:pt>
                <c:pt idx="248">
                  <c:v>13.12.2024</c:v>
                </c:pt>
                <c:pt idx="249">
                  <c:v>16.12.2024</c:v>
                </c:pt>
                <c:pt idx="250">
                  <c:v>17.12.2024</c:v>
                </c:pt>
                <c:pt idx="251">
                  <c:v>18.12.2024</c:v>
                </c:pt>
                <c:pt idx="252">
                  <c:v>19.12.2024</c:v>
                </c:pt>
                <c:pt idx="253">
                  <c:v>20.12.2024</c:v>
                </c:pt>
                <c:pt idx="254">
                  <c:v>23.12.2024</c:v>
                </c:pt>
                <c:pt idx="255">
                  <c:v>24.12.2024</c:v>
                </c:pt>
                <c:pt idx="256">
                  <c:v>25.12.2024</c:v>
                </c:pt>
                <c:pt idx="257">
                  <c:v>26.12.2024</c:v>
                </c:pt>
                <c:pt idx="258">
                  <c:v>27.12.2024</c:v>
                </c:pt>
                <c:pt idx="259">
                  <c:v>30.12.2024</c:v>
                </c:pt>
                <c:pt idx="260">
                  <c:v>31.12.2024</c:v>
                </c:pt>
                <c:pt idx="261">
                  <c:v>01.01.2025</c:v>
                </c:pt>
                <c:pt idx="262">
                  <c:v>02.01.2025</c:v>
                </c:pt>
                <c:pt idx="263">
                  <c:v>03.01.2025</c:v>
                </c:pt>
                <c:pt idx="264">
                  <c:v>06.01.2025</c:v>
                </c:pt>
                <c:pt idx="265">
                  <c:v>07.01.2025</c:v>
                </c:pt>
                <c:pt idx="266">
                  <c:v>08.01.2025</c:v>
                </c:pt>
                <c:pt idx="267">
                  <c:v>09.01.2025</c:v>
                </c:pt>
                <c:pt idx="268">
                  <c:v>10.01.2025</c:v>
                </c:pt>
                <c:pt idx="269">
                  <c:v>13.01.2025</c:v>
                </c:pt>
                <c:pt idx="270">
                  <c:v>14.01.2025</c:v>
                </c:pt>
                <c:pt idx="271">
                  <c:v>15.01.2025</c:v>
                </c:pt>
                <c:pt idx="272">
                  <c:v>16.01.2025</c:v>
                </c:pt>
                <c:pt idx="273">
                  <c:v>17.01.2025</c:v>
                </c:pt>
                <c:pt idx="274">
                  <c:v>20.01.2025</c:v>
                </c:pt>
                <c:pt idx="275">
                  <c:v>21.01.2025</c:v>
                </c:pt>
                <c:pt idx="276">
                  <c:v>22.01.2025</c:v>
                </c:pt>
                <c:pt idx="277">
                  <c:v>23.01.2025</c:v>
                </c:pt>
                <c:pt idx="278">
                  <c:v>24.01.2025</c:v>
                </c:pt>
                <c:pt idx="279">
                  <c:v>27.01.2025</c:v>
                </c:pt>
                <c:pt idx="280">
                  <c:v>28.01.2025</c:v>
                </c:pt>
                <c:pt idx="281">
                  <c:v>29.01.2025</c:v>
                </c:pt>
                <c:pt idx="282">
                  <c:v>30.01.2025</c:v>
                </c:pt>
                <c:pt idx="283">
                  <c:v>31.01.2025</c:v>
                </c:pt>
                <c:pt idx="284">
                  <c:v>03.02.2025</c:v>
                </c:pt>
                <c:pt idx="285">
                  <c:v>04.02.2025</c:v>
                </c:pt>
                <c:pt idx="286">
                  <c:v>05.02.2025</c:v>
                </c:pt>
                <c:pt idx="287">
                  <c:v>06.02.2025</c:v>
                </c:pt>
                <c:pt idx="288">
                  <c:v>07.02.2025</c:v>
                </c:pt>
                <c:pt idx="289">
                  <c:v>10.02.2025</c:v>
                </c:pt>
                <c:pt idx="290">
                  <c:v>11.02.2025</c:v>
                </c:pt>
                <c:pt idx="291">
                  <c:v>12.02.2025</c:v>
                </c:pt>
                <c:pt idx="292">
                  <c:v>13.02.2025</c:v>
                </c:pt>
                <c:pt idx="293">
                  <c:v>14.02.2025</c:v>
                </c:pt>
                <c:pt idx="294">
                  <c:v>17.02.2025</c:v>
                </c:pt>
                <c:pt idx="295">
                  <c:v>18.02.2025</c:v>
                </c:pt>
                <c:pt idx="296">
                  <c:v>19.02.2025</c:v>
                </c:pt>
                <c:pt idx="297">
                  <c:v>20.02.2025</c:v>
                </c:pt>
                <c:pt idx="298">
                  <c:v>21.02.2025</c:v>
                </c:pt>
                <c:pt idx="299">
                  <c:v>24.02.2025</c:v>
                </c:pt>
                <c:pt idx="300">
                  <c:v>25.02.2025</c:v>
                </c:pt>
                <c:pt idx="301">
                  <c:v>26.02.2025</c:v>
                </c:pt>
                <c:pt idx="302">
                  <c:v>27.02.2025</c:v>
                </c:pt>
                <c:pt idx="303">
                  <c:v>28.02.2025</c:v>
                </c:pt>
                <c:pt idx="304">
                  <c:v>03.03.2025</c:v>
                </c:pt>
                <c:pt idx="305">
                  <c:v>04.03.2025</c:v>
                </c:pt>
                <c:pt idx="306">
                  <c:v>05.03.2025</c:v>
                </c:pt>
                <c:pt idx="307">
                  <c:v>06.03.2025</c:v>
                </c:pt>
                <c:pt idx="308">
                  <c:v>07.03.2025</c:v>
                </c:pt>
                <c:pt idx="309">
                  <c:v>10.03.2025</c:v>
                </c:pt>
                <c:pt idx="310">
                  <c:v>11.03.2025</c:v>
                </c:pt>
                <c:pt idx="311">
                  <c:v>12.03.2025</c:v>
                </c:pt>
                <c:pt idx="312">
                  <c:v>13.03.2025</c:v>
                </c:pt>
                <c:pt idx="313">
                  <c:v>14.03.2025</c:v>
                </c:pt>
                <c:pt idx="314">
                  <c:v>17.03.2025</c:v>
                </c:pt>
                <c:pt idx="315">
                  <c:v>18.03.2025</c:v>
                </c:pt>
                <c:pt idx="316">
                  <c:v>19.03.2025</c:v>
                </c:pt>
                <c:pt idx="317">
                  <c:v>20.03.2025</c:v>
                </c:pt>
                <c:pt idx="318">
                  <c:v>21.03.2025</c:v>
                </c:pt>
                <c:pt idx="319">
                  <c:v>24.03.2025</c:v>
                </c:pt>
                <c:pt idx="320">
                  <c:v>25.03.2025</c:v>
                </c:pt>
                <c:pt idx="321">
                  <c:v>26.03.2025</c:v>
                </c:pt>
                <c:pt idx="322">
                  <c:v>27.03.2025</c:v>
                </c:pt>
                <c:pt idx="323">
                  <c:v>28.03.2025</c:v>
                </c:pt>
                <c:pt idx="324">
                  <c:v>31.03.2025</c:v>
                </c:pt>
                <c:pt idx="325">
                  <c:v>01.04.2025</c:v>
                </c:pt>
                <c:pt idx="326">
                  <c:v>02.04.2025</c:v>
                </c:pt>
                <c:pt idx="327">
                  <c:v>03.04.2025</c:v>
                </c:pt>
                <c:pt idx="328">
                  <c:v>04.04.2025</c:v>
                </c:pt>
                <c:pt idx="329">
                  <c:v>07.04.2025</c:v>
                </c:pt>
                <c:pt idx="330">
                  <c:v>08.04.2025</c:v>
                </c:pt>
                <c:pt idx="331">
                  <c:v>09.04.2025</c:v>
                </c:pt>
                <c:pt idx="332">
                  <c:v>10.04.2025</c:v>
                </c:pt>
                <c:pt idx="333">
                  <c:v>11.04.2025</c:v>
                </c:pt>
                <c:pt idx="334">
                  <c:v>14.04.2025</c:v>
                </c:pt>
                <c:pt idx="335">
                  <c:v>15.04.2025</c:v>
                </c:pt>
                <c:pt idx="336">
                  <c:v>16.04.2025</c:v>
                </c:pt>
                <c:pt idx="337">
                  <c:v>17.04.2025</c:v>
                </c:pt>
                <c:pt idx="338">
                  <c:v>18.04.2025</c:v>
                </c:pt>
                <c:pt idx="339">
                  <c:v>21.04.2025</c:v>
                </c:pt>
                <c:pt idx="340">
                  <c:v>22.04.2025</c:v>
                </c:pt>
                <c:pt idx="341">
                  <c:v>23.04.2025</c:v>
                </c:pt>
                <c:pt idx="342">
                  <c:v>24.04.2025</c:v>
                </c:pt>
                <c:pt idx="343">
                  <c:v>25.04.2025</c:v>
                </c:pt>
                <c:pt idx="344">
                  <c:v>28.04.2025</c:v>
                </c:pt>
                <c:pt idx="345">
                  <c:v>29.04.2025</c:v>
                </c:pt>
                <c:pt idx="346">
                  <c:v>30.04.2025</c:v>
                </c:pt>
                <c:pt idx="347">
                  <c:v>01.05.2025</c:v>
                </c:pt>
                <c:pt idx="348">
                  <c:v>02.05.2025</c:v>
                </c:pt>
                <c:pt idx="349">
                  <c:v>05.05.2025</c:v>
                </c:pt>
                <c:pt idx="350">
                  <c:v>06.05.2025</c:v>
                </c:pt>
                <c:pt idx="351">
                  <c:v>07.05.2025</c:v>
                </c:pt>
                <c:pt idx="352">
                  <c:v>08.05.2025</c:v>
                </c:pt>
                <c:pt idx="353">
                  <c:v>09.05.2025</c:v>
                </c:pt>
                <c:pt idx="354">
                  <c:v>12.05.2025</c:v>
                </c:pt>
                <c:pt idx="355">
                  <c:v>13.05.2025</c:v>
                </c:pt>
                <c:pt idx="356">
                  <c:v>14.05.2025</c:v>
                </c:pt>
                <c:pt idx="357">
                  <c:v>15.05.2025</c:v>
                </c:pt>
                <c:pt idx="358">
                  <c:v>16.05.2025</c:v>
                </c:pt>
                <c:pt idx="359">
                  <c:v>19.05.2025</c:v>
                </c:pt>
                <c:pt idx="360">
                  <c:v>20.05.2025</c:v>
                </c:pt>
                <c:pt idx="361">
                  <c:v>21.05.2025</c:v>
                </c:pt>
                <c:pt idx="362">
                  <c:v>22.05.2025</c:v>
                </c:pt>
                <c:pt idx="363">
                  <c:v>23.05.2025</c:v>
                </c:pt>
                <c:pt idx="364">
                  <c:v>26.05.2025</c:v>
                </c:pt>
                <c:pt idx="365">
                  <c:v>27.05.2025</c:v>
                </c:pt>
                <c:pt idx="366">
                  <c:v>28.05.2025</c:v>
                </c:pt>
                <c:pt idx="367">
                  <c:v>29.05.2025</c:v>
                </c:pt>
                <c:pt idx="368">
                  <c:v>30.05.2025</c:v>
                </c:pt>
                <c:pt idx="369">
                  <c:v>02.06.2025</c:v>
                </c:pt>
                <c:pt idx="370">
                  <c:v>03.06.2025</c:v>
                </c:pt>
                <c:pt idx="371">
                  <c:v>04.06.2025</c:v>
                </c:pt>
                <c:pt idx="372">
                  <c:v>05.06.2025</c:v>
                </c:pt>
                <c:pt idx="373">
                  <c:v>06.06.2025</c:v>
                </c:pt>
                <c:pt idx="374">
                  <c:v>09.06.2025</c:v>
                </c:pt>
                <c:pt idx="375">
                  <c:v>10.06.2025</c:v>
                </c:pt>
                <c:pt idx="376">
                  <c:v>11.06.2025</c:v>
                </c:pt>
                <c:pt idx="377">
                  <c:v>12.06.2025</c:v>
                </c:pt>
                <c:pt idx="378">
                  <c:v>13.06.2025</c:v>
                </c:pt>
                <c:pt idx="379">
                  <c:v>16.06.2025</c:v>
                </c:pt>
                <c:pt idx="380">
                  <c:v>17.06.2025</c:v>
                </c:pt>
                <c:pt idx="381">
                  <c:v>18.06.2025</c:v>
                </c:pt>
                <c:pt idx="382">
                  <c:v>19.06.2025</c:v>
                </c:pt>
                <c:pt idx="383">
                  <c:v>20.06.2025</c:v>
                </c:pt>
                <c:pt idx="384">
                  <c:v>23.06.2025</c:v>
                </c:pt>
                <c:pt idx="385">
                  <c:v>24.06.2025</c:v>
                </c:pt>
                <c:pt idx="386">
                  <c:v>25.06.2025</c:v>
                </c:pt>
                <c:pt idx="387">
                  <c:v>26.06.2025</c:v>
                </c:pt>
                <c:pt idx="388">
                  <c:v>27.06.2025</c:v>
                </c:pt>
                <c:pt idx="389">
                  <c:v>30.06.2025</c:v>
                </c:pt>
                <c:pt idx="390">
                  <c:v>01.07.2025</c:v>
                </c:pt>
                <c:pt idx="391">
                  <c:v>02.07.2025</c:v>
                </c:pt>
                <c:pt idx="392">
                  <c:v>03.07.2025</c:v>
                </c:pt>
                <c:pt idx="393">
                  <c:v>04.07.2025</c:v>
                </c:pt>
                <c:pt idx="394">
                  <c:v>07.07.2025</c:v>
                </c:pt>
                <c:pt idx="395">
                  <c:v>08.07.2025</c:v>
                </c:pt>
                <c:pt idx="396">
                  <c:v>09.07.2025</c:v>
                </c:pt>
                <c:pt idx="397">
                  <c:v>10.07.2025</c:v>
                </c:pt>
                <c:pt idx="398">
                  <c:v>11.07.2025</c:v>
                </c:pt>
                <c:pt idx="399">
                  <c:v>14.07.2025</c:v>
                </c:pt>
                <c:pt idx="400">
                  <c:v>15.07.2025</c:v>
                </c:pt>
                <c:pt idx="401">
                  <c:v>16.07.2025</c:v>
                </c:pt>
                <c:pt idx="402">
                  <c:v>17.07.2025</c:v>
                </c:pt>
                <c:pt idx="403">
                  <c:v>18.07.2025</c:v>
                </c:pt>
                <c:pt idx="404">
                  <c:v>21.07.2025</c:v>
                </c:pt>
                <c:pt idx="405">
                  <c:v>22.07.2025</c:v>
                </c:pt>
                <c:pt idx="406">
                  <c:v>23.07.2025</c:v>
                </c:pt>
                <c:pt idx="407">
                  <c:v>24.07.2025</c:v>
                </c:pt>
                <c:pt idx="408">
                  <c:v>25.07.2025</c:v>
                </c:pt>
                <c:pt idx="409">
                  <c:v>28.07.2025</c:v>
                </c:pt>
                <c:pt idx="410">
                  <c:v>29.07.2025</c:v>
                </c:pt>
                <c:pt idx="411">
                  <c:v>30.07.2025</c:v>
                </c:pt>
                <c:pt idx="412">
                  <c:v>31.07.2025</c:v>
                </c:pt>
                <c:pt idx="413">
                  <c:v>01.08.2025</c:v>
                </c:pt>
                <c:pt idx="414">
                  <c:v>04.08.2025</c:v>
                </c:pt>
                <c:pt idx="415">
                  <c:v>05.08.2025</c:v>
                </c:pt>
                <c:pt idx="416">
                  <c:v>06.08.2025</c:v>
                </c:pt>
                <c:pt idx="417">
                  <c:v>07.08.2025</c:v>
                </c:pt>
                <c:pt idx="418">
                  <c:v>08.08.2025</c:v>
                </c:pt>
                <c:pt idx="419">
                  <c:v>11.08.2025</c:v>
                </c:pt>
                <c:pt idx="420">
                  <c:v>12.08.2025</c:v>
                </c:pt>
                <c:pt idx="421">
                  <c:v>13.08.2025</c:v>
                </c:pt>
                <c:pt idx="422">
                  <c:v>14.08.2025</c:v>
                </c:pt>
                <c:pt idx="423">
                  <c:v>15.08.2025</c:v>
                </c:pt>
                <c:pt idx="424">
                  <c:v>18.08.2025</c:v>
                </c:pt>
                <c:pt idx="425">
                  <c:v>19.08.2025</c:v>
                </c:pt>
                <c:pt idx="426">
                  <c:v>20.08.2025</c:v>
                </c:pt>
                <c:pt idx="427">
                  <c:v>21.08.2025</c:v>
                </c:pt>
                <c:pt idx="428">
                  <c:v>22.08.2025</c:v>
                </c:pt>
                <c:pt idx="429">
                  <c:v>25.08.2025</c:v>
                </c:pt>
                <c:pt idx="430">
                  <c:v>26.08.2025</c:v>
                </c:pt>
                <c:pt idx="431">
                  <c:v>27.08.2025</c:v>
                </c:pt>
                <c:pt idx="432">
                  <c:v>28.08.2025</c:v>
                </c:pt>
                <c:pt idx="433">
                  <c:v>29.08.2025</c:v>
                </c:pt>
                <c:pt idx="434">
                  <c:v>01.09.2025</c:v>
                </c:pt>
                <c:pt idx="435">
                  <c:v>02.09.2025</c:v>
                </c:pt>
                <c:pt idx="436">
                  <c:v>03.09.2025</c:v>
                </c:pt>
                <c:pt idx="437">
                  <c:v>04.09.2025</c:v>
                </c:pt>
                <c:pt idx="438">
                  <c:v>05.09.2025</c:v>
                </c:pt>
                <c:pt idx="439">
                  <c:v>08.09.2025</c:v>
                </c:pt>
                <c:pt idx="440">
                  <c:v>09.09.2025</c:v>
                </c:pt>
                <c:pt idx="441">
                  <c:v>10.09.2025</c:v>
                </c:pt>
                <c:pt idx="442">
                  <c:v>11.09.2025</c:v>
                </c:pt>
                <c:pt idx="443">
                  <c:v>12.09.2025</c:v>
                </c:pt>
                <c:pt idx="444">
                  <c:v>15.09.2025</c:v>
                </c:pt>
                <c:pt idx="445">
                  <c:v>16.09.2025</c:v>
                </c:pt>
                <c:pt idx="446">
                  <c:v>17.09.2025</c:v>
                </c:pt>
                <c:pt idx="447">
                  <c:v>18.09.2025</c:v>
                </c:pt>
                <c:pt idx="448">
                  <c:v>19.09.2025</c:v>
                </c:pt>
                <c:pt idx="449">
                  <c:v>22.09.2025</c:v>
                </c:pt>
                <c:pt idx="450">
                  <c:v>23.09.2025</c:v>
                </c:pt>
                <c:pt idx="451">
                  <c:v>24.09.2025</c:v>
                </c:pt>
                <c:pt idx="452">
                  <c:v>25.09.2025</c:v>
                </c:pt>
                <c:pt idx="453">
                  <c:v>26.09.2025</c:v>
                </c:pt>
                <c:pt idx="454">
                  <c:v>29.09.2025</c:v>
                </c:pt>
                <c:pt idx="455">
                  <c:v>30.09.2025</c:v>
                </c:pt>
                <c:pt idx="456">
                  <c:v>01.10.2025</c:v>
                </c:pt>
                <c:pt idx="457">
                  <c:v>02.10.2025</c:v>
                </c:pt>
                <c:pt idx="458">
                  <c:v>03.10.2025</c:v>
                </c:pt>
                <c:pt idx="459">
                  <c:v>06.10.2025</c:v>
                </c:pt>
                <c:pt idx="460">
                  <c:v>07.10.2025</c:v>
                </c:pt>
                <c:pt idx="461">
                  <c:v>08.10.2025</c:v>
                </c:pt>
                <c:pt idx="462">
                  <c:v>09.10.2025</c:v>
                </c:pt>
                <c:pt idx="463">
                  <c:v>10.10.2025</c:v>
                </c:pt>
                <c:pt idx="464">
                  <c:v>13.10.2025</c:v>
                </c:pt>
                <c:pt idx="465">
                  <c:v>14.10.2025</c:v>
                </c:pt>
                <c:pt idx="466">
                  <c:v>15.10.2025</c:v>
                </c:pt>
                <c:pt idx="467">
                  <c:v>16.10.2025</c:v>
                </c:pt>
                <c:pt idx="468">
                  <c:v>17.10.2025</c:v>
                </c:pt>
                <c:pt idx="469">
                  <c:v>20.10.2025</c:v>
                </c:pt>
                <c:pt idx="470">
                  <c:v>21.10.2025</c:v>
                </c:pt>
                <c:pt idx="471">
                  <c:v>22.10.2025</c:v>
                </c:pt>
                <c:pt idx="472">
                  <c:v>23.10.2025</c:v>
                </c:pt>
                <c:pt idx="473">
                  <c:v>24.10.2025</c:v>
                </c:pt>
                <c:pt idx="474">
                  <c:v>27.10.2025</c:v>
                </c:pt>
                <c:pt idx="475">
                  <c:v>28.10.2025</c:v>
                </c:pt>
                <c:pt idx="476">
                  <c:v>29.10.2025</c:v>
                </c:pt>
                <c:pt idx="477">
                  <c:v>30.10.2025</c:v>
                </c:pt>
                <c:pt idx="478">
                  <c:v>31.10.2025</c:v>
                </c:pt>
                <c:pt idx="479">
                  <c:v>03.11.2025</c:v>
                </c:pt>
                <c:pt idx="480">
                  <c:v>04.11.2025</c:v>
                </c:pt>
                <c:pt idx="481">
                  <c:v>05.11.2025</c:v>
                </c:pt>
                <c:pt idx="482">
                  <c:v>06.11.2025</c:v>
                </c:pt>
                <c:pt idx="483">
                  <c:v>07.11.2025</c:v>
                </c:pt>
                <c:pt idx="484">
                  <c:v>10.11.2025</c:v>
                </c:pt>
                <c:pt idx="485">
                  <c:v>11.11.2025</c:v>
                </c:pt>
                <c:pt idx="486">
                  <c:v>12.11.2025</c:v>
                </c:pt>
                <c:pt idx="487">
                  <c:v>13.11.2025</c:v>
                </c:pt>
                <c:pt idx="488">
                  <c:v>14.11.2025</c:v>
                </c:pt>
                <c:pt idx="489">
                  <c:v>17.11.2025</c:v>
                </c:pt>
                <c:pt idx="490">
                  <c:v>18.11.2025</c:v>
                </c:pt>
                <c:pt idx="491">
                  <c:v>19.11.2025</c:v>
                </c:pt>
                <c:pt idx="492">
                  <c:v>20.11.2025</c:v>
                </c:pt>
                <c:pt idx="493">
                  <c:v>21.11.2025</c:v>
                </c:pt>
                <c:pt idx="494">
                  <c:v>24.11.2025</c:v>
                </c:pt>
                <c:pt idx="495">
                  <c:v>25.11.2025</c:v>
                </c:pt>
                <c:pt idx="496">
                  <c:v>26.11.2025</c:v>
                </c:pt>
                <c:pt idx="497">
                  <c:v>27.11.2025</c:v>
                </c:pt>
                <c:pt idx="498">
                  <c:v>28.11.2025</c:v>
                </c:pt>
                <c:pt idx="499">
                  <c:v>01.12.2025</c:v>
                </c:pt>
                <c:pt idx="500">
                  <c:v>02.12.2025</c:v>
                </c:pt>
                <c:pt idx="501">
                  <c:v>03.12.2025</c:v>
                </c:pt>
                <c:pt idx="502">
                  <c:v>04.12.2025</c:v>
                </c:pt>
                <c:pt idx="503">
                  <c:v>05.12.2025</c:v>
                </c:pt>
                <c:pt idx="504">
                  <c:v>08.12.2025</c:v>
                </c:pt>
              </c:strCache>
            </c:strRef>
          </c:cat>
          <c:val>
            <c:numRef>
              <c:f>Samaradorlik!$B$22:$B$526</c:f>
              <c:numCache>
                <c:formatCode>0.0000</c:formatCode>
                <c:ptCount val="505"/>
                <c:pt idx="0">
                  <c:v>1</c:v>
                </c:pt>
                <c:pt idx="1">
                  <c:v>1.00574</c:v>
                </c:pt>
                <c:pt idx="2">
                  <c:v>0.9923</c:v>
                </c:pt>
                <c:pt idx="3">
                  <c:v>0.99881</c:v>
                </c:pt>
                <c:pt idx="4">
                  <c:v>1.00423</c:v>
                </c:pt>
                <c:pt idx="5">
                  <c:v>0.99895</c:v>
                </c:pt>
                <c:pt idx="6">
                  <c:v>1.01031</c:v>
                </c:pt>
                <c:pt idx="7">
                  <c:v>0.9971</c:v>
                </c:pt>
                <c:pt idx="8">
                  <c:v>0.98292</c:v>
                </c:pt>
                <c:pt idx="9">
                  <c:v>0.97834</c:v>
                </c:pt>
                <c:pt idx="10">
                  <c:v>0.97653</c:v>
                </c:pt>
                <c:pt idx="11">
                  <c:v>0.97387</c:v>
                </c:pt>
                <c:pt idx="12">
                  <c:v>0.97718</c:v>
                </c:pt>
                <c:pt idx="13">
                  <c:v>0.97427</c:v>
                </c:pt>
                <c:pt idx="14">
                  <c:v>0.97011</c:v>
                </c:pt>
                <c:pt idx="15">
                  <c:v>0.96599</c:v>
                </c:pt>
                <c:pt idx="16">
                  <c:v>0.97283</c:v>
                </c:pt>
                <c:pt idx="17">
                  <c:v>0.98564</c:v>
                </c:pt>
                <c:pt idx="18">
                  <c:v>0.98822</c:v>
                </c:pt>
                <c:pt idx="19">
                  <c:v>0.9887</c:v>
                </c:pt>
                <c:pt idx="20">
                  <c:v>0.99553</c:v>
                </c:pt>
                <c:pt idx="21">
                  <c:v>1.00016</c:v>
                </c:pt>
                <c:pt idx="22">
                  <c:v>0.99441</c:v>
                </c:pt>
                <c:pt idx="23">
                  <c:v>0.99281</c:v>
                </c:pt>
                <c:pt idx="24">
                  <c:v>0.99789</c:v>
                </c:pt>
                <c:pt idx="25">
                  <c:v>0.99248</c:v>
                </c:pt>
                <c:pt idx="26">
                  <c:v>0.99337</c:v>
                </c:pt>
                <c:pt idx="27">
                  <c:v>1.00031</c:v>
                </c:pt>
                <c:pt idx="28">
                  <c:v>1.00033</c:v>
                </c:pt>
                <c:pt idx="29">
                  <c:v>1.00171</c:v>
                </c:pt>
                <c:pt idx="30">
                  <c:v>1.01026</c:v>
                </c:pt>
                <c:pt idx="31">
                  <c:v>1.01593</c:v>
                </c:pt>
                <c:pt idx="32">
                  <c:v>1.0122</c:v>
                </c:pt>
                <c:pt idx="33">
                  <c:v>1.00305</c:v>
                </c:pt>
                <c:pt idx="34">
                  <c:v>1.01479</c:v>
                </c:pt>
                <c:pt idx="35">
                  <c:v>1.01044</c:v>
                </c:pt>
                <c:pt idx="36">
                  <c:v>1.0105</c:v>
                </c:pt>
                <c:pt idx="37">
                  <c:v>1.05975</c:v>
                </c:pt>
                <c:pt idx="38">
                  <c:v>1.061</c:v>
                </c:pt>
                <c:pt idx="39">
                  <c:v>1.04998</c:v>
                </c:pt>
                <c:pt idx="40">
                  <c:v>1.05276</c:v>
                </c:pt>
                <c:pt idx="41">
                  <c:v>1.05531</c:v>
                </c:pt>
                <c:pt idx="42">
                  <c:v>1.05637</c:v>
                </c:pt>
                <c:pt idx="43">
                  <c:v>1.06218</c:v>
                </c:pt>
                <c:pt idx="44">
                  <c:v>1.06382</c:v>
                </c:pt>
                <c:pt idx="45">
                  <c:v>1.07031</c:v>
                </c:pt>
                <c:pt idx="46">
                  <c:v>1.0336</c:v>
                </c:pt>
                <c:pt idx="47">
                  <c:v>1.00048</c:v>
                </c:pt>
                <c:pt idx="48">
                  <c:v>1.0139</c:v>
                </c:pt>
                <c:pt idx="49">
                  <c:v>1.05828</c:v>
                </c:pt>
                <c:pt idx="50">
                  <c:v>1.05599</c:v>
                </c:pt>
                <c:pt idx="51">
                  <c:v>1.06464</c:v>
                </c:pt>
                <c:pt idx="52">
                  <c:v>1.08481</c:v>
                </c:pt>
                <c:pt idx="53">
                  <c:v>1.09505</c:v>
                </c:pt>
                <c:pt idx="54">
                  <c:v>1.10968</c:v>
                </c:pt>
                <c:pt idx="55">
                  <c:v>1.13553</c:v>
                </c:pt>
                <c:pt idx="56">
                  <c:v>1.13898</c:v>
                </c:pt>
                <c:pt idx="57">
                  <c:v>1.12123</c:v>
                </c:pt>
                <c:pt idx="58">
                  <c:v>1.09566</c:v>
                </c:pt>
                <c:pt idx="59">
                  <c:v>1.09919</c:v>
                </c:pt>
                <c:pt idx="60">
                  <c:v>1.07644</c:v>
                </c:pt>
                <c:pt idx="61">
                  <c:v>1.0542</c:v>
                </c:pt>
                <c:pt idx="62">
                  <c:v>1.0645</c:v>
                </c:pt>
                <c:pt idx="63">
                  <c:v>1.07339</c:v>
                </c:pt>
                <c:pt idx="64">
                  <c:v>1.14149</c:v>
                </c:pt>
                <c:pt idx="65">
                  <c:v>1.126</c:v>
                </c:pt>
                <c:pt idx="66">
                  <c:v>1.09249</c:v>
                </c:pt>
                <c:pt idx="67">
                  <c:v>1.08154</c:v>
                </c:pt>
                <c:pt idx="68">
                  <c:v>1.04513</c:v>
                </c:pt>
                <c:pt idx="69">
                  <c:v>1.06509</c:v>
                </c:pt>
                <c:pt idx="70">
                  <c:v>1.09252</c:v>
                </c:pt>
                <c:pt idx="71">
                  <c:v>1.07883</c:v>
                </c:pt>
                <c:pt idx="72">
                  <c:v>1.09119</c:v>
                </c:pt>
                <c:pt idx="73">
                  <c:v>1.1043</c:v>
                </c:pt>
                <c:pt idx="74">
                  <c:v>1.09728</c:v>
                </c:pt>
                <c:pt idx="75">
                  <c:v>1.10453</c:v>
                </c:pt>
                <c:pt idx="76">
                  <c:v>1.10773</c:v>
                </c:pt>
                <c:pt idx="77">
                  <c:v>1.10103</c:v>
                </c:pt>
                <c:pt idx="78">
                  <c:v>1.10367</c:v>
                </c:pt>
                <c:pt idx="79">
                  <c:v>1.12895</c:v>
                </c:pt>
                <c:pt idx="80">
                  <c:v>1.14202</c:v>
                </c:pt>
                <c:pt idx="81">
                  <c:v>1.14835</c:v>
                </c:pt>
                <c:pt idx="82">
                  <c:v>1.13809</c:v>
                </c:pt>
                <c:pt idx="83">
                  <c:v>1.1602</c:v>
                </c:pt>
                <c:pt idx="84">
                  <c:v>1.16274</c:v>
                </c:pt>
                <c:pt idx="85">
                  <c:v>1.15675</c:v>
                </c:pt>
                <c:pt idx="86">
                  <c:v>1.15042</c:v>
                </c:pt>
                <c:pt idx="87">
                  <c:v>1.16421</c:v>
                </c:pt>
                <c:pt idx="88">
                  <c:v>1.15063</c:v>
                </c:pt>
                <c:pt idx="89">
                  <c:v>1.15661</c:v>
                </c:pt>
                <c:pt idx="90">
                  <c:v>1.17232</c:v>
                </c:pt>
                <c:pt idx="91">
                  <c:v>1.16569</c:v>
                </c:pt>
                <c:pt idx="92">
                  <c:v>1.16361</c:v>
                </c:pt>
                <c:pt idx="93">
                  <c:v>1.18808</c:v>
                </c:pt>
                <c:pt idx="94">
                  <c:v>1.19337</c:v>
                </c:pt>
                <c:pt idx="95">
                  <c:v>1.19387</c:v>
                </c:pt>
                <c:pt idx="96">
                  <c:v>1.21493</c:v>
                </c:pt>
                <c:pt idx="97">
                  <c:v>1.20593</c:v>
                </c:pt>
                <c:pt idx="98">
                  <c:v>1.2159</c:v>
                </c:pt>
                <c:pt idx="99">
                  <c:v>1.21806</c:v>
                </c:pt>
                <c:pt idx="100">
                  <c:v>1.22235</c:v>
                </c:pt>
                <c:pt idx="101">
                  <c:v>1.21367</c:v>
                </c:pt>
                <c:pt idx="102">
                  <c:v>1.22873</c:v>
                </c:pt>
                <c:pt idx="103">
                  <c:v>1.22312</c:v>
                </c:pt>
                <c:pt idx="104">
                  <c:v>1.22287</c:v>
                </c:pt>
                <c:pt idx="105">
                  <c:v>1.22212</c:v>
                </c:pt>
                <c:pt idx="106">
                  <c:v>1.21756</c:v>
                </c:pt>
                <c:pt idx="107">
                  <c:v>1.21373</c:v>
                </c:pt>
                <c:pt idx="108">
                  <c:v>1.20367</c:v>
                </c:pt>
                <c:pt idx="109">
                  <c:v>1.20501</c:v>
                </c:pt>
                <c:pt idx="110">
                  <c:v>1.1993</c:v>
                </c:pt>
                <c:pt idx="111">
                  <c:v>1.19001</c:v>
                </c:pt>
                <c:pt idx="112">
                  <c:v>1.20551</c:v>
                </c:pt>
                <c:pt idx="113">
                  <c:v>1.19404</c:v>
                </c:pt>
                <c:pt idx="114">
                  <c:v>1.18358</c:v>
                </c:pt>
                <c:pt idx="115">
                  <c:v>1.14803</c:v>
                </c:pt>
                <c:pt idx="116">
                  <c:v>1.1267</c:v>
                </c:pt>
                <c:pt idx="117">
                  <c:v>1.12698</c:v>
                </c:pt>
                <c:pt idx="118">
                  <c:v>1.12203</c:v>
                </c:pt>
                <c:pt idx="119">
                  <c:v>1.11058</c:v>
                </c:pt>
                <c:pt idx="120">
                  <c:v>1.09806</c:v>
                </c:pt>
                <c:pt idx="121">
                  <c:v>1.11391</c:v>
                </c:pt>
                <c:pt idx="122">
                  <c:v>1.10862</c:v>
                </c:pt>
                <c:pt idx="123">
                  <c:v>1.09336</c:v>
                </c:pt>
                <c:pt idx="124">
                  <c:v>1.09487</c:v>
                </c:pt>
                <c:pt idx="125">
                  <c:v>1.11208</c:v>
                </c:pt>
                <c:pt idx="126">
                  <c:v>1.11322</c:v>
                </c:pt>
                <c:pt idx="127">
                  <c:v>1.10879</c:v>
                </c:pt>
                <c:pt idx="128">
                  <c:v>1.10501</c:v>
                </c:pt>
                <c:pt idx="129">
                  <c:v>1.10268</c:v>
                </c:pt>
                <c:pt idx="130">
                  <c:v>1.11955</c:v>
                </c:pt>
                <c:pt idx="131">
                  <c:v>1.12177</c:v>
                </c:pt>
                <c:pt idx="132">
                  <c:v>1.12081</c:v>
                </c:pt>
                <c:pt idx="133">
                  <c:v>1.13961</c:v>
                </c:pt>
                <c:pt idx="134">
                  <c:v>1.12847</c:v>
                </c:pt>
                <c:pt idx="135">
                  <c:v>1.12491</c:v>
                </c:pt>
                <c:pt idx="136">
                  <c:v>1.12464</c:v>
                </c:pt>
                <c:pt idx="137">
                  <c:v>1.11584</c:v>
                </c:pt>
                <c:pt idx="138">
                  <c:v>1.11403</c:v>
                </c:pt>
                <c:pt idx="139">
                  <c:v>1.118</c:v>
                </c:pt>
                <c:pt idx="140">
                  <c:v>1.13226</c:v>
                </c:pt>
                <c:pt idx="141">
                  <c:v>1.14011</c:v>
                </c:pt>
                <c:pt idx="142">
                  <c:v>1.14953</c:v>
                </c:pt>
                <c:pt idx="143">
                  <c:v>1.14562</c:v>
                </c:pt>
                <c:pt idx="144">
                  <c:v>1.15357</c:v>
                </c:pt>
                <c:pt idx="145">
                  <c:v>1.17668</c:v>
                </c:pt>
                <c:pt idx="146">
                  <c:v>1.15864</c:v>
                </c:pt>
                <c:pt idx="147">
                  <c:v>1.15828</c:v>
                </c:pt>
                <c:pt idx="148">
                  <c:v>1.1472</c:v>
                </c:pt>
                <c:pt idx="149">
                  <c:v>1.16291</c:v>
                </c:pt>
                <c:pt idx="150">
                  <c:v>1.17389</c:v>
                </c:pt>
                <c:pt idx="151">
                  <c:v>1.16958</c:v>
                </c:pt>
                <c:pt idx="152">
                  <c:v>1.16762</c:v>
                </c:pt>
                <c:pt idx="153">
                  <c:v>1.13715</c:v>
                </c:pt>
                <c:pt idx="154">
                  <c:v>1.155</c:v>
                </c:pt>
                <c:pt idx="155">
                  <c:v>1.17702</c:v>
                </c:pt>
                <c:pt idx="156">
                  <c:v>1.16448</c:v>
                </c:pt>
                <c:pt idx="157">
                  <c:v>1.17091</c:v>
                </c:pt>
                <c:pt idx="158">
                  <c:v>1.15787</c:v>
                </c:pt>
                <c:pt idx="159">
                  <c:v>1.15858</c:v>
                </c:pt>
                <c:pt idx="160">
                  <c:v>1.15222</c:v>
                </c:pt>
                <c:pt idx="161">
                  <c:v>1.16096</c:v>
                </c:pt>
                <c:pt idx="162">
                  <c:v>1.1723</c:v>
                </c:pt>
                <c:pt idx="163">
                  <c:v>1.18452</c:v>
                </c:pt>
                <c:pt idx="164">
                  <c:v>1.18082</c:v>
                </c:pt>
                <c:pt idx="165">
                  <c:v>1.20091</c:v>
                </c:pt>
                <c:pt idx="166">
                  <c:v>1.2117</c:v>
                </c:pt>
                <c:pt idx="167">
                  <c:v>1.21188</c:v>
                </c:pt>
                <c:pt idx="168">
                  <c:v>1.21894</c:v>
                </c:pt>
                <c:pt idx="169">
                  <c:v>1.22097</c:v>
                </c:pt>
                <c:pt idx="170">
                  <c:v>1.21567</c:v>
                </c:pt>
                <c:pt idx="171">
                  <c:v>1.21717</c:v>
                </c:pt>
                <c:pt idx="172">
                  <c:v>1.23006</c:v>
                </c:pt>
                <c:pt idx="173">
                  <c:v>1.23268</c:v>
                </c:pt>
                <c:pt idx="174">
                  <c:v>1.23134</c:v>
                </c:pt>
                <c:pt idx="175">
                  <c:v>1.23416</c:v>
                </c:pt>
                <c:pt idx="176">
                  <c:v>1.23744</c:v>
                </c:pt>
                <c:pt idx="177">
                  <c:v>1.24347</c:v>
                </c:pt>
                <c:pt idx="178">
                  <c:v>1.23146</c:v>
                </c:pt>
                <c:pt idx="179">
                  <c:v>1.24175</c:v>
                </c:pt>
                <c:pt idx="180">
                  <c:v>1.25154</c:v>
                </c:pt>
                <c:pt idx="181">
                  <c:v>1.2589</c:v>
                </c:pt>
                <c:pt idx="182">
                  <c:v>1.25354</c:v>
                </c:pt>
                <c:pt idx="183">
                  <c:v>1.24948</c:v>
                </c:pt>
                <c:pt idx="184">
                  <c:v>1.25499</c:v>
                </c:pt>
                <c:pt idx="185">
                  <c:v>1.25383</c:v>
                </c:pt>
                <c:pt idx="186">
                  <c:v>1.24349</c:v>
                </c:pt>
                <c:pt idx="187">
                  <c:v>1.24154</c:v>
                </c:pt>
                <c:pt idx="188">
                  <c:v>1.24435</c:v>
                </c:pt>
                <c:pt idx="189">
                  <c:v>1.24815</c:v>
                </c:pt>
                <c:pt idx="190">
                  <c:v>1.24918</c:v>
                </c:pt>
                <c:pt idx="191">
                  <c:v>1.24533</c:v>
                </c:pt>
                <c:pt idx="192">
                  <c:v>1.23693</c:v>
                </c:pt>
                <c:pt idx="193">
                  <c:v>1.23477</c:v>
                </c:pt>
                <c:pt idx="194">
                  <c:v>1.23805</c:v>
                </c:pt>
                <c:pt idx="195">
                  <c:v>1.24385</c:v>
                </c:pt>
                <c:pt idx="196">
                  <c:v>1.24152</c:v>
                </c:pt>
                <c:pt idx="197">
                  <c:v>1.24156</c:v>
                </c:pt>
                <c:pt idx="198">
                  <c:v>1.24514</c:v>
                </c:pt>
                <c:pt idx="199">
                  <c:v>1.24291</c:v>
                </c:pt>
                <c:pt idx="200">
                  <c:v>1.2454</c:v>
                </c:pt>
                <c:pt idx="201">
                  <c:v>1.24835</c:v>
                </c:pt>
                <c:pt idx="202">
                  <c:v>1.25544</c:v>
                </c:pt>
                <c:pt idx="203">
                  <c:v>1.2503</c:v>
                </c:pt>
                <c:pt idx="204">
                  <c:v>1.25455</c:v>
                </c:pt>
                <c:pt idx="205">
                  <c:v>1.25957</c:v>
                </c:pt>
                <c:pt idx="206">
                  <c:v>1.26008</c:v>
                </c:pt>
                <c:pt idx="207">
                  <c:v>1.27638</c:v>
                </c:pt>
                <c:pt idx="208">
                  <c:v>1.27253</c:v>
                </c:pt>
                <c:pt idx="209">
                  <c:v>1.27954</c:v>
                </c:pt>
                <c:pt idx="210">
                  <c:v>1.27727</c:v>
                </c:pt>
                <c:pt idx="211">
                  <c:v>1.2776</c:v>
                </c:pt>
                <c:pt idx="212">
                  <c:v>1.27663</c:v>
                </c:pt>
                <c:pt idx="213">
                  <c:v>1.27895</c:v>
                </c:pt>
                <c:pt idx="214">
                  <c:v>1.28401</c:v>
                </c:pt>
                <c:pt idx="215">
                  <c:v>1.29305</c:v>
                </c:pt>
                <c:pt idx="216">
                  <c:v>1.30838</c:v>
                </c:pt>
                <c:pt idx="217">
                  <c:v>1.31232</c:v>
                </c:pt>
                <c:pt idx="218">
                  <c:v>1.31113</c:v>
                </c:pt>
                <c:pt idx="219">
                  <c:v>1.30969</c:v>
                </c:pt>
                <c:pt idx="220">
                  <c:v>1.30986</c:v>
                </c:pt>
                <c:pt idx="221">
                  <c:v>1.31348</c:v>
                </c:pt>
                <c:pt idx="222">
                  <c:v>1.31824</c:v>
                </c:pt>
                <c:pt idx="223">
                  <c:v>1.31747</c:v>
                </c:pt>
                <c:pt idx="224">
                  <c:v>1.32011</c:v>
                </c:pt>
                <c:pt idx="225">
                  <c:v>1.32494</c:v>
                </c:pt>
                <c:pt idx="226">
                  <c:v>1.31692</c:v>
                </c:pt>
                <c:pt idx="227">
                  <c:v>1.31022</c:v>
                </c:pt>
                <c:pt idx="228">
                  <c:v>1.30926</c:v>
                </c:pt>
                <c:pt idx="229">
                  <c:v>1.30569</c:v>
                </c:pt>
                <c:pt idx="230">
                  <c:v>1.2974</c:v>
                </c:pt>
                <c:pt idx="231">
                  <c:v>1.29356</c:v>
                </c:pt>
                <c:pt idx="232">
                  <c:v>1.295</c:v>
                </c:pt>
                <c:pt idx="233">
                  <c:v>1.29447</c:v>
                </c:pt>
                <c:pt idx="234">
                  <c:v>1.29419</c:v>
                </c:pt>
                <c:pt idx="235">
                  <c:v>1.29697</c:v>
                </c:pt>
                <c:pt idx="236">
                  <c:v>1.30131</c:v>
                </c:pt>
                <c:pt idx="237">
                  <c:v>1.30115</c:v>
                </c:pt>
                <c:pt idx="238">
                  <c:v>1.30411</c:v>
                </c:pt>
                <c:pt idx="239">
                  <c:v>1.30336</c:v>
                </c:pt>
                <c:pt idx="240">
                  <c:v>1.30165</c:v>
                </c:pt>
                <c:pt idx="241">
                  <c:v>1.31759</c:v>
                </c:pt>
                <c:pt idx="242">
                  <c:v>1.31827</c:v>
                </c:pt>
                <c:pt idx="243">
                  <c:v>1.31569</c:v>
                </c:pt>
                <c:pt idx="244">
                  <c:v>1.3098</c:v>
                </c:pt>
                <c:pt idx="245">
                  <c:v>1.30092</c:v>
                </c:pt>
                <c:pt idx="246">
                  <c:v>1.31203</c:v>
                </c:pt>
                <c:pt idx="247">
                  <c:v>1.30848</c:v>
                </c:pt>
                <c:pt idx="248">
                  <c:v>1.30801</c:v>
                </c:pt>
                <c:pt idx="249">
                  <c:v>1.3086</c:v>
                </c:pt>
                <c:pt idx="250">
                  <c:v>1.31834</c:v>
                </c:pt>
                <c:pt idx="251">
                  <c:v>1.31086</c:v>
                </c:pt>
                <c:pt idx="252">
                  <c:v>1.30024</c:v>
                </c:pt>
                <c:pt idx="253">
                  <c:v>1.31279</c:v>
                </c:pt>
                <c:pt idx="254">
                  <c:v>1.31839</c:v>
                </c:pt>
                <c:pt idx="255">
                  <c:v>1.32469</c:v>
                </c:pt>
                <c:pt idx="256">
                  <c:v>1.33059</c:v>
                </c:pt>
                <c:pt idx="257">
                  <c:v>1.34513</c:v>
                </c:pt>
                <c:pt idx="258">
                  <c:v>1.36055</c:v>
                </c:pt>
                <c:pt idx="259">
                  <c:v>1.35631</c:v>
                </c:pt>
                <c:pt idx="260">
                  <c:v>1.35688</c:v>
                </c:pt>
                <c:pt idx="261">
                  <c:v>1.35469</c:v>
                </c:pt>
                <c:pt idx="262">
                  <c:v>1.3687</c:v>
                </c:pt>
                <c:pt idx="263">
                  <c:v>1.38193</c:v>
                </c:pt>
                <c:pt idx="264">
                  <c:v>1.37071</c:v>
                </c:pt>
                <c:pt idx="265">
                  <c:v>1.35568</c:v>
                </c:pt>
                <c:pt idx="266">
                  <c:v>1.35171</c:v>
                </c:pt>
                <c:pt idx="267">
                  <c:v>1.34417</c:v>
                </c:pt>
                <c:pt idx="268">
                  <c:v>1.34338</c:v>
                </c:pt>
                <c:pt idx="269">
                  <c:v>1.35181</c:v>
                </c:pt>
                <c:pt idx="270">
                  <c:v>1.34647</c:v>
                </c:pt>
                <c:pt idx="271">
                  <c:v>1.36164</c:v>
                </c:pt>
                <c:pt idx="272">
                  <c:v>1.34842</c:v>
                </c:pt>
                <c:pt idx="273">
                  <c:v>1.3548</c:v>
                </c:pt>
                <c:pt idx="274">
                  <c:v>1.35126</c:v>
                </c:pt>
                <c:pt idx="275">
                  <c:v>1.36149</c:v>
                </c:pt>
                <c:pt idx="276">
                  <c:v>1.36946</c:v>
                </c:pt>
                <c:pt idx="277">
                  <c:v>1.33613</c:v>
                </c:pt>
                <c:pt idx="278">
                  <c:v>1.34808</c:v>
                </c:pt>
                <c:pt idx="279">
                  <c:v>1.34857</c:v>
                </c:pt>
                <c:pt idx="280">
                  <c:v>1.34279</c:v>
                </c:pt>
                <c:pt idx="281">
                  <c:v>1.34162</c:v>
                </c:pt>
                <c:pt idx="282">
                  <c:v>1.33388</c:v>
                </c:pt>
                <c:pt idx="283">
                  <c:v>1.31676</c:v>
                </c:pt>
                <c:pt idx="284">
                  <c:v>1.323</c:v>
                </c:pt>
                <c:pt idx="285">
                  <c:v>1.33438</c:v>
                </c:pt>
                <c:pt idx="286">
                  <c:v>1.33087</c:v>
                </c:pt>
                <c:pt idx="287">
                  <c:v>1.32303</c:v>
                </c:pt>
                <c:pt idx="288">
                  <c:v>1.34309</c:v>
                </c:pt>
                <c:pt idx="289">
                  <c:v>1.34949</c:v>
                </c:pt>
                <c:pt idx="290">
                  <c:v>1.35704</c:v>
                </c:pt>
                <c:pt idx="291">
                  <c:v>1.36319</c:v>
                </c:pt>
                <c:pt idx="292">
                  <c:v>1.37756</c:v>
                </c:pt>
                <c:pt idx="293">
                  <c:v>1.36389</c:v>
                </c:pt>
                <c:pt idx="294">
                  <c:v>1.37484</c:v>
                </c:pt>
                <c:pt idx="295">
                  <c:v>1.40259</c:v>
                </c:pt>
                <c:pt idx="296">
                  <c:v>1.38933</c:v>
                </c:pt>
                <c:pt idx="297">
                  <c:v>1.39464</c:v>
                </c:pt>
                <c:pt idx="298">
                  <c:v>1.39233</c:v>
                </c:pt>
                <c:pt idx="299">
                  <c:v>1.38672</c:v>
                </c:pt>
                <c:pt idx="300">
                  <c:v>1.39419</c:v>
                </c:pt>
                <c:pt idx="301">
                  <c:v>1.38242</c:v>
                </c:pt>
                <c:pt idx="302">
                  <c:v>1.38284</c:v>
                </c:pt>
                <c:pt idx="303">
                  <c:v>1.34413</c:v>
                </c:pt>
                <c:pt idx="304">
                  <c:v>1.32448</c:v>
                </c:pt>
                <c:pt idx="305">
                  <c:v>1.33151</c:v>
                </c:pt>
                <c:pt idx="306">
                  <c:v>1.30417</c:v>
                </c:pt>
                <c:pt idx="307">
                  <c:v>1.28789</c:v>
                </c:pt>
                <c:pt idx="308">
                  <c:v>1.25361</c:v>
                </c:pt>
                <c:pt idx="309">
                  <c:v>1.23255</c:v>
                </c:pt>
                <c:pt idx="310">
                  <c:v>1.21307</c:v>
                </c:pt>
                <c:pt idx="311">
                  <c:v>1.21766</c:v>
                </c:pt>
                <c:pt idx="312">
                  <c:v>1.21408</c:v>
                </c:pt>
                <c:pt idx="313">
                  <c:v>1.2077</c:v>
                </c:pt>
                <c:pt idx="314">
                  <c:v>1.20596</c:v>
                </c:pt>
                <c:pt idx="315">
                  <c:v>1.22827</c:v>
                </c:pt>
                <c:pt idx="316">
                  <c:v>1.22039</c:v>
                </c:pt>
                <c:pt idx="317">
                  <c:v>1.23296</c:v>
                </c:pt>
                <c:pt idx="318">
                  <c:v>1.21064</c:v>
                </c:pt>
                <c:pt idx="319">
                  <c:v>1.16999</c:v>
                </c:pt>
                <c:pt idx="320">
                  <c:v>1.15084</c:v>
                </c:pt>
                <c:pt idx="321">
                  <c:v>1.15849</c:v>
                </c:pt>
                <c:pt idx="322">
                  <c:v>1.169</c:v>
                </c:pt>
                <c:pt idx="323">
                  <c:v>1.18876</c:v>
                </c:pt>
                <c:pt idx="324">
                  <c:v>1.19166</c:v>
                </c:pt>
                <c:pt idx="325">
                  <c:v>1.20969</c:v>
                </c:pt>
                <c:pt idx="326">
                  <c:v>1.26345</c:v>
                </c:pt>
                <c:pt idx="327">
                  <c:v>1.27999</c:v>
                </c:pt>
                <c:pt idx="328">
                  <c:v>1.28786</c:v>
                </c:pt>
                <c:pt idx="329">
                  <c:v>1.30026</c:v>
                </c:pt>
                <c:pt idx="330">
                  <c:v>1.29379</c:v>
                </c:pt>
                <c:pt idx="331">
                  <c:v>1.34558</c:v>
                </c:pt>
                <c:pt idx="332">
                  <c:v>1.34881</c:v>
                </c:pt>
                <c:pt idx="333">
                  <c:v>1.32326</c:v>
                </c:pt>
                <c:pt idx="334">
                  <c:v>1.31914</c:v>
                </c:pt>
                <c:pt idx="335">
                  <c:v>1.28192</c:v>
                </c:pt>
                <c:pt idx="336">
                  <c:v>1.25946</c:v>
                </c:pt>
                <c:pt idx="337">
                  <c:v>1.23811</c:v>
                </c:pt>
                <c:pt idx="338">
                  <c:v>1.23496</c:v>
                </c:pt>
                <c:pt idx="339">
                  <c:v>1.23098</c:v>
                </c:pt>
                <c:pt idx="340">
                  <c:v>1.23444</c:v>
                </c:pt>
                <c:pt idx="341">
                  <c:v>1.25306</c:v>
                </c:pt>
                <c:pt idx="342">
                  <c:v>1.22107</c:v>
                </c:pt>
                <c:pt idx="343">
                  <c:v>1.21337</c:v>
                </c:pt>
                <c:pt idx="344">
                  <c:v>1.20599</c:v>
                </c:pt>
                <c:pt idx="345">
                  <c:v>1.2116</c:v>
                </c:pt>
                <c:pt idx="346">
                  <c:v>1.20566</c:v>
                </c:pt>
                <c:pt idx="347">
                  <c:v>1.2005</c:v>
                </c:pt>
                <c:pt idx="348">
                  <c:v>1.19482</c:v>
                </c:pt>
                <c:pt idx="349">
                  <c:v>1.21719</c:v>
                </c:pt>
                <c:pt idx="350">
                  <c:v>1.2081</c:v>
                </c:pt>
                <c:pt idx="351">
                  <c:v>1.26342</c:v>
                </c:pt>
                <c:pt idx="352">
                  <c:v>1.25821</c:v>
                </c:pt>
                <c:pt idx="353">
                  <c:v>1.26575</c:v>
                </c:pt>
                <c:pt idx="354">
                  <c:v>1.27026</c:v>
                </c:pt>
                <c:pt idx="355">
                  <c:v>1.27696</c:v>
                </c:pt>
                <c:pt idx="356">
                  <c:v>1.2744</c:v>
                </c:pt>
                <c:pt idx="357">
                  <c:v>1.27356</c:v>
                </c:pt>
                <c:pt idx="358">
                  <c:v>1.25329</c:v>
                </c:pt>
                <c:pt idx="359">
                  <c:v>1.25291</c:v>
                </c:pt>
                <c:pt idx="360">
                  <c:v>1.28205</c:v>
                </c:pt>
                <c:pt idx="361">
                  <c:v>1.30671</c:v>
                </c:pt>
                <c:pt idx="362">
                  <c:v>1.27354</c:v>
                </c:pt>
                <c:pt idx="363">
                  <c:v>1.26891</c:v>
                </c:pt>
                <c:pt idx="364">
                  <c:v>1.29296</c:v>
                </c:pt>
                <c:pt idx="365">
                  <c:v>1.30841</c:v>
                </c:pt>
                <c:pt idx="366">
                  <c:v>1.31956</c:v>
                </c:pt>
                <c:pt idx="367">
                  <c:v>1.32863</c:v>
                </c:pt>
                <c:pt idx="368">
                  <c:v>1.32774</c:v>
                </c:pt>
                <c:pt idx="369">
                  <c:v>1.34675</c:v>
                </c:pt>
                <c:pt idx="370">
                  <c:v>1.33676</c:v>
                </c:pt>
                <c:pt idx="371">
                  <c:v>1.30896</c:v>
                </c:pt>
                <c:pt idx="372">
                  <c:v>1.29675</c:v>
                </c:pt>
                <c:pt idx="373">
                  <c:v>1.29161</c:v>
                </c:pt>
                <c:pt idx="374">
                  <c:v>1.28571</c:v>
                </c:pt>
                <c:pt idx="375">
                  <c:v>1.28343</c:v>
                </c:pt>
                <c:pt idx="376">
                  <c:v>1.29017</c:v>
                </c:pt>
                <c:pt idx="377">
                  <c:v>1.25331</c:v>
                </c:pt>
                <c:pt idx="378">
                  <c:v>1.28725</c:v>
                </c:pt>
                <c:pt idx="379">
                  <c:v>1.30825</c:v>
                </c:pt>
                <c:pt idx="380">
                  <c:v>1.28147</c:v>
                </c:pt>
                <c:pt idx="381">
                  <c:v>1.29045</c:v>
                </c:pt>
                <c:pt idx="382">
                  <c:v>1.29774</c:v>
                </c:pt>
                <c:pt idx="383">
                  <c:v>1.2955</c:v>
                </c:pt>
                <c:pt idx="384">
                  <c:v>1.28603</c:v>
                </c:pt>
                <c:pt idx="385">
                  <c:v>1.29628</c:v>
                </c:pt>
                <c:pt idx="386">
                  <c:v>1.27836</c:v>
                </c:pt>
                <c:pt idx="387">
                  <c:v>1.28504</c:v>
                </c:pt>
                <c:pt idx="388">
                  <c:v>1.32873</c:v>
                </c:pt>
                <c:pt idx="389">
                  <c:v>1.3344</c:v>
                </c:pt>
                <c:pt idx="390">
                  <c:v>1.35774</c:v>
                </c:pt>
                <c:pt idx="391">
                  <c:v>1.32497</c:v>
                </c:pt>
                <c:pt idx="392">
                  <c:v>1.31995</c:v>
                </c:pt>
                <c:pt idx="393">
                  <c:v>1.3439</c:v>
                </c:pt>
                <c:pt idx="394">
                  <c:v>1.32264</c:v>
                </c:pt>
                <c:pt idx="395">
                  <c:v>1.35209</c:v>
                </c:pt>
                <c:pt idx="396">
                  <c:v>1.34389</c:v>
                </c:pt>
                <c:pt idx="397">
                  <c:v>1.39532</c:v>
                </c:pt>
                <c:pt idx="398">
                  <c:v>1.42598</c:v>
                </c:pt>
                <c:pt idx="399">
                  <c:v>1.42212</c:v>
                </c:pt>
                <c:pt idx="400">
                  <c:v>1.41145</c:v>
                </c:pt>
                <c:pt idx="401">
                  <c:v>1.43785</c:v>
                </c:pt>
                <c:pt idx="402">
                  <c:v>1.43995</c:v>
                </c:pt>
                <c:pt idx="403">
                  <c:v>1.43528</c:v>
                </c:pt>
                <c:pt idx="404">
                  <c:v>1.43429</c:v>
                </c:pt>
                <c:pt idx="405">
                  <c:v>1.43966</c:v>
                </c:pt>
                <c:pt idx="406">
                  <c:v>1.44687</c:v>
                </c:pt>
                <c:pt idx="407">
                  <c:v>1.46171</c:v>
                </c:pt>
                <c:pt idx="408">
                  <c:v>1.4646</c:v>
                </c:pt>
                <c:pt idx="409">
                  <c:v>1.44331</c:v>
                </c:pt>
                <c:pt idx="410">
                  <c:v>1.45506</c:v>
                </c:pt>
                <c:pt idx="411">
                  <c:v>1.45593</c:v>
                </c:pt>
                <c:pt idx="412">
                  <c:v>1.46291</c:v>
                </c:pt>
                <c:pt idx="413">
                  <c:v>1.47724</c:v>
                </c:pt>
                <c:pt idx="414">
                  <c:v>1.49749</c:v>
                </c:pt>
                <c:pt idx="415">
                  <c:v>1.48971</c:v>
                </c:pt>
                <c:pt idx="416">
                  <c:v>1.50869</c:v>
                </c:pt>
                <c:pt idx="417">
                  <c:v>1.51716</c:v>
                </c:pt>
                <c:pt idx="418">
                  <c:v>1.52629</c:v>
                </c:pt>
                <c:pt idx="419">
                  <c:v>1.52136</c:v>
                </c:pt>
                <c:pt idx="420">
                  <c:v>1.53671</c:v>
                </c:pt>
                <c:pt idx="421">
                  <c:v>1.57507</c:v>
                </c:pt>
                <c:pt idx="422">
                  <c:v>1.58647</c:v>
                </c:pt>
                <c:pt idx="423">
                  <c:v>1.57254</c:v>
                </c:pt>
                <c:pt idx="424">
                  <c:v>1.57054</c:v>
                </c:pt>
                <c:pt idx="425">
                  <c:v>1.55395</c:v>
                </c:pt>
                <c:pt idx="426">
                  <c:v>1.55067</c:v>
                </c:pt>
                <c:pt idx="427">
                  <c:v>1.54641</c:v>
                </c:pt>
                <c:pt idx="428">
                  <c:v>1.5584</c:v>
                </c:pt>
                <c:pt idx="429">
                  <c:v>1.53266</c:v>
                </c:pt>
                <c:pt idx="430">
                  <c:v>1.51484</c:v>
                </c:pt>
                <c:pt idx="431">
                  <c:v>1.53825</c:v>
                </c:pt>
                <c:pt idx="432">
                  <c:v>1.53025</c:v>
                </c:pt>
                <c:pt idx="433">
                  <c:v>1.51624</c:v>
                </c:pt>
                <c:pt idx="434">
                  <c:v>1.52091</c:v>
                </c:pt>
                <c:pt idx="435">
                  <c:v>1.53301</c:v>
                </c:pt>
                <c:pt idx="436">
                  <c:v>1.54058</c:v>
                </c:pt>
                <c:pt idx="437">
                  <c:v>1.54703</c:v>
                </c:pt>
                <c:pt idx="438">
                  <c:v>1.53877</c:v>
                </c:pt>
                <c:pt idx="439">
                  <c:v>1.54204</c:v>
                </c:pt>
                <c:pt idx="440">
                  <c:v>1.48034</c:v>
                </c:pt>
                <c:pt idx="441">
                  <c:v>1.501</c:v>
                </c:pt>
                <c:pt idx="442">
                  <c:v>1.47914</c:v>
                </c:pt>
                <c:pt idx="443">
                  <c:v>1.50692</c:v>
                </c:pt>
                <c:pt idx="444">
                  <c:v>1.52288</c:v>
                </c:pt>
                <c:pt idx="445">
                  <c:v>1.50904</c:v>
                </c:pt>
                <c:pt idx="446">
                  <c:v>1.52732</c:v>
                </c:pt>
                <c:pt idx="447">
                  <c:v>1.52534</c:v>
                </c:pt>
                <c:pt idx="448">
                  <c:v>1.50431</c:v>
                </c:pt>
                <c:pt idx="449">
                  <c:v>1.50748</c:v>
                </c:pt>
                <c:pt idx="450">
                  <c:v>1.50191</c:v>
                </c:pt>
                <c:pt idx="451">
                  <c:v>1.50558</c:v>
                </c:pt>
                <c:pt idx="452">
                  <c:v>1.51669</c:v>
                </c:pt>
                <c:pt idx="453">
                  <c:v>1.51485</c:v>
                </c:pt>
                <c:pt idx="454">
                  <c:v>1.50659</c:v>
                </c:pt>
                <c:pt idx="455">
                  <c:v>1.50086</c:v>
                </c:pt>
                <c:pt idx="456">
                  <c:v>1.50494</c:v>
                </c:pt>
                <c:pt idx="457">
                  <c:v>1.48546</c:v>
                </c:pt>
                <c:pt idx="458">
                  <c:v>1.48566</c:v>
                </c:pt>
                <c:pt idx="459">
                  <c:v>1.49835</c:v>
                </c:pt>
                <c:pt idx="460">
                  <c:v>1.47517</c:v>
                </c:pt>
                <c:pt idx="461">
                  <c:v>1.46203</c:v>
                </c:pt>
                <c:pt idx="462">
                  <c:v>1.47772</c:v>
                </c:pt>
                <c:pt idx="463">
                  <c:v>1.47407</c:v>
                </c:pt>
                <c:pt idx="464">
                  <c:v>1.48949</c:v>
                </c:pt>
                <c:pt idx="465">
                  <c:v>1.5011</c:v>
                </c:pt>
                <c:pt idx="466">
                  <c:v>1.49026</c:v>
                </c:pt>
                <c:pt idx="467">
                  <c:v>1.49225</c:v>
                </c:pt>
                <c:pt idx="468">
                  <c:v>1.49335</c:v>
                </c:pt>
                <c:pt idx="469">
                  <c:v>1.49606</c:v>
                </c:pt>
                <c:pt idx="470">
                  <c:v>1.50183</c:v>
                </c:pt>
                <c:pt idx="471">
                  <c:v>1.51791</c:v>
                </c:pt>
                <c:pt idx="472">
                  <c:v>1.51306</c:v>
                </c:pt>
                <c:pt idx="473">
                  <c:v>1.52348</c:v>
                </c:pt>
                <c:pt idx="474">
                  <c:v>1.52543</c:v>
                </c:pt>
                <c:pt idx="475">
                  <c:v>1.50384</c:v>
                </c:pt>
                <c:pt idx="476">
                  <c:v>1.5057</c:v>
                </c:pt>
                <c:pt idx="477">
                  <c:v>1.47708</c:v>
                </c:pt>
                <c:pt idx="478">
                  <c:v>1.47272</c:v>
                </c:pt>
                <c:pt idx="479">
                  <c:v>1.44809</c:v>
                </c:pt>
                <c:pt idx="480">
                  <c:v>1.43937</c:v>
                </c:pt>
                <c:pt idx="481">
                  <c:v>1.43022</c:v>
                </c:pt>
                <c:pt idx="482">
                  <c:v>1.38607</c:v>
                </c:pt>
                <c:pt idx="483">
                  <c:v>1.3639</c:v>
                </c:pt>
                <c:pt idx="484">
                  <c:v>1.34245</c:v>
                </c:pt>
                <c:pt idx="485">
                  <c:v>1.33745</c:v>
                </c:pt>
                <c:pt idx="486">
                  <c:v>1.32804</c:v>
                </c:pt>
                <c:pt idx="487">
                  <c:v>1.31819</c:v>
                </c:pt>
                <c:pt idx="488">
                  <c:v>1.29177</c:v>
                </c:pt>
                <c:pt idx="489">
                  <c:v>1.28471</c:v>
                </c:pt>
                <c:pt idx="490">
                  <c:v>1.27732</c:v>
                </c:pt>
                <c:pt idx="491">
                  <c:v>1.25985</c:v>
                </c:pt>
                <c:pt idx="492">
                  <c:v>1.23991</c:v>
                </c:pt>
                <c:pt idx="493">
                  <c:v>1.22742</c:v>
                </c:pt>
                <c:pt idx="494">
                  <c:v>1.23791</c:v>
                </c:pt>
                <c:pt idx="495">
                  <c:v>1.23053</c:v>
                </c:pt>
                <c:pt idx="496">
                  <c:v>1.22845</c:v>
                </c:pt>
                <c:pt idx="497">
                  <c:v>1.23547</c:v>
                </c:pt>
                <c:pt idx="498">
                  <c:v>1.24538</c:v>
                </c:pt>
                <c:pt idx="499">
                  <c:v>1.24499</c:v>
                </c:pt>
                <c:pt idx="500">
                  <c:v>1.25205</c:v>
                </c:pt>
                <c:pt idx="501">
                  <c:v>1.24882</c:v>
                </c:pt>
                <c:pt idx="502">
                  <c:v>1.24023</c:v>
                </c:pt>
                <c:pt idx="503">
                  <c:v>1.23983</c:v>
                </c:pt>
                <c:pt idx="504">
                  <c:v>1.21703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Samaradorlik!G21</c:f>
              <c:strCache>
                <c:ptCount val="1"/>
                <c:pt idx="0">
                  <c:v>Portfel: boylik indeksi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Samaradorlik!$A$22:$A$526</c:f>
              <c:strCache>
                <c:ptCount val="505"/>
                <c:pt idx="0">
                  <c:v>02.01.2024</c:v>
                </c:pt>
                <c:pt idx="1">
                  <c:v>03.01.2024</c:v>
                </c:pt>
                <c:pt idx="2">
                  <c:v>04.01.2024</c:v>
                </c:pt>
                <c:pt idx="3">
                  <c:v>05.01.2024</c:v>
                </c:pt>
                <c:pt idx="4">
                  <c:v>08.01.2024</c:v>
                </c:pt>
                <c:pt idx="5">
                  <c:v>09.01.2024</c:v>
                </c:pt>
                <c:pt idx="6">
                  <c:v>10.01.2024</c:v>
                </c:pt>
                <c:pt idx="7">
                  <c:v>11.01.2024</c:v>
                </c:pt>
                <c:pt idx="8">
                  <c:v>12.01.2024</c:v>
                </c:pt>
                <c:pt idx="9">
                  <c:v>15.01.2024</c:v>
                </c:pt>
                <c:pt idx="10">
                  <c:v>16.01.2024</c:v>
                </c:pt>
                <c:pt idx="11">
                  <c:v>17.01.2024</c:v>
                </c:pt>
                <c:pt idx="12">
                  <c:v>18.01.2024</c:v>
                </c:pt>
                <c:pt idx="13">
                  <c:v>19.01.2024</c:v>
                </c:pt>
                <c:pt idx="14">
                  <c:v>22.01.2024</c:v>
                </c:pt>
                <c:pt idx="15">
                  <c:v>23.01.2024</c:v>
                </c:pt>
                <c:pt idx="16">
                  <c:v>24.01.2024</c:v>
                </c:pt>
                <c:pt idx="17">
                  <c:v>25.01.2024</c:v>
                </c:pt>
                <c:pt idx="18">
                  <c:v>26.01.2024</c:v>
                </c:pt>
                <c:pt idx="19">
                  <c:v>29.01.2024</c:v>
                </c:pt>
                <c:pt idx="20">
                  <c:v>30.01.2024</c:v>
                </c:pt>
                <c:pt idx="21">
                  <c:v>31.01.2024</c:v>
                </c:pt>
                <c:pt idx="22">
                  <c:v>01.02.2024</c:v>
                </c:pt>
                <c:pt idx="23">
                  <c:v>02.02.2024</c:v>
                </c:pt>
                <c:pt idx="24">
                  <c:v>05.02.2024</c:v>
                </c:pt>
                <c:pt idx="25">
                  <c:v>06.02.2024</c:v>
                </c:pt>
                <c:pt idx="26">
                  <c:v>07.02.2024</c:v>
                </c:pt>
                <c:pt idx="27">
                  <c:v>08.02.2024</c:v>
                </c:pt>
                <c:pt idx="28">
                  <c:v>09.02.2024</c:v>
                </c:pt>
                <c:pt idx="29">
                  <c:v>12.02.2024</c:v>
                </c:pt>
                <c:pt idx="30">
                  <c:v>13.02.2024</c:v>
                </c:pt>
                <c:pt idx="31">
                  <c:v>14.02.2024</c:v>
                </c:pt>
                <c:pt idx="32">
                  <c:v>15.02.2024</c:v>
                </c:pt>
                <c:pt idx="33">
                  <c:v>16.02.2024</c:v>
                </c:pt>
                <c:pt idx="34">
                  <c:v>19.02.2024</c:v>
                </c:pt>
                <c:pt idx="35">
                  <c:v>20.02.2024</c:v>
                </c:pt>
                <c:pt idx="36">
                  <c:v>21.02.2024</c:v>
                </c:pt>
                <c:pt idx="37">
                  <c:v>22.02.2024</c:v>
                </c:pt>
                <c:pt idx="38">
                  <c:v>23.02.2024</c:v>
                </c:pt>
                <c:pt idx="39">
                  <c:v>26.02.2024</c:v>
                </c:pt>
                <c:pt idx="40">
                  <c:v>27.02.2024</c:v>
                </c:pt>
                <c:pt idx="41">
                  <c:v>28.02.2024</c:v>
                </c:pt>
                <c:pt idx="42">
                  <c:v>29.02.2024</c:v>
                </c:pt>
                <c:pt idx="43">
                  <c:v>01.03.2024</c:v>
                </c:pt>
                <c:pt idx="44">
                  <c:v>04.03.2024</c:v>
                </c:pt>
                <c:pt idx="45">
                  <c:v>05.03.2024</c:v>
                </c:pt>
                <c:pt idx="46">
                  <c:v>06.03.2024</c:v>
                </c:pt>
                <c:pt idx="47">
                  <c:v>07.03.2024</c:v>
                </c:pt>
                <c:pt idx="48">
                  <c:v>08.03.2024</c:v>
                </c:pt>
                <c:pt idx="49">
                  <c:v>11.03.2024</c:v>
                </c:pt>
                <c:pt idx="50">
                  <c:v>12.03.2024</c:v>
                </c:pt>
                <c:pt idx="51">
                  <c:v>13.03.2024</c:v>
                </c:pt>
                <c:pt idx="52">
                  <c:v>14.03.2024</c:v>
                </c:pt>
                <c:pt idx="53">
                  <c:v>15.03.2024</c:v>
                </c:pt>
                <c:pt idx="54">
                  <c:v>18.03.2024</c:v>
                </c:pt>
                <c:pt idx="55">
                  <c:v>19.03.2024</c:v>
                </c:pt>
                <c:pt idx="56">
                  <c:v>20.03.2024</c:v>
                </c:pt>
                <c:pt idx="57">
                  <c:v>21.03.2024</c:v>
                </c:pt>
                <c:pt idx="58">
                  <c:v>22.03.2024</c:v>
                </c:pt>
                <c:pt idx="59">
                  <c:v>25.03.2024</c:v>
                </c:pt>
                <c:pt idx="60">
                  <c:v>26.03.2024</c:v>
                </c:pt>
                <c:pt idx="61">
                  <c:v>27.03.2024</c:v>
                </c:pt>
                <c:pt idx="62">
                  <c:v>28.03.2024</c:v>
                </c:pt>
                <c:pt idx="63">
                  <c:v>29.03.2024</c:v>
                </c:pt>
                <c:pt idx="64">
                  <c:v>01.04.2024</c:v>
                </c:pt>
                <c:pt idx="65">
                  <c:v>02.04.2024</c:v>
                </c:pt>
                <c:pt idx="66">
                  <c:v>03.04.2024</c:v>
                </c:pt>
                <c:pt idx="67">
                  <c:v>04.04.2024</c:v>
                </c:pt>
                <c:pt idx="68">
                  <c:v>05.04.2024</c:v>
                </c:pt>
                <c:pt idx="69">
                  <c:v>08.04.2024</c:v>
                </c:pt>
                <c:pt idx="70">
                  <c:v>09.04.2024</c:v>
                </c:pt>
                <c:pt idx="71">
                  <c:v>10.04.2024</c:v>
                </c:pt>
                <c:pt idx="72">
                  <c:v>11.04.2024</c:v>
                </c:pt>
                <c:pt idx="73">
                  <c:v>12.04.2024</c:v>
                </c:pt>
                <c:pt idx="74">
                  <c:v>15.04.2024</c:v>
                </c:pt>
                <c:pt idx="75">
                  <c:v>16.04.2024</c:v>
                </c:pt>
                <c:pt idx="76">
                  <c:v>17.04.2024</c:v>
                </c:pt>
                <c:pt idx="77">
                  <c:v>18.04.2024</c:v>
                </c:pt>
                <c:pt idx="78">
                  <c:v>19.04.2024</c:v>
                </c:pt>
                <c:pt idx="79">
                  <c:v>22.04.2024</c:v>
                </c:pt>
                <c:pt idx="80">
                  <c:v>23.04.2024</c:v>
                </c:pt>
                <c:pt idx="81">
                  <c:v>24.04.2024</c:v>
                </c:pt>
                <c:pt idx="82">
                  <c:v>25.04.2024</c:v>
                </c:pt>
                <c:pt idx="83">
                  <c:v>26.04.2024</c:v>
                </c:pt>
                <c:pt idx="84">
                  <c:v>29.04.2024</c:v>
                </c:pt>
                <c:pt idx="85">
                  <c:v>30.04.2024</c:v>
                </c:pt>
                <c:pt idx="86">
                  <c:v>01.05.2024</c:v>
                </c:pt>
                <c:pt idx="87">
                  <c:v>02.05.2024</c:v>
                </c:pt>
                <c:pt idx="88">
                  <c:v>03.05.2024</c:v>
                </c:pt>
                <c:pt idx="89">
                  <c:v>06.05.2024</c:v>
                </c:pt>
                <c:pt idx="90">
                  <c:v>07.05.2024</c:v>
                </c:pt>
                <c:pt idx="91">
                  <c:v>08.05.2024</c:v>
                </c:pt>
                <c:pt idx="92">
                  <c:v>09.05.2024</c:v>
                </c:pt>
                <c:pt idx="93">
                  <c:v>10.05.2024</c:v>
                </c:pt>
                <c:pt idx="94">
                  <c:v>13.05.2024</c:v>
                </c:pt>
                <c:pt idx="95">
                  <c:v>14.05.2024</c:v>
                </c:pt>
                <c:pt idx="96">
                  <c:v>15.05.2024</c:v>
                </c:pt>
                <c:pt idx="97">
                  <c:v>16.05.2024</c:v>
                </c:pt>
                <c:pt idx="98">
                  <c:v>17.05.2024</c:v>
                </c:pt>
                <c:pt idx="99">
                  <c:v>20.05.2024</c:v>
                </c:pt>
                <c:pt idx="100">
                  <c:v>21.05.2024</c:v>
                </c:pt>
                <c:pt idx="101">
                  <c:v>22.05.2024</c:v>
                </c:pt>
                <c:pt idx="102">
                  <c:v>23.05.2024</c:v>
                </c:pt>
                <c:pt idx="103">
                  <c:v>24.05.2024</c:v>
                </c:pt>
                <c:pt idx="104">
                  <c:v>27.05.2024</c:v>
                </c:pt>
                <c:pt idx="105">
                  <c:v>28.05.2024</c:v>
                </c:pt>
                <c:pt idx="106">
                  <c:v>29.05.2024</c:v>
                </c:pt>
                <c:pt idx="107">
                  <c:v>30.05.2024</c:v>
                </c:pt>
                <c:pt idx="108">
                  <c:v>31.05.2024</c:v>
                </c:pt>
                <c:pt idx="109">
                  <c:v>03.06.2024</c:v>
                </c:pt>
                <c:pt idx="110">
                  <c:v>04.06.2024</c:v>
                </c:pt>
                <c:pt idx="111">
                  <c:v>05.06.2024</c:v>
                </c:pt>
                <c:pt idx="112">
                  <c:v>06.06.2024</c:v>
                </c:pt>
                <c:pt idx="113">
                  <c:v>07.06.2024</c:v>
                </c:pt>
                <c:pt idx="114">
                  <c:v>10.06.2024</c:v>
                </c:pt>
                <c:pt idx="115">
                  <c:v>11.06.2024</c:v>
                </c:pt>
                <c:pt idx="116">
                  <c:v>12.06.2024</c:v>
                </c:pt>
                <c:pt idx="117">
                  <c:v>13.06.2024</c:v>
                </c:pt>
                <c:pt idx="118">
                  <c:v>14.06.2024</c:v>
                </c:pt>
                <c:pt idx="119">
                  <c:v>17.06.2024</c:v>
                </c:pt>
                <c:pt idx="120">
                  <c:v>18.06.2024</c:v>
                </c:pt>
                <c:pt idx="121">
                  <c:v>19.06.2024</c:v>
                </c:pt>
                <c:pt idx="122">
                  <c:v>20.06.2024</c:v>
                </c:pt>
                <c:pt idx="123">
                  <c:v>21.06.2024</c:v>
                </c:pt>
                <c:pt idx="124">
                  <c:v>24.06.2024</c:v>
                </c:pt>
                <c:pt idx="125">
                  <c:v>25.06.2024</c:v>
                </c:pt>
                <c:pt idx="126">
                  <c:v>26.06.2024</c:v>
                </c:pt>
                <c:pt idx="127">
                  <c:v>27.06.2024</c:v>
                </c:pt>
                <c:pt idx="128">
                  <c:v>28.06.2024</c:v>
                </c:pt>
                <c:pt idx="129">
                  <c:v>01.07.2024</c:v>
                </c:pt>
                <c:pt idx="130">
                  <c:v>02.07.2024</c:v>
                </c:pt>
                <c:pt idx="131">
                  <c:v>03.07.2024</c:v>
                </c:pt>
                <c:pt idx="132">
                  <c:v>04.07.2024</c:v>
                </c:pt>
                <c:pt idx="133">
                  <c:v>05.07.2024</c:v>
                </c:pt>
                <c:pt idx="134">
                  <c:v>08.07.2024</c:v>
                </c:pt>
                <c:pt idx="135">
                  <c:v>09.07.2024</c:v>
                </c:pt>
                <c:pt idx="136">
                  <c:v>10.07.2024</c:v>
                </c:pt>
                <c:pt idx="137">
                  <c:v>11.07.2024</c:v>
                </c:pt>
                <c:pt idx="138">
                  <c:v>12.07.2024</c:v>
                </c:pt>
                <c:pt idx="139">
                  <c:v>15.07.2024</c:v>
                </c:pt>
                <c:pt idx="140">
                  <c:v>16.07.2024</c:v>
                </c:pt>
                <c:pt idx="141">
                  <c:v>17.07.2024</c:v>
                </c:pt>
                <c:pt idx="142">
                  <c:v>18.07.2024</c:v>
                </c:pt>
                <c:pt idx="143">
                  <c:v>19.07.2024</c:v>
                </c:pt>
                <c:pt idx="144">
                  <c:v>22.07.2024</c:v>
                </c:pt>
                <c:pt idx="145">
                  <c:v>23.07.2024</c:v>
                </c:pt>
                <c:pt idx="146">
                  <c:v>24.07.2024</c:v>
                </c:pt>
                <c:pt idx="147">
                  <c:v>25.07.2024</c:v>
                </c:pt>
                <c:pt idx="148">
                  <c:v>26.07.2024</c:v>
                </c:pt>
                <c:pt idx="149">
                  <c:v>29.07.2024</c:v>
                </c:pt>
                <c:pt idx="150">
                  <c:v>30.07.2024</c:v>
                </c:pt>
                <c:pt idx="151">
                  <c:v>31.07.2024</c:v>
                </c:pt>
                <c:pt idx="152">
                  <c:v>01.08.2024</c:v>
                </c:pt>
                <c:pt idx="153">
                  <c:v>02.08.2024</c:v>
                </c:pt>
                <c:pt idx="154">
                  <c:v>05.08.2024</c:v>
                </c:pt>
                <c:pt idx="155">
                  <c:v>06.08.2024</c:v>
                </c:pt>
                <c:pt idx="156">
                  <c:v>07.08.2024</c:v>
                </c:pt>
                <c:pt idx="157">
                  <c:v>08.08.2024</c:v>
                </c:pt>
                <c:pt idx="158">
                  <c:v>09.08.2024</c:v>
                </c:pt>
                <c:pt idx="159">
                  <c:v>12.08.2024</c:v>
                </c:pt>
                <c:pt idx="160">
                  <c:v>13.08.2024</c:v>
                </c:pt>
                <c:pt idx="161">
                  <c:v>14.08.2024</c:v>
                </c:pt>
                <c:pt idx="162">
                  <c:v>15.08.2024</c:v>
                </c:pt>
                <c:pt idx="163">
                  <c:v>16.08.2024</c:v>
                </c:pt>
                <c:pt idx="164">
                  <c:v>19.08.2024</c:v>
                </c:pt>
                <c:pt idx="165">
                  <c:v>20.08.2024</c:v>
                </c:pt>
                <c:pt idx="166">
                  <c:v>21.08.2024</c:v>
                </c:pt>
                <c:pt idx="167">
                  <c:v>22.08.2024</c:v>
                </c:pt>
                <c:pt idx="168">
                  <c:v>23.08.2024</c:v>
                </c:pt>
                <c:pt idx="169">
                  <c:v>26.08.2024</c:v>
                </c:pt>
                <c:pt idx="170">
                  <c:v>27.08.2024</c:v>
                </c:pt>
                <c:pt idx="171">
                  <c:v>28.08.2024</c:v>
                </c:pt>
                <c:pt idx="172">
                  <c:v>29.08.2024</c:v>
                </c:pt>
                <c:pt idx="173">
                  <c:v>30.08.2024</c:v>
                </c:pt>
                <c:pt idx="174">
                  <c:v>02.09.2024</c:v>
                </c:pt>
                <c:pt idx="175">
                  <c:v>03.09.2024</c:v>
                </c:pt>
                <c:pt idx="176">
                  <c:v>04.09.2024</c:v>
                </c:pt>
                <c:pt idx="177">
                  <c:v>05.09.2024</c:v>
                </c:pt>
                <c:pt idx="178">
                  <c:v>06.09.2024</c:v>
                </c:pt>
                <c:pt idx="179">
                  <c:v>09.09.2024</c:v>
                </c:pt>
                <c:pt idx="180">
                  <c:v>10.09.2024</c:v>
                </c:pt>
                <c:pt idx="181">
                  <c:v>11.09.2024</c:v>
                </c:pt>
                <c:pt idx="182">
                  <c:v>12.09.2024</c:v>
                </c:pt>
                <c:pt idx="183">
                  <c:v>13.09.2024</c:v>
                </c:pt>
                <c:pt idx="184">
                  <c:v>16.09.2024</c:v>
                </c:pt>
                <c:pt idx="185">
                  <c:v>17.09.2024</c:v>
                </c:pt>
                <c:pt idx="186">
                  <c:v>18.09.2024</c:v>
                </c:pt>
                <c:pt idx="187">
                  <c:v>19.09.2024</c:v>
                </c:pt>
                <c:pt idx="188">
                  <c:v>20.09.2024</c:v>
                </c:pt>
                <c:pt idx="189">
                  <c:v>23.09.2024</c:v>
                </c:pt>
                <c:pt idx="190">
                  <c:v>24.09.2024</c:v>
                </c:pt>
                <c:pt idx="191">
                  <c:v>25.09.2024</c:v>
                </c:pt>
                <c:pt idx="192">
                  <c:v>26.09.2024</c:v>
                </c:pt>
                <c:pt idx="193">
                  <c:v>27.09.2024</c:v>
                </c:pt>
                <c:pt idx="194">
                  <c:v>30.09.2024</c:v>
                </c:pt>
                <c:pt idx="195">
                  <c:v>01.10.2024</c:v>
                </c:pt>
                <c:pt idx="196">
                  <c:v>02.10.2024</c:v>
                </c:pt>
                <c:pt idx="197">
                  <c:v>03.10.2024</c:v>
                </c:pt>
                <c:pt idx="198">
                  <c:v>04.10.2024</c:v>
                </c:pt>
                <c:pt idx="199">
                  <c:v>07.10.2024</c:v>
                </c:pt>
                <c:pt idx="200">
                  <c:v>08.10.2024</c:v>
                </c:pt>
                <c:pt idx="201">
                  <c:v>09.10.2024</c:v>
                </c:pt>
                <c:pt idx="202">
                  <c:v>10.10.2024</c:v>
                </c:pt>
                <c:pt idx="203">
                  <c:v>11.10.2024</c:v>
                </c:pt>
                <c:pt idx="204">
                  <c:v>14.10.2024</c:v>
                </c:pt>
                <c:pt idx="205">
                  <c:v>15.10.2024</c:v>
                </c:pt>
                <c:pt idx="206">
                  <c:v>16.10.2024</c:v>
                </c:pt>
                <c:pt idx="207">
                  <c:v>17.10.2024</c:v>
                </c:pt>
                <c:pt idx="208">
                  <c:v>18.10.2024</c:v>
                </c:pt>
                <c:pt idx="209">
                  <c:v>21.10.2024</c:v>
                </c:pt>
                <c:pt idx="210">
                  <c:v>22.10.2024</c:v>
                </c:pt>
                <c:pt idx="211">
                  <c:v>23.10.2024</c:v>
                </c:pt>
                <c:pt idx="212">
                  <c:v>24.10.2024</c:v>
                </c:pt>
                <c:pt idx="213">
                  <c:v>25.10.2024</c:v>
                </c:pt>
                <c:pt idx="214">
                  <c:v>28.10.2024</c:v>
                </c:pt>
                <c:pt idx="215">
                  <c:v>29.10.2024</c:v>
                </c:pt>
                <c:pt idx="216">
                  <c:v>30.10.2024</c:v>
                </c:pt>
                <c:pt idx="217">
                  <c:v>31.10.2024</c:v>
                </c:pt>
                <c:pt idx="218">
                  <c:v>01.11.2024</c:v>
                </c:pt>
                <c:pt idx="219">
                  <c:v>04.11.2024</c:v>
                </c:pt>
                <c:pt idx="220">
                  <c:v>05.11.2024</c:v>
                </c:pt>
                <c:pt idx="221">
                  <c:v>06.11.2024</c:v>
                </c:pt>
                <c:pt idx="222">
                  <c:v>07.11.2024</c:v>
                </c:pt>
                <c:pt idx="223">
                  <c:v>08.11.2024</c:v>
                </c:pt>
                <c:pt idx="224">
                  <c:v>11.11.2024</c:v>
                </c:pt>
                <c:pt idx="225">
                  <c:v>12.11.2024</c:v>
                </c:pt>
                <c:pt idx="226">
                  <c:v>13.11.2024</c:v>
                </c:pt>
                <c:pt idx="227">
                  <c:v>14.11.2024</c:v>
                </c:pt>
                <c:pt idx="228">
                  <c:v>15.11.2024</c:v>
                </c:pt>
                <c:pt idx="229">
                  <c:v>18.11.2024</c:v>
                </c:pt>
                <c:pt idx="230">
                  <c:v>19.11.2024</c:v>
                </c:pt>
                <c:pt idx="231">
                  <c:v>20.11.2024</c:v>
                </c:pt>
                <c:pt idx="232">
                  <c:v>21.11.2024</c:v>
                </c:pt>
                <c:pt idx="233">
                  <c:v>22.11.2024</c:v>
                </c:pt>
                <c:pt idx="234">
                  <c:v>25.11.2024</c:v>
                </c:pt>
                <c:pt idx="235">
                  <c:v>26.11.2024</c:v>
                </c:pt>
                <c:pt idx="236">
                  <c:v>27.11.2024</c:v>
                </c:pt>
                <c:pt idx="237">
                  <c:v>28.11.2024</c:v>
                </c:pt>
                <c:pt idx="238">
                  <c:v>29.11.2024</c:v>
                </c:pt>
                <c:pt idx="239">
                  <c:v>02.12.2024</c:v>
                </c:pt>
                <c:pt idx="240">
                  <c:v>03.12.2024</c:v>
                </c:pt>
                <c:pt idx="241">
                  <c:v>04.12.2024</c:v>
                </c:pt>
                <c:pt idx="242">
                  <c:v>05.12.2024</c:v>
                </c:pt>
                <c:pt idx="243">
                  <c:v>06.12.2024</c:v>
                </c:pt>
                <c:pt idx="244">
                  <c:v>09.12.2024</c:v>
                </c:pt>
                <c:pt idx="245">
                  <c:v>10.12.2024</c:v>
                </c:pt>
                <c:pt idx="246">
                  <c:v>11.12.2024</c:v>
                </c:pt>
                <c:pt idx="247">
                  <c:v>12.12.2024</c:v>
                </c:pt>
                <c:pt idx="248">
                  <c:v>13.12.2024</c:v>
                </c:pt>
                <c:pt idx="249">
                  <c:v>16.12.2024</c:v>
                </c:pt>
                <c:pt idx="250">
                  <c:v>17.12.2024</c:v>
                </c:pt>
                <c:pt idx="251">
                  <c:v>18.12.2024</c:v>
                </c:pt>
                <c:pt idx="252">
                  <c:v>19.12.2024</c:v>
                </c:pt>
                <c:pt idx="253">
                  <c:v>20.12.2024</c:v>
                </c:pt>
                <c:pt idx="254">
                  <c:v>23.12.2024</c:v>
                </c:pt>
                <c:pt idx="255">
                  <c:v>24.12.2024</c:v>
                </c:pt>
                <c:pt idx="256">
                  <c:v>25.12.2024</c:v>
                </c:pt>
                <c:pt idx="257">
                  <c:v>26.12.2024</c:v>
                </c:pt>
                <c:pt idx="258">
                  <c:v>27.12.2024</c:v>
                </c:pt>
                <c:pt idx="259">
                  <c:v>30.12.2024</c:v>
                </c:pt>
                <c:pt idx="260">
                  <c:v>31.12.2024</c:v>
                </c:pt>
                <c:pt idx="261">
                  <c:v>01.01.2025</c:v>
                </c:pt>
                <c:pt idx="262">
                  <c:v>02.01.2025</c:v>
                </c:pt>
                <c:pt idx="263">
                  <c:v>03.01.2025</c:v>
                </c:pt>
                <c:pt idx="264">
                  <c:v>06.01.2025</c:v>
                </c:pt>
                <c:pt idx="265">
                  <c:v>07.01.2025</c:v>
                </c:pt>
                <c:pt idx="266">
                  <c:v>08.01.2025</c:v>
                </c:pt>
                <c:pt idx="267">
                  <c:v>09.01.2025</c:v>
                </c:pt>
                <c:pt idx="268">
                  <c:v>10.01.2025</c:v>
                </c:pt>
                <c:pt idx="269">
                  <c:v>13.01.2025</c:v>
                </c:pt>
                <c:pt idx="270">
                  <c:v>14.01.2025</c:v>
                </c:pt>
                <c:pt idx="271">
                  <c:v>15.01.2025</c:v>
                </c:pt>
                <c:pt idx="272">
                  <c:v>16.01.2025</c:v>
                </c:pt>
                <c:pt idx="273">
                  <c:v>17.01.2025</c:v>
                </c:pt>
                <c:pt idx="274">
                  <c:v>20.01.2025</c:v>
                </c:pt>
                <c:pt idx="275">
                  <c:v>21.01.2025</c:v>
                </c:pt>
                <c:pt idx="276">
                  <c:v>22.01.2025</c:v>
                </c:pt>
                <c:pt idx="277">
                  <c:v>23.01.2025</c:v>
                </c:pt>
                <c:pt idx="278">
                  <c:v>24.01.2025</c:v>
                </c:pt>
                <c:pt idx="279">
                  <c:v>27.01.2025</c:v>
                </c:pt>
                <c:pt idx="280">
                  <c:v>28.01.2025</c:v>
                </c:pt>
                <c:pt idx="281">
                  <c:v>29.01.2025</c:v>
                </c:pt>
                <c:pt idx="282">
                  <c:v>30.01.2025</c:v>
                </c:pt>
                <c:pt idx="283">
                  <c:v>31.01.2025</c:v>
                </c:pt>
                <c:pt idx="284">
                  <c:v>03.02.2025</c:v>
                </c:pt>
                <c:pt idx="285">
                  <c:v>04.02.2025</c:v>
                </c:pt>
                <c:pt idx="286">
                  <c:v>05.02.2025</c:v>
                </c:pt>
                <c:pt idx="287">
                  <c:v>06.02.2025</c:v>
                </c:pt>
                <c:pt idx="288">
                  <c:v>07.02.2025</c:v>
                </c:pt>
                <c:pt idx="289">
                  <c:v>10.02.2025</c:v>
                </c:pt>
                <c:pt idx="290">
                  <c:v>11.02.2025</c:v>
                </c:pt>
                <c:pt idx="291">
                  <c:v>12.02.2025</c:v>
                </c:pt>
                <c:pt idx="292">
                  <c:v>13.02.2025</c:v>
                </c:pt>
                <c:pt idx="293">
                  <c:v>14.02.2025</c:v>
                </c:pt>
                <c:pt idx="294">
                  <c:v>17.02.2025</c:v>
                </c:pt>
                <c:pt idx="295">
                  <c:v>18.02.2025</c:v>
                </c:pt>
                <c:pt idx="296">
                  <c:v>19.02.2025</c:v>
                </c:pt>
                <c:pt idx="297">
                  <c:v>20.02.2025</c:v>
                </c:pt>
                <c:pt idx="298">
                  <c:v>21.02.2025</c:v>
                </c:pt>
                <c:pt idx="299">
                  <c:v>24.02.2025</c:v>
                </c:pt>
                <c:pt idx="300">
                  <c:v>25.02.2025</c:v>
                </c:pt>
                <c:pt idx="301">
                  <c:v>26.02.2025</c:v>
                </c:pt>
                <c:pt idx="302">
                  <c:v>27.02.2025</c:v>
                </c:pt>
                <c:pt idx="303">
                  <c:v>28.02.2025</c:v>
                </c:pt>
                <c:pt idx="304">
                  <c:v>03.03.2025</c:v>
                </c:pt>
                <c:pt idx="305">
                  <c:v>04.03.2025</c:v>
                </c:pt>
                <c:pt idx="306">
                  <c:v>05.03.2025</c:v>
                </c:pt>
                <c:pt idx="307">
                  <c:v>06.03.2025</c:v>
                </c:pt>
                <c:pt idx="308">
                  <c:v>07.03.2025</c:v>
                </c:pt>
                <c:pt idx="309">
                  <c:v>10.03.2025</c:v>
                </c:pt>
                <c:pt idx="310">
                  <c:v>11.03.2025</c:v>
                </c:pt>
                <c:pt idx="311">
                  <c:v>12.03.2025</c:v>
                </c:pt>
                <c:pt idx="312">
                  <c:v>13.03.2025</c:v>
                </c:pt>
                <c:pt idx="313">
                  <c:v>14.03.2025</c:v>
                </c:pt>
                <c:pt idx="314">
                  <c:v>17.03.2025</c:v>
                </c:pt>
                <c:pt idx="315">
                  <c:v>18.03.2025</c:v>
                </c:pt>
                <c:pt idx="316">
                  <c:v>19.03.2025</c:v>
                </c:pt>
                <c:pt idx="317">
                  <c:v>20.03.2025</c:v>
                </c:pt>
                <c:pt idx="318">
                  <c:v>21.03.2025</c:v>
                </c:pt>
                <c:pt idx="319">
                  <c:v>24.03.2025</c:v>
                </c:pt>
                <c:pt idx="320">
                  <c:v>25.03.2025</c:v>
                </c:pt>
                <c:pt idx="321">
                  <c:v>26.03.2025</c:v>
                </c:pt>
                <c:pt idx="322">
                  <c:v>27.03.2025</c:v>
                </c:pt>
                <c:pt idx="323">
                  <c:v>28.03.2025</c:v>
                </c:pt>
                <c:pt idx="324">
                  <c:v>31.03.2025</c:v>
                </c:pt>
                <c:pt idx="325">
                  <c:v>01.04.2025</c:v>
                </c:pt>
                <c:pt idx="326">
                  <c:v>02.04.2025</c:v>
                </c:pt>
                <c:pt idx="327">
                  <c:v>03.04.2025</c:v>
                </c:pt>
                <c:pt idx="328">
                  <c:v>04.04.2025</c:v>
                </c:pt>
                <c:pt idx="329">
                  <c:v>07.04.2025</c:v>
                </c:pt>
                <c:pt idx="330">
                  <c:v>08.04.2025</c:v>
                </c:pt>
                <c:pt idx="331">
                  <c:v>09.04.2025</c:v>
                </c:pt>
                <c:pt idx="332">
                  <c:v>10.04.2025</c:v>
                </c:pt>
                <c:pt idx="333">
                  <c:v>11.04.2025</c:v>
                </c:pt>
                <c:pt idx="334">
                  <c:v>14.04.2025</c:v>
                </c:pt>
                <c:pt idx="335">
                  <c:v>15.04.2025</c:v>
                </c:pt>
                <c:pt idx="336">
                  <c:v>16.04.2025</c:v>
                </c:pt>
                <c:pt idx="337">
                  <c:v>17.04.2025</c:v>
                </c:pt>
                <c:pt idx="338">
                  <c:v>18.04.2025</c:v>
                </c:pt>
                <c:pt idx="339">
                  <c:v>21.04.2025</c:v>
                </c:pt>
                <c:pt idx="340">
                  <c:v>22.04.2025</c:v>
                </c:pt>
                <c:pt idx="341">
                  <c:v>23.04.2025</c:v>
                </c:pt>
                <c:pt idx="342">
                  <c:v>24.04.2025</c:v>
                </c:pt>
                <c:pt idx="343">
                  <c:v>25.04.2025</c:v>
                </c:pt>
                <c:pt idx="344">
                  <c:v>28.04.2025</c:v>
                </c:pt>
                <c:pt idx="345">
                  <c:v>29.04.2025</c:v>
                </c:pt>
                <c:pt idx="346">
                  <c:v>30.04.2025</c:v>
                </c:pt>
                <c:pt idx="347">
                  <c:v>01.05.2025</c:v>
                </c:pt>
                <c:pt idx="348">
                  <c:v>02.05.2025</c:v>
                </c:pt>
                <c:pt idx="349">
                  <c:v>05.05.2025</c:v>
                </c:pt>
                <c:pt idx="350">
                  <c:v>06.05.2025</c:v>
                </c:pt>
                <c:pt idx="351">
                  <c:v>07.05.2025</c:v>
                </c:pt>
                <c:pt idx="352">
                  <c:v>08.05.2025</c:v>
                </c:pt>
                <c:pt idx="353">
                  <c:v>09.05.2025</c:v>
                </c:pt>
                <c:pt idx="354">
                  <c:v>12.05.2025</c:v>
                </c:pt>
                <c:pt idx="355">
                  <c:v>13.05.2025</c:v>
                </c:pt>
                <c:pt idx="356">
                  <c:v>14.05.2025</c:v>
                </c:pt>
                <c:pt idx="357">
                  <c:v>15.05.2025</c:v>
                </c:pt>
                <c:pt idx="358">
                  <c:v>16.05.2025</c:v>
                </c:pt>
                <c:pt idx="359">
                  <c:v>19.05.2025</c:v>
                </c:pt>
                <c:pt idx="360">
                  <c:v>20.05.2025</c:v>
                </c:pt>
                <c:pt idx="361">
                  <c:v>21.05.2025</c:v>
                </c:pt>
                <c:pt idx="362">
                  <c:v>22.05.2025</c:v>
                </c:pt>
                <c:pt idx="363">
                  <c:v>23.05.2025</c:v>
                </c:pt>
                <c:pt idx="364">
                  <c:v>26.05.2025</c:v>
                </c:pt>
                <c:pt idx="365">
                  <c:v>27.05.2025</c:v>
                </c:pt>
                <c:pt idx="366">
                  <c:v>28.05.2025</c:v>
                </c:pt>
                <c:pt idx="367">
                  <c:v>29.05.2025</c:v>
                </c:pt>
                <c:pt idx="368">
                  <c:v>30.05.2025</c:v>
                </c:pt>
                <c:pt idx="369">
                  <c:v>02.06.2025</c:v>
                </c:pt>
                <c:pt idx="370">
                  <c:v>03.06.2025</c:v>
                </c:pt>
                <c:pt idx="371">
                  <c:v>04.06.2025</c:v>
                </c:pt>
                <c:pt idx="372">
                  <c:v>05.06.2025</c:v>
                </c:pt>
                <c:pt idx="373">
                  <c:v>06.06.2025</c:v>
                </c:pt>
                <c:pt idx="374">
                  <c:v>09.06.2025</c:v>
                </c:pt>
                <c:pt idx="375">
                  <c:v>10.06.2025</c:v>
                </c:pt>
                <c:pt idx="376">
                  <c:v>11.06.2025</c:v>
                </c:pt>
                <c:pt idx="377">
                  <c:v>12.06.2025</c:v>
                </c:pt>
                <c:pt idx="378">
                  <c:v>13.06.2025</c:v>
                </c:pt>
                <c:pt idx="379">
                  <c:v>16.06.2025</c:v>
                </c:pt>
                <c:pt idx="380">
                  <c:v>17.06.2025</c:v>
                </c:pt>
                <c:pt idx="381">
                  <c:v>18.06.2025</c:v>
                </c:pt>
                <c:pt idx="382">
                  <c:v>19.06.2025</c:v>
                </c:pt>
                <c:pt idx="383">
                  <c:v>20.06.2025</c:v>
                </c:pt>
                <c:pt idx="384">
                  <c:v>23.06.2025</c:v>
                </c:pt>
                <c:pt idx="385">
                  <c:v>24.06.2025</c:v>
                </c:pt>
                <c:pt idx="386">
                  <c:v>25.06.2025</c:v>
                </c:pt>
                <c:pt idx="387">
                  <c:v>26.06.2025</c:v>
                </c:pt>
                <c:pt idx="388">
                  <c:v>27.06.2025</c:v>
                </c:pt>
                <c:pt idx="389">
                  <c:v>30.06.2025</c:v>
                </c:pt>
                <c:pt idx="390">
                  <c:v>01.07.2025</c:v>
                </c:pt>
                <c:pt idx="391">
                  <c:v>02.07.2025</c:v>
                </c:pt>
                <c:pt idx="392">
                  <c:v>03.07.2025</c:v>
                </c:pt>
                <c:pt idx="393">
                  <c:v>04.07.2025</c:v>
                </c:pt>
                <c:pt idx="394">
                  <c:v>07.07.2025</c:v>
                </c:pt>
                <c:pt idx="395">
                  <c:v>08.07.2025</c:v>
                </c:pt>
                <c:pt idx="396">
                  <c:v>09.07.2025</c:v>
                </c:pt>
                <c:pt idx="397">
                  <c:v>10.07.2025</c:v>
                </c:pt>
                <c:pt idx="398">
                  <c:v>11.07.2025</c:v>
                </c:pt>
                <c:pt idx="399">
                  <c:v>14.07.2025</c:v>
                </c:pt>
                <c:pt idx="400">
                  <c:v>15.07.2025</c:v>
                </c:pt>
                <c:pt idx="401">
                  <c:v>16.07.2025</c:v>
                </c:pt>
                <c:pt idx="402">
                  <c:v>17.07.2025</c:v>
                </c:pt>
                <c:pt idx="403">
                  <c:v>18.07.2025</c:v>
                </c:pt>
                <c:pt idx="404">
                  <c:v>21.07.2025</c:v>
                </c:pt>
                <c:pt idx="405">
                  <c:v>22.07.2025</c:v>
                </c:pt>
                <c:pt idx="406">
                  <c:v>23.07.2025</c:v>
                </c:pt>
                <c:pt idx="407">
                  <c:v>24.07.2025</c:v>
                </c:pt>
                <c:pt idx="408">
                  <c:v>25.07.2025</c:v>
                </c:pt>
                <c:pt idx="409">
                  <c:v>28.07.2025</c:v>
                </c:pt>
                <c:pt idx="410">
                  <c:v>29.07.2025</c:v>
                </c:pt>
                <c:pt idx="411">
                  <c:v>30.07.2025</c:v>
                </c:pt>
                <c:pt idx="412">
                  <c:v>31.07.2025</c:v>
                </c:pt>
                <c:pt idx="413">
                  <c:v>01.08.2025</c:v>
                </c:pt>
                <c:pt idx="414">
                  <c:v>04.08.2025</c:v>
                </c:pt>
                <c:pt idx="415">
                  <c:v>05.08.2025</c:v>
                </c:pt>
                <c:pt idx="416">
                  <c:v>06.08.2025</c:v>
                </c:pt>
                <c:pt idx="417">
                  <c:v>07.08.2025</c:v>
                </c:pt>
                <c:pt idx="418">
                  <c:v>08.08.2025</c:v>
                </c:pt>
                <c:pt idx="419">
                  <c:v>11.08.2025</c:v>
                </c:pt>
                <c:pt idx="420">
                  <c:v>12.08.2025</c:v>
                </c:pt>
                <c:pt idx="421">
                  <c:v>13.08.2025</c:v>
                </c:pt>
                <c:pt idx="422">
                  <c:v>14.08.2025</c:v>
                </c:pt>
                <c:pt idx="423">
                  <c:v>15.08.2025</c:v>
                </c:pt>
                <c:pt idx="424">
                  <c:v>18.08.2025</c:v>
                </c:pt>
                <c:pt idx="425">
                  <c:v>19.08.2025</c:v>
                </c:pt>
                <c:pt idx="426">
                  <c:v>20.08.2025</c:v>
                </c:pt>
                <c:pt idx="427">
                  <c:v>21.08.2025</c:v>
                </c:pt>
                <c:pt idx="428">
                  <c:v>22.08.2025</c:v>
                </c:pt>
                <c:pt idx="429">
                  <c:v>25.08.2025</c:v>
                </c:pt>
                <c:pt idx="430">
                  <c:v>26.08.2025</c:v>
                </c:pt>
                <c:pt idx="431">
                  <c:v>27.08.2025</c:v>
                </c:pt>
                <c:pt idx="432">
                  <c:v>28.08.2025</c:v>
                </c:pt>
                <c:pt idx="433">
                  <c:v>29.08.2025</c:v>
                </c:pt>
                <c:pt idx="434">
                  <c:v>01.09.2025</c:v>
                </c:pt>
                <c:pt idx="435">
                  <c:v>02.09.2025</c:v>
                </c:pt>
                <c:pt idx="436">
                  <c:v>03.09.2025</c:v>
                </c:pt>
                <c:pt idx="437">
                  <c:v>04.09.2025</c:v>
                </c:pt>
                <c:pt idx="438">
                  <c:v>05.09.2025</c:v>
                </c:pt>
                <c:pt idx="439">
                  <c:v>08.09.2025</c:v>
                </c:pt>
                <c:pt idx="440">
                  <c:v>09.09.2025</c:v>
                </c:pt>
                <c:pt idx="441">
                  <c:v>10.09.2025</c:v>
                </c:pt>
                <c:pt idx="442">
                  <c:v>11.09.2025</c:v>
                </c:pt>
                <c:pt idx="443">
                  <c:v>12.09.2025</c:v>
                </c:pt>
                <c:pt idx="444">
                  <c:v>15.09.2025</c:v>
                </c:pt>
                <c:pt idx="445">
                  <c:v>16.09.2025</c:v>
                </c:pt>
                <c:pt idx="446">
                  <c:v>17.09.2025</c:v>
                </c:pt>
                <c:pt idx="447">
                  <c:v>18.09.2025</c:v>
                </c:pt>
                <c:pt idx="448">
                  <c:v>19.09.2025</c:v>
                </c:pt>
                <c:pt idx="449">
                  <c:v>22.09.2025</c:v>
                </c:pt>
                <c:pt idx="450">
                  <c:v>23.09.2025</c:v>
                </c:pt>
                <c:pt idx="451">
                  <c:v>24.09.2025</c:v>
                </c:pt>
                <c:pt idx="452">
                  <c:v>25.09.2025</c:v>
                </c:pt>
                <c:pt idx="453">
                  <c:v>26.09.2025</c:v>
                </c:pt>
                <c:pt idx="454">
                  <c:v>29.09.2025</c:v>
                </c:pt>
                <c:pt idx="455">
                  <c:v>30.09.2025</c:v>
                </c:pt>
                <c:pt idx="456">
                  <c:v>01.10.2025</c:v>
                </c:pt>
                <c:pt idx="457">
                  <c:v>02.10.2025</c:v>
                </c:pt>
                <c:pt idx="458">
                  <c:v>03.10.2025</c:v>
                </c:pt>
                <c:pt idx="459">
                  <c:v>06.10.2025</c:v>
                </c:pt>
                <c:pt idx="460">
                  <c:v>07.10.2025</c:v>
                </c:pt>
                <c:pt idx="461">
                  <c:v>08.10.2025</c:v>
                </c:pt>
                <c:pt idx="462">
                  <c:v>09.10.2025</c:v>
                </c:pt>
                <c:pt idx="463">
                  <c:v>10.10.2025</c:v>
                </c:pt>
                <c:pt idx="464">
                  <c:v>13.10.2025</c:v>
                </c:pt>
                <c:pt idx="465">
                  <c:v>14.10.2025</c:v>
                </c:pt>
                <c:pt idx="466">
                  <c:v>15.10.2025</c:v>
                </c:pt>
                <c:pt idx="467">
                  <c:v>16.10.2025</c:v>
                </c:pt>
                <c:pt idx="468">
                  <c:v>17.10.2025</c:v>
                </c:pt>
                <c:pt idx="469">
                  <c:v>20.10.2025</c:v>
                </c:pt>
                <c:pt idx="470">
                  <c:v>21.10.2025</c:v>
                </c:pt>
                <c:pt idx="471">
                  <c:v>22.10.2025</c:v>
                </c:pt>
                <c:pt idx="472">
                  <c:v>23.10.2025</c:v>
                </c:pt>
                <c:pt idx="473">
                  <c:v>24.10.2025</c:v>
                </c:pt>
                <c:pt idx="474">
                  <c:v>27.10.2025</c:v>
                </c:pt>
                <c:pt idx="475">
                  <c:v>28.10.2025</c:v>
                </c:pt>
                <c:pt idx="476">
                  <c:v>29.10.2025</c:v>
                </c:pt>
                <c:pt idx="477">
                  <c:v>30.10.2025</c:v>
                </c:pt>
                <c:pt idx="478">
                  <c:v>31.10.2025</c:v>
                </c:pt>
                <c:pt idx="479">
                  <c:v>03.11.2025</c:v>
                </c:pt>
                <c:pt idx="480">
                  <c:v>04.11.2025</c:v>
                </c:pt>
                <c:pt idx="481">
                  <c:v>05.11.2025</c:v>
                </c:pt>
                <c:pt idx="482">
                  <c:v>06.11.2025</c:v>
                </c:pt>
                <c:pt idx="483">
                  <c:v>07.11.2025</c:v>
                </c:pt>
                <c:pt idx="484">
                  <c:v>10.11.2025</c:v>
                </c:pt>
                <c:pt idx="485">
                  <c:v>11.11.2025</c:v>
                </c:pt>
                <c:pt idx="486">
                  <c:v>12.11.2025</c:v>
                </c:pt>
                <c:pt idx="487">
                  <c:v>13.11.2025</c:v>
                </c:pt>
                <c:pt idx="488">
                  <c:v>14.11.2025</c:v>
                </c:pt>
                <c:pt idx="489">
                  <c:v>17.11.2025</c:v>
                </c:pt>
                <c:pt idx="490">
                  <c:v>18.11.2025</c:v>
                </c:pt>
                <c:pt idx="491">
                  <c:v>19.11.2025</c:v>
                </c:pt>
                <c:pt idx="492">
                  <c:v>20.11.2025</c:v>
                </c:pt>
                <c:pt idx="493">
                  <c:v>21.11.2025</c:v>
                </c:pt>
                <c:pt idx="494">
                  <c:v>24.11.2025</c:v>
                </c:pt>
                <c:pt idx="495">
                  <c:v>25.11.2025</c:v>
                </c:pt>
                <c:pt idx="496">
                  <c:v>26.11.2025</c:v>
                </c:pt>
                <c:pt idx="497">
                  <c:v>27.11.2025</c:v>
                </c:pt>
                <c:pt idx="498">
                  <c:v>28.11.2025</c:v>
                </c:pt>
                <c:pt idx="499">
                  <c:v>01.12.2025</c:v>
                </c:pt>
                <c:pt idx="500">
                  <c:v>02.12.2025</c:v>
                </c:pt>
                <c:pt idx="501">
                  <c:v>03.12.2025</c:v>
                </c:pt>
                <c:pt idx="502">
                  <c:v>04.12.2025</c:v>
                </c:pt>
                <c:pt idx="503">
                  <c:v>05.12.2025</c:v>
                </c:pt>
                <c:pt idx="504">
                  <c:v>08.12.2025</c:v>
                </c:pt>
              </c:strCache>
            </c:strRef>
          </c:cat>
          <c:val>
            <c:numRef>
              <c:f>Samaradorlik!$G$22:$G$526</c:f>
              <c:numCache>
                <c:formatCode>0.0000</c:formatCode>
                <c:ptCount val="505"/>
                <c:pt idx="0">
                  <c:v>1</c:v>
                </c:pt>
                <c:pt idx="1">
                  <c:v>1.007947137433</c:v>
                </c:pt>
                <c:pt idx="2">
                  <c:v>1.0001134908568</c:v>
                </c:pt>
                <c:pt idx="3">
                  <c:v>1.00556662278538</c:v>
                </c:pt>
                <c:pt idx="4">
                  <c:v>1.01514602643854</c:v>
                </c:pt>
                <c:pt idx="5">
                  <c:v>1.00178669777703</c:v>
                </c:pt>
                <c:pt idx="6">
                  <c:v>1.01570023881392</c:v>
                </c:pt>
                <c:pt idx="7">
                  <c:v>1.00244030341258</c:v>
                </c:pt>
                <c:pt idx="8">
                  <c:v>0.981942131382754</c:v>
                </c:pt>
                <c:pt idx="9">
                  <c:v>0.978129776739406</c:v>
                </c:pt>
                <c:pt idx="10">
                  <c:v>0.97218654497631</c:v>
                </c:pt>
                <c:pt idx="11">
                  <c:v>0.974230504674384</c:v>
                </c:pt>
                <c:pt idx="12">
                  <c:v>0.982303413762266</c:v>
                </c:pt>
                <c:pt idx="13">
                  <c:v>0.981614748189289</c:v>
                </c:pt>
                <c:pt idx="14">
                  <c:v>0.974734023549539</c:v>
                </c:pt>
                <c:pt idx="15">
                  <c:v>0.972139649787619</c:v>
                </c:pt>
                <c:pt idx="16">
                  <c:v>0.979549987839795</c:v>
                </c:pt>
                <c:pt idx="17">
                  <c:v>1.00063448071756</c:v>
                </c:pt>
                <c:pt idx="18">
                  <c:v>1.00818769435467</c:v>
                </c:pt>
                <c:pt idx="19">
                  <c:v>1.00727686720822</c:v>
                </c:pt>
                <c:pt idx="20">
                  <c:v>1.0106451796609</c:v>
                </c:pt>
                <c:pt idx="21">
                  <c:v>1.01547327326967</c:v>
                </c:pt>
                <c:pt idx="22">
                  <c:v>1.01714457858945</c:v>
                </c:pt>
                <c:pt idx="23">
                  <c:v>1.01835830191815</c:v>
                </c:pt>
                <c:pt idx="24">
                  <c:v>1.01815381831838</c:v>
                </c:pt>
                <c:pt idx="25">
                  <c:v>1.00223344970938</c:v>
                </c:pt>
                <c:pt idx="26">
                  <c:v>1.0052154845158</c:v>
                </c:pt>
                <c:pt idx="27">
                  <c:v>1.00887501487945</c:v>
                </c:pt>
                <c:pt idx="28">
                  <c:v>1.00647125032538</c:v>
                </c:pt>
                <c:pt idx="29">
                  <c:v>1.00700041998352</c:v>
                </c:pt>
                <c:pt idx="30">
                  <c:v>1.01038192494059</c:v>
                </c:pt>
                <c:pt idx="31">
                  <c:v>1.01637057063023</c:v>
                </c:pt>
                <c:pt idx="32">
                  <c:v>1.01554441103589</c:v>
                </c:pt>
                <c:pt idx="33">
                  <c:v>1.00984084180405</c:v>
                </c:pt>
                <c:pt idx="34">
                  <c:v>1.02183226573731</c:v>
                </c:pt>
                <c:pt idx="35">
                  <c:v>1.02356998157985</c:v>
                </c:pt>
                <c:pt idx="36">
                  <c:v>1.0114813291261</c:v>
                </c:pt>
                <c:pt idx="37">
                  <c:v>1.0714417854417</c:v>
                </c:pt>
                <c:pt idx="38">
                  <c:v>1.0748577297144</c:v>
                </c:pt>
                <c:pt idx="39">
                  <c:v>1.06830678587191</c:v>
                </c:pt>
                <c:pt idx="40">
                  <c:v>1.0779313740616</c:v>
                </c:pt>
                <c:pt idx="41">
                  <c:v>1.07771551110315</c:v>
                </c:pt>
                <c:pt idx="42">
                  <c:v>1.0800930300171</c:v>
                </c:pt>
                <c:pt idx="43">
                  <c:v>1.08554882819281</c:v>
                </c:pt>
                <c:pt idx="44">
                  <c:v>1.08501459036272</c:v>
                </c:pt>
                <c:pt idx="45">
                  <c:v>1.09826280979123</c:v>
                </c:pt>
                <c:pt idx="46">
                  <c:v>1.05913125146636</c:v>
                </c:pt>
                <c:pt idx="47">
                  <c:v>1.02092534169838</c:v>
                </c:pt>
                <c:pt idx="48">
                  <c:v>1.03952985352485</c:v>
                </c:pt>
                <c:pt idx="49">
                  <c:v>1.08591917421941</c:v>
                </c:pt>
                <c:pt idx="50">
                  <c:v>1.08143566002383</c:v>
                </c:pt>
                <c:pt idx="51">
                  <c:v>1.08952537823285</c:v>
                </c:pt>
                <c:pt idx="52">
                  <c:v>1.11334199628775</c:v>
                </c:pt>
                <c:pt idx="53">
                  <c:v>1.13694705305536</c:v>
                </c:pt>
                <c:pt idx="54">
                  <c:v>1.15597134610973</c:v>
                </c:pt>
                <c:pt idx="55">
                  <c:v>1.18548354867268</c:v>
                </c:pt>
                <c:pt idx="56">
                  <c:v>1.19821169564686</c:v>
                </c:pt>
                <c:pt idx="57">
                  <c:v>1.15716832101403</c:v>
                </c:pt>
                <c:pt idx="58">
                  <c:v>1.13995075133564</c:v>
                </c:pt>
                <c:pt idx="59">
                  <c:v>1.14954900310971</c:v>
                </c:pt>
                <c:pt idx="60">
                  <c:v>1.12074501641568</c:v>
                </c:pt>
                <c:pt idx="61">
                  <c:v>1.10695224969198</c:v>
                </c:pt>
                <c:pt idx="62">
                  <c:v>1.11032186596494</c:v>
                </c:pt>
                <c:pt idx="63">
                  <c:v>1.12355515488955</c:v>
                </c:pt>
                <c:pt idx="64">
                  <c:v>1.19611688873668</c:v>
                </c:pt>
                <c:pt idx="65">
                  <c:v>1.1828237212058</c:v>
                </c:pt>
                <c:pt idx="66">
                  <c:v>1.14322360820883</c:v>
                </c:pt>
                <c:pt idx="67">
                  <c:v>1.14211016075431</c:v>
                </c:pt>
                <c:pt idx="68">
                  <c:v>1.1022171996984</c:v>
                </c:pt>
                <c:pt idx="69">
                  <c:v>1.11824991154978</c:v>
                </c:pt>
                <c:pt idx="70">
                  <c:v>1.14330623047573</c:v>
                </c:pt>
                <c:pt idx="71">
                  <c:v>1.13131662834708</c:v>
                </c:pt>
                <c:pt idx="72">
                  <c:v>1.15422001684932</c:v>
                </c:pt>
                <c:pt idx="73">
                  <c:v>1.17386150363966</c:v>
                </c:pt>
                <c:pt idx="74">
                  <c:v>1.16290070536506</c:v>
                </c:pt>
                <c:pt idx="75">
                  <c:v>1.17471085658178</c:v>
                </c:pt>
                <c:pt idx="76">
                  <c:v>1.17486973320265</c:v>
                </c:pt>
                <c:pt idx="77">
                  <c:v>1.17175415165229</c:v>
                </c:pt>
                <c:pt idx="78">
                  <c:v>1.17729804129873</c:v>
                </c:pt>
                <c:pt idx="79">
                  <c:v>1.21576584132065</c:v>
                </c:pt>
                <c:pt idx="80">
                  <c:v>1.22070374602354</c:v>
                </c:pt>
                <c:pt idx="81">
                  <c:v>1.23851736555851</c:v>
                </c:pt>
                <c:pt idx="82">
                  <c:v>1.23278007936626</c:v>
                </c:pt>
                <c:pt idx="83">
                  <c:v>1.26606135187984</c:v>
                </c:pt>
                <c:pt idx="84">
                  <c:v>1.27163945991072</c:v>
                </c:pt>
                <c:pt idx="85">
                  <c:v>1.26868257665725</c:v>
                </c:pt>
                <c:pt idx="86">
                  <c:v>1.27037527534025</c:v>
                </c:pt>
                <c:pt idx="87">
                  <c:v>1.27884544770879</c:v>
                </c:pt>
                <c:pt idx="88">
                  <c:v>1.25042463412499</c:v>
                </c:pt>
                <c:pt idx="89">
                  <c:v>1.25661609993558</c:v>
                </c:pt>
                <c:pt idx="90">
                  <c:v>1.2660783975974</c:v>
                </c:pt>
                <c:pt idx="91">
                  <c:v>1.25895547640281</c:v>
                </c:pt>
                <c:pt idx="92">
                  <c:v>1.26573034361622</c:v>
                </c:pt>
                <c:pt idx="93">
                  <c:v>1.28975470423907</c:v>
                </c:pt>
                <c:pt idx="94">
                  <c:v>1.30492500679588</c:v>
                </c:pt>
                <c:pt idx="95">
                  <c:v>1.30892995981333</c:v>
                </c:pt>
                <c:pt idx="96">
                  <c:v>1.33788092235189</c:v>
                </c:pt>
                <c:pt idx="97">
                  <c:v>1.32744588498127</c:v>
                </c:pt>
                <c:pt idx="98">
                  <c:v>1.33820125072887</c:v>
                </c:pt>
                <c:pt idx="99">
                  <c:v>1.3382804365898</c:v>
                </c:pt>
                <c:pt idx="100">
                  <c:v>1.35390059508547</c:v>
                </c:pt>
                <c:pt idx="101">
                  <c:v>1.34211474082264</c:v>
                </c:pt>
                <c:pt idx="102">
                  <c:v>1.35272793748361</c:v>
                </c:pt>
                <c:pt idx="103">
                  <c:v>1.35655967165243</c:v>
                </c:pt>
                <c:pt idx="104">
                  <c:v>1.36336722126873</c:v>
                </c:pt>
                <c:pt idx="105">
                  <c:v>1.35968931992768</c:v>
                </c:pt>
                <c:pt idx="106">
                  <c:v>1.34486515521201</c:v>
                </c:pt>
                <c:pt idx="107">
                  <c:v>1.34036858397146</c:v>
                </c:pt>
                <c:pt idx="108">
                  <c:v>1.33569100358761</c:v>
                </c:pt>
                <c:pt idx="109">
                  <c:v>1.32614268546765</c:v>
                </c:pt>
                <c:pt idx="110">
                  <c:v>1.3220644672871</c:v>
                </c:pt>
                <c:pt idx="111">
                  <c:v>1.31106959452288</c:v>
                </c:pt>
                <c:pt idx="112">
                  <c:v>1.32135556326785</c:v>
                </c:pt>
                <c:pt idx="113">
                  <c:v>1.30771069853495</c:v>
                </c:pt>
                <c:pt idx="114">
                  <c:v>1.30773114673492</c:v>
                </c:pt>
                <c:pt idx="115">
                  <c:v>1.27226728479284</c:v>
                </c:pt>
                <c:pt idx="116">
                  <c:v>1.23818655519778</c:v>
                </c:pt>
                <c:pt idx="117">
                  <c:v>1.23766786688179</c:v>
                </c:pt>
                <c:pt idx="118">
                  <c:v>1.24079417727802</c:v>
                </c:pt>
                <c:pt idx="119">
                  <c:v>1.23184975497551</c:v>
                </c:pt>
                <c:pt idx="120">
                  <c:v>1.22653599881237</c:v>
                </c:pt>
                <c:pt idx="121">
                  <c:v>1.23008961657592</c:v>
                </c:pt>
                <c:pt idx="122">
                  <c:v>1.23101874169906</c:v>
                </c:pt>
                <c:pt idx="123">
                  <c:v>1.2118752123337</c:v>
                </c:pt>
                <c:pt idx="124">
                  <c:v>1.21822653375227</c:v>
                </c:pt>
                <c:pt idx="125">
                  <c:v>1.23121222540193</c:v>
                </c:pt>
                <c:pt idx="126">
                  <c:v>1.22768425508087</c:v>
                </c:pt>
                <c:pt idx="127">
                  <c:v>1.21773635401465</c:v>
                </c:pt>
                <c:pt idx="128">
                  <c:v>1.2199632532153</c:v>
                </c:pt>
                <c:pt idx="129">
                  <c:v>1.22229449270886</c:v>
                </c:pt>
                <c:pt idx="130">
                  <c:v>1.24422335451175</c:v>
                </c:pt>
                <c:pt idx="131">
                  <c:v>1.253190415478</c:v>
                </c:pt>
                <c:pt idx="132">
                  <c:v>1.24114202202272</c:v>
                </c:pt>
                <c:pt idx="133">
                  <c:v>1.2555741419503</c:v>
                </c:pt>
                <c:pt idx="134">
                  <c:v>1.25147263787011</c:v>
                </c:pt>
                <c:pt idx="135">
                  <c:v>1.2467273760924</c:v>
                </c:pt>
                <c:pt idx="136">
                  <c:v>1.25225122479685</c:v>
                </c:pt>
                <c:pt idx="137">
                  <c:v>1.25427744579335</c:v>
                </c:pt>
                <c:pt idx="138">
                  <c:v>1.26957398326684</c:v>
                </c:pt>
                <c:pt idx="139">
                  <c:v>1.28540775043414</c:v>
                </c:pt>
                <c:pt idx="140">
                  <c:v>1.30469651443282</c:v>
                </c:pt>
                <c:pt idx="141">
                  <c:v>1.31088837763334</c:v>
                </c:pt>
                <c:pt idx="142">
                  <c:v>1.33046635149097</c:v>
                </c:pt>
                <c:pt idx="143">
                  <c:v>1.31683573772518</c:v>
                </c:pt>
                <c:pt idx="144">
                  <c:v>1.33223165627474</c:v>
                </c:pt>
                <c:pt idx="145">
                  <c:v>1.36994309130738</c:v>
                </c:pt>
                <c:pt idx="146">
                  <c:v>1.3548939734489</c:v>
                </c:pt>
                <c:pt idx="147">
                  <c:v>1.35724024831408</c:v>
                </c:pt>
                <c:pt idx="148">
                  <c:v>1.3420086059794</c:v>
                </c:pt>
                <c:pt idx="149">
                  <c:v>1.35941903472255</c:v>
                </c:pt>
                <c:pt idx="150">
                  <c:v>1.37349708601671</c:v>
                </c:pt>
                <c:pt idx="151">
                  <c:v>1.38237867797145</c:v>
                </c:pt>
                <c:pt idx="152">
                  <c:v>1.37183175340083</c:v>
                </c:pt>
                <c:pt idx="153">
                  <c:v>1.32824695890894</c:v>
                </c:pt>
                <c:pt idx="154">
                  <c:v>1.36238971965423</c:v>
                </c:pt>
                <c:pt idx="155">
                  <c:v>1.3891970384216</c:v>
                </c:pt>
                <c:pt idx="156">
                  <c:v>1.36728605635561</c:v>
                </c:pt>
                <c:pt idx="157">
                  <c:v>1.38154635676182</c:v>
                </c:pt>
                <c:pt idx="158">
                  <c:v>1.36806887374409</c:v>
                </c:pt>
                <c:pt idx="159">
                  <c:v>1.36832347082927</c:v>
                </c:pt>
                <c:pt idx="160">
                  <c:v>1.35553663555994</c:v>
                </c:pt>
                <c:pt idx="161">
                  <c:v>1.37241582175138</c:v>
                </c:pt>
                <c:pt idx="162">
                  <c:v>1.38038771077687</c:v>
                </c:pt>
                <c:pt idx="163">
                  <c:v>1.40878811479305</c:v>
                </c:pt>
                <c:pt idx="164">
                  <c:v>1.41546975777798</c:v>
                </c:pt>
                <c:pt idx="165">
                  <c:v>1.427411442631</c:v>
                </c:pt>
                <c:pt idx="166">
                  <c:v>1.44644992595287</c:v>
                </c:pt>
                <c:pt idx="167">
                  <c:v>1.43351778436921</c:v>
                </c:pt>
                <c:pt idx="168">
                  <c:v>1.46116512234029</c:v>
                </c:pt>
                <c:pt idx="169">
                  <c:v>1.46153731681806</c:v>
                </c:pt>
                <c:pt idx="170">
                  <c:v>1.46454212909942</c:v>
                </c:pt>
                <c:pt idx="171">
                  <c:v>1.47958415556731</c:v>
                </c:pt>
                <c:pt idx="172">
                  <c:v>1.48304596010484</c:v>
                </c:pt>
                <c:pt idx="173">
                  <c:v>1.50517146878478</c:v>
                </c:pt>
                <c:pt idx="174">
                  <c:v>1.50584959463056</c:v>
                </c:pt>
                <c:pt idx="175">
                  <c:v>1.49997062215605</c:v>
                </c:pt>
                <c:pt idx="176">
                  <c:v>1.51788269809153</c:v>
                </c:pt>
                <c:pt idx="177">
                  <c:v>1.52584316992504</c:v>
                </c:pt>
                <c:pt idx="178">
                  <c:v>1.50120508634704</c:v>
                </c:pt>
                <c:pt idx="179">
                  <c:v>1.50832892726643</c:v>
                </c:pt>
                <c:pt idx="180">
                  <c:v>1.5222240457472</c:v>
                </c:pt>
                <c:pt idx="181">
                  <c:v>1.55141063470392</c:v>
                </c:pt>
                <c:pt idx="182">
                  <c:v>1.5427171060077</c:v>
                </c:pt>
                <c:pt idx="183">
                  <c:v>1.52821483025498</c:v>
                </c:pt>
                <c:pt idx="184">
                  <c:v>1.55374153774286</c:v>
                </c:pt>
                <c:pt idx="185">
                  <c:v>1.55222164077338</c:v>
                </c:pt>
                <c:pt idx="186">
                  <c:v>1.55093635557652</c:v>
                </c:pt>
                <c:pt idx="187">
                  <c:v>1.56306424533129</c:v>
                </c:pt>
                <c:pt idx="188">
                  <c:v>1.56552391672628</c:v>
                </c:pt>
                <c:pt idx="189">
                  <c:v>1.5737623644451</c:v>
                </c:pt>
                <c:pt idx="190">
                  <c:v>1.57009063984022</c:v>
                </c:pt>
                <c:pt idx="191">
                  <c:v>1.57249232213547</c:v>
                </c:pt>
                <c:pt idx="192">
                  <c:v>1.55978668383276</c:v>
                </c:pt>
                <c:pt idx="193">
                  <c:v>1.5477931401156</c:v>
                </c:pt>
                <c:pt idx="194">
                  <c:v>1.55988824218595</c:v>
                </c:pt>
                <c:pt idx="195">
                  <c:v>1.56602524783277</c:v>
                </c:pt>
                <c:pt idx="196">
                  <c:v>1.55552056306836</c:v>
                </c:pt>
                <c:pt idx="197">
                  <c:v>1.56448279860034</c:v>
                </c:pt>
                <c:pt idx="198">
                  <c:v>1.55114625155784</c:v>
                </c:pt>
                <c:pt idx="199">
                  <c:v>1.55248009646335</c:v>
                </c:pt>
                <c:pt idx="200">
                  <c:v>1.55890088431883</c:v>
                </c:pt>
                <c:pt idx="201">
                  <c:v>1.57789345383084</c:v>
                </c:pt>
                <c:pt idx="202">
                  <c:v>1.57755252603937</c:v>
                </c:pt>
                <c:pt idx="203">
                  <c:v>1.5807112389503</c:v>
                </c:pt>
                <c:pt idx="204">
                  <c:v>1.58963705598409</c:v>
                </c:pt>
                <c:pt idx="205">
                  <c:v>1.58407356492281</c:v>
                </c:pt>
                <c:pt idx="206">
                  <c:v>1.56926582029324</c:v>
                </c:pt>
                <c:pt idx="207">
                  <c:v>1.58014581503934</c:v>
                </c:pt>
                <c:pt idx="208">
                  <c:v>1.56813001916606</c:v>
                </c:pt>
                <c:pt idx="209">
                  <c:v>1.58135861180484</c:v>
                </c:pt>
                <c:pt idx="210">
                  <c:v>1.57176859883977</c:v>
                </c:pt>
                <c:pt idx="211">
                  <c:v>1.56714641403285</c:v>
                </c:pt>
                <c:pt idx="212">
                  <c:v>1.56249528925836</c:v>
                </c:pt>
                <c:pt idx="213">
                  <c:v>1.56523303102382</c:v>
                </c:pt>
                <c:pt idx="214">
                  <c:v>1.56750882233889</c:v>
                </c:pt>
                <c:pt idx="215">
                  <c:v>1.57397673178394</c:v>
                </c:pt>
                <c:pt idx="216">
                  <c:v>1.60278259807781</c:v>
                </c:pt>
                <c:pt idx="217">
                  <c:v>1.61206674683779</c:v>
                </c:pt>
                <c:pt idx="218">
                  <c:v>1.59627939362351</c:v>
                </c:pt>
                <c:pt idx="219">
                  <c:v>1.59144810317615</c:v>
                </c:pt>
                <c:pt idx="220">
                  <c:v>1.58300651677096</c:v>
                </c:pt>
                <c:pt idx="221">
                  <c:v>1.58873927772674</c:v>
                </c:pt>
                <c:pt idx="222">
                  <c:v>1.59535405998455</c:v>
                </c:pt>
                <c:pt idx="223">
                  <c:v>1.60513911154399</c:v>
                </c:pt>
                <c:pt idx="224">
                  <c:v>1.59872435504887</c:v>
                </c:pt>
                <c:pt idx="225">
                  <c:v>1.61263604100423</c:v>
                </c:pt>
                <c:pt idx="226">
                  <c:v>1.60348610172743</c:v>
                </c:pt>
                <c:pt idx="227">
                  <c:v>1.5772834674391</c:v>
                </c:pt>
                <c:pt idx="228">
                  <c:v>1.57043467298271</c:v>
                </c:pt>
                <c:pt idx="229">
                  <c:v>1.5720982245347</c:v>
                </c:pt>
                <c:pt idx="230">
                  <c:v>1.55728963572519</c:v>
                </c:pt>
                <c:pt idx="231">
                  <c:v>1.55902026260484</c:v>
                </c:pt>
                <c:pt idx="232">
                  <c:v>1.55305209798473</c:v>
                </c:pt>
                <c:pt idx="233">
                  <c:v>1.53997256972007</c:v>
                </c:pt>
                <c:pt idx="234">
                  <c:v>1.55754359085104</c:v>
                </c:pt>
                <c:pt idx="235">
                  <c:v>1.5628967951301</c:v>
                </c:pt>
                <c:pt idx="236">
                  <c:v>1.57613766015335</c:v>
                </c:pt>
                <c:pt idx="237">
                  <c:v>1.57913476650876</c:v>
                </c:pt>
                <c:pt idx="238">
                  <c:v>1.57607150838169</c:v>
                </c:pt>
                <c:pt idx="239">
                  <c:v>1.56438505973212</c:v>
                </c:pt>
                <c:pt idx="240">
                  <c:v>1.54894637255732</c:v>
                </c:pt>
                <c:pt idx="241">
                  <c:v>1.57830665375279</c:v>
                </c:pt>
                <c:pt idx="242">
                  <c:v>1.56788596209863</c:v>
                </c:pt>
                <c:pt idx="243">
                  <c:v>1.57021206755289</c:v>
                </c:pt>
                <c:pt idx="244">
                  <c:v>1.56633243163369</c:v>
                </c:pt>
                <c:pt idx="245">
                  <c:v>1.56645259259799</c:v>
                </c:pt>
                <c:pt idx="246">
                  <c:v>1.58022379689747</c:v>
                </c:pt>
                <c:pt idx="247">
                  <c:v>1.56867918170124</c:v>
                </c:pt>
                <c:pt idx="248">
                  <c:v>1.57651618820402</c:v>
                </c:pt>
                <c:pt idx="249">
                  <c:v>1.57414007021615</c:v>
                </c:pt>
                <c:pt idx="250">
                  <c:v>1.58588904337675</c:v>
                </c:pt>
                <c:pt idx="251">
                  <c:v>1.57747377652618</c:v>
                </c:pt>
                <c:pt idx="252">
                  <c:v>1.55745230275685</c:v>
                </c:pt>
                <c:pt idx="253">
                  <c:v>1.58549513466787</c:v>
                </c:pt>
                <c:pt idx="254">
                  <c:v>1.58643833984077</c:v>
                </c:pt>
                <c:pt idx="255">
                  <c:v>1.5953362216115</c:v>
                </c:pt>
                <c:pt idx="256">
                  <c:v>1.61299571651221</c:v>
                </c:pt>
                <c:pt idx="257">
                  <c:v>1.63867677537854</c:v>
                </c:pt>
                <c:pt idx="258">
                  <c:v>1.64779684181454</c:v>
                </c:pt>
                <c:pt idx="259">
                  <c:v>1.63570591318945</c:v>
                </c:pt>
                <c:pt idx="260">
                  <c:v>1.65148815930463</c:v>
                </c:pt>
                <c:pt idx="261">
                  <c:v>1.64019731786786</c:v>
                </c:pt>
                <c:pt idx="262">
                  <c:v>1.65827189231593</c:v>
                </c:pt>
                <c:pt idx="263">
                  <c:v>1.66065831482889</c:v>
                </c:pt>
                <c:pt idx="264">
                  <c:v>1.63685342338342</c:v>
                </c:pt>
                <c:pt idx="265">
                  <c:v>1.61690277230374</c:v>
                </c:pt>
                <c:pt idx="266">
                  <c:v>1.61953624237788</c:v>
                </c:pt>
                <c:pt idx="267">
                  <c:v>1.60146540650723</c:v>
                </c:pt>
                <c:pt idx="268">
                  <c:v>1.59957214424189</c:v>
                </c:pt>
                <c:pt idx="269">
                  <c:v>1.60510724497545</c:v>
                </c:pt>
                <c:pt idx="270">
                  <c:v>1.60544355337248</c:v>
                </c:pt>
                <c:pt idx="271">
                  <c:v>1.61743199166922</c:v>
                </c:pt>
                <c:pt idx="272">
                  <c:v>1.59094297526939</c:v>
                </c:pt>
                <c:pt idx="273">
                  <c:v>1.59399454610459</c:v>
                </c:pt>
                <c:pt idx="274">
                  <c:v>1.58372160788716</c:v>
                </c:pt>
                <c:pt idx="275">
                  <c:v>1.59831247290679</c:v>
                </c:pt>
                <c:pt idx="276">
                  <c:v>1.62029476540729</c:v>
                </c:pt>
                <c:pt idx="277">
                  <c:v>1.57539998401444</c:v>
                </c:pt>
                <c:pt idx="278">
                  <c:v>1.60862400578426</c:v>
                </c:pt>
                <c:pt idx="279">
                  <c:v>1.60787949352558</c:v>
                </c:pt>
                <c:pt idx="280">
                  <c:v>1.58686224579758</c:v>
                </c:pt>
                <c:pt idx="281">
                  <c:v>1.59099282628518</c:v>
                </c:pt>
                <c:pt idx="282">
                  <c:v>1.57589252087174</c:v>
                </c:pt>
                <c:pt idx="283">
                  <c:v>1.5565541433731</c:v>
                </c:pt>
                <c:pt idx="284">
                  <c:v>1.57375940078717</c:v>
                </c:pt>
                <c:pt idx="285">
                  <c:v>1.58423167003395</c:v>
                </c:pt>
                <c:pt idx="286">
                  <c:v>1.59305394251407</c:v>
                </c:pt>
                <c:pt idx="287">
                  <c:v>1.59308908166947</c:v>
                </c:pt>
                <c:pt idx="288">
                  <c:v>1.62167750187427</c:v>
                </c:pt>
                <c:pt idx="289">
                  <c:v>1.62746410504598</c:v>
                </c:pt>
                <c:pt idx="290">
                  <c:v>1.63989048863758</c:v>
                </c:pt>
                <c:pt idx="291">
                  <c:v>1.6518744005602</c:v>
                </c:pt>
                <c:pt idx="292">
                  <c:v>1.66586814493047</c:v>
                </c:pt>
                <c:pt idx="293">
                  <c:v>1.64693592299998</c:v>
                </c:pt>
                <c:pt idx="294">
                  <c:v>1.66391777269999</c:v>
                </c:pt>
                <c:pt idx="295">
                  <c:v>1.68440342734568</c:v>
                </c:pt>
                <c:pt idx="296">
                  <c:v>1.66469009860066</c:v>
                </c:pt>
                <c:pt idx="297">
                  <c:v>1.64764310948478</c:v>
                </c:pt>
                <c:pt idx="298">
                  <c:v>1.62095108815147</c:v>
                </c:pt>
                <c:pt idx="299">
                  <c:v>1.61515755350787</c:v>
                </c:pt>
                <c:pt idx="300">
                  <c:v>1.6365454027904</c:v>
                </c:pt>
                <c:pt idx="301">
                  <c:v>1.60791640304282</c:v>
                </c:pt>
                <c:pt idx="302">
                  <c:v>1.61366315027019</c:v>
                </c:pt>
                <c:pt idx="303">
                  <c:v>1.57724625468771</c:v>
                </c:pt>
                <c:pt idx="304">
                  <c:v>1.55429826559708</c:v>
                </c:pt>
                <c:pt idx="305">
                  <c:v>1.53928034017089</c:v>
                </c:pt>
                <c:pt idx="306">
                  <c:v>1.50675576791982</c:v>
                </c:pt>
                <c:pt idx="307">
                  <c:v>1.48974353158145</c:v>
                </c:pt>
                <c:pt idx="308">
                  <c:v>1.45230595435164</c:v>
                </c:pt>
                <c:pt idx="309">
                  <c:v>1.43550791779591</c:v>
                </c:pt>
                <c:pt idx="310">
                  <c:v>1.4178419878572</c:v>
                </c:pt>
                <c:pt idx="311">
                  <c:v>1.4316153262543</c:v>
                </c:pt>
                <c:pt idx="312">
                  <c:v>1.44332785293467</c:v>
                </c:pt>
                <c:pt idx="313">
                  <c:v>1.44330573636608</c:v>
                </c:pt>
                <c:pt idx="314">
                  <c:v>1.4417724718382</c:v>
                </c:pt>
                <c:pt idx="315">
                  <c:v>1.46976160428343</c:v>
                </c:pt>
                <c:pt idx="316">
                  <c:v>1.47241910061324</c:v>
                </c:pt>
                <c:pt idx="317">
                  <c:v>1.49295958116415</c:v>
                </c:pt>
                <c:pt idx="318">
                  <c:v>1.4725564327062</c:v>
                </c:pt>
                <c:pt idx="319">
                  <c:v>1.42291238923476</c:v>
                </c:pt>
                <c:pt idx="320">
                  <c:v>1.38431149889554</c:v>
                </c:pt>
                <c:pt idx="321">
                  <c:v>1.41074472807936</c:v>
                </c:pt>
                <c:pt idx="322">
                  <c:v>1.44533758132241</c:v>
                </c:pt>
                <c:pt idx="323">
                  <c:v>1.48410775787463</c:v>
                </c:pt>
                <c:pt idx="324">
                  <c:v>1.47897774092752</c:v>
                </c:pt>
                <c:pt idx="325">
                  <c:v>1.50662492639</c:v>
                </c:pt>
                <c:pt idx="326">
                  <c:v>1.57566222015172</c:v>
                </c:pt>
                <c:pt idx="327">
                  <c:v>1.59332493898408</c:v>
                </c:pt>
                <c:pt idx="328">
                  <c:v>1.60323828300083</c:v>
                </c:pt>
                <c:pt idx="329">
                  <c:v>1.6139183462239</c:v>
                </c:pt>
                <c:pt idx="330">
                  <c:v>1.59440090800836</c:v>
                </c:pt>
                <c:pt idx="331">
                  <c:v>1.67154790114431</c:v>
                </c:pt>
                <c:pt idx="332">
                  <c:v>1.69400933663138</c:v>
                </c:pt>
                <c:pt idx="333">
                  <c:v>1.65954781010825</c:v>
                </c:pt>
                <c:pt idx="334">
                  <c:v>1.65844301302644</c:v>
                </c:pt>
                <c:pt idx="335">
                  <c:v>1.64132447557186</c:v>
                </c:pt>
                <c:pt idx="336">
                  <c:v>1.6085992958819</c:v>
                </c:pt>
                <c:pt idx="337">
                  <c:v>1.58622041192342</c:v>
                </c:pt>
                <c:pt idx="338">
                  <c:v>1.58888502949856</c:v>
                </c:pt>
                <c:pt idx="339">
                  <c:v>1.58478145689723</c:v>
                </c:pt>
                <c:pt idx="340">
                  <c:v>1.59415682017426</c:v>
                </c:pt>
                <c:pt idx="341">
                  <c:v>1.62691257995324</c:v>
                </c:pt>
                <c:pt idx="342">
                  <c:v>1.59531432714983</c:v>
                </c:pt>
                <c:pt idx="343">
                  <c:v>1.56622231975724</c:v>
                </c:pt>
                <c:pt idx="344">
                  <c:v>1.54412594822826</c:v>
                </c:pt>
                <c:pt idx="345">
                  <c:v>1.55026165435353</c:v>
                </c:pt>
                <c:pt idx="346">
                  <c:v>1.54315101344867</c:v>
                </c:pt>
                <c:pt idx="347">
                  <c:v>1.53671486006627</c:v>
                </c:pt>
                <c:pt idx="348">
                  <c:v>1.53172522481583</c:v>
                </c:pt>
                <c:pt idx="349">
                  <c:v>1.56863611797186</c:v>
                </c:pt>
                <c:pt idx="350">
                  <c:v>1.5572790423227</c:v>
                </c:pt>
                <c:pt idx="351">
                  <c:v>1.64403947843369</c:v>
                </c:pt>
                <c:pt idx="352">
                  <c:v>1.62638999911176</c:v>
                </c:pt>
                <c:pt idx="353">
                  <c:v>1.63738095037835</c:v>
                </c:pt>
                <c:pt idx="354">
                  <c:v>1.64528801711556</c:v>
                </c:pt>
                <c:pt idx="355">
                  <c:v>1.65154402599807</c:v>
                </c:pt>
                <c:pt idx="356">
                  <c:v>1.65918351058921</c:v>
                </c:pt>
                <c:pt idx="357">
                  <c:v>1.65055765223916</c:v>
                </c:pt>
                <c:pt idx="358">
                  <c:v>1.63282589594663</c:v>
                </c:pt>
                <c:pt idx="359">
                  <c:v>1.63747979756152</c:v>
                </c:pt>
                <c:pt idx="360">
                  <c:v>1.69063120576508</c:v>
                </c:pt>
                <c:pt idx="361">
                  <c:v>1.71325190412526</c:v>
                </c:pt>
                <c:pt idx="362">
                  <c:v>1.66660298919181</c:v>
                </c:pt>
                <c:pt idx="363">
                  <c:v>1.65489376427254</c:v>
                </c:pt>
                <c:pt idx="364">
                  <c:v>1.69496099976214</c:v>
                </c:pt>
                <c:pt idx="365">
                  <c:v>1.71328967292067</c:v>
                </c:pt>
                <c:pt idx="366">
                  <c:v>1.74062333880811</c:v>
                </c:pt>
                <c:pt idx="367">
                  <c:v>1.74267282967211</c:v>
                </c:pt>
                <c:pt idx="368">
                  <c:v>1.76176704345651</c:v>
                </c:pt>
                <c:pt idx="369">
                  <c:v>1.7856837421748</c:v>
                </c:pt>
                <c:pt idx="370">
                  <c:v>1.77759480908854</c:v>
                </c:pt>
                <c:pt idx="371">
                  <c:v>1.74052625650479</c:v>
                </c:pt>
                <c:pt idx="372">
                  <c:v>1.72413534014681</c:v>
                </c:pt>
                <c:pt idx="373">
                  <c:v>1.71821201888974</c:v>
                </c:pt>
                <c:pt idx="374">
                  <c:v>1.70757180197884</c:v>
                </c:pt>
                <c:pt idx="375">
                  <c:v>1.70728591827119</c:v>
                </c:pt>
                <c:pt idx="376">
                  <c:v>1.7086610142776</c:v>
                </c:pt>
                <c:pt idx="377">
                  <c:v>1.66874401592129</c:v>
                </c:pt>
                <c:pt idx="378">
                  <c:v>1.7072255853772</c:v>
                </c:pt>
                <c:pt idx="379">
                  <c:v>1.73521033056132</c:v>
                </c:pt>
                <c:pt idx="380">
                  <c:v>1.68841525015493</c:v>
                </c:pt>
                <c:pt idx="381">
                  <c:v>1.69881395235127</c:v>
                </c:pt>
                <c:pt idx="382">
                  <c:v>1.71843665107371</c:v>
                </c:pt>
                <c:pt idx="383">
                  <c:v>1.71946989983997</c:v>
                </c:pt>
                <c:pt idx="384">
                  <c:v>1.71250016049065</c:v>
                </c:pt>
                <c:pt idx="385">
                  <c:v>1.73153282093004</c:v>
                </c:pt>
                <c:pt idx="386">
                  <c:v>1.69488011626678</c:v>
                </c:pt>
                <c:pt idx="387">
                  <c:v>1.71119452972657</c:v>
                </c:pt>
                <c:pt idx="388">
                  <c:v>1.78926597365911</c:v>
                </c:pt>
                <c:pt idx="389">
                  <c:v>1.80315836085535</c:v>
                </c:pt>
                <c:pt idx="390">
                  <c:v>1.83458440414117</c:v>
                </c:pt>
                <c:pt idx="391">
                  <c:v>1.77463932721139</c:v>
                </c:pt>
                <c:pt idx="392">
                  <c:v>1.76626872450314</c:v>
                </c:pt>
                <c:pt idx="393">
                  <c:v>1.80202835353948</c:v>
                </c:pt>
                <c:pt idx="394">
                  <c:v>1.78040522704782</c:v>
                </c:pt>
                <c:pt idx="395">
                  <c:v>1.81924386948465</c:v>
                </c:pt>
                <c:pt idx="396">
                  <c:v>1.80953564505251</c:v>
                </c:pt>
                <c:pt idx="397">
                  <c:v>1.88716731672296</c:v>
                </c:pt>
                <c:pt idx="398">
                  <c:v>1.92584109581367</c:v>
                </c:pt>
                <c:pt idx="399">
                  <c:v>1.9166409987414</c:v>
                </c:pt>
                <c:pt idx="400">
                  <c:v>1.90770637438861</c:v>
                </c:pt>
                <c:pt idx="401">
                  <c:v>1.95248659118901</c:v>
                </c:pt>
                <c:pt idx="402">
                  <c:v>1.94099866968147</c:v>
                </c:pt>
                <c:pt idx="403">
                  <c:v>1.94742539737567</c:v>
                </c:pt>
                <c:pt idx="404">
                  <c:v>1.9389905474304</c:v>
                </c:pt>
                <c:pt idx="405">
                  <c:v>1.92887465994262</c:v>
                </c:pt>
                <c:pt idx="406">
                  <c:v>1.93291157728112</c:v>
                </c:pt>
                <c:pt idx="407">
                  <c:v>1.94427630435492</c:v>
                </c:pt>
                <c:pt idx="408">
                  <c:v>1.96150414917264</c:v>
                </c:pt>
                <c:pt idx="409">
                  <c:v>1.9362158546937</c:v>
                </c:pt>
                <c:pt idx="410">
                  <c:v>1.93815453356222</c:v>
                </c:pt>
                <c:pt idx="411">
                  <c:v>1.92952111444926</c:v>
                </c:pt>
                <c:pt idx="412">
                  <c:v>1.93125226232716</c:v>
                </c:pt>
                <c:pt idx="413">
                  <c:v>1.95828254363991</c:v>
                </c:pt>
                <c:pt idx="414">
                  <c:v>1.98520421587591</c:v>
                </c:pt>
                <c:pt idx="415">
                  <c:v>1.97187008415551</c:v>
                </c:pt>
                <c:pt idx="416">
                  <c:v>1.98575164623708</c:v>
                </c:pt>
                <c:pt idx="417">
                  <c:v>2.00369085472872</c:v>
                </c:pt>
                <c:pt idx="418">
                  <c:v>2.0225804402109</c:v>
                </c:pt>
                <c:pt idx="419">
                  <c:v>2.02288061311144</c:v>
                </c:pt>
                <c:pt idx="420">
                  <c:v>2.0481066321523</c:v>
                </c:pt>
                <c:pt idx="421">
                  <c:v>2.08908213049208</c:v>
                </c:pt>
                <c:pt idx="422">
                  <c:v>2.08582131990335</c:v>
                </c:pt>
                <c:pt idx="423">
                  <c:v>2.06774322127372</c:v>
                </c:pt>
                <c:pt idx="424">
                  <c:v>2.07370720333038</c:v>
                </c:pt>
                <c:pt idx="425">
                  <c:v>2.04140896903456</c:v>
                </c:pt>
                <c:pt idx="426">
                  <c:v>2.02410097694862</c:v>
                </c:pt>
                <c:pt idx="427">
                  <c:v>2.01696103353734</c:v>
                </c:pt>
                <c:pt idx="428">
                  <c:v>2.03186209374994</c:v>
                </c:pt>
                <c:pt idx="429">
                  <c:v>1.99575635831463</c:v>
                </c:pt>
                <c:pt idx="430">
                  <c:v>1.98386114937282</c:v>
                </c:pt>
                <c:pt idx="431">
                  <c:v>2.01257910998324</c:v>
                </c:pt>
                <c:pt idx="432">
                  <c:v>2.00633859303624</c:v>
                </c:pt>
                <c:pt idx="433">
                  <c:v>2.00500210880825</c:v>
                </c:pt>
                <c:pt idx="434">
                  <c:v>2.00716989893785</c:v>
                </c:pt>
                <c:pt idx="435">
                  <c:v>2.0234812642598</c:v>
                </c:pt>
                <c:pt idx="436">
                  <c:v>2.03620804193076</c:v>
                </c:pt>
                <c:pt idx="437">
                  <c:v>2.04701518690673</c:v>
                </c:pt>
                <c:pt idx="438">
                  <c:v>2.03043434350317</c:v>
                </c:pt>
                <c:pt idx="439">
                  <c:v>2.02702073415531</c:v>
                </c:pt>
                <c:pt idx="440">
                  <c:v>1.94979559552107</c:v>
                </c:pt>
                <c:pt idx="441">
                  <c:v>1.98256085853705</c:v>
                </c:pt>
                <c:pt idx="442">
                  <c:v>1.95916975530987</c:v>
                </c:pt>
                <c:pt idx="443">
                  <c:v>1.98360871200421</c:v>
                </c:pt>
                <c:pt idx="444">
                  <c:v>2.0056409401971</c:v>
                </c:pt>
                <c:pt idx="445">
                  <c:v>1.9950743035277</c:v>
                </c:pt>
                <c:pt idx="446">
                  <c:v>2.02592525601267</c:v>
                </c:pt>
                <c:pt idx="447">
                  <c:v>2.01404217662375</c:v>
                </c:pt>
                <c:pt idx="448">
                  <c:v>1.99189238680722</c:v>
                </c:pt>
                <c:pt idx="449">
                  <c:v>1.99032299240552</c:v>
                </c:pt>
                <c:pt idx="450">
                  <c:v>1.98759294789064</c:v>
                </c:pt>
                <c:pt idx="451">
                  <c:v>1.98631138984748</c:v>
                </c:pt>
                <c:pt idx="452">
                  <c:v>1.99925662686593</c:v>
                </c:pt>
                <c:pt idx="453">
                  <c:v>2.00313585427277</c:v>
                </c:pt>
                <c:pt idx="454">
                  <c:v>1.99380340779046</c:v>
                </c:pt>
                <c:pt idx="455">
                  <c:v>1.98735018945593</c:v>
                </c:pt>
                <c:pt idx="456">
                  <c:v>2.00823758292583</c:v>
                </c:pt>
                <c:pt idx="457">
                  <c:v>1.98539898198607</c:v>
                </c:pt>
                <c:pt idx="458">
                  <c:v>1.98628013701678</c:v>
                </c:pt>
                <c:pt idx="459">
                  <c:v>1.98728982705884</c:v>
                </c:pt>
                <c:pt idx="460">
                  <c:v>1.95407575041932</c:v>
                </c:pt>
                <c:pt idx="461">
                  <c:v>1.92942180323622</c:v>
                </c:pt>
                <c:pt idx="462">
                  <c:v>1.96182259148156</c:v>
                </c:pt>
                <c:pt idx="463">
                  <c:v>1.98178140439883</c:v>
                </c:pt>
                <c:pt idx="464">
                  <c:v>2.00005578157646</c:v>
                </c:pt>
                <c:pt idx="465">
                  <c:v>2.00848333573536</c:v>
                </c:pt>
                <c:pt idx="466">
                  <c:v>1.97198915900632</c:v>
                </c:pt>
                <c:pt idx="467">
                  <c:v>1.9707415192538</c:v>
                </c:pt>
                <c:pt idx="468">
                  <c:v>1.96750756948953</c:v>
                </c:pt>
                <c:pt idx="469">
                  <c:v>1.96701258867798</c:v>
                </c:pt>
                <c:pt idx="470">
                  <c:v>1.97400831113975</c:v>
                </c:pt>
                <c:pt idx="471">
                  <c:v>1.98786997940171</c:v>
                </c:pt>
                <c:pt idx="472">
                  <c:v>1.9679068855884</c:v>
                </c:pt>
                <c:pt idx="473">
                  <c:v>1.98271714887173</c:v>
                </c:pt>
                <c:pt idx="474">
                  <c:v>1.98304616092829</c:v>
                </c:pt>
                <c:pt idx="475">
                  <c:v>1.94921661204509</c:v>
                </c:pt>
                <c:pt idx="476">
                  <c:v>1.96302636296327</c:v>
                </c:pt>
                <c:pt idx="477">
                  <c:v>1.9395302845058</c:v>
                </c:pt>
                <c:pt idx="478">
                  <c:v>1.92857938111869</c:v>
                </c:pt>
                <c:pt idx="479">
                  <c:v>1.88400666832335</c:v>
                </c:pt>
                <c:pt idx="480">
                  <c:v>1.87098216120639</c:v>
                </c:pt>
                <c:pt idx="481">
                  <c:v>1.86137377852396</c:v>
                </c:pt>
                <c:pt idx="482">
                  <c:v>1.79677047894813</c:v>
                </c:pt>
                <c:pt idx="483">
                  <c:v>1.77578899276034</c:v>
                </c:pt>
                <c:pt idx="484">
                  <c:v>1.76181678390492</c:v>
                </c:pt>
                <c:pt idx="485">
                  <c:v>1.74245488509547</c:v>
                </c:pt>
                <c:pt idx="486">
                  <c:v>1.73368720275751</c:v>
                </c:pt>
                <c:pt idx="487">
                  <c:v>1.70195825472392</c:v>
                </c:pt>
                <c:pt idx="488">
                  <c:v>1.6706386843757</c:v>
                </c:pt>
                <c:pt idx="489">
                  <c:v>1.66923611010839</c:v>
                </c:pt>
                <c:pt idx="490">
                  <c:v>1.65938809709077</c:v>
                </c:pt>
                <c:pt idx="491">
                  <c:v>1.63210750888806</c:v>
                </c:pt>
                <c:pt idx="492">
                  <c:v>1.62591790845886</c:v>
                </c:pt>
                <c:pt idx="493">
                  <c:v>1.58202915279901</c:v>
                </c:pt>
                <c:pt idx="494">
                  <c:v>1.5881149281096</c:v>
                </c:pt>
                <c:pt idx="495">
                  <c:v>1.57745140525957</c:v>
                </c:pt>
                <c:pt idx="496">
                  <c:v>1.58403698681776</c:v>
                </c:pt>
                <c:pt idx="497">
                  <c:v>1.58816841161492</c:v>
                </c:pt>
                <c:pt idx="498">
                  <c:v>1.59810195285733</c:v>
                </c:pt>
                <c:pt idx="499">
                  <c:v>1.59984666556307</c:v>
                </c:pt>
                <c:pt idx="500">
                  <c:v>1.61094356445543</c:v>
                </c:pt>
                <c:pt idx="501">
                  <c:v>1.60214258481339</c:v>
                </c:pt>
                <c:pt idx="502">
                  <c:v>1.59365597928863</c:v>
                </c:pt>
                <c:pt idx="503">
                  <c:v>1.58813926390353</c:v>
                </c:pt>
                <c:pt idx="504">
                  <c:v>1.54890510987627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598903"/>
        <c:axId val="38469728"/>
      </c:lineChart>
      <c:catAx>
        <c:axId val="81598903"/>
        <c:scaling>
          <c:orientation val="minMax"/>
        </c:scaling>
        <c:delete val="0"/>
        <c:axPos val="b"/>
        <c:numFmt formatCode="mm\.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69728"/>
        <c:crosses val="autoZero"/>
        <c:auto val="1"/>
        <c:lblAlgn val="ctr"/>
        <c:lblOffset val="100"/>
        <c:noMultiLvlLbl val="0"/>
      </c:catAx>
      <c:valAx>
        <c:axId val="384697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989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13</xdr:row>
      <xdr:rowOff>63360</xdr:rowOff>
    </xdr:from>
    <xdr:to>
      <xdr:col>17</xdr:col>
      <xdr:colOff>537840</xdr:colOff>
      <xdr:row>30</xdr:row>
      <xdr:rowOff>64440</xdr:rowOff>
    </xdr:to>
    <xdr:graphicFrame>
      <xdr:nvGraphicFramePr>
        <xdr:cNvPr id="0" name="Chart 1"/>
        <xdr:cNvGraphicFramePr/>
      </xdr:nvGraphicFramePr>
      <xdr:xfrm>
        <a:off x="6602760" y="2666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26</xdr:row>
      <xdr:rowOff>63720</xdr:rowOff>
    </xdr:from>
    <xdr:to>
      <xdr:col>16</xdr:col>
      <xdr:colOff>50400</xdr:colOff>
      <xdr:row>43</xdr:row>
      <xdr:rowOff>64800</xdr:rowOff>
    </xdr:to>
    <xdr:graphicFrame>
      <xdr:nvGraphicFramePr>
        <xdr:cNvPr id="1" name="Chart 1"/>
        <xdr:cNvGraphicFramePr/>
      </xdr:nvGraphicFramePr>
      <xdr:xfrm>
        <a:off x="11207160" y="5143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16</xdr:row>
      <xdr:rowOff>63720</xdr:rowOff>
    </xdr:from>
    <xdr:to>
      <xdr:col>7</xdr:col>
      <xdr:colOff>166320</xdr:colOff>
      <xdr:row>33</xdr:row>
      <xdr:rowOff>64800</xdr:rowOff>
    </xdr:to>
    <xdr:graphicFrame>
      <xdr:nvGraphicFramePr>
        <xdr:cNvPr id="2" name="Chart 1"/>
        <xdr:cNvGraphicFramePr/>
      </xdr:nvGraphicFramePr>
      <xdr:xfrm>
        <a:off x="3876840" y="32385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10</xdr:row>
      <xdr:rowOff>176040</xdr:rowOff>
    </xdr:from>
    <xdr:to>
      <xdr:col>15</xdr:col>
      <xdr:colOff>364680</xdr:colOff>
      <xdr:row>27</xdr:row>
      <xdr:rowOff>177120</xdr:rowOff>
    </xdr:to>
    <xdr:graphicFrame>
      <xdr:nvGraphicFramePr>
        <xdr:cNvPr id="3" name="Chart 1"/>
        <xdr:cNvGraphicFramePr/>
      </xdr:nvGraphicFramePr>
      <xdr:xfrm>
        <a:off x="8083080" y="2095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175680</xdr:rowOff>
    </xdr:from>
    <xdr:to>
      <xdr:col>16</xdr:col>
      <xdr:colOff>430920</xdr:colOff>
      <xdr:row>18</xdr:row>
      <xdr:rowOff>176760</xdr:rowOff>
    </xdr:to>
    <xdr:graphicFrame>
      <xdr:nvGraphicFramePr>
        <xdr:cNvPr id="4" name="Chart 1"/>
        <xdr:cNvGraphicFramePr/>
      </xdr:nvGraphicFramePr>
      <xdr:xfrm>
        <a:off x="1000872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3" t="s">
        <v>22</v>
      </c>
    </row>
    <row r="28" customFormat="false" ht="15" hidden="false" customHeight="false" outlineLevel="0" collapsed="false">
      <c r="A28" s="6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5" min="4" style="0" width="16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1" t="s">
        <v>24</v>
      </c>
    </row>
    <row r="2" customFormat="false" ht="15" hidden="false" customHeight="false" outlineLevel="0" collapsed="false">
      <c r="A2" s="6" t="s">
        <v>25</v>
      </c>
    </row>
    <row r="3" customFormat="false" ht="15" hidden="false" customHeight="false" outlineLevel="0" collapsed="false">
      <c r="A3" s="7" t="s">
        <v>26</v>
      </c>
      <c r="B3" s="7" t="s">
        <v>27</v>
      </c>
      <c r="C3" s="7" t="s">
        <v>28</v>
      </c>
    </row>
    <row r="4" customFormat="false" ht="15" hidden="false" customHeight="false" outlineLevel="0" collapsed="false">
      <c r="A4" s="8" t="s">
        <v>29</v>
      </c>
      <c r="B4" s="9" t="n">
        <v>0.14</v>
      </c>
      <c r="C4" s="10" t="s">
        <v>30</v>
      </c>
    </row>
    <row r="5" customFormat="false" ht="15" hidden="false" customHeight="false" outlineLevel="0" collapsed="false">
      <c r="A5" s="8" t="s">
        <v>31</v>
      </c>
      <c r="B5" s="9" t="n">
        <v>0.22</v>
      </c>
      <c r="C5" s="10" t="s">
        <v>32</v>
      </c>
    </row>
    <row r="6" customFormat="false" ht="15" hidden="false" customHeight="false" outlineLevel="0" collapsed="false">
      <c r="A6" s="8" t="s">
        <v>33</v>
      </c>
      <c r="B6" s="11" t="n">
        <v>252</v>
      </c>
      <c r="C6" s="10" t="s">
        <v>34</v>
      </c>
    </row>
    <row r="7" customFormat="false" ht="15" hidden="false" customHeight="false" outlineLevel="0" collapsed="false">
      <c r="A7" s="8" t="s">
        <v>35</v>
      </c>
      <c r="B7" s="12" t="n">
        <v>10000000000</v>
      </c>
      <c r="C7" s="10" t="s">
        <v>36</v>
      </c>
    </row>
    <row r="8" customFormat="false" ht="15" hidden="false" customHeight="false" outlineLevel="0" collapsed="false">
      <c r="A8" s="8" t="s">
        <v>37</v>
      </c>
      <c r="B8" s="9" t="n">
        <v>0.99</v>
      </c>
      <c r="C8" s="10" t="s">
        <v>38</v>
      </c>
    </row>
    <row r="9" customFormat="false" ht="15" hidden="false" customHeight="false" outlineLevel="0" collapsed="false">
      <c r="A9" s="8" t="s">
        <v>39</v>
      </c>
      <c r="B9" s="11" t="n">
        <v>10</v>
      </c>
      <c r="C9" s="10" t="s">
        <v>40</v>
      </c>
    </row>
    <row r="10" customFormat="false" ht="15" hidden="false" customHeight="false" outlineLevel="0" collapsed="false">
      <c r="A10" s="8" t="s">
        <v>41</v>
      </c>
      <c r="B10" s="13" t="n">
        <v>0.94</v>
      </c>
      <c r="C10" s="10" t="s">
        <v>42</v>
      </c>
    </row>
    <row r="11" customFormat="false" ht="15" hidden="false" customHeight="false" outlineLevel="0" collapsed="false">
      <c r="A11" s="8" t="s">
        <v>43</v>
      </c>
      <c r="B11" s="11" t="n">
        <v>20</v>
      </c>
      <c r="C11" s="10" t="s">
        <v>44</v>
      </c>
    </row>
    <row r="13" customFormat="false" ht="15" hidden="false" customHeight="false" outlineLevel="0" collapsed="false">
      <c r="A13" s="7" t="s">
        <v>45</v>
      </c>
      <c r="B13" s="7" t="s">
        <v>46</v>
      </c>
      <c r="C13" s="7" t="s">
        <v>47</v>
      </c>
      <c r="D13" s="7" t="s">
        <v>48</v>
      </c>
      <c r="E13" s="7" t="s">
        <v>49</v>
      </c>
      <c r="F13" s="7" t="s">
        <v>50</v>
      </c>
    </row>
    <row r="14" customFormat="false" ht="15" hidden="false" customHeight="false" outlineLevel="0" collapsed="false">
      <c r="A14" s="8" t="s">
        <v>51</v>
      </c>
      <c r="B14" s="9" t="n">
        <v>0.3</v>
      </c>
      <c r="C14" s="9" t="n">
        <v>0.25</v>
      </c>
      <c r="D14" s="9" t="n">
        <v>0.25</v>
      </c>
      <c r="E14" s="9" t="n">
        <v>0.2</v>
      </c>
      <c r="F14" s="14" t="n">
        <f aca="false">SUM(B14:E14)</f>
        <v>1</v>
      </c>
    </row>
    <row r="15" customFormat="false" ht="15" hidden="false" customHeight="false" outlineLevel="0" collapsed="false">
      <c r="A15" s="10" t="s">
        <v>52</v>
      </c>
      <c r="B15" s="10" t="str">
        <f aca="false">IF(ABS(F14-1)&lt;0.0001,"Vaznlar yig‘indisi 100%","XATO: vaznlar yig‘indisi 100% emas")</f>
        <v>Vaznlar yig‘indisi 100%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5" min="3" style="0" width="13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7" t="s">
        <v>53</v>
      </c>
      <c r="B1" s="7" t="s">
        <v>54</v>
      </c>
      <c r="C1" s="7" t="s">
        <v>46</v>
      </c>
      <c r="D1" s="7" t="s">
        <v>47</v>
      </c>
      <c r="E1" s="7" t="s">
        <v>48</v>
      </c>
      <c r="F1" s="7" t="s">
        <v>49</v>
      </c>
      <c r="H1" s="6" t="s">
        <v>55</v>
      </c>
    </row>
    <row r="2" customFormat="false" ht="15" hidden="false" customHeight="false" outlineLevel="0" collapsed="false">
      <c r="A2" s="15" t="n">
        <v>45293</v>
      </c>
      <c r="B2" s="16" t="n">
        <v>1000</v>
      </c>
      <c r="C2" s="17" t="n">
        <v>12500</v>
      </c>
      <c r="D2" s="17" t="n">
        <v>18400</v>
      </c>
      <c r="E2" s="17" t="n">
        <v>7300</v>
      </c>
      <c r="F2" s="17" t="n">
        <v>25600</v>
      </c>
    </row>
    <row r="3" customFormat="false" ht="15" hidden="false" customHeight="false" outlineLevel="0" collapsed="false">
      <c r="A3" s="15" t="n">
        <v>45294</v>
      </c>
      <c r="B3" s="16" t="n">
        <v>1005.74</v>
      </c>
      <c r="C3" s="17" t="n">
        <v>12525</v>
      </c>
      <c r="D3" s="17" t="n">
        <v>18569</v>
      </c>
      <c r="E3" s="17" t="n">
        <v>7609</v>
      </c>
      <c r="F3" s="17" t="n">
        <v>24892</v>
      </c>
    </row>
    <row r="4" customFormat="false" ht="15" hidden="false" customHeight="false" outlineLevel="0" collapsed="false">
      <c r="A4" s="15" t="n">
        <v>45295</v>
      </c>
      <c r="B4" s="16" t="n">
        <v>992.3</v>
      </c>
      <c r="C4" s="17" t="n">
        <v>12561</v>
      </c>
      <c r="D4" s="17" t="n">
        <v>18382</v>
      </c>
      <c r="E4" s="17" t="n">
        <v>7494</v>
      </c>
      <c r="F4" s="17" t="n">
        <v>24601</v>
      </c>
    </row>
    <row r="5" customFormat="false" ht="15" hidden="false" customHeight="false" outlineLevel="0" collapsed="false">
      <c r="A5" s="15" t="n">
        <v>45296</v>
      </c>
      <c r="B5" s="16" t="n">
        <v>998.81</v>
      </c>
      <c r="C5" s="17" t="n">
        <v>12672</v>
      </c>
      <c r="D5" s="17" t="n">
        <v>18501</v>
      </c>
      <c r="E5" s="17" t="n">
        <v>7528</v>
      </c>
      <c r="F5" s="17" t="n">
        <v>24607</v>
      </c>
    </row>
    <row r="6" customFormat="false" ht="15" hidden="false" customHeight="false" outlineLevel="0" collapsed="false">
      <c r="A6" s="15" t="n">
        <v>45299</v>
      </c>
      <c r="B6" s="16" t="n">
        <v>1004.23</v>
      </c>
      <c r="C6" s="17" t="n">
        <v>12927</v>
      </c>
      <c r="D6" s="17" t="n">
        <v>18731</v>
      </c>
      <c r="E6" s="17" t="n">
        <v>7504</v>
      </c>
      <c r="F6" s="17" t="n">
        <v>24752</v>
      </c>
    </row>
    <row r="7" customFormat="false" ht="15" hidden="false" customHeight="false" outlineLevel="0" collapsed="false">
      <c r="A7" s="15" t="n">
        <v>45300</v>
      </c>
      <c r="B7" s="16" t="n">
        <v>998.95</v>
      </c>
      <c r="C7" s="17" t="n">
        <v>12666</v>
      </c>
      <c r="D7" s="17" t="n">
        <v>18583</v>
      </c>
      <c r="E7" s="17" t="n">
        <v>7418</v>
      </c>
      <c r="F7" s="17" t="n">
        <v>24472</v>
      </c>
    </row>
    <row r="8" customFormat="false" ht="15" hidden="false" customHeight="false" outlineLevel="0" collapsed="false">
      <c r="A8" s="15" t="n">
        <v>45301</v>
      </c>
      <c r="B8" s="16" t="n">
        <v>1010.31</v>
      </c>
      <c r="C8" s="17" t="n">
        <v>12914</v>
      </c>
      <c r="D8" s="17" t="n">
        <v>18714</v>
      </c>
      <c r="E8" s="17" t="n">
        <v>7386</v>
      </c>
      <c r="F8" s="17" t="n">
        <v>25369</v>
      </c>
    </row>
    <row r="9" customFormat="false" ht="15" hidden="false" customHeight="false" outlineLevel="0" collapsed="false">
      <c r="A9" s="15" t="n">
        <v>45302</v>
      </c>
      <c r="B9" s="16" t="n">
        <v>997.1</v>
      </c>
      <c r="C9" s="17" t="n">
        <v>12703</v>
      </c>
      <c r="D9" s="17" t="n">
        <v>18477</v>
      </c>
      <c r="E9" s="17" t="n">
        <v>7326</v>
      </c>
      <c r="F9" s="17" t="n">
        <v>24994</v>
      </c>
    </row>
    <row r="10" customFormat="false" ht="15" hidden="false" customHeight="false" outlineLevel="0" collapsed="false">
      <c r="A10" s="15" t="n">
        <v>45303</v>
      </c>
      <c r="B10" s="16" t="n">
        <v>982.92</v>
      </c>
      <c r="C10" s="17" t="n">
        <v>12432</v>
      </c>
      <c r="D10" s="17" t="n">
        <v>18332</v>
      </c>
      <c r="E10" s="17" t="n">
        <v>7177</v>
      </c>
      <c r="F10" s="17" t="n">
        <v>24119</v>
      </c>
    </row>
    <row r="11" customFormat="false" ht="15" hidden="false" customHeight="false" outlineLevel="0" collapsed="false">
      <c r="A11" s="15" t="n">
        <v>45306</v>
      </c>
      <c r="B11" s="16" t="n">
        <v>978.34</v>
      </c>
      <c r="C11" s="17" t="n">
        <v>12341</v>
      </c>
      <c r="D11" s="17" t="n">
        <v>18310</v>
      </c>
      <c r="E11" s="17" t="n">
        <v>7171</v>
      </c>
      <c r="F11" s="17" t="n">
        <v>23977</v>
      </c>
    </row>
    <row r="12" customFormat="false" ht="15" hidden="false" customHeight="false" outlineLevel="0" collapsed="false">
      <c r="A12" s="15" t="n">
        <v>45307</v>
      </c>
      <c r="B12" s="16" t="n">
        <v>976.53</v>
      </c>
      <c r="C12" s="17" t="n">
        <v>11807</v>
      </c>
      <c r="D12" s="17" t="n">
        <v>18493</v>
      </c>
      <c r="E12" s="17" t="n">
        <v>7217</v>
      </c>
      <c r="F12" s="17" t="n">
        <v>24313</v>
      </c>
    </row>
    <row r="13" customFormat="false" ht="15" hidden="false" customHeight="false" outlineLevel="0" collapsed="false">
      <c r="A13" s="15" t="n">
        <v>45308</v>
      </c>
      <c r="B13" s="16" t="n">
        <v>973.87</v>
      </c>
      <c r="C13" s="17" t="n">
        <v>11859</v>
      </c>
      <c r="D13" s="17" t="n">
        <v>18377</v>
      </c>
      <c r="E13" s="17" t="n">
        <v>7253</v>
      </c>
      <c r="F13" s="17" t="n">
        <v>24447</v>
      </c>
    </row>
    <row r="14" customFormat="false" ht="15" hidden="false" customHeight="false" outlineLevel="0" collapsed="false">
      <c r="A14" s="15" t="n">
        <v>45309</v>
      </c>
      <c r="B14" s="16" t="n">
        <v>977.18</v>
      </c>
      <c r="C14" s="17" t="n">
        <v>12002</v>
      </c>
      <c r="D14" s="17" t="n">
        <v>18463</v>
      </c>
      <c r="E14" s="17" t="n">
        <v>7336</v>
      </c>
      <c r="F14" s="17" t="n">
        <v>24525</v>
      </c>
    </row>
    <row r="15" customFormat="false" ht="15" hidden="false" customHeight="false" outlineLevel="0" collapsed="false">
      <c r="A15" s="15" t="n">
        <v>45310</v>
      </c>
      <c r="B15" s="16" t="n">
        <v>974.27</v>
      </c>
      <c r="C15" s="17" t="n">
        <v>11903</v>
      </c>
      <c r="D15" s="17" t="n">
        <v>18605</v>
      </c>
      <c r="E15" s="17" t="n">
        <v>7284</v>
      </c>
      <c r="F15" s="17" t="n">
        <v>24724</v>
      </c>
    </row>
    <row r="16" customFormat="false" ht="15" hidden="false" customHeight="false" outlineLevel="0" collapsed="false">
      <c r="A16" s="15" t="n">
        <v>45313</v>
      </c>
      <c r="B16" s="16" t="n">
        <v>970.11</v>
      </c>
      <c r="C16" s="17" t="n">
        <v>11952</v>
      </c>
      <c r="D16" s="17" t="n">
        <v>18304</v>
      </c>
      <c r="E16" s="17" t="n">
        <v>7242</v>
      </c>
      <c r="F16" s="17" t="n">
        <v>24383</v>
      </c>
    </row>
    <row r="17" customFormat="false" ht="15" hidden="false" customHeight="false" outlineLevel="0" collapsed="false">
      <c r="A17" s="15" t="n">
        <v>45314</v>
      </c>
      <c r="B17" s="16" t="n">
        <v>965.99</v>
      </c>
      <c r="C17" s="17" t="n">
        <v>11887</v>
      </c>
      <c r="D17" s="17" t="n">
        <v>18543</v>
      </c>
      <c r="E17" s="17" t="n">
        <v>7201</v>
      </c>
      <c r="F17" s="17" t="n">
        <v>24032</v>
      </c>
    </row>
    <row r="18" customFormat="false" ht="15" hidden="false" customHeight="false" outlineLevel="0" collapsed="false">
      <c r="A18" s="15" t="n">
        <v>45315</v>
      </c>
      <c r="B18" s="16" t="n">
        <v>972.83</v>
      </c>
      <c r="C18" s="17" t="n">
        <v>11925</v>
      </c>
      <c r="D18" s="17" t="n">
        <v>18674</v>
      </c>
      <c r="E18" s="17" t="n">
        <v>7332</v>
      </c>
      <c r="F18" s="17" t="n">
        <v>24074</v>
      </c>
    </row>
    <row r="19" customFormat="false" ht="15" hidden="false" customHeight="false" outlineLevel="0" collapsed="false">
      <c r="A19" s="15" t="n">
        <v>45316</v>
      </c>
      <c r="B19" s="16" t="n">
        <v>985.64</v>
      </c>
      <c r="C19" s="17" t="n">
        <v>12081</v>
      </c>
      <c r="D19" s="17" t="n">
        <v>19333</v>
      </c>
      <c r="E19" s="17" t="n">
        <v>7443</v>
      </c>
      <c r="F19" s="17" t="n">
        <v>24675</v>
      </c>
    </row>
    <row r="20" customFormat="false" ht="15" hidden="false" customHeight="false" outlineLevel="0" collapsed="false">
      <c r="A20" s="15" t="n">
        <v>45317</v>
      </c>
      <c r="B20" s="16" t="n">
        <v>988.22</v>
      </c>
      <c r="C20" s="17" t="n">
        <v>12152</v>
      </c>
      <c r="D20" s="17" t="n">
        <v>19523</v>
      </c>
      <c r="E20" s="17" t="n">
        <v>7503</v>
      </c>
      <c r="F20" s="17" t="n">
        <v>24837</v>
      </c>
    </row>
    <row r="21" customFormat="false" ht="15" hidden="false" customHeight="false" outlineLevel="0" collapsed="false">
      <c r="A21" s="15" t="n">
        <v>45320</v>
      </c>
      <c r="B21" s="16" t="n">
        <v>988.7</v>
      </c>
      <c r="C21" s="17" t="n">
        <v>12136</v>
      </c>
      <c r="D21" s="17" t="n">
        <v>19294</v>
      </c>
      <c r="E21" s="17" t="n">
        <v>7612</v>
      </c>
      <c r="F21" s="17" t="n">
        <v>24687</v>
      </c>
    </row>
    <row r="22" customFormat="false" ht="15" hidden="false" customHeight="false" outlineLevel="0" collapsed="false">
      <c r="A22" s="15" t="n">
        <v>45321</v>
      </c>
      <c r="B22" s="16" t="n">
        <v>995.53</v>
      </c>
      <c r="C22" s="17" t="n">
        <v>12018</v>
      </c>
      <c r="D22" s="17" t="n">
        <v>19123</v>
      </c>
      <c r="E22" s="17" t="n">
        <v>7729</v>
      </c>
      <c r="F22" s="17" t="n">
        <v>25259</v>
      </c>
    </row>
    <row r="23" customFormat="false" ht="15" hidden="false" customHeight="false" outlineLevel="0" collapsed="false">
      <c r="A23" s="15" t="n">
        <v>45322</v>
      </c>
      <c r="B23" s="16" t="n">
        <v>1000.16</v>
      </c>
      <c r="C23" s="17" t="n">
        <v>12096</v>
      </c>
      <c r="D23" s="17" t="n">
        <v>19340</v>
      </c>
      <c r="E23" s="17" t="n">
        <v>7719</v>
      </c>
      <c r="F23" s="17" t="n">
        <v>25299</v>
      </c>
    </row>
    <row r="24" customFormat="false" ht="15" hidden="false" customHeight="false" outlineLevel="0" collapsed="false">
      <c r="A24" s="15" t="n">
        <v>45323</v>
      </c>
      <c r="B24" s="16" t="n">
        <v>994.41</v>
      </c>
      <c r="C24" s="17" t="n">
        <v>12200</v>
      </c>
      <c r="D24" s="17" t="n">
        <v>19313</v>
      </c>
      <c r="E24" s="17" t="n">
        <v>7699</v>
      </c>
      <c r="F24" s="17" t="n">
        <v>25307</v>
      </c>
    </row>
    <row r="25" customFormat="false" ht="15" hidden="false" customHeight="false" outlineLevel="0" collapsed="false">
      <c r="A25" s="15" t="n">
        <v>45324</v>
      </c>
      <c r="B25" s="16" t="n">
        <v>992.81</v>
      </c>
      <c r="C25" s="17" t="n">
        <v>12246</v>
      </c>
      <c r="D25" s="17" t="n">
        <v>19426</v>
      </c>
      <c r="E25" s="17" t="n">
        <v>7605</v>
      </c>
      <c r="F25" s="17" t="n">
        <v>25516</v>
      </c>
    </row>
    <row r="26" customFormat="false" ht="15" hidden="false" customHeight="false" outlineLevel="0" collapsed="false">
      <c r="A26" s="15" t="n">
        <v>45327</v>
      </c>
      <c r="B26" s="16" t="n">
        <v>997.89</v>
      </c>
      <c r="C26" s="17" t="n">
        <v>12248</v>
      </c>
      <c r="D26" s="17" t="n">
        <v>19091</v>
      </c>
      <c r="E26" s="17" t="n">
        <v>7678</v>
      </c>
      <c r="F26" s="17" t="n">
        <v>25728</v>
      </c>
    </row>
    <row r="27" customFormat="false" ht="15" hidden="false" customHeight="false" outlineLevel="0" collapsed="false">
      <c r="A27" s="15" t="n">
        <v>45328</v>
      </c>
      <c r="B27" s="16" t="n">
        <v>992.48</v>
      </c>
      <c r="C27" s="17" t="n">
        <v>12100</v>
      </c>
      <c r="D27" s="17" t="n">
        <v>18999</v>
      </c>
      <c r="E27" s="17" t="n">
        <v>7465</v>
      </c>
      <c r="F27" s="17" t="n">
        <v>25230</v>
      </c>
    </row>
    <row r="28" customFormat="false" ht="15" hidden="false" customHeight="false" outlineLevel="0" collapsed="false">
      <c r="A28" s="15" t="n">
        <v>45329</v>
      </c>
      <c r="B28" s="16" t="n">
        <v>993.37</v>
      </c>
      <c r="C28" s="17" t="n">
        <v>12186</v>
      </c>
      <c r="D28" s="17" t="n">
        <v>19058</v>
      </c>
      <c r="E28" s="17" t="n">
        <v>7458</v>
      </c>
      <c r="F28" s="17" t="n">
        <v>25268</v>
      </c>
    </row>
    <row r="29" customFormat="false" ht="15" hidden="false" customHeight="false" outlineLevel="0" collapsed="false">
      <c r="A29" s="15" t="n">
        <v>45330</v>
      </c>
      <c r="B29" s="16" t="n">
        <v>1000.31</v>
      </c>
      <c r="C29" s="17" t="n">
        <v>12280</v>
      </c>
      <c r="D29" s="17" t="n">
        <v>19103</v>
      </c>
      <c r="E29" s="17" t="n">
        <v>7458</v>
      </c>
      <c r="F29" s="17" t="n">
        <v>25361</v>
      </c>
    </row>
    <row r="30" customFormat="false" ht="15" hidden="false" customHeight="false" outlineLevel="0" collapsed="false">
      <c r="A30" s="15" t="n">
        <v>45331</v>
      </c>
      <c r="B30" s="16" t="n">
        <v>1000.33</v>
      </c>
      <c r="C30" s="17" t="n">
        <v>12248</v>
      </c>
      <c r="D30" s="17" t="n">
        <v>19282</v>
      </c>
      <c r="E30" s="17" t="n">
        <v>7386</v>
      </c>
      <c r="F30" s="17" t="n">
        <v>25167</v>
      </c>
    </row>
    <row r="31" customFormat="false" ht="15" hidden="false" customHeight="false" outlineLevel="0" collapsed="false">
      <c r="A31" s="15" t="n">
        <v>45334</v>
      </c>
      <c r="B31" s="16" t="n">
        <v>1001.71</v>
      </c>
      <c r="C31" s="17" t="n">
        <v>12227</v>
      </c>
      <c r="D31" s="17" t="n">
        <v>19300</v>
      </c>
      <c r="E31" s="17" t="n">
        <v>7388</v>
      </c>
      <c r="F31" s="17" t="n">
        <v>25260</v>
      </c>
    </row>
    <row r="32" customFormat="false" ht="15" hidden="false" customHeight="false" outlineLevel="0" collapsed="false">
      <c r="A32" s="15" t="n">
        <v>45335</v>
      </c>
      <c r="B32" s="16" t="n">
        <v>1010.26</v>
      </c>
      <c r="C32" s="17" t="n">
        <v>12203</v>
      </c>
      <c r="D32" s="17" t="n">
        <v>19552</v>
      </c>
      <c r="E32" s="17" t="n">
        <v>7334</v>
      </c>
      <c r="F32" s="17" t="n">
        <v>25577</v>
      </c>
    </row>
    <row r="33" customFormat="false" ht="15" hidden="false" customHeight="false" outlineLevel="0" collapsed="false">
      <c r="A33" s="15" t="n">
        <v>45336</v>
      </c>
      <c r="B33" s="16" t="n">
        <v>1015.93</v>
      </c>
      <c r="C33" s="17" t="n">
        <v>12413</v>
      </c>
      <c r="D33" s="17" t="n">
        <v>19674</v>
      </c>
      <c r="E33" s="17" t="n">
        <v>7293</v>
      </c>
      <c r="F33" s="17" t="n">
        <v>25654</v>
      </c>
    </row>
    <row r="34" customFormat="false" ht="15" hidden="false" customHeight="false" outlineLevel="0" collapsed="false">
      <c r="A34" s="15" t="n">
        <v>45337</v>
      </c>
      <c r="B34" s="16" t="n">
        <v>1012.2</v>
      </c>
      <c r="C34" s="17" t="n">
        <v>12374</v>
      </c>
      <c r="D34" s="17" t="n">
        <v>19862</v>
      </c>
      <c r="E34" s="17" t="n">
        <v>7223</v>
      </c>
      <c r="F34" s="17" t="n">
        <v>25672</v>
      </c>
    </row>
    <row r="35" customFormat="false" ht="15" hidden="false" customHeight="false" outlineLevel="0" collapsed="false">
      <c r="A35" s="15" t="n">
        <v>45338</v>
      </c>
      <c r="B35" s="16" t="n">
        <v>1003.05</v>
      </c>
      <c r="C35" s="17" t="n">
        <v>12429</v>
      </c>
      <c r="D35" s="17" t="n">
        <v>19826</v>
      </c>
      <c r="E35" s="17" t="n">
        <v>7099</v>
      </c>
      <c r="F35" s="17" t="n">
        <v>25389</v>
      </c>
    </row>
    <row r="36" customFormat="false" ht="15" hidden="false" customHeight="false" outlineLevel="0" collapsed="false">
      <c r="A36" s="15" t="n">
        <v>45341</v>
      </c>
      <c r="B36" s="16" t="n">
        <v>1014.79</v>
      </c>
      <c r="C36" s="17" t="n">
        <v>12681</v>
      </c>
      <c r="D36" s="17" t="n">
        <v>20008</v>
      </c>
      <c r="E36" s="17" t="n">
        <v>7220</v>
      </c>
      <c r="F36" s="17" t="n">
        <v>25292</v>
      </c>
    </row>
    <row r="37" customFormat="false" ht="15" hidden="false" customHeight="false" outlineLevel="0" collapsed="false">
      <c r="A37" s="15" t="n">
        <v>45342</v>
      </c>
      <c r="B37" s="16" t="n">
        <v>1010.44</v>
      </c>
      <c r="C37" s="17" t="n">
        <v>12707</v>
      </c>
      <c r="D37" s="17" t="n">
        <v>19907</v>
      </c>
      <c r="E37" s="17" t="n">
        <v>7217</v>
      </c>
      <c r="F37" s="17" t="n">
        <v>25602</v>
      </c>
    </row>
    <row r="38" customFormat="false" ht="15" hidden="false" customHeight="false" outlineLevel="0" collapsed="false">
      <c r="A38" s="15" t="n">
        <v>45343</v>
      </c>
      <c r="B38" s="16" t="n">
        <v>1010.5</v>
      </c>
      <c r="C38" s="17" t="n">
        <v>12665</v>
      </c>
      <c r="D38" s="17" t="n">
        <v>19333</v>
      </c>
      <c r="E38" s="17" t="n">
        <v>7143</v>
      </c>
      <c r="F38" s="17" t="n">
        <v>25468</v>
      </c>
    </row>
    <row r="39" customFormat="false" ht="15" hidden="false" customHeight="false" outlineLevel="0" collapsed="false">
      <c r="A39" s="15" t="n">
        <v>45344</v>
      </c>
      <c r="B39" s="16" t="n">
        <v>1059.75</v>
      </c>
      <c r="C39" s="17" t="n">
        <v>13645</v>
      </c>
      <c r="D39" s="17" t="n">
        <v>20282</v>
      </c>
      <c r="E39" s="17" t="n">
        <v>7340</v>
      </c>
      <c r="F39" s="17" t="n">
        <v>27620</v>
      </c>
    </row>
    <row r="40" customFormat="false" ht="15" hidden="false" customHeight="false" outlineLevel="0" collapsed="false">
      <c r="A40" s="15" t="n">
        <v>45345</v>
      </c>
      <c r="B40" s="16" t="n">
        <v>1061</v>
      </c>
      <c r="C40" s="17" t="n">
        <v>13749</v>
      </c>
      <c r="D40" s="17" t="n">
        <v>20183</v>
      </c>
      <c r="E40" s="17" t="n">
        <v>7350</v>
      </c>
      <c r="F40" s="17" t="n">
        <v>27866</v>
      </c>
    </row>
    <row r="41" customFormat="false" ht="15" hidden="false" customHeight="false" outlineLevel="0" collapsed="false">
      <c r="A41" s="15" t="n">
        <v>45348</v>
      </c>
      <c r="B41" s="16" t="n">
        <v>1049.98</v>
      </c>
      <c r="C41" s="17" t="n">
        <v>13462</v>
      </c>
      <c r="D41" s="17" t="n">
        <v>20183</v>
      </c>
      <c r="E41" s="17" t="n">
        <v>7410</v>
      </c>
      <c r="F41" s="17" t="n">
        <v>27605</v>
      </c>
    </row>
    <row r="42" customFormat="false" ht="15" hidden="false" customHeight="false" outlineLevel="0" collapsed="false">
      <c r="A42" s="15" t="n">
        <v>45349</v>
      </c>
      <c r="B42" s="16" t="n">
        <v>1052.76</v>
      </c>
      <c r="C42" s="17" t="n">
        <v>13619</v>
      </c>
      <c r="D42" s="17" t="n">
        <v>20172</v>
      </c>
      <c r="E42" s="17" t="n">
        <v>7505</v>
      </c>
      <c r="F42" s="17" t="n">
        <v>27942</v>
      </c>
    </row>
    <row r="43" customFormat="false" ht="15" hidden="false" customHeight="false" outlineLevel="0" collapsed="false">
      <c r="A43" s="15" t="n">
        <v>45350</v>
      </c>
      <c r="B43" s="16" t="n">
        <v>1055.31</v>
      </c>
      <c r="C43" s="17" t="n">
        <v>13420</v>
      </c>
      <c r="D43" s="17" t="n">
        <v>20647</v>
      </c>
      <c r="E43" s="17" t="n">
        <v>7453</v>
      </c>
      <c r="F43" s="17" t="n">
        <v>27946</v>
      </c>
    </row>
    <row r="44" customFormat="false" ht="15" hidden="false" customHeight="false" outlineLevel="0" collapsed="false">
      <c r="A44" s="15" t="n">
        <v>45351</v>
      </c>
      <c r="B44" s="16" t="n">
        <v>1056.37</v>
      </c>
      <c r="C44" s="17" t="n">
        <v>13494</v>
      </c>
      <c r="D44" s="17" t="n">
        <v>20738</v>
      </c>
      <c r="E44" s="17" t="n">
        <v>7411</v>
      </c>
      <c r="F44" s="17" t="n">
        <v>28066</v>
      </c>
    </row>
    <row r="45" customFormat="false" ht="15" hidden="false" customHeight="false" outlineLevel="0" collapsed="false">
      <c r="A45" s="15" t="n">
        <v>45352</v>
      </c>
      <c r="B45" s="16" t="n">
        <v>1062.18</v>
      </c>
      <c r="C45" s="17" t="n">
        <v>13349</v>
      </c>
      <c r="D45" s="17" t="n">
        <v>21048</v>
      </c>
      <c r="E45" s="17" t="n">
        <v>7517</v>
      </c>
      <c r="F45" s="17" t="n">
        <v>28201</v>
      </c>
    </row>
    <row r="46" customFormat="false" ht="15" hidden="false" customHeight="false" outlineLevel="0" collapsed="false">
      <c r="A46" s="15" t="n">
        <v>45355</v>
      </c>
      <c r="B46" s="16" t="n">
        <v>1063.82</v>
      </c>
      <c r="C46" s="17" t="n">
        <v>13328</v>
      </c>
      <c r="D46" s="17" t="n">
        <v>21268</v>
      </c>
      <c r="E46" s="17" t="n">
        <v>7460</v>
      </c>
      <c r="F46" s="17" t="n">
        <v>28097</v>
      </c>
    </row>
    <row r="47" customFormat="false" ht="15" hidden="false" customHeight="false" outlineLevel="0" collapsed="false">
      <c r="A47" s="15" t="n">
        <v>45356</v>
      </c>
      <c r="B47" s="16" t="n">
        <v>1070.31</v>
      </c>
      <c r="C47" s="17" t="n">
        <v>13416</v>
      </c>
      <c r="D47" s="17" t="n">
        <v>21648</v>
      </c>
      <c r="E47" s="17" t="n">
        <v>7530</v>
      </c>
      <c r="F47" s="17" t="n">
        <v>28577</v>
      </c>
    </row>
    <row r="48" customFormat="false" ht="15" hidden="false" customHeight="false" outlineLevel="0" collapsed="false">
      <c r="A48" s="15" t="n">
        <v>45357</v>
      </c>
      <c r="B48" s="16" t="n">
        <v>1033.6</v>
      </c>
      <c r="C48" s="17" t="n">
        <v>12850</v>
      </c>
      <c r="D48" s="17" t="n">
        <v>20858</v>
      </c>
      <c r="E48" s="17" t="n">
        <v>7253</v>
      </c>
      <c r="F48" s="17" t="n">
        <v>27912</v>
      </c>
    </row>
    <row r="49" customFormat="false" ht="15" hidden="false" customHeight="false" outlineLevel="0" collapsed="false">
      <c r="A49" s="15" t="n">
        <v>45358</v>
      </c>
      <c r="B49" s="16" t="n">
        <v>1000.48</v>
      </c>
      <c r="C49" s="17" t="n">
        <v>12409</v>
      </c>
      <c r="D49" s="17" t="n">
        <v>19956</v>
      </c>
      <c r="E49" s="17" t="n">
        <v>7114</v>
      </c>
      <c r="F49" s="17" t="n">
        <v>26492</v>
      </c>
    </row>
    <row r="50" customFormat="false" ht="15" hidden="false" customHeight="false" outlineLevel="0" collapsed="false">
      <c r="A50" s="15" t="n">
        <v>45359</v>
      </c>
      <c r="B50" s="16" t="n">
        <v>1013.9</v>
      </c>
      <c r="C50" s="17" t="n">
        <v>12841</v>
      </c>
      <c r="D50" s="17" t="n">
        <v>20178</v>
      </c>
      <c r="E50" s="17" t="n">
        <v>7224</v>
      </c>
      <c r="F50" s="17" t="n">
        <v>26642</v>
      </c>
    </row>
    <row r="51" customFormat="false" ht="15" hidden="false" customHeight="false" outlineLevel="0" collapsed="false">
      <c r="A51" s="15" t="n">
        <v>45362</v>
      </c>
      <c r="B51" s="16" t="n">
        <v>1058.28</v>
      </c>
      <c r="C51" s="17" t="n">
        <v>13476</v>
      </c>
      <c r="D51" s="17" t="n">
        <v>21185</v>
      </c>
      <c r="E51" s="17" t="n">
        <v>7418</v>
      </c>
      <c r="F51" s="17" t="n">
        <v>28054</v>
      </c>
    </row>
    <row r="52" customFormat="false" ht="15" hidden="false" customHeight="false" outlineLevel="0" collapsed="false">
      <c r="A52" s="15" t="n">
        <v>45363</v>
      </c>
      <c r="B52" s="16" t="n">
        <v>1055.99</v>
      </c>
      <c r="C52" s="17" t="n">
        <v>13497</v>
      </c>
      <c r="D52" s="17" t="n">
        <v>21138</v>
      </c>
      <c r="E52" s="17" t="n">
        <v>7282</v>
      </c>
      <c r="F52" s="17" t="n">
        <v>28130</v>
      </c>
    </row>
    <row r="53" customFormat="false" ht="15" hidden="false" customHeight="false" outlineLevel="0" collapsed="false">
      <c r="A53" s="15" t="n">
        <v>45364</v>
      </c>
      <c r="B53" s="16" t="n">
        <v>1064.64</v>
      </c>
      <c r="C53" s="17" t="n">
        <v>13466</v>
      </c>
      <c r="D53" s="17" t="n">
        <v>21589</v>
      </c>
      <c r="E53" s="17" t="n">
        <v>7248</v>
      </c>
      <c r="F53" s="17" t="n">
        <v>28693</v>
      </c>
    </row>
    <row r="54" customFormat="false" ht="15" hidden="false" customHeight="false" outlineLevel="0" collapsed="false">
      <c r="A54" s="15" t="n">
        <v>45365</v>
      </c>
      <c r="B54" s="16" t="n">
        <v>1084.81</v>
      </c>
      <c r="C54" s="17" t="n">
        <v>13954</v>
      </c>
      <c r="D54" s="17" t="n">
        <v>21406</v>
      </c>
      <c r="E54" s="17" t="n">
        <v>7512</v>
      </c>
      <c r="F54" s="17" t="n">
        <v>29267</v>
      </c>
    </row>
    <row r="55" customFormat="false" ht="15" hidden="false" customHeight="false" outlineLevel="0" collapsed="false">
      <c r="A55" s="15" t="n">
        <v>45366</v>
      </c>
      <c r="B55" s="16" t="n">
        <v>1095.05</v>
      </c>
      <c r="C55" s="17" t="n">
        <v>14113</v>
      </c>
      <c r="D55" s="17" t="n">
        <v>21610</v>
      </c>
      <c r="E55" s="17" t="n">
        <v>7745</v>
      </c>
      <c r="F55" s="17" t="n">
        <v>30386</v>
      </c>
    </row>
    <row r="56" customFormat="false" ht="15" hidden="false" customHeight="false" outlineLevel="0" collapsed="false">
      <c r="A56" s="15" t="n">
        <v>45369</v>
      </c>
      <c r="B56" s="16" t="n">
        <v>1109.68</v>
      </c>
      <c r="C56" s="17" t="n">
        <v>14373</v>
      </c>
      <c r="D56" s="17" t="n">
        <v>22163</v>
      </c>
      <c r="E56" s="17" t="n">
        <v>7854</v>
      </c>
      <c r="F56" s="17" t="n">
        <v>30582</v>
      </c>
    </row>
    <row r="57" customFormat="false" ht="15" hidden="false" customHeight="false" outlineLevel="0" collapsed="false">
      <c r="A57" s="15" t="n">
        <v>45370</v>
      </c>
      <c r="B57" s="16" t="n">
        <v>1135.53</v>
      </c>
      <c r="C57" s="17" t="n">
        <v>14686</v>
      </c>
      <c r="D57" s="17" t="n">
        <v>22716</v>
      </c>
      <c r="E57" s="17" t="n">
        <v>7997</v>
      </c>
      <c r="F57" s="17" t="n">
        <v>31837</v>
      </c>
    </row>
    <row r="58" customFormat="false" ht="15" hidden="false" customHeight="false" outlineLevel="0" collapsed="false">
      <c r="A58" s="15" t="n">
        <v>45371</v>
      </c>
      <c r="B58" s="16" t="n">
        <v>1138.98</v>
      </c>
      <c r="C58" s="17" t="n">
        <v>14889</v>
      </c>
      <c r="D58" s="17" t="n">
        <v>22911</v>
      </c>
      <c r="E58" s="17" t="n">
        <v>8023</v>
      </c>
      <c r="F58" s="17" t="n">
        <v>32415</v>
      </c>
    </row>
    <row r="59" customFormat="false" ht="15" hidden="false" customHeight="false" outlineLevel="0" collapsed="false">
      <c r="A59" s="15" t="n">
        <v>45372</v>
      </c>
      <c r="B59" s="16" t="n">
        <v>1121.23</v>
      </c>
      <c r="C59" s="17" t="n">
        <v>14415</v>
      </c>
      <c r="D59" s="17" t="n">
        <v>22605</v>
      </c>
      <c r="E59" s="17" t="n">
        <v>7872</v>
      </c>
      <c r="F59" s="17" t="n">
        <v>29715</v>
      </c>
    </row>
    <row r="60" customFormat="false" ht="15" hidden="false" customHeight="false" outlineLevel="0" collapsed="false">
      <c r="A60" s="15" t="n">
        <v>45373</v>
      </c>
      <c r="B60" s="16" t="n">
        <v>1095.66</v>
      </c>
      <c r="C60" s="17" t="n">
        <v>14429</v>
      </c>
      <c r="D60" s="17" t="n">
        <v>22275</v>
      </c>
      <c r="E60" s="17" t="n">
        <v>7807</v>
      </c>
      <c r="F60" s="17" t="n">
        <v>28310</v>
      </c>
    </row>
    <row r="61" customFormat="false" ht="15" hidden="false" customHeight="false" outlineLevel="0" collapsed="false">
      <c r="A61" s="15" t="n">
        <v>45376</v>
      </c>
      <c r="B61" s="16" t="n">
        <v>1099.19</v>
      </c>
      <c r="C61" s="17" t="n">
        <v>14577</v>
      </c>
      <c r="D61" s="17" t="n">
        <v>22710</v>
      </c>
      <c r="E61" s="17" t="n">
        <v>7813</v>
      </c>
      <c r="F61" s="17" t="n">
        <v>28348</v>
      </c>
    </row>
    <row r="62" customFormat="false" ht="15" hidden="false" customHeight="false" outlineLevel="0" collapsed="false">
      <c r="A62" s="15" t="n">
        <v>45377</v>
      </c>
      <c r="B62" s="16" t="n">
        <v>1076.44</v>
      </c>
      <c r="C62" s="17" t="n">
        <v>14336</v>
      </c>
      <c r="D62" s="17" t="n">
        <v>21788</v>
      </c>
      <c r="E62" s="17" t="n">
        <v>7660</v>
      </c>
      <c r="F62" s="17" t="n">
        <v>27632</v>
      </c>
    </row>
    <row r="63" customFormat="false" ht="15" hidden="false" customHeight="false" outlineLevel="0" collapsed="false">
      <c r="A63" s="15" t="n">
        <v>45378</v>
      </c>
      <c r="B63" s="16" t="n">
        <v>1054.2</v>
      </c>
      <c r="C63" s="17" t="n">
        <v>14222</v>
      </c>
      <c r="D63" s="17" t="n">
        <v>21688</v>
      </c>
      <c r="E63" s="17" t="n">
        <v>7640</v>
      </c>
      <c r="F63" s="17" t="n">
        <v>26510</v>
      </c>
    </row>
    <row r="64" customFormat="false" ht="15" hidden="false" customHeight="false" outlineLevel="0" collapsed="false">
      <c r="A64" s="15" t="n">
        <v>45379</v>
      </c>
      <c r="B64" s="16" t="n">
        <v>1064.5</v>
      </c>
      <c r="C64" s="17" t="n">
        <v>14300</v>
      </c>
      <c r="D64" s="17" t="n">
        <v>21846</v>
      </c>
      <c r="E64" s="17" t="n">
        <v>7637</v>
      </c>
      <c r="F64" s="17" t="n">
        <v>26467</v>
      </c>
    </row>
    <row r="65" customFormat="false" ht="15" hidden="false" customHeight="false" outlineLevel="0" collapsed="false">
      <c r="A65" s="15" t="n">
        <v>45380</v>
      </c>
      <c r="B65" s="16" t="n">
        <v>1073.39</v>
      </c>
      <c r="C65" s="17" t="n">
        <v>14412</v>
      </c>
      <c r="D65" s="17" t="n">
        <v>22030</v>
      </c>
      <c r="E65" s="17" t="n">
        <v>7663</v>
      </c>
      <c r="F65" s="17" t="n">
        <v>27342</v>
      </c>
    </row>
    <row r="66" customFormat="false" ht="15" hidden="false" customHeight="false" outlineLevel="0" collapsed="false">
      <c r="A66" s="15" t="n">
        <v>45383</v>
      </c>
      <c r="B66" s="16" t="n">
        <v>1141.49</v>
      </c>
      <c r="C66" s="17" t="n">
        <v>15484</v>
      </c>
      <c r="D66" s="17" t="n">
        <v>23386</v>
      </c>
      <c r="E66" s="17" t="n">
        <v>8034</v>
      </c>
      <c r="F66" s="17" t="n">
        <v>29362</v>
      </c>
    </row>
    <row r="67" customFormat="false" ht="15" hidden="false" customHeight="false" outlineLevel="0" collapsed="false">
      <c r="A67" s="15" t="n">
        <v>45384</v>
      </c>
      <c r="B67" s="16" t="n">
        <v>1126</v>
      </c>
      <c r="C67" s="17" t="n">
        <v>15205</v>
      </c>
      <c r="D67" s="17" t="n">
        <v>22876</v>
      </c>
      <c r="E67" s="17" t="n">
        <v>8040</v>
      </c>
      <c r="F67" s="17" t="n">
        <v>29297</v>
      </c>
    </row>
    <row r="68" customFormat="false" ht="15" hidden="false" customHeight="false" outlineLevel="0" collapsed="false">
      <c r="A68" s="15" t="n">
        <v>45385</v>
      </c>
      <c r="B68" s="16" t="n">
        <v>1092.49</v>
      </c>
      <c r="C68" s="17" t="n">
        <v>14682</v>
      </c>
      <c r="D68" s="17" t="n">
        <v>21996</v>
      </c>
      <c r="E68" s="17" t="n">
        <v>7869</v>
      </c>
      <c r="F68" s="17" t="n">
        <v>28092</v>
      </c>
    </row>
    <row r="69" customFormat="false" ht="15" hidden="false" customHeight="false" outlineLevel="0" collapsed="false">
      <c r="A69" s="15" t="n">
        <v>45386</v>
      </c>
      <c r="B69" s="16" t="n">
        <v>1081.54</v>
      </c>
      <c r="C69" s="17" t="n">
        <v>14601</v>
      </c>
      <c r="D69" s="17" t="n">
        <v>21794</v>
      </c>
      <c r="E69" s="17" t="n">
        <v>7865</v>
      </c>
      <c r="F69" s="17" t="n">
        <v>28528</v>
      </c>
    </row>
    <row r="70" customFormat="false" ht="15" hidden="false" customHeight="false" outlineLevel="0" collapsed="false">
      <c r="A70" s="15" t="n">
        <v>45387</v>
      </c>
      <c r="B70" s="16" t="n">
        <v>1045.13</v>
      </c>
      <c r="C70" s="17" t="n">
        <v>13920</v>
      </c>
      <c r="D70" s="17" t="n">
        <v>21317</v>
      </c>
      <c r="E70" s="17" t="n">
        <v>7616</v>
      </c>
      <c r="F70" s="17" t="n">
        <v>27451</v>
      </c>
    </row>
    <row r="71" customFormat="false" ht="15" hidden="false" customHeight="false" outlineLevel="0" collapsed="false">
      <c r="A71" s="15" t="n">
        <v>45390</v>
      </c>
      <c r="B71" s="16" t="n">
        <v>1065.09</v>
      </c>
      <c r="C71" s="17" t="n">
        <v>13980</v>
      </c>
      <c r="D71" s="17" t="n">
        <v>21649</v>
      </c>
      <c r="E71" s="17" t="n">
        <v>7724</v>
      </c>
      <c r="F71" s="17" t="n">
        <v>28249</v>
      </c>
    </row>
    <row r="72" customFormat="false" ht="15" hidden="false" customHeight="false" outlineLevel="0" collapsed="false">
      <c r="A72" s="15" t="n">
        <v>45391</v>
      </c>
      <c r="B72" s="16" t="n">
        <v>1092.52</v>
      </c>
      <c r="C72" s="17" t="n">
        <v>14207</v>
      </c>
      <c r="D72" s="17" t="n">
        <v>22227</v>
      </c>
      <c r="E72" s="17" t="n">
        <v>7899</v>
      </c>
      <c r="F72" s="17" t="n">
        <v>28983</v>
      </c>
    </row>
    <row r="73" customFormat="false" ht="15" hidden="false" customHeight="false" outlineLevel="0" collapsed="false">
      <c r="A73" s="15" t="n">
        <v>45392</v>
      </c>
      <c r="B73" s="16" t="n">
        <v>1078.83</v>
      </c>
      <c r="C73" s="17" t="n">
        <v>14018</v>
      </c>
      <c r="D73" s="17" t="n">
        <v>22018</v>
      </c>
      <c r="E73" s="17" t="n">
        <v>7816</v>
      </c>
      <c r="F73" s="17" t="n">
        <v>28763</v>
      </c>
    </row>
    <row r="74" customFormat="false" ht="15" hidden="false" customHeight="false" outlineLevel="0" collapsed="false">
      <c r="A74" s="15" t="n">
        <v>45393</v>
      </c>
      <c r="B74" s="16" t="n">
        <v>1091.19</v>
      </c>
      <c r="C74" s="17" t="n">
        <v>14358</v>
      </c>
      <c r="D74" s="17" t="n">
        <v>22093</v>
      </c>
      <c r="E74" s="17" t="n">
        <v>7862</v>
      </c>
      <c r="F74" s="17" t="n">
        <v>30294</v>
      </c>
    </row>
    <row r="75" customFormat="false" ht="15" hidden="false" customHeight="false" outlineLevel="0" collapsed="false">
      <c r="A75" s="15" t="n">
        <v>45394</v>
      </c>
      <c r="B75" s="16" t="n">
        <v>1104.3</v>
      </c>
      <c r="C75" s="17" t="n">
        <v>14447</v>
      </c>
      <c r="D75" s="17" t="n">
        <v>22992</v>
      </c>
      <c r="E75" s="17" t="n">
        <v>7960</v>
      </c>
      <c r="F75" s="17" t="n">
        <v>30577</v>
      </c>
    </row>
    <row r="76" customFormat="false" ht="15" hidden="false" customHeight="false" outlineLevel="0" collapsed="false">
      <c r="A76" s="15" t="n">
        <v>45397</v>
      </c>
      <c r="B76" s="16" t="n">
        <v>1097.28</v>
      </c>
      <c r="C76" s="17" t="n">
        <v>14152</v>
      </c>
      <c r="D76" s="17" t="n">
        <v>23062</v>
      </c>
      <c r="E76" s="17" t="n">
        <v>7982</v>
      </c>
      <c r="F76" s="17" t="n">
        <v>29864</v>
      </c>
    </row>
    <row r="77" customFormat="false" ht="15" hidden="false" customHeight="false" outlineLevel="0" collapsed="false">
      <c r="A77" s="15" t="n">
        <v>45398</v>
      </c>
      <c r="B77" s="16" t="n">
        <v>1104.53</v>
      </c>
      <c r="C77" s="17" t="n">
        <v>14289</v>
      </c>
      <c r="D77" s="17" t="n">
        <v>23575</v>
      </c>
      <c r="E77" s="17" t="n">
        <v>7925</v>
      </c>
      <c r="F77" s="17" t="n">
        <v>30383</v>
      </c>
    </row>
    <row r="78" customFormat="false" ht="15" hidden="false" customHeight="false" outlineLevel="0" collapsed="false">
      <c r="A78" s="15" t="n">
        <v>45399</v>
      </c>
      <c r="B78" s="16" t="n">
        <v>1107.73</v>
      </c>
      <c r="C78" s="17" t="n">
        <v>14146</v>
      </c>
      <c r="D78" s="17" t="n">
        <v>23206</v>
      </c>
      <c r="E78" s="17" t="n">
        <v>8146</v>
      </c>
      <c r="F78" s="17" t="n">
        <v>30395</v>
      </c>
    </row>
    <row r="79" customFormat="false" ht="15" hidden="false" customHeight="false" outlineLevel="0" collapsed="false">
      <c r="A79" s="15" t="n">
        <v>45400</v>
      </c>
      <c r="B79" s="16" t="n">
        <v>1101.03</v>
      </c>
      <c r="C79" s="17" t="n">
        <v>13969</v>
      </c>
      <c r="D79" s="17" t="n">
        <v>23136</v>
      </c>
      <c r="E79" s="17" t="n">
        <v>8122</v>
      </c>
      <c r="F79" s="17" t="n">
        <v>30789</v>
      </c>
    </row>
    <row r="80" customFormat="false" ht="15" hidden="false" customHeight="false" outlineLevel="0" collapsed="false">
      <c r="A80" s="15" t="n">
        <v>45401</v>
      </c>
      <c r="B80" s="16" t="n">
        <v>1103.67</v>
      </c>
      <c r="C80" s="17" t="n">
        <v>13998</v>
      </c>
      <c r="D80" s="17" t="n">
        <v>23403</v>
      </c>
      <c r="E80" s="17" t="n">
        <v>8224</v>
      </c>
      <c r="F80" s="17" t="n">
        <v>30494</v>
      </c>
    </row>
    <row r="81" customFormat="false" ht="15" hidden="false" customHeight="false" outlineLevel="0" collapsed="false">
      <c r="A81" s="15" t="n">
        <v>45404</v>
      </c>
      <c r="B81" s="16" t="n">
        <v>1128.95</v>
      </c>
      <c r="C81" s="17" t="n">
        <v>14615</v>
      </c>
      <c r="D81" s="17" t="n">
        <v>23711</v>
      </c>
      <c r="E81" s="17" t="n">
        <v>8599</v>
      </c>
      <c r="F81" s="17" t="n">
        <v>31220</v>
      </c>
    </row>
    <row r="82" customFormat="false" ht="15" hidden="false" customHeight="false" outlineLevel="0" collapsed="false">
      <c r="A82" s="15" t="n">
        <v>45405</v>
      </c>
      <c r="B82" s="16" t="n">
        <v>1142.02</v>
      </c>
      <c r="C82" s="17" t="n">
        <v>14697</v>
      </c>
      <c r="D82" s="17" t="n">
        <v>23737</v>
      </c>
      <c r="E82" s="17" t="n">
        <v>8546</v>
      </c>
      <c r="F82" s="17" t="n">
        <v>31789</v>
      </c>
    </row>
    <row r="83" customFormat="false" ht="15" hidden="false" customHeight="false" outlineLevel="0" collapsed="false">
      <c r="A83" s="15" t="n">
        <v>45406</v>
      </c>
      <c r="B83" s="16" t="n">
        <v>1148.35</v>
      </c>
      <c r="C83" s="17" t="n">
        <v>14943</v>
      </c>
      <c r="D83" s="17" t="n">
        <v>24090</v>
      </c>
      <c r="E83" s="17" t="n">
        <v>8679</v>
      </c>
      <c r="F83" s="17" t="n">
        <v>32101</v>
      </c>
    </row>
    <row r="84" customFormat="false" ht="15" hidden="false" customHeight="false" outlineLevel="0" collapsed="false">
      <c r="A84" s="15" t="n">
        <v>45407</v>
      </c>
      <c r="B84" s="16" t="n">
        <v>1138.09</v>
      </c>
      <c r="C84" s="17" t="n">
        <v>14802</v>
      </c>
      <c r="D84" s="17" t="n">
        <v>23670</v>
      </c>
      <c r="E84" s="17" t="n">
        <v>8577</v>
      </c>
      <c r="F84" s="17" t="n">
        <v>32983</v>
      </c>
    </row>
    <row r="85" customFormat="false" ht="15" hidden="false" customHeight="false" outlineLevel="0" collapsed="false">
      <c r="A85" s="15" t="n">
        <v>45408</v>
      </c>
      <c r="B85" s="16" t="n">
        <v>1160.2</v>
      </c>
      <c r="C85" s="17" t="n">
        <v>15291</v>
      </c>
      <c r="D85" s="17" t="n">
        <v>24184</v>
      </c>
      <c r="E85" s="17" t="n">
        <v>8818</v>
      </c>
      <c r="F85" s="17" t="n">
        <v>33747</v>
      </c>
    </row>
    <row r="86" customFormat="false" ht="15" hidden="false" customHeight="false" outlineLevel="0" collapsed="false">
      <c r="A86" s="15" t="n">
        <v>45411</v>
      </c>
      <c r="B86" s="16" t="n">
        <v>1162.74</v>
      </c>
      <c r="C86" s="17" t="n">
        <v>15336</v>
      </c>
      <c r="D86" s="17" t="n">
        <v>24438</v>
      </c>
      <c r="E86" s="17" t="n">
        <v>8830</v>
      </c>
      <c r="F86" s="17" t="n">
        <v>33841</v>
      </c>
    </row>
    <row r="87" customFormat="false" ht="15" hidden="false" customHeight="false" outlineLevel="0" collapsed="false">
      <c r="A87" s="15" t="n">
        <v>45412</v>
      </c>
      <c r="B87" s="16" t="n">
        <v>1156.75</v>
      </c>
      <c r="C87" s="17" t="n">
        <v>15151</v>
      </c>
      <c r="D87" s="17" t="n">
        <v>24240</v>
      </c>
      <c r="E87" s="17" t="n">
        <v>8827</v>
      </c>
      <c r="F87" s="17" t="n">
        <v>34417</v>
      </c>
    </row>
    <row r="88" customFormat="false" ht="15" hidden="false" customHeight="false" outlineLevel="0" collapsed="false">
      <c r="A88" s="15" t="n">
        <v>45413</v>
      </c>
      <c r="B88" s="16" t="n">
        <v>1150.42</v>
      </c>
      <c r="C88" s="17" t="n">
        <v>15155</v>
      </c>
      <c r="D88" s="17" t="n">
        <v>24175</v>
      </c>
      <c r="E88" s="17" t="n">
        <v>8864</v>
      </c>
      <c r="F88" s="17" t="n">
        <v>34568</v>
      </c>
    </row>
    <row r="89" customFormat="false" ht="15" hidden="false" customHeight="false" outlineLevel="0" collapsed="false">
      <c r="A89" s="15" t="n">
        <v>45414</v>
      </c>
      <c r="B89" s="16" t="n">
        <v>1164.21</v>
      </c>
      <c r="C89" s="17" t="n">
        <v>15268</v>
      </c>
      <c r="D89" s="17" t="n">
        <v>23992</v>
      </c>
      <c r="E89" s="17" t="n">
        <v>8881</v>
      </c>
      <c r="F89" s="17" t="n">
        <v>35578</v>
      </c>
    </row>
    <row r="90" customFormat="false" ht="15" hidden="false" customHeight="false" outlineLevel="0" collapsed="false">
      <c r="A90" s="15" t="n">
        <v>45415</v>
      </c>
      <c r="B90" s="16" t="n">
        <v>1150.63</v>
      </c>
      <c r="C90" s="17" t="n">
        <v>14951</v>
      </c>
      <c r="D90" s="17" t="n">
        <v>23480</v>
      </c>
      <c r="E90" s="17" t="n">
        <v>8841</v>
      </c>
      <c r="F90" s="17" t="n">
        <v>33882</v>
      </c>
    </row>
    <row r="91" customFormat="false" ht="15" hidden="false" customHeight="false" outlineLevel="0" collapsed="false">
      <c r="A91" s="15" t="n">
        <v>45418</v>
      </c>
      <c r="B91" s="16" t="n">
        <v>1156.61</v>
      </c>
      <c r="C91" s="17" t="n">
        <v>14966</v>
      </c>
      <c r="D91" s="17" t="n">
        <v>23883</v>
      </c>
      <c r="E91" s="17" t="n">
        <v>8870</v>
      </c>
      <c r="F91" s="17" t="n">
        <v>33804</v>
      </c>
    </row>
    <row r="92" customFormat="false" ht="15" hidden="false" customHeight="false" outlineLevel="0" collapsed="false">
      <c r="A92" s="15" t="n">
        <v>45419</v>
      </c>
      <c r="B92" s="16" t="n">
        <v>1172.32</v>
      </c>
      <c r="C92" s="17" t="n">
        <v>14872</v>
      </c>
      <c r="D92" s="17" t="n">
        <v>24012</v>
      </c>
      <c r="E92" s="17" t="n">
        <v>8976</v>
      </c>
      <c r="F92" s="17" t="n">
        <v>34662</v>
      </c>
    </row>
    <row r="93" customFormat="false" ht="15" hidden="false" customHeight="false" outlineLevel="0" collapsed="false">
      <c r="A93" s="15" t="n">
        <v>45420</v>
      </c>
      <c r="B93" s="16" t="n">
        <v>1165.69</v>
      </c>
      <c r="C93" s="17" t="n">
        <v>14780</v>
      </c>
      <c r="D93" s="17" t="n">
        <v>24052</v>
      </c>
      <c r="E93" s="17" t="n">
        <v>8962</v>
      </c>
      <c r="F93" s="17" t="n">
        <v>34004</v>
      </c>
    </row>
    <row r="94" customFormat="false" ht="15" hidden="false" customHeight="false" outlineLevel="0" collapsed="false">
      <c r="A94" s="15" t="n">
        <v>45421</v>
      </c>
      <c r="B94" s="16" t="n">
        <v>1163.61</v>
      </c>
      <c r="C94" s="17" t="n">
        <v>14558</v>
      </c>
      <c r="D94" s="17" t="n">
        <v>24390</v>
      </c>
      <c r="E94" s="17" t="n">
        <v>8963</v>
      </c>
      <c r="F94" s="17" t="n">
        <v>35083</v>
      </c>
    </row>
    <row r="95" customFormat="false" ht="15" hidden="false" customHeight="false" outlineLevel="0" collapsed="false">
      <c r="A95" s="15" t="n">
        <v>45422</v>
      </c>
      <c r="B95" s="16" t="n">
        <v>1188.08</v>
      </c>
      <c r="C95" s="17" t="n">
        <v>14895</v>
      </c>
      <c r="D95" s="17" t="n">
        <v>25053</v>
      </c>
      <c r="E95" s="17" t="n">
        <v>9045</v>
      </c>
      <c r="F95" s="17" t="n">
        <v>35601</v>
      </c>
    </row>
    <row r="96" customFormat="false" ht="15" hidden="false" customHeight="false" outlineLevel="0" collapsed="false">
      <c r="A96" s="15" t="n">
        <v>45425</v>
      </c>
      <c r="B96" s="16" t="n">
        <v>1193.37</v>
      </c>
      <c r="C96" s="17" t="n">
        <v>14926</v>
      </c>
      <c r="D96" s="17" t="n">
        <v>25256</v>
      </c>
      <c r="E96" s="17" t="n">
        <v>9245</v>
      </c>
      <c r="F96" s="17" t="n">
        <v>36239</v>
      </c>
    </row>
    <row r="97" customFormat="false" ht="15" hidden="false" customHeight="false" outlineLevel="0" collapsed="false">
      <c r="A97" s="15" t="n">
        <v>45426</v>
      </c>
      <c r="B97" s="16" t="n">
        <v>1193.87</v>
      </c>
      <c r="C97" s="17" t="n">
        <v>15208</v>
      </c>
      <c r="D97" s="17" t="n">
        <v>25055</v>
      </c>
      <c r="E97" s="17" t="n">
        <v>9189</v>
      </c>
      <c r="F97" s="17" t="n">
        <v>36403</v>
      </c>
    </row>
    <row r="98" customFormat="false" ht="15" hidden="false" customHeight="false" outlineLevel="0" collapsed="false">
      <c r="A98" s="15" t="n">
        <v>45427</v>
      </c>
      <c r="B98" s="16" t="n">
        <v>1214.93</v>
      </c>
      <c r="C98" s="17" t="n">
        <v>15799</v>
      </c>
      <c r="D98" s="17" t="n">
        <v>25313</v>
      </c>
      <c r="E98" s="17" t="n">
        <v>9267</v>
      </c>
      <c r="F98" s="17" t="n">
        <v>37452</v>
      </c>
    </row>
    <row r="99" customFormat="false" ht="15" hidden="false" customHeight="false" outlineLevel="0" collapsed="false">
      <c r="A99" s="15" t="n">
        <v>45428</v>
      </c>
      <c r="B99" s="16" t="n">
        <v>1205.93</v>
      </c>
      <c r="C99" s="17" t="n">
        <v>15579</v>
      </c>
      <c r="D99" s="17" t="n">
        <v>25164</v>
      </c>
      <c r="E99" s="17" t="n">
        <v>9253</v>
      </c>
      <c r="F99" s="17" t="n">
        <v>37120</v>
      </c>
    </row>
    <row r="100" customFormat="false" ht="15" hidden="false" customHeight="false" outlineLevel="0" collapsed="false">
      <c r="A100" s="15" t="n">
        <v>45429</v>
      </c>
      <c r="B100" s="16" t="n">
        <v>1215.9</v>
      </c>
      <c r="C100" s="17" t="n">
        <v>15768</v>
      </c>
      <c r="D100" s="17" t="n">
        <v>25358</v>
      </c>
      <c r="E100" s="17" t="n">
        <v>9361</v>
      </c>
      <c r="F100" s="17" t="n">
        <v>37049</v>
      </c>
    </row>
    <row r="101" customFormat="false" ht="15" hidden="false" customHeight="false" outlineLevel="0" collapsed="false">
      <c r="A101" s="15" t="n">
        <v>45432</v>
      </c>
      <c r="B101" s="16" t="n">
        <v>1218.06</v>
      </c>
      <c r="C101" s="17" t="n">
        <v>15839</v>
      </c>
      <c r="D101" s="17" t="n">
        <v>25352</v>
      </c>
      <c r="E101" s="17" t="n">
        <v>9367</v>
      </c>
      <c r="F101" s="17" t="n">
        <v>36791</v>
      </c>
    </row>
    <row r="102" customFormat="false" ht="15" hidden="false" customHeight="false" outlineLevel="0" collapsed="false">
      <c r="A102" s="15" t="n">
        <v>45433</v>
      </c>
      <c r="B102" s="16" t="n">
        <v>1222.35</v>
      </c>
      <c r="C102" s="17" t="n">
        <v>15990</v>
      </c>
      <c r="D102" s="17" t="n">
        <v>25601</v>
      </c>
      <c r="E102" s="17" t="n">
        <v>9386</v>
      </c>
      <c r="F102" s="17" t="n">
        <v>37867</v>
      </c>
    </row>
    <row r="103" customFormat="false" ht="15" hidden="false" customHeight="false" outlineLevel="0" collapsed="false">
      <c r="A103" s="15" t="n">
        <v>45434</v>
      </c>
      <c r="B103" s="16" t="n">
        <v>1213.67</v>
      </c>
      <c r="C103" s="17" t="n">
        <v>15723</v>
      </c>
      <c r="D103" s="17" t="n">
        <v>25447</v>
      </c>
      <c r="E103" s="17" t="n">
        <v>9386</v>
      </c>
      <c r="F103" s="17" t="n">
        <v>37452</v>
      </c>
    </row>
    <row r="104" customFormat="false" ht="15" hidden="false" customHeight="false" outlineLevel="0" collapsed="false">
      <c r="A104" s="15" t="n">
        <v>45435</v>
      </c>
      <c r="B104" s="16" t="n">
        <v>1228.73</v>
      </c>
      <c r="C104" s="17" t="n">
        <v>15547</v>
      </c>
      <c r="D104" s="17" t="n">
        <v>25629</v>
      </c>
      <c r="E104" s="17" t="n">
        <v>9481</v>
      </c>
      <c r="F104" s="17" t="n">
        <v>38753</v>
      </c>
    </row>
    <row r="105" customFormat="false" ht="15" hidden="false" customHeight="false" outlineLevel="0" collapsed="false">
      <c r="A105" s="15" t="n">
        <v>45436</v>
      </c>
      <c r="B105" s="16" t="n">
        <v>1223.12</v>
      </c>
      <c r="C105" s="17" t="n">
        <v>15603</v>
      </c>
      <c r="D105" s="17" t="n">
        <v>25768</v>
      </c>
      <c r="E105" s="17" t="n">
        <v>9433</v>
      </c>
      <c r="F105" s="17" t="n">
        <v>39075</v>
      </c>
    </row>
    <row r="106" customFormat="false" ht="15" hidden="false" customHeight="false" outlineLevel="0" collapsed="false">
      <c r="A106" s="15" t="n">
        <v>45439</v>
      </c>
      <c r="B106" s="16" t="n">
        <v>1222.87</v>
      </c>
      <c r="C106" s="17" t="n">
        <v>15651</v>
      </c>
      <c r="D106" s="17" t="n">
        <v>25798</v>
      </c>
      <c r="E106" s="17" t="n">
        <v>9530</v>
      </c>
      <c r="F106" s="17" t="n">
        <v>39316</v>
      </c>
    </row>
    <row r="107" customFormat="false" ht="15" hidden="false" customHeight="false" outlineLevel="0" collapsed="false">
      <c r="A107" s="15" t="n">
        <v>45440</v>
      </c>
      <c r="B107" s="16" t="n">
        <v>1222.12</v>
      </c>
      <c r="C107" s="17" t="n">
        <v>15636</v>
      </c>
      <c r="D107" s="17" t="n">
        <v>26063</v>
      </c>
      <c r="E107" s="17" t="n">
        <v>9507</v>
      </c>
      <c r="F107" s="17" t="n">
        <v>38456</v>
      </c>
    </row>
    <row r="108" customFormat="false" ht="15" hidden="false" customHeight="false" outlineLevel="0" collapsed="false">
      <c r="A108" s="15" t="n">
        <v>45441</v>
      </c>
      <c r="B108" s="16" t="n">
        <v>1217.56</v>
      </c>
      <c r="C108" s="17" t="n">
        <v>15402</v>
      </c>
      <c r="D108" s="17" t="n">
        <v>25966</v>
      </c>
      <c r="E108" s="17" t="n">
        <v>9486</v>
      </c>
      <c r="F108" s="17" t="n">
        <v>37508</v>
      </c>
    </row>
    <row r="109" customFormat="false" ht="15" hidden="false" customHeight="false" outlineLevel="0" collapsed="false">
      <c r="A109" s="15" t="n">
        <v>45442</v>
      </c>
      <c r="B109" s="16" t="n">
        <v>1213.73</v>
      </c>
      <c r="C109" s="17" t="n">
        <v>15392</v>
      </c>
      <c r="D109" s="17" t="n">
        <v>25836</v>
      </c>
      <c r="E109" s="17" t="n">
        <v>9517</v>
      </c>
      <c r="F109" s="17" t="n">
        <v>36999</v>
      </c>
    </row>
    <row r="110" customFormat="false" ht="15" hidden="false" customHeight="false" outlineLevel="0" collapsed="false">
      <c r="A110" s="15" t="n">
        <v>45443</v>
      </c>
      <c r="B110" s="16" t="n">
        <v>1203.67</v>
      </c>
      <c r="C110" s="17" t="n">
        <v>15392</v>
      </c>
      <c r="D110" s="17" t="n">
        <v>26157</v>
      </c>
      <c r="E110" s="17" t="n">
        <v>9490</v>
      </c>
      <c r="F110" s="17" t="n">
        <v>35910</v>
      </c>
    </row>
    <row r="111" customFormat="false" ht="15" hidden="false" customHeight="false" outlineLevel="0" collapsed="false">
      <c r="A111" s="15" t="n">
        <v>45446</v>
      </c>
      <c r="B111" s="16" t="n">
        <v>1205.01</v>
      </c>
      <c r="C111" s="17" t="n">
        <v>15325</v>
      </c>
      <c r="D111" s="17" t="n">
        <v>25703</v>
      </c>
      <c r="E111" s="17" t="n">
        <v>9538</v>
      </c>
      <c r="F111" s="17" t="n">
        <v>35413</v>
      </c>
    </row>
    <row r="112" customFormat="false" ht="15" hidden="false" customHeight="false" outlineLevel="0" collapsed="false">
      <c r="A112" s="15" t="n">
        <v>45447</v>
      </c>
      <c r="B112" s="16" t="n">
        <v>1199.3</v>
      </c>
      <c r="C112" s="17" t="n">
        <v>15642</v>
      </c>
      <c r="D112" s="17" t="n">
        <v>25464</v>
      </c>
      <c r="E112" s="17" t="n">
        <v>9487</v>
      </c>
      <c r="F112" s="17" t="n">
        <v>34418</v>
      </c>
    </row>
    <row r="113" customFormat="false" ht="15" hidden="false" customHeight="false" outlineLevel="0" collapsed="false">
      <c r="A113" s="15" t="n">
        <v>45448</v>
      </c>
      <c r="B113" s="16" t="n">
        <v>1190.01</v>
      </c>
      <c r="C113" s="17" t="n">
        <v>15379</v>
      </c>
      <c r="D113" s="17" t="n">
        <v>25412</v>
      </c>
      <c r="E113" s="17" t="n">
        <v>9479</v>
      </c>
      <c r="F113" s="17" t="n">
        <v>33979</v>
      </c>
    </row>
    <row r="114" customFormat="false" ht="15" hidden="false" customHeight="false" outlineLevel="0" collapsed="false">
      <c r="A114" s="15" t="n">
        <v>45449</v>
      </c>
      <c r="B114" s="16" t="n">
        <v>1205.51</v>
      </c>
      <c r="C114" s="17" t="n">
        <v>15448</v>
      </c>
      <c r="D114" s="17" t="n">
        <v>25587</v>
      </c>
      <c r="E114" s="17" t="n">
        <v>9545</v>
      </c>
      <c r="F114" s="17" t="n">
        <v>34495</v>
      </c>
    </row>
    <row r="115" customFormat="false" ht="15" hidden="false" customHeight="false" outlineLevel="0" collapsed="false">
      <c r="A115" s="15" t="n">
        <v>45450</v>
      </c>
      <c r="B115" s="16" t="n">
        <v>1194.04</v>
      </c>
      <c r="C115" s="17" t="n">
        <v>15370</v>
      </c>
      <c r="D115" s="17" t="n">
        <v>25184</v>
      </c>
      <c r="E115" s="17" t="n">
        <v>9507</v>
      </c>
      <c r="F115" s="17" t="n">
        <v>33826</v>
      </c>
    </row>
    <row r="116" customFormat="false" ht="15" hidden="false" customHeight="false" outlineLevel="0" collapsed="false">
      <c r="A116" s="15" t="n">
        <v>45453</v>
      </c>
      <c r="B116" s="16" t="n">
        <v>1183.58</v>
      </c>
      <c r="C116" s="17" t="n">
        <v>15482</v>
      </c>
      <c r="D116" s="17" t="n">
        <v>25190</v>
      </c>
      <c r="E116" s="17" t="n">
        <v>9491</v>
      </c>
      <c r="F116" s="17" t="n">
        <v>33520</v>
      </c>
    </row>
    <row r="117" customFormat="false" ht="15" hidden="false" customHeight="false" outlineLevel="0" collapsed="false">
      <c r="A117" s="15" t="n">
        <v>45454</v>
      </c>
      <c r="B117" s="16" t="n">
        <v>1148.03</v>
      </c>
      <c r="C117" s="17" t="n">
        <v>14864</v>
      </c>
      <c r="D117" s="17" t="n">
        <v>24637</v>
      </c>
      <c r="E117" s="17" t="n">
        <v>9423</v>
      </c>
      <c r="F117" s="17" t="n">
        <v>32202</v>
      </c>
    </row>
    <row r="118" customFormat="false" ht="15" hidden="false" customHeight="false" outlineLevel="0" collapsed="false">
      <c r="A118" s="15" t="n">
        <v>45455</v>
      </c>
      <c r="B118" s="16" t="n">
        <v>1126.7</v>
      </c>
      <c r="C118" s="17" t="n">
        <v>14471</v>
      </c>
      <c r="D118" s="17" t="n">
        <v>24217</v>
      </c>
      <c r="E118" s="17" t="n">
        <v>9229</v>
      </c>
      <c r="F118" s="17" t="n">
        <v>30681</v>
      </c>
    </row>
    <row r="119" customFormat="false" ht="15" hidden="false" customHeight="false" outlineLevel="0" collapsed="false">
      <c r="A119" s="15" t="n">
        <v>45456</v>
      </c>
      <c r="B119" s="16" t="n">
        <v>1126.98</v>
      </c>
      <c r="C119" s="17" t="n">
        <v>14662</v>
      </c>
      <c r="D119" s="17" t="n">
        <v>24141</v>
      </c>
      <c r="E119" s="17" t="n">
        <v>9259</v>
      </c>
      <c r="F119" s="17" t="n">
        <v>30005</v>
      </c>
    </row>
    <row r="120" customFormat="false" ht="15" hidden="false" customHeight="false" outlineLevel="0" collapsed="false">
      <c r="A120" s="15" t="n">
        <v>45457</v>
      </c>
      <c r="B120" s="16" t="n">
        <v>1122.03</v>
      </c>
      <c r="C120" s="17" t="n">
        <v>14836</v>
      </c>
      <c r="D120" s="17" t="n">
        <v>24441</v>
      </c>
      <c r="E120" s="17" t="n">
        <v>9254</v>
      </c>
      <c r="F120" s="17" t="n">
        <v>29404</v>
      </c>
    </row>
    <row r="121" customFormat="false" ht="15" hidden="false" customHeight="false" outlineLevel="0" collapsed="false">
      <c r="A121" s="15" t="n">
        <v>45460</v>
      </c>
      <c r="B121" s="16" t="n">
        <v>1110.58</v>
      </c>
      <c r="C121" s="17" t="n">
        <v>14747</v>
      </c>
      <c r="D121" s="17" t="n">
        <v>24227</v>
      </c>
      <c r="E121" s="17" t="n">
        <v>9162</v>
      </c>
      <c r="F121" s="17" t="n">
        <v>29296</v>
      </c>
    </row>
    <row r="122" customFormat="false" ht="15" hidden="false" customHeight="false" outlineLevel="0" collapsed="false">
      <c r="A122" s="15" t="n">
        <v>45461</v>
      </c>
      <c r="B122" s="16" t="n">
        <v>1098.06</v>
      </c>
      <c r="C122" s="17" t="n">
        <v>14871</v>
      </c>
      <c r="D122" s="17" t="n">
        <v>24120</v>
      </c>
      <c r="E122" s="17" t="n">
        <v>9041</v>
      </c>
      <c r="F122" s="17" t="n">
        <v>28940</v>
      </c>
    </row>
    <row r="123" customFormat="false" ht="15" hidden="false" customHeight="false" outlineLevel="0" collapsed="false">
      <c r="A123" s="15" t="n">
        <v>45462</v>
      </c>
      <c r="B123" s="16" t="n">
        <v>1113.91</v>
      </c>
      <c r="C123" s="17" t="n">
        <v>15148</v>
      </c>
      <c r="D123" s="17" t="n">
        <v>23875</v>
      </c>
      <c r="E123" s="17" t="n">
        <v>9118</v>
      </c>
      <c r="F123" s="17" t="n">
        <v>28610</v>
      </c>
    </row>
    <row r="124" customFormat="false" ht="15" hidden="false" customHeight="false" outlineLevel="0" collapsed="false">
      <c r="A124" s="15" t="n">
        <v>45463</v>
      </c>
      <c r="B124" s="16" t="n">
        <v>1108.62</v>
      </c>
      <c r="C124" s="17" t="n">
        <v>15081</v>
      </c>
      <c r="D124" s="17" t="n">
        <v>24109</v>
      </c>
      <c r="E124" s="17" t="n">
        <v>9152</v>
      </c>
      <c r="F124" s="17" t="n">
        <v>28424</v>
      </c>
    </row>
    <row r="125" customFormat="false" ht="15" hidden="false" customHeight="false" outlineLevel="0" collapsed="false">
      <c r="A125" s="15" t="n">
        <v>45464</v>
      </c>
      <c r="B125" s="16" t="n">
        <v>1093.36</v>
      </c>
      <c r="C125" s="17" t="n">
        <v>14683</v>
      </c>
      <c r="D125" s="17" t="n">
        <v>23818</v>
      </c>
      <c r="E125" s="17" t="n">
        <v>9093</v>
      </c>
      <c r="F125" s="17" t="n">
        <v>27997</v>
      </c>
    </row>
    <row r="126" customFormat="false" ht="15" hidden="false" customHeight="false" outlineLevel="0" collapsed="false">
      <c r="A126" s="15" t="n">
        <v>45467</v>
      </c>
      <c r="B126" s="16" t="n">
        <v>1094.87</v>
      </c>
      <c r="C126" s="17" t="n">
        <v>14895</v>
      </c>
      <c r="D126" s="17" t="n">
        <v>23827</v>
      </c>
      <c r="E126" s="17" t="n">
        <v>9152</v>
      </c>
      <c r="F126" s="17" t="n">
        <v>27884</v>
      </c>
    </row>
    <row r="127" customFormat="false" ht="15" hidden="false" customHeight="false" outlineLevel="0" collapsed="false">
      <c r="A127" s="15" t="n">
        <v>45468</v>
      </c>
      <c r="B127" s="16" t="n">
        <v>1112.08</v>
      </c>
      <c r="C127" s="17" t="n">
        <v>15317</v>
      </c>
      <c r="D127" s="17" t="n">
        <v>24253</v>
      </c>
      <c r="E127" s="17" t="n">
        <v>9126</v>
      </c>
      <c r="F127" s="17" t="n">
        <v>27661</v>
      </c>
    </row>
    <row r="128" customFormat="false" ht="15" hidden="false" customHeight="false" outlineLevel="0" collapsed="false">
      <c r="A128" s="15" t="n">
        <v>45469</v>
      </c>
      <c r="B128" s="16" t="n">
        <v>1113.22</v>
      </c>
      <c r="C128" s="17" t="n">
        <v>15234</v>
      </c>
      <c r="D128" s="17" t="n">
        <v>23916</v>
      </c>
      <c r="E128" s="17" t="n">
        <v>9164</v>
      </c>
      <c r="F128" s="17" t="n">
        <v>27826</v>
      </c>
    </row>
    <row r="129" customFormat="false" ht="15" hidden="false" customHeight="false" outlineLevel="0" collapsed="false">
      <c r="A129" s="15" t="n">
        <v>45470</v>
      </c>
      <c r="B129" s="16" t="n">
        <v>1108.79</v>
      </c>
      <c r="C129" s="17" t="n">
        <v>14969</v>
      </c>
      <c r="D129" s="17" t="n">
        <v>24013</v>
      </c>
      <c r="E129" s="17" t="n">
        <v>9024</v>
      </c>
      <c r="F129" s="17" t="n">
        <v>27815</v>
      </c>
    </row>
    <row r="130" customFormat="false" ht="15" hidden="false" customHeight="false" outlineLevel="0" collapsed="false">
      <c r="A130" s="15" t="n">
        <v>45471</v>
      </c>
      <c r="B130" s="16" t="n">
        <v>1105.01</v>
      </c>
      <c r="C130" s="17" t="n">
        <v>15264</v>
      </c>
      <c r="D130" s="17" t="n">
        <v>24026</v>
      </c>
      <c r="E130" s="17" t="n">
        <v>9029</v>
      </c>
      <c r="F130" s="17" t="n">
        <v>27209</v>
      </c>
    </row>
    <row r="131" customFormat="false" ht="15" hidden="false" customHeight="false" outlineLevel="0" collapsed="false">
      <c r="A131" s="15" t="n">
        <v>45474</v>
      </c>
      <c r="B131" s="16" t="n">
        <v>1102.68</v>
      </c>
      <c r="C131" s="17" t="n">
        <v>15234</v>
      </c>
      <c r="D131" s="17" t="n">
        <v>24340</v>
      </c>
      <c r="E131" s="17" t="n">
        <v>8966</v>
      </c>
      <c r="F131" s="17" t="n">
        <v>27342</v>
      </c>
    </row>
    <row r="132" customFormat="false" ht="15" hidden="false" customHeight="false" outlineLevel="0" collapsed="false">
      <c r="A132" s="15" t="n">
        <v>45475</v>
      </c>
      <c r="B132" s="16" t="n">
        <v>1119.55</v>
      </c>
      <c r="C132" s="17" t="n">
        <v>15542</v>
      </c>
      <c r="D132" s="17" t="n">
        <v>24663</v>
      </c>
      <c r="E132" s="17" t="n">
        <v>9078</v>
      </c>
      <c r="F132" s="17" t="n">
        <v>28085</v>
      </c>
    </row>
    <row r="133" customFormat="false" ht="15" hidden="false" customHeight="false" outlineLevel="0" collapsed="false">
      <c r="A133" s="15" t="n">
        <v>45476</v>
      </c>
      <c r="B133" s="16" t="n">
        <v>1121.77</v>
      </c>
      <c r="C133" s="17" t="n">
        <v>15902</v>
      </c>
      <c r="D133" s="17" t="n">
        <v>24564</v>
      </c>
      <c r="E133" s="17" t="n">
        <v>9122</v>
      </c>
      <c r="F133" s="17" t="n">
        <v>28092</v>
      </c>
    </row>
    <row r="134" customFormat="false" ht="15" hidden="false" customHeight="false" outlineLevel="0" collapsed="false">
      <c r="A134" s="15" t="n">
        <v>45477</v>
      </c>
      <c r="B134" s="16" t="n">
        <v>1120.81</v>
      </c>
      <c r="C134" s="17" t="n">
        <v>15914</v>
      </c>
      <c r="D134" s="17" t="n">
        <v>24283</v>
      </c>
      <c r="E134" s="17" t="n">
        <v>9039</v>
      </c>
      <c r="F134" s="17" t="n">
        <v>27431</v>
      </c>
    </row>
    <row r="135" customFormat="false" ht="15" hidden="false" customHeight="false" outlineLevel="0" collapsed="false">
      <c r="A135" s="15" t="n">
        <v>45478</v>
      </c>
      <c r="B135" s="16" t="n">
        <v>1139.61</v>
      </c>
      <c r="C135" s="17" t="n">
        <v>16078</v>
      </c>
      <c r="D135" s="17" t="n">
        <v>24570</v>
      </c>
      <c r="E135" s="17" t="n">
        <v>9075</v>
      </c>
      <c r="F135" s="17" t="n">
        <v>28060</v>
      </c>
    </row>
    <row r="136" customFormat="false" ht="15" hidden="false" customHeight="false" outlineLevel="0" collapsed="false">
      <c r="A136" s="15" t="n">
        <v>45481</v>
      </c>
      <c r="B136" s="16" t="n">
        <v>1128.47</v>
      </c>
      <c r="C136" s="17" t="n">
        <v>16053</v>
      </c>
      <c r="D136" s="17" t="n">
        <v>24624</v>
      </c>
      <c r="E136" s="17" t="n">
        <v>9045</v>
      </c>
      <c r="F136" s="17" t="n">
        <v>27706</v>
      </c>
    </row>
    <row r="137" customFormat="false" ht="15" hidden="false" customHeight="false" outlineLevel="0" collapsed="false">
      <c r="A137" s="15" t="n">
        <v>45482</v>
      </c>
      <c r="B137" s="16" t="n">
        <v>1124.91</v>
      </c>
      <c r="C137" s="17" t="n">
        <v>15912</v>
      </c>
      <c r="D137" s="17" t="n">
        <v>24735</v>
      </c>
      <c r="E137" s="17" t="n">
        <v>9088</v>
      </c>
      <c r="F137" s="17" t="n">
        <v>27225</v>
      </c>
    </row>
    <row r="138" customFormat="false" ht="15" hidden="false" customHeight="false" outlineLevel="0" collapsed="false">
      <c r="A138" s="15" t="n">
        <v>45483</v>
      </c>
      <c r="B138" s="16" t="n">
        <v>1124.64</v>
      </c>
      <c r="C138" s="17" t="n">
        <v>16030</v>
      </c>
      <c r="D138" s="17" t="n">
        <v>24889</v>
      </c>
      <c r="E138" s="17" t="n">
        <v>9059</v>
      </c>
      <c r="F138" s="17" t="n">
        <v>27422</v>
      </c>
    </row>
    <row r="139" customFormat="false" ht="15" hidden="false" customHeight="false" outlineLevel="0" collapsed="false">
      <c r="A139" s="15" t="n">
        <v>45484</v>
      </c>
      <c r="B139" s="16" t="n">
        <v>1115.84</v>
      </c>
      <c r="C139" s="17" t="n">
        <v>15984</v>
      </c>
      <c r="D139" s="17" t="n">
        <v>24821</v>
      </c>
      <c r="E139" s="17" t="n">
        <v>9001</v>
      </c>
      <c r="F139" s="17" t="n">
        <v>28075</v>
      </c>
    </row>
    <row r="140" customFormat="false" ht="15" hidden="false" customHeight="false" outlineLevel="0" collapsed="false">
      <c r="A140" s="15" t="n">
        <v>45485</v>
      </c>
      <c r="B140" s="16" t="n">
        <v>1114.03</v>
      </c>
      <c r="C140" s="17" t="n">
        <v>16185</v>
      </c>
      <c r="D140" s="17" t="n">
        <v>25236</v>
      </c>
      <c r="E140" s="17" t="n">
        <v>9074</v>
      </c>
      <c r="F140" s="17" t="n">
        <v>28386</v>
      </c>
    </row>
    <row r="141" customFormat="false" ht="15" hidden="false" customHeight="false" outlineLevel="0" collapsed="false">
      <c r="A141" s="15" t="n">
        <v>45488</v>
      </c>
      <c r="B141" s="16" t="n">
        <v>1118</v>
      </c>
      <c r="C141" s="17" t="n">
        <v>16515</v>
      </c>
      <c r="D141" s="17" t="n">
        <v>25119</v>
      </c>
      <c r="E141" s="17" t="n">
        <v>9080</v>
      </c>
      <c r="F141" s="17" t="n">
        <v>29429</v>
      </c>
    </row>
    <row r="142" customFormat="false" ht="15" hidden="false" customHeight="false" outlineLevel="0" collapsed="false">
      <c r="A142" s="15" t="n">
        <v>45489</v>
      </c>
      <c r="B142" s="16" t="n">
        <v>1132.26</v>
      </c>
      <c r="C142" s="17" t="n">
        <v>16751</v>
      </c>
      <c r="D142" s="17" t="n">
        <v>25468</v>
      </c>
      <c r="E142" s="17" t="n">
        <v>9180</v>
      </c>
      <c r="F142" s="17" t="n">
        <v>30090</v>
      </c>
    </row>
    <row r="143" customFormat="false" ht="15" hidden="false" customHeight="false" outlineLevel="0" collapsed="false">
      <c r="A143" s="15" t="n">
        <v>45490</v>
      </c>
      <c r="B143" s="16" t="n">
        <v>1140.11</v>
      </c>
      <c r="C143" s="17" t="n">
        <v>16763</v>
      </c>
      <c r="D143" s="17" t="n">
        <v>25515</v>
      </c>
      <c r="E143" s="17" t="n">
        <v>9265</v>
      </c>
      <c r="F143" s="17" t="n">
        <v>30354</v>
      </c>
    </row>
    <row r="144" customFormat="false" ht="15" hidden="false" customHeight="false" outlineLevel="0" collapsed="false">
      <c r="A144" s="15" t="n">
        <v>45491</v>
      </c>
      <c r="B144" s="16" t="n">
        <v>1149.53</v>
      </c>
      <c r="C144" s="17" t="n">
        <v>16907</v>
      </c>
      <c r="D144" s="17" t="n">
        <v>26182</v>
      </c>
      <c r="E144" s="17" t="n">
        <v>9356</v>
      </c>
      <c r="F144" s="17" t="n">
        <v>30865</v>
      </c>
    </row>
    <row r="145" customFormat="false" ht="15" hidden="false" customHeight="false" outlineLevel="0" collapsed="false">
      <c r="A145" s="15" t="n">
        <v>45492</v>
      </c>
      <c r="B145" s="16" t="n">
        <v>1145.62</v>
      </c>
      <c r="C145" s="17" t="n">
        <v>16651</v>
      </c>
      <c r="D145" s="17" t="n">
        <v>25974</v>
      </c>
      <c r="E145" s="17" t="n">
        <v>9190</v>
      </c>
      <c r="F145" s="17" t="n">
        <v>30976</v>
      </c>
    </row>
    <row r="146" customFormat="false" ht="15" hidden="false" customHeight="false" outlineLevel="0" collapsed="false">
      <c r="A146" s="15" t="n">
        <v>45495</v>
      </c>
      <c r="B146" s="16" t="n">
        <v>1153.57</v>
      </c>
      <c r="C146" s="17" t="n">
        <v>16997</v>
      </c>
      <c r="D146" s="17" t="n">
        <v>26452</v>
      </c>
      <c r="E146" s="17" t="n">
        <v>9245</v>
      </c>
      <c r="F146" s="17" t="n">
        <v>30877</v>
      </c>
    </row>
    <row r="147" customFormat="false" ht="15" hidden="false" customHeight="false" outlineLevel="0" collapsed="false">
      <c r="A147" s="15" t="n">
        <v>45496</v>
      </c>
      <c r="B147" s="16" t="n">
        <v>1176.68</v>
      </c>
      <c r="C147" s="17" t="n">
        <v>17182</v>
      </c>
      <c r="D147" s="17" t="n">
        <v>27252</v>
      </c>
      <c r="E147" s="17" t="n">
        <v>9381</v>
      </c>
      <c r="F147" s="17" t="n">
        <v>33008</v>
      </c>
    </row>
    <row r="148" customFormat="false" ht="15" hidden="false" customHeight="false" outlineLevel="0" collapsed="false">
      <c r="A148" s="15" t="n">
        <v>45497</v>
      </c>
      <c r="B148" s="16" t="n">
        <v>1158.64</v>
      </c>
      <c r="C148" s="17" t="n">
        <v>17002</v>
      </c>
      <c r="D148" s="17" t="n">
        <v>27185</v>
      </c>
      <c r="E148" s="17" t="n">
        <v>9306</v>
      </c>
      <c r="F148" s="17" t="n">
        <v>32145</v>
      </c>
    </row>
    <row r="149" customFormat="false" ht="15" hidden="false" customHeight="false" outlineLevel="0" collapsed="false">
      <c r="A149" s="15" t="n">
        <v>45498</v>
      </c>
      <c r="B149" s="16" t="n">
        <v>1158.28</v>
      </c>
      <c r="C149" s="17" t="n">
        <v>17219</v>
      </c>
      <c r="D149" s="17" t="n">
        <v>27241</v>
      </c>
      <c r="E149" s="17" t="n">
        <v>9168</v>
      </c>
      <c r="F149" s="17" t="n">
        <v>32321</v>
      </c>
    </row>
    <row r="150" customFormat="false" ht="15" hidden="false" customHeight="false" outlineLevel="0" collapsed="false">
      <c r="A150" s="15" t="n">
        <v>45499</v>
      </c>
      <c r="B150" s="16" t="n">
        <v>1147.2</v>
      </c>
      <c r="C150" s="17" t="n">
        <v>17141</v>
      </c>
      <c r="D150" s="17" t="n">
        <v>27096</v>
      </c>
      <c r="E150" s="17" t="n">
        <v>9087</v>
      </c>
      <c r="F150" s="17" t="n">
        <v>31299</v>
      </c>
    </row>
    <row r="151" customFormat="false" ht="15" hidden="false" customHeight="false" outlineLevel="0" collapsed="false">
      <c r="A151" s="15" t="n">
        <v>45502</v>
      </c>
      <c r="B151" s="16" t="n">
        <v>1162.91</v>
      </c>
      <c r="C151" s="17" t="n">
        <v>17177</v>
      </c>
      <c r="D151" s="17" t="n">
        <v>27641</v>
      </c>
      <c r="E151" s="17" t="n">
        <v>9096</v>
      </c>
      <c r="F151" s="17" t="n">
        <v>32405</v>
      </c>
    </row>
    <row r="152" customFormat="false" ht="15" hidden="false" customHeight="false" outlineLevel="0" collapsed="false">
      <c r="A152" s="15" t="n">
        <v>45503</v>
      </c>
      <c r="B152" s="16" t="n">
        <v>1173.89</v>
      </c>
      <c r="C152" s="17" t="n">
        <v>17306</v>
      </c>
      <c r="D152" s="17" t="n">
        <v>27886</v>
      </c>
      <c r="E152" s="17" t="n">
        <v>9078</v>
      </c>
      <c r="F152" s="17" t="n">
        <v>33439</v>
      </c>
    </row>
    <row r="153" customFormat="false" ht="15" hidden="false" customHeight="false" outlineLevel="0" collapsed="false">
      <c r="A153" s="15" t="n">
        <v>45504</v>
      </c>
      <c r="B153" s="16" t="n">
        <v>1169.58</v>
      </c>
      <c r="C153" s="17" t="n">
        <v>17392</v>
      </c>
      <c r="D153" s="17" t="n">
        <v>27902</v>
      </c>
      <c r="E153" s="17" t="n">
        <v>9058</v>
      </c>
      <c r="F153" s="17" t="n">
        <v>34339</v>
      </c>
    </row>
    <row r="154" customFormat="false" ht="15" hidden="false" customHeight="false" outlineLevel="0" collapsed="false">
      <c r="A154" s="15" t="n">
        <v>45505</v>
      </c>
      <c r="B154" s="16" t="n">
        <v>1167.62</v>
      </c>
      <c r="C154" s="17" t="n">
        <v>17207</v>
      </c>
      <c r="D154" s="17" t="n">
        <v>27715</v>
      </c>
      <c r="E154" s="17" t="n">
        <v>9025</v>
      </c>
      <c r="F154" s="17" t="n">
        <v>34021</v>
      </c>
    </row>
    <row r="155" customFormat="false" ht="15" hidden="false" customHeight="false" outlineLevel="0" collapsed="false">
      <c r="A155" s="15" t="n">
        <v>45506</v>
      </c>
      <c r="B155" s="16" t="n">
        <v>1137.15</v>
      </c>
      <c r="C155" s="17" t="n">
        <v>16718</v>
      </c>
      <c r="D155" s="17" t="n">
        <v>26540</v>
      </c>
      <c r="E155" s="17" t="n">
        <v>8696</v>
      </c>
      <c r="F155" s="17" t="n">
        <v>33420</v>
      </c>
    </row>
    <row r="156" customFormat="false" ht="15" hidden="false" customHeight="false" outlineLevel="0" collapsed="false">
      <c r="A156" s="15" t="n">
        <v>45509</v>
      </c>
      <c r="B156" s="16" t="n">
        <v>1155</v>
      </c>
      <c r="C156" s="17" t="n">
        <v>17260</v>
      </c>
      <c r="D156" s="17" t="n">
        <v>26838</v>
      </c>
      <c r="E156" s="17" t="n">
        <v>8910</v>
      </c>
      <c r="F156" s="17" t="n">
        <v>34593</v>
      </c>
    </row>
    <row r="157" customFormat="false" ht="15" hidden="false" customHeight="false" outlineLevel="0" collapsed="false">
      <c r="A157" s="15" t="n">
        <v>45510</v>
      </c>
      <c r="B157" s="16" t="n">
        <v>1177.02</v>
      </c>
      <c r="C157" s="17" t="n">
        <v>17762</v>
      </c>
      <c r="D157" s="17" t="n">
        <v>27412</v>
      </c>
      <c r="E157" s="17" t="n">
        <v>8996</v>
      </c>
      <c r="F157" s="17" t="n">
        <v>35145</v>
      </c>
    </row>
    <row r="158" customFormat="false" ht="15" hidden="false" customHeight="false" outlineLevel="0" collapsed="false">
      <c r="A158" s="15" t="n">
        <v>45511</v>
      </c>
      <c r="B158" s="16" t="n">
        <v>1164.48</v>
      </c>
      <c r="C158" s="17" t="n">
        <v>17562</v>
      </c>
      <c r="D158" s="17" t="n">
        <v>26854</v>
      </c>
      <c r="E158" s="17" t="n">
        <v>8908</v>
      </c>
      <c r="F158" s="17" t="n">
        <v>34291</v>
      </c>
    </row>
    <row r="159" customFormat="false" ht="15" hidden="false" customHeight="false" outlineLevel="0" collapsed="false">
      <c r="A159" s="15" t="n">
        <v>45512</v>
      </c>
      <c r="B159" s="16" t="n">
        <v>1170.91</v>
      </c>
      <c r="C159" s="17" t="n">
        <v>17805</v>
      </c>
      <c r="D159" s="17" t="n">
        <v>27291</v>
      </c>
      <c r="E159" s="17" t="n">
        <v>8855</v>
      </c>
      <c r="F159" s="17" t="n">
        <v>34925</v>
      </c>
    </row>
    <row r="160" customFormat="false" ht="15" hidden="false" customHeight="false" outlineLevel="0" collapsed="false">
      <c r="A160" s="15" t="n">
        <v>45513</v>
      </c>
      <c r="B160" s="16" t="n">
        <v>1157.87</v>
      </c>
      <c r="C160" s="17" t="n">
        <v>17600</v>
      </c>
      <c r="D160" s="17" t="n">
        <v>26957</v>
      </c>
      <c r="E160" s="17" t="n">
        <v>8899</v>
      </c>
      <c r="F160" s="17" t="n">
        <v>34142</v>
      </c>
    </row>
    <row r="161" customFormat="false" ht="15" hidden="false" customHeight="false" outlineLevel="0" collapsed="false">
      <c r="A161" s="15" t="n">
        <v>45516</v>
      </c>
      <c r="B161" s="16" t="n">
        <v>1158.58</v>
      </c>
      <c r="C161" s="17" t="n">
        <v>17664</v>
      </c>
      <c r="D161" s="17" t="n">
        <v>26879</v>
      </c>
      <c r="E161" s="17" t="n">
        <v>8987</v>
      </c>
      <c r="F161" s="17" t="n">
        <v>33689</v>
      </c>
    </row>
    <row r="162" customFormat="false" ht="15" hidden="false" customHeight="false" outlineLevel="0" collapsed="false">
      <c r="A162" s="15" t="n">
        <v>45517</v>
      </c>
      <c r="B162" s="16" t="n">
        <v>1152.22</v>
      </c>
      <c r="C162" s="17" t="n">
        <v>17347</v>
      </c>
      <c r="D162" s="17" t="n">
        <v>26792</v>
      </c>
      <c r="E162" s="17" t="n">
        <v>8939</v>
      </c>
      <c r="F162" s="17" t="n">
        <v>33383</v>
      </c>
    </row>
    <row r="163" customFormat="false" ht="15" hidden="false" customHeight="false" outlineLevel="0" collapsed="false">
      <c r="A163" s="15" t="n">
        <v>45518</v>
      </c>
      <c r="B163" s="16" t="n">
        <v>1160.96</v>
      </c>
      <c r="C163" s="17" t="n">
        <v>17588</v>
      </c>
      <c r="D163" s="17" t="n">
        <v>26880</v>
      </c>
      <c r="E163" s="17" t="n">
        <v>8955</v>
      </c>
      <c r="F163" s="17" t="n">
        <v>34554</v>
      </c>
    </row>
    <row r="164" customFormat="false" ht="15" hidden="false" customHeight="false" outlineLevel="0" collapsed="false">
      <c r="A164" s="15" t="n">
        <v>45519</v>
      </c>
      <c r="B164" s="16" t="n">
        <v>1172.3</v>
      </c>
      <c r="C164" s="17" t="n">
        <v>17625</v>
      </c>
      <c r="D164" s="17" t="n">
        <v>27316</v>
      </c>
      <c r="E164" s="17" t="n">
        <v>8995</v>
      </c>
      <c r="F164" s="17" t="n">
        <v>34555</v>
      </c>
    </row>
    <row r="165" customFormat="false" ht="15" hidden="false" customHeight="false" outlineLevel="0" collapsed="false">
      <c r="A165" s="15" t="n">
        <v>45520</v>
      </c>
      <c r="B165" s="16" t="n">
        <v>1184.52</v>
      </c>
      <c r="C165" s="17" t="n">
        <v>18008</v>
      </c>
      <c r="D165" s="17" t="n">
        <v>27863</v>
      </c>
      <c r="E165" s="17" t="n">
        <v>9104</v>
      </c>
      <c r="F165" s="17" t="n">
        <v>35595</v>
      </c>
    </row>
    <row r="166" customFormat="false" ht="15" hidden="false" customHeight="false" outlineLevel="0" collapsed="false">
      <c r="A166" s="15" t="n">
        <v>45523</v>
      </c>
      <c r="B166" s="16" t="n">
        <v>1180.82</v>
      </c>
      <c r="C166" s="17" t="n">
        <v>18377</v>
      </c>
      <c r="D166" s="17" t="n">
        <v>27916</v>
      </c>
      <c r="E166" s="17" t="n">
        <v>9056</v>
      </c>
      <c r="F166" s="17" t="n">
        <v>35495</v>
      </c>
    </row>
    <row r="167" customFormat="false" ht="15" hidden="false" customHeight="false" outlineLevel="0" collapsed="false">
      <c r="A167" s="15" t="n">
        <v>45524</v>
      </c>
      <c r="B167" s="16" t="n">
        <v>1200.91</v>
      </c>
      <c r="C167" s="17" t="n">
        <v>18350</v>
      </c>
      <c r="D167" s="17" t="n">
        <v>28422</v>
      </c>
      <c r="E167" s="17" t="n">
        <v>9083</v>
      </c>
      <c r="F167" s="17" t="n">
        <v>36134</v>
      </c>
    </row>
    <row r="168" customFormat="false" ht="15" hidden="false" customHeight="false" outlineLevel="0" collapsed="false">
      <c r="A168" s="15" t="n">
        <v>45525</v>
      </c>
      <c r="B168" s="16" t="n">
        <v>1211.7</v>
      </c>
      <c r="C168" s="17" t="n">
        <v>18933</v>
      </c>
      <c r="D168" s="17" t="n">
        <v>28272</v>
      </c>
      <c r="E168" s="17" t="n">
        <v>9190</v>
      </c>
      <c r="F168" s="17" t="n">
        <v>36528</v>
      </c>
    </row>
    <row r="169" customFormat="false" ht="15" hidden="false" customHeight="false" outlineLevel="0" collapsed="false">
      <c r="A169" s="15" t="n">
        <v>45526</v>
      </c>
      <c r="B169" s="16" t="n">
        <v>1211.88</v>
      </c>
      <c r="C169" s="17" t="n">
        <v>18456</v>
      </c>
      <c r="D169" s="17" t="n">
        <v>28327</v>
      </c>
      <c r="E169" s="17" t="n">
        <v>9263</v>
      </c>
      <c r="F169" s="17" t="n">
        <v>35824</v>
      </c>
    </row>
    <row r="170" customFormat="false" ht="15" hidden="false" customHeight="false" outlineLevel="0" collapsed="false">
      <c r="A170" s="15" t="n">
        <v>45527</v>
      </c>
      <c r="B170" s="16" t="n">
        <v>1218.94</v>
      </c>
      <c r="C170" s="17" t="n">
        <v>19255</v>
      </c>
      <c r="D170" s="17" t="n">
        <v>28323</v>
      </c>
      <c r="E170" s="17" t="n">
        <v>9314</v>
      </c>
      <c r="F170" s="17" t="n">
        <v>36712</v>
      </c>
    </row>
    <row r="171" customFormat="false" ht="15" hidden="false" customHeight="false" outlineLevel="0" collapsed="false">
      <c r="A171" s="15" t="n">
        <v>45530</v>
      </c>
      <c r="B171" s="16" t="n">
        <v>1220.97</v>
      </c>
      <c r="C171" s="17" t="n">
        <v>19029</v>
      </c>
      <c r="D171" s="17" t="n">
        <v>28867</v>
      </c>
      <c r="E171" s="17" t="n">
        <v>9373</v>
      </c>
      <c r="F171" s="17" t="n">
        <v>36233</v>
      </c>
    </row>
    <row r="172" customFormat="false" ht="15" hidden="false" customHeight="false" outlineLevel="0" collapsed="false">
      <c r="A172" s="15" t="n">
        <v>45531</v>
      </c>
      <c r="B172" s="16" t="n">
        <v>1215.67</v>
      </c>
      <c r="C172" s="17" t="n">
        <v>18891</v>
      </c>
      <c r="D172" s="17" t="n">
        <v>29185</v>
      </c>
      <c r="E172" s="17" t="n">
        <v>9363</v>
      </c>
      <c r="F172" s="17" t="n">
        <v>36549</v>
      </c>
    </row>
    <row r="173" customFormat="false" ht="15" hidden="false" customHeight="false" outlineLevel="0" collapsed="false">
      <c r="A173" s="15" t="n">
        <v>45532</v>
      </c>
      <c r="B173" s="16" t="n">
        <v>1217.17</v>
      </c>
      <c r="C173" s="17" t="n">
        <v>19518</v>
      </c>
      <c r="D173" s="17" t="n">
        <v>28755</v>
      </c>
      <c r="E173" s="17" t="n">
        <v>9351</v>
      </c>
      <c r="F173" s="17" t="n">
        <v>37338</v>
      </c>
    </row>
    <row r="174" customFormat="false" ht="15" hidden="false" customHeight="false" outlineLevel="0" collapsed="false">
      <c r="A174" s="15" t="n">
        <v>45533</v>
      </c>
      <c r="B174" s="16" t="n">
        <v>1230.06</v>
      </c>
      <c r="C174" s="17" t="n">
        <v>19468</v>
      </c>
      <c r="D174" s="17" t="n">
        <v>28636</v>
      </c>
      <c r="E174" s="17" t="n">
        <v>9416</v>
      </c>
      <c r="F174" s="17" t="n">
        <v>37787</v>
      </c>
    </row>
    <row r="175" customFormat="false" ht="15" hidden="false" customHeight="false" outlineLevel="0" collapsed="false">
      <c r="A175" s="15" t="n">
        <v>45534</v>
      </c>
      <c r="B175" s="16" t="n">
        <v>1232.68</v>
      </c>
      <c r="C175" s="17" t="n">
        <v>19667</v>
      </c>
      <c r="D175" s="17" t="n">
        <v>28837</v>
      </c>
      <c r="E175" s="17" t="n">
        <v>9342</v>
      </c>
      <c r="F175" s="17" t="n">
        <v>40066</v>
      </c>
    </row>
    <row r="176" customFormat="false" ht="15" hidden="false" customHeight="false" outlineLevel="0" collapsed="false">
      <c r="A176" s="15" t="n">
        <v>45537</v>
      </c>
      <c r="B176" s="16" t="n">
        <v>1231.34</v>
      </c>
      <c r="C176" s="17" t="n">
        <v>19726</v>
      </c>
      <c r="D176" s="17" t="n">
        <v>28674</v>
      </c>
      <c r="E176" s="17" t="n">
        <v>9392</v>
      </c>
      <c r="F176" s="17" t="n">
        <v>39991</v>
      </c>
    </row>
    <row r="177" customFormat="false" ht="15" hidden="false" customHeight="false" outlineLevel="0" collapsed="false">
      <c r="A177" s="15" t="n">
        <v>45538</v>
      </c>
      <c r="B177" s="16" t="n">
        <v>1234.16</v>
      </c>
      <c r="C177" s="17" t="n">
        <v>19656</v>
      </c>
      <c r="D177" s="17" t="n">
        <v>28716</v>
      </c>
      <c r="E177" s="17" t="n">
        <v>9330</v>
      </c>
      <c r="F177" s="17" t="n">
        <v>39680</v>
      </c>
    </row>
    <row r="178" customFormat="false" ht="15" hidden="false" customHeight="false" outlineLevel="0" collapsed="false">
      <c r="A178" s="15" t="n">
        <v>45539</v>
      </c>
      <c r="B178" s="16" t="n">
        <v>1237.44</v>
      </c>
      <c r="C178" s="17" t="n">
        <v>20133</v>
      </c>
      <c r="D178" s="17" t="n">
        <v>28310</v>
      </c>
      <c r="E178" s="17" t="n">
        <v>9422</v>
      </c>
      <c r="F178" s="17" t="n">
        <v>40817</v>
      </c>
    </row>
    <row r="179" customFormat="false" ht="15" hidden="false" customHeight="false" outlineLevel="0" collapsed="false">
      <c r="A179" s="15" t="n">
        <v>45540</v>
      </c>
      <c r="B179" s="16" t="n">
        <v>1243.47</v>
      </c>
      <c r="C179" s="17" t="n">
        <v>20247</v>
      </c>
      <c r="D179" s="17" t="n">
        <v>28656</v>
      </c>
      <c r="E179" s="17" t="n">
        <v>9651</v>
      </c>
      <c r="F179" s="17" t="n">
        <v>39677</v>
      </c>
    </row>
    <row r="180" customFormat="false" ht="15" hidden="false" customHeight="false" outlineLevel="0" collapsed="false">
      <c r="A180" s="15" t="n">
        <v>45541</v>
      </c>
      <c r="B180" s="16" t="n">
        <v>1231.46</v>
      </c>
      <c r="C180" s="17" t="n">
        <v>19664</v>
      </c>
      <c r="D180" s="17" t="n">
        <v>28571</v>
      </c>
      <c r="E180" s="17" t="n">
        <v>9568</v>
      </c>
      <c r="F180" s="17" t="n">
        <v>38761</v>
      </c>
    </row>
    <row r="181" customFormat="false" ht="15" hidden="false" customHeight="false" outlineLevel="0" collapsed="false">
      <c r="A181" s="15" t="n">
        <v>45544</v>
      </c>
      <c r="B181" s="16" t="n">
        <v>1241.75</v>
      </c>
      <c r="C181" s="17" t="n">
        <v>19493</v>
      </c>
      <c r="D181" s="17" t="n">
        <v>28725</v>
      </c>
      <c r="E181" s="17" t="n">
        <v>9664</v>
      </c>
      <c r="F181" s="17" t="n">
        <v>39439</v>
      </c>
    </row>
    <row r="182" customFormat="false" ht="15" hidden="false" customHeight="false" outlineLevel="0" collapsed="false">
      <c r="A182" s="15" t="n">
        <v>45545</v>
      </c>
      <c r="B182" s="16" t="n">
        <v>1251.54</v>
      </c>
      <c r="C182" s="17" t="n">
        <v>19781</v>
      </c>
      <c r="D182" s="17" t="n">
        <v>28605</v>
      </c>
      <c r="E182" s="17" t="n">
        <v>9758</v>
      </c>
      <c r="F182" s="17" t="n">
        <v>40108</v>
      </c>
    </row>
    <row r="183" customFormat="false" ht="15" hidden="false" customHeight="false" outlineLevel="0" collapsed="false">
      <c r="A183" s="15" t="n">
        <v>45546</v>
      </c>
      <c r="B183" s="16" t="n">
        <v>1258.9</v>
      </c>
      <c r="C183" s="17" t="n">
        <v>20125</v>
      </c>
      <c r="D183" s="17" t="n">
        <v>29360</v>
      </c>
      <c r="E183" s="17" t="n">
        <v>9842</v>
      </c>
      <c r="F183" s="17" t="n">
        <v>41152</v>
      </c>
    </row>
    <row r="184" customFormat="false" ht="15" hidden="false" customHeight="false" outlineLevel="0" collapsed="false">
      <c r="A184" s="15" t="n">
        <v>45547</v>
      </c>
      <c r="B184" s="16" t="n">
        <v>1253.54</v>
      </c>
      <c r="C184" s="17" t="n">
        <v>19941</v>
      </c>
      <c r="D184" s="17" t="n">
        <v>29311</v>
      </c>
      <c r="E184" s="17" t="n">
        <v>9790</v>
      </c>
      <c r="F184" s="17" t="n">
        <v>40921</v>
      </c>
    </row>
    <row r="185" customFormat="false" ht="15" hidden="false" customHeight="false" outlineLevel="0" collapsed="false">
      <c r="A185" s="15" t="n">
        <v>45548</v>
      </c>
      <c r="B185" s="16" t="n">
        <v>1249.48</v>
      </c>
      <c r="C185" s="17" t="n">
        <v>19808</v>
      </c>
      <c r="D185" s="17" t="n">
        <v>29073</v>
      </c>
      <c r="E185" s="17" t="n">
        <v>9796</v>
      </c>
      <c r="F185" s="17" t="n">
        <v>39791</v>
      </c>
    </row>
    <row r="186" customFormat="false" ht="15" hidden="false" customHeight="false" outlineLevel="0" collapsed="false">
      <c r="A186" s="15" t="n">
        <v>45551</v>
      </c>
      <c r="B186" s="16" t="n">
        <v>1254.99</v>
      </c>
      <c r="C186" s="17" t="n">
        <v>20078</v>
      </c>
      <c r="D186" s="17" t="n">
        <v>29896</v>
      </c>
      <c r="E186" s="17" t="n">
        <v>9921</v>
      </c>
      <c r="F186" s="17" t="n">
        <v>40258</v>
      </c>
    </row>
    <row r="187" customFormat="false" ht="15" hidden="false" customHeight="false" outlineLevel="0" collapsed="false">
      <c r="A187" s="15" t="n">
        <v>45552</v>
      </c>
      <c r="B187" s="16" t="n">
        <v>1253.83</v>
      </c>
      <c r="C187" s="17" t="n">
        <v>20043</v>
      </c>
      <c r="D187" s="17" t="n">
        <v>29903</v>
      </c>
      <c r="E187" s="17" t="n">
        <v>9929</v>
      </c>
      <c r="F187" s="17" t="n">
        <v>40114</v>
      </c>
    </row>
    <row r="188" customFormat="false" ht="15" hidden="false" customHeight="false" outlineLevel="0" collapsed="false">
      <c r="A188" s="15" t="n">
        <v>45553</v>
      </c>
      <c r="B188" s="16" t="n">
        <v>1243.49</v>
      </c>
      <c r="C188" s="17" t="n">
        <v>20372</v>
      </c>
      <c r="D188" s="17" t="n">
        <v>29750</v>
      </c>
      <c r="E188" s="17" t="n">
        <v>9825</v>
      </c>
      <c r="F188" s="17" t="n">
        <v>39742</v>
      </c>
    </row>
    <row r="189" customFormat="false" ht="15" hidden="false" customHeight="false" outlineLevel="0" collapsed="false">
      <c r="A189" s="15" t="n">
        <v>45554</v>
      </c>
      <c r="B189" s="16" t="n">
        <v>1241.54</v>
      </c>
      <c r="C189" s="17" t="n">
        <v>20253</v>
      </c>
      <c r="D189" s="17" t="n">
        <v>29915</v>
      </c>
      <c r="E189" s="17" t="n">
        <v>9906</v>
      </c>
      <c r="F189" s="17" t="n">
        <v>40959</v>
      </c>
    </row>
    <row r="190" customFormat="false" ht="15" hidden="false" customHeight="false" outlineLevel="0" collapsed="false">
      <c r="A190" s="15" t="n">
        <v>45555</v>
      </c>
      <c r="B190" s="16" t="n">
        <v>1244.35</v>
      </c>
      <c r="C190" s="17" t="n">
        <v>20226</v>
      </c>
      <c r="D190" s="17" t="n">
        <v>29923</v>
      </c>
      <c r="E190" s="17" t="n">
        <v>9897</v>
      </c>
      <c r="F190" s="17" t="n">
        <v>41396</v>
      </c>
    </row>
    <row r="191" customFormat="false" ht="15" hidden="false" customHeight="false" outlineLevel="0" collapsed="false">
      <c r="A191" s="15" t="n">
        <v>45558</v>
      </c>
      <c r="B191" s="16" t="n">
        <v>1248.15</v>
      </c>
      <c r="C191" s="17" t="n">
        <v>20433</v>
      </c>
      <c r="D191" s="17" t="n">
        <v>29829</v>
      </c>
      <c r="E191" s="17" t="n">
        <v>9942</v>
      </c>
      <c r="F191" s="17" t="n">
        <v>41777</v>
      </c>
    </row>
    <row r="192" customFormat="false" ht="15" hidden="false" customHeight="false" outlineLevel="0" collapsed="false">
      <c r="A192" s="15" t="n">
        <v>45559</v>
      </c>
      <c r="B192" s="16" t="n">
        <v>1249.18</v>
      </c>
      <c r="C192" s="17" t="n">
        <v>20435</v>
      </c>
      <c r="D192" s="17" t="n">
        <v>29925</v>
      </c>
      <c r="E192" s="17" t="n">
        <v>9924</v>
      </c>
      <c r="F192" s="17" t="n">
        <v>41210</v>
      </c>
    </row>
    <row r="193" customFormat="false" ht="15" hidden="false" customHeight="false" outlineLevel="0" collapsed="false">
      <c r="A193" s="15" t="n">
        <v>45560</v>
      </c>
      <c r="B193" s="16" t="n">
        <v>1245.33</v>
      </c>
      <c r="C193" s="17" t="n">
        <v>20463</v>
      </c>
      <c r="D193" s="17" t="n">
        <v>29866</v>
      </c>
      <c r="E193" s="17" t="n">
        <v>9919</v>
      </c>
      <c r="F193" s="17" t="n">
        <v>41568</v>
      </c>
    </row>
    <row r="194" customFormat="false" ht="15" hidden="false" customHeight="false" outlineLevel="0" collapsed="false">
      <c r="A194" s="15" t="n">
        <v>45561</v>
      </c>
      <c r="B194" s="16" t="n">
        <v>1236.93</v>
      </c>
      <c r="C194" s="17" t="n">
        <v>20092</v>
      </c>
      <c r="D194" s="17" t="n">
        <v>29832</v>
      </c>
      <c r="E194" s="17" t="n">
        <v>9895</v>
      </c>
      <c r="F194" s="17" t="n">
        <v>41204</v>
      </c>
    </row>
    <row r="195" customFormat="false" ht="15" hidden="false" customHeight="false" outlineLevel="0" collapsed="false">
      <c r="A195" s="15" t="n">
        <v>45562</v>
      </c>
      <c r="B195" s="16" t="n">
        <v>1234.77</v>
      </c>
      <c r="C195" s="17" t="n">
        <v>19610</v>
      </c>
      <c r="D195" s="17" t="n">
        <v>29611</v>
      </c>
      <c r="E195" s="17" t="n">
        <v>9881</v>
      </c>
      <c r="F195" s="17" t="n">
        <v>41557</v>
      </c>
    </row>
    <row r="196" customFormat="false" ht="15" hidden="false" customHeight="false" outlineLevel="0" collapsed="false">
      <c r="A196" s="15" t="n">
        <v>45565</v>
      </c>
      <c r="B196" s="16" t="n">
        <v>1238.05</v>
      </c>
      <c r="C196" s="17" t="n">
        <v>19895</v>
      </c>
      <c r="D196" s="17" t="n">
        <v>29861</v>
      </c>
      <c r="E196" s="17" t="n">
        <v>9874</v>
      </c>
      <c r="F196" s="17" t="n">
        <v>41873</v>
      </c>
    </row>
    <row r="197" customFormat="false" ht="15" hidden="false" customHeight="false" outlineLevel="0" collapsed="false">
      <c r="A197" s="15" t="n">
        <v>45566</v>
      </c>
      <c r="B197" s="16" t="n">
        <v>1243.85</v>
      </c>
      <c r="C197" s="17" t="n">
        <v>19936</v>
      </c>
      <c r="D197" s="17" t="n">
        <v>29944</v>
      </c>
      <c r="E197" s="17" t="n">
        <v>9953</v>
      </c>
      <c r="F197" s="17" t="n">
        <v>42003</v>
      </c>
    </row>
    <row r="198" customFormat="false" ht="15" hidden="false" customHeight="false" outlineLevel="0" collapsed="false">
      <c r="A198" s="15" t="n">
        <v>45567</v>
      </c>
      <c r="B198" s="16" t="n">
        <v>1241.52</v>
      </c>
      <c r="C198" s="17" t="n">
        <v>19723</v>
      </c>
      <c r="D198" s="17" t="n">
        <v>29759</v>
      </c>
      <c r="E198" s="17" t="n">
        <v>9974</v>
      </c>
      <c r="F198" s="17" t="n">
        <v>41481</v>
      </c>
    </row>
    <row r="199" customFormat="false" ht="15" hidden="false" customHeight="false" outlineLevel="0" collapsed="false">
      <c r="A199" s="15" t="n">
        <v>45568</v>
      </c>
      <c r="B199" s="16" t="n">
        <v>1241.56</v>
      </c>
      <c r="C199" s="17" t="n">
        <v>19692</v>
      </c>
      <c r="D199" s="17" t="n">
        <v>29490</v>
      </c>
      <c r="E199" s="17" t="n">
        <v>10067</v>
      </c>
      <c r="F199" s="17" t="n">
        <v>42759</v>
      </c>
    </row>
    <row r="200" customFormat="false" ht="15" hidden="false" customHeight="false" outlineLevel="0" collapsed="false">
      <c r="A200" s="15" t="n">
        <v>45569</v>
      </c>
      <c r="B200" s="16" t="n">
        <v>1245.14</v>
      </c>
      <c r="C200" s="17" t="n">
        <v>19869</v>
      </c>
      <c r="D200" s="17" t="n">
        <v>29440</v>
      </c>
      <c r="E200" s="17" t="n">
        <v>10014</v>
      </c>
      <c r="F200" s="17" t="n">
        <v>40732</v>
      </c>
    </row>
    <row r="201" customFormat="false" ht="15" hidden="false" customHeight="false" outlineLevel="0" collapsed="false">
      <c r="A201" s="15" t="n">
        <v>45572</v>
      </c>
      <c r="B201" s="16" t="n">
        <v>1242.91</v>
      </c>
      <c r="C201" s="17" t="n">
        <v>19915</v>
      </c>
      <c r="D201" s="17" t="n">
        <v>29411</v>
      </c>
      <c r="E201" s="17" t="n">
        <v>10012</v>
      </c>
      <c r="F201" s="17" t="n">
        <v>40826</v>
      </c>
    </row>
    <row r="202" customFormat="false" ht="15" hidden="false" customHeight="false" outlineLevel="0" collapsed="false">
      <c r="A202" s="15" t="n">
        <v>45573</v>
      </c>
      <c r="B202" s="16" t="n">
        <v>1245.4</v>
      </c>
      <c r="C202" s="17" t="n">
        <v>19951</v>
      </c>
      <c r="D202" s="17" t="n">
        <v>29624</v>
      </c>
      <c r="E202" s="17" t="n">
        <v>10166</v>
      </c>
      <c r="F202" s="17" t="n">
        <v>40405</v>
      </c>
    </row>
    <row r="203" customFormat="false" ht="15" hidden="false" customHeight="false" outlineLevel="0" collapsed="false">
      <c r="A203" s="15" t="n">
        <v>45574</v>
      </c>
      <c r="B203" s="16" t="n">
        <v>1248.35</v>
      </c>
      <c r="C203" s="17" t="n">
        <v>20594</v>
      </c>
      <c r="D203" s="17" t="n">
        <v>29668</v>
      </c>
      <c r="E203" s="17" t="n">
        <v>10166</v>
      </c>
      <c r="F203" s="17" t="n">
        <v>40838</v>
      </c>
    </row>
    <row r="204" customFormat="false" ht="15" hidden="false" customHeight="false" outlineLevel="0" collapsed="false">
      <c r="A204" s="15" t="n">
        <v>45575</v>
      </c>
      <c r="B204" s="16" t="n">
        <v>1255.44</v>
      </c>
      <c r="C204" s="17" t="n">
        <v>20988</v>
      </c>
      <c r="D204" s="17" t="n">
        <v>29844</v>
      </c>
      <c r="E204" s="17" t="n">
        <v>10077</v>
      </c>
      <c r="F204" s="17" t="n">
        <v>39766</v>
      </c>
    </row>
    <row r="205" customFormat="false" ht="15" hidden="false" customHeight="false" outlineLevel="0" collapsed="false">
      <c r="A205" s="15" t="n">
        <v>45576</v>
      </c>
      <c r="B205" s="16" t="n">
        <v>1250.3</v>
      </c>
      <c r="C205" s="17" t="n">
        <v>21124</v>
      </c>
      <c r="D205" s="17" t="n">
        <v>29598</v>
      </c>
      <c r="E205" s="17" t="n">
        <v>10087</v>
      </c>
      <c r="F205" s="17" t="n">
        <v>40138</v>
      </c>
    </row>
    <row r="206" customFormat="false" ht="15" hidden="false" customHeight="false" outlineLevel="0" collapsed="false">
      <c r="A206" s="15" t="n">
        <v>45579</v>
      </c>
      <c r="B206" s="16" t="n">
        <v>1254.55</v>
      </c>
      <c r="C206" s="17" t="n">
        <v>21193</v>
      </c>
      <c r="D206" s="17" t="n">
        <v>29590</v>
      </c>
      <c r="E206" s="17" t="n">
        <v>10197</v>
      </c>
      <c r="F206" s="17" t="n">
        <v>40541</v>
      </c>
    </row>
    <row r="207" customFormat="false" ht="15" hidden="false" customHeight="false" outlineLevel="0" collapsed="false">
      <c r="A207" s="15" t="n">
        <v>45580</v>
      </c>
      <c r="B207" s="16" t="n">
        <v>1259.57</v>
      </c>
      <c r="C207" s="17" t="n">
        <v>21283</v>
      </c>
      <c r="D207" s="17" t="n">
        <v>29306</v>
      </c>
      <c r="E207" s="17" t="n">
        <v>10240</v>
      </c>
      <c r="F207" s="17" t="n">
        <v>39846</v>
      </c>
    </row>
    <row r="208" customFormat="false" ht="15" hidden="false" customHeight="false" outlineLevel="0" collapsed="false">
      <c r="A208" s="15" t="n">
        <v>45581</v>
      </c>
      <c r="B208" s="16" t="n">
        <v>1260.08</v>
      </c>
      <c r="C208" s="17" t="n">
        <v>21312</v>
      </c>
      <c r="D208" s="17" t="n">
        <v>28865</v>
      </c>
      <c r="E208" s="17" t="n">
        <v>10257</v>
      </c>
      <c r="F208" s="17" t="n">
        <v>38569</v>
      </c>
    </row>
    <row r="209" customFormat="false" ht="15" hidden="false" customHeight="false" outlineLevel="0" collapsed="false">
      <c r="A209" s="15" t="n">
        <v>45582</v>
      </c>
      <c r="B209" s="16" t="n">
        <v>1276.38</v>
      </c>
      <c r="C209" s="17" t="n">
        <v>21617</v>
      </c>
      <c r="D209" s="17" t="n">
        <v>29006</v>
      </c>
      <c r="E209" s="17" t="n">
        <v>10175</v>
      </c>
      <c r="F209" s="17" t="n">
        <v>39228</v>
      </c>
    </row>
    <row r="210" customFormat="false" ht="15" hidden="false" customHeight="false" outlineLevel="0" collapsed="false">
      <c r="A210" s="15" t="n">
        <v>45583</v>
      </c>
      <c r="B210" s="16" t="n">
        <v>1272.53</v>
      </c>
      <c r="C210" s="17" t="n">
        <v>21370</v>
      </c>
      <c r="D210" s="17" t="n">
        <v>28795</v>
      </c>
      <c r="E210" s="17" t="n">
        <v>10266</v>
      </c>
      <c r="F210" s="17" t="n">
        <v>38327</v>
      </c>
    </row>
    <row r="211" customFormat="false" ht="15" hidden="false" customHeight="false" outlineLevel="0" collapsed="false">
      <c r="A211" s="15" t="n">
        <v>45586</v>
      </c>
      <c r="B211" s="16" t="n">
        <v>1279.54</v>
      </c>
      <c r="C211" s="17" t="n">
        <v>21688</v>
      </c>
      <c r="D211" s="17" t="n">
        <v>28874</v>
      </c>
      <c r="E211" s="17" t="n">
        <v>10417</v>
      </c>
      <c r="F211" s="17" t="n">
        <v>38252</v>
      </c>
    </row>
    <row r="212" customFormat="false" ht="15" hidden="false" customHeight="false" outlineLevel="0" collapsed="false">
      <c r="A212" s="15" t="n">
        <v>45587</v>
      </c>
      <c r="B212" s="16" t="n">
        <v>1277.27</v>
      </c>
      <c r="C212" s="17" t="n">
        <v>21029</v>
      </c>
      <c r="D212" s="17" t="n">
        <v>28790</v>
      </c>
      <c r="E212" s="17" t="n">
        <v>10530</v>
      </c>
      <c r="F212" s="17" t="n">
        <v>38456</v>
      </c>
    </row>
    <row r="213" customFormat="false" ht="15" hidden="false" customHeight="false" outlineLevel="0" collapsed="false">
      <c r="A213" s="15" t="n">
        <v>45588</v>
      </c>
      <c r="B213" s="16" t="n">
        <v>1277.6</v>
      </c>
      <c r="C213" s="17" t="n">
        <v>21335</v>
      </c>
      <c r="D213" s="17" t="n">
        <v>28736</v>
      </c>
      <c r="E213" s="17" t="n">
        <v>10343</v>
      </c>
      <c r="F213" s="17" t="n">
        <v>37995</v>
      </c>
    </row>
    <row r="214" customFormat="false" ht="15" hidden="false" customHeight="false" outlineLevel="0" collapsed="false">
      <c r="A214" s="15" t="n">
        <v>45589</v>
      </c>
      <c r="B214" s="16" t="n">
        <v>1276.63</v>
      </c>
      <c r="C214" s="17" t="n">
        <v>21190</v>
      </c>
      <c r="D214" s="17" t="n">
        <v>28709</v>
      </c>
      <c r="E214" s="17" t="n">
        <v>10252</v>
      </c>
      <c r="F214" s="17" t="n">
        <v>38281</v>
      </c>
    </row>
    <row r="215" customFormat="false" ht="15" hidden="false" customHeight="false" outlineLevel="0" collapsed="false">
      <c r="A215" s="15" t="n">
        <v>45590</v>
      </c>
      <c r="B215" s="16" t="n">
        <v>1278.95</v>
      </c>
      <c r="C215" s="17" t="n">
        <v>21145</v>
      </c>
      <c r="D215" s="17" t="n">
        <v>28726</v>
      </c>
      <c r="E215" s="17" t="n">
        <v>10228</v>
      </c>
      <c r="F215" s="17" t="n">
        <v>38822</v>
      </c>
    </row>
    <row r="216" customFormat="false" ht="15" hidden="false" customHeight="false" outlineLevel="0" collapsed="false">
      <c r="A216" s="15" t="n">
        <v>45593</v>
      </c>
      <c r="B216" s="16" t="n">
        <v>1284.01</v>
      </c>
      <c r="C216" s="17" t="n">
        <v>21416</v>
      </c>
      <c r="D216" s="17" t="n">
        <v>28280</v>
      </c>
      <c r="E216" s="17" t="n">
        <v>10258</v>
      </c>
      <c r="F216" s="17" t="n">
        <v>38969</v>
      </c>
    </row>
    <row r="217" customFormat="false" ht="15" hidden="false" customHeight="false" outlineLevel="0" collapsed="false">
      <c r="A217" s="15" t="n">
        <v>45594</v>
      </c>
      <c r="B217" s="16" t="n">
        <v>1293.05</v>
      </c>
      <c r="C217" s="17" t="n">
        <v>21244</v>
      </c>
      <c r="D217" s="17" t="n">
        <v>28428</v>
      </c>
      <c r="E217" s="17" t="n">
        <v>10248</v>
      </c>
      <c r="F217" s="17" t="n">
        <v>40035</v>
      </c>
    </row>
    <row r="218" customFormat="false" ht="15" hidden="false" customHeight="false" outlineLevel="0" collapsed="false">
      <c r="A218" s="15" t="n">
        <v>45595</v>
      </c>
      <c r="B218" s="16" t="n">
        <v>1308.38</v>
      </c>
      <c r="C218" s="17" t="n">
        <v>21601</v>
      </c>
      <c r="D218" s="17" t="n">
        <v>28967</v>
      </c>
      <c r="E218" s="17" t="n">
        <v>10304</v>
      </c>
      <c r="F218" s="17" t="n">
        <v>41467</v>
      </c>
    </row>
    <row r="219" customFormat="false" ht="15" hidden="false" customHeight="false" outlineLevel="0" collapsed="false">
      <c r="A219" s="15" t="n">
        <v>45596</v>
      </c>
      <c r="B219" s="16" t="n">
        <v>1312.32</v>
      </c>
      <c r="C219" s="17" t="n">
        <v>21823</v>
      </c>
      <c r="D219" s="17" t="n">
        <v>28982</v>
      </c>
      <c r="E219" s="17" t="n">
        <v>10432</v>
      </c>
      <c r="F219" s="17" t="n">
        <v>41358</v>
      </c>
    </row>
    <row r="220" customFormat="false" ht="15" hidden="false" customHeight="false" outlineLevel="0" collapsed="false">
      <c r="A220" s="15" t="n">
        <v>45597</v>
      </c>
      <c r="B220" s="16" t="n">
        <v>1311.13</v>
      </c>
      <c r="C220" s="17" t="n">
        <v>21428</v>
      </c>
      <c r="D220" s="17" t="n">
        <v>28819</v>
      </c>
      <c r="E220" s="17" t="n">
        <v>10466</v>
      </c>
      <c r="F220" s="17" t="n">
        <v>40578</v>
      </c>
    </row>
    <row r="221" customFormat="false" ht="15" hidden="false" customHeight="false" outlineLevel="0" collapsed="false">
      <c r="A221" s="15" t="n">
        <v>45600</v>
      </c>
      <c r="B221" s="16" t="n">
        <v>1309.69</v>
      </c>
      <c r="C221" s="17" t="n">
        <v>21567</v>
      </c>
      <c r="D221" s="17" t="n">
        <v>29135</v>
      </c>
      <c r="E221" s="17" t="n">
        <v>10486</v>
      </c>
      <c r="F221" s="17" t="n">
        <v>38916</v>
      </c>
    </row>
    <row r="222" customFormat="false" ht="15" hidden="false" customHeight="false" outlineLevel="0" collapsed="false">
      <c r="A222" s="15" t="n">
        <v>45601</v>
      </c>
      <c r="B222" s="16" t="n">
        <v>1309.86</v>
      </c>
      <c r="C222" s="17" t="n">
        <v>21628</v>
      </c>
      <c r="D222" s="17" t="n">
        <v>28905</v>
      </c>
      <c r="E222" s="17" t="n">
        <v>10409</v>
      </c>
      <c r="F222" s="17" t="n">
        <v>38460</v>
      </c>
    </row>
    <row r="223" customFormat="false" ht="15" hidden="false" customHeight="false" outlineLevel="0" collapsed="false">
      <c r="A223" s="15" t="n">
        <v>45602</v>
      </c>
      <c r="B223" s="16" t="n">
        <v>1313.48</v>
      </c>
      <c r="C223" s="17" t="n">
        <v>21801</v>
      </c>
      <c r="D223" s="17" t="n">
        <v>28979</v>
      </c>
      <c r="E223" s="17" t="n">
        <v>10488</v>
      </c>
      <c r="F223" s="17" t="n">
        <v>38207</v>
      </c>
    </row>
    <row r="224" customFormat="false" ht="15" hidden="false" customHeight="false" outlineLevel="0" collapsed="false">
      <c r="A224" s="15" t="n">
        <v>45603</v>
      </c>
      <c r="B224" s="16" t="n">
        <v>1318.24</v>
      </c>
      <c r="C224" s="17" t="n">
        <v>22326</v>
      </c>
      <c r="D224" s="17" t="n">
        <v>28639</v>
      </c>
      <c r="E224" s="17" t="n">
        <v>10583</v>
      </c>
      <c r="F224" s="17" t="n">
        <v>37750</v>
      </c>
    </row>
    <row r="225" customFormat="false" ht="15" hidden="false" customHeight="false" outlineLevel="0" collapsed="false">
      <c r="A225" s="15" t="n">
        <v>45604</v>
      </c>
      <c r="B225" s="16" t="n">
        <v>1317.47</v>
      </c>
      <c r="C225" s="17" t="n">
        <v>22389</v>
      </c>
      <c r="D225" s="17" t="n">
        <v>28360</v>
      </c>
      <c r="E225" s="17" t="n">
        <v>10896</v>
      </c>
      <c r="F225" s="17" t="n">
        <v>37812</v>
      </c>
    </row>
    <row r="226" customFormat="false" ht="15" hidden="false" customHeight="false" outlineLevel="0" collapsed="false">
      <c r="A226" s="15" t="n">
        <v>45607</v>
      </c>
      <c r="B226" s="16" t="n">
        <v>1320.11</v>
      </c>
      <c r="C226" s="17" t="n">
        <v>22003</v>
      </c>
      <c r="D226" s="17" t="n">
        <v>28603</v>
      </c>
      <c r="E226" s="17" t="n">
        <v>10965</v>
      </c>
      <c r="F226" s="17" t="n">
        <v>37330</v>
      </c>
    </row>
    <row r="227" customFormat="false" ht="15" hidden="false" customHeight="false" outlineLevel="0" collapsed="false">
      <c r="A227" s="15" t="n">
        <v>45608</v>
      </c>
      <c r="B227" s="16" t="n">
        <v>1324.94</v>
      </c>
      <c r="C227" s="17" t="n">
        <v>22140</v>
      </c>
      <c r="D227" s="17" t="n">
        <v>29170</v>
      </c>
      <c r="E227" s="17" t="n">
        <v>11061</v>
      </c>
      <c r="F227" s="17" t="n">
        <v>37272</v>
      </c>
    </row>
    <row r="228" customFormat="false" ht="15" hidden="false" customHeight="false" outlineLevel="0" collapsed="false">
      <c r="A228" s="15" t="n">
        <v>45609</v>
      </c>
      <c r="B228" s="16" t="n">
        <v>1316.92</v>
      </c>
      <c r="C228" s="17" t="n">
        <v>21983</v>
      </c>
      <c r="D228" s="17" t="n">
        <v>29094</v>
      </c>
      <c r="E228" s="17" t="n">
        <v>11049</v>
      </c>
      <c r="F228" s="17" t="n">
        <v>36783</v>
      </c>
    </row>
    <row r="229" customFormat="false" ht="15" hidden="false" customHeight="false" outlineLevel="0" collapsed="false">
      <c r="A229" s="15" t="n">
        <v>45610</v>
      </c>
      <c r="B229" s="16" t="n">
        <v>1310.22</v>
      </c>
      <c r="C229" s="17" t="n">
        <v>21429</v>
      </c>
      <c r="D229" s="17" t="n">
        <v>28814</v>
      </c>
      <c r="E229" s="17" t="n">
        <v>10904</v>
      </c>
      <c r="F229" s="17" t="n">
        <v>36214</v>
      </c>
    </row>
    <row r="230" customFormat="false" ht="15" hidden="false" customHeight="false" outlineLevel="0" collapsed="false">
      <c r="A230" s="15" t="n">
        <v>45611</v>
      </c>
      <c r="B230" s="16" t="n">
        <v>1309.26</v>
      </c>
      <c r="C230" s="17" t="n">
        <v>21391</v>
      </c>
      <c r="D230" s="17" t="n">
        <v>28814</v>
      </c>
      <c r="E230" s="17" t="n">
        <v>10832</v>
      </c>
      <c r="F230" s="17" t="n">
        <v>35823</v>
      </c>
    </row>
    <row r="231" customFormat="false" ht="15" hidden="false" customHeight="false" outlineLevel="0" collapsed="false">
      <c r="A231" s="15" t="n">
        <v>45614</v>
      </c>
      <c r="B231" s="16" t="n">
        <v>1305.69</v>
      </c>
      <c r="C231" s="17" t="n">
        <v>21514</v>
      </c>
      <c r="D231" s="17" t="n">
        <v>28829</v>
      </c>
      <c r="E231" s="17" t="n">
        <v>10910</v>
      </c>
      <c r="F231" s="17" t="n">
        <v>35358</v>
      </c>
    </row>
    <row r="232" customFormat="false" ht="15" hidden="false" customHeight="false" outlineLevel="0" collapsed="false">
      <c r="A232" s="15" t="n">
        <v>45615</v>
      </c>
      <c r="B232" s="16" t="n">
        <v>1297.4</v>
      </c>
      <c r="C232" s="17" t="n">
        <v>21227</v>
      </c>
      <c r="D232" s="17" t="n">
        <v>28674</v>
      </c>
      <c r="E232" s="17" t="n">
        <v>10868</v>
      </c>
      <c r="F232" s="17" t="n">
        <v>34808</v>
      </c>
    </row>
    <row r="233" customFormat="false" ht="15" hidden="false" customHeight="false" outlineLevel="0" collapsed="false">
      <c r="A233" s="15" t="n">
        <v>45616</v>
      </c>
      <c r="B233" s="16" t="n">
        <v>1293.56</v>
      </c>
      <c r="C233" s="17" t="n">
        <v>21445</v>
      </c>
      <c r="D233" s="17" t="n">
        <v>28649</v>
      </c>
      <c r="E233" s="17" t="n">
        <v>10906</v>
      </c>
      <c r="F233" s="17" t="n">
        <v>34351</v>
      </c>
    </row>
    <row r="234" customFormat="false" ht="15" hidden="false" customHeight="false" outlineLevel="0" collapsed="false">
      <c r="A234" s="15" t="n">
        <v>45617</v>
      </c>
      <c r="B234" s="16" t="n">
        <v>1295</v>
      </c>
      <c r="C234" s="17" t="n">
        <v>21375</v>
      </c>
      <c r="D234" s="17" t="n">
        <v>28627</v>
      </c>
      <c r="E234" s="17" t="n">
        <v>10800</v>
      </c>
      <c r="F234" s="17" t="n">
        <v>34312</v>
      </c>
    </row>
    <row r="235" customFormat="false" ht="15" hidden="false" customHeight="false" outlineLevel="0" collapsed="false">
      <c r="A235" s="15" t="n">
        <v>45618</v>
      </c>
      <c r="B235" s="16" t="n">
        <v>1294.47</v>
      </c>
      <c r="C235" s="17" t="n">
        <v>21195</v>
      </c>
      <c r="D235" s="17" t="n">
        <v>28662</v>
      </c>
      <c r="E235" s="17" t="n">
        <v>10691</v>
      </c>
      <c r="F235" s="17" t="n">
        <v>33681</v>
      </c>
    </row>
    <row r="236" customFormat="false" ht="15" hidden="false" customHeight="false" outlineLevel="0" collapsed="false">
      <c r="A236" s="15" t="n">
        <v>45621</v>
      </c>
      <c r="B236" s="16" t="n">
        <v>1294.19</v>
      </c>
      <c r="C236" s="17" t="n">
        <v>21449</v>
      </c>
      <c r="D236" s="17" t="n">
        <v>29219</v>
      </c>
      <c r="E236" s="17" t="n">
        <v>10693</v>
      </c>
      <c r="F236" s="17" t="n">
        <v>34171</v>
      </c>
    </row>
    <row r="237" customFormat="false" ht="15" hidden="false" customHeight="false" outlineLevel="0" collapsed="false">
      <c r="A237" s="15" t="n">
        <v>45622</v>
      </c>
      <c r="B237" s="16" t="n">
        <v>1296.97</v>
      </c>
      <c r="C237" s="17" t="n">
        <v>21586</v>
      </c>
      <c r="D237" s="17" t="n">
        <v>29413</v>
      </c>
      <c r="E237" s="17" t="n">
        <v>10650</v>
      </c>
      <c r="F237" s="17" t="n">
        <v>34319</v>
      </c>
    </row>
    <row r="238" customFormat="false" ht="15" hidden="false" customHeight="false" outlineLevel="0" collapsed="false">
      <c r="A238" s="15" t="n">
        <v>45623</v>
      </c>
      <c r="B238" s="16" t="n">
        <v>1301.31</v>
      </c>
      <c r="C238" s="17" t="n">
        <v>21966</v>
      </c>
      <c r="D238" s="17" t="n">
        <v>29330</v>
      </c>
      <c r="E238" s="17" t="n">
        <v>10742</v>
      </c>
      <c r="F238" s="17" t="n">
        <v>34617</v>
      </c>
    </row>
    <row r="239" customFormat="false" ht="15" hidden="false" customHeight="false" outlineLevel="0" collapsed="false">
      <c r="A239" s="15" t="n">
        <v>45624</v>
      </c>
      <c r="B239" s="16" t="n">
        <v>1301.15</v>
      </c>
      <c r="C239" s="17" t="n">
        <v>22072</v>
      </c>
      <c r="D239" s="17" t="n">
        <v>29514</v>
      </c>
      <c r="E239" s="17" t="n">
        <v>10710</v>
      </c>
      <c r="F239" s="17" t="n">
        <v>34553</v>
      </c>
    </row>
    <row r="240" customFormat="false" ht="15" hidden="false" customHeight="false" outlineLevel="0" collapsed="false">
      <c r="A240" s="15" t="n">
        <v>45625</v>
      </c>
      <c r="B240" s="16" t="n">
        <v>1304.11</v>
      </c>
      <c r="C240" s="17" t="n">
        <v>22108</v>
      </c>
      <c r="D240" s="17" t="n">
        <v>29686</v>
      </c>
      <c r="E240" s="17" t="n">
        <v>10607</v>
      </c>
      <c r="F240" s="17" t="n">
        <v>34297</v>
      </c>
    </row>
    <row r="241" customFormat="false" ht="15" hidden="false" customHeight="false" outlineLevel="0" collapsed="false">
      <c r="A241" s="15" t="n">
        <v>45628</v>
      </c>
      <c r="B241" s="16" t="n">
        <v>1303.36</v>
      </c>
      <c r="C241" s="17" t="n">
        <v>22093</v>
      </c>
      <c r="D241" s="17" t="n">
        <v>29485</v>
      </c>
      <c r="E241" s="17" t="n">
        <v>10670</v>
      </c>
      <c r="F241" s="17" t="n">
        <v>33096</v>
      </c>
    </row>
    <row r="242" customFormat="false" ht="15" hidden="false" customHeight="false" outlineLevel="0" collapsed="false">
      <c r="A242" s="15" t="n">
        <v>45629</v>
      </c>
      <c r="B242" s="16" t="n">
        <v>1301.65</v>
      </c>
      <c r="C242" s="17" t="n">
        <v>22263</v>
      </c>
      <c r="D242" s="17" t="n">
        <v>28505</v>
      </c>
      <c r="E242" s="17" t="n">
        <v>10638</v>
      </c>
      <c r="F242" s="17" t="n">
        <v>32580</v>
      </c>
    </row>
    <row r="243" customFormat="false" ht="15" hidden="false" customHeight="false" outlineLevel="0" collapsed="false">
      <c r="A243" s="15" t="n">
        <v>45630</v>
      </c>
      <c r="B243" s="16" t="n">
        <v>1317.59</v>
      </c>
      <c r="C243" s="17" t="n">
        <v>22598</v>
      </c>
      <c r="D243" s="17" t="n">
        <v>29163</v>
      </c>
      <c r="E243" s="17" t="n">
        <v>10706</v>
      </c>
      <c r="F243" s="17" t="n">
        <v>33732</v>
      </c>
    </row>
    <row r="244" customFormat="false" ht="15" hidden="false" customHeight="false" outlineLevel="0" collapsed="false">
      <c r="A244" s="15" t="n">
        <v>45631</v>
      </c>
      <c r="B244" s="16" t="n">
        <v>1318.27</v>
      </c>
      <c r="C244" s="17" t="n">
        <v>22047</v>
      </c>
      <c r="D244" s="17" t="n">
        <v>29188</v>
      </c>
      <c r="E244" s="17" t="n">
        <v>10706</v>
      </c>
      <c r="F244" s="17" t="n">
        <v>33816</v>
      </c>
    </row>
    <row r="245" customFormat="false" ht="15" hidden="false" customHeight="false" outlineLevel="0" collapsed="false">
      <c r="A245" s="15" t="n">
        <v>45632</v>
      </c>
      <c r="B245" s="16" t="n">
        <v>1315.69</v>
      </c>
      <c r="C245" s="17" t="n">
        <v>22048</v>
      </c>
      <c r="D245" s="17" t="n">
        <v>29502</v>
      </c>
      <c r="E245" s="17" t="n">
        <v>10671</v>
      </c>
      <c r="F245" s="17" t="n">
        <v>33748</v>
      </c>
    </row>
    <row r="246" customFormat="false" ht="15" hidden="false" customHeight="false" outlineLevel="0" collapsed="false">
      <c r="A246" s="15" t="n">
        <v>45635</v>
      </c>
      <c r="B246" s="16" t="n">
        <v>1309.8</v>
      </c>
      <c r="C246" s="17" t="n">
        <v>21585</v>
      </c>
      <c r="D246" s="17" t="n">
        <v>29724</v>
      </c>
      <c r="E246" s="17" t="n">
        <v>10806</v>
      </c>
      <c r="F246" s="17" t="n">
        <v>33543</v>
      </c>
    </row>
    <row r="247" customFormat="false" ht="15" hidden="false" customHeight="false" outlineLevel="0" collapsed="false">
      <c r="A247" s="15" t="n">
        <v>45636</v>
      </c>
      <c r="B247" s="16" t="n">
        <v>1300.92</v>
      </c>
      <c r="C247" s="17" t="n">
        <v>21736</v>
      </c>
      <c r="D247" s="17" t="n">
        <v>29438</v>
      </c>
      <c r="E247" s="17" t="n">
        <v>10795</v>
      </c>
      <c r="F247" s="17" t="n">
        <v>33650</v>
      </c>
    </row>
    <row r="248" customFormat="false" ht="15" hidden="false" customHeight="false" outlineLevel="0" collapsed="false">
      <c r="A248" s="15" t="n">
        <v>45637</v>
      </c>
      <c r="B248" s="16" t="n">
        <v>1312.03</v>
      </c>
      <c r="C248" s="17" t="n">
        <v>22216</v>
      </c>
      <c r="D248" s="17" t="n">
        <v>29988</v>
      </c>
      <c r="E248" s="17" t="n">
        <v>10731</v>
      </c>
      <c r="F248" s="17" t="n">
        <v>33478</v>
      </c>
    </row>
    <row r="249" customFormat="false" ht="15" hidden="false" customHeight="false" outlineLevel="0" collapsed="false">
      <c r="A249" s="15" t="n">
        <v>45638</v>
      </c>
      <c r="B249" s="16" t="n">
        <v>1308.48</v>
      </c>
      <c r="C249" s="17" t="n">
        <v>22016</v>
      </c>
      <c r="D249" s="17" t="n">
        <v>29449</v>
      </c>
      <c r="E249" s="17" t="n">
        <v>10598</v>
      </c>
      <c r="F249" s="17" t="n">
        <v>33978</v>
      </c>
    </row>
    <row r="250" customFormat="false" ht="15" hidden="false" customHeight="false" outlineLevel="0" collapsed="false">
      <c r="A250" s="15" t="n">
        <v>45639</v>
      </c>
      <c r="B250" s="16" t="n">
        <v>1308.01</v>
      </c>
      <c r="C250" s="17" t="n">
        <v>22229</v>
      </c>
      <c r="D250" s="17" t="n">
        <v>29357</v>
      </c>
      <c r="E250" s="17" t="n">
        <v>10644</v>
      </c>
      <c r="F250" s="17" t="n">
        <v>34282</v>
      </c>
    </row>
    <row r="251" customFormat="false" ht="15" hidden="false" customHeight="false" outlineLevel="0" collapsed="false">
      <c r="A251" s="15" t="n">
        <v>45642</v>
      </c>
      <c r="B251" s="16" t="n">
        <v>1308.6</v>
      </c>
      <c r="C251" s="17" t="n">
        <v>22791</v>
      </c>
      <c r="D251" s="17" t="n">
        <v>29151</v>
      </c>
      <c r="E251" s="17" t="n">
        <v>10500</v>
      </c>
      <c r="F251" s="17" t="n">
        <v>33604</v>
      </c>
    </row>
    <row r="252" customFormat="false" ht="15" hidden="false" customHeight="false" outlineLevel="0" collapsed="false">
      <c r="A252" s="15" t="n">
        <v>45643</v>
      </c>
      <c r="B252" s="16" t="n">
        <v>1318.34</v>
      </c>
      <c r="C252" s="17" t="n">
        <v>23188</v>
      </c>
      <c r="D252" s="17" t="n">
        <v>29210</v>
      </c>
      <c r="E252" s="17" t="n">
        <v>10525</v>
      </c>
      <c r="F252" s="17" t="n">
        <v>33795</v>
      </c>
    </row>
    <row r="253" customFormat="false" ht="15" hidden="false" customHeight="false" outlineLevel="0" collapsed="false">
      <c r="A253" s="15" t="n">
        <v>45644</v>
      </c>
      <c r="B253" s="16" t="n">
        <v>1310.86</v>
      </c>
      <c r="C253" s="17" t="n">
        <v>23051</v>
      </c>
      <c r="D253" s="17" t="n">
        <v>29198</v>
      </c>
      <c r="E253" s="17" t="n">
        <v>10541</v>
      </c>
      <c r="F253" s="17" t="n">
        <v>33151</v>
      </c>
    </row>
    <row r="254" customFormat="false" ht="15" hidden="false" customHeight="false" outlineLevel="0" collapsed="false">
      <c r="A254" s="15" t="n">
        <v>45645</v>
      </c>
      <c r="B254" s="16" t="n">
        <v>1300.24</v>
      </c>
      <c r="C254" s="17" t="n">
        <v>22694</v>
      </c>
      <c r="D254" s="17" t="n">
        <v>28531</v>
      </c>
      <c r="E254" s="17" t="n">
        <v>10425</v>
      </c>
      <c r="F254" s="17" t="n">
        <v>33220</v>
      </c>
    </row>
    <row r="255" customFormat="false" ht="15" hidden="false" customHeight="false" outlineLevel="0" collapsed="false">
      <c r="A255" s="15" t="n">
        <v>45646</v>
      </c>
      <c r="B255" s="16" t="n">
        <v>1312.79</v>
      </c>
      <c r="C255" s="17" t="n">
        <v>23029</v>
      </c>
      <c r="D255" s="17" t="n">
        <v>29295</v>
      </c>
      <c r="E255" s="17" t="n">
        <v>10532</v>
      </c>
      <c r="F255" s="17" t="n">
        <v>33937</v>
      </c>
    </row>
    <row r="256" customFormat="false" ht="15" hidden="false" customHeight="false" outlineLevel="0" collapsed="false">
      <c r="A256" s="15" t="n">
        <v>45649</v>
      </c>
      <c r="B256" s="16" t="n">
        <v>1318.39</v>
      </c>
      <c r="C256" s="17" t="n">
        <v>22983</v>
      </c>
      <c r="D256" s="17" t="n">
        <v>29477</v>
      </c>
      <c r="E256" s="17" t="n">
        <v>10463</v>
      </c>
      <c r="F256" s="17" t="n">
        <v>34154</v>
      </c>
    </row>
    <row r="257" customFormat="false" ht="15" hidden="false" customHeight="false" outlineLevel="0" collapsed="false">
      <c r="A257" s="15" t="n">
        <v>45650</v>
      </c>
      <c r="B257" s="16" t="n">
        <v>1324.69</v>
      </c>
      <c r="C257" s="17" t="n">
        <v>22784</v>
      </c>
      <c r="D257" s="17" t="n">
        <v>29681</v>
      </c>
      <c r="E257" s="17" t="n">
        <v>10487</v>
      </c>
      <c r="F257" s="17" t="n">
        <v>35162</v>
      </c>
    </row>
    <row r="258" customFormat="false" ht="15" hidden="false" customHeight="false" outlineLevel="0" collapsed="false">
      <c r="A258" s="15" t="n">
        <v>45651</v>
      </c>
      <c r="B258" s="16" t="n">
        <v>1330.59</v>
      </c>
      <c r="C258" s="17" t="n">
        <v>22909</v>
      </c>
      <c r="D258" s="17" t="n">
        <v>30117</v>
      </c>
      <c r="E258" s="17" t="n">
        <v>10587</v>
      </c>
      <c r="F258" s="17" t="n">
        <v>35754</v>
      </c>
    </row>
    <row r="259" customFormat="false" ht="15" hidden="false" customHeight="false" outlineLevel="0" collapsed="false">
      <c r="A259" s="15" t="n">
        <v>45652</v>
      </c>
      <c r="B259" s="16" t="n">
        <v>1345.13</v>
      </c>
      <c r="C259" s="17" t="n">
        <v>23300</v>
      </c>
      <c r="D259" s="17" t="n">
        <v>30332</v>
      </c>
      <c r="E259" s="17" t="n">
        <v>10627</v>
      </c>
      <c r="F259" s="17" t="n">
        <v>37197</v>
      </c>
    </row>
    <row r="260" customFormat="false" ht="15" hidden="false" customHeight="false" outlineLevel="0" collapsed="false">
      <c r="A260" s="15" t="n">
        <v>45653</v>
      </c>
      <c r="B260" s="16" t="n">
        <v>1360.55</v>
      </c>
      <c r="C260" s="17" t="n">
        <v>23572</v>
      </c>
      <c r="D260" s="17" t="n">
        <v>30370</v>
      </c>
      <c r="E260" s="17" t="n">
        <v>10639</v>
      </c>
      <c r="F260" s="17" t="n">
        <v>37470</v>
      </c>
    </row>
    <row r="261" customFormat="false" ht="15" hidden="false" customHeight="false" outlineLevel="0" collapsed="false">
      <c r="A261" s="15" t="n">
        <v>45656</v>
      </c>
      <c r="B261" s="16" t="n">
        <v>1356.31</v>
      </c>
      <c r="C261" s="17" t="n">
        <v>23494</v>
      </c>
      <c r="D261" s="17" t="n">
        <v>30432</v>
      </c>
      <c r="E261" s="17" t="n">
        <v>10499</v>
      </c>
      <c r="F261" s="17" t="n">
        <v>36802</v>
      </c>
    </row>
    <row r="262" customFormat="false" ht="15" hidden="false" customHeight="false" outlineLevel="0" collapsed="false">
      <c r="A262" s="15" t="n">
        <v>45657</v>
      </c>
      <c r="B262" s="16" t="n">
        <v>1356.88</v>
      </c>
      <c r="C262" s="17" t="n">
        <v>23802</v>
      </c>
      <c r="D262" s="17" t="n">
        <v>30458</v>
      </c>
      <c r="E262" s="17" t="n">
        <v>10584</v>
      </c>
      <c r="F262" s="17" t="n">
        <v>37442</v>
      </c>
    </row>
    <row r="263" customFormat="false" ht="15" hidden="false" customHeight="false" outlineLevel="0" collapsed="false">
      <c r="A263" s="15" t="n">
        <v>45658</v>
      </c>
      <c r="B263" s="16" t="n">
        <v>1354.69</v>
      </c>
      <c r="C263" s="17" t="n">
        <v>23372</v>
      </c>
      <c r="D263" s="17" t="n">
        <v>30799</v>
      </c>
      <c r="E263" s="17" t="n">
        <v>10626</v>
      </c>
      <c r="F263" s="17" t="n">
        <v>36467</v>
      </c>
    </row>
    <row r="264" customFormat="false" ht="15" hidden="false" customHeight="false" outlineLevel="0" collapsed="false">
      <c r="A264" s="15" t="n">
        <v>45659</v>
      </c>
      <c r="B264" s="16" t="n">
        <v>1368.7</v>
      </c>
      <c r="C264" s="17" t="n">
        <v>23518</v>
      </c>
      <c r="D264" s="17" t="n">
        <v>31268</v>
      </c>
      <c r="E264" s="17" t="n">
        <v>10769</v>
      </c>
      <c r="F264" s="17" t="n">
        <v>36827</v>
      </c>
    </row>
    <row r="265" customFormat="false" ht="15" hidden="false" customHeight="false" outlineLevel="0" collapsed="false">
      <c r="A265" s="15" t="n">
        <v>45660</v>
      </c>
      <c r="B265" s="16" t="n">
        <v>1381.93</v>
      </c>
      <c r="C265" s="17" t="n">
        <v>23532</v>
      </c>
      <c r="D265" s="17" t="n">
        <v>31249</v>
      </c>
      <c r="E265" s="17" t="n">
        <v>10762</v>
      </c>
      <c r="F265" s="17" t="n">
        <v>37117</v>
      </c>
    </row>
    <row r="266" customFormat="false" ht="15" hidden="false" customHeight="false" outlineLevel="0" collapsed="false">
      <c r="A266" s="15" t="n">
        <v>45663</v>
      </c>
      <c r="B266" s="16" t="n">
        <v>1370.71</v>
      </c>
      <c r="C266" s="17" t="n">
        <v>23484</v>
      </c>
      <c r="D266" s="17" t="n">
        <v>30867</v>
      </c>
      <c r="E266" s="17" t="n">
        <v>10487</v>
      </c>
      <c r="F266" s="17" t="n">
        <v>36323</v>
      </c>
    </row>
    <row r="267" customFormat="false" ht="15" hidden="false" customHeight="false" outlineLevel="0" collapsed="false">
      <c r="A267" s="15" t="n">
        <v>45664</v>
      </c>
      <c r="B267" s="16" t="n">
        <v>1355.68</v>
      </c>
      <c r="C267" s="17" t="n">
        <v>23370</v>
      </c>
      <c r="D267" s="17" t="n">
        <v>30583</v>
      </c>
      <c r="E267" s="17" t="n">
        <v>10407</v>
      </c>
      <c r="F267" s="17" t="n">
        <v>35138</v>
      </c>
    </row>
    <row r="268" customFormat="false" ht="15" hidden="false" customHeight="false" outlineLevel="0" collapsed="false">
      <c r="A268" s="15" t="n">
        <v>45665</v>
      </c>
      <c r="B268" s="16" t="n">
        <v>1351.71</v>
      </c>
      <c r="C268" s="17" t="n">
        <v>23505</v>
      </c>
      <c r="D268" s="17" t="n">
        <v>30340</v>
      </c>
      <c r="E268" s="17" t="n">
        <v>10469</v>
      </c>
      <c r="F268" s="17" t="n">
        <v>35207</v>
      </c>
    </row>
    <row r="269" customFormat="false" ht="15" hidden="false" customHeight="false" outlineLevel="0" collapsed="false">
      <c r="A269" s="15" t="n">
        <v>45666</v>
      </c>
      <c r="B269" s="16" t="n">
        <v>1344.17</v>
      </c>
      <c r="C269" s="17" t="n">
        <v>23099</v>
      </c>
      <c r="D269" s="17" t="n">
        <v>30079</v>
      </c>
      <c r="E269" s="17" t="n">
        <v>10408</v>
      </c>
      <c r="F269" s="17" t="n">
        <v>34790</v>
      </c>
    </row>
    <row r="270" customFormat="false" ht="15" hidden="false" customHeight="false" outlineLevel="0" collapsed="false">
      <c r="A270" s="15" t="n">
        <v>45667</v>
      </c>
      <c r="B270" s="16" t="n">
        <v>1343.38</v>
      </c>
      <c r="C270" s="17" t="n">
        <v>23309</v>
      </c>
      <c r="D270" s="17" t="n">
        <v>29167</v>
      </c>
      <c r="E270" s="17" t="n">
        <v>10377</v>
      </c>
      <c r="F270" s="17" t="n">
        <v>35558</v>
      </c>
    </row>
    <row r="271" customFormat="false" ht="15" hidden="false" customHeight="false" outlineLevel="0" collapsed="false">
      <c r="A271" s="15" t="n">
        <v>45670</v>
      </c>
      <c r="B271" s="16" t="n">
        <v>1351.81</v>
      </c>
      <c r="C271" s="17" t="n">
        <v>23576</v>
      </c>
      <c r="D271" s="17" t="n">
        <v>29341</v>
      </c>
      <c r="E271" s="17" t="n">
        <v>10455</v>
      </c>
      <c r="F271" s="17" t="n">
        <v>34963</v>
      </c>
    </row>
    <row r="272" customFormat="false" ht="15" hidden="false" customHeight="false" outlineLevel="0" collapsed="false">
      <c r="A272" s="15" t="n">
        <v>45671</v>
      </c>
      <c r="B272" s="16" t="n">
        <v>1346.47</v>
      </c>
      <c r="C272" s="17" t="n">
        <v>23785</v>
      </c>
      <c r="D272" s="17" t="n">
        <v>29400</v>
      </c>
      <c r="E272" s="17" t="n">
        <v>10393</v>
      </c>
      <c r="F272" s="17" t="n">
        <v>34706</v>
      </c>
    </row>
    <row r="273" customFormat="false" ht="15" hidden="false" customHeight="false" outlineLevel="0" collapsed="false">
      <c r="A273" s="15" t="n">
        <v>45672</v>
      </c>
      <c r="B273" s="16" t="n">
        <v>1361.64</v>
      </c>
      <c r="C273" s="17" t="n">
        <v>23925</v>
      </c>
      <c r="D273" s="17" t="n">
        <v>29677</v>
      </c>
      <c r="E273" s="17" t="n">
        <v>10236</v>
      </c>
      <c r="F273" s="17" t="n">
        <v>35942</v>
      </c>
    </row>
    <row r="274" customFormat="false" ht="15" hidden="false" customHeight="false" outlineLevel="0" collapsed="false">
      <c r="A274" s="15" t="n">
        <v>45673</v>
      </c>
      <c r="B274" s="16" t="n">
        <v>1348.42</v>
      </c>
      <c r="C274" s="17" t="n">
        <v>23482</v>
      </c>
      <c r="D274" s="17" t="n">
        <v>29462</v>
      </c>
      <c r="E274" s="17" t="n">
        <v>10199</v>
      </c>
      <c r="F274" s="17" t="n">
        <v>34485</v>
      </c>
    </row>
    <row r="275" customFormat="false" ht="15" hidden="false" customHeight="false" outlineLevel="0" collapsed="false">
      <c r="A275" s="15" t="n">
        <v>45674</v>
      </c>
      <c r="B275" s="16" t="n">
        <v>1354.8</v>
      </c>
      <c r="C275" s="17" t="n">
        <v>23569</v>
      </c>
      <c r="D275" s="17" t="n">
        <v>29739</v>
      </c>
      <c r="E275" s="17" t="n">
        <v>10229</v>
      </c>
      <c r="F275" s="17" t="n">
        <v>34092</v>
      </c>
    </row>
    <row r="276" customFormat="false" ht="15" hidden="false" customHeight="false" outlineLevel="0" collapsed="false">
      <c r="A276" s="15" t="n">
        <v>45677</v>
      </c>
      <c r="B276" s="16" t="n">
        <v>1351.26</v>
      </c>
      <c r="C276" s="17" t="n">
        <v>23386</v>
      </c>
      <c r="D276" s="17" t="n">
        <v>29569</v>
      </c>
      <c r="E276" s="17" t="n">
        <v>10079</v>
      </c>
      <c r="F276" s="17" t="n">
        <v>34259</v>
      </c>
    </row>
    <row r="277" customFormat="false" ht="15" hidden="false" customHeight="false" outlineLevel="0" collapsed="false">
      <c r="A277" s="15" t="n">
        <v>45678</v>
      </c>
      <c r="B277" s="16" t="n">
        <v>1361.49</v>
      </c>
      <c r="C277" s="17" t="n">
        <v>23758</v>
      </c>
      <c r="D277" s="17" t="n">
        <v>29670</v>
      </c>
      <c r="E277" s="17" t="n">
        <v>10133</v>
      </c>
      <c r="F277" s="17" t="n">
        <v>34644</v>
      </c>
    </row>
    <row r="278" customFormat="false" ht="15" hidden="false" customHeight="false" outlineLevel="0" collapsed="false">
      <c r="A278" s="15" t="n">
        <v>45679</v>
      </c>
      <c r="B278" s="16" t="n">
        <v>1369.46</v>
      </c>
      <c r="C278" s="17" t="n">
        <v>24451</v>
      </c>
      <c r="D278" s="17" t="n">
        <v>30246</v>
      </c>
      <c r="E278" s="17" t="n">
        <v>10085</v>
      </c>
      <c r="F278" s="17" t="n">
        <v>34875</v>
      </c>
    </row>
    <row r="279" customFormat="false" ht="15" hidden="false" customHeight="false" outlineLevel="0" collapsed="false">
      <c r="A279" s="15" t="n">
        <v>45680</v>
      </c>
      <c r="B279" s="16" t="n">
        <v>1336.13</v>
      </c>
      <c r="C279" s="17" t="n">
        <v>23868</v>
      </c>
      <c r="D279" s="17" t="n">
        <v>29478</v>
      </c>
      <c r="E279" s="17" t="n">
        <v>9833</v>
      </c>
      <c r="F279" s="17" t="n">
        <v>33487</v>
      </c>
    </row>
    <row r="280" customFormat="false" ht="15" hidden="false" customHeight="false" outlineLevel="0" collapsed="false">
      <c r="A280" s="15" t="n">
        <v>45681</v>
      </c>
      <c r="B280" s="16" t="n">
        <v>1348.08</v>
      </c>
      <c r="C280" s="17" t="n">
        <v>24364</v>
      </c>
      <c r="D280" s="17" t="n">
        <v>29536</v>
      </c>
      <c r="E280" s="17" t="n">
        <v>9852</v>
      </c>
      <c r="F280" s="17" t="n">
        <v>35811</v>
      </c>
    </row>
    <row r="281" customFormat="false" ht="15" hidden="false" customHeight="false" outlineLevel="0" collapsed="false">
      <c r="A281" s="15" t="n">
        <v>45684</v>
      </c>
      <c r="B281" s="16" t="n">
        <v>1348.57</v>
      </c>
      <c r="C281" s="17" t="n">
        <v>24489</v>
      </c>
      <c r="D281" s="17" t="n">
        <v>29305</v>
      </c>
      <c r="E281" s="17" t="n">
        <v>9855</v>
      </c>
      <c r="F281" s="17" t="n">
        <v>35789</v>
      </c>
    </row>
    <row r="282" customFormat="false" ht="15" hidden="false" customHeight="false" outlineLevel="0" collapsed="false">
      <c r="A282" s="15" t="n">
        <v>45685</v>
      </c>
      <c r="B282" s="16" t="n">
        <v>1342.79</v>
      </c>
      <c r="C282" s="17" t="n">
        <v>24375</v>
      </c>
      <c r="D282" s="17" t="n">
        <v>29091</v>
      </c>
      <c r="E282" s="17" t="n">
        <v>9767</v>
      </c>
      <c r="F282" s="17" t="n">
        <v>34426</v>
      </c>
    </row>
    <row r="283" customFormat="false" ht="15" hidden="false" customHeight="false" outlineLevel="0" collapsed="false">
      <c r="A283" s="15" t="n">
        <v>45686</v>
      </c>
      <c r="B283" s="16" t="n">
        <v>1341.62</v>
      </c>
      <c r="C283" s="17" t="n">
        <v>24541</v>
      </c>
      <c r="D283" s="17" t="n">
        <v>29468</v>
      </c>
      <c r="E283" s="17" t="n">
        <v>9717</v>
      </c>
      <c r="F283" s="17" t="n">
        <v>34185</v>
      </c>
    </row>
    <row r="284" customFormat="false" ht="15" hidden="false" customHeight="false" outlineLevel="0" collapsed="false">
      <c r="A284" s="15" t="n">
        <v>45687</v>
      </c>
      <c r="B284" s="16" t="n">
        <v>1333.88</v>
      </c>
      <c r="C284" s="17" t="n">
        <v>24391</v>
      </c>
      <c r="D284" s="17" t="n">
        <v>29318</v>
      </c>
      <c r="E284" s="17" t="n">
        <v>9691</v>
      </c>
      <c r="F284" s="17" t="n">
        <v>33208</v>
      </c>
    </row>
    <row r="285" customFormat="false" ht="15" hidden="false" customHeight="false" outlineLevel="0" collapsed="false">
      <c r="A285" s="15" t="n">
        <v>45688</v>
      </c>
      <c r="B285" s="16" t="n">
        <v>1316.76</v>
      </c>
      <c r="C285" s="17" t="n">
        <v>24078</v>
      </c>
      <c r="D285" s="17" t="n">
        <v>28994</v>
      </c>
      <c r="E285" s="17" t="n">
        <v>9576</v>
      </c>
      <c r="F285" s="17" t="n">
        <v>32761</v>
      </c>
    </row>
    <row r="286" customFormat="false" ht="15" hidden="false" customHeight="false" outlineLevel="0" collapsed="false">
      <c r="A286" s="15" t="n">
        <v>45691</v>
      </c>
      <c r="B286" s="16" t="n">
        <v>1323</v>
      </c>
      <c r="C286" s="17" t="n">
        <v>24159</v>
      </c>
      <c r="D286" s="17" t="n">
        <v>29535</v>
      </c>
      <c r="E286" s="17" t="n">
        <v>9649</v>
      </c>
      <c r="F286" s="17" t="n">
        <v>33330</v>
      </c>
    </row>
    <row r="287" customFormat="false" ht="15" hidden="false" customHeight="false" outlineLevel="0" collapsed="false">
      <c r="A287" s="15" t="n">
        <v>45692</v>
      </c>
      <c r="B287" s="16" t="n">
        <v>1334.38</v>
      </c>
      <c r="C287" s="17" t="n">
        <v>24166</v>
      </c>
      <c r="D287" s="17" t="n">
        <v>29864</v>
      </c>
      <c r="E287" s="17" t="n">
        <v>9776</v>
      </c>
      <c r="F287" s="17" t="n">
        <v>33412</v>
      </c>
    </row>
    <row r="288" customFormat="false" ht="15" hidden="false" customHeight="false" outlineLevel="0" collapsed="false">
      <c r="A288" s="15" t="n">
        <v>45693</v>
      </c>
      <c r="B288" s="16" t="n">
        <v>1330.87</v>
      </c>
      <c r="C288" s="17" t="n">
        <v>24690</v>
      </c>
      <c r="D288" s="17" t="n">
        <v>29844</v>
      </c>
      <c r="E288" s="17" t="n">
        <v>9734</v>
      </c>
      <c r="F288" s="17" t="n">
        <v>33463</v>
      </c>
    </row>
    <row r="289" customFormat="false" ht="15" hidden="false" customHeight="false" outlineLevel="0" collapsed="false">
      <c r="A289" s="15" t="n">
        <v>45694</v>
      </c>
      <c r="B289" s="16" t="n">
        <v>1323.03</v>
      </c>
      <c r="C289" s="17" t="n">
        <v>24805</v>
      </c>
      <c r="D289" s="17" t="n">
        <v>30315</v>
      </c>
      <c r="E289" s="17" t="n">
        <v>9538</v>
      </c>
      <c r="F289" s="17" t="n">
        <v>33415</v>
      </c>
    </row>
    <row r="290" customFormat="false" ht="15" hidden="false" customHeight="false" outlineLevel="0" collapsed="false">
      <c r="A290" s="15" t="n">
        <v>45695</v>
      </c>
      <c r="B290" s="16" t="n">
        <v>1343.09</v>
      </c>
      <c r="C290" s="17" t="n">
        <v>24771</v>
      </c>
      <c r="D290" s="17" t="n">
        <v>30947</v>
      </c>
      <c r="E290" s="17" t="n">
        <v>9657</v>
      </c>
      <c r="F290" s="17" t="n">
        <v>35090</v>
      </c>
    </row>
    <row r="291" customFormat="false" ht="15" hidden="false" customHeight="false" outlineLevel="0" collapsed="false">
      <c r="A291" s="15" t="n">
        <v>45698</v>
      </c>
      <c r="B291" s="16" t="n">
        <v>1349.49</v>
      </c>
      <c r="C291" s="17" t="n">
        <v>25339</v>
      </c>
      <c r="D291" s="17" t="n">
        <v>31022</v>
      </c>
      <c r="E291" s="17" t="n">
        <v>9653</v>
      </c>
      <c r="F291" s="17" t="n">
        <v>34421</v>
      </c>
    </row>
    <row r="292" customFormat="false" ht="15" hidden="false" customHeight="false" outlineLevel="0" collapsed="false">
      <c r="A292" s="15" t="n">
        <v>45699</v>
      </c>
      <c r="B292" s="16" t="n">
        <v>1357.04</v>
      </c>
      <c r="C292" s="17" t="n">
        <v>25538</v>
      </c>
      <c r="D292" s="17" t="n">
        <v>31404</v>
      </c>
      <c r="E292" s="17" t="n">
        <v>9576</v>
      </c>
      <c r="F292" s="17" t="n">
        <v>35143</v>
      </c>
    </row>
    <row r="293" customFormat="false" ht="15" hidden="false" customHeight="false" outlineLevel="0" collapsed="false">
      <c r="A293" s="15" t="n">
        <v>45700</v>
      </c>
      <c r="B293" s="16" t="n">
        <v>1363.19</v>
      </c>
      <c r="C293" s="17" t="n">
        <v>25830</v>
      </c>
      <c r="D293" s="17" t="n">
        <v>31603</v>
      </c>
      <c r="E293" s="17" t="n">
        <v>9530</v>
      </c>
      <c r="F293" s="17" t="n">
        <v>35757</v>
      </c>
    </row>
    <row r="294" customFormat="false" ht="15" hidden="false" customHeight="false" outlineLevel="0" collapsed="false">
      <c r="A294" s="15" t="n">
        <v>45701</v>
      </c>
      <c r="B294" s="16" t="n">
        <v>1377.56</v>
      </c>
      <c r="C294" s="17" t="n">
        <v>26117</v>
      </c>
      <c r="D294" s="17" t="n">
        <v>31725</v>
      </c>
      <c r="E294" s="17" t="n">
        <v>9533</v>
      </c>
      <c r="F294" s="17" t="n">
        <v>36489</v>
      </c>
    </row>
    <row r="295" customFormat="false" ht="15" hidden="false" customHeight="false" outlineLevel="0" collapsed="false">
      <c r="A295" s="15" t="n">
        <v>45702</v>
      </c>
      <c r="B295" s="16" t="n">
        <v>1363.89</v>
      </c>
      <c r="C295" s="17" t="n">
        <v>25543</v>
      </c>
      <c r="D295" s="17" t="n">
        <v>31555</v>
      </c>
      <c r="E295" s="17" t="n">
        <v>9436</v>
      </c>
      <c r="F295" s="17" t="n">
        <v>36327</v>
      </c>
    </row>
    <row r="296" customFormat="false" ht="15" hidden="false" customHeight="false" outlineLevel="0" collapsed="false">
      <c r="A296" s="15" t="n">
        <v>45705</v>
      </c>
      <c r="B296" s="16" t="n">
        <v>1374.84</v>
      </c>
      <c r="C296" s="17" t="n">
        <v>25656</v>
      </c>
      <c r="D296" s="17" t="n">
        <v>32988</v>
      </c>
      <c r="E296" s="17" t="n">
        <v>9507</v>
      </c>
      <c r="F296" s="17" t="n">
        <v>35555</v>
      </c>
    </row>
    <row r="297" customFormat="false" ht="15" hidden="false" customHeight="false" outlineLevel="0" collapsed="false">
      <c r="A297" s="15" t="n">
        <v>45706</v>
      </c>
      <c r="B297" s="16" t="n">
        <v>1402.59</v>
      </c>
      <c r="C297" s="17" t="n">
        <v>25951</v>
      </c>
      <c r="D297" s="17" t="n">
        <v>33595</v>
      </c>
      <c r="E297" s="17" t="n">
        <v>9591</v>
      </c>
      <c r="F297" s="17" t="n">
        <v>35920</v>
      </c>
    </row>
    <row r="298" customFormat="false" ht="15" hidden="false" customHeight="false" outlineLevel="0" collapsed="false">
      <c r="A298" s="15" t="n">
        <v>45707</v>
      </c>
      <c r="B298" s="16" t="n">
        <v>1389.33</v>
      </c>
      <c r="C298" s="17" t="n">
        <v>25579</v>
      </c>
      <c r="D298" s="17" t="n">
        <v>33837</v>
      </c>
      <c r="E298" s="17" t="n">
        <v>9387</v>
      </c>
      <c r="F298" s="17" t="n">
        <v>35222</v>
      </c>
    </row>
    <row r="299" customFormat="false" ht="15" hidden="false" customHeight="false" outlineLevel="0" collapsed="false">
      <c r="A299" s="15" t="n">
        <v>45708</v>
      </c>
      <c r="B299" s="16" t="n">
        <v>1394.64</v>
      </c>
      <c r="C299" s="17" t="n">
        <v>25229</v>
      </c>
      <c r="D299" s="17" t="n">
        <v>34050</v>
      </c>
      <c r="E299" s="17" t="n">
        <v>9331</v>
      </c>
      <c r="F299" s="17" t="n">
        <v>34127</v>
      </c>
    </row>
    <row r="300" customFormat="false" ht="15" hidden="false" customHeight="false" outlineLevel="0" collapsed="false">
      <c r="A300" s="15" t="n">
        <v>45709</v>
      </c>
      <c r="B300" s="16" t="n">
        <v>1392.33</v>
      </c>
      <c r="C300" s="17" t="n">
        <v>24468</v>
      </c>
      <c r="D300" s="17" t="n">
        <v>33824</v>
      </c>
      <c r="E300" s="17" t="n">
        <v>9079</v>
      </c>
      <c r="F300" s="17" t="n">
        <v>34342</v>
      </c>
    </row>
    <row r="301" customFormat="false" ht="15" hidden="false" customHeight="false" outlineLevel="0" collapsed="false">
      <c r="A301" s="15" t="n">
        <v>45712</v>
      </c>
      <c r="B301" s="16" t="n">
        <v>1386.72</v>
      </c>
      <c r="C301" s="17" t="n">
        <v>24346</v>
      </c>
      <c r="D301" s="17" t="n">
        <v>34051</v>
      </c>
      <c r="E301" s="17" t="n">
        <v>9020</v>
      </c>
      <c r="F301" s="17" t="n">
        <v>33976</v>
      </c>
    </row>
    <row r="302" customFormat="false" ht="15" hidden="false" customHeight="false" outlineLevel="0" collapsed="false">
      <c r="A302" s="15" t="n">
        <v>45713</v>
      </c>
      <c r="B302" s="16" t="n">
        <v>1394.19</v>
      </c>
      <c r="C302" s="17" t="n">
        <v>24763</v>
      </c>
      <c r="D302" s="17" t="n">
        <v>34310</v>
      </c>
      <c r="E302" s="17" t="n">
        <v>9114</v>
      </c>
      <c r="F302" s="17" t="n">
        <v>34587</v>
      </c>
    </row>
    <row r="303" customFormat="false" ht="15" hidden="false" customHeight="false" outlineLevel="0" collapsed="false">
      <c r="A303" s="15" t="n">
        <v>45714</v>
      </c>
      <c r="B303" s="16" t="n">
        <v>1382.42</v>
      </c>
      <c r="C303" s="17" t="n">
        <v>24269</v>
      </c>
      <c r="D303" s="17" t="n">
        <v>33941</v>
      </c>
      <c r="E303" s="17" t="n">
        <v>9162</v>
      </c>
      <c r="F303" s="17" t="n">
        <v>32834</v>
      </c>
    </row>
    <row r="304" customFormat="false" ht="15" hidden="false" customHeight="false" outlineLevel="0" collapsed="false">
      <c r="A304" s="15" t="n">
        <v>45715</v>
      </c>
      <c r="B304" s="16" t="n">
        <v>1382.84</v>
      </c>
      <c r="C304" s="17" t="n">
        <v>24585</v>
      </c>
      <c r="D304" s="17" t="n">
        <v>34182</v>
      </c>
      <c r="E304" s="17" t="n">
        <v>9160</v>
      </c>
      <c r="F304" s="17" t="n">
        <v>32497</v>
      </c>
    </row>
    <row r="305" customFormat="false" ht="15" hidden="false" customHeight="false" outlineLevel="0" collapsed="false">
      <c r="A305" s="15" t="n">
        <v>45716</v>
      </c>
      <c r="B305" s="16" t="n">
        <v>1344.13</v>
      </c>
      <c r="C305" s="17" t="n">
        <v>24080</v>
      </c>
      <c r="D305" s="17" t="n">
        <v>33633</v>
      </c>
      <c r="E305" s="17" t="n">
        <v>8980</v>
      </c>
      <c r="F305" s="17" t="n">
        <v>31282</v>
      </c>
    </row>
    <row r="306" customFormat="false" ht="15" hidden="false" customHeight="false" outlineLevel="0" collapsed="false">
      <c r="A306" s="15" t="n">
        <v>45719</v>
      </c>
      <c r="B306" s="16" t="n">
        <v>1324.48</v>
      </c>
      <c r="C306" s="17" t="n">
        <v>23406</v>
      </c>
      <c r="D306" s="17" t="n">
        <v>33445</v>
      </c>
      <c r="E306" s="17" t="n">
        <v>9009</v>
      </c>
      <c r="F306" s="17" t="n">
        <v>30412</v>
      </c>
    </row>
    <row r="307" customFormat="false" ht="15" hidden="false" customHeight="false" outlineLevel="0" collapsed="false">
      <c r="A307" s="15" t="n">
        <v>45720</v>
      </c>
      <c r="B307" s="16" t="n">
        <v>1331.51</v>
      </c>
      <c r="C307" s="17" t="n">
        <v>23543</v>
      </c>
      <c r="D307" s="17" t="n">
        <v>33101</v>
      </c>
      <c r="E307" s="17" t="n">
        <v>8885</v>
      </c>
      <c r="F307" s="17" t="n">
        <v>29590</v>
      </c>
    </row>
    <row r="308" customFormat="false" ht="15" hidden="false" customHeight="false" outlineLevel="0" collapsed="false">
      <c r="A308" s="15" t="n">
        <v>45721</v>
      </c>
      <c r="B308" s="16" t="n">
        <v>1304.17</v>
      </c>
      <c r="C308" s="17" t="n">
        <v>23057</v>
      </c>
      <c r="D308" s="17" t="n">
        <v>32476</v>
      </c>
      <c r="E308" s="17" t="n">
        <v>8845</v>
      </c>
      <c r="F308" s="17" t="n">
        <v>28245</v>
      </c>
    </row>
    <row r="309" customFormat="false" ht="15" hidden="false" customHeight="false" outlineLevel="0" collapsed="false">
      <c r="A309" s="15" t="n">
        <v>45722</v>
      </c>
      <c r="B309" s="16" t="n">
        <v>1287.89</v>
      </c>
      <c r="C309" s="17" t="n">
        <v>22763</v>
      </c>
      <c r="D309" s="17" t="n">
        <v>32146</v>
      </c>
      <c r="E309" s="17" t="n">
        <v>8789</v>
      </c>
      <c r="F309" s="17" t="n">
        <v>27773</v>
      </c>
    </row>
    <row r="310" customFormat="false" ht="15" hidden="false" customHeight="false" outlineLevel="0" collapsed="false">
      <c r="A310" s="15" t="n">
        <v>45723</v>
      </c>
      <c r="B310" s="16" t="n">
        <v>1253.61</v>
      </c>
      <c r="C310" s="17" t="n">
        <v>22169</v>
      </c>
      <c r="D310" s="17" t="n">
        <v>31438</v>
      </c>
      <c r="E310" s="17" t="n">
        <v>8649</v>
      </c>
      <c r="F310" s="17" t="n">
        <v>26688</v>
      </c>
    </row>
    <row r="311" customFormat="false" ht="15" hidden="false" customHeight="false" outlineLevel="0" collapsed="false">
      <c r="A311" s="15" t="n">
        <v>45726</v>
      </c>
      <c r="B311" s="16" t="n">
        <v>1232.55</v>
      </c>
      <c r="C311" s="17" t="n">
        <v>21533</v>
      </c>
      <c r="D311" s="17" t="n">
        <v>31282</v>
      </c>
      <c r="E311" s="17" t="n">
        <v>8568</v>
      </c>
      <c r="F311" s="17" t="n">
        <v>26771</v>
      </c>
    </row>
    <row r="312" customFormat="false" ht="15" hidden="false" customHeight="false" outlineLevel="0" collapsed="false">
      <c r="A312" s="15" t="n">
        <v>45727</v>
      </c>
      <c r="B312" s="16" t="n">
        <v>1213.07</v>
      </c>
      <c r="C312" s="17" t="n">
        <v>21275</v>
      </c>
      <c r="D312" s="17" t="n">
        <v>30877</v>
      </c>
      <c r="E312" s="17" t="n">
        <v>8588</v>
      </c>
      <c r="F312" s="17" t="n">
        <v>25960</v>
      </c>
    </row>
    <row r="313" customFormat="false" ht="15" hidden="false" customHeight="false" outlineLevel="0" collapsed="false">
      <c r="A313" s="15" t="n">
        <v>45728</v>
      </c>
      <c r="B313" s="16" t="n">
        <v>1217.66</v>
      </c>
      <c r="C313" s="17" t="n">
        <v>21612</v>
      </c>
      <c r="D313" s="17" t="n">
        <v>30802</v>
      </c>
      <c r="E313" s="17" t="n">
        <v>8629</v>
      </c>
      <c r="F313" s="17" t="n">
        <v>26528</v>
      </c>
    </row>
    <row r="314" customFormat="false" ht="15" hidden="false" customHeight="false" outlineLevel="0" collapsed="false">
      <c r="A314" s="15" t="n">
        <v>45729</v>
      </c>
      <c r="B314" s="16" t="n">
        <v>1214.08</v>
      </c>
      <c r="C314" s="17" t="n">
        <v>22245</v>
      </c>
      <c r="D314" s="17" t="n">
        <v>30901</v>
      </c>
      <c r="E314" s="17" t="n">
        <v>8501</v>
      </c>
      <c r="F314" s="17" t="n">
        <v>26833</v>
      </c>
    </row>
    <row r="315" customFormat="false" ht="15" hidden="false" customHeight="false" outlineLevel="0" collapsed="false">
      <c r="A315" s="15" t="n">
        <v>45730</v>
      </c>
      <c r="B315" s="16" t="n">
        <v>1207.7</v>
      </c>
      <c r="C315" s="17" t="n">
        <v>21957</v>
      </c>
      <c r="D315" s="17" t="n">
        <v>31377</v>
      </c>
      <c r="E315" s="17" t="n">
        <v>8586</v>
      </c>
      <c r="F315" s="17" t="n">
        <v>26500</v>
      </c>
    </row>
    <row r="316" customFormat="false" ht="15" hidden="false" customHeight="false" outlineLevel="0" collapsed="false">
      <c r="A316" s="15" t="n">
        <v>45733</v>
      </c>
      <c r="B316" s="16" t="n">
        <v>1205.96</v>
      </c>
      <c r="C316" s="17" t="n">
        <v>22391</v>
      </c>
      <c r="D316" s="17" t="n">
        <v>30919</v>
      </c>
      <c r="E316" s="17" t="n">
        <v>8494</v>
      </c>
      <c r="F316" s="17" t="n">
        <v>26412</v>
      </c>
    </row>
    <row r="317" customFormat="false" ht="15" hidden="false" customHeight="false" outlineLevel="0" collapsed="false">
      <c r="A317" s="15" t="n">
        <v>45734</v>
      </c>
      <c r="B317" s="16" t="n">
        <v>1228.27</v>
      </c>
      <c r="C317" s="17" t="n">
        <v>23038</v>
      </c>
      <c r="D317" s="17" t="n">
        <v>31422</v>
      </c>
      <c r="E317" s="17" t="n">
        <v>8593</v>
      </c>
      <c r="F317" s="17" t="n">
        <v>26909</v>
      </c>
    </row>
    <row r="318" customFormat="false" ht="15" hidden="false" customHeight="false" outlineLevel="0" collapsed="false">
      <c r="A318" s="15" t="n">
        <v>45735</v>
      </c>
      <c r="B318" s="16" t="n">
        <v>1220.39</v>
      </c>
      <c r="C318" s="17" t="n">
        <v>23069</v>
      </c>
      <c r="D318" s="17" t="n">
        <v>31275</v>
      </c>
      <c r="E318" s="17" t="n">
        <v>8636</v>
      </c>
      <c r="F318" s="17" t="n">
        <v>27087</v>
      </c>
    </row>
    <row r="319" customFormat="false" ht="15" hidden="false" customHeight="false" outlineLevel="0" collapsed="false">
      <c r="A319" s="15" t="n">
        <v>45736</v>
      </c>
      <c r="B319" s="16" t="n">
        <v>1232.96</v>
      </c>
      <c r="C319" s="17" t="n">
        <v>23483</v>
      </c>
      <c r="D319" s="17" t="n">
        <v>31696</v>
      </c>
      <c r="E319" s="17" t="n">
        <v>8694</v>
      </c>
      <c r="F319" s="17" t="n">
        <v>27564</v>
      </c>
    </row>
    <row r="320" customFormat="false" ht="15" hidden="false" customHeight="false" outlineLevel="0" collapsed="false">
      <c r="A320" s="15" t="n">
        <v>45737</v>
      </c>
      <c r="B320" s="16" t="n">
        <v>1210.64</v>
      </c>
      <c r="C320" s="17" t="n">
        <v>23014</v>
      </c>
      <c r="D320" s="17" t="n">
        <v>31378</v>
      </c>
      <c r="E320" s="17" t="n">
        <v>8641</v>
      </c>
      <c r="F320" s="17" t="n">
        <v>27062</v>
      </c>
    </row>
    <row r="321" customFormat="false" ht="15" hidden="false" customHeight="false" outlineLevel="0" collapsed="false">
      <c r="A321" s="15" t="n">
        <v>45740</v>
      </c>
      <c r="B321" s="16" t="n">
        <v>1169.99</v>
      </c>
      <c r="C321" s="17" t="n">
        <v>21853</v>
      </c>
      <c r="D321" s="17" t="n">
        <v>30444</v>
      </c>
      <c r="E321" s="17" t="n">
        <v>8441</v>
      </c>
      <c r="F321" s="17" t="n">
        <v>26338</v>
      </c>
    </row>
    <row r="322" customFormat="false" ht="15" hidden="false" customHeight="false" outlineLevel="0" collapsed="false">
      <c r="A322" s="15" t="n">
        <v>45741</v>
      </c>
      <c r="B322" s="16" t="n">
        <v>1150.84</v>
      </c>
      <c r="C322" s="17" t="n">
        <v>20889</v>
      </c>
      <c r="D322" s="17" t="n">
        <v>30363</v>
      </c>
      <c r="E322" s="17" t="n">
        <v>8332</v>
      </c>
      <c r="F322" s="17" t="n">
        <v>25021</v>
      </c>
    </row>
    <row r="323" customFormat="false" ht="15" hidden="false" customHeight="false" outlineLevel="0" collapsed="false">
      <c r="A323" s="15" t="n">
        <v>45742</v>
      </c>
      <c r="B323" s="16" t="n">
        <v>1158.49</v>
      </c>
      <c r="C323" s="17" t="n">
        <v>21261</v>
      </c>
      <c r="D323" s="17" t="n">
        <v>31043</v>
      </c>
      <c r="E323" s="17" t="n">
        <v>8474</v>
      </c>
      <c r="F323" s="17" t="n">
        <v>25508</v>
      </c>
    </row>
    <row r="324" customFormat="false" ht="15" hidden="false" customHeight="false" outlineLevel="0" collapsed="false">
      <c r="A324" s="15" t="n">
        <v>45743</v>
      </c>
      <c r="B324" s="16" t="n">
        <v>1169</v>
      </c>
      <c r="C324" s="17" t="n">
        <v>22145</v>
      </c>
      <c r="D324" s="17" t="n">
        <v>31655</v>
      </c>
      <c r="E324" s="17" t="n">
        <v>8508</v>
      </c>
      <c r="F324" s="17" t="n">
        <v>26288</v>
      </c>
    </row>
    <row r="325" customFormat="false" ht="15" hidden="false" customHeight="false" outlineLevel="0" collapsed="false">
      <c r="A325" s="15" t="n">
        <v>45744</v>
      </c>
      <c r="B325" s="16" t="n">
        <v>1188.76</v>
      </c>
      <c r="C325" s="17" t="n">
        <v>22941</v>
      </c>
      <c r="D325" s="17" t="n">
        <v>32561</v>
      </c>
      <c r="E325" s="17" t="n">
        <v>8632</v>
      </c>
      <c r="F325" s="17" t="n">
        <v>26977</v>
      </c>
    </row>
    <row r="326" customFormat="false" ht="15" hidden="false" customHeight="false" outlineLevel="0" collapsed="false">
      <c r="A326" s="15" t="n">
        <v>45747</v>
      </c>
      <c r="B326" s="16" t="n">
        <v>1191.66</v>
      </c>
      <c r="C326" s="17" t="n">
        <v>22919</v>
      </c>
      <c r="D326" s="17" t="n">
        <v>32082</v>
      </c>
      <c r="E326" s="17" t="n">
        <v>8743</v>
      </c>
      <c r="F326" s="17" t="n">
        <v>26612</v>
      </c>
    </row>
    <row r="327" customFormat="false" ht="15" hidden="false" customHeight="false" outlineLevel="0" collapsed="false">
      <c r="A327" s="15" t="n">
        <v>45748</v>
      </c>
      <c r="B327" s="16" t="n">
        <v>1209.69</v>
      </c>
      <c r="C327" s="17" t="n">
        <v>23709</v>
      </c>
      <c r="D327" s="17" t="n">
        <v>32193</v>
      </c>
      <c r="E327" s="17" t="n">
        <v>8767</v>
      </c>
      <c r="F327" s="17" t="n">
        <v>27517</v>
      </c>
    </row>
    <row r="328" customFormat="false" ht="15" hidden="false" customHeight="false" outlineLevel="0" collapsed="false">
      <c r="A328" s="15" t="n">
        <v>45749</v>
      </c>
      <c r="B328" s="16" t="n">
        <v>1263.45</v>
      </c>
      <c r="C328" s="17" t="n">
        <v>24992</v>
      </c>
      <c r="D328" s="17" t="n">
        <v>33508</v>
      </c>
      <c r="E328" s="17" t="n">
        <v>9160</v>
      </c>
      <c r="F328" s="17" t="n">
        <v>28641</v>
      </c>
    </row>
    <row r="329" customFormat="false" ht="15" hidden="false" customHeight="false" outlineLevel="0" collapsed="false">
      <c r="A329" s="15" t="n">
        <v>45750</v>
      </c>
      <c r="B329" s="16" t="n">
        <v>1279.99</v>
      </c>
      <c r="C329" s="17" t="n">
        <v>25291</v>
      </c>
      <c r="D329" s="17" t="n">
        <v>33895</v>
      </c>
      <c r="E329" s="17" t="n">
        <v>9162</v>
      </c>
      <c r="F329" s="17" t="n">
        <v>29311</v>
      </c>
    </row>
    <row r="330" customFormat="false" ht="15" hidden="false" customHeight="false" outlineLevel="0" collapsed="false">
      <c r="A330" s="15" t="n">
        <v>45751</v>
      </c>
      <c r="B330" s="16" t="n">
        <v>1287.86</v>
      </c>
      <c r="C330" s="17" t="n">
        <v>25538</v>
      </c>
      <c r="D330" s="17" t="n">
        <v>34061</v>
      </c>
      <c r="E330" s="17" t="n">
        <v>9155</v>
      </c>
      <c r="F330" s="17" t="n">
        <v>29642</v>
      </c>
    </row>
    <row r="331" customFormat="false" ht="15" hidden="false" customHeight="false" outlineLevel="0" collapsed="false">
      <c r="A331" s="15" t="n">
        <v>45754</v>
      </c>
      <c r="B331" s="16" t="n">
        <v>1300.26</v>
      </c>
      <c r="C331" s="17" t="n">
        <v>25476</v>
      </c>
      <c r="D331" s="17" t="n">
        <v>34524</v>
      </c>
      <c r="E331" s="17" t="n">
        <v>9231</v>
      </c>
      <c r="F331" s="17" t="n">
        <v>29926</v>
      </c>
    </row>
    <row r="332" customFormat="false" ht="15" hidden="false" customHeight="false" outlineLevel="0" collapsed="false">
      <c r="A332" s="15" t="n">
        <v>45755</v>
      </c>
      <c r="B332" s="16" t="n">
        <v>1293.79</v>
      </c>
      <c r="C332" s="17" t="n">
        <v>25401</v>
      </c>
      <c r="D332" s="17" t="n">
        <v>34041</v>
      </c>
      <c r="E332" s="17" t="n">
        <v>9078</v>
      </c>
      <c r="F332" s="17" t="n">
        <v>29392</v>
      </c>
    </row>
    <row r="333" customFormat="false" ht="15" hidden="false" customHeight="false" outlineLevel="0" collapsed="false">
      <c r="A333" s="15" t="n">
        <v>45756</v>
      </c>
      <c r="B333" s="16" t="n">
        <v>1345.58</v>
      </c>
      <c r="C333" s="17" t="n">
        <v>27049</v>
      </c>
      <c r="D333" s="17" t="n">
        <v>35405</v>
      </c>
      <c r="E333" s="17" t="n">
        <v>9275</v>
      </c>
      <c r="F333" s="17" t="n">
        <v>31373</v>
      </c>
    </row>
    <row r="334" customFormat="false" ht="15" hidden="false" customHeight="false" outlineLevel="0" collapsed="false">
      <c r="A334" s="15" t="n">
        <v>45757</v>
      </c>
      <c r="B334" s="16" t="n">
        <v>1348.81</v>
      </c>
      <c r="C334" s="17" t="n">
        <v>27718</v>
      </c>
      <c r="D334" s="17" t="n">
        <v>36014</v>
      </c>
      <c r="E334" s="17" t="n">
        <v>9417</v>
      </c>
      <c r="F334" s="17" t="n">
        <v>31042</v>
      </c>
    </row>
    <row r="335" customFormat="false" ht="15" hidden="false" customHeight="false" outlineLevel="0" collapsed="false">
      <c r="A335" s="15" t="n">
        <v>45758</v>
      </c>
      <c r="B335" s="16" t="n">
        <v>1323.26</v>
      </c>
      <c r="C335" s="17" t="n">
        <v>26953</v>
      </c>
      <c r="D335" s="17" t="n">
        <v>35305</v>
      </c>
      <c r="E335" s="17" t="n">
        <v>9297</v>
      </c>
      <c r="F335" s="17" t="n">
        <v>30428</v>
      </c>
    </row>
    <row r="336" customFormat="false" ht="15" hidden="false" customHeight="false" outlineLevel="0" collapsed="false">
      <c r="A336" s="15" t="n">
        <v>45761</v>
      </c>
      <c r="B336" s="16" t="n">
        <v>1319.14</v>
      </c>
      <c r="C336" s="17" t="n">
        <v>27106</v>
      </c>
      <c r="D336" s="17" t="n">
        <v>35312</v>
      </c>
      <c r="E336" s="17" t="n">
        <v>9276</v>
      </c>
      <c r="F336" s="17" t="n">
        <v>30146</v>
      </c>
    </row>
    <row r="337" customFormat="false" ht="15" hidden="false" customHeight="false" outlineLevel="0" collapsed="false">
      <c r="A337" s="15" t="n">
        <v>45762</v>
      </c>
      <c r="B337" s="16" t="n">
        <v>1281.92</v>
      </c>
      <c r="C337" s="17" t="n">
        <v>25912</v>
      </c>
      <c r="D337" s="17" t="n">
        <v>35057</v>
      </c>
      <c r="E337" s="17" t="n">
        <v>9166</v>
      </c>
      <c r="F337" s="17" t="n">
        <v>31301</v>
      </c>
    </row>
    <row r="338" customFormat="false" ht="15" hidden="false" customHeight="false" outlineLevel="0" collapsed="false">
      <c r="A338" s="15" t="n">
        <v>45763</v>
      </c>
      <c r="B338" s="16" t="n">
        <v>1259.46</v>
      </c>
      <c r="C338" s="17" t="n">
        <v>25318</v>
      </c>
      <c r="D338" s="17" t="n">
        <v>34058</v>
      </c>
      <c r="E338" s="17" t="n">
        <v>9076</v>
      </c>
      <c r="F338" s="17" t="n">
        <v>30756</v>
      </c>
    </row>
    <row r="339" customFormat="false" ht="15" hidden="false" customHeight="false" outlineLevel="0" collapsed="false">
      <c r="A339" s="15" t="n">
        <v>45764</v>
      </c>
      <c r="B339" s="16" t="n">
        <v>1238.11</v>
      </c>
      <c r="C339" s="17" t="n">
        <v>25202</v>
      </c>
      <c r="D339" s="17" t="n">
        <v>33636</v>
      </c>
      <c r="E339" s="17" t="n">
        <v>8857</v>
      </c>
      <c r="F339" s="17" t="n">
        <v>30232</v>
      </c>
    </row>
    <row r="340" customFormat="false" ht="15" hidden="false" customHeight="false" outlineLevel="0" collapsed="false">
      <c r="A340" s="15" t="n">
        <v>45765</v>
      </c>
      <c r="B340" s="16" t="n">
        <v>1234.96</v>
      </c>
      <c r="C340" s="17" t="n">
        <v>25728</v>
      </c>
      <c r="D340" s="17" t="n">
        <v>33617</v>
      </c>
      <c r="E340" s="17" t="n">
        <v>8770</v>
      </c>
      <c r="F340" s="17" t="n">
        <v>29932</v>
      </c>
    </row>
    <row r="341" customFormat="false" ht="15" hidden="false" customHeight="false" outlineLevel="0" collapsed="false">
      <c r="A341" s="15" t="n">
        <v>45768</v>
      </c>
      <c r="B341" s="16" t="n">
        <v>1230.98</v>
      </c>
      <c r="C341" s="17" t="n">
        <v>25601</v>
      </c>
      <c r="D341" s="17" t="n">
        <v>33332</v>
      </c>
      <c r="E341" s="17" t="n">
        <v>8681</v>
      </c>
      <c r="F341" s="17" t="n">
        <v>30464</v>
      </c>
    </row>
    <row r="342" customFormat="false" ht="15" hidden="false" customHeight="false" outlineLevel="0" collapsed="false">
      <c r="A342" s="15" t="n">
        <v>45769</v>
      </c>
      <c r="B342" s="16" t="n">
        <v>1234.44</v>
      </c>
      <c r="C342" s="17" t="n">
        <v>25944</v>
      </c>
      <c r="D342" s="17" t="n">
        <v>33593</v>
      </c>
      <c r="E342" s="17" t="n">
        <v>8644</v>
      </c>
      <c r="F342" s="17" t="n">
        <v>30617</v>
      </c>
    </row>
    <row r="343" customFormat="false" ht="15" hidden="false" customHeight="false" outlineLevel="0" collapsed="false">
      <c r="A343" s="15" t="n">
        <v>45770</v>
      </c>
      <c r="B343" s="16" t="n">
        <v>1253.06</v>
      </c>
      <c r="C343" s="17" t="n">
        <v>26654</v>
      </c>
      <c r="D343" s="17" t="n">
        <v>34270</v>
      </c>
      <c r="E343" s="17" t="n">
        <v>8680</v>
      </c>
      <c r="F343" s="17" t="n">
        <v>31575</v>
      </c>
    </row>
    <row r="344" customFormat="false" ht="15" hidden="false" customHeight="false" outlineLevel="0" collapsed="false">
      <c r="A344" s="15" t="n">
        <v>45771</v>
      </c>
      <c r="B344" s="16" t="n">
        <v>1221.07</v>
      </c>
      <c r="C344" s="17" t="n">
        <v>25890</v>
      </c>
      <c r="D344" s="17" t="n">
        <v>33676</v>
      </c>
      <c r="E344" s="17" t="n">
        <v>8540</v>
      </c>
      <c r="F344" s="17" t="n">
        <v>31187</v>
      </c>
    </row>
    <row r="345" customFormat="false" ht="15" hidden="false" customHeight="false" outlineLevel="0" collapsed="false">
      <c r="A345" s="15" t="n">
        <v>45772</v>
      </c>
      <c r="B345" s="16" t="n">
        <v>1213.37</v>
      </c>
      <c r="C345" s="17" t="n">
        <v>25518</v>
      </c>
      <c r="D345" s="17" t="n">
        <v>33688</v>
      </c>
      <c r="E345" s="17" t="n">
        <v>8180</v>
      </c>
      <c r="F345" s="17" t="n">
        <v>30645</v>
      </c>
    </row>
    <row r="346" customFormat="false" ht="15" hidden="false" customHeight="false" outlineLevel="0" collapsed="false">
      <c r="A346" s="15" t="n">
        <v>45775</v>
      </c>
      <c r="B346" s="16" t="n">
        <v>1205.99</v>
      </c>
      <c r="C346" s="17" t="n">
        <v>25250</v>
      </c>
      <c r="D346" s="17" t="n">
        <v>32983</v>
      </c>
      <c r="E346" s="17" t="n">
        <v>8162</v>
      </c>
      <c r="F346" s="17" t="n">
        <v>29852</v>
      </c>
    </row>
    <row r="347" customFormat="false" ht="15" hidden="false" customHeight="false" outlineLevel="0" collapsed="false">
      <c r="A347" s="15" t="n">
        <v>45776</v>
      </c>
      <c r="B347" s="16" t="n">
        <v>1211.6</v>
      </c>
      <c r="C347" s="17" t="n">
        <v>25209</v>
      </c>
      <c r="D347" s="17" t="n">
        <v>33248</v>
      </c>
      <c r="E347" s="17" t="n">
        <v>8162</v>
      </c>
      <c r="F347" s="17" t="n">
        <v>30218</v>
      </c>
    </row>
    <row r="348" customFormat="false" ht="15" hidden="false" customHeight="false" outlineLevel="0" collapsed="false">
      <c r="A348" s="15" t="n">
        <v>45777</v>
      </c>
      <c r="B348" s="16" t="n">
        <v>1205.66</v>
      </c>
      <c r="C348" s="17" t="n">
        <v>25284</v>
      </c>
      <c r="D348" s="17" t="n">
        <v>32872</v>
      </c>
      <c r="E348" s="17" t="n">
        <v>8137</v>
      </c>
      <c r="F348" s="17" t="n">
        <v>29933</v>
      </c>
    </row>
    <row r="349" customFormat="false" ht="15" hidden="false" customHeight="false" outlineLevel="0" collapsed="false">
      <c r="A349" s="15" t="n">
        <v>45778</v>
      </c>
      <c r="B349" s="16" t="n">
        <v>1200.5</v>
      </c>
      <c r="C349" s="17" t="n">
        <v>25489</v>
      </c>
      <c r="D349" s="17" t="n">
        <v>32415</v>
      </c>
      <c r="E349" s="17" t="n">
        <v>8070</v>
      </c>
      <c r="F349" s="17" t="n">
        <v>29773</v>
      </c>
    </row>
    <row r="350" customFormat="false" ht="15" hidden="false" customHeight="false" outlineLevel="0" collapsed="false">
      <c r="A350" s="15" t="n">
        <v>45779</v>
      </c>
      <c r="B350" s="16" t="n">
        <v>1194.82</v>
      </c>
      <c r="C350" s="17" t="n">
        <v>25362</v>
      </c>
      <c r="D350" s="17" t="n">
        <v>32413</v>
      </c>
      <c r="E350" s="17" t="n">
        <v>8092</v>
      </c>
      <c r="F350" s="17" t="n">
        <v>29413</v>
      </c>
    </row>
    <row r="351" customFormat="false" ht="15" hidden="false" customHeight="false" outlineLevel="0" collapsed="false">
      <c r="A351" s="15" t="n">
        <v>45782</v>
      </c>
      <c r="B351" s="16" t="n">
        <v>1217.19</v>
      </c>
      <c r="C351" s="17" t="n">
        <v>25883</v>
      </c>
      <c r="D351" s="17" t="n">
        <v>32951</v>
      </c>
      <c r="E351" s="17" t="n">
        <v>8157</v>
      </c>
      <c r="F351" s="17" t="n">
        <v>31145</v>
      </c>
    </row>
    <row r="352" customFormat="false" ht="15" hidden="false" customHeight="false" outlineLevel="0" collapsed="false">
      <c r="A352" s="15" t="n">
        <v>45783</v>
      </c>
      <c r="B352" s="16" t="n">
        <v>1208.1</v>
      </c>
      <c r="C352" s="17" t="n">
        <v>25601</v>
      </c>
      <c r="D352" s="17" t="n">
        <v>32850</v>
      </c>
      <c r="E352" s="17" t="n">
        <v>8052</v>
      </c>
      <c r="F352" s="17" t="n">
        <v>31147</v>
      </c>
    </row>
    <row r="353" customFormat="false" ht="15" hidden="false" customHeight="false" outlineLevel="0" collapsed="false">
      <c r="A353" s="15" t="n">
        <v>45784</v>
      </c>
      <c r="B353" s="16" t="n">
        <v>1263.42</v>
      </c>
      <c r="C353" s="17" t="n">
        <v>26998</v>
      </c>
      <c r="D353" s="17" t="n">
        <v>35089</v>
      </c>
      <c r="E353" s="17" t="n">
        <v>8305</v>
      </c>
      <c r="F353" s="17" t="n">
        <v>33397</v>
      </c>
    </row>
    <row r="354" customFormat="false" ht="15" hidden="false" customHeight="false" outlineLevel="0" collapsed="false">
      <c r="A354" s="15" t="n">
        <v>45785</v>
      </c>
      <c r="B354" s="16" t="n">
        <v>1258.21</v>
      </c>
      <c r="C354" s="17" t="n">
        <v>26899</v>
      </c>
      <c r="D354" s="17" t="n">
        <v>34047</v>
      </c>
      <c r="E354" s="17" t="n">
        <v>8295</v>
      </c>
      <c r="F354" s="17" t="n">
        <v>33078</v>
      </c>
    </row>
    <row r="355" customFormat="false" ht="15" hidden="false" customHeight="false" outlineLevel="0" collapsed="false">
      <c r="A355" s="15" t="n">
        <v>45786</v>
      </c>
      <c r="B355" s="16" t="n">
        <v>1265.75</v>
      </c>
      <c r="C355" s="17" t="n">
        <v>27288</v>
      </c>
      <c r="D355" s="17" t="n">
        <v>34148</v>
      </c>
      <c r="E355" s="17" t="n">
        <v>8328</v>
      </c>
      <c r="F355" s="17" t="n">
        <v>33191</v>
      </c>
    </row>
    <row r="356" customFormat="false" ht="15" hidden="false" customHeight="false" outlineLevel="0" collapsed="false">
      <c r="A356" s="15" t="n">
        <v>45789</v>
      </c>
      <c r="B356" s="16" t="n">
        <v>1270.26</v>
      </c>
      <c r="C356" s="17" t="n">
        <v>27281</v>
      </c>
      <c r="D356" s="17" t="n">
        <v>34380</v>
      </c>
      <c r="E356" s="17" t="n">
        <v>8421</v>
      </c>
      <c r="F356" s="17" t="n">
        <v>33260</v>
      </c>
    </row>
    <row r="357" customFormat="false" ht="15" hidden="false" customHeight="false" outlineLevel="0" collapsed="false">
      <c r="A357" s="15" t="n">
        <v>45790</v>
      </c>
      <c r="B357" s="16" t="n">
        <v>1276.96</v>
      </c>
      <c r="C357" s="17" t="n">
        <v>26949</v>
      </c>
      <c r="D357" s="17" t="n">
        <v>34414</v>
      </c>
      <c r="E357" s="17" t="n">
        <v>8447</v>
      </c>
      <c r="F357" s="17" t="n">
        <v>34330</v>
      </c>
    </row>
    <row r="358" customFormat="false" ht="15" hidden="false" customHeight="false" outlineLevel="0" collapsed="false">
      <c r="A358" s="15" t="n">
        <v>45791</v>
      </c>
      <c r="B358" s="16" t="n">
        <v>1274.4</v>
      </c>
      <c r="C358" s="17" t="n">
        <v>26960</v>
      </c>
      <c r="D358" s="17" t="n">
        <v>34540</v>
      </c>
      <c r="E358" s="17" t="n">
        <v>8545</v>
      </c>
      <c r="F358" s="17" t="n">
        <v>34448</v>
      </c>
    </row>
    <row r="359" customFormat="false" ht="15" hidden="false" customHeight="false" outlineLevel="0" collapsed="false">
      <c r="A359" s="15" t="n">
        <v>45792</v>
      </c>
      <c r="B359" s="16" t="n">
        <v>1273.56</v>
      </c>
      <c r="C359" s="17" t="n">
        <v>26830</v>
      </c>
      <c r="D359" s="17" t="n">
        <v>34411</v>
      </c>
      <c r="E359" s="17" t="n">
        <v>8533</v>
      </c>
      <c r="F359" s="17" t="n">
        <v>34023</v>
      </c>
    </row>
    <row r="360" customFormat="false" ht="15" hidden="false" customHeight="false" outlineLevel="0" collapsed="false">
      <c r="A360" s="15" t="n">
        <v>45793</v>
      </c>
      <c r="B360" s="16" t="n">
        <v>1253.29</v>
      </c>
      <c r="C360" s="17" t="n">
        <v>26279</v>
      </c>
      <c r="D360" s="17" t="n">
        <v>34129</v>
      </c>
      <c r="E360" s="17" t="n">
        <v>8528</v>
      </c>
      <c r="F360" s="17" t="n">
        <v>33617</v>
      </c>
    </row>
    <row r="361" customFormat="false" ht="15" hidden="false" customHeight="false" outlineLevel="0" collapsed="false">
      <c r="A361" s="15" t="n">
        <v>45796</v>
      </c>
      <c r="B361" s="16" t="n">
        <v>1252.91</v>
      </c>
      <c r="C361" s="17" t="n">
        <v>26041</v>
      </c>
      <c r="D361" s="17" t="n">
        <v>34569</v>
      </c>
      <c r="E361" s="17" t="n">
        <v>8514</v>
      </c>
      <c r="F361" s="17" t="n">
        <v>34080</v>
      </c>
    </row>
    <row r="362" customFormat="false" ht="15" hidden="false" customHeight="false" outlineLevel="0" collapsed="false">
      <c r="A362" s="15" t="n">
        <v>45797</v>
      </c>
      <c r="B362" s="16" t="n">
        <v>1282.05</v>
      </c>
      <c r="C362" s="17" t="n">
        <v>26820</v>
      </c>
      <c r="D362" s="17" t="n">
        <v>35542</v>
      </c>
      <c r="E362" s="17" t="n">
        <v>8739</v>
      </c>
      <c r="F362" s="17" t="n">
        <v>35757</v>
      </c>
    </row>
    <row r="363" customFormat="false" ht="15" hidden="false" customHeight="false" outlineLevel="0" collapsed="false">
      <c r="A363" s="15" t="n">
        <v>45798</v>
      </c>
      <c r="B363" s="16" t="n">
        <v>1306.71</v>
      </c>
      <c r="C363" s="17" t="n">
        <v>27133</v>
      </c>
      <c r="D363" s="17" t="n">
        <v>35803</v>
      </c>
      <c r="E363" s="17" t="n">
        <v>8861</v>
      </c>
      <c r="F363" s="17" t="n">
        <v>36571</v>
      </c>
    </row>
    <row r="364" customFormat="false" ht="15" hidden="false" customHeight="false" outlineLevel="0" collapsed="false">
      <c r="A364" s="15" t="n">
        <v>45799</v>
      </c>
      <c r="B364" s="16" t="n">
        <v>1273.54</v>
      </c>
      <c r="C364" s="17" t="n">
        <v>26054</v>
      </c>
      <c r="D364" s="17" t="n">
        <v>35063</v>
      </c>
      <c r="E364" s="17" t="n">
        <v>8688</v>
      </c>
      <c r="F364" s="17" t="n">
        <v>35611</v>
      </c>
    </row>
    <row r="365" customFormat="false" ht="15" hidden="false" customHeight="false" outlineLevel="0" collapsed="false">
      <c r="A365" s="15" t="n">
        <v>45800</v>
      </c>
      <c r="B365" s="16" t="n">
        <v>1268.91</v>
      </c>
      <c r="C365" s="17" t="n">
        <v>25866</v>
      </c>
      <c r="D365" s="17" t="n">
        <v>34517</v>
      </c>
      <c r="E365" s="17" t="n">
        <v>8685</v>
      </c>
      <c r="F365" s="17" t="n">
        <v>35454</v>
      </c>
    </row>
    <row r="366" customFormat="false" ht="15" hidden="false" customHeight="false" outlineLevel="0" collapsed="false">
      <c r="A366" s="15" t="n">
        <v>45803</v>
      </c>
      <c r="B366" s="16" t="n">
        <v>1292.96</v>
      </c>
      <c r="C366" s="17" t="n">
        <v>26357</v>
      </c>
      <c r="D366" s="17" t="n">
        <v>35085</v>
      </c>
      <c r="E366" s="17" t="n">
        <v>8891</v>
      </c>
      <c r="F366" s="17" t="n">
        <v>36956</v>
      </c>
    </row>
    <row r="367" customFormat="false" ht="15" hidden="false" customHeight="false" outlineLevel="0" collapsed="false">
      <c r="A367" s="15" t="n">
        <v>45804</v>
      </c>
      <c r="B367" s="16" t="n">
        <v>1308.41</v>
      </c>
      <c r="C367" s="17" t="n">
        <v>26749</v>
      </c>
      <c r="D367" s="17" t="n">
        <v>35688</v>
      </c>
      <c r="E367" s="17" t="n">
        <v>8951</v>
      </c>
      <c r="F367" s="17" t="n">
        <v>37024</v>
      </c>
    </row>
    <row r="368" customFormat="false" ht="15" hidden="false" customHeight="false" outlineLevel="0" collapsed="false">
      <c r="A368" s="15" t="n">
        <v>45805</v>
      </c>
      <c r="B368" s="16" t="n">
        <v>1319.56</v>
      </c>
      <c r="C368" s="17" t="n">
        <v>27499</v>
      </c>
      <c r="D368" s="17" t="n">
        <v>35942</v>
      </c>
      <c r="E368" s="17" t="n">
        <v>9003</v>
      </c>
      <c r="F368" s="17" t="n">
        <v>37822</v>
      </c>
    </row>
    <row r="369" customFormat="false" ht="15" hidden="false" customHeight="false" outlineLevel="0" collapsed="false">
      <c r="A369" s="15" t="n">
        <v>45806</v>
      </c>
      <c r="B369" s="16" t="n">
        <v>1328.63</v>
      </c>
      <c r="C369" s="17" t="n">
        <v>27215</v>
      </c>
      <c r="D369" s="17" t="n">
        <v>36139</v>
      </c>
      <c r="E369" s="17" t="n">
        <v>9160</v>
      </c>
      <c r="F369" s="17" t="n">
        <v>37547</v>
      </c>
    </row>
    <row r="370" customFormat="false" ht="15" hidden="false" customHeight="false" outlineLevel="0" collapsed="false">
      <c r="A370" s="15" t="n">
        <v>45807</v>
      </c>
      <c r="B370" s="16" t="n">
        <v>1327.74</v>
      </c>
      <c r="C370" s="17" t="n">
        <v>27755</v>
      </c>
      <c r="D370" s="17" t="n">
        <v>36532</v>
      </c>
      <c r="E370" s="17" t="n">
        <v>9193</v>
      </c>
      <c r="F370" s="17" t="n">
        <v>37807</v>
      </c>
    </row>
    <row r="371" customFormat="false" ht="15" hidden="false" customHeight="false" outlineLevel="0" collapsed="false">
      <c r="A371" s="15" t="n">
        <v>45810</v>
      </c>
      <c r="B371" s="16" t="n">
        <v>1346.75</v>
      </c>
      <c r="C371" s="17" t="n">
        <v>28588</v>
      </c>
      <c r="D371" s="17" t="n">
        <v>36722</v>
      </c>
      <c r="E371" s="17" t="n">
        <v>9203</v>
      </c>
      <c r="F371" s="17" t="n">
        <v>38374</v>
      </c>
    </row>
    <row r="372" customFormat="false" ht="15" hidden="false" customHeight="false" outlineLevel="0" collapsed="false">
      <c r="A372" s="15" t="n">
        <v>45811</v>
      </c>
      <c r="B372" s="16" t="n">
        <v>1336.76</v>
      </c>
      <c r="C372" s="17" t="n">
        <v>28285</v>
      </c>
      <c r="D372" s="17" t="n">
        <v>36730</v>
      </c>
      <c r="E372" s="17" t="n">
        <v>9144</v>
      </c>
      <c r="F372" s="17" t="n">
        <v>38412</v>
      </c>
    </row>
    <row r="373" customFormat="false" ht="15" hidden="false" customHeight="false" outlineLevel="0" collapsed="false">
      <c r="A373" s="15" t="n">
        <v>45812</v>
      </c>
      <c r="B373" s="16" t="n">
        <v>1308.96</v>
      </c>
      <c r="C373" s="17" t="n">
        <v>27895</v>
      </c>
      <c r="D373" s="17" t="n">
        <v>35674</v>
      </c>
      <c r="E373" s="17" t="n">
        <v>8972</v>
      </c>
      <c r="F373" s="17" t="n">
        <v>37485</v>
      </c>
    </row>
    <row r="374" customFormat="false" ht="15" hidden="false" customHeight="false" outlineLevel="0" collapsed="false">
      <c r="A374" s="15" t="n">
        <v>45813</v>
      </c>
      <c r="B374" s="16" t="n">
        <v>1296.75</v>
      </c>
      <c r="C374" s="17" t="n">
        <v>27203</v>
      </c>
      <c r="D374" s="17" t="n">
        <v>35330</v>
      </c>
      <c r="E374" s="17" t="n">
        <v>8948</v>
      </c>
      <c r="F374" s="17" t="n">
        <v>37692</v>
      </c>
    </row>
    <row r="375" customFormat="false" ht="15" hidden="false" customHeight="false" outlineLevel="0" collapsed="false">
      <c r="A375" s="15" t="n">
        <v>45814</v>
      </c>
      <c r="B375" s="16" t="n">
        <v>1291.61</v>
      </c>
      <c r="C375" s="17" t="n">
        <v>27098</v>
      </c>
      <c r="D375" s="17" t="n">
        <v>35111</v>
      </c>
      <c r="E375" s="17" t="n">
        <v>8985</v>
      </c>
      <c r="F375" s="17" t="n">
        <v>37360</v>
      </c>
    </row>
    <row r="376" customFormat="false" ht="15" hidden="false" customHeight="false" outlineLevel="0" collapsed="false">
      <c r="A376" s="15" t="n">
        <v>45817</v>
      </c>
      <c r="B376" s="16" t="n">
        <v>1285.71</v>
      </c>
      <c r="C376" s="17" t="n">
        <v>26877</v>
      </c>
      <c r="D376" s="17" t="n">
        <v>35020</v>
      </c>
      <c r="E376" s="17" t="n">
        <v>8946</v>
      </c>
      <c r="F376" s="17" t="n">
        <v>36984</v>
      </c>
    </row>
    <row r="377" customFormat="false" ht="15" hidden="false" customHeight="false" outlineLevel="0" collapsed="false">
      <c r="A377" s="15" t="n">
        <v>45818</v>
      </c>
      <c r="B377" s="16" t="n">
        <v>1283.43</v>
      </c>
      <c r="C377" s="17" t="n">
        <v>26961</v>
      </c>
      <c r="D377" s="17" t="n">
        <v>35031</v>
      </c>
      <c r="E377" s="17" t="n">
        <v>8917</v>
      </c>
      <c r="F377" s="17" t="n">
        <v>36915</v>
      </c>
    </row>
    <row r="378" customFormat="false" ht="15" hidden="false" customHeight="false" outlineLevel="0" collapsed="false">
      <c r="A378" s="15" t="n">
        <v>45819</v>
      </c>
      <c r="B378" s="16" t="n">
        <v>1290.17</v>
      </c>
      <c r="C378" s="17" t="n">
        <v>26807</v>
      </c>
      <c r="D378" s="17" t="n">
        <v>35244</v>
      </c>
      <c r="E378" s="17" t="n">
        <v>8902</v>
      </c>
      <c r="F378" s="17" t="n">
        <v>37177</v>
      </c>
    </row>
    <row r="379" customFormat="false" ht="15" hidden="false" customHeight="false" outlineLevel="0" collapsed="false">
      <c r="A379" s="15" t="n">
        <v>45820</v>
      </c>
      <c r="B379" s="16" t="n">
        <v>1253.31</v>
      </c>
      <c r="C379" s="17" t="n">
        <v>26328</v>
      </c>
      <c r="D379" s="17" t="n">
        <v>34544</v>
      </c>
      <c r="E379" s="17" t="n">
        <v>8679</v>
      </c>
      <c r="F379" s="17" t="n">
        <v>35918</v>
      </c>
    </row>
    <row r="380" customFormat="false" ht="15" hidden="false" customHeight="false" outlineLevel="0" collapsed="false">
      <c r="A380" s="15" t="n">
        <v>45821</v>
      </c>
      <c r="B380" s="16" t="n">
        <v>1287.25</v>
      </c>
      <c r="C380" s="17" t="n">
        <v>26895</v>
      </c>
      <c r="D380" s="17" t="n">
        <v>35407</v>
      </c>
      <c r="E380" s="17" t="n">
        <v>8797</v>
      </c>
      <c r="F380" s="17" t="n">
        <v>37167</v>
      </c>
    </row>
    <row r="381" customFormat="false" ht="15" hidden="false" customHeight="false" outlineLevel="0" collapsed="false">
      <c r="A381" s="15" t="n">
        <v>45824</v>
      </c>
      <c r="B381" s="16" t="n">
        <v>1308.25</v>
      </c>
      <c r="C381" s="17" t="n">
        <v>27361</v>
      </c>
      <c r="D381" s="17" t="n">
        <v>36047</v>
      </c>
      <c r="E381" s="17" t="n">
        <v>8948</v>
      </c>
      <c r="F381" s="17" t="n">
        <v>37610</v>
      </c>
    </row>
    <row r="382" customFormat="false" ht="15" hidden="false" customHeight="false" outlineLevel="0" collapsed="false">
      <c r="A382" s="15" t="n">
        <v>45825</v>
      </c>
      <c r="B382" s="16" t="n">
        <v>1281.47</v>
      </c>
      <c r="C382" s="17" t="n">
        <v>26694</v>
      </c>
      <c r="D382" s="17" t="n">
        <v>35249</v>
      </c>
      <c r="E382" s="17" t="n">
        <v>8746</v>
      </c>
      <c r="F382" s="17" t="n">
        <v>36016</v>
      </c>
    </row>
    <row r="383" customFormat="false" ht="15" hidden="false" customHeight="false" outlineLevel="0" collapsed="false">
      <c r="A383" s="15" t="n">
        <v>45826</v>
      </c>
      <c r="B383" s="16" t="n">
        <v>1290.45</v>
      </c>
      <c r="C383" s="17" t="n">
        <v>26906</v>
      </c>
      <c r="D383" s="17" t="n">
        <v>35796</v>
      </c>
      <c r="E383" s="17" t="n">
        <v>8803</v>
      </c>
      <c r="F383" s="17" t="n">
        <v>35704</v>
      </c>
    </row>
    <row r="384" customFormat="false" ht="15" hidden="false" customHeight="false" outlineLevel="0" collapsed="false">
      <c r="A384" s="15" t="n">
        <v>45827</v>
      </c>
      <c r="B384" s="16" t="n">
        <v>1297.74</v>
      </c>
      <c r="C384" s="17" t="n">
        <v>27259</v>
      </c>
      <c r="D384" s="17" t="n">
        <v>36277</v>
      </c>
      <c r="E384" s="17" t="n">
        <v>8899</v>
      </c>
      <c r="F384" s="17" t="n">
        <v>35977</v>
      </c>
    </row>
    <row r="385" customFormat="false" ht="15" hidden="false" customHeight="false" outlineLevel="0" collapsed="false">
      <c r="A385" s="15" t="n">
        <v>45828</v>
      </c>
      <c r="B385" s="16" t="n">
        <v>1295.5</v>
      </c>
      <c r="C385" s="17" t="n">
        <v>27142</v>
      </c>
      <c r="D385" s="17" t="n">
        <v>35902</v>
      </c>
      <c r="E385" s="17" t="n">
        <v>8874</v>
      </c>
      <c r="F385" s="17" t="n">
        <v>36908</v>
      </c>
    </row>
    <row r="386" customFormat="false" ht="15" hidden="false" customHeight="false" outlineLevel="0" collapsed="false">
      <c r="A386" s="15" t="n">
        <v>45831</v>
      </c>
      <c r="B386" s="16" t="n">
        <v>1286.03</v>
      </c>
      <c r="C386" s="17" t="n">
        <v>26995</v>
      </c>
      <c r="D386" s="17" t="n">
        <v>35945</v>
      </c>
      <c r="E386" s="17" t="n">
        <v>8907</v>
      </c>
      <c r="F386" s="17" t="n">
        <v>36233</v>
      </c>
    </row>
    <row r="387" customFormat="false" ht="15" hidden="false" customHeight="false" outlineLevel="0" collapsed="false">
      <c r="A387" s="15" t="n">
        <v>45832</v>
      </c>
      <c r="B387" s="16" t="n">
        <v>1296.28</v>
      </c>
      <c r="C387" s="17" t="n">
        <v>27679</v>
      </c>
      <c r="D387" s="17" t="n">
        <v>36323</v>
      </c>
      <c r="E387" s="17" t="n">
        <v>9002</v>
      </c>
      <c r="F387" s="17" t="n">
        <v>35910</v>
      </c>
    </row>
    <row r="388" customFormat="false" ht="15" hidden="false" customHeight="false" outlineLevel="0" collapsed="false">
      <c r="A388" s="15" t="n">
        <v>45833</v>
      </c>
      <c r="B388" s="16" t="n">
        <v>1278.36</v>
      </c>
      <c r="C388" s="17" t="n">
        <v>26905</v>
      </c>
      <c r="D388" s="17" t="n">
        <v>35608</v>
      </c>
      <c r="E388" s="17" t="n">
        <v>8843</v>
      </c>
      <c r="F388" s="17" t="n">
        <v>35292</v>
      </c>
    </row>
    <row r="389" customFormat="false" ht="15" hidden="false" customHeight="false" outlineLevel="0" collapsed="false">
      <c r="A389" s="15" t="n">
        <v>45834</v>
      </c>
      <c r="B389" s="16" t="n">
        <v>1285.04</v>
      </c>
      <c r="C389" s="17" t="n">
        <v>27136</v>
      </c>
      <c r="D389" s="17" t="n">
        <v>35953</v>
      </c>
      <c r="E389" s="17" t="n">
        <v>8877</v>
      </c>
      <c r="F389" s="17" t="n">
        <v>35939</v>
      </c>
    </row>
    <row r="390" customFormat="false" ht="15" hidden="false" customHeight="false" outlineLevel="0" collapsed="false">
      <c r="A390" s="15" t="n">
        <v>45835</v>
      </c>
      <c r="B390" s="16" t="n">
        <v>1328.73</v>
      </c>
      <c r="C390" s="17" t="n">
        <v>28647</v>
      </c>
      <c r="D390" s="17" t="n">
        <v>37009</v>
      </c>
      <c r="E390" s="17" t="n">
        <v>9209</v>
      </c>
      <c r="F390" s="17" t="n">
        <v>38136</v>
      </c>
    </row>
    <row r="391" customFormat="false" ht="15" hidden="false" customHeight="false" outlineLevel="0" collapsed="false">
      <c r="A391" s="15" t="n">
        <v>45838</v>
      </c>
      <c r="B391" s="16" t="n">
        <v>1334.4</v>
      </c>
      <c r="C391" s="17" t="n">
        <v>28680</v>
      </c>
      <c r="D391" s="17" t="n">
        <v>37250</v>
      </c>
      <c r="E391" s="17" t="n">
        <v>9278</v>
      </c>
      <c r="F391" s="17" t="n">
        <v>38883</v>
      </c>
    </row>
    <row r="392" customFormat="false" ht="15" hidden="false" customHeight="false" outlineLevel="0" collapsed="false">
      <c r="A392" s="15" t="n">
        <v>45839</v>
      </c>
      <c r="B392" s="16" t="n">
        <v>1357.74</v>
      </c>
      <c r="C392" s="17" t="n">
        <v>29307</v>
      </c>
      <c r="D392" s="17" t="n">
        <v>37331</v>
      </c>
      <c r="E392" s="17" t="n">
        <v>9339</v>
      </c>
      <c r="F392" s="17" t="n">
        <v>40571</v>
      </c>
    </row>
    <row r="393" customFormat="false" ht="15" hidden="false" customHeight="false" outlineLevel="0" collapsed="false">
      <c r="A393" s="15" t="n">
        <v>45840</v>
      </c>
      <c r="B393" s="16" t="n">
        <v>1324.97</v>
      </c>
      <c r="C393" s="17" t="n">
        <v>28213</v>
      </c>
      <c r="D393" s="17" t="n">
        <v>35964</v>
      </c>
      <c r="E393" s="17" t="n">
        <v>9038</v>
      </c>
      <c r="F393" s="17" t="n">
        <v>39706</v>
      </c>
    </row>
    <row r="394" customFormat="false" ht="15" hidden="false" customHeight="false" outlineLevel="0" collapsed="false">
      <c r="A394" s="15" t="n">
        <v>45841</v>
      </c>
      <c r="B394" s="16" t="n">
        <v>1319.95</v>
      </c>
      <c r="C394" s="17" t="n">
        <v>28126</v>
      </c>
      <c r="D394" s="17" t="n">
        <v>35997</v>
      </c>
      <c r="E394" s="17" t="n">
        <v>9015</v>
      </c>
      <c r="F394" s="17" t="n">
        <v>39034</v>
      </c>
    </row>
    <row r="395" customFormat="false" ht="15" hidden="false" customHeight="false" outlineLevel="0" collapsed="false">
      <c r="A395" s="15" t="n">
        <v>45842</v>
      </c>
      <c r="B395" s="16" t="n">
        <v>1343.9</v>
      </c>
      <c r="C395" s="17" t="n">
        <v>29002</v>
      </c>
      <c r="D395" s="17" t="n">
        <v>36426</v>
      </c>
      <c r="E395" s="17" t="n">
        <v>9103</v>
      </c>
      <c r="F395" s="17" t="n">
        <v>40104</v>
      </c>
    </row>
    <row r="396" customFormat="false" ht="15" hidden="false" customHeight="false" outlineLevel="0" collapsed="false">
      <c r="A396" s="15" t="n">
        <v>45845</v>
      </c>
      <c r="B396" s="16" t="n">
        <v>1322.64</v>
      </c>
      <c r="C396" s="17" t="n">
        <v>28618</v>
      </c>
      <c r="D396" s="17" t="n">
        <v>36360</v>
      </c>
      <c r="E396" s="17" t="n">
        <v>8991</v>
      </c>
      <c r="F396" s="17" t="n">
        <v>39202</v>
      </c>
    </row>
    <row r="397" customFormat="false" ht="15" hidden="false" customHeight="false" outlineLevel="0" collapsed="false">
      <c r="A397" s="15" t="n">
        <v>45846</v>
      </c>
      <c r="B397" s="16" t="n">
        <v>1352.09</v>
      </c>
      <c r="C397" s="17" t="n">
        <v>29485</v>
      </c>
      <c r="D397" s="17" t="n">
        <v>36703</v>
      </c>
      <c r="E397" s="17" t="n">
        <v>9129</v>
      </c>
      <c r="F397" s="17" t="n">
        <v>40482</v>
      </c>
    </row>
    <row r="398" customFormat="false" ht="15" hidden="false" customHeight="false" outlineLevel="0" collapsed="false">
      <c r="A398" s="15" t="n">
        <v>45847</v>
      </c>
      <c r="B398" s="16" t="n">
        <v>1343.89</v>
      </c>
      <c r="C398" s="17" t="n">
        <v>29250</v>
      </c>
      <c r="D398" s="17" t="n">
        <v>36373</v>
      </c>
      <c r="E398" s="17" t="n">
        <v>9136</v>
      </c>
      <c r="F398" s="17" t="n">
        <v>40302</v>
      </c>
    </row>
    <row r="399" customFormat="false" ht="15" hidden="false" customHeight="false" outlineLevel="0" collapsed="false">
      <c r="A399" s="15" t="n">
        <v>45848</v>
      </c>
      <c r="B399" s="16" t="n">
        <v>1395.32</v>
      </c>
      <c r="C399" s="17" t="n">
        <v>30728</v>
      </c>
      <c r="D399" s="17" t="n">
        <v>37830</v>
      </c>
      <c r="E399" s="17" t="n">
        <v>9376</v>
      </c>
      <c r="F399" s="17" t="n">
        <v>42551</v>
      </c>
    </row>
    <row r="400" customFormat="false" ht="15" hidden="false" customHeight="false" outlineLevel="0" collapsed="false">
      <c r="A400" s="15" t="n">
        <v>45849</v>
      </c>
      <c r="B400" s="16" t="n">
        <v>1425.98</v>
      </c>
      <c r="C400" s="17" t="n">
        <v>31174</v>
      </c>
      <c r="D400" s="17" t="n">
        <v>38439</v>
      </c>
      <c r="E400" s="17" t="n">
        <v>9592</v>
      </c>
      <c r="F400" s="17" t="n">
        <v>43903</v>
      </c>
    </row>
    <row r="401" customFormat="false" ht="15" hidden="false" customHeight="false" outlineLevel="0" collapsed="false">
      <c r="A401" s="15" t="n">
        <v>45852</v>
      </c>
      <c r="B401" s="16" t="n">
        <v>1422.12</v>
      </c>
      <c r="C401" s="17" t="n">
        <v>30778</v>
      </c>
      <c r="D401" s="17" t="n">
        <v>38356</v>
      </c>
      <c r="E401" s="17" t="n">
        <v>9605</v>
      </c>
      <c r="F401" s="17" t="n">
        <v>43735</v>
      </c>
    </row>
    <row r="402" customFormat="false" ht="15" hidden="false" customHeight="false" outlineLevel="0" collapsed="false">
      <c r="A402" s="15" t="n">
        <v>45853</v>
      </c>
      <c r="B402" s="16" t="n">
        <v>1411.45</v>
      </c>
      <c r="C402" s="17" t="n">
        <v>30305</v>
      </c>
      <c r="D402" s="17" t="n">
        <v>38213</v>
      </c>
      <c r="E402" s="17" t="n">
        <v>9710</v>
      </c>
      <c r="F402" s="17" t="n">
        <v>43330</v>
      </c>
    </row>
    <row r="403" customFormat="false" ht="15" hidden="false" customHeight="false" outlineLevel="0" collapsed="false">
      <c r="A403" s="15" t="n">
        <v>45854</v>
      </c>
      <c r="B403" s="16" t="n">
        <v>1437.85</v>
      </c>
      <c r="C403" s="17" t="n">
        <v>30801</v>
      </c>
      <c r="D403" s="17" t="n">
        <v>39099</v>
      </c>
      <c r="E403" s="17" t="n">
        <v>9959</v>
      </c>
      <c r="F403" s="17" t="n">
        <v>44707</v>
      </c>
    </row>
    <row r="404" customFormat="false" ht="15" hidden="false" customHeight="false" outlineLevel="0" collapsed="false">
      <c r="A404" s="15" t="n">
        <v>45855</v>
      </c>
      <c r="B404" s="16" t="n">
        <v>1439.95</v>
      </c>
      <c r="C404" s="17" t="n">
        <v>30672</v>
      </c>
      <c r="D404" s="17" t="n">
        <v>38402</v>
      </c>
      <c r="E404" s="17" t="n">
        <v>10034</v>
      </c>
      <c r="F404" s="17" t="n">
        <v>44248</v>
      </c>
    </row>
    <row r="405" customFormat="false" ht="15" hidden="false" customHeight="false" outlineLevel="0" collapsed="false">
      <c r="A405" s="15" t="n">
        <v>45856</v>
      </c>
      <c r="B405" s="16" t="n">
        <v>1435.28</v>
      </c>
      <c r="C405" s="17" t="n">
        <v>31019</v>
      </c>
      <c r="D405" s="17" t="n">
        <v>37935</v>
      </c>
      <c r="E405" s="17" t="n">
        <v>10015</v>
      </c>
      <c r="F405" s="17" t="n">
        <v>45007</v>
      </c>
    </row>
    <row r="406" customFormat="false" ht="15" hidden="false" customHeight="false" outlineLevel="0" collapsed="false">
      <c r="A406" s="15" t="n">
        <v>45859</v>
      </c>
      <c r="B406" s="16" t="n">
        <v>1434.29</v>
      </c>
      <c r="C406" s="17" t="n">
        <v>30957</v>
      </c>
      <c r="D406" s="17" t="n">
        <v>37901</v>
      </c>
      <c r="E406" s="17" t="n">
        <v>10042</v>
      </c>
      <c r="F406" s="17" t="n">
        <v>44066</v>
      </c>
    </row>
    <row r="407" customFormat="false" ht="15" hidden="false" customHeight="false" outlineLevel="0" collapsed="false">
      <c r="A407" s="15" t="n">
        <v>45860</v>
      </c>
      <c r="B407" s="16" t="n">
        <v>1439.66</v>
      </c>
      <c r="C407" s="17" t="n">
        <v>30756</v>
      </c>
      <c r="D407" s="17" t="n">
        <v>38262</v>
      </c>
      <c r="E407" s="17" t="n">
        <v>9904</v>
      </c>
      <c r="F407" s="17" t="n">
        <v>43578</v>
      </c>
    </row>
    <row r="408" customFormat="false" ht="15" hidden="false" customHeight="false" outlineLevel="0" collapsed="false">
      <c r="A408" s="15" t="n">
        <v>45861</v>
      </c>
      <c r="B408" s="16" t="n">
        <v>1446.87</v>
      </c>
      <c r="C408" s="17" t="n">
        <v>30869</v>
      </c>
      <c r="D408" s="17" t="n">
        <v>38336</v>
      </c>
      <c r="E408" s="17" t="n">
        <v>9983</v>
      </c>
      <c r="F408" s="17" t="n">
        <v>43254</v>
      </c>
    </row>
    <row r="409" customFormat="false" ht="15" hidden="false" customHeight="false" outlineLevel="0" collapsed="false">
      <c r="A409" s="15" t="n">
        <v>45862</v>
      </c>
      <c r="B409" s="16" t="n">
        <v>1461.71</v>
      </c>
      <c r="C409" s="17" t="n">
        <v>31043</v>
      </c>
      <c r="D409" s="17" t="n">
        <v>38918</v>
      </c>
      <c r="E409" s="17" t="n">
        <v>9935</v>
      </c>
      <c r="F409" s="17" t="n">
        <v>43599</v>
      </c>
    </row>
    <row r="410" customFormat="false" ht="15" hidden="false" customHeight="false" outlineLevel="0" collapsed="false">
      <c r="A410" s="15" t="n">
        <v>45863</v>
      </c>
      <c r="B410" s="16" t="n">
        <v>1464.6</v>
      </c>
      <c r="C410" s="17" t="n">
        <v>31306</v>
      </c>
      <c r="D410" s="17" t="n">
        <v>39089</v>
      </c>
      <c r="E410" s="17" t="n">
        <v>9929</v>
      </c>
      <c r="F410" s="17" t="n">
        <v>44770</v>
      </c>
    </row>
    <row r="411" customFormat="false" ht="15" hidden="false" customHeight="false" outlineLevel="0" collapsed="false">
      <c r="A411" s="15" t="n">
        <v>45866</v>
      </c>
      <c r="B411" s="16" t="n">
        <v>1443.31</v>
      </c>
      <c r="C411" s="17" t="n">
        <v>30347</v>
      </c>
      <c r="D411" s="17" t="n">
        <v>38722</v>
      </c>
      <c r="E411" s="17" t="n">
        <v>9809</v>
      </c>
      <c r="F411" s="17" t="n">
        <v>45143</v>
      </c>
    </row>
    <row r="412" customFormat="false" ht="15" hidden="false" customHeight="false" outlineLevel="0" collapsed="false">
      <c r="A412" s="15" t="n">
        <v>45867</v>
      </c>
      <c r="B412" s="16" t="n">
        <v>1455.06</v>
      </c>
      <c r="C412" s="17" t="n">
        <v>30592</v>
      </c>
      <c r="D412" s="17" t="n">
        <v>37947</v>
      </c>
      <c r="E412" s="17" t="n">
        <v>9887</v>
      </c>
      <c r="F412" s="17" t="n">
        <v>45503</v>
      </c>
    </row>
    <row r="413" customFormat="false" ht="15" hidden="false" customHeight="false" outlineLevel="0" collapsed="false">
      <c r="A413" s="15" t="n">
        <v>45868</v>
      </c>
      <c r="B413" s="16" t="n">
        <v>1455.93</v>
      </c>
      <c r="C413" s="17" t="n">
        <v>30768</v>
      </c>
      <c r="D413" s="17" t="n">
        <v>37336</v>
      </c>
      <c r="E413" s="17" t="n">
        <v>9868</v>
      </c>
      <c r="F413" s="17" t="n">
        <v>45122</v>
      </c>
    </row>
    <row r="414" customFormat="false" ht="15" hidden="false" customHeight="false" outlineLevel="0" collapsed="false">
      <c r="A414" s="15" t="n">
        <v>45869</v>
      </c>
      <c r="B414" s="16" t="n">
        <v>1462.91</v>
      </c>
      <c r="C414" s="17" t="n">
        <v>30764</v>
      </c>
      <c r="D414" s="17" t="n">
        <v>37131</v>
      </c>
      <c r="E414" s="17" t="n">
        <v>9900</v>
      </c>
      <c r="F414" s="17" t="n">
        <v>45460</v>
      </c>
    </row>
    <row r="415" customFormat="false" ht="15" hidden="false" customHeight="false" outlineLevel="0" collapsed="false">
      <c r="A415" s="15" t="n">
        <v>45870</v>
      </c>
      <c r="B415" s="16" t="n">
        <v>1477.24</v>
      </c>
      <c r="C415" s="17" t="n">
        <v>30803</v>
      </c>
      <c r="D415" s="17" t="n">
        <v>37692</v>
      </c>
      <c r="E415" s="17" t="n">
        <v>10187</v>
      </c>
      <c r="F415" s="17" t="n">
        <v>46049</v>
      </c>
    </row>
    <row r="416" customFormat="false" ht="15" hidden="false" customHeight="false" outlineLevel="0" collapsed="false">
      <c r="A416" s="15" t="n">
        <v>45873</v>
      </c>
      <c r="B416" s="16" t="n">
        <v>1497.49</v>
      </c>
      <c r="C416" s="17" t="n">
        <v>31709</v>
      </c>
      <c r="D416" s="17" t="n">
        <v>38211</v>
      </c>
      <c r="E416" s="17" t="n">
        <v>10264</v>
      </c>
      <c r="F416" s="17" t="n">
        <v>45955</v>
      </c>
    </row>
    <row r="417" customFormat="false" ht="15" hidden="false" customHeight="false" outlineLevel="0" collapsed="false">
      <c r="A417" s="15" t="n">
        <v>45874</v>
      </c>
      <c r="B417" s="16" t="n">
        <v>1489.71</v>
      </c>
      <c r="C417" s="17" t="n">
        <v>31551</v>
      </c>
      <c r="D417" s="17" t="n">
        <v>38106</v>
      </c>
      <c r="E417" s="17" t="n">
        <v>10150</v>
      </c>
      <c r="F417" s="17" t="n">
        <v>45551</v>
      </c>
    </row>
    <row r="418" customFormat="false" ht="15" hidden="false" customHeight="false" outlineLevel="0" collapsed="false">
      <c r="A418" s="15" t="n">
        <v>45875</v>
      </c>
      <c r="B418" s="16" t="n">
        <v>1508.69</v>
      </c>
      <c r="C418" s="17" t="n">
        <v>31945</v>
      </c>
      <c r="D418" s="17" t="n">
        <v>38689</v>
      </c>
      <c r="E418" s="17" t="n">
        <v>10127</v>
      </c>
      <c r="F418" s="17" t="n">
        <v>45559</v>
      </c>
    </row>
    <row r="419" customFormat="false" ht="15" hidden="false" customHeight="false" outlineLevel="0" collapsed="false">
      <c r="A419" s="15" t="n">
        <v>45876</v>
      </c>
      <c r="B419" s="16" t="n">
        <v>1517.16</v>
      </c>
      <c r="C419" s="17" t="n">
        <v>32144</v>
      </c>
      <c r="D419" s="17" t="n">
        <v>39552</v>
      </c>
      <c r="E419" s="17" t="n">
        <v>10207</v>
      </c>
      <c r="F419" s="17" t="n">
        <v>45471</v>
      </c>
    </row>
    <row r="420" customFormat="false" ht="15" hidden="false" customHeight="false" outlineLevel="0" collapsed="false">
      <c r="A420" s="15" t="n">
        <v>45877</v>
      </c>
      <c r="B420" s="16" t="n">
        <v>1526.29</v>
      </c>
      <c r="C420" s="17" t="n">
        <v>32464</v>
      </c>
      <c r="D420" s="17" t="n">
        <v>39639</v>
      </c>
      <c r="E420" s="17" t="n">
        <v>10292</v>
      </c>
      <c r="F420" s="17" t="n">
        <v>46337</v>
      </c>
    </row>
    <row r="421" customFormat="false" ht="15" hidden="false" customHeight="false" outlineLevel="0" collapsed="false">
      <c r="A421" s="15" t="n">
        <v>45880</v>
      </c>
      <c r="B421" s="16" t="n">
        <v>1521.36</v>
      </c>
      <c r="C421" s="17" t="n">
        <v>32375</v>
      </c>
      <c r="D421" s="17" t="n">
        <v>39504</v>
      </c>
      <c r="E421" s="17" t="n">
        <v>10184</v>
      </c>
      <c r="F421" s="17" t="n">
        <v>47367</v>
      </c>
    </row>
    <row r="422" customFormat="false" ht="15" hidden="false" customHeight="false" outlineLevel="0" collapsed="false">
      <c r="A422" s="15" t="n">
        <v>45881</v>
      </c>
      <c r="B422" s="16" t="n">
        <v>1536.71</v>
      </c>
      <c r="C422" s="17" t="n">
        <v>32824</v>
      </c>
      <c r="D422" s="17" t="n">
        <v>40375</v>
      </c>
      <c r="E422" s="17" t="n">
        <v>10283</v>
      </c>
      <c r="F422" s="17" t="n">
        <v>47454</v>
      </c>
    </row>
    <row r="423" customFormat="false" ht="15" hidden="false" customHeight="false" outlineLevel="0" collapsed="false">
      <c r="A423" s="15" t="n">
        <v>45882</v>
      </c>
      <c r="B423" s="16" t="n">
        <v>1575.07</v>
      </c>
      <c r="C423" s="17" t="n">
        <v>33898</v>
      </c>
      <c r="D423" s="17" t="n">
        <v>40495</v>
      </c>
      <c r="E423" s="17" t="n">
        <v>10397</v>
      </c>
      <c r="F423" s="17" t="n">
        <v>49038</v>
      </c>
    </row>
    <row r="424" customFormat="false" ht="15" hidden="false" customHeight="false" outlineLevel="0" collapsed="false">
      <c r="A424" s="15" t="n">
        <v>45883</v>
      </c>
      <c r="B424" s="16" t="n">
        <v>1586.47</v>
      </c>
      <c r="C424" s="17" t="n">
        <v>34088</v>
      </c>
      <c r="D424" s="17" t="n">
        <v>40042</v>
      </c>
      <c r="E424" s="17" t="n">
        <v>10419</v>
      </c>
      <c r="F424" s="17" t="n">
        <v>48799</v>
      </c>
    </row>
    <row r="425" customFormat="false" ht="15" hidden="false" customHeight="false" outlineLevel="0" collapsed="false">
      <c r="A425" s="15" t="n">
        <v>45884</v>
      </c>
      <c r="B425" s="16" t="n">
        <v>1572.54</v>
      </c>
      <c r="C425" s="17" t="n">
        <v>33758</v>
      </c>
      <c r="D425" s="17" t="n">
        <v>39917</v>
      </c>
      <c r="E425" s="17" t="n">
        <v>10245</v>
      </c>
      <c r="F425" s="17" t="n">
        <v>48602</v>
      </c>
    </row>
    <row r="426" customFormat="false" ht="15" hidden="false" customHeight="false" outlineLevel="0" collapsed="false">
      <c r="A426" s="15" t="n">
        <v>45887</v>
      </c>
      <c r="B426" s="16" t="n">
        <v>1570.54</v>
      </c>
      <c r="C426" s="17" t="n">
        <v>34305</v>
      </c>
      <c r="D426" s="17" t="n">
        <v>39638</v>
      </c>
      <c r="E426" s="17" t="n">
        <v>10427</v>
      </c>
      <c r="F426" s="17" t="n">
        <v>47467</v>
      </c>
    </row>
    <row r="427" customFormat="false" ht="15" hidden="false" customHeight="false" outlineLevel="0" collapsed="false">
      <c r="A427" s="15" t="n">
        <v>45888</v>
      </c>
      <c r="B427" s="16" t="n">
        <v>1553.95</v>
      </c>
      <c r="C427" s="17" t="n">
        <v>33845</v>
      </c>
      <c r="D427" s="17" t="n">
        <v>38892</v>
      </c>
      <c r="E427" s="17" t="n">
        <v>10240</v>
      </c>
      <c r="F427" s="17" t="n">
        <v>46906</v>
      </c>
    </row>
    <row r="428" customFormat="false" ht="15" hidden="false" customHeight="false" outlineLevel="0" collapsed="false">
      <c r="A428" s="15" t="n">
        <v>45889</v>
      </c>
      <c r="B428" s="16" t="n">
        <v>1550.67</v>
      </c>
      <c r="C428" s="17" t="n">
        <v>33665</v>
      </c>
      <c r="D428" s="17" t="n">
        <v>38445</v>
      </c>
      <c r="E428" s="17" t="n">
        <v>10183</v>
      </c>
      <c r="F428" s="17" t="n">
        <v>46292</v>
      </c>
    </row>
    <row r="429" customFormat="false" ht="15" hidden="false" customHeight="false" outlineLevel="0" collapsed="false">
      <c r="A429" s="15" t="n">
        <v>45890</v>
      </c>
      <c r="B429" s="16" t="n">
        <v>1546.41</v>
      </c>
      <c r="C429" s="17" t="n">
        <v>33619</v>
      </c>
      <c r="D429" s="17" t="n">
        <v>38151</v>
      </c>
      <c r="E429" s="17" t="n">
        <v>10073</v>
      </c>
      <c r="F429" s="17" t="n">
        <v>46638</v>
      </c>
    </row>
    <row r="430" customFormat="false" ht="15" hidden="false" customHeight="false" outlineLevel="0" collapsed="false">
      <c r="A430" s="15" t="n">
        <v>45891</v>
      </c>
      <c r="B430" s="16" t="n">
        <v>1558.4</v>
      </c>
      <c r="C430" s="17" t="n">
        <v>33744</v>
      </c>
      <c r="D430" s="17" t="n">
        <v>38377</v>
      </c>
      <c r="E430" s="17" t="n">
        <v>10095</v>
      </c>
      <c r="F430" s="17" t="n">
        <v>47628</v>
      </c>
    </row>
    <row r="431" customFormat="false" ht="15" hidden="false" customHeight="false" outlineLevel="0" collapsed="false">
      <c r="A431" s="15" t="n">
        <v>45894</v>
      </c>
      <c r="B431" s="16" t="n">
        <v>1532.66</v>
      </c>
      <c r="C431" s="17" t="n">
        <v>32730</v>
      </c>
      <c r="D431" s="17" t="n">
        <v>37992</v>
      </c>
      <c r="E431" s="17" t="n">
        <v>9984</v>
      </c>
      <c r="F431" s="17" t="n">
        <v>46795</v>
      </c>
    </row>
    <row r="432" customFormat="false" ht="15" hidden="false" customHeight="false" outlineLevel="0" collapsed="false">
      <c r="A432" s="15" t="n">
        <v>45895</v>
      </c>
      <c r="B432" s="16" t="n">
        <v>1514.84</v>
      </c>
      <c r="C432" s="17" t="n">
        <v>32022</v>
      </c>
      <c r="D432" s="17" t="n">
        <v>37432</v>
      </c>
      <c r="E432" s="17" t="n">
        <v>10083</v>
      </c>
      <c r="F432" s="17" t="n">
        <v>47201</v>
      </c>
    </row>
    <row r="433" customFormat="false" ht="15" hidden="false" customHeight="false" outlineLevel="0" collapsed="false">
      <c r="A433" s="15" t="n">
        <v>45896</v>
      </c>
      <c r="B433" s="16" t="n">
        <v>1538.25</v>
      </c>
      <c r="C433" s="17" t="n">
        <v>32615</v>
      </c>
      <c r="D433" s="17" t="n">
        <v>37838</v>
      </c>
      <c r="E433" s="17" t="n">
        <v>10162</v>
      </c>
      <c r="F433" s="17" t="n">
        <v>48204</v>
      </c>
    </row>
    <row r="434" customFormat="false" ht="15" hidden="false" customHeight="false" outlineLevel="0" collapsed="false">
      <c r="A434" s="15" t="n">
        <v>45897</v>
      </c>
      <c r="B434" s="16" t="n">
        <v>1530.25</v>
      </c>
      <c r="C434" s="17" t="n">
        <v>32463</v>
      </c>
      <c r="D434" s="17" t="n">
        <v>37564</v>
      </c>
      <c r="E434" s="17" t="n">
        <v>10120</v>
      </c>
      <c r="F434" s="17" t="n">
        <v>48479</v>
      </c>
    </row>
    <row r="435" customFormat="false" ht="15" hidden="false" customHeight="false" outlineLevel="0" collapsed="false">
      <c r="A435" s="15" t="n">
        <v>45898</v>
      </c>
      <c r="B435" s="16" t="n">
        <v>1516.24</v>
      </c>
      <c r="C435" s="17" t="n">
        <v>32621</v>
      </c>
      <c r="D435" s="17" t="n">
        <v>37380</v>
      </c>
      <c r="E435" s="17" t="n">
        <v>10000</v>
      </c>
      <c r="F435" s="17" t="n">
        <v>48979</v>
      </c>
    </row>
    <row r="436" customFormat="false" ht="15" hidden="false" customHeight="false" outlineLevel="0" collapsed="false">
      <c r="A436" s="15" t="n">
        <v>45901</v>
      </c>
      <c r="B436" s="16" t="n">
        <v>1520.91</v>
      </c>
      <c r="C436" s="17" t="n">
        <v>32386</v>
      </c>
      <c r="D436" s="17" t="n">
        <v>37565</v>
      </c>
      <c r="E436" s="17" t="n">
        <v>10082</v>
      </c>
      <c r="F436" s="17" t="n">
        <v>48968</v>
      </c>
    </row>
    <row r="437" customFormat="false" ht="15" hidden="false" customHeight="false" outlineLevel="0" collapsed="false">
      <c r="A437" s="15" t="n">
        <v>45902</v>
      </c>
      <c r="B437" s="16" t="n">
        <v>1533.01</v>
      </c>
      <c r="C437" s="17" t="n">
        <v>32683</v>
      </c>
      <c r="D437" s="17" t="n">
        <v>37924</v>
      </c>
      <c r="E437" s="17" t="n">
        <v>10126</v>
      </c>
      <c r="F437" s="17" t="n">
        <v>49432</v>
      </c>
    </row>
    <row r="438" customFormat="false" ht="15" hidden="false" customHeight="false" outlineLevel="0" collapsed="false">
      <c r="A438" s="15" t="n">
        <v>45903</v>
      </c>
      <c r="B438" s="16" t="n">
        <v>1540.58</v>
      </c>
      <c r="C438" s="17" t="n">
        <v>33224</v>
      </c>
      <c r="D438" s="17" t="n">
        <v>37970</v>
      </c>
      <c r="E438" s="17" t="n">
        <v>10177</v>
      </c>
      <c r="F438" s="17" t="n">
        <v>49373</v>
      </c>
    </row>
    <row r="439" customFormat="false" ht="15" hidden="false" customHeight="false" outlineLevel="0" collapsed="false">
      <c r="A439" s="15" t="n">
        <v>45904</v>
      </c>
      <c r="B439" s="16" t="n">
        <v>1547.03</v>
      </c>
      <c r="C439" s="17" t="n">
        <v>33218</v>
      </c>
      <c r="D439" s="17" t="n">
        <v>38494</v>
      </c>
      <c r="E439" s="17" t="n">
        <v>10191</v>
      </c>
      <c r="F439" s="17" t="n">
        <v>49760</v>
      </c>
    </row>
    <row r="440" customFormat="false" ht="15" hidden="false" customHeight="false" outlineLevel="0" collapsed="false">
      <c r="A440" s="15" t="n">
        <v>45905</v>
      </c>
      <c r="B440" s="16" t="n">
        <v>1538.77</v>
      </c>
      <c r="C440" s="17" t="n">
        <v>32714</v>
      </c>
      <c r="D440" s="17" t="n">
        <v>37438</v>
      </c>
      <c r="E440" s="17" t="n">
        <v>10254</v>
      </c>
      <c r="F440" s="17" t="n">
        <v>50199</v>
      </c>
    </row>
    <row r="441" customFormat="false" ht="15" hidden="false" customHeight="false" outlineLevel="0" collapsed="false">
      <c r="A441" s="15" t="n">
        <v>45908</v>
      </c>
      <c r="B441" s="16" t="n">
        <v>1542.04</v>
      </c>
      <c r="C441" s="17" t="n">
        <v>32911</v>
      </c>
      <c r="D441" s="17" t="n">
        <v>37375</v>
      </c>
      <c r="E441" s="17" t="n">
        <v>10155</v>
      </c>
      <c r="F441" s="17" t="n">
        <v>50035</v>
      </c>
    </row>
    <row r="442" customFormat="false" ht="15" hidden="false" customHeight="false" outlineLevel="0" collapsed="false">
      <c r="A442" s="15" t="n">
        <v>45909</v>
      </c>
      <c r="B442" s="16" t="n">
        <v>1480.34</v>
      </c>
      <c r="C442" s="17" t="n">
        <v>31556</v>
      </c>
      <c r="D442" s="17" t="n">
        <v>36043</v>
      </c>
      <c r="E442" s="17" t="n">
        <v>9890</v>
      </c>
      <c r="F442" s="17" t="n">
        <v>47455</v>
      </c>
    </row>
    <row r="443" customFormat="false" ht="15" hidden="false" customHeight="false" outlineLevel="0" collapsed="false">
      <c r="A443" s="15" t="n">
        <v>45910</v>
      </c>
      <c r="B443" s="16" t="n">
        <v>1501</v>
      </c>
      <c r="C443" s="17" t="n">
        <v>32048</v>
      </c>
      <c r="D443" s="17" t="n">
        <v>36453</v>
      </c>
      <c r="E443" s="17" t="n">
        <v>10039</v>
      </c>
      <c r="F443" s="17" t="n">
        <v>48764</v>
      </c>
    </row>
    <row r="444" customFormat="false" ht="15" hidden="false" customHeight="false" outlineLevel="0" collapsed="false">
      <c r="A444" s="15" t="n">
        <v>45911</v>
      </c>
      <c r="B444" s="16" t="n">
        <v>1479.14</v>
      </c>
      <c r="C444" s="17" t="n">
        <v>31493</v>
      </c>
      <c r="D444" s="17" t="n">
        <v>36321</v>
      </c>
      <c r="E444" s="17" t="n">
        <v>9966</v>
      </c>
      <c r="F444" s="17" t="n">
        <v>47818</v>
      </c>
    </row>
    <row r="445" customFormat="false" ht="15" hidden="false" customHeight="false" outlineLevel="0" collapsed="false">
      <c r="A445" s="15" t="n">
        <v>45912</v>
      </c>
      <c r="B445" s="16" t="n">
        <v>1506.92</v>
      </c>
      <c r="C445" s="17" t="n">
        <v>31611</v>
      </c>
      <c r="D445" s="17" t="n">
        <v>36987</v>
      </c>
      <c r="E445" s="17" t="n">
        <v>10105</v>
      </c>
      <c r="F445" s="17" t="n">
        <v>48602</v>
      </c>
    </row>
    <row r="446" customFormat="false" ht="15" hidden="false" customHeight="false" outlineLevel="0" collapsed="false">
      <c r="A446" s="15" t="n">
        <v>45915</v>
      </c>
      <c r="B446" s="16" t="n">
        <v>1522.88</v>
      </c>
      <c r="C446" s="17" t="n">
        <v>31866</v>
      </c>
      <c r="D446" s="17" t="n">
        <v>37292</v>
      </c>
      <c r="E446" s="17" t="n">
        <v>10029</v>
      </c>
      <c r="F446" s="17" t="n">
        <v>50669</v>
      </c>
    </row>
    <row r="447" customFormat="false" ht="15" hidden="false" customHeight="false" outlineLevel="0" collapsed="false">
      <c r="A447" s="15" t="n">
        <v>45916</v>
      </c>
      <c r="B447" s="16" t="n">
        <v>1509.04</v>
      </c>
      <c r="C447" s="17" t="n">
        <v>31992</v>
      </c>
      <c r="D447" s="17" t="n">
        <v>37131</v>
      </c>
      <c r="E447" s="17" t="n">
        <v>9982</v>
      </c>
      <c r="F447" s="17" t="n">
        <v>49604</v>
      </c>
    </row>
    <row r="448" customFormat="false" ht="15" hidden="false" customHeight="false" outlineLevel="0" collapsed="false">
      <c r="A448" s="15" t="n">
        <v>45917</v>
      </c>
      <c r="B448" s="16" t="n">
        <v>1527.32</v>
      </c>
      <c r="C448" s="17" t="n">
        <v>32435</v>
      </c>
      <c r="D448" s="17" t="n">
        <v>37832</v>
      </c>
      <c r="E448" s="17" t="n">
        <v>10064</v>
      </c>
      <c r="F448" s="17" t="n">
        <v>50729</v>
      </c>
    </row>
    <row r="449" customFormat="false" ht="15" hidden="false" customHeight="false" outlineLevel="0" collapsed="false">
      <c r="A449" s="15" t="n">
        <v>45918</v>
      </c>
      <c r="B449" s="16" t="n">
        <v>1525.34</v>
      </c>
      <c r="C449" s="17" t="n">
        <v>32342</v>
      </c>
      <c r="D449" s="17" t="n">
        <v>37570</v>
      </c>
      <c r="E449" s="17" t="n">
        <v>10026</v>
      </c>
      <c r="F449" s="17" t="n">
        <v>50138</v>
      </c>
    </row>
    <row r="450" customFormat="false" ht="15" hidden="false" customHeight="false" outlineLevel="0" collapsed="false">
      <c r="A450" s="15" t="n">
        <v>45919</v>
      </c>
      <c r="B450" s="16" t="n">
        <v>1504.31</v>
      </c>
      <c r="C450" s="17" t="n">
        <v>32126</v>
      </c>
      <c r="D450" s="17" t="n">
        <v>37117</v>
      </c>
      <c r="E450" s="17" t="n">
        <v>9970</v>
      </c>
      <c r="F450" s="17" t="n">
        <v>48989</v>
      </c>
    </row>
    <row r="451" customFormat="false" ht="15" hidden="false" customHeight="false" outlineLevel="0" collapsed="false">
      <c r="A451" s="15" t="n">
        <v>45922</v>
      </c>
      <c r="B451" s="16" t="n">
        <v>1507.48</v>
      </c>
      <c r="C451" s="17" t="n">
        <v>32156</v>
      </c>
      <c r="D451" s="17" t="n">
        <v>37575</v>
      </c>
      <c r="E451" s="17" t="n">
        <v>10074</v>
      </c>
      <c r="F451" s="17" t="n">
        <v>47333</v>
      </c>
    </row>
    <row r="452" customFormat="false" ht="15" hidden="false" customHeight="false" outlineLevel="0" collapsed="false">
      <c r="A452" s="15" t="n">
        <v>45923</v>
      </c>
      <c r="B452" s="16" t="n">
        <v>1501.91</v>
      </c>
      <c r="C452" s="17" t="n">
        <v>32260</v>
      </c>
      <c r="D452" s="17" t="n">
        <v>36545</v>
      </c>
      <c r="E452" s="17" t="n">
        <v>10290</v>
      </c>
      <c r="F452" s="17" t="n">
        <v>47132</v>
      </c>
    </row>
    <row r="453" customFormat="false" ht="15" hidden="false" customHeight="false" outlineLevel="0" collapsed="false">
      <c r="A453" s="15" t="n">
        <v>45924</v>
      </c>
      <c r="B453" s="16" t="n">
        <v>1505.58</v>
      </c>
      <c r="C453" s="17" t="n">
        <v>31973</v>
      </c>
      <c r="D453" s="17" t="n">
        <v>36516</v>
      </c>
      <c r="E453" s="17" t="n">
        <v>10269</v>
      </c>
      <c r="F453" s="17" t="n">
        <v>47776</v>
      </c>
    </row>
    <row r="454" customFormat="false" ht="15" hidden="false" customHeight="false" outlineLevel="0" collapsed="false">
      <c r="A454" s="15" t="n">
        <v>45925</v>
      </c>
      <c r="B454" s="16" t="n">
        <v>1516.69</v>
      </c>
      <c r="C454" s="17" t="n">
        <v>31948</v>
      </c>
      <c r="D454" s="17" t="n">
        <v>37153</v>
      </c>
      <c r="E454" s="17" t="n">
        <v>10339</v>
      </c>
      <c r="F454" s="17" t="n">
        <v>47940</v>
      </c>
    </row>
    <row r="455" customFormat="false" ht="15" hidden="false" customHeight="false" outlineLevel="0" collapsed="false">
      <c r="A455" s="15" t="n">
        <v>45926</v>
      </c>
      <c r="B455" s="16" t="n">
        <v>1514.85</v>
      </c>
      <c r="C455" s="17" t="n">
        <v>32211</v>
      </c>
      <c r="D455" s="17" t="n">
        <v>37276</v>
      </c>
      <c r="E455" s="17" t="n">
        <v>10355</v>
      </c>
      <c r="F455" s="17" t="n">
        <v>47522</v>
      </c>
    </row>
    <row r="456" customFormat="false" ht="15" hidden="false" customHeight="false" outlineLevel="0" collapsed="false">
      <c r="A456" s="15" t="n">
        <v>45929</v>
      </c>
      <c r="B456" s="16" t="n">
        <v>1506.59</v>
      </c>
      <c r="C456" s="17" t="n">
        <v>32055</v>
      </c>
      <c r="D456" s="17" t="n">
        <v>36979</v>
      </c>
      <c r="E456" s="17" t="n">
        <v>10391</v>
      </c>
      <c r="F456" s="17" t="n">
        <v>47027</v>
      </c>
    </row>
    <row r="457" customFormat="false" ht="15" hidden="false" customHeight="false" outlineLevel="0" collapsed="false">
      <c r="A457" s="15" t="n">
        <v>45930</v>
      </c>
      <c r="B457" s="16" t="n">
        <v>1500.86</v>
      </c>
      <c r="C457" s="17" t="n">
        <v>31770</v>
      </c>
      <c r="D457" s="17" t="n">
        <v>36597</v>
      </c>
      <c r="E457" s="17" t="n">
        <v>10457</v>
      </c>
      <c r="F457" s="17" t="n">
        <v>47127</v>
      </c>
    </row>
    <row r="458" customFormat="false" ht="15" hidden="false" customHeight="false" outlineLevel="0" collapsed="false">
      <c r="A458" s="15" t="n">
        <v>45931</v>
      </c>
      <c r="B458" s="16" t="n">
        <v>1504.94</v>
      </c>
      <c r="C458" s="17" t="n">
        <v>32694</v>
      </c>
      <c r="D458" s="17" t="n">
        <v>36604</v>
      </c>
      <c r="E458" s="17" t="n">
        <v>10437</v>
      </c>
      <c r="F458" s="17" t="n">
        <v>47649</v>
      </c>
    </row>
    <row r="459" customFormat="false" ht="15" hidden="false" customHeight="false" outlineLevel="0" collapsed="false">
      <c r="A459" s="15" t="n">
        <v>45932</v>
      </c>
      <c r="B459" s="16" t="n">
        <v>1485.46</v>
      </c>
      <c r="C459" s="17" t="n">
        <v>32419</v>
      </c>
      <c r="D459" s="17" t="n">
        <v>36320</v>
      </c>
      <c r="E459" s="17" t="n">
        <v>10359</v>
      </c>
      <c r="F459" s="17" t="n">
        <v>46448</v>
      </c>
    </row>
    <row r="460" customFormat="false" ht="15" hidden="false" customHeight="false" outlineLevel="0" collapsed="false">
      <c r="A460" s="15" t="n">
        <v>45933</v>
      </c>
      <c r="B460" s="16" t="n">
        <v>1485.66</v>
      </c>
      <c r="C460" s="17" t="n">
        <v>32128</v>
      </c>
      <c r="D460" s="17" t="n">
        <v>36388</v>
      </c>
      <c r="E460" s="17" t="n">
        <v>10309</v>
      </c>
      <c r="F460" s="17" t="n">
        <v>47348</v>
      </c>
    </row>
    <row r="461" customFormat="false" ht="15" hidden="false" customHeight="false" outlineLevel="0" collapsed="false">
      <c r="A461" s="15" t="n">
        <v>45936</v>
      </c>
      <c r="B461" s="16" t="n">
        <v>1498.35</v>
      </c>
      <c r="C461" s="17" t="n">
        <v>32276</v>
      </c>
      <c r="D461" s="17" t="n">
        <v>36444</v>
      </c>
      <c r="E461" s="17" t="n">
        <v>10355</v>
      </c>
      <c r="F461" s="17" t="n">
        <v>46786</v>
      </c>
    </row>
    <row r="462" customFormat="false" ht="15" hidden="false" customHeight="false" outlineLevel="0" collapsed="false">
      <c r="A462" s="15" t="n">
        <v>45937</v>
      </c>
      <c r="B462" s="16" t="n">
        <v>1475.17</v>
      </c>
      <c r="C462" s="17" t="n">
        <v>31439</v>
      </c>
      <c r="D462" s="17" t="n">
        <v>35540</v>
      </c>
      <c r="E462" s="17" t="n">
        <v>10239</v>
      </c>
      <c r="F462" s="17" t="n">
        <v>46802</v>
      </c>
    </row>
    <row r="463" customFormat="false" ht="15" hidden="false" customHeight="false" outlineLevel="0" collapsed="false">
      <c r="A463" s="15" t="n">
        <v>45938</v>
      </c>
      <c r="B463" s="16" t="n">
        <v>1462.03</v>
      </c>
      <c r="C463" s="17" t="n">
        <v>31131</v>
      </c>
      <c r="D463" s="17" t="n">
        <v>35329</v>
      </c>
      <c r="E463" s="17" t="n">
        <v>10090</v>
      </c>
      <c r="F463" s="17" t="n">
        <v>45736</v>
      </c>
    </row>
    <row r="464" customFormat="false" ht="15" hidden="false" customHeight="false" outlineLevel="0" collapsed="false">
      <c r="A464" s="15" t="n">
        <v>45939</v>
      </c>
      <c r="B464" s="16" t="n">
        <v>1477.72</v>
      </c>
      <c r="C464" s="17" t="n">
        <v>31860</v>
      </c>
      <c r="D464" s="17" t="n">
        <v>35485</v>
      </c>
      <c r="E464" s="17" t="n">
        <v>10185</v>
      </c>
      <c r="F464" s="17" t="n">
        <v>47179</v>
      </c>
    </row>
    <row r="465" customFormat="false" ht="15" hidden="false" customHeight="false" outlineLevel="0" collapsed="false">
      <c r="A465" s="15" t="n">
        <v>45940</v>
      </c>
      <c r="B465" s="16" t="n">
        <v>1474.07</v>
      </c>
      <c r="C465" s="17" t="n">
        <v>32325</v>
      </c>
      <c r="D465" s="17" t="n">
        <v>35367</v>
      </c>
      <c r="E465" s="17" t="n">
        <v>10294</v>
      </c>
      <c r="F465" s="17" t="n">
        <v>48111</v>
      </c>
    </row>
    <row r="466" customFormat="false" ht="15" hidden="false" customHeight="false" outlineLevel="0" collapsed="false">
      <c r="A466" s="15" t="n">
        <v>45943</v>
      </c>
      <c r="B466" s="16" t="n">
        <v>1489.49</v>
      </c>
      <c r="C466" s="17" t="n">
        <v>32391</v>
      </c>
      <c r="D466" s="17" t="n">
        <v>35634</v>
      </c>
      <c r="E466" s="17" t="n">
        <v>10428</v>
      </c>
      <c r="F466" s="17" t="n">
        <v>48945</v>
      </c>
    </row>
    <row r="467" customFormat="false" ht="15" hidden="false" customHeight="false" outlineLevel="0" collapsed="false">
      <c r="A467" s="15" t="n">
        <v>45944</v>
      </c>
      <c r="B467" s="16" t="n">
        <v>1501.1</v>
      </c>
      <c r="C467" s="17" t="n">
        <v>32596</v>
      </c>
      <c r="D467" s="17" t="n">
        <v>36243</v>
      </c>
      <c r="E467" s="17" t="n">
        <v>10203</v>
      </c>
      <c r="F467" s="17" t="n">
        <v>49786</v>
      </c>
    </row>
    <row r="468" customFormat="false" ht="15" hidden="false" customHeight="false" outlineLevel="0" collapsed="false">
      <c r="A468" s="15" t="n">
        <v>45945</v>
      </c>
      <c r="B468" s="16" t="n">
        <v>1490.26</v>
      </c>
      <c r="C468" s="17" t="n">
        <v>32250</v>
      </c>
      <c r="D468" s="17" t="n">
        <v>35592</v>
      </c>
      <c r="E468" s="17" t="n">
        <v>10087</v>
      </c>
      <c r="F468" s="17" t="n">
        <v>47881</v>
      </c>
    </row>
    <row r="469" customFormat="false" ht="15" hidden="false" customHeight="false" outlineLevel="0" collapsed="false">
      <c r="A469" s="15" t="n">
        <v>45946</v>
      </c>
      <c r="B469" s="16" t="n">
        <v>1492.25</v>
      </c>
      <c r="C469" s="17" t="n">
        <v>32567</v>
      </c>
      <c r="D469" s="17" t="n">
        <v>35971</v>
      </c>
      <c r="E469" s="17" t="n">
        <v>9948</v>
      </c>
      <c r="F469" s="17" t="n">
        <v>47211</v>
      </c>
    </row>
    <row r="470" customFormat="false" ht="15" hidden="false" customHeight="false" outlineLevel="0" collapsed="false">
      <c r="A470" s="15" t="n">
        <v>45947</v>
      </c>
      <c r="B470" s="16" t="n">
        <v>1493.35</v>
      </c>
      <c r="C470" s="17" t="n">
        <v>32420</v>
      </c>
      <c r="D470" s="17" t="n">
        <v>35532</v>
      </c>
      <c r="E470" s="17" t="n">
        <v>9911</v>
      </c>
      <c r="F470" s="17" t="n">
        <v>48083</v>
      </c>
    </row>
    <row r="471" customFormat="false" ht="15" hidden="false" customHeight="false" outlineLevel="0" collapsed="false">
      <c r="A471" s="15" t="n">
        <v>45950</v>
      </c>
      <c r="B471" s="16" t="n">
        <v>1496.06</v>
      </c>
      <c r="C471" s="17" t="n">
        <v>32097</v>
      </c>
      <c r="D471" s="17" t="n">
        <v>36238</v>
      </c>
      <c r="E471" s="17" t="n">
        <v>9940</v>
      </c>
      <c r="F471" s="17" t="n">
        <v>47371</v>
      </c>
    </row>
    <row r="472" customFormat="false" ht="15" hidden="false" customHeight="false" outlineLevel="0" collapsed="false">
      <c r="A472" s="15" t="n">
        <v>45951</v>
      </c>
      <c r="B472" s="16" t="n">
        <v>1501.83</v>
      </c>
      <c r="C472" s="17" t="n">
        <v>32536</v>
      </c>
      <c r="D472" s="17" t="n">
        <v>36263</v>
      </c>
      <c r="E472" s="17" t="n">
        <v>10041</v>
      </c>
      <c r="F472" s="17" t="n">
        <v>46599</v>
      </c>
    </row>
    <row r="473" customFormat="false" ht="15" hidden="false" customHeight="false" outlineLevel="0" collapsed="false">
      <c r="A473" s="15" t="n">
        <v>45952</v>
      </c>
      <c r="B473" s="16" t="n">
        <v>1517.91</v>
      </c>
      <c r="C473" s="17" t="n">
        <v>33143</v>
      </c>
      <c r="D473" s="17" t="n">
        <v>36322</v>
      </c>
      <c r="E473" s="17" t="n">
        <v>10130</v>
      </c>
      <c r="F473" s="17" t="n">
        <v>46320</v>
      </c>
    </row>
    <row r="474" customFormat="false" ht="15" hidden="false" customHeight="false" outlineLevel="0" collapsed="false">
      <c r="A474" s="15" t="n">
        <v>45953</v>
      </c>
      <c r="B474" s="16" t="n">
        <v>1513.06</v>
      </c>
      <c r="C474" s="17" t="n">
        <v>32957</v>
      </c>
      <c r="D474" s="17" t="n">
        <v>35873</v>
      </c>
      <c r="E474" s="17" t="n">
        <v>10011</v>
      </c>
      <c r="F474" s="17" t="n">
        <v>45780</v>
      </c>
    </row>
    <row r="475" customFormat="false" ht="15" hidden="false" customHeight="false" outlineLevel="0" collapsed="false">
      <c r="A475" s="15" t="n">
        <v>45954</v>
      </c>
      <c r="B475" s="16" t="n">
        <v>1523.48</v>
      </c>
      <c r="C475" s="17" t="n">
        <v>33168</v>
      </c>
      <c r="D475" s="17" t="n">
        <v>36957</v>
      </c>
      <c r="E475" s="17" t="n">
        <v>9994</v>
      </c>
      <c r="F475" s="17" t="n">
        <v>45431</v>
      </c>
    </row>
    <row r="476" customFormat="false" ht="15" hidden="false" customHeight="false" outlineLevel="0" collapsed="false">
      <c r="A476" s="15" t="n">
        <v>45957</v>
      </c>
      <c r="B476" s="16" t="n">
        <v>1525.43</v>
      </c>
      <c r="C476" s="17" t="n">
        <v>33096</v>
      </c>
      <c r="D476" s="17" t="n">
        <v>37213</v>
      </c>
      <c r="E476" s="17" t="n">
        <v>9946</v>
      </c>
      <c r="F476" s="17" t="n">
        <v>45496</v>
      </c>
    </row>
    <row r="477" customFormat="false" ht="15" hidden="false" customHeight="false" outlineLevel="0" collapsed="false">
      <c r="A477" s="15" t="n">
        <v>45958</v>
      </c>
      <c r="B477" s="16" t="n">
        <v>1503.84</v>
      </c>
      <c r="C477" s="17" t="n">
        <v>32391</v>
      </c>
      <c r="D477" s="17" t="n">
        <v>36563</v>
      </c>
      <c r="E477" s="17" t="n">
        <v>9856</v>
      </c>
      <c r="F477" s="17" t="n">
        <v>44577</v>
      </c>
    </row>
    <row r="478" customFormat="false" ht="15" hidden="false" customHeight="false" outlineLevel="0" collapsed="false">
      <c r="A478" s="15" t="n">
        <v>45959</v>
      </c>
      <c r="B478" s="16" t="n">
        <v>1505.7</v>
      </c>
      <c r="C478" s="17" t="n">
        <v>32450</v>
      </c>
      <c r="D478" s="17" t="n">
        <v>37189</v>
      </c>
      <c r="E478" s="17" t="n">
        <v>9936</v>
      </c>
      <c r="F478" s="17" t="n">
        <v>44628</v>
      </c>
    </row>
    <row r="479" customFormat="false" ht="15" hidden="false" customHeight="false" outlineLevel="0" collapsed="false">
      <c r="A479" s="15" t="n">
        <v>45960</v>
      </c>
      <c r="B479" s="16" t="n">
        <v>1477.08</v>
      </c>
      <c r="C479" s="17" t="n">
        <v>31524</v>
      </c>
      <c r="D479" s="17" t="n">
        <v>36961</v>
      </c>
      <c r="E479" s="17" t="n">
        <v>9870</v>
      </c>
      <c r="F479" s="17" t="n">
        <v>44580</v>
      </c>
    </row>
    <row r="480" customFormat="false" ht="15" hidden="false" customHeight="false" outlineLevel="0" collapsed="false">
      <c r="A480" s="15" t="n">
        <v>45961</v>
      </c>
      <c r="B480" s="16" t="n">
        <v>1472.72</v>
      </c>
      <c r="C480" s="17" t="n">
        <v>31160</v>
      </c>
      <c r="D480" s="17" t="n">
        <v>36858</v>
      </c>
      <c r="E480" s="17" t="n">
        <v>9811</v>
      </c>
      <c r="F480" s="17" t="n">
        <v>44582</v>
      </c>
    </row>
    <row r="481" customFormat="false" ht="15" hidden="false" customHeight="false" outlineLevel="0" collapsed="false">
      <c r="A481" s="15" t="n">
        <v>45964</v>
      </c>
      <c r="B481" s="16" t="n">
        <v>1448.09</v>
      </c>
      <c r="C481" s="17" t="n">
        <v>30233</v>
      </c>
      <c r="D481" s="17" t="n">
        <v>36545</v>
      </c>
      <c r="E481" s="17" t="n">
        <v>9677</v>
      </c>
      <c r="F481" s="17" t="n">
        <v>42654</v>
      </c>
    </row>
    <row r="482" customFormat="false" ht="15" hidden="false" customHeight="false" outlineLevel="0" collapsed="false">
      <c r="A482" s="15" t="n">
        <v>45965</v>
      </c>
      <c r="B482" s="16" t="n">
        <v>1439.37</v>
      </c>
      <c r="C482" s="17" t="n">
        <v>30046</v>
      </c>
      <c r="D482" s="17" t="n">
        <v>36457</v>
      </c>
      <c r="E482" s="17" t="n">
        <v>9600</v>
      </c>
      <c r="F482" s="17" t="n">
        <v>42128</v>
      </c>
    </row>
    <row r="483" customFormat="false" ht="15" hidden="false" customHeight="false" outlineLevel="0" collapsed="false">
      <c r="A483" s="15" t="n">
        <v>45966</v>
      </c>
      <c r="B483" s="16" t="n">
        <v>1430.22</v>
      </c>
      <c r="C483" s="17" t="n">
        <v>29916</v>
      </c>
      <c r="D483" s="17" t="n">
        <v>36275</v>
      </c>
      <c r="E483" s="17" t="n">
        <v>9527</v>
      </c>
      <c r="F483" s="17" t="n">
        <v>41983</v>
      </c>
    </row>
    <row r="484" customFormat="false" ht="15" hidden="false" customHeight="false" outlineLevel="0" collapsed="false">
      <c r="A484" s="15" t="n">
        <v>45967</v>
      </c>
      <c r="B484" s="16" t="n">
        <v>1386.07</v>
      </c>
      <c r="C484" s="17" t="n">
        <v>28937</v>
      </c>
      <c r="D484" s="17" t="n">
        <v>34928</v>
      </c>
      <c r="E484" s="17" t="n">
        <v>9283</v>
      </c>
      <c r="F484" s="17" t="n">
        <v>40051</v>
      </c>
    </row>
    <row r="485" customFormat="false" ht="15" hidden="false" customHeight="false" outlineLevel="0" collapsed="false">
      <c r="A485" s="15" t="n">
        <v>45968</v>
      </c>
      <c r="B485" s="16" t="n">
        <v>1363.9</v>
      </c>
      <c r="C485" s="17" t="n">
        <v>28453</v>
      </c>
      <c r="D485" s="17" t="n">
        <v>34485</v>
      </c>
      <c r="E485" s="17" t="n">
        <v>9144</v>
      </c>
      <c r="F485" s="17" t="n">
        <v>40102</v>
      </c>
    </row>
    <row r="486" customFormat="false" ht="15" hidden="false" customHeight="false" outlineLevel="0" collapsed="false">
      <c r="A486" s="15" t="n">
        <v>45971</v>
      </c>
      <c r="B486" s="16" t="n">
        <v>1342.45</v>
      </c>
      <c r="C486" s="17" t="n">
        <v>27930</v>
      </c>
      <c r="D486" s="17" t="n">
        <v>34724</v>
      </c>
      <c r="E486" s="17" t="n">
        <v>9137</v>
      </c>
      <c r="F486" s="17" t="n">
        <v>39321</v>
      </c>
    </row>
    <row r="487" customFormat="false" ht="15" hidden="false" customHeight="false" outlineLevel="0" collapsed="false">
      <c r="A487" s="15" t="n">
        <v>45972</v>
      </c>
      <c r="B487" s="16" t="n">
        <v>1337.45</v>
      </c>
      <c r="C487" s="17" t="n">
        <v>27614</v>
      </c>
      <c r="D487" s="17" t="n">
        <v>34250</v>
      </c>
      <c r="E487" s="17" t="n">
        <v>9107</v>
      </c>
      <c r="F487" s="17" t="n">
        <v>38660</v>
      </c>
    </row>
    <row r="488" customFormat="false" ht="15" hidden="false" customHeight="false" outlineLevel="0" collapsed="false">
      <c r="A488" s="15" t="n">
        <v>45973</v>
      </c>
      <c r="B488" s="16" t="n">
        <v>1328.04</v>
      </c>
      <c r="C488" s="17" t="n">
        <v>27211</v>
      </c>
      <c r="D488" s="17" t="n">
        <v>34022</v>
      </c>
      <c r="E488" s="17" t="n">
        <v>9069</v>
      </c>
      <c r="F488" s="17" t="n">
        <v>39057</v>
      </c>
    </row>
    <row r="489" customFormat="false" ht="15" hidden="false" customHeight="false" outlineLevel="0" collapsed="false">
      <c r="A489" s="15" t="n">
        <v>45974</v>
      </c>
      <c r="B489" s="16" t="n">
        <v>1318.19</v>
      </c>
      <c r="C489" s="17" t="n">
        <v>26475</v>
      </c>
      <c r="D489" s="17" t="n">
        <v>33107</v>
      </c>
      <c r="E489" s="17" t="n">
        <v>8935</v>
      </c>
      <c r="F489" s="17" t="n">
        <v>39102</v>
      </c>
    </row>
    <row r="490" customFormat="false" ht="15" hidden="false" customHeight="false" outlineLevel="0" collapsed="false">
      <c r="A490" s="15" t="n">
        <v>45975</v>
      </c>
      <c r="B490" s="16" t="n">
        <v>1291.77</v>
      </c>
      <c r="C490" s="17" t="n">
        <v>25903</v>
      </c>
      <c r="D490" s="17" t="n">
        <v>32460</v>
      </c>
      <c r="E490" s="17" t="n">
        <v>8796</v>
      </c>
      <c r="F490" s="17" t="n">
        <v>38487</v>
      </c>
    </row>
    <row r="491" customFormat="false" ht="15" hidden="false" customHeight="false" outlineLevel="0" collapsed="false">
      <c r="A491" s="15" t="n">
        <v>45978</v>
      </c>
      <c r="B491" s="16" t="n">
        <v>1284.71</v>
      </c>
      <c r="C491" s="17" t="n">
        <v>25892</v>
      </c>
      <c r="D491" s="17" t="n">
        <v>32786</v>
      </c>
      <c r="E491" s="17" t="n">
        <v>8770</v>
      </c>
      <c r="F491" s="17" t="n">
        <v>38009</v>
      </c>
    </row>
    <row r="492" customFormat="false" ht="15" hidden="false" customHeight="false" outlineLevel="0" collapsed="false">
      <c r="A492" s="15" t="n">
        <v>45979</v>
      </c>
      <c r="B492" s="16" t="n">
        <v>1277.32</v>
      </c>
      <c r="C492" s="17" t="n">
        <v>25539</v>
      </c>
      <c r="D492" s="17" t="n">
        <v>33288</v>
      </c>
      <c r="E492" s="17" t="n">
        <v>8714</v>
      </c>
      <c r="F492" s="17" t="n">
        <v>37241</v>
      </c>
    </row>
    <row r="493" customFormat="false" ht="15" hidden="false" customHeight="false" outlineLevel="0" collapsed="false">
      <c r="A493" s="15" t="n">
        <v>45980</v>
      </c>
      <c r="B493" s="16" t="n">
        <v>1259.85</v>
      </c>
      <c r="C493" s="17" t="n">
        <v>25025</v>
      </c>
      <c r="D493" s="17" t="n">
        <v>32708</v>
      </c>
      <c r="E493" s="17" t="n">
        <v>8615</v>
      </c>
      <c r="F493" s="17" t="n">
        <v>36644</v>
      </c>
    </row>
    <row r="494" customFormat="false" ht="15" hidden="false" customHeight="false" outlineLevel="0" collapsed="false">
      <c r="A494" s="15" t="n">
        <v>45981</v>
      </c>
      <c r="B494" s="16" t="n">
        <v>1239.91</v>
      </c>
      <c r="C494" s="17" t="n">
        <v>24583</v>
      </c>
      <c r="D494" s="17" t="n">
        <v>33295</v>
      </c>
      <c r="E494" s="17" t="n">
        <v>8558</v>
      </c>
      <c r="F494" s="17" t="n">
        <v>36401</v>
      </c>
    </row>
    <row r="495" customFormat="false" ht="15" hidden="false" customHeight="false" outlineLevel="0" collapsed="false">
      <c r="A495" s="15" t="n">
        <v>45982</v>
      </c>
      <c r="B495" s="16" t="n">
        <v>1227.42</v>
      </c>
      <c r="C495" s="17" t="n">
        <v>23500</v>
      </c>
      <c r="D495" s="17" t="n">
        <v>32034</v>
      </c>
      <c r="E495" s="17" t="n">
        <v>8466</v>
      </c>
      <c r="F495" s="17" t="n">
        <v>36106</v>
      </c>
    </row>
    <row r="496" customFormat="false" ht="15" hidden="false" customHeight="false" outlineLevel="0" collapsed="false">
      <c r="A496" s="15" t="n">
        <v>45985</v>
      </c>
      <c r="B496" s="16" t="n">
        <v>1237.91</v>
      </c>
      <c r="C496" s="17" t="n">
        <v>23637</v>
      </c>
      <c r="D496" s="17" t="n">
        <v>32310</v>
      </c>
      <c r="E496" s="17" t="n">
        <v>8520</v>
      </c>
      <c r="F496" s="17" t="n">
        <v>35808</v>
      </c>
    </row>
    <row r="497" customFormat="false" ht="15" hidden="false" customHeight="false" outlineLevel="0" collapsed="false">
      <c r="A497" s="15" t="n">
        <v>45986</v>
      </c>
      <c r="B497" s="16" t="n">
        <v>1230.53</v>
      </c>
      <c r="C497" s="17" t="n">
        <v>23645</v>
      </c>
      <c r="D497" s="17" t="n">
        <v>32083</v>
      </c>
      <c r="E497" s="17" t="n">
        <v>8481</v>
      </c>
      <c r="F497" s="17" t="n">
        <v>35107</v>
      </c>
    </row>
    <row r="498" customFormat="false" ht="15" hidden="false" customHeight="false" outlineLevel="0" collapsed="false">
      <c r="A498" s="15" t="n">
        <v>45987</v>
      </c>
      <c r="B498" s="16" t="n">
        <v>1228.45</v>
      </c>
      <c r="C498" s="17" t="n">
        <v>23645</v>
      </c>
      <c r="D498" s="17" t="n">
        <v>31889</v>
      </c>
      <c r="E498" s="17" t="n">
        <v>8505</v>
      </c>
      <c r="F498" s="17" t="n">
        <v>35981</v>
      </c>
    </row>
    <row r="499" customFormat="false" ht="15" hidden="false" customHeight="false" outlineLevel="0" collapsed="false">
      <c r="A499" s="15" t="n">
        <v>45988</v>
      </c>
      <c r="B499" s="16" t="n">
        <v>1235.47</v>
      </c>
      <c r="C499" s="17" t="n">
        <v>23604</v>
      </c>
      <c r="D499" s="17" t="n">
        <v>32009</v>
      </c>
      <c r="E499" s="17" t="n">
        <v>8500</v>
      </c>
      <c r="F499" s="17" t="n">
        <v>36401</v>
      </c>
    </row>
    <row r="500" customFormat="false" ht="15" hidden="false" customHeight="false" outlineLevel="0" collapsed="false">
      <c r="A500" s="15" t="n">
        <v>45989</v>
      </c>
      <c r="B500" s="16" t="n">
        <v>1245.38</v>
      </c>
      <c r="C500" s="17" t="n">
        <v>23962</v>
      </c>
      <c r="D500" s="17" t="n">
        <v>32168</v>
      </c>
      <c r="E500" s="17" t="n">
        <v>8478</v>
      </c>
      <c r="F500" s="17" t="n">
        <v>36603</v>
      </c>
    </row>
    <row r="501" customFormat="false" ht="15" hidden="false" customHeight="false" outlineLevel="0" collapsed="false">
      <c r="A501" s="15" t="n">
        <v>45992</v>
      </c>
      <c r="B501" s="16" t="n">
        <v>1244.99</v>
      </c>
      <c r="C501" s="17" t="n">
        <v>24160</v>
      </c>
      <c r="D501" s="17" t="n">
        <v>31852</v>
      </c>
      <c r="E501" s="17" t="n">
        <v>8545</v>
      </c>
      <c r="F501" s="17" t="n">
        <v>36437</v>
      </c>
    </row>
    <row r="502" customFormat="false" ht="15" hidden="false" customHeight="false" outlineLevel="0" collapsed="false">
      <c r="A502" s="15" t="n">
        <v>45993</v>
      </c>
      <c r="B502" s="16" t="n">
        <v>1252.05</v>
      </c>
      <c r="C502" s="17" t="n">
        <v>24405</v>
      </c>
      <c r="D502" s="17" t="n">
        <v>31389</v>
      </c>
      <c r="E502" s="17" t="n">
        <v>8601</v>
      </c>
      <c r="F502" s="17" t="n">
        <v>37510</v>
      </c>
    </row>
    <row r="503" customFormat="false" ht="15" hidden="false" customHeight="false" outlineLevel="0" collapsed="false">
      <c r="A503" s="15" t="n">
        <v>45994</v>
      </c>
      <c r="B503" s="16" t="n">
        <v>1248.82</v>
      </c>
      <c r="C503" s="17" t="n">
        <v>24133</v>
      </c>
      <c r="D503" s="17" t="n">
        <v>31465</v>
      </c>
      <c r="E503" s="17" t="n">
        <v>8623</v>
      </c>
      <c r="F503" s="17" t="n">
        <v>36879</v>
      </c>
    </row>
    <row r="504" customFormat="false" ht="15" hidden="false" customHeight="false" outlineLevel="0" collapsed="false">
      <c r="A504" s="15" t="n">
        <v>45995</v>
      </c>
      <c r="B504" s="16" t="n">
        <v>1240.23</v>
      </c>
      <c r="C504" s="17" t="n">
        <v>23822</v>
      </c>
      <c r="D504" s="17" t="n">
        <v>31264</v>
      </c>
      <c r="E504" s="17" t="n">
        <v>8593</v>
      </c>
      <c r="F504" s="17" t="n">
        <v>37070</v>
      </c>
    </row>
    <row r="505" customFormat="false" ht="15" hidden="false" customHeight="false" outlineLevel="0" collapsed="false">
      <c r="A505" s="15" t="n">
        <v>45996</v>
      </c>
      <c r="B505" s="16" t="n">
        <v>1239.83</v>
      </c>
      <c r="C505" s="17" t="n">
        <v>23907</v>
      </c>
      <c r="D505" s="17" t="n">
        <v>31323</v>
      </c>
      <c r="E505" s="17" t="n">
        <v>8523</v>
      </c>
      <c r="F505" s="17" t="n">
        <v>36520</v>
      </c>
    </row>
    <row r="506" customFormat="false" ht="15" hidden="false" customHeight="false" outlineLevel="0" collapsed="false">
      <c r="A506" s="15" t="n">
        <v>45999</v>
      </c>
      <c r="B506" s="16" t="n">
        <v>1217.03</v>
      </c>
      <c r="C506" s="17" t="n">
        <v>23452</v>
      </c>
      <c r="D506" s="17" t="n">
        <v>30761</v>
      </c>
      <c r="E506" s="17" t="n">
        <v>8227</v>
      </c>
      <c r="F506" s="17" t="n">
        <v>35456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3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7" t="s">
        <v>53</v>
      </c>
      <c r="B1" s="7" t="s">
        <v>46</v>
      </c>
      <c r="C1" s="7" t="s">
        <v>47</v>
      </c>
      <c r="D1" s="7" t="s">
        <v>48</v>
      </c>
      <c r="E1" s="7" t="s">
        <v>49</v>
      </c>
      <c r="G1" s="6" t="s">
        <v>56</v>
      </c>
    </row>
    <row r="2" customFormat="false" ht="15" hidden="false" customHeight="false" outlineLevel="0" collapsed="false">
      <c r="A2" s="15" t="n">
        <v>45293</v>
      </c>
      <c r="B2" s="17" t="n">
        <v>56300</v>
      </c>
      <c r="C2" s="17" t="n">
        <v>49300</v>
      </c>
      <c r="D2" s="17" t="n">
        <v>85600</v>
      </c>
      <c r="E2" s="17" t="n">
        <v>22700</v>
      </c>
    </row>
    <row r="3" customFormat="false" ht="15" hidden="false" customHeight="false" outlineLevel="0" collapsed="false">
      <c r="A3" s="15" t="n">
        <v>45294</v>
      </c>
      <c r="B3" s="17" t="n">
        <v>84300</v>
      </c>
      <c r="C3" s="17" t="n">
        <v>20800</v>
      </c>
      <c r="D3" s="17" t="n">
        <v>167500</v>
      </c>
      <c r="E3" s="17" t="n">
        <v>50800</v>
      </c>
    </row>
    <row r="4" customFormat="false" ht="15" hidden="false" customHeight="false" outlineLevel="0" collapsed="false">
      <c r="A4" s="15" t="n">
        <v>45295</v>
      </c>
      <c r="B4" s="17" t="n">
        <v>31100</v>
      </c>
      <c r="C4" s="17" t="n">
        <v>71500</v>
      </c>
      <c r="D4" s="17" t="n">
        <v>101600</v>
      </c>
      <c r="E4" s="17" t="n">
        <v>20700</v>
      </c>
    </row>
    <row r="5" customFormat="false" ht="15" hidden="false" customHeight="false" outlineLevel="0" collapsed="false">
      <c r="A5" s="15" t="n">
        <v>45296</v>
      </c>
      <c r="B5" s="17" t="n">
        <v>89100</v>
      </c>
      <c r="C5" s="17" t="n">
        <v>42900</v>
      </c>
      <c r="D5" s="17" t="n">
        <v>76400</v>
      </c>
      <c r="E5" s="17" t="n">
        <v>13800</v>
      </c>
    </row>
    <row r="6" customFormat="false" ht="15" hidden="false" customHeight="false" outlineLevel="0" collapsed="false">
      <c r="A6" s="15" t="n">
        <v>45299</v>
      </c>
      <c r="B6" s="17" t="n">
        <v>143100</v>
      </c>
      <c r="C6" s="17" t="n">
        <v>55900</v>
      </c>
      <c r="D6" s="17" t="n">
        <v>57500</v>
      </c>
      <c r="E6" s="17" t="n">
        <v>24800</v>
      </c>
    </row>
    <row r="7" customFormat="false" ht="15" hidden="false" customHeight="false" outlineLevel="0" collapsed="false">
      <c r="A7" s="15" t="n">
        <v>45300</v>
      </c>
      <c r="B7" s="17" t="n">
        <v>77500</v>
      </c>
      <c r="C7" s="17" t="n">
        <v>31500</v>
      </c>
      <c r="D7" s="17" t="n">
        <v>85200</v>
      </c>
      <c r="E7" s="17" t="n">
        <v>26200</v>
      </c>
    </row>
    <row r="8" customFormat="false" ht="15" hidden="false" customHeight="false" outlineLevel="0" collapsed="false">
      <c r="A8" s="15" t="n">
        <v>45301</v>
      </c>
      <c r="B8" s="17" t="n">
        <v>53600</v>
      </c>
      <c r="C8" s="17" t="n">
        <v>59600</v>
      </c>
      <c r="D8" s="17" t="n">
        <v>80400</v>
      </c>
      <c r="E8" s="17" t="n">
        <v>29900</v>
      </c>
    </row>
    <row r="9" customFormat="false" ht="15" hidden="false" customHeight="false" outlineLevel="0" collapsed="false">
      <c r="A9" s="15" t="n">
        <v>45302</v>
      </c>
      <c r="B9" s="17" t="n">
        <v>175900</v>
      </c>
      <c r="C9" s="17" t="n">
        <v>96400</v>
      </c>
      <c r="D9" s="17" t="n">
        <v>146800</v>
      </c>
      <c r="E9" s="17" t="n">
        <v>27100</v>
      </c>
    </row>
    <row r="10" customFormat="false" ht="15" hidden="false" customHeight="false" outlineLevel="0" collapsed="false">
      <c r="A10" s="15" t="n">
        <v>45303</v>
      </c>
      <c r="B10" s="17" t="n">
        <v>55900</v>
      </c>
      <c r="C10" s="17" t="n">
        <v>55100</v>
      </c>
      <c r="D10" s="17" t="n">
        <v>117600</v>
      </c>
      <c r="E10" s="17" t="n">
        <v>24000</v>
      </c>
    </row>
    <row r="11" customFormat="false" ht="15" hidden="false" customHeight="false" outlineLevel="0" collapsed="false">
      <c r="A11" s="15" t="n">
        <v>45306</v>
      </c>
      <c r="B11" s="17" t="n">
        <v>42300</v>
      </c>
      <c r="C11" s="17" t="n">
        <v>68500</v>
      </c>
      <c r="D11" s="17" t="n">
        <v>152500</v>
      </c>
      <c r="E11" s="17" t="n">
        <v>11100</v>
      </c>
    </row>
    <row r="12" customFormat="false" ht="15" hidden="false" customHeight="false" outlineLevel="0" collapsed="false">
      <c r="A12" s="15" t="n">
        <v>45307</v>
      </c>
      <c r="B12" s="17" t="n">
        <v>124400</v>
      </c>
      <c r="C12" s="17" t="n">
        <v>37900</v>
      </c>
      <c r="D12" s="17" t="n">
        <v>198000</v>
      </c>
      <c r="E12" s="17" t="n">
        <v>30500</v>
      </c>
    </row>
    <row r="13" customFormat="false" ht="15" hidden="false" customHeight="false" outlineLevel="0" collapsed="false">
      <c r="A13" s="15" t="n">
        <v>45308</v>
      </c>
      <c r="B13" s="17" t="n">
        <v>78700</v>
      </c>
      <c r="C13" s="17" t="n">
        <v>38900</v>
      </c>
      <c r="D13" s="17" t="n">
        <v>121300</v>
      </c>
      <c r="E13" s="17" t="n">
        <v>21800</v>
      </c>
    </row>
    <row r="14" customFormat="false" ht="15" hidden="false" customHeight="false" outlineLevel="0" collapsed="false">
      <c r="A14" s="15" t="n">
        <v>45309</v>
      </c>
      <c r="B14" s="17" t="n">
        <v>128800</v>
      </c>
      <c r="C14" s="17" t="n">
        <v>19300</v>
      </c>
      <c r="D14" s="17" t="n">
        <v>92400</v>
      </c>
      <c r="E14" s="17" t="n">
        <v>14500</v>
      </c>
    </row>
    <row r="15" customFormat="false" ht="15" hidden="false" customHeight="false" outlineLevel="0" collapsed="false">
      <c r="A15" s="15" t="n">
        <v>45310</v>
      </c>
      <c r="B15" s="17" t="n">
        <v>68500</v>
      </c>
      <c r="C15" s="17" t="n">
        <v>47000</v>
      </c>
      <c r="D15" s="17" t="n">
        <v>142300</v>
      </c>
      <c r="E15" s="17" t="n">
        <v>10400</v>
      </c>
    </row>
    <row r="16" customFormat="false" ht="15" hidden="false" customHeight="false" outlineLevel="0" collapsed="false">
      <c r="A16" s="15" t="n">
        <v>45313</v>
      </c>
      <c r="B16" s="17" t="n">
        <v>73300</v>
      </c>
      <c r="C16" s="17" t="n">
        <v>35400</v>
      </c>
      <c r="D16" s="17" t="n">
        <v>76200</v>
      </c>
      <c r="E16" s="17" t="n">
        <v>33200</v>
      </c>
    </row>
    <row r="17" customFormat="false" ht="15" hidden="false" customHeight="false" outlineLevel="0" collapsed="false">
      <c r="A17" s="15" t="n">
        <v>45314</v>
      </c>
      <c r="B17" s="17" t="n">
        <v>86700</v>
      </c>
      <c r="C17" s="17" t="n">
        <v>32200</v>
      </c>
      <c r="D17" s="17" t="n">
        <v>167700</v>
      </c>
      <c r="E17" s="17" t="n">
        <v>20200</v>
      </c>
    </row>
    <row r="18" customFormat="false" ht="15" hidden="false" customHeight="false" outlineLevel="0" collapsed="false">
      <c r="A18" s="15" t="n">
        <v>45315</v>
      </c>
      <c r="B18" s="17" t="n">
        <v>80900</v>
      </c>
      <c r="C18" s="17" t="n">
        <v>40700</v>
      </c>
      <c r="D18" s="17" t="n">
        <v>164800</v>
      </c>
      <c r="E18" s="17" t="n">
        <v>14200</v>
      </c>
    </row>
    <row r="19" customFormat="false" ht="15" hidden="false" customHeight="false" outlineLevel="0" collapsed="false">
      <c r="A19" s="15" t="n">
        <v>45316</v>
      </c>
      <c r="B19" s="17" t="n">
        <v>99200</v>
      </c>
      <c r="C19" s="17" t="n">
        <v>62900</v>
      </c>
      <c r="D19" s="17" t="n">
        <v>186500</v>
      </c>
      <c r="E19" s="17" t="n">
        <v>21200</v>
      </c>
    </row>
    <row r="20" customFormat="false" ht="15" hidden="false" customHeight="false" outlineLevel="0" collapsed="false">
      <c r="A20" s="15" t="n">
        <v>45317</v>
      </c>
      <c r="B20" s="17" t="n">
        <v>72700</v>
      </c>
      <c r="C20" s="17" t="n">
        <v>23700</v>
      </c>
      <c r="D20" s="17" t="n">
        <v>204000</v>
      </c>
      <c r="E20" s="17" t="n">
        <v>23300</v>
      </c>
    </row>
    <row r="21" customFormat="false" ht="15" hidden="false" customHeight="false" outlineLevel="0" collapsed="false">
      <c r="A21" s="15" t="n">
        <v>45320</v>
      </c>
      <c r="B21" s="17" t="n">
        <v>69300</v>
      </c>
      <c r="C21" s="17" t="n">
        <v>36200</v>
      </c>
      <c r="D21" s="17" t="n">
        <v>150500</v>
      </c>
      <c r="E21" s="17" t="n">
        <v>28900</v>
      </c>
    </row>
    <row r="22" customFormat="false" ht="15" hidden="false" customHeight="false" outlineLevel="0" collapsed="false">
      <c r="A22" s="15" t="n">
        <v>45321</v>
      </c>
      <c r="B22" s="17" t="n">
        <v>86700</v>
      </c>
      <c r="C22" s="17" t="n">
        <v>37800</v>
      </c>
      <c r="D22" s="17" t="n">
        <v>138300</v>
      </c>
      <c r="E22" s="17" t="n">
        <v>27200</v>
      </c>
    </row>
    <row r="23" customFormat="false" ht="15" hidden="false" customHeight="false" outlineLevel="0" collapsed="false">
      <c r="A23" s="15" t="n">
        <v>45322</v>
      </c>
      <c r="B23" s="17" t="n">
        <v>49100</v>
      </c>
      <c r="C23" s="17" t="n">
        <v>89300</v>
      </c>
      <c r="D23" s="17" t="n">
        <v>111000</v>
      </c>
      <c r="E23" s="17" t="n">
        <v>16200</v>
      </c>
    </row>
    <row r="24" customFormat="false" ht="15" hidden="false" customHeight="false" outlineLevel="0" collapsed="false">
      <c r="A24" s="15" t="n">
        <v>45323</v>
      </c>
      <c r="B24" s="17" t="n">
        <v>71300</v>
      </c>
      <c r="C24" s="17" t="n">
        <v>50400</v>
      </c>
      <c r="D24" s="17" t="n">
        <v>117600</v>
      </c>
      <c r="E24" s="17" t="n">
        <v>15200</v>
      </c>
    </row>
    <row r="25" customFormat="false" ht="15" hidden="false" customHeight="false" outlineLevel="0" collapsed="false">
      <c r="A25" s="15" t="n">
        <v>45324</v>
      </c>
      <c r="B25" s="17" t="n">
        <v>88700</v>
      </c>
      <c r="C25" s="17" t="n">
        <v>39400</v>
      </c>
      <c r="D25" s="17" t="n">
        <v>79000</v>
      </c>
      <c r="E25" s="17" t="n">
        <v>20200</v>
      </c>
    </row>
    <row r="26" customFormat="false" ht="15" hidden="false" customHeight="false" outlineLevel="0" collapsed="false">
      <c r="A26" s="15" t="n">
        <v>45327</v>
      </c>
      <c r="B26" s="17" t="n">
        <v>37300</v>
      </c>
      <c r="C26" s="17" t="n">
        <v>62600</v>
      </c>
      <c r="D26" s="17" t="n">
        <v>166000</v>
      </c>
      <c r="E26" s="17" t="n">
        <v>21900</v>
      </c>
    </row>
    <row r="27" customFormat="false" ht="15" hidden="false" customHeight="false" outlineLevel="0" collapsed="false">
      <c r="A27" s="15" t="n">
        <v>45328</v>
      </c>
      <c r="B27" s="17" t="n">
        <v>49400</v>
      </c>
      <c r="C27" s="17" t="n">
        <v>28800</v>
      </c>
      <c r="D27" s="17" t="n">
        <v>166800</v>
      </c>
      <c r="E27" s="17" t="n">
        <v>13200</v>
      </c>
    </row>
    <row r="28" customFormat="false" ht="15" hidden="false" customHeight="false" outlineLevel="0" collapsed="false">
      <c r="A28" s="15" t="n">
        <v>45329</v>
      </c>
      <c r="B28" s="17" t="n">
        <v>67900</v>
      </c>
      <c r="C28" s="17" t="n">
        <v>35100</v>
      </c>
      <c r="D28" s="17" t="n">
        <v>96800</v>
      </c>
      <c r="E28" s="17" t="n">
        <v>25200</v>
      </c>
    </row>
    <row r="29" customFormat="false" ht="15" hidden="false" customHeight="false" outlineLevel="0" collapsed="false">
      <c r="A29" s="15" t="n">
        <v>45330</v>
      </c>
      <c r="B29" s="17" t="n">
        <v>60800</v>
      </c>
      <c r="C29" s="17" t="n">
        <v>32900</v>
      </c>
      <c r="D29" s="17" t="n">
        <v>84700</v>
      </c>
      <c r="E29" s="17" t="n">
        <v>12200</v>
      </c>
    </row>
    <row r="30" customFormat="false" ht="15" hidden="false" customHeight="false" outlineLevel="0" collapsed="false">
      <c r="A30" s="15" t="n">
        <v>45331</v>
      </c>
      <c r="B30" s="17" t="n">
        <v>94600</v>
      </c>
      <c r="C30" s="17" t="n">
        <v>66800</v>
      </c>
      <c r="D30" s="17" t="n">
        <v>59800</v>
      </c>
      <c r="E30" s="17" t="n">
        <v>15700</v>
      </c>
    </row>
    <row r="31" customFormat="false" ht="15" hidden="false" customHeight="false" outlineLevel="0" collapsed="false">
      <c r="A31" s="15" t="n">
        <v>45334</v>
      </c>
      <c r="B31" s="17" t="n">
        <v>62900</v>
      </c>
      <c r="C31" s="17" t="n">
        <v>28800</v>
      </c>
      <c r="D31" s="17" t="n">
        <v>71400</v>
      </c>
      <c r="E31" s="17" t="n">
        <v>11500</v>
      </c>
    </row>
    <row r="32" customFormat="false" ht="15" hidden="false" customHeight="false" outlineLevel="0" collapsed="false">
      <c r="A32" s="15" t="n">
        <v>45335</v>
      </c>
      <c r="B32" s="17" t="n">
        <v>58800</v>
      </c>
      <c r="C32" s="17" t="n">
        <v>28600</v>
      </c>
      <c r="D32" s="17" t="n">
        <v>142900</v>
      </c>
      <c r="E32" s="17" t="n">
        <v>19400</v>
      </c>
    </row>
    <row r="33" customFormat="false" ht="15" hidden="false" customHeight="false" outlineLevel="0" collapsed="false">
      <c r="A33" s="15" t="n">
        <v>45336</v>
      </c>
      <c r="B33" s="17" t="n">
        <v>56300</v>
      </c>
      <c r="C33" s="17" t="n">
        <v>54900</v>
      </c>
      <c r="D33" s="17" t="n">
        <v>67900</v>
      </c>
      <c r="E33" s="17" t="n">
        <v>26200</v>
      </c>
    </row>
    <row r="34" customFormat="false" ht="15" hidden="false" customHeight="false" outlineLevel="0" collapsed="false">
      <c r="A34" s="15" t="n">
        <v>45337</v>
      </c>
      <c r="B34" s="17" t="n">
        <v>34400</v>
      </c>
      <c r="C34" s="17" t="n">
        <v>42100</v>
      </c>
      <c r="D34" s="17" t="n">
        <v>134800</v>
      </c>
      <c r="E34" s="17" t="n">
        <v>17300</v>
      </c>
    </row>
    <row r="35" customFormat="false" ht="15" hidden="false" customHeight="false" outlineLevel="0" collapsed="false">
      <c r="A35" s="15" t="n">
        <v>45338</v>
      </c>
      <c r="B35" s="17" t="n">
        <v>45200</v>
      </c>
      <c r="C35" s="17" t="n">
        <v>48700</v>
      </c>
      <c r="D35" s="17" t="n">
        <v>93800</v>
      </c>
      <c r="E35" s="17" t="n">
        <v>22100</v>
      </c>
    </row>
    <row r="36" customFormat="false" ht="15" hidden="false" customHeight="false" outlineLevel="0" collapsed="false">
      <c r="A36" s="15" t="n">
        <v>45341</v>
      </c>
      <c r="B36" s="17" t="n">
        <v>96200</v>
      </c>
      <c r="C36" s="17" t="n">
        <v>35300</v>
      </c>
      <c r="D36" s="17" t="n">
        <v>96200</v>
      </c>
      <c r="E36" s="17" t="n">
        <v>10700</v>
      </c>
    </row>
    <row r="37" customFormat="false" ht="15" hidden="false" customHeight="false" outlineLevel="0" collapsed="false">
      <c r="A37" s="15" t="n">
        <v>45342</v>
      </c>
      <c r="B37" s="17" t="n">
        <v>102700</v>
      </c>
      <c r="C37" s="17" t="n">
        <v>28200</v>
      </c>
      <c r="D37" s="17" t="n">
        <v>161900</v>
      </c>
      <c r="E37" s="17" t="n">
        <v>27800</v>
      </c>
    </row>
    <row r="38" customFormat="false" ht="15" hidden="false" customHeight="false" outlineLevel="0" collapsed="false">
      <c r="A38" s="15" t="n">
        <v>45343</v>
      </c>
      <c r="B38" s="17" t="n">
        <v>107800</v>
      </c>
      <c r="C38" s="17" t="n">
        <v>52700</v>
      </c>
      <c r="D38" s="17" t="n">
        <v>105100</v>
      </c>
      <c r="E38" s="17" t="n">
        <v>25900</v>
      </c>
    </row>
    <row r="39" customFormat="false" ht="15" hidden="false" customHeight="false" outlineLevel="0" collapsed="false">
      <c r="A39" s="15" t="n">
        <v>45344</v>
      </c>
      <c r="B39" s="17" t="n">
        <v>125000</v>
      </c>
      <c r="C39" s="17" t="n">
        <v>123400</v>
      </c>
      <c r="D39" s="17" t="n">
        <v>76800</v>
      </c>
      <c r="E39" s="17" t="n">
        <v>51300</v>
      </c>
    </row>
    <row r="40" customFormat="false" ht="15" hidden="false" customHeight="false" outlineLevel="0" collapsed="false">
      <c r="A40" s="15" t="n">
        <v>45345</v>
      </c>
      <c r="B40" s="17" t="n">
        <v>61200</v>
      </c>
      <c r="C40" s="17" t="n">
        <v>55600</v>
      </c>
      <c r="D40" s="17" t="n">
        <v>136900</v>
      </c>
      <c r="E40" s="17" t="n">
        <v>12700</v>
      </c>
    </row>
    <row r="41" customFormat="false" ht="15" hidden="false" customHeight="false" outlineLevel="0" collapsed="false">
      <c r="A41" s="15" t="n">
        <v>45348</v>
      </c>
      <c r="B41" s="17" t="n">
        <v>101400</v>
      </c>
      <c r="C41" s="17" t="n">
        <v>21800</v>
      </c>
      <c r="D41" s="17" t="n">
        <v>189200</v>
      </c>
      <c r="E41" s="17" t="n">
        <v>20600</v>
      </c>
    </row>
    <row r="42" customFormat="false" ht="15" hidden="false" customHeight="false" outlineLevel="0" collapsed="false">
      <c r="A42" s="15" t="n">
        <v>45349</v>
      </c>
      <c r="B42" s="17" t="n">
        <v>69000</v>
      </c>
      <c r="C42" s="17" t="n">
        <v>53200</v>
      </c>
      <c r="D42" s="17" t="n">
        <v>222100</v>
      </c>
      <c r="E42" s="17" t="n">
        <v>26400</v>
      </c>
    </row>
    <row r="43" customFormat="false" ht="15" hidden="false" customHeight="false" outlineLevel="0" collapsed="false">
      <c r="A43" s="15" t="n">
        <v>45350</v>
      </c>
      <c r="B43" s="17" t="n">
        <v>123600</v>
      </c>
      <c r="C43" s="17" t="n">
        <v>74000</v>
      </c>
      <c r="D43" s="17" t="n">
        <v>147300</v>
      </c>
      <c r="E43" s="17" t="n">
        <v>17500</v>
      </c>
    </row>
    <row r="44" customFormat="false" ht="15" hidden="false" customHeight="false" outlineLevel="0" collapsed="false">
      <c r="A44" s="15" t="n">
        <v>45351</v>
      </c>
      <c r="B44" s="17" t="n">
        <v>88300</v>
      </c>
      <c r="C44" s="17" t="n">
        <v>43200</v>
      </c>
      <c r="D44" s="17" t="n">
        <v>90100</v>
      </c>
      <c r="E44" s="17" t="n">
        <v>22400</v>
      </c>
    </row>
    <row r="45" customFormat="false" ht="15" hidden="false" customHeight="false" outlineLevel="0" collapsed="false">
      <c r="A45" s="15" t="n">
        <v>45352</v>
      </c>
      <c r="B45" s="17" t="n">
        <v>67400</v>
      </c>
      <c r="C45" s="17" t="n">
        <v>56100</v>
      </c>
      <c r="D45" s="17" t="n">
        <v>204800</v>
      </c>
      <c r="E45" s="17" t="n">
        <v>19400</v>
      </c>
    </row>
    <row r="46" customFormat="false" ht="15" hidden="false" customHeight="false" outlineLevel="0" collapsed="false">
      <c r="A46" s="15" t="n">
        <v>45355</v>
      </c>
      <c r="B46" s="17" t="n">
        <v>102200</v>
      </c>
      <c r="C46" s="17" t="n">
        <v>43700</v>
      </c>
      <c r="D46" s="17" t="n">
        <v>151100</v>
      </c>
      <c r="E46" s="17" t="n">
        <v>24500</v>
      </c>
    </row>
    <row r="47" customFormat="false" ht="15" hidden="false" customHeight="false" outlineLevel="0" collapsed="false">
      <c r="A47" s="15" t="n">
        <v>45356</v>
      </c>
      <c r="B47" s="17" t="n">
        <v>47600</v>
      </c>
      <c r="C47" s="17" t="n">
        <v>68900</v>
      </c>
      <c r="D47" s="17" t="n">
        <v>92200</v>
      </c>
      <c r="E47" s="17" t="n">
        <v>18300</v>
      </c>
    </row>
    <row r="48" customFormat="false" ht="15" hidden="false" customHeight="false" outlineLevel="0" collapsed="false">
      <c r="A48" s="15" t="n">
        <v>45357</v>
      </c>
      <c r="B48" s="17" t="n">
        <v>137600</v>
      </c>
      <c r="C48" s="17" t="n">
        <v>64800</v>
      </c>
      <c r="D48" s="17" t="n">
        <v>332400</v>
      </c>
      <c r="E48" s="17" t="n">
        <v>28700</v>
      </c>
    </row>
    <row r="49" customFormat="false" ht="15" hidden="false" customHeight="false" outlineLevel="0" collapsed="false">
      <c r="A49" s="15" t="n">
        <v>45358</v>
      </c>
      <c r="B49" s="17" t="n">
        <v>49400</v>
      </c>
      <c r="C49" s="17" t="n">
        <v>65400</v>
      </c>
      <c r="D49" s="17" t="n">
        <v>230900</v>
      </c>
      <c r="E49" s="17" t="n">
        <v>45000</v>
      </c>
    </row>
    <row r="50" customFormat="false" ht="15" hidden="false" customHeight="false" outlineLevel="0" collapsed="false">
      <c r="A50" s="15" t="n">
        <v>45359</v>
      </c>
      <c r="B50" s="17" t="n">
        <v>137500</v>
      </c>
      <c r="C50" s="17" t="n">
        <v>53400</v>
      </c>
      <c r="D50" s="17" t="n">
        <v>219900</v>
      </c>
      <c r="E50" s="17" t="n">
        <v>20500</v>
      </c>
    </row>
    <row r="51" customFormat="false" ht="15" hidden="false" customHeight="false" outlineLevel="0" collapsed="false">
      <c r="A51" s="15" t="n">
        <v>45362</v>
      </c>
      <c r="B51" s="17" t="n">
        <v>68100</v>
      </c>
      <c r="C51" s="17" t="n">
        <v>76300</v>
      </c>
      <c r="D51" s="17" t="n">
        <v>106800</v>
      </c>
      <c r="E51" s="17" t="n">
        <v>24000</v>
      </c>
    </row>
    <row r="52" customFormat="false" ht="15" hidden="false" customHeight="false" outlineLevel="0" collapsed="false">
      <c r="A52" s="15" t="n">
        <v>45363</v>
      </c>
      <c r="B52" s="17" t="n">
        <v>70700</v>
      </c>
      <c r="C52" s="17" t="n">
        <v>20000</v>
      </c>
      <c r="D52" s="17" t="n">
        <v>95100</v>
      </c>
      <c r="E52" s="17" t="n">
        <v>7400</v>
      </c>
    </row>
    <row r="53" customFormat="false" ht="15" hidden="false" customHeight="false" outlineLevel="0" collapsed="false">
      <c r="A53" s="15" t="n">
        <v>45364</v>
      </c>
      <c r="B53" s="17" t="n">
        <v>32500</v>
      </c>
      <c r="C53" s="17" t="n">
        <v>35200</v>
      </c>
      <c r="D53" s="17" t="n">
        <v>108300</v>
      </c>
      <c r="E53" s="17" t="n">
        <v>31700</v>
      </c>
    </row>
    <row r="54" customFormat="false" ht="15" hidden="false" customHeight="false" outlineLevel="0" collapsed="false">
      <c r="A54" s="15" t="n">
        <v>45365</v>
      </c>
      <c r="B54" s="17" t="n">
        <v>177100</v>
      </c>
      <c r="C54" s="17" t="n">
        <v>39200</v>
      </c>
      <c r="D54" s="17" t="n">
        <v>128300</v>
      </c>
      <c r="E54" s="17" t="n">
        <v>54900</v>
      </c>
    </row>
    <row r="55" customFormat="false" ht="15" hidden="false" customHeight="false" outlineLevel="0" collapsed="false">
      <c r="A55" s="15" t="n">
        <v>45366</v>
      </c>
      <c r="B55" s="17" t="n">
        <v>77100</v>
      </c>
      <c r="C55" s="17" t="n">
        <v>92700</v>
      </c>
      <c r="D55" s="17" t="n">
        <v>323700</v>
      </c>
      <c r="E55" s="17" t="n">
        <v>42800</v>
      </c>
    </row>
    <row r="56" customFormat="false" ht="15" hidden="false" customHeight="false" outlineLevel="0" collapsed="false">
      <c r="A56" s="15" t="n">
        <v>45369</v>
      </c>
      <c r="B56" s="17" t="n">
        <v>59500</v>
      </c>
      <c r="C56" s="17" t="n">
        <v>61600</v>
      </c>
      <c r="D56" s="17" t="n">
        <v>214400</v>
      </c>
      <c r="E56" s="17" t="n">
        <v>22900</v>
      </c>
    </row>
    <row r="57" customFormat="false" ht="15" hidden="false" customHeight="false" outlineLevel="0" collapsed="false">
      <c r="A57" s="15" t="n">
        <v>45370</v>
      </c>
      <c r="B57" s="17" t="n">
        <v>110900</v>
      </c>
      <c r="C57" s="17" t="n">
        <v>69600</v>
      </c>
      <c r="D57" s="17" t="n">
        <v>74000</v>
      </c>
      <c r="E57" s="17" t="n">
        <v>18600</v>
      </c>
    </row>
    <row r="58" customFormat="false" ht="15" hidden="false" customHeight="false" outlineLevel="0" collapsed="false">
      <c r="A58" s="15" t="n">
        <v>45371</v>
      </c>
      <c r="B58" s="17" t="n">
        <v>61100</v>
      </c>
      <c r="C58" s="17" t="n">
        <v>30700</v>
      </c>
      <c r="D58" s="17" t="n">
        <v>142800</v>
      </c>
      <c r="E58" s="17" t="n">
        <v>31400</v>
      </c>
    </row>
    <row r="59" customFormat="false" ht="15" hidden="false" customHeight="false" outlineLevel="0" collapsed="false">
      <c r="A59" s="15" t="n">
        <v>45372</v>
      </c>
      <c r="B59" s="17" t="n">
        <v>45900</v>
      </c>
      <c r="C59" s="17" t="n">
        <v>69800</v>
      </c>
      <c r="D59" s="17" t="n">
        <v>88900</v>
      </c>
      <c r="E59" s="17" t="n">
        <v>67500</v>
      </c>
    </row>
    <row r="60" customFormat="false" ht="15" hidden="false" customHeight="false" outlineLevel="0" collapsed="false">
      <c r="A60" s="15" t="n">
        <v>45373</v>
      </c>
      <c r="B60" s="17" t="n">
        <v>65000</v>
      </c>
      <c r="C60" s="17" t="n">
        <v>65900</v>
      </c>
      <c r="D60" s="17" t="n">
        <v>122100</v>
      </c>
      <c r="E60" s="17" t="n">
        <v>32500</v>
      </c>
    </row>
    <row r="61" customFormat="false" ht="15" hidden="false" customHeight="false" outlineLevel="0" collapsed="false">
      <c r="A61" s="15" t="n">
        <v>45376</v>
      </c>
      <c r="B61" s="17" t="n">
        <v>108600</v>
      </c>
      <c r="C61" s="17" t="n">
        <v>52600</v>
      </c>
      <c r="D61" s="17" t="n">
        <v>113400</v>
      </c>
      <c r="E61" s="17" t="n">
        <v>36900</v>
      </c>
    </row>
    <row r="62" customFormat="false" ht="15" hidden="false" customHeight="false" outlineLevel="0" collapsed="false">
      <c r="A62" s="15" t="n">
        <v>45377</v>
      </c>
      <c r="B62" s="17" t="n">
        <v>79700</v>
      </c>
      <c r="C62" s="17" t="n">
        <v>43600</v>
      </c>
      <c r="D62" s="17" t="n">
        <v>115100</v>
      </c>
      <c r="E62" s="17" t="n">
        <v>16000</v>
      </c>
    </row>
    <row r="63" customFormat="false" ht="15" hidden="false" customHeight="false" outlineLevel="0" collapsed="false">
      <c r="A63" s="15" t="n">
        <v>45378</v>
      </c>
      <c r="B63" s="17" t="n">
        <v>116400</v>
      </c>
      <c r="C63" s="17" t="n">
        <v>18100</v>
      </c>
      <c r="D63" s="17" t="n">
        <v>90400</v>
      </c>
      <c r="E63" s="17" t="n">
        <v>42000</v>
      </c>
    </row>
    <row r="64" customFormat="false" ht="15" hidden="false" customHeight="false" outlineLevel="0" collapsed="false">
      <c r="A64" s="15" t="n">
        <v>45379</v>
      </c>
      <c r="B64" s="17" t="n">
        <v>86400</v>
      </c>
      <c r="C64" s="17" t="n">
        <v>37200</v>
      </c>
      <c r="D64" s="17" t="n">
        <v>62800</v>
      </c>
      <c r="E64" s="17" t="n">
        <v>14200</v>
      </c>
    </row>
    <row r="65" customFormat="false" ht="15" hidden="false" customHeight="false" outlineLevel="0" collapsed="false">
      <c r="A65" s="15" t="n">
        <v>45380</v>
      </c>
      <c r="B65" s="17" t="n">
        <v>101200</v>
      </c>
      <c r="C65" s="17" t="n">
        <v>38600</v>
      </c>
      <c r="D65" s="17" t="n">
        <v>60100</v>
      </c>
      <c r="E65" s="17" t="n">
        <v>37900</v>
      </c>
    </row>
    <row r="66" customFormat="false" ht="15" hidden="false" customHeight="false" outlineLevel="0" collapsed="false">
      <c r="A66" s="15" t="n">
        <v>45383</v>
      </c>
      <c r="B66" s="17" t="n">
        <v>207900</v>
      </c>
      <c r="C66" s="17" t="n">
        <v>75800</v>
      </c>
      <c r="D66" s="17" t="n">
        <v>186400</v>
      </c>
      <c r="E66" s="17" t="n">
        <v>75800</v>
      </c>
    </row>
    <row r="67" customFormat="false" ht="15" hidden="false" customHeight="false" outlineLevel="0" collapsed="false">
      <c r="A67" s="15" t="n">
        <v>45384</v>
      </c>
      <c r="B67" s="17" t="n">
        <v>113700</v>
      </c>
      <c r="C67" s="17" t="n">
        <v>32500</v>
      </c>
      <c r="D67" s="17" t="n">
        <v>70100</v>
      </c>
      <c r="E67" s="17" t="n">
        <v>16200</v>
      </c>
    </row>
    <row r="68" customFormat="false" ht="15" hidden="false" customHeight="false" outlineLevel="0" collapsed="false">
      <c r="A68" s="15" t="n">
        <v>45385</v>
      </c>
      <c r="B68" s="17" t="n">
        <v>90700</v>
      </c>
      <c r="C68" s="17" t="n">
        <v>109700</v>
      </c>
      <c r="D68" s="17" t="n">
        <v>147700</v>
      </c>
      <c r="E68" s="17" t="n">
        <v>18200</v>
      </c>
    </row>
    <row r="69" customFormat="false" ht="15" hidden="false" customHeight="false" outlineLevel="0" collapsed="false">
      <c r="A69" s="15" t="n">
        <v>45386</v>
      </c>
      <c r="B69" s="17" t="n">
        <v>68700</v>
      </c>
      <c r="C69" s="17" t="n">
        <v>107600</v>
      </c>
      <c r="D69" s="17" t="n">
        <v>69700</v>
      </c>
      <c r="E69" s="17" t="n">
        <v>36200</v>
      </c>
    </row>
    <row r="70" customFormat="false" ht="15" hidden="false" customHeight="false" outlineLevel="0" collapsed="false">
      <c r="A70" s="15" t="n">
        <v>45387</v>
      </c>
      <c r="B70" s="17" t="n">
        <v>172700</v>
      </c>
      <c r="C70" s="17" t="n">
        <v>44300</v>
      </c>
      <c r="D70" s="17" t="n">
        <v>183300</v>
      </c>
      <c r="E70" s="17" t="n">
        <v>20100</v>
      </c>
    </row>
    <row r="71" customFormat="false" ht="15" hidden="false" customHeight="false" outlineLevel="0" collapsed="false">
      <c r="A71" s="15" t="n">
        <v>45390</v>
      </c>
      <c r="B71" s="17" t="n">
        <v>61900</v>
      </c>
      <c r="C71" s="17" t="n">
        <v>41900</v>
      </c>
      <c r="D71" s="17" t="n">
        <v>155900</v>
      </c>
      <c r="E71" s="17" t="n">
        <v>46100</v>
      </c>
    </row>
    <row r="72" customFormat="false" ht="15" hidden="false" customHeight="false" outlineLevel="0" collapsed="false">
      <c r="A72" s="15" t="n">
        <v>45391</v>
      </c>
      <c r="B72" s="17" t="n">
        <v>84900</v>
      </c>
      <c r="C72" s="17" t="n">
        <v>37600</v>
      </c>
      <c r="D72" s="17" t="n">
        <v>203500</v>
      </c>
      <c r="E72" s="17" t="n">
        <v>19300</v>
      </c>
    </row>
    <row r="73" customFormat="false" ht="15" hidden="false" customHeight="false" outlineLevel="0" collapsed="false">
      <c r="A73" s="15" t="n">
        <v>45392</v>
      </c>
      <c r="B73" s="17" t="n">
        <v>54200</v>
      </c>
      <c r="C73" s="17" t="n">
        <v>28000</v>
      </c>
      <c r="D73" s="17" t="n">
        <v>179200</v>
      </c>
      <c r="E73" s="17" t="n">
        <v>12200</v>
      </c>
    </row>
    <row r="74" customFormat="false" ht="15" hidden="false" customHeight="false" outlineLevel="0" collapsed="false">
      <c r="A74" s="15" t="n">
        <v>45393</v>
      </c>
      <c r="B74" s="17" t="n">
        <v>130000</v>
      </c>
      <c r="C74" s="17" t="n">
        <v>19900</v>
      </c>
      <c r="D74" s="17" t="n">
        <v>43100</v>
      </c>
      <c r="E74" s="17" t="n">
        <v>33400</v>
      </c>
    </row>
    <row r="75" customFormat="false" ht="15" hidden="false" customHeight="false" outlineLevel="0" collapsed="false">
      <c r="A75" s="15" t="n">
        <v>45394</v>
      </c>
      <c r="B75" s="17" t="n">
        <v>107500</v>
      </c>
      <c r="C75" s="17" t="n">
        <v>63900</v>
      </c>
      <c r="D75" s="17" t="n">
        <v>77400</v>
      </c>
      <c r="E75" s="17" t="n">
        <v>25400</v>
      </c>
    </row>
    <row r="76" customFormat="false" ht="15" hidden="false" customHeight="false" outlineLevel="0" collapsed="false">
      <c r="A76" s="15" t="n">
        <v>45397</v>
      </c>
      <c r="B76" s="17" t="n">
        <v>55700</v>
      </c>
      <c r="C76" s="17" t="n">
        <v>43600</v>
      </c>
      <c r="D76" s="17" t="n">
        <v>208200</v>
      </c>
      <c r="E76" s="17" t="n">
        <v>23600</v>
      </c>
    </row>
    <row r="77" customFormat="false" ht="15" hidden="false" customHeight="false" outlineLevel="0" collapsed="false">
      <c r="A77" s="15" t="n">
        <v>45398</v>
      </c>
      <c r="B77" s="17" t="n">
        <v>51400</v>
      </c>
      <c r="C77" s="17" t="n">
        <v>50100</v>
      </c>
      <c r="D77" s="17" t="n">
        <v>186400</v>
      </c>
      <c r="E77" s="17" t="n">
        <v>21300</v>
      </c>
    </row>
    <row r="78" customFormat="false" ht="15" hidden="false" customHeight="false" outlineLevel="0" collapsed="false">
      <c r="A78" s="15" t="n">
        <v>45399</v>
      </c>
      <c r="B78" s="17" t="n">
        <v>156300</v>
      </c>
      <c r="C78" s="17" t="n">
        <v>38200</v>
      </c>
      <c r="D78" s="17" t="n">
        <v>133200</v>
      </c>
      <c r="E78" s="17" t="n">
        <v>28600</v>
      </c>
    </row>
    <row r="79" customFormat="false" ht="15" hidden="false" customHeight="false" outlineLevel="0" collapsed="false">
      <c r="A79" s="15" t="n">
        <v>45400</v>
      </c>
      <c r="B79" s="17" t="n">
        <v>55800</v>
      </c>
      <c r="C79" s="17" t="n">
        <v>30700</v>
      </c>
      <c r="D79" s="17" t="n">
        <v>167500</v>
      </c>
      <c r="E79" s="17" t="n">
        <v>23900</v>
      </c>
    </row>
    <row r="80" customFormat="false" ht="15" hidden="false" customHeight="false" outlineLevel="0" collapsed="false">
      <c r="A80" s="15" t="n">
        <v>45401</v>
      </c>
      <c r="B80" s="17" t="n">
        <v>90800</v>
      </c>
      <c r="C80" s="17" t="n">
        <v>50100</v>
      </c>
      <c r="D80" s="17" t="n">
        <v>135600</v>
      </c>
      <c r="E80" s="17" t="n">
        <v>26000</v>
      </c>
    </row>
    <row r="81" customFormat="false" ht="15" hidden="false" customHeight="false" outlineLevel="0" collapsed="false">
      <c r="A81" s="15" t="n">
        <v>45404</v>
      </c>
      <c r="B81" s="17" t="n">
        <v>154600</v>
      </c>
      <c r="C81" s="17" t="n">
        <v>47000</v>
      </c>
      <c r="D81" s="17" t="n">
        <v>146400</v>
      </c>
      <c r="E81" s="17" t="n">
        <v>40800</v>
      </c>
    </row>
    <row r="82" customFormat="false" ht="15" hidden="false" customHeight="false" outlineLevel="0" collapsed="false">
      <c r="A82" s="15" t="n">
        <v>45405</v>
      </c>
      <c r="B82" s="17" t="n">
        <v>146500</v>
      </c>
      <c r="C82" s="17" t="n">
        <v>40300</v>
      </c>
      <c r="D82" s="17" t="n">
        <v>79200</v>
      </c>
      <c r="E82" s="17" t="n">
        <v>22400</v>
      </c>
    </row>
    <row r="83" customFormat="false" ht="15" hidden="false" customHeight="false" outlineLevel="0" collapsed="false">
      <c r="A83" s="15" t="n">
        <v>45406</v>
      </c>
      <c r="B83" s="17" t="n">
        <v>89800</v>
      </c>
      <c r="C83" s="17" t="n">
        <v>42300</v>
      </c>
      <c r="D83" s="17" t="n">
        <v>101200</v>
      </c>
      <c r="E83" s="17" t="n">
        <v>14000</v>
      </c>
    </row>
    <row r="84" customFormat="false" ht="15" hidden="false" customHeight="false" outlineLevel="0" collapsed="false">
      <c r="A84" s="15" t="n">
        <v>45407</v>
      </c>
      <c r="B84" s="17" t="n">
        <v>69900</v>
      </c>
      <c r="C84" s="17" t="n">
        <v>43300</v>
      </c>
      <c r="D84" s="17" t="n">
        <v>169800</v>
      </c>
      <c r="E84" s="17" t="n">
        <v>24900</v>
      </c>
    </row>
    <row r="85" customFormat="false" ht="15" hidden="false" customHeight="false" outlineLevel="0" collapsed="false">
      <c r="A85" s="15" t="n">
        <v>45408</v>
      </c>
      <c r="B85" s="17" t="n">
        <v>73500</v>
      </c>
      <c r="C85" s="17" t="n">
        <v>61300</v>
      </c>
      <c r="D85" s="17" t="n">
        <v>149800</v>
      </c>
      <c r="E85" s="17" t="n">
        <v>41800</v>
      </c>
    </row>
    <row r="86" customFormat="false" ht="15" hidden="false" customHeight="false" outlineLevel="0" collapsed="false">
      <c r="A86" s="15" t="n">
        <v>45411</v>
      </c>
      <c r="B86" s="17" t="n">
        <v>67500</v>
      </c>
      <c r="C86" s="17" t="n">
        <v>42500</v>
      </c>
      <c r="D86" s="17" t="n">
        <v>97800</v>
      </c>
      <c r="E86" s="17" t="n">
        <v>24200</v>
      </c>
    </row>
    <row r="87" customFormat="false" ht="15" hidden="false" customHeight="false" outlineLevel="0" collapsed="false">
      <c r="A87" s="15" t="n">
        <v>45412</v>
      </c>
      <c r="B87" s="17" t="n">
        <v>117800</v>
      </c>
      <c r="C87" s="17" t="n">
        <v>41200</v>
      </c>
      <c r="D87" s="17" t="n">
        <v>95200</v>
      </c>
      <c r="E87" s="17" t="n">
        <v>27500</v>
      </c>
    </row>
    <row r="88" customFormat="false" ht="15" hidden="false" customHeight="false" outlineLevel="0" collapsed="false">
      <c r="A88" s="15" t="n">
        <v>45413</v>
      </c>
      <c r="B88" s="17" t="n">
        <v>58200</v>
      </c>
      <c r="C88" s="17" t="n">
        <v>22800</v>
      </c>
      <c r="D88" s="17" t="n">
        <v>103400</v>
      </c>
      <c r="E88" s="17" t="n">
        <v>28000</v>
      </c>
    </row>
    <row r="89" customFormat="false" ht="15" hidden="false" customHeight="false" outlineLevel="0" collapsed="false">
      <c r="A89" s="15" t="n">
        <v>45414</v>
      </c>
      <c r="B89" s="17" t="n">
        <v>102700</v>
      </c>
      <c r="C89" s="17" t="n">
        <v>55800</v>
      </c>
      <c r="D89" s="17" t="n">
        <v>118300</v>
      </c>
      <c r="E89" s="17" t="n">
        <v>50900</v>
      </c>
    </row>
    <row r="90" customFormat="false" ht="15" hidden="false" customHeight="false" outlineLevel="0" collapsed="false">
      <c r="A90" s="15" t="n">
        <v>45415</v>
      </c>
      <c r="B90" s="17" t="n">
        <v>118100</v>
      </c>
      <c r="C90" s="17" t="n">
        <v>40700</v>
      </c>
      <c r="D90" s="17" t="n">
        <v>141300</v>
      </c>
      <c r="E90" s="17" t="n">
        <v>32200</v>
      </c>
    </row>
    <row r="91" customFormat="false" ht="15" hidden="false" customHeight="false" outlineLevel="0" collapsed="false">
      <c r="A91" s="15" t="n">
        <v>45418</v>
      </c>
      <c r="B91" s="17" t="n">
        <v>91700</v>
      </c>
      <c r="C91" s="17" t="n">
        <v>98300</v>
      </c>
      <c r="D91" s="17" t="n">
        <v>104100</v>
      </c>
      <c r="E91" s="17" t="n">
        <v>12300</v>
      </c>
    </row>
    <row r="92" customFormat="false" ht="15" hidden="false" customHeight="false" outlineLevel="0" collapsed="false">
      <c r="A92" s="15" t="n">
        <v>45419</v>
      </c>
      <c r="B92" s="17" t="n">
        <v>36800</v>
      </c>
      <c r="C92" s="17" t="n">
        <v>32800</v>
      </c>
      <c r="D92" s="17" t="n">
        <v>111100</v>
      </c>
      <c r="E92" s="17" t="n">
        <v>26700</v>
      </c>
    </row>
    <row r="93" customFormat="false" ht="15" hidden="false" customHeight="false" outlineLevel="0" collapsed="false">
      <c r="A93" s="15" t="n">
        <v>45420</v>
      </c>
      <c r="B93" s="17" t="n">
        <v>37100</v>
      </c>
      <c r="C93" s="17" t="n">
        <v>29300</v>
      </c>
      <c r="D93" s="17" t="n">
        <v>88300</v>
      </c>
      <c r="E93" s="17" t="n">
        <v>26400</v>
      </c>
    </row>
    <row r="94" customFormat="false" ht="15" hidden="false" customHeight="false" outlineLevel="0" collapsed="false">
      <c r="A94" s="15" t="n">
        <v>45421</v>
      </c>
      <c r="B94" s="17" t="n">
        <v>127600</v>
      </c>
      <c r="C94" s="17" t="n">
        <v>38800</v>
      </c>
      <c r="D94" s="17" t="n">
        <v>73400</v>
      </c>
      <c r="E94" s="17" t="n">
        <v>18400</v>
      </c>
    </row>
    <row r="95" customFormat="false" ht="15" hidden="false" customHeight="false" outlineLevel="0" collapsed="false">
      <c r="A95" s="15" t="n">
        <v>45422</v>
      </c>
      <c r="B95" s="17" t="n">
        <v>66200</v>
      </c>
      <c r="C95" s="17" t="n">
        <v>75300</v>
      </c>
      <c r="D95" s="17" t="n">
        <v>141100</v>
      </c>
      <c r="E95" s="17" t="n">
        <v>17100</v>
      </c>
    </row>
    <row r="96" customFormat="false" ht="15" hidden="false" customHeight="false" outlineLevel="0" collapsed="false">
      <c r="A96" s="15" t="n">
        <v>45425</v>
      </c>
      <c r="B96" s="17" t="n">
        <v>67800</v>
      </c>
      <c r="C96" s="17" t="n">
        <v>37600</v>
      </c>
      <c r="D96" s="17" t="n">
        <v>106100</v>
      </c>
      <c r="E96" s="17" t="n">
        <v>19300</v>
      </c>
    </row>
    <row r="97" customFormat="false" ht="15" hidden="false" customHeight="false" outlineLevel="0" collapsed="false">
      <c r="A97" s="15" t="n">
        <v>45426</v>
      </c>
      <c r="B97" s="17" t="n">
        <v>75800</v>
      </c>
      <c r="C97" s="17" t="n">
        <v>32500</v>
      </c>
      <c r="D97" s="17" t="n">
        <v>71500</v>
      </c>
      <c r="E97" s="17" t="n">
        <v>11400</v>
      </c>
    </row>
    <row r="98" customFormat="false" ht="15" hidden="false" customHeight="false" outlineLevel="0" collapsed="false">
      <c r="A98" s="15" t="n">
        <v>45427</v>
      </c>
      <c r="B98" s="17" t="n">
        <v>110400</v>
      </c>
      <c r="C98" s="17" t="n">
        <v>47900</v>
      </c>
      <c r="D98" s="17" t="n">
        <v>128900</v>
      </c>
      <c r="E98" s="17" t="n">
        <v>19500</v>
      </c>
    </row>
    <row r="99" customFormat="false" ht="15" hidden="false" customHeight="false" outlineLevel="0" collapsed="false">
      <c r="A99" s="15" t="n">
        <v>45428</v>
      </c>
      <c r="B99" s="17" t="n">
        <v>118500</v>
      </c>
      <c r="C99" s="17" t="n">
        <v>53100</v>
      </c>
      <c r="D99" s="17" t="n">
        <v>115700</v>
      </c>
      <c r="E99" s="17" t="n">
        <v>20000</v>
      </c>
    </row>
    <row r="100" customFormat="false" ht="15" hidden="false" customHeight="false" outlineLevel="0" collapsed="false">
      <c r="A100" s="15" t="n">
        <v>45429</v>
      </c>
      <c r="B100" s="17" t="n">
        <v>99900</v>
      </c>
      <c r="C100" s="17" t="n">
        <v>64500</v>
      </c>
      <c r="D100" s="17" t="n">
        <v>110500</v>
      </c>
      <c r="E100" s="17" t="n">
        <v>13000</v>
      </c>
    </row>
    <row r="101" customFormat="false" ht="15" hidden="false" customHeight="false" outlineLevel="0" collapsed="false">
      <c r="A101" s="15" t="n">
        <v>45432</v>
      </c>
      <c r="B101" s="17" t="n">
        <v>73600</v>
      </c>
      <c r="C101" s="17" t="n">
        <v>55600</v>
      </c>
      <c r="D101" s="17" t="n">
        <v>60500</v>
      </c>
      <c r="E101" s="17" t="n">
        <v>18500</v>
      </c>
    </row>
    <row r="102" customFormat="false" ht="15" hidden="false" customHeight="false" outlineLevel="0" collapsed="false">
      <c r="A102" s="15" t="n">
        <v>45433</v>
      </c>
      <c r="B102" s="17" t="n">
        <v>100500</v>
      </c>
      <c r="C102" s="17" t="n">
        <v>41900</v>
      </c>
      <c r="D102" s="17" t="n">
        <v>180800</v>
      </c>
      <c r="E102" s="17" t="n">
        <v>18200</v>
      </c>
    </row>
    <row r="103" customFormat="false" ht="15" hidden="false" customHeight="false" outlineLevel="0" collapsed="false">
      <c r="A103" s="15" t="n">
        <v>45434</v>
      </c>
      <c r="B103" s="17" t="n">
        <v>55400</v>
      </c>
      <c r="C103" s="17" t="n">
        <v>31500</v>
      </c>
      <c r="D103" s="17" t="n">
        <v>80300</v>
      </c>
      <c r="E103" s="17" t="n">
        <v>9900</v>
      </c>
    </row>
    <row r="104" customFormat="false" ht="15" hidden="false" customHeight="false" outlineLevel="0" collapsed="false">
      <c r="A104" s="15" t="n">
        <v>45435</v>
      </c>
      <c r="B104" s="17" t="n">
        <v>42400</v>
      </c>
      <c r="C104" s="17" t="n">
        <v>58900</v>
      </c>
      <c r="D104" s="17" t="n">
        <v>143100</v>
      </c>
      <c r="E104" s="17" t="n">
        <v>40200</v>
      </c>
    </row>
    <row r="105" customFormat="false" ht="15" hidden="false" customHeight="false" outlineLevel="0" collapsed="false">
      <c r="A105" s="15" t="n">
        <v>45436</v>
      </c>
      <c r="B105" s="17" t="n">
        <v>74100</v>
      </c>
      <c r="C105" s="17" t="n">
        <v>35700</v>
      </c>
      <c r="D105" s="17" t="n">
        <v>124000</v>
      </c>
      <c r="E105" s="17" t="n">
        <v>7900</v>
      </c>
    </row>
    <row r="106" customFormat="false" ht="15" hidden="false" customHeight="false" outlineLevel="0" collapsed="false">
      <c r="A106" s="15" t="n">
        <v>45439</v>
      </c>
      <c r="B106" s="17" t="n">
        <v>91300</v>
      </c>
      <c r="C106" s="17" t="n">
        <v>25900</v>
      </c>
      <c r="D106" s="17" t="n">
        <v>69800</v>
      </c>
      <c r="E106" s="17" t="n">
        <v>11700</v>
      </c>
    </row>
    <row r="107" customFormat="false" ht="15" hidden="false" customHeight="false" outlineLevel="0" collapsed="false">
      <c r="A107" s="15" t="n">
        <v>45440</v>
      </c>
      <c r="B107" s="17" t="n">
        <v>36000</v>
      </c>
      <c r="C107" s="17" t="n">
        <v>35700</v>
      </c>
      <c r="D107" s="17" t="n">
        <v>101300</v>
      </c>
      <c r="E107" s="17" t="n">
        <v>22300</v>
      </c>
    </row>
    <row r="108" customFormat="false" ht="15" hidden="false" customHeight="false" outlineLevel="0" collapsed="false">
      <c r="A108" s="15" t="n">
        <v>45441</v>
      </c>
      <c r="B108" s="17" t="n">
        <v>80200</v>
      </c>
      <c r="C108" s="17" t="n">
        <v>36800</v>
      </c>
      <c r="D108" s="17" t="n">
        <v>94400</v>
      </c>
      <c r="E108" s="17" t="n">
        <v>26400</v>
      </c>
    </row>
    <row r="109" customFormat="false" ht="15" hidden="false" customHeight="false" outlineLevel="0" collapsed="false">
      <c r="A109" s="15" t="n">
        <v>45442</v>
      </c>
      <c r="B109" s="17" t="n">
        <v>104000</v>
      </c>
      <c r="C109" s="17" t="n">
        <v>54700</v>
      </c>
      <c r="D109" s="17" t="n">
        <v>97000</v>
      </c>
      <c r="E109" s="17" t="n">
        <v>23000</v>
      </c>
    </row>
    <row r="110" customFormat="false" ht="15" hidden="false" customHeight="false" outlineLevel="0" collapsed="false">
      <c r="A110" s="15" t="n">
        <v>45443</v>
      </c>
      <c r="B110" s="17" t="n">
        <v>85900</v>
      </c>
      <c r="C110" s="17" t="n">
        <v>79500</v>
      </c>
      <c r="D110" s="17" t="n">
        <v>118300</v>
      </c>
      <c r="E110" s="17" t="n">
        <v>19000</v>
      </c>
    </row>
    <row r="111" customFormat="false" ht="15" hidden="false" customHeight="false" outlineLevel="0" collapsed="false">
      <c r="A111" s="15" t="n">
        <v>45446</v>
      </c>
      <c r="B111" s="17" t="n">
        <v>85100</v>
      </c>
      <c r="C111" s="17" t="n">
        <v>48500</v>
      </c>
      <c r="D111" s="17" t="n">
        <v>130600</v>
      </c>
      <c r="E111" s="17" t="n">
        <v>16200</v>
      </c>
    </row>
    <row r="112" customFormat="false" ht="15" hidden="false" customHeight="false" outlineLevel="0" collapsed="false">
      <c r="A112" s="15" t="n">
        <v>45447</v>
      </c>
      <c r="B112" s="17" t="n">
        <v>117300</v>
      </c>
      <c r="C112" s="17" t="n">
        <v>52500</v>
      </c>
      <c r="D112" s="17" t="n">
        <v>141000</v>
      </c>
      <c r="E112" s="17" t="n">
        <v>35800</v>
      </c>
    </row>
    <row r="113" customFormat="false" ht="15" hidden="false" customHeight="false" outlineLevel="0" collapsed="false">
      <c r="A113" s="15" t="n">
        <v>45448</v>
      </c>
      <c r="B113" s="17" t="n">
        <v>54100</v>
      </c>
      <c r="C113" s="17" t="n">
        <v>61900</v>
      </c>
      <c r="D113" s="17" t="n">
        <v>111800</v>
      </c>
      <c r="E113" s="17" t="n">
        <v>12100</v>
      </c>
    </row>
    <row r="114" customFormat="false" ht="15" hidden="false" customHeight="false" outlineLevel="0" collapsed="false">
      <c r="A114" s="15" t="n">
        <v>45449</v>
      </c>
      <c r="B114" s="17" t="n">
        <v>67500</v>
      </c>
      <c r="C114" s="17" t="n">
        <v>26400</v>
      </c>
      <c r="D114" s="17" t="n">
        <v>132100</v>
      </c>
      <c r="E114" s="17" t="n">
        <v>21000</v>
      </c>
    </row>
    <row r="115" customFormat="false" ht="15" hidden="false" customHeight="false" outlineLevel="0" collapsed="false">
      <c r="A115" s="15" t="n">
        <v>45450</v>
      </c>
      <c r="B115" s="17" t="n">
        <v>81000</v>
      </c>
      <c r="C115" s="17" t="n">
        <v>35600</v>
      </c>
      <c r="D115" s="17" t="n">
        <v>89200</v>
      </c>
      <c r="E115" s="17" t="n">
        <v>39900</v>
      </c>
    </row>
    <row r="116" customFormat="false" ht="15" hidden="false" customHeight="false" outlineLevel="0" collapsed="false">
      <c r="A116" s="15" t="n">
        <v>45453</v>
      </c>
      <c r="B116" s="17" t="n">
        <v>75400</v>
      </c>
      <c r="C116" s="17" t="n">
        <v>37600</v>
      </c>
      <c r="D116" s="17" t="n">
        <v>131300</v>
      </c>
      <c r="E116" s="17" t="n">
        <v>14000</v>
      </c>
    </row>
    <row r="117" customFormat="false" ht="15" hidden="false" customHeight="false" outlineLevel="0" collapsed="false">
      <c r="A117" s="15" t="n">
        <v>45454</v>
      </c>
      <c r="B117" s="17" t="n">
        <v>82900</v>
      </c>
      <c r="C117" s="17" t="n">
        <v>42700</v>
      </c>
      <c r="D117" s="17" t="n">
        <v>87100</v>
      </c>
      <c r="E117" s="17" t="n">
        <v>28900</v>
      </c>
    </row>
    <row r="118" customFormat="false" ht="15" hidden="false" customHeight="false" outlineLevel="0" collapsed="false">
      <c r="A118" s="15" t="n">
        <v>45455</v>
      </c>
      <c r="B118" s="17" t="n">
        <v>62200</v>
      </c>
      <c r="C118" s="17" t="n">
        <v>57400</v>
      </c>
      <c r="D118" s="17" t="n">
        <v>118600</v>
      </c>
      <c r="E118" s="17" t="n">
        <v>32700</v>
      </c>
    </row>
    <row r="119" customFormat="false" ht="15" hidden="false" customHeight="false" outlineLevel="0" collapsed="false">
      <c r="A119" s="15" t="n">
        <v>45456</v>
      </c>
      <c r="B119" s="17" t="n">
        <v>100800</v>
      </c>
      <c r="C119" s="17" t="n">
        <v>28500</v>
      </c>
      <c r="D119" s="17" t="n">
        <v>73500</v>
      </c>
      <c r="E119" s="17" t="n">
        <v>26200</v>
      </c>
    </row>
    <row r="120" customFormat="false" ht="15" hidden="false" customHeight="false" outlineLevel="0" collapsed="false">
      <c r="A120" s="15" t="n">
        <v>45457</v>
      </c>
      <c r="B120" s="17" t="n">
        <v>105500</v>
      </c>
      <c r="C120" s="17" t="n">
        <v>41300</v>
      </c>
      <c r="D120" s="17" t="n">
        <v>72600</v>
      </c>
      <c r="E120" s="17" t="n">
        <v>15800</v>
      </c>
    </row>
    <row r="121" customFormat="false" ht="15" hidden="false" customHeight="false" outlineLevel="0" collapsed="false">
      <c r="A121" s="15" t="n">
        <v>45460</v>
      </c>
      <c r="B121" s="17" t="n">
        <v>69300</v>
      </c>
      <c r="C121" s="17" t="n">
        <v>47100</v>
      </c>
      <c r="D121" s="17" t="n">
        <v>78800</v>
      </c>
      <c r="E121" s="17" t="n">
        <v>14200</v>
      </c>
    </row>
    <row r="122" customFormat="false" ht="15" hidden="false" customHeight="false" outlineLevel="0" collapsed="false">
      <c r="A122" s="15" t="n">
        <v>45461</v>
      </c>
      <c r="B122" s="17" t="n">
        <v>105800</v>
      </c>
      <c r="C122" s="17" t="n">
        <v>64400</v>
      </c>
      <c r="D122" s="17" t="n">
        <v>92100</v>
      </c>
      <c r="E122" s="17" t="n">
        <v>17800</v>
      </c>
    </row>
    <row r="123" customFormat="false" ht="15" hidden="false" customHeight="false" outlineLevel="0" collapsed="false">
      <c r="A123" s="15" t="n">
        <v>45462</v>
      </c>
      <c r="B123" s="17" t="n">
        <v>58900</v>
      </c>
      <c r="C123" s="17" t="n">
        <v>42800</v>
      </c>
      <c r="D123" s="17" t="n">
        <v>149500</v>
      </c>
      <c r="E123" s="17" t="n">
        <v>29700</v>
      </c>
    </row>
    <row r="124" customFormat="false" ht="15" hidden="false" customHeight="false" outlineLevel="0" collapsed="false">
      <c r="A124" s="15" t="n">
        <v>45463</v>
      </c>
      <c r="B124" s="17" t="n">
        <v>101400</v>
      </c>
      <c r="C124" s="17" t="n">
        <v>52800</v>
      </c>
      <c r="D124" s="17" t="n">
        <v>142200</v>
      </c>
      <c r="E124" s="17" t="n">
        <v>27000</v>
      </c>
    </row>
    <row r="125" customFormat="false" ht="15" hidden="false" customHeight="false" outlineLevel="0" collapsed="false">
      <c r="A125" s="15" t="n">
        <v>45464</v>
      </c>
      <c r="B125" s="17" t="n">
        <v>147600</v>
      </c>
      <c r="C125" s="17" t="n">
        <v>41100</v>
      </c>
      <c r="D125" s="17" t="n">
        <v>103200</v>
      </c>
      <c r="E125" s="17" t="n">
        <v>22600</v>
      </c>
    </row>
    <row r="126" customFormat="false" ht="15" hidden="false" customHeight="false" outlineLevel="0" collapsed="false">
      <c r="A126" s="15" t="n">
        <v>45467</v>
      </c>
      <c r="B126" s="17" t="n">
        <v>177300</v>
      </c>
      <c r="C126" s="17" t="n">
        <v>59200</v>
      </c>
      <c r="D126" s="17" t="n">
        <v>31400</v>
      </c>
      <c r="E126" s="17" t="n">
        <v>15700</v>
      </c>
    </row>
    <row r="127" customFormat="false" ht="15" hidden="false" customHeight="false" outlineLevel="0" collapsed="false">
      <c r="A127" s="15" t="n">
        <v>45468</v>
      </c>
      <c r="B127" s="17" t="n">
        <v>89100</v>
      </c>
      <c r="C127" s="17" t="n">
        <v>41700</v>
      </c>
      <c r="D127" s="17" t="n">
        <v>107300</v>
      </c>
      <c r="E127" s="17" t="n">
        <v>23400</v>
      </c>
    </row>
    <row r="128" customFormat="false" ht="15" hidden="false" customHeight="false" outlineLevel="0" collapsed="false">
      <c r="A128" s="15" t="n">
        <v>45469</v>
      </c>
      <c r="B128" s="17" t="n">
        <v>74700</v>
      </c>
      <c r="C128" s="17" t="n">
        <v>56100</v>
      </c>
      <c r="D128" s="17" t="n">
        <v>110800</v>
      </c>
      <c r="E128" s="17" t="n">
        <v>47100</v>
      </c>
    </row>
    <row r="129" customFormat="false" ht="15" hidden="false" customHeight="false" outlineLevel="0" collapsed="false">
      <c r="A129" s="15" t="n">
        <v>45470</v>
      </c>
      <c r="B129" s="17" t="n">
        <v>112000</v>
      </c>
      <c r="C129" s="17" t="n">
        <v>46700</v>
      </c>
      <c r="D129" s="17" t="n">
        <v>143300</v>
      </c>
      <c r="E129" s="17" t="n">
        <v>14700</v>
      </c>
    </row>
    <row r="130" customFormat="false" ht="15" hidden="false" customHeight="false" outlineLevel="0" collapsed="false">
      <c r="A130" s="15" t="n">
        <v>45471</v>
      </c>
      <c r="B130" s="17" t="n">
        <v>63900</v>
      </c>
      <c r="C130" s="17" t="n">
        <v>27800</v>
      </c>
      <c r="D130" s="17" t="n">
        <v>79500</v>
      </c>
      <c r="E130" s="17" t="n">
        <v>40400</v>
      </c>
    </row>
    <row r="131" customFormat="false" ht="15" hidden="false" customHeight="false" outlineLevel="0" collapsed="false">
      <c r="A131" s="15" t="n">
        <v>45474</v>
      </c>
      <c r="B131" s="17" t="n">
        <v>44900</v>
      </c>
      <c r="C131" s="17" t="n">
        <v>33600</v>
      </c>
      <c r="D131" s="17" t="n">
        <v>101800</v>
      </c>
      <c r="E131" s="17" t="n">
        <v>21000</v>
      </c>
    </row>
    <row r="132" customFormat="false" ht="15" hidden="false" customHeight="false" outlineLevel="0" collapsed="false">
      <c r="A132" s="15" t="n">
        <v>45475</v>
      </c>
      <c r="B132" s="17" t="n">
        <v>92500</v>
      </c>
      <c r="C132" s="17" t="n">
        <v>45500</v>
      </c>
      <c r="D132" s="17" t="n">
        <v>122000</v>
      </c>
      <c r="E132" s="17" t="n">
        <v>23300</v>
      </c>
    </row>
    <row r="133" customFormat="false" ht="15" hidden="false" customHeight="false" outlineLevel="0" collapsed="false">
      <c r="A133" s="15" t="n">
        <v>45476</v>
      </c>
      <c r="B133" s="17" t="n">
        <v>135300</v>
      </c>
      <c r="C133" s="17" t="n">
        <v>46800</v>
      </c>
      <c r="D133" s="17" t="n">
        <v>97000</v>
      </c>
      <c r="E133" s="17" t="n">
        <v>12400</v>
      </c>
    </row>
    <row r="134" customFormat="false" ht="15" hidden="false" customHeight="false" outlineLevel="0" collapsed="false">
      <c r="A134" s="15" t="n">
        <v>45477</v>
      </c>
      <c r="B134" s="17" t="n">
        <v>31900</v>
      </c>
      <c r="C134" s="17" t="n">
        <v>84000</v>
      </c>
      <c r="D134" s="17" t="n">
        <v>80200</v>
      </c>
      <c r="E134" s="17" t="n">
        <v>23300</v>
      </c>
    </row>
    <row r="135" customFormat="false" ht="15" hidden="false" customHeight="false" outlineLevel="0" collapsed="false">
      <c r="A135" s="15" t="n">
        <v>45478</v>
      </c>
      <c r="B135" s="17" t="n">
        <v>54100</v>
      </c>
      <c r="C135" s="17" t="n">
        <v>33900</v>
      </c>
      <c r="D135" s="17" t="n">
        <v>124300</v>
      </c>
      <c r="E135" s="17" t="n">
        <v>33800</v>
      </c>
    </row>
    <row r="136" customFormat="false" ht="15" hidden="false" customHeight="false" outlineLevel="0" collapsed="false">
      <c r="A136" s="15" t="n">
        <v>45481</v>
      </c>
      <c r="B136" s="17" t="n">
        <v>61500</v>
      </c>
      <c r="C136" s="17" t="n">
        <v>38400</v>
      </c>
      <c r="D136" s="17" t="n">
        <v>109000</v>
      </c>
      <c r="E136" s="17" t="n">
        <v>16500</v>
      </c>
    </row>
    <row r="137" customFormat="false" ht="15" hidden="false" customHeight="false" outlineLevel="0" collapsed="false">
      <c r="A137" s="15" t="n">
        <v>45482</v>
      </c>
      <c r="B137" s="17" t="n">
        <v>34700</v>
      </c>
      <c r="C137" s="17" t="n">
        <v>42300</v>
      </c>
      <c r="D137" s="17" t="n">
        <v>80100</v>
      </c>
      <c r="E137" s="17" t="n">
        <v>15700</v>
      </c>
    </row>
    <row r="138" customFormat="false" ht="15" hidden="false" customHeight="false" outlineLevel="0" collapsed="false">
      <c r="A138" s="15" t="n">
        <v>45483</v>
      </c>
      <c r="B138" s="17" t="n">
        <v>49800</v>
      </c>
      <c r="C138" s="17" t="n">
        <v>33300</v>
      </c>
      <c r="D138" s="17" t="n">
        <v>192600</v>
      </c>
      <c r="E138" s="17" t="n">
        <v>19400</v>
      </c>
    </row>
    <row r="139" customFormat="false" ht="15" hidden="false" customHeight="false" outlineLevel="0" collapsed="false">
      <c r="A139" s="15" t="n">
        <v>45484</v>
      </c>
      <c r="B139" s="17" t="n">
        <v>63300</v>
      </c>
      <c r="C139" s="17" t="n">
        <v>35500</v>
      </c>
      <c r="D139" s="17" t="n">
        <v>194900</v>
      </c>
      <c r="E139" s="17" t="n">
        <v>17800</v>
      </c>
    </row>
    <row r="140" customFormat="false" ht="15" hidden="false" customHeight="false" outlineLevel="0" collapsed="false">
      <c r="A140" s="15" t="n">
        <v>45485</v>
      </c>
      <c r="B140" s="17" t="n">
        <v>73000</v>
      </c>
      <c r="C140" s="17" t="n">
        <v>37700</v>
      </c>
      <c r="D140" s="17" t="n">
        <v>127500</v>
      </c>
      <c r="E140" s="17" t="n">
        <v>14100</v>
      </c>
    </row>
    <row r="141" customFormat="false" ht="15" hidden="false" customHeight="false" outlineLevel="0" collapsed="false">
      <c r="A141" s="15" t="n">
        <v>45488</v>
      </c>
      <c r="B141" s="17" t="n">
        <v>93900</v>
      </c>
      <c r="C141" s="17" t="n">
        <v>37200</v>
      </c>
      <c r="D141" s="17" t="n">
        <v>127200</v>
      </c>
      <c r="E141" s="17" t="n">
        <v>36500</v>
      </c>
    </row>
    <row r="142" customFormat="false" ht="15" hidden="false" customHeight="false" outlineLevel="0" collapsed="false">
      <c r="A142" s="15" t="n">
        <v>45489</v>
      </c>
      <c r="B142" s="17" t="n">
        <v>79300</v>
      </c>
      <c r="C142" s="17" t="n">
        <v>52500</v>
      </c>
      <c r="D142" s="17" t="n">
        <v>92400</v>
      </c>
      <c r="E142" s="17" t="n">
        <v>31300</v>
      </c>
    </row>
    <row r="143" customFormat="false" ht="15" hidden="false" customHeight="false" outlineLevel="0" collapsed="false">
      <c r="A143" s="15" t="n">
        <v>45490</v>
      </c>
      <c r="B143" s="17" t="n">
        <v>108600</v>
      </c>
      <c r="C143" s="17" t="n">
        <v>52300</v>
      </c>
      <c r="D143" s="17" t="n">
        <v>99600</v>
      </c>
      <c r="E143" s="17" t="n">
        <v>19700</v>
      </c>
    </row>
    <row r="144" customFormat="false" ht="15" hidden="false" customHeight="false" outlineLevel="0" collapsed="false">
      <c r="A144" s="15" t="n">
        <v>45491</v>
      </c>
      <c r="B144" s="17" t="n">
        <v>57900</v>
      </c>
      <c r="C144" s="17" t="n">
        <v>56200</v>
      </c>
      <c r="D144" s="17" t="n">
        <v>82600</v>
      </c>
      <c r="E144" s="17" t="n">
        <v>19100</v>
      </c>
    </row>
    <row r="145" customFormat="false" ht="15" hidden="false" customHeight="false" outlineLevel="0" collapsed="false">
      <c r="A145" s="15" t="n">
        <v>45492</v>
      </c>
      <c r="B145" s="17" t="n">
        <v>84700</v>
      </c>
      <c r="C145" s="17" t="n">
        <v>39700</v>
      </c>
      <c r="D145" s="17" t="n">
        <v>191400</v>
      </c>
      <c r="E145" s="17" t="n">
        <v>12900</v>
      </c>
    </row>
    <row r="146" customFormat="false" ht="15" hidden="false" customHeight="false" outlineLevel="0" collapsed="false">
      <c r="A146" s="15" t="n">
        <v>45495</v>
      </c>
      <c r="B146" s="17" t="n">
        <v>131000</v>
      </c>
      <c r="C146" s="17" t="n">
        <v>78200</v>
      </c>
      <c r="D146" s="17" t="n">
        <v>157700</v>
      </c>
      <c r="E146" s="17" t="n">
        <v>11200</v>
      </c>
    </row>
    <row r="147" customFormat="false" ht="15" hidden="false" customHeight="false" outlineLevel="0" collapsed="false">
      <c r="A147" s="15" t="n">
        <v>45496</v>
      </c>
      <c r="B147" s="17" t="n">
        <v>91200</v>
      </c>
      <c r="C147" s="17" t="n">
        <v>37500</v>
      </c>
      <c r="D147" s="17" t="n">
        <v>168300</v>
      </c>
      <c r="E147" s="17" t="n">
        <v>57600</v>
      </c>
    </row>
    <row r="148" customFormat="false" ht="15" hidden="false" customHeight="false" outlineLevel="0" collapsed="false">
      <c r="A148" s="15" t="n">
        <v>45497</v>
      </c>
      <c r="B148" s="17" t="n">
        <v>62600</v>
      </c>
      <c r="C148" s="17" t="n">
        <v>21700</v>
      </c>
      <c r="D148" s="17" t="n">
        <v>47400</v>
      </c>
      <c r="E148" s="17" t="n">
        <v>15200</v>
      </c>
    </row>
    <row r="149" customFormat="false" ht="15" hidden="false" customHeight="false" outlineLevel="0" collapsed="false">
      <c r="A149" s="15" t="n">
        <v>45498</v>
      </c>
      <c r="B149" s="17" t="n">
        <v>85200</v>
      </c>
      <c r="C149" s="17" t="n">
        <v>38700</v>
      </c>
      <c r="D149" s="17" t="n">
        <v>149900</v>
      </c>
      <c r="E149" s="17" t="n">
        <v>14800</v>
      </c>
    </row>
    <row r="150" customFormat="false" ht="15" hidden="false" customHeight="false" outlineLevel="0" collapsed="false">
      <c r="A150" s="15" t="n">
        <v>45499</v>
      </c>
      <c r="B150" s="17" t="n">
        <v>106100</v>
      </c>
      <c r="C150" s="17" t="n">
        <v>31700</v>
      </c>
      <c r="D150" s="17" t="n">
        <v>147800</v>
      </c>
      <c r="E150" s="17" t="n">
        <v>28900</v>
      </c>
    </row>
    <row r="151" customFormat="false" ht="15" hidden="false" customHeight="false" outlineLevel="0" collapsed="false">
      <c r="A151" s="15" t="n">
        <v>45502</v>
      </c>
      <c r="B151" s="17" t="n">
        <v>81500</v>
      </c>
      <c r="C151" s="17" t="n">
        <v>73000</v>
      </c>
      <c r="D151" s="17" t="n">
        <v>102600</v>
      </c>
      <c r="E151" s="17" t="n">
        <v>36000</v>
      </c>
    </row>
    <row r="152" customFormat="false" ht="15" hidden="false" customHeight="false" outlineLevel="0" collapsed="false">
      <c r="A152" s="15" t="n">
        <v>45503</v>
      </c>
      <c r="B152" s="17" t="n">
        <v>95200</v>
      </c>
      <c r="C152" s="17" t="n">
        <v>47400</v>
      </c>
      <c r="D152" s="17" t="n">
        <v>104600</v>
      </c>
      <c r="E152" s="17" t="n">
        <v>26000</v>
      </c>
    </row>
    <row r="153" customFormat="false" ht="15" hidden="false" customHeight="false" outlineLevel="0" collapsed="false">
      <c r="A153" s="15" t="n">
        <v>45504</v>
      </c>
      <c r="B153" s="17" t="n">
        <v>52300</v>
      </c>
      <c r="C153" s="17" t="n">
        <v>34300</v>
      </c>
      <c r="D153" s="17" t="n">
        <v>147700</v>
      </c>
      <c r="E153" s="17" t="n">
        <v>25500</v>
      </c>
    </row>
    <row r="154" customFormat="false" ht="15" hidden="false" customHeight="false" outlineLevel="0" collapsed="false">
      <c r="A154" s="15" t="n">
        <v>45505</v>
      </c>
      <c r="B154" s="17" t="n">
        <v>91300</v>
      </c>
      <c r="C154" s="17" t="n">
        <v>75400</v>
      </c>
      <c r="D154" s="17" t="n">
        <v>100500</v>
      </c>
      <c r="E154" s="17" t="n">
        <v>19500</v>
      </c>
    </row>
    <row r="155" customFormat="false" ht="15" hidden="false" customHeight="false" outlineLevel="0" collapsed="false">
      <c r="A155" s="15" t="n">
        <v>45506</v>
      </c>
      <c r="B155" s="17" t="n">
        <v>109200</v>
      </c>
      <c r="C155" s="17" t="n">
        <v>121400</v>
      </c>
      <c r="D155" s="17" t="n">
        <v>117000</v>
      </c>
      <c r="E155" s="17" t="n">
        <v>12000</v>
      </c>
    </row>
    <row r="156" customFormat="false" ht="15" hidden="false" customHeight="false" outlineLevel="0" collapsed="false">
      <c r="A156" s="15" t="n">
        <v>45509</v>
      </c>
      <c r="B156" s="17" t="n">
        <v>189700</v>
      </c>
      <c r="C156" s="17" t="n">
        <v>23400</v>
      </c>
      <c r="D156" s="17" t="n">
        <v>198000</v>
      </c>
      <c r="E156" s="17" t="n">
        <v>28400</v>
      </c>
    </row>
    <row r="157" customFormat="false" ht="15" hidden="false" customHeight="false" outlineLevel="0" collapsed="false">
      <c r="A157" s="15" t="n">
        <v>45510</v>
      </c>
      <c r="B157" s="17" t="n">
        <v>97200</v>
      </c>
      <c r="C157" s="17" t="n">
        <v>67900</v>
      </c>
      <c r="D157" s="17" t="n">
        <v>113400</v>
      </c>
      <c r="E157" s="17" t="n">
        <v>14700</v>
      </c>
    </row>
    <row r="158" customFormat="false" ht="15" hidden="false" customHeight="false" outlineLevel="0" collapsed="false">
      <c r="A158" s="15" t="n">
        <v>45511</v>
      </c>
      <c r="B158" s="17" t="n">
        <v>85300</v>
      </c>
      <c r="C158" s="17" t="n">
        <v>78200</v>
      </c>
      <c r="D158" s="17" t="n">
        <v>60500</v>
      </c>
      <c r="E158" s="17" t="n">
        <v>27100</v>
      </c>
    </row>
    <row r="159" customFormat="false" ht="15" hidden="false" customHeight="false" outlineLevel="0" collapsed="false">
      <c r="A159" s="15" t="n">
        <v>45512</v>
      </c>
      <c r="B159" s="17" t="n">
        <v>41600</v>
      </c>
      <c r="C159" s="17" t="n">
        <v>40100</v>
      </c>
      <c r="D159" s="17" t="n">
        <v>178800</v>
      </c>
      <c r="E159" s="17" t="n">
        <v>22500</v>
      </c>
    </row>
    <row r="160" customFormat="false" ht="15" hidden="false" customHeight="false" outlineLevel="0" collapsed="false">
      <c r="A160" s="15" t="n">
        <v>45513</v>
      </c>
      <c r="B160" s="17" t="n">
        <v>85600</v>
      </c>
      <c r="C160" s="17" t="n">
        <v>39400</v>
      </c>
      <c r="D160" s="17" t="n">
        <v>98900</v>
      </c>
      <c r="E160" s="17" t="n">
        <v>36500</v>
      </c>
    </row>
    <row r="161" customFormat="false" ht="15" hidden="false" customHeight="false" outlineLevel="0" collapsed="false">
      <c r="A161" s="15" t="n">
        <v>45516</v>
      </c>
      <c r="B161" s="17" t="n">
        <v>82000</v>
      </c>
      <c r="C161" s="17" t="n">
        <v>34400</v>
      </c>
      <c r="D161" s="17" t="n">
        <v>163400</v>
      </c>
      <c r="E161" s="17" t="n">
        <v>26800</v>
      </c>
    </row>
    <row r="162" customFormat="false" ht="15" hidden="false" customHeight="false" outlineLevel="0" collapsed="false">
      <c r="A162" s="15" t="n">
        <v>45517</v>
      </c>
      <c r="B162" s="17" t="n">
        <v>78700</v>
      </c>
      <c r="C162" s="17" t="n">
        <v>34400</v>
      </c>
      <c r="D162" s="17" t="n">
        <v>50000</v>
      </c>
      <c r="E162" s="17" t="n">
        <v>15900</v>
      </c>
    </row>
    <row r="163" customFormat="false" ht="15" hidden="false" customHeight="false" outlineLevel="0" collapsed="false">
      <c r="A163" s="15" t="n">
        <v>45518</v>
      </c>
      <c r="B163" s="17" t="n">
        <v>53900</v>
      </c>
      <c r="C163" s="17" t="n">
        <v>74500</v>
      </c>
      <c r="D163" s="17" t="n">
        <v>137400</v>
      </c>
      <c r="E163" s="17" t="n">
        <v>44200</v>
      </c>
    </row>
    <row r="164" customFormat="false" ht="15" hidden="false" customHeight="false" outlineLevel="0" collapsed="false">
      <c r="A164" s="15" t="n">
        <v>45519</v>
      </c>
      <c r="B164" s="17" t="n">
        <v>60600</v>
      </c>
      <c r="C164" s="17" t="n">
        <v>71900</v>
      </c>
      <c r="D164" s="17" t="n">
        <v>58800</v>
      </c>
      <c r="E164" s="17" t="n">
        <v>8200</v>
      </c>
    </row>
    <row r="165" customFormat="false" ht="15" hidden="false" customHeight="false" outlineLevel="0" collapsed="false">
      <c r="A165" s="15" t="n">
        <v>45520</v>
      </c>
      <c r="B165" s="17" t="n">
        <v>76200</v>
      </c>
      <c r="C165" s="17" t="n">
        <v>37000</v>
      </c>
      <c r="D165" s="17" t="n">
        <v>137800</v>
      </c>
      <c r="E165" s="17" t="n">
        <v>31900</v>
      </c>
    </row>
    <row r="166" customFormat="false" ht="15" hidden="false" customHeight="false" outlineLevel="0" collapsed="false">
      <c r="A166" s="15" t="n">
        <v>45523</v>
      </c>
      <c r="B166" s="17" t="n">
        <v>130900</v>
      </c>
      <c r="C166" s="17" t="n">
        <v>31500</v>
      </c>
      <c r="D166" s="17" t="n">
        <v>95200</v>
      </c>
      <c r="E166" s="17" t="n">
        <v>16800</v>
      </c>
    </row>
    <row r="167" customFormat="false" ht="15" hidden="false" customHeight="false" outlineLevel="0" collapsed="false">
      <c r="A167" s="15" t="n">
        <v>45524</v>
      </c>
      <c r="B167" s="17" t="n">
        <v>43000</v>
      </c>
      <c r="C167" s="17" t="n">
        <v>57900</v>
      </c>
      <c r="D167" s="17" t="n">
        <v>76300</v>
      </c>
      <c r="E167" s="17" t="n">
        <v>20200</v>
      </c>
    </row>
    <row r="168" customFormat="false" ht="15" hidden="false" customHeight="false" outlineLevel="0" collapsed="false">
      <c r="A168" s="15" t="n">
        <v>45525</v>
      </c>
      <c r="B168" s="17" t="n">
        <v>101600</v>
      </c>
      <c r="C168" s="17" t="n">
        <v>58600</v>
      </c>
      <c r="D168" s="17" t="n">
        <v>83100</v>
      </c>
      <c r="E168" s="17" t="n">
        <v>10900</v>
      </c>
    </row>
    <row r="169" customFormat="false" ht="15" hidden="false" customHeight="false" outlineLevel="0" collapsed="false">
      <c r="A169" s="15" t="n">
        <v>45526</v>
      </c>
      <c r="B169" s="17" t="n">
        <v>139100</v>
      </c>
      <c r="C169" s="17" t="n">
        <v>30000</v>
      </c>
      <c r="D169" s="17" t="n">
        <v>206600</v>
      </c>
      <c r="E169" s="17" t="n">
        <v>18400</v>
      </c>
    </row>
    <row r="170" customFormat="false" ht="15" hidden="false" customHeight="false" outlineLevel="0" collapsed="false">
      <c r="A170" s="15" t="n">
        <v>45527</v>
      </c>
      <c r="B170" s="17" t="n">
        <v>116300</v>
      </c>
      <c r="C170" s="17" t="n">
        <v>31100</v>
      </c>
      <c r="D170" s="17" t="n">
        <v>137800</v>
      </c>
      <c r="E170" s="17" t="n">
        <v>16100</v>
      </c>
    </row>
    <row r="171" customFormat="false" ht="15" hidden="false" customHeight="false" outlineLevel="0" collapsed="false">
      <c r="A171" s="15" t="n">
        <v>45530</v>
      </c>
      <c r="B171" s="17" t="n">
        <v>56900</v>
      </c>
      <c r="C171" s="17" t="n">
        <v>51700</v>
      </c>
      <c r="D171" s="17" t="n">
        <v>126900</v>
      </c>
      <c r="E171" s="17" t="n">
        <v>15400</v>
      </c>
    </row>
    <row r="172" customFormat="false" ht="15" hidden="false" customHeight="false" outlineLevel="0" collapsed="false">
      <c r="A172" s="15" t="n">
        <v>45531</v>
      </c>
      <c r="B172" s="17" t="n">
        <v>58600</v>
      </c>
      <c r="C172" s="17" t="n">
        <v>30400</v>
      </c>
      <c r="D172" s="17" t="n">
        <v>125200</v>
      </c>
      <c r="E172" s="17" t="n">
        <v>9400</v>
      </c>
    </row>
    <row r="173" customFormat="false" ht="15" hidden="false" customHeight="false" outlineLevel="0" collapsed="false">
      <c r="A173" s="15" t="n">
        <v>45532</v>
      </c>
      <c r="B173" s="17" t="n">
        <v>95900</v>
      </c>
      <c r="C173" s="17" t="n">
        <v>69700</v>
      </c>
      <c r="D173" s="17" t="n">
        <v>129700</v>
      </c>
      <c r="E173" s="17" t="n">
        <v>23700</v>
      </c>
    </row>
    <row r="174" customFormat="false" ht="15" hidden="false" customHeight="false" outlineLevel="0" collapsed="false">
      <c r="A174" s="15" t="n">
        <v>45533</v>
      </c>
      <c r="B174" s="17" t="n">
        <v>61700</v>
      </c>
      <c r="C174" s="17" t="n">
        <v>49500</v>
      </c>
      <c r="D174" s="17" t="n">
        <v>118200</v>
      </c>
      <c r="E174" s="17" t="n">
        <v>15400</v>
      </c>
    </row>
    <row r="175" customFormat="false" ht="15" hidden="false" customHeight="false" outlineLevel="0" collapsed="false">
      <c r="A175" s="15" t="n">
        <v>45534</v>
      </c>
      <c r="B175" s="17" t="n">
        <v>67600</v>
      </c>
      <c r="C175" s="17" t="n">
        <v>46200</v>
      </c>
      <c r="D175" s="17" t="n">
        <v>102900</v>
      </c>
      <c r="E175" s="17" t="n">
        <v>17400</v>
      </c>
    </row>
    <row r="176" customFormat="false" ht="15" hidden="false" customHeight="false" outlineLevel="0" collapsed="false">
      <c r="A176" s="15" t="n">
        <v>45537</v>
      </c>
      <c r="B176" s="17" t="n">
        <v>102000</v>
      </c>
      <c r="C176" s="17" t="n">
        <v>45100</v>
      </c>
      <c r="D176" s="17" t="n">
        <v>120900</v>
      </c>
      <c r="E176" s="17" t="n">
        <v>8300</v>
      </c>
    </row>
    <row r="177" customFormat="false" ht="15" hidden="false" customHeight="false" outlineLevel="0" collapsed="false">
      <c r="A177" s="15" t="n">
        <v>45538</v>
      </c>
      <c r="B177" s="17" t="n">
        <v>117600</v>
      </c>
      <c r="C177" s="17" t="n">
        <v>41000</v>
      </c>
      <c r="D177" s="17" t="n">
        <v>90400</v>
      </c>
      <c r="E177" s="17" t="n">
        <v>15900</v>
      </c>
    </row>
    <row r="178" customFormat="false" ht="15" hidden="false" customHeight="false" outlineLevel="0" collapsed="false">
      <c r="A178" s="15" t="n">
        <v>45539</v>
      </c>
      <c r="B178" s="17" t="n">
        <v>59200</v>
      </c>
      <c r="C178" s="17" t="n">
        <v>48000</v>
      </c>
      <c r="D178" s="17" t="n">
        <v>119500</v>
      </c>
      <c r="E178" s="17" t="n">
        <v>28000</v>
      </c>
    </row>
    <row r="179" customFormat="false" ht="15" hidden="false" customHeight="false" outlineLevel="0" collapsed="false">
      <c r="A179" s="15" t="n">
        <v>45540</v>
      </c>
      <c r="B179" s="17" t="n">
        <v>81700</v>
      </c>
      <c r="C179" s="17" t="n">
        <v>58800</v>
      </c>
      <c r="D179" s="17" t="n">
        <v>163100</v>
      </c>
      <c r="E179" s="17" t="n">
        <v>37600</v>
      </c>
    </row>
    <row r="180" customFormat="false" ht="15" hidden="false" customHeight="false" outlineLevel="0" collapsed="false">
      <c r="A180" s="15" t="n">
        <v>45541</v>
      </c>
      <c r="B180" s="17" t="n">
        <v>175000</v>
      </c>
      <c r="C180" s="17" t="n">
        <v>22400</v>
      </c>
      <c r="D180" s="17" t="n">
        <v>126800</v>
      </c>
      <c r="E180" s="17" t="n">
        <v>31000</v>
      </c>
    </row>
    <row r="181" customFormat="false" ht="15" hidden="false" customHeight="false" outlineLevel="0" collapsed="false">
      <c r="A181" s="15" t="n">
        <v>45544</v>
      </c>
      <c r="B181" s="17" t="n">
        <v>60300</v>
      </c>
      <c r="C181" s="17" t="n">
        <v>38500</v>
      </c>
      <c r="D181" s="17" t="n">
        <v>212400</v>
      </c>
      <c r="E181" s="17" t="n">
        <v>25200</v>
      </c>
    </row>
    <row r="182" customFormat="false" ht="15" hidden="false" customHeight="false" outlineLevel="0" collapsed="false">
      <c r="A182" s="15" t="n">
        <v>45545</v>
      </c>
      <c r="B182" s="17" t="n">
        <v>126000</v>
      </c>
      <c r="C182" s="17" t="n">
        <v>58000</v>
      </c>
      <c r="D182" s="17" t="n">
        <v>163900</v>
      </c>
      <c r="E182" s="17" t="n">
        <v>38600</v>
      </c>
    </row>
    <row r="183" customFormat="false" ht="15" hidden="false" customHeight="false" outlineLevel="0" collapsed="false">
      <c r="A183" s="15" t="n">
        <v>45546</v>
      </c>
      <c r="B183" s="17" t="n">
        <v>66900</v>
      </c>
      <c r="C183" s="17" t="n">
        <v>66600</v>
      </c>
      <c r="D183" s="17" t="n">
        <v>155200</v>
      </c>
      <c r="E183" s="17" t="n">
        <v>38100</v>
      </c>
    </row>
    <row r="184" customFormat="false" ht="15" hidden="false" customHeight="false" outlineLevel="0" collapsed="false">
      <c r="A184" s="15" t="n">
        <v>45547</v>
      </c>
      <c r="B184" s="17" t="n">
        <v>83600</v>
      </c>
      <c r="C184" s="17" t="n">
        <v>46900</v>
      </c>
      <c r="D184" s="17" t="n">
        <v>81600</v>
      </c>
      <c r="E184" s="17" t="n">
        <v>26000</v>
      </c>
    </row>
    <row r="185" customFormat="false" ht="15" hidden="false" customHeight="false" outlineLevel="0" collapsed="false">
      <c r="A185" s="15" t="n">
        <v>45548</v>
      </c>
      <c r="B185" s="17" t="n">
        <v>57800</v>
      </c>
      <c r="C185" s="17" t="n">
        <v>26700</v>
      </c>
      <c r="D185" s="17" t="n">
        <v>117600</v>
      </c>
      <c r="E185" s="17" t="n">
        <v>45900</v>
      </c>
    </row>
    <row r="186" customFormat="false" ht="15" hidden="false" customHeight="false" outlineLevel="0" collapsed="false">
      <c r="A186" s="15" t="n">
        <v>45551</v>
      </c>
      <c r="B186" s="17" t="n">
        <v>82600</v>
      </c>
      <c r="C186" s="17" t="n">
        <v>57600</v>
      </c>
      <c r="D186" s="17" t="n">
        <v>106200</v>
      </c>
      <c r="E186" s="17" t="n">
        <v>31700</v>
      </c>
    </row>
    <row r="187" customFormat="false" ht="15" hidden="false" customHeight="false" outlineLevel="0" collapsed="false">
      <c r="A187" s="15" t="n">
        <v>45552</v>
      </c>
      <c r="B187" s="17" t="n">
        <v>51000</v>
      </c>
      <c r="C187" s="17" t="n">
        <v>31800</v>
      </c>
      <c r="D187" s="17" t="n">
        <v>78800</v>
      </c>
      <c r="E187" s="17" t="n">
        <v>14800</v>
      </c>
    </row>
    <row r="188" customFormat="false" ht="15" hidden="false" customHeight="false" outlineLevel="0" collapsed="false">
      <c r="A188" s="15" t="n">
        <v>45553</v>
      </c>
      <c r="B188" s="17" t="n">
        <v>119900</v>
      </c>
      <c r="C188" s="17" t="n">
        <v>32400</v>
      </c>
      <c r="D188" s="17" t="n">
        <v>103200</v>
      </c>
      <c r="E188" s="17" t="n">
        <v>12300</v>
      </c>
    </row>
    <row r="189" customFormat="false" ht="15" hidden="false" customHeight="false" outlineLevel="0" collapsed="false">
      <c r="A189" s="15" t="n">
        <v>45554</v>
      </c>
      <c r="B189" s="17" t="n">
        <v>69900</v>
      </c>
      <c r="C189" s="17" t="n">
        <v>24700</v>
      </c>
      <c r="D189" s="17" t="n">
        <v>143800</v>
      </c>
      <c r="E189" s="17" t="n">
        <v>41000</v>
      </c>
    </row>
    <row r="190" customFormat="false" ht="15" hidden="false" customHeight="false" outlineLevel="0" collapsed="false">
      <c r="A190" s="15" t="n">
        <v>45555</v>
      </c>
      <c r="B190" s="17" t="n">
        <v>77300</v>
      </c>
      <c r="C190" s="17" t="n">
        <v>30400</v>
      </c>
      <c r="D190" s="17" t="n">
        <v>65000</v>
      </c>
      <c r="E190" s="17" t="n">
        <v>18800</v>
      </c>
    </row>
    <row r="191" customFormat="false" ht="15" hidden="false" customHeight="false" outlineLevel="0" collapsed="false">
      <c r="A191" s="15" t="n">
        <v>45558</v>
      </c>
      <c r="B191" s="17" t="n">
        <v>143000</v>
      </c>
      <c r="C191" s="17" t="n">
        <v>35700</v>
      </c>
      <c r="D191" s="17" t="n">
        <v>97300</v>
      </c>
      <c r="E191" s="17" t="n">
        <v>19200</v>
      </c>
    </row>
    <row r="192" customFormat="false" ht="15" hidden="false" customHeight="false" outlineLevel="0" collapsed="false">
      <c r="A192" s="15" t="n">
        <v>45559</v>
      </c>
      <c r="B192" s="17" t="n">
        <v>80700</v>
      </c>
      <c r="C192" s="17" t="n">
        <v>58800</v>
      </c>
      <c r="D192" s="17" t="n">
        <v>131200</v>
      </c>
      <c r="E192" s="17" t="n">
        <v>15200</v>
      </c>
    </row>
    <row r="193" customFormat="false" ht="15" hidden="false" customHeight="false" outlineLevel="0" collapsed="false">
      <c r="A193" s="15" t="n">
        <v>45560</v>
      </c>
      <c r="B193" s="17" t="n">
        <v>38500</v>
      </c>
      <c r="C193" s="17" t="n">
        <v>26100</v>
      </c>
      <c r="D193" s="17" t="n">
        <v>82700</v>
      </c>
      <c r="E193" s="17" t="n">
        <v>25000</v>
      </c>
    </row>
    <row r="194" customFormat="false" ht="15" hidden="false" customHeight="false" outlineLevel="0" collapsed="false">
      <c r="A194" s="15" t="n">
        <v>45561</v>
      </c>
      <c r="B194" s="17" t="n">
        <v>71800</v>
      </c>
      <c r="C194" s="17" t="n">
        <v>36700</v>
      </c>
      <c r="D194" s="17" t="n">
        <v>115800</v>
      </c>
      <c r="E194" s="17" t="n">
        <v>20500</v>
      </c>
    </row>
    <row r="195" customFormat="false" ht="15" hidden="false" customHeight="false" outlineLevel="0" collapsed="false">
      <c r="A195" s="15" t="n">
        <v>45562</v>
      </c>
      <c r="B195" s="17" t="n">
        <v>164300</v>
      </c>
      <c r="C195" s="17" t="n">
        <v>40400</v>
      </c>
      <c r="D195" s="17" t="n">
        <v>60200</v>
      </c>
      <c r="E195" s="17" t="n">
        <v>20800</v>
      </c>
    </row>
    <row r="196" customFormat="false" ht="15" hidden="false" customHeight="false" outlineLevel="0" collapsed="false">
      <c r="A196" s="15" t="n">
        <v>45565</v>
      </c>
      <c r="B196" s="17" t="n">
        <v>93600</v>
      </c>
      <c r="C196" s="17" t="n">
        <v>49000</v>
      </c>
      <c r="D196" s="17" t="n">
        <v>63200</v>
      </c>
      <c r="E196" s="17" t="n">
        <v>18700</v>
      </c>
    </row>
    <row r="197" customFormat="false" ht="15" hidden="false" customHeight="false" outlineLevel="0" collapsed="false">
      <c r="A197" s="15" t="n">
        <v>45566</v>
      </c>
      <c r="B197" s="17" t="n">
        <v>61900</v>
      </c>
      <c r="C197" s="17" t="n">
        <v>40400</v>
      </c>
      <c r="D197" s="17" t="n">
        <v>89200</v>
      </c>
      <c r="E197" s="17" t="n">
        <v>13200</v>
      </c>
    </row>
    <row r="198" customFormat="false" ht="15" hidden="false" customHeight="false" outlineLevel="0" collapsed="false">
      <c r="A198" s="15" t="n">
        <v>45567</v>
      </c>
      <c r="B198" s="17" t="n">
        <v>65300</v>
      </c>
      <c r="C198" s="17" t="n">
        <v>37700</v>
      </c>
      <c r="D198" s="17" t="n">
        <v>75300</v>
      </c>
      <c r="E198" s="17" t="n">
        <v>23500</v>
      </c>
    </row>
    <row r="199" customFormat="false" ht="15" hidden="false" customHeight="false" outlineLevel="0" collapsed="false">
      <c r="A199" s="15" t="n">
        <v>45568</v>
      </c>
      <c r="B199" s="17" t="n">
        <v>85100</v>
      </c>
      <c r="C199" s="17" t="n">
        <v>26000</v>
      </c>
      <c r="D199" s="17" t="n">
        <v>105000</v>
      </c>
      <c r="E199" s="17" t="n">
        <v>33900</v>
      </c>
    </row>
    <row r="200" customFormat="false" ht="15" hidden="false" customHeight="false" outlineLevel="0" collapsed="false">
      <c r="A200" s="15" t="n">
        <v>45569</v>
      </c>
      <c r="B200" s="17" t="n">
        <v>70600</v>
      </c>
      <c r="C200" s="17" t="n">
        <v>31200</v>
      </c>
      <c r="D200" s="17" t="n">
        <v>97600</v>
      </c>
      <c r="E200" s="17" t="n">
        <v>31000</v>
      </c>
    </row>
    <row r="201" customFormat="false" ht="15" hidden="false" customHeight="false" outlineLevel="0" collapsed="false">
      <c r="A201" s="15" t="n">
        <v>45572</v>
      </c>
      <c r="B201" s="17" t="n">
        <v>58500</v>
      </c>
      <c r="C201" s="17" t="n">
        <v>48000</v>
      </c>
      <c r="D201" s="17" t="n">
        <v>83000</v>
      </c>
      <c r="E201" s="17" t="n">
        <v>13600</v>
      </c>
    </row>
    <row r="202" customFormat="false" ht="15" hidden="false" customHeight="false" outlineLevel="0" collapsed="false">
      <c r="A202" s="15" t="n">
        <v>45573</v>
      </c>
      <c r="B202" s="17" t="n">
        <v>51100</v>
      </c>
      <c r="C202" s="17" t="n">
        <v>52400</v>
      </c>
      <c r="D202" s="17" t="n">
        <v>60600</v>
      </c>
      <c r="E202" s="17" t="n">
        <v>16700</v>
      </c>
    </row>
    <row r="203" customFormat="false" ht="15" hidden="false" customHeight="false" outlineLevel="0" collapsed="false">
      <c r="A203" s="15" t="n">
        <v>45574</v>
      </c>
      <c r="B203" s="17" t="n">
        <v>101200</v>
      </c>
      <c r="C203" s="17" t="n">
        <v>39100</v>
      </c>
      <c r="D203" s="17" t="n">
        <v>92700</v>
      </c>
      <c r="E203" s="17" t="n">
        <v>10900</v>
      </c>
    </row>
    <row r="204" customFormat="false" ht="15" hidden="false" customHeight="false" outlineLevel="0" collapsed="false">
      <c r="A204" s="15" t="n">
        <v>45575</v>
      </c>
      <c r="B204" s="17" t="n">
        <v>42800</v>
      </c>
      <c r="C204" s="17" t="n">
        <v>29200</v>
      </c>
      <c r="D204" s="17" t="n">
        <v>83000</v>
      </c>
      <c r="E204" s="17" t="n">
        <v>42700</v>
      </c>
    </row>
    <row r="205" customFormat="false" ht="15" hidden="false" customHeight="false" outlineLevel="0" collapsed="false">
      <c r="A205" s="15" t="n">
        <v>45576</v>
      </c>
      <c r="B205" s="17" t="n">
        <v>133100</v>
      </c>
      <c r="C205" s="17" t="n">
        <v>95100</v>
      </c>
      <c r="D205" s="17" t="n">
        <v>185500</v>
      </c>
      <c r="E205" s="17" t="n">
        <v>17600</v>
      </c>
    </row>
    <row r="206" customFormat="false" ht="15" hidden="false" customHeight="false" outlineLevel="0" collapsed="false">
      <c r="A206" s="15" t="n">
        <v>45579</v>
      </c>
      <c r="B206" s="17" t="n">
        <v>38000</v>
      </c>
      <c r="C206" s="17" t="n">
        <v>53200</v>
      </c>
      <c r="D206" s="17" t="n">
        <v>73800</v>
      </c>
      <c r="E206" s="17" t="n">
        <v>26400</v>
      </c>
    </row>
    <row r="207" customFormat="false" ht="15" hidden="false" customHeight="false" outlineLevel="0" collapsed="false">
      <c r="A207" s="15" t="n">
        <v>45580</v>
      </c>
      <c r="B207" s="17" t="n">
        <v>48900</v>
      </c>
      <c r="C207" s="17" t="n">
        <v>24800</v>
      </c>
      <c r="D207" s="17" t="n">
        <v>67500</v>
      </c>
      <c r="E207" s="17" t="n">
        <v>22900</v>
      </c>
    </row>
    <row r="208" customFormat="false" ht="15" hidden="false" customHeight="false" outlineLevel="0" collapsed="false">
      <c r="A208" s="15" t="n">
        <v>45581</v>
      </c>
      <c r="B208" s="17" t="n">
        <v>34700</v>
      </c>
      <c r="C208" s="17" t="n">
        <v>62200</v>
      </c>
      <c r="D208" s="17" t="n">
        <v>64900</v>
      </c>
      <c r="E208" s="17" t="n">
        <v>19200</v>
      </c>
    </row>
    <row r="209" customFormat="false" ht="15" hidden="false" customHeight="false" outlineLevel="0" collapsed="false">
      <c r="A209" s="15" t="n">
        <v>45582</v>
      </c>
      <c r="B209" s="17" t="n">
        <v>85500</v>
      </c>
      <c r="C209" s="17" t="n">
        <v>64100</v>
      </c>
      <c r="D209" s="17" t="n">
        <v>98700</v>
      </c>
      <c r="E209" s="17" t="n">
        <v>25200</v>
      </c>
    </row>
    <row r="210" customFormat="false" ht="15" hidden="false" customHeight="false" outlineLevel="0" collapsed="false">
      <c r="A210" s="15" t="n">
        <v>45583</v>
      </c>
      <c r="B210" s="17" t="n">
        <v>76200</v>
      </c>
      <c r="C210" s="17" t="n">
        <v>42800</v>
      </c>
      <c r="D210" s="17" t="n">
        <v>115700</v>
      </c>
      <c r="E210" s="17" t="n">
        <v>16100</v>
      </c>
    </row>
    <row r="211" customFormat="false" ht="15" hidden="false" customHeight="false" outlineLevel="0" collapsed="false">
      <c r="A211" s="15" t="n">
        <v>45586</v>
      </c>
      <c r="B211" s="17" t="n">
        <v>100200</v>
      </c>
      <c r="C211" s="17" t="n">
        <v>53400</v>
      </c>
      <c r="D211" s="17" t="n">
        <v>232100</v>
      </c>
      <c r="E211" s="17" t="n">
        <v>8700</v>
      </c>
    </row>
    <row r="212" customFormat="false" ht="15" hidden="false" customHeight="false" outlineLevel="0" collapsed="false">
      <c r="A212" s="15" t="n">
        <v>45587</v>
      </c>
      <c r="B212" s="17" t="n">
        <v>78900</v>
      </c>
      <c r="C212" s="17" t="n">
        <v>45400</v>
      </c>
      <c r="D212" s="17" t="n">
        <v>249200</v>
      </c>
      <c r="E212" s="17" t="n">
        <v>16900</v>
      </c>
    </row>
    <row r="213" customFormat="false" ht="15" hidden="false" customHeight="false" outlineLevel="0" collapsed="false">
      <c r="A213" s="15" t="n">
        <v>45588</v>
      </c>
      <c r="B213" s="17" t="n">
        <v>130500</v>
      </c>
      <c r="C213" s="17" t="n">
        <v>43300</v>
      </c>
      <c r="D213" s="17" t="n">
        <v>145400</v>
      </c>
      <c r="E213" s="17" t="n">
        <v>30900</v>
      </c>
    </row>
    <row r="214" customFormat="false" ht="15" hidden="false" customHeight="false" outlineLevel="0" collapsed="false">
      <c r="A214" s="15" t="n">
        <v>45589</v>
      </c>
      <c r="B214" s="17" t="n">
        <v>58600</v>
      </c>
      <c r="C214" s="17" t="n">
        <v>65900</v>
      </c>
      <c r="D214" s="17" t="n">
        <v>116000</v>
      </c>
      <c r="E214" s="17" t="n">
        <v>15100</v>
      </c>
    </row>
    <row r="215" customFormat="false" ht="15" hidden="false" customHeight="false" outlineLevel="0" collapsed="false">
      <c r="A215" s="15" t="n">
        <v>45590</v>
      </c>
      <c r="B215" s="17" t="n">
        <v>40300</v>
      </c>
      <c r="C215" s="17" t="n">
        <v>32400</v>
      </c>
      <c r="D215" s="17" t="n">
        <v>64900</v>
      </c>
      <c r="E215" s="17" t="n">
        <v>19500</v>
      </c>
    </row>
    <row r="216" customFormat="false" ht="15" hidden="false" customHeight="false" outlineLevel="0" collapsed="false">
      <c r="A216" s="15" t="n">
        <v>45593</v>
      </c>
      <c r="B216" s="17" t="n">
        <v>101700</v>
      </c>
      <c r="C216" s="17" t="n">
        <v>42300</v>
      </c>
      <c r="D216" s="17" t="n">
        <v>70600</v>
      </c>
      <c r="E216" s="17" t="n">
        <v>26300</v>
      </c>
    </row>
    <row r="217" customFormat="false" ht="15" hidden="false" customHeight="false" outlineLevel="0" collapsed="false">
      <c r="A217" s="15" t="n">
        <v>45594</v>
      </c>
      <c r="B217" s="17" t="n">
        <v>87900</v>
      </c>
      <c r="C217" s="17" t="n">
        <v>47600</v>
      </c>
      <c r="D217" s="17" t="n">
        <v>94900</v>
      </c>
      <c r="E217" s="17" t="n">
        <v>27000</v>
      </c>
    </row>
    <row r="218" customFormat="false" ht="15" hidden="false" customHeight="false" outlineLevel="0" collapsed="false">
      <c r="A218" s="15" t="n">
        <v>45595</v>
      </c>
      <c r="B218" s="17" t="n">
        <v>123600</v>
      </c>
      <c r="C218" s="17" t="n">
        <v>58100</v>
      </c>
      <c r="D218" s="17" t="n">
        <v>88800</v>
      </c>
      <c r="E218" s="17" t="n">
        <v>21300</v>
      </c>
    </row>
    <row r="219" customFormat="false" ht="15" hidden="false" customHeight="false" outlineLevel="0" collapsed="false">
      <c r="A219" s="15" t="n">
        <v>45596</v>
      </c>
      <c r="B219" s="17" t="n">
        <v>100800</v>
      </c>
      <c r="C219" s="17" t="n">
        <v>34800</v>
      </c>
      <c r="D219" s="17" t="n">
        <v>82800</v>
      </c>
      <c r="E219" s="17" t="n">
        <v>14000</v>
      </c>
    </row>
    <row r="220" customFormat="false" ht="15" hidden="false" customHeight="false" outlineLevel="0" collapsed="false">
      <c r="A220" s="15" t="n">
        <v>45597</v>
      </c>
      <c r="B220" s="17" t="n">
        <v>74500</v>
      </c>
      <c r="C220" s="17" t="n">
        <v>66700</v>
      </c>
      <c r="D220" s="17" t="n">
        <v>104400</v>
      </c>
      <c r="E220" s="17" t="n">
        <v>19700</v>
      </c>
    </row>
    <row r="221" customFormat="false" ht="15" hidden="false" customHeight="false" outlineLevel="0" collapsed="false">
      <c r="A221" s="15" t="n">
        <v>45600</v>
      </c>
      <c r="B221" s="17" t="n">
        <v>90200</v>
      </c>
      <c r="C221" s="17" t="n">
        <v>41400</v>
      </c>
      <c r="D221" s="17" t="n">
        <v>113800</v>
      </c>
      <c r="E221" s="17" t="n">
        <v>31200</v>
      </c>
    </row>
    <row r="222" customFormat="false" ht="15" hidden="false" customHeight="false" outlineLevel="0" collapsed="false">
      <c r="A222" s="15" t="n">
        <v>45601</v>
      </c>
      <c r="B222" s="17" t="n">
        <v>44100</v>
      </c>
      <c r="C222" s="17" t="n">
        <v>64700</v>
      </c>
      <c r="D222" s="17" t="n">
        <v>142100</v>
      </c>
      <c r="E222" s="17" t="n">
        <v>15900</v>
      </c>
    </row>
    <row r="223" customFormat="false" ht="15" hidden="false" customHeight="false" outlineLevel="0" collapsed="false">
      <c r="A223" s="15" t="n">
        <v>45602</v>
      </c>
      <c r="B223" s="17" t="n">
        <v>44100</v>
      </c>
      <c r="C223" s="17" t="n">
        <v>45900</v>
      </c>
      <c r="D223" s="17" t="n">
        <v>158200</v>
      </c>
      <c r="E223" s="17" t="n">
        <v>12000</v>
      </c>
    </row>
    <row r="224" customFormat="false" ht="15" hidden="false" customHeight="false" outlineLevel="0" collapsed="false">
      <c r="A224" s="15" t="n">
        <v>45603</v>
      </c>
      <c r="B224" s="17" t="n">
        <v>180900</v>
      </c>
      <c r="C224" s="17" t="n">
        <v>51900</v>
      </c>
      <c r="D224" s="17" t="n">
        <v>78300</v>
      </c>
      <c r="E224" s="17" t="n">
        <v>34000</v>
      </c>
    </row>
    <row r="225" customFormat="false" ht="15" hidden="false" customHeight="false" outlineLevel="0" collapsed="false">
      <c r="A225" s="15" t="n">
        <v>45604</v>
      </c>
      <c r="B225" s="17" t="n">
        <v>37200</v>
      </c>
      <c r="C225" s="17" t="n">
        <v>40500</v>
      </c>
      <c r="D225" s="17" t="n">
        <v>177600</v>
      </c>
      <c r="E225" s="17" t="n">
        <v>11800</v>
      </c>
    </row>
    <row r="226" customFormat="false" ht="15" hidden="false" customHeight="false" outlineLevel="0" collapsed="false">
      <c r="A226" s="15" t="n">
        <v>45607</v>
      </c>
      <c r="B226" s="17" t="n">
        <v>189200</v>
      </c>
      <c r="C226" s="17" t="n">
        <v>33200</v>
      </c>
      <c r="D226" s="17" t="n">
        <v>104300</v>
      </c>
      <c r="E226" s="17" t="n">
        <v>20400</v>
      </c>
    </row>
    <row r="227" customFormat="false" ht="15" hidden="false" customHeight="false" outlineLevel="0" collapsed="false">
      <c r="A227" s="15" t="n">
        <v>45608</v>
      </c>
      <c r="B227" s="17" t="n">
        <v>85700</v>
      </c>
      <c r="C227" s="17" t="n">
        <v>42000</v>
      </c>
      <c r="D227" s="17" t="n">
        <v>99000</v>
      </c>
      <c r="E227" s="17" t="n">
        <v>10500</v>
      </c>
    </row>
    <row r="228" customFormat="false" ht="15" hidden="false" customHeight="false" outlineLevel="0" collapsed="false">
      <c r="A228" s="15" t="n">
        <v>45609</v>
      </c>
      <c r="B228" s="17" t="n">
        <v>59100</v>
      </c>
      <c r="C228" s="17" t="n">
        <v>58900</v>
      </c>
      <c r="D228" s="17" t="n">
        <v>66400</v>
      </c>
      <c r="E228" s="17" t="n">
        <v>19300</v>
      </c>
    </row>
    <row r="229" customFormat="false" ht="15" hidden="false" customHeight="false" outlineLevel="0" collapsed="false">
      <c r="A229" s="15" t="n">
        <v>45610</v>
      </c>
      <c r="B229" s="17" t="n">
        <v>52400</v>
      </c>
      <c r="C229" s="17" t="n">
        <v>41100</v>
      </c>
      <c r="D229" s="17" t="n">
        <v>96000</v>
      </c>
      <c r="E229" s="17" t="n">
        <v>16100</v>
      </c>
    </row>
    <row r="230" customFormat="false" ht="15" hidden="false" customHeight="false" outlineLevel="0" collapsed="false">
      <c r="A230" s="15" t="n">
        <v>45611</v>
      </c>
      <c r="B230" s="17" t="n">
        <v>64600</v>
      </c>
      <c r="C230" s="17" t="n">
        <v>33200</v>
      </c>
      <c r="D230" s="17" t="n">
        <v>181700</v>
      </c>
      <c r="E230" s="17" t="n">
        <v>27000</v>
      </c>
    </row>
    <row r="231" customFormat="false" ht="15" hidden="false" customHeight="false" outlineLevel="0" collapsed="false">
      <c r="A231" s="15" t="n">
        <v>45614</v>
      </c>
      <c r="B231" s="17" t="n">
        <v>54200</v>
      </c>
      <c r="C231" s="17" t="n">
        <v>24000</v>
      </c>
      <c r="D231" s="17" t="n">
        <v>86600</v>
      </c>
      <c r="E231" s="17" t="n">
        <v>16200</v>
      </c>
    </row>
    <row r="232" customFormat="false" ht="15" hidden="false" customHeight="false" outlineLevel="0" collapsed="false">
      <c r="A232" s="15" t="n">
        <v>45615</v>
      </c>
      <c r="B232" s="17" t="n">
        <v>49700</v>
      </c>
      <c r="C232" s="17" t="n">
        <v>30600</v>
      </c>
      <c r="D232" s="17" t="n">
        <v>158300</v>
      </c>
      <c r="E232" s="17" t="n">
        <v>33000</v>
      </c>
    </row>
    <row r="233" customFormat="false" ht="15" hidden="false" customHeight="false" outlineLevel="0" collapsed="false">
      <c r="A233" s="15" t="n">
        <v>45616</v>
      </c>
      <c r="B233" s="17" t="n">
        <v>77500</v>
      </c>
      <c r="C233" s="17" t="n">
        <v>32900</v>
      </c>
      <c r="D233" s="17" t="n">
        <v>94500</v>
      </c>
      <c r="E233" s="17" t="n">
        <v>19200</v>
      </c>
    </row>
    <row r="234" customFormat="false" ht="15" hidden="false" customHeight="false" outlineLevel="0" collapsed="false">
      <c r="A234" s="15" t="n">
        <v>45617</v>
      </c>
      <c r="B234" s="17" t="n">
        <v>46200</v>
      </c>
      <c r="C234" s="17" t="n">
        <v>26000</v>
      </c>
      <c r="D234" s="17" t="n">
        <v>92000</v>
      </c>
      <c r="E234" s="17" t="n">
        <v>16700</v>
      </c>
    </row>
    <row r="235" customFormat="false" ht="15" hidden="false" customHeight="false" outlineLevel="0" collapsed="false">
      <c r="A235" s="15" t="n">
        <v>45618</v>
      </c>
      <c r="B235" s="17" t="n">
        <v>39800</v>
      </c>
      <c r="C235" s="17" t="n">
        <v>49600</v>
      </c>
      <c r="D235" s="17" t="n">
        <v>132700</v>
      </c>
      <c r="E235" s="17" t="n">
        <v>13200</v>
      </c>
    </row>
    <row r="236" customFormat="false" ht="15" hidden="false" customHeight="false" outlineLevel="0" collapsed="false">
      <c r="A236" s="15" t="n">
        <v>45621</v>
      </c>
      <c r="B236" s="17" t="n">
        <v>46900</v>
      </c>
      <c r="C236" s="17" t="n">
        <v>34000</v>
      </c>
      <c r="D236" s="17" t="n">
        <v>56100</v>
      </c>
      <c r="E236" s="17" t="n">
        <v>33900</v>
      </c>
    </row>
    <row r="237" customFormat="false" ht="15" hidden="false" customHeight="false" outlineLevel="0" collapsed="false">
      <c r="A237" s="15" t="n">
        <v>45622</v>
      </c>
      <c r="B237" s="17" t="n">
        <v>58700</v>
      </c>
      <c r="C237" s="17" t="n">
        <v>58300</v>
      </c>
      <c r="D237" s="17" t="n">
        <v>91000</v>
      </c>
      <c r="E237" s="17" t="n">
        <v>25200</v>
      </c>
    </row>
    <row r="238" customFormat="false" ht="15" hidden="false" customHeight="false" outlineLevel="0" collapsed="false">
      <c r="A238" s="15" t="n">
        <v>45623</v>
      </c>
      <c r="B238" s="17" t="n">
        <v>86900</v>
      </c>
      <c r="C238" s="17" t="n">
        <v>28800</v>
      </c>
      <c r="D238" s="17" t="n">
        <v>106700</v>
      </c>
      <c r="E238" s="17" t="n">
        <v>18000</v>
      </c>
    </row>
    <row r="239" customFormat="false" ht="15" hidden="false" customHeight="false" outlineLevel="0" collapsed="false">
      <c r="A239" s="15" t="n">
        <v>45624</v>
      </c>
      <c r="B239" s="17" t="n">
        <v>42500</v>
      </c>
      <c r="C239" s="17" t="n">
        <v>21600</v>
      </c>
      <c r="D239" s="17" t="n">
        <v>114000</v>
      </c>
      <c r="E239" s="17" t="n">
        <v>13600</v>
      </c>
    </row>
    <row r="240" customFormat="false" ht="15" hidden="false" customHeight="false" outlineLevel="0" collapsed="false">
      <c r="A240" s="15" t="n">
        <v>45625</v>
      </c>
      <c r="B240" s="17" t="n">
        <v>35800</v>
      </c>
      <c r="C240" s="17" t="n">
        <v>40800</v>
      </c>
      <c r="D240" s="17" t="n">
        <v>105100</v>
      </c>
      <c r="E240" s="17" t="n">
        <v>12800</v>
      </c>
    </row>
    <row r="241" customFormat="false" ht="15" hidden="false" customHeight="false" outlineLevel="0" collapsed="false">
      <c r="A241" s="15" t="n">
        <v>45628</v>
      </c>
      <c r="B241" s="17" t="n">
        <v>75100</v>
      </c>
      <c r="C241" s="17" t="n">
        <v>37500</v>
      </c>
      <c r="D241" s="17" t="n">
        <v>99200</v>
      </c>
      <c r="E241" s="17" t="n">
        <v>39400</v>
      </c>
    </row>
    <row r="242" customFormat="false" ht="15" hidden="false" customHeight="false" outlineLevel="0" collapsed="false">
      <c r="A242" s="15" t="n">
        <v>45629</v>
      </c>
      <c r="B242" s="17" t="n">
        <v>116800</v>
      </c>
      <c r="C242" s="17" t="n">
        <v>78400</v>
      </c>
      <c r="D242" s="17" t="n">
        <v>60200</v>
      </c>
      <c r="E242" s="17" t="n">
        <v>18300</v>
      </c>
    </row>
    <row r="243" customFormat="false" ht="15" hidden="false" customHeight="false" outlineLevel="0" collapsed="false">
      <c r="A243" s="15" t="n">
        <v>45630</v>
      </c>
      <c r="B243" s="17" t="n">
        <v>60300</v>
      </c>
      <c r="C243" s="17" t="n">
        <v>40400</v>
      </c>
      <c r="D243" s="17" t="n">
        <v>105100</v>
      </c>
      <c r="E243" s="17" t="n">
        <v>16900</v>
      </c>
    </row>
    <row r="244" customFormat="false" ht="15" hidden="false" customHeight="false" outlineLevel="0" collapsed="false">
      <c r="A244" s="15" t="n">
        <v>45631</v>
      </c>
      <c r="B244" s="17" t="n">
        <v>146800</v>
      </c>
      <c r="C244" s="17" t="n">
        <v>39600</v>
      </c>
      <c r="D244" s="17" t="n">
        <v>78500</v>
      </c>
      <c r="E244" s="17" t="n">
        <v>14700</v>
      </c>
    </row>
    <row r="245" customFormat="false" ht="15" hidden="false" customHeight="false" outlineLevel="0" collapsed="false">
      <c r="A245" s="15" t="n">
        <v>45632</v>
      </c>
      <c r="B245" s="17" t="n">
        <v>43300</v>
      </c>
      <c r="C245" s="17" t="n">
        <v>66000</v>
      </c>
      <c r="D245" s="17" t="n">
        <v>98100</v>
      </c>
      <c r="E245" s="17" t="n">
        <v>10300</v>
      </c>
    </row>
    <row r="246" customFormat="false" ht="15" hidden="false" customHeight="false" outlineLevel="0" collapsed="false">
      <c r="A246" s="15" t="n">
        <v>45635</v>
      </c>
      <c r="B246" s="17" t="n">
        <v>181300</v>
      </c>
      <c r="C246" s="17" t="n">
        <v>60900</v>
      </c>
      <c r="D246" s="17" t="n">
        <v>78500</v>
      </c>
      <c r="E246" s="17" t="n">
        <v>16000</v>
      </c>
    </row>
    <row r="247" customFormat="false" ht="15" hidden="false" customHeight="false" outlineLevel="0" collapsed="false">
      <c r="A247" s="15" t="n">
        <v>45636</v>
      </c>
      <c r="B247" s="17" t="n">
        <v>62400</v>
      </c>
      <c r="C247" s="17" t="n">
        <v>54200</v>
      </c>
      <c r="D247" s="17" t="n">
        <v>80100</v>
      </c>
      <c r="E247" s="17" t="n">
        <v>17200</v>
      </c>
    </row>
    <row r="248" customFormat="false" ht="15" hidden="false" customHeight="false" outlineLevel="0" collapsed="false">
      <c r="A248" s="15" t="n">
        <v>45637</v>
      </c>
      <c r="B248" s="17" t="n">
        <v>127800</v>
      </c>
      <c r="C248" s="17" t="n">
        <v>87800</v>
      </c>
      <c r="D248" s="17" t="n">
        <v>85700</v>
      </c>
      <c r="E248" s="17" t="n">
        <v>20800</v>
      </c>
    </row>
    <row r="249" customFormat="false" ht="15" hidden="false" customHeight="false" outlineLevel="0" collapsed="false">
      <c r="A249" s="15" t="n">
        <v>45638</v>
      </c>
      <c r="B249" s="17" t="n">
        <v>55100</v>
      </c>
      <c r="C249" s="17" t="n">
        <v>24900</v>
      </c>
      <c r="D249" s="17" t="n">
        <v>118300</v>
      </c>
      <c r="E249" s="17" t="n">
        <v>12400</v>
      </c>
    </row>
    <row r="250" customFormat="false" ht="15" hidden="false" customHeight="false" outlineLevel="0" collapsed="false">
      <c r="A250" s="15" t="n">
        <v>45639</v>
      </c>
      <c r="B250" s="17" t="n">
        <v>90900</v>
      </c>
      <c r="C250" s="17" t="n">
        <v>26700</v>
      </c>
      <c r="D250" s="17" t="n">
        <v>102300</v>
      </c>
      <c r="E250" s="17" t="n">
        <v>20200</v>
      </c>
    </row>
    <row r="251" customFormat="false" ht="15" hidden="false" customHeight="false" outlineLevel="0" collapsed="false">
      <c r="A251" s="15" t="n">
        <v>45642</v>
      </c>
      <c r="B251" s="17" t="n">
        <v>107100</v>
      </c>
      <c r="C251" s="17" t="n">
        <v>36200</v>
      </c>
      <c r="D251" s="17" t="n">
        <v>113700</v>
      </c>
      <c r="E251" s="17" t="n">
        <v>22200</v>
      </c>
    </row>
    <row r="252" customFormat="false" ht="15" hidden="false" customHeight="false" outlineLevel="0" collapsed="false">
      <c r="A252" s="15" t="n">
        <v>45643</v>
      </c>
      <c r="B252" s="17" t="n">
        <v>70500</v>
      </c>
      <c r="C252" s="17" t="n">
        <v>27200</v>
      </c>
      <c r="D252" s="17" t="n">
        <v>59000</v>
      </c>
      <c r="E252" s="17" t="n">
        <v>20000</v>
      </c>
    </row>
    <row r="253" customFormat="false" ht="15" hidden="false" customHeight="false" outlineLevel="0" collapsed="false">
      <c r="A253" s="15" t="n">
        <v>45644</v>
      </c>
      <c r="B253" s="17" t="n">
        <v>71700</v>
      </c>
      <c r="C253" s="17" t="n">
        <v>55500</v>
      </c>
      <c r="D253" s="17" t="n">
        <v>104600</v>
      </c>
      <c r="E253" s="17" t="n">
        <v>29300</v>
      </c>
    </row>
    <row r="254" customFormat="false" ht="15" hidden="false" customHeight="false" outlineLevel="0" collapsed="false">
      <c r="A254" s="15" t="n">
        <v>45645</v>
      </c>
      <c r="B254" s="17" t="n">
        <v>56100</v>
      </c>
      <c r="C254" s="17" t="n">
        <v>77900</v>
      </c>
      <c r="D254" s="17" t="n">
        <v>139500</v>
      </c>
      <c r="E254" s="17" t="n">
        <v>13200</v>
      </c>
    </row>
    <row r="255" customFormat="false" ht="15" hidden="false" customHeight="false" outlineLevel="0" collapsed="false">
      <c r="A255" s="15" t="n">
        <v>45646</v>
      </c>
      <c r="B255" s="17" t="n">
        <v>82200</v>
      </c>
      <c r="C255" s="17" t="n">
        <v>50800</v>
      </c>
      <c r="D255" s="17" t="n">
        <v>78800</v>
      </c>
      <c r="E255" s="17" t="n">
        <v>25600</v>
      </c>
    </row>
    <row r="256" customFormat="false" ht="15" hidden="false" customHeight="false" outlineLevel="0" collapsed="false">
      <c r="A256" s="15" t="n">
        <v>45649</v>
      </c>
      <c r="B256" s="17" t="n">
        <v>85400</v>
      </c>
      <c r="C256" s="17" t="n">
        <v>43600</v>
      </c>
      <c r="D256" s="17" t="n">
        <v>84900</v>
      </c>
      <c r="E256" s="17" t="n">
        <v>9500</v>
      </c>
    </row>
    <row r="257" customFormat="false" ht="15" hidden="false" customHeight="false" outlineLevel="0" collapsed="false">
      <c r="A257" s="15" t="n">
        <v>45650</v>
      </c>
      <c r="B257" s="17" t="n">
        <v>49500</v>
      </c>
      <c r="C257" s="17" t="n">
        <v>35800</v>
      </c>
      <c r="D257" s="17" t="n">
        <v>127300</v>
      </c>
      <c r="E257" s="17" t="n">
        <v>14400</v>
      </c>
    </row>
    <row r="258" customFormat="false" ht="15" hidden="false" customHeight="false" outlineLevel="0" collapsed="false">
      <c r="A258" s="15" t="n">
        <v>45651</v>
      </c>
      <c r="B258" s="17" t="n">
        <v>106200</v>
      </c>
      <c r="C258" s="17" t="n">
        <v>87700</v>
      </c>
      <c r="D258" s="17" t="n">
        <v>108700</v>
      </c>
      <c r="E258" s="17" t="n">
        <v>28400</v>
      </c>
    </row>
    <row r="259" customFormat="false" ht="15" hidden="false" customHeight="false" outlineLevel="0" collapsed="false">
      <c r="A259" s="15" t="n">
        <v>45652</v>
      </c>
      <c r="B259" s="17" t="n">
        <v>44200</v>
      </c>
      <c r="C259" s="17" t="n">
        <v>24500</v>
      </c>
      <c r="D259" s="17" t="n">
        <v>183900</v>
      </c>
      <c r="E259" s="17" t="n">
        <v>31200</v>
      </c>
    </row>
    <row r="260" customFormat="false" ht="15" hidden="false" customHeight="false" outlineLevel="0" collapsed="false">
      <c r="A260" s="15" t="n">
        <v>45653</v>
      </c>
      <c r="B260" s="17" t="n">
        <v>88700</v>
      </c>
      <c r="C260" s="17" t="n">
        <v>35300</v>
      </c>
      <c r="D260" s="17" t="n">
        <v>101600</v>
      </c>
      <c r="E260" s="17" t="n">
        <v>21700</v>
      </c>
    </row>
    <row r="261" customFormat="false" ht="15" hidden="false" customHeight="false" outlineLevel="0" collapsed="false">
      <c r="A261" s="15" t="n">
        <v>45656</v>
      </c>
      <c r="B261" s="17" t="n">
        <v>76400</v>
      </c>
      <c r="C261" s="17" t="n">
        <v>44500</v>
      </c>
      <c r="D261" s="17" t="n">
        <v>111700</v>
      </c>
      <c r="E261" s="17" t="n">
        <v>32100</v>
      </c>
    </row>
    <row r="262" customFormat="false" ht="15" hidden="false" customHeight="false" outlineLevel="0" collapsed="false">
      <c r="A262" s="15" t="n">
        <v>45657</v>
      </c>
      <c r="B262" s="17" t="n">
        <v>115800</v>
      </c>
      <c r="C262" s="17" t="n">
        <v>28400</v>
      </c>
      <c r="D262" s="17" t="n">
        <v>142900</v>
      </c>
      <c r="E262" s="17" t="n">
        <v>13400</v>
      </c>
    </row>
    <row r="263" customFormat="false" ht="15" hidden="false" customHeight="false" outlineLevel="0" collapsed="false">
      <c r="A263" s="15" t="n">
        <v>45658</v>
      </c>
      <c r="B263" s="17" t="n">
        <v>155000</v>
      </c>
      <c r="C263" s="17" t="n">
        <v>45500</v>
      </c>
      <c r="D263" s="17" t="n">
        <v>90400</v>
      </c>
      <c r="E263" s="17" t="n">
        <v>16500</v>
      </c>
    </row>
    <row r="264" customFormat="false" ht="15" hidden="false" customHeight="false" outlineLevel="0" collapsed="false">
      <c r="A264" s="15" t="n">
        <v>45659</v>
      </c>
      <c r="B264" s="17" t="n">
        <v>74400</v>
      </c>
      <c r="C264" s="17" t="n">
        <v>84900</v>
      </c>
      <c r="D264" s="17" t="n">
        <v>109200</v>
      </c>
      <c r="E264" s="17" t="n">
        <v>14700</v>
      </c>
    </row>
    <row r="265" customFormat="false" ht="15" hidden="false" customHeight="false" outlineLevel="0" collapsed="false">
      <c r="A265" s="15" t="n">
        <v>45660</v>
      </c>
      <c r="B265" s="17" t="n">
        <v>57300</v>
      </c>
      <c r="C265" s="17" t="n">
        <v>24200</v>
      </c>
      <c r="D265" s="17" t="n">
        <v>52800</v>
      </c>
      <c r="E265" s="17" t="n">
        <v>19200</v>
      </c>
    </row>
    <row r="266" customFormat="false" ht="15" hidden="false" customHeight="false" outlineLevel="0" collapsed="false">
      <c r="A266" s="15" t="n">
        <v>45663</v>
      </c>
      <c r="B266" s="17" t="n">
        <v>62700</v>
      </c>
      <c r="C266" s="17" t="n">
        <v>34800</v>
      </c>
      <c r="D266" s="17" t="n">
        <v>180800</v>
      </c>
      <c r="E266" s="17" t="n">
        <v>26900</v>
      </c>
    </row>
    <row r="267" customFormat="false" ht="15" hidden="false" customHeight="false" outlineLevel="0" collapsed="false">
      <c r="A267" s="15" t="n">
        <v>45664</v>
      </c>
      <c r="B267" s="17" t="n">
        <v>114500</v>
      </c>
      <c r="C267" s="17" t="n">
        <v>29700</v>
      </c>
      <c r="D267" s="17" t="n">
        <v>104000</v>
      </c>
      <c r="E267" s="17" t="n">
        <v>29400</v>
      </c>
    </row>
    <row r="268" customFormat="false" ht="15" hidden="false" customHeight="false" outlineLevel="0" collapsed="false">
      <c r="A268" s="15" t="n">
        <v>45665</v>
      </c>
      <c r="B268" s="17" t="n">
        <v>43000</v>
      </c>
      <c r="C268" s="17" t="n">
        <v>37200</v>
      </c>
      <c r="D268" s="17" t="n">
        <v>116200</v>
      </c>
      <c r="E268" s="17" t="n">
        <v>12500</v>
      </c>
    </row>
    <row r="269" customFormat="false" ht="15" hidden="false" customHeight="false" outlineLevel="0" collapsed="false">
      <c r="A269" s="15" t="n">
        <v>45666</v>
      </c>
      <c r="B269" s="17" t="n">
        <v>71800</v>
      </c>
      <c r="C269" s="17" t="n">
        <v>84800</v>
      </c>
      <c r="D269" s="17" t="n">
        <v>136500</v>
      </c>
      <c r="E269" s="17" t="n">
        <v>34100</v>
      </c>
    </row>
    <row r="270" customFormat="false" ht="15" hidden="false" customHeight="false" outlineLevel="0" collapsed="false">
      <c r="A270" s="15" t="n">
        <v>45667</v>
      </c>
      <c r="B270" s="17" t="n">
        <v>59600</v>
      </c>
      <c r="C270" s="17" t="n">
        <v>73200</v>
      </c>
      <c r="D270" s="17" t="n">
        <v>207700</v>
      </c>
      <c r="E270" s="17" t="n">
        <v>20900</v>
      </c>
    </row>
    <row r="271" customFormat="false" ht="15" hidden="false" customHeight="false" outlineLevel="0" collapsed="false">
      <c r="A271" s="15" t="n">
        <v>45670</v>
      </c>
      <c r="B271" s="17" t="n">
        <v>81900</v>
      </c>
      <c r="C271" s="17" t="n">
        <v>26900</v>
      </c>
      <c r="D271" s="17" t="n">
        <v>175600</v>
      </c>
      <c r="E271" s="17" t="n">
        <v>25500</v>
      </c>
    </row>
    <row r="272" customFormat="false" ht="15" hidden="false" customHeight="false" outlineLevel="0" collapsed="false">
      <c r="A272" s="15" t="n">
        <v>45671</v>
      </c>
      <c r="B272" s="17" t="n">
        <v>50700</v>
      </c>
      <c r="C272" s="17" t="n">
        <v>26800</v>
      </c>
      <c r="D272" s="17" t="n">
        <v>103200</v>
      </c>
      <c r="E272" s="17" t="n">
        <v>12800</v>
      </c>
    </row>
    <row r="273" customFormat="false" ht="15" hidden="false" customHeight="false" outlineLevel="0" collapsed="false">
      <c r="A273" s="15" t="n">
        <v>45672</v>
      </c>
      <c r="B273" s="17" t="n">
        <v>59200</v>
      </c>
      <c r="C273" s="17" t="n">
        <v>76000</v>
      </c>
      <c r="D273" s="17" t="n">
        <v>109600</v>
      </c>
      <c r="E273" s="17" t="n">
        <v>29100</v>
      </c>
    </row>
    <row r="274" customFormat="false" ht="15" hidden="false" customHeight="false" outlineLevel="0" collapsed="false">
      <c r="A274" s="15" t="n">
        <v>45673</v>
      </c>
      <c r="B274" s="17" t="n">
        <v>95500</v>
      </c>
      <c r="C274" s="17" t="n">
        <v>47000</v>
      </c>
      <c r="D274" s="17" t="n">
        <v>108300</v>
      </c>
      <c r="E274" s="17" t="n">
        <v>22200</v>
      </c>
    </row>
    <row r="275" customFormat="false" ht="15" hidden="false" customHeight="false" outlineLevel="0" collapsed="false">
      <c r="A275" s="15" t="n">
        <v>45674</v>
      </c>
      <c r="B275" s="17" t="n">
        <v>89700</v>
      </c>
      <c r="C275" s="17" t="n">
        <v>47200</v>
      </c>
      <c r="D275" s="17" t="n">
        <v>69100</v>
      </c>
      <c r="E275" s="17" t="n">
        <v>28400</v>
      </c>
    </row>
    <row r="276" customFormat="false" ht="15" hidden="false" customHeight="false" outlineLevel="0" collapsed="false">
      <c r="A276" s="15" t="n">
        <v>45677</v>
      </c>
      <c r="B276" s="17" t="n">
        <v>61600</v>
      </c>
      <c r="C276" s="17" t="n">
        <v>36500</v>
      </c>
      <c r="D276" s="17" t="n">
        <v>131800</v>
      </c>
      <c r="E276" s="17" t="n">
        <v>11800</v>
      </c>
    </row>
    <row r="277" customFormat="false" ht="15" hidden="false" customHeight="false" outlineLevel="0" collapsed="false">
      <c r="A277" s="15" t="n">
        <v>45678</v>
      </c>
      <c r="B277" s="17" t="n">
        <v>148200</v>
      </c>
      <c r="C277" s="17" t="n">
        <v>32300</v>
      </c>
      <c r="D277" s="17" t="n">
        <v>116700</v>
      </c>
      <c r="E277" s="17" t="n">
        <v>11400</v>
      </c>
    </row>
    <row r="278" customFormat="false" ht="15" hidden="false" customHeight="false" outlineLevel="0" collapsed="false">
      <c r="A278" s="15" t="n">
        <v>45679</v>
      </c>
      <c r="B278" s="17" t="n">
        <v>84500</v>
      </c>
      <c r="C278" s="17" t="n">
        <v>67800</v>
      </c>
      <c r="D278" s="17" t="n">
        <v>110200</v>
      </c>
      <c r="E278" s="17" t="n">
        <v>15300</v>
      </c>
    </row>
    <row r="279" customFormat="false" ht="15" hidden="false" customHeight="false" outlineLevel="0" collapsed="false">
      <c r="A279" s="15" t="n">
        <v>45680</v>
      </c>
      <c r="B279" s="17" t="n">
        <v>176300</v>
      </c>
      <c r="C279" s="17" t="n">
        <v>53300</v>
      </c>
      <c r="D279" s="17" t="n">
        <v>194100</v>
      </c>
      <c r="E279" s="17" t="n">
        <v>24400</v>
      </c>
    </row>
    <row r="280" customFormat="false" ht="15" hidden="false" customHeight="false" outlineLevel="0" collapsed="false">
      <c r="A280" s="15" t="n">
        <v>45681</v>
      </c>
      <c r="B280" s="17" t="n">
        <v>136100</v>
      </c>
      <c r="C280" s="17" t="n">
        <v>39000</v>
      </c>
      <c r="D280" s="17" t="n">
        <v>107900</v>
      </c>
      <c r="E280" s="17" t="n">
        <v>30500</v>
      </c>
    </row>
    <row r="281" customFormat="false" ht="15" hidden="false" customHeight="false" outlineLevel="0" collapsed="false">
      <c r="A281" s="15" t="n">
        <v>45684</v>
      </c>
      <c r="B281" s="17" t="n">
        <v>64700</v>
      </c>
      <c r="C281" s="17" t="n">
        <v>48000</v>
      </c>
      <c r="D281" s="17" t="n">
        <v>149100</v>
      </c>
      <c r="E281" s="17" t="n">
        <v>14200</v>
      </c>
    </row>
    <row r="282" customFormat="false" ht="15" hidden="false" customHeight="false" outlineLevel="0" collapsed="false">
      <c r="A282" s="15" t="n">
        <v>45685</v>
      </c>
      <c r="B282" s="17" t="n">
        <v>75800</v>
      </c>
      <c r="C282" s="17" t="n">
        <v>40800</v>
      </c>
      <c r="D282" s="17" t="n">
        <v>218700</v>
      </c>
      <c r="E282" s="17" t="n">
        <v>24200</v>
      </c>
    </row>
    <row r="283" customFormat="false" ht="15" hidden="false" customHeight="false" outlineLevel="0" collapsed="false">
      <c r="A283" s="15" t="n">
        <v>45686</v>
      </c>
      <c r="B283" s="17" t="n">
        <v>75700</v>
      </c>
      <c r="C283" s="17" t="n">
        <v>72900</v>
      </c>
      <c r="D283" s="17" t="n">
        <v>104300</v>
      </c>
      <c r="E283" s="17" t="n">
        <v>14700</v>
      </c>
    </row>
    <row r="284" customFormat="false" ht="15" hidden="false" customHeight="false" outlineLevel="0" collapsed="false">
      <c r="A284" s="15" t="n">
        <v>45687</v>
      </c>
      <c r="B284" s="17" t="n">
        <v>126800</v>
      </c>
      <c r="C284" s="17" t="n">
        <v>57800</v>
      </c>
      <c r="D284" s="17" t="n">
        <v>58300</v>
      </c>
      <c r="E284" s="17" t="n">
        <v>32600</v>
      </c>
    </row>
    <row r="285" customFormat="false" ht="15" hidden="false" customHeight="false" outlineLevel="0" collapsed="false">
      <c r="A285" s="15" t="n">
        <v>45688</v>
      </c>
      <c r="B285" s="17" t="n">
        <v>55300</v>
      </c>
      <c r="C285" s="17" t="n">
        <v>79200</v>
      </c>
      <c r="D285" s="17" t="n">
        <v>95600</v>
      </c>
      <c r="E285" s="17" t="n">
        <v>12900</v>
      </c>
    </row>
    <row r="286" customFormat="false" ht="15" hidden="false" customHeight="false" outlineLevel="0" collapsed="false">
      <c r="A286" s="15" t="n">
        <v>45691</v>
      </c>
      <c r="B286" s="17" t="n">
        <v>101800</v>
      </c>
      <c r="C286" s="17" t="n">
        <v>166900</v>
      </c>
      <c r="D286" s="17" t="n">
        <v>88400</v>
      </c>
      <c r="E286" s="17" t="n">
        <v>13300</v>
      </c>
    </row>
    <row r="287" customFormat="false" ht="15" hidden="false" customHeight="false" outlineLevel="0" collapsed="false">
      <c r="A287" s="15" t="n">
        <v>45692</v>
      </c>
      <c r="B287" s="17" t="n">
        <v>50400</v>
      </c>
      <c r="C287" s="17" t="n">
        <v>33200</v>
      </c>
      <c r="D287" s="17" t="n">
        <v>87600</v>
      </c>
      <c r="E287" s="17" t="n">
        <v>13500</v>
      </c>
    </row>
    <row r="288" customFormat="false" ht="15" hidden="false" customHeight="false" outlineLevel="0" collapsed="false">
      <c r="A288" s="15" t="n">
        <v>45693</v>
      </c>
      <c r="B288" s="17" t="n">
        <v>54400</v>
      </c>
      <c r="C288" s="17" t="n">
        <v>38900</v>
      </c>
      <c r="D288" s="17" t="n">
        <v>119300</v>
      </c>
      <c r="E288" s="17" t="n">
        <v>10900</v>
      </c>
    </row>
    <row r="289" customFormat="false" ht="15" hidden="false" customHeight="false" outlineLevel="0" collapsed="false">
      <c r="A289" s="15" t="n">
        <v>45694</v>
      </c>
      <c r="B289" s="17" t="n">
        <v>38000</v>
      </c>
      <c r="C289" s="17" t="n">
        <v>39700</v>
      </c>
      <c r="D289" s="17" t="n">
        <v>108000</v>
      </c>
      <c r="E289" s="17" t="n">
        <v>11200</v>
      </c>
    </row>
    <row r="290" customFormat="false" ht="15" hidden="false" customHeight="false" outlineLevel="0" collapsed="false">
      <c r="A290" s="15" t="n">
        <v>45695</v>
      </c>
      <c r="B290" s="17" t="n">
        <v>76400</v>
      </c>
      <c r="C290" s="17" t="n">
        <v>32500</v>
      </c>
      <c r="D290" s="17" t="n">
        <v>99900</v>
      </c>
      <c r="E290" s="17" t="n">
        <v>54800</v>
      </c>
    </row>
    <row r="291" customFormat="false" ht="15" hidden="false" customHeight="false" outlineLevel="0" collapsed="false">
      <c r="A291" s="15" t="n">
        <v>45698</v>
      </c>
      <c r="B291" s="17" t="n">
        <v>102700</v>
      </c>
      <c r="C291" s="17" t="n">
        <v>27300</v>
      </c>
      <c r="D291" s="17" t="n">
        <v>103000</v>
      </c>
      <c r="E291" s="17" t="n">
        <v>22300</v>
      </c>
    </row>
    <row r="292" customFormat="false" ht="15" hidden="false" customHeight="false" outlineLevel="0" collapsed="false">
      <c r="A292" s="15" t="n">
        <v>45699</v>
      </c>
      <c r="B292" s="17" t="n">
        <v>98700</v>
      </c>
      <c r="C292" s="17" t="n">
        <v>43800</v>
      </c>
      <c r="D292" s="17" t="n">
        <v>117200</v>
      </c>
      <c r="E292" s="17" t="n">
        <v>19000</v>
      </c>
    </row>
    <row r="293" customFormat="false" ht="15" hidden="false" customHeight="false" outlineLevel="0" collapsed="false">
      <c r="A293" s="15" t="n">
        <v>45700</v>
      </c>
      <c r="B293" s="17" t="n">
        <v>161500</v>
      </c>
      <c r="C293" s="17" t="n">
        <v>35700</v>
      </c>
      <c r="D293" s="17" t="n">
        <v>102100</v>
      </c>
      <c r="E293" s="17" t="n">
        <v>16700</v>
      </c>
    </row>
    <row r="294" customFormat="false" ht="15" hidden="false" customHeight="false" outlineLevel="0" collapsed="false">
      <c r="A294" s="15" t="n">
        <v>45701</v>
      </c>
      <c r="B294" s="17" t="n">
        <v>69800</v>
      </c>
      <c r="C294" s="17" t="n">
        <v>36500</v>
      </c>
      <c r="D294" s="17" t="n">
        <v>98000</v>
      </c>
      <c r="E294" s="17" t="n">
        <v>23600</v>
      </c>
    </row>
    <row r="295" customFormat="false" ht="15" hidden="false" customHeight="false" outlineLevel="0" collapsed="false">
      <c r="A295" s="15" t="n">
        <v>45702</v>
      </c>
      <c r="B295" s="17" t="n">
        <v>82300</v>
      </c>
      <c r="C295" s="17" t="n">
        <v>44900</v>
      </c>
      <c r="D295" s="17" t="n">
        <v>88500</v>
      </c>
      <c r="E295" s="17" t="n">
        <v>29100</v>
      </c>
    </row>
    <row r="296" customFormat="false" ht="15" hidden="false" customHeight="false" outlineLevel="0" collapsed="false">
      <c r="A296" s="15" t="n">
        <v>45705</v>
      </c>
      <c r="B296" s="17" t="n">
        <v>40300</v>
      </c>
      <c r="C296" s="17" t="n">
        <v>65900</v>
      </c>
      <c r="D296" s="17" t="n">
        <v>141400</v>
      </c>
      <c r="E296" s="17" t="n">
        <v>20000</v>
      </c>
    </row>
    <row r="297" customFormat="false" ht="15" hidden="false" customHeight="false" outlineLevel="0" collapsed="false">
      <c r="A297" s="15" t="n">
        <v>45706</v>
      </c>
      <c r="B297" s="17" t="n">
        <v>119800</v>
      </c>
      <c r="C297" s="17" t="n">
        <v>57700</v>
      </c>
      <c r="D297" s="17" t="n">
        <v>83600</v>
      </c>
      <c r="E297" s="17" t="n">
        <v>32400</v>
      </c>
    </row>
    <row r="298" customFormat="false" ht="15" hidden="false" customHeight="false" outlineLevel="0" collapsed="false">
      <c r="A298" s="15" t="n">
        <v>45707</v>
      </c>
      <c r="B298" s="17" t="n">
        <v>89200</v>
      </c>
      <c r="C298" s="17" t="n">
        <v>40600</v>
      </c>
      <c r="D298" s="17" t="n">
        <v>165700</v>
      </c>
      <c r="E298" s="17" t="n">
        <v>29000</v>
      </c>
    </row>
    <row r="299" customFormat="false" ht="15" hidden="false" customHeight="false" outlineLevel="0" collapsed="false">
      <c r="A299" s="15" t="n">
        <v>45708</v>
      </c>
      <c r="B299" s="17" t="n">
        <v>22600</v>
      </c>
      <c r="C299" s="17" t="n">
        <v>58300</v>
      </c>
      <c r="D299" s="17" t="n">
        <v>62200</v>
      </c>
      <c r="E299" s="17" t="n">
        <v>32900</v>
      </c>
    </row>
    <row r="300" customFormat="false" ht="15" hidden="false" customHeight="false" outlineLevel="0" collapsed="false">
      <c r="A300" s="15" t="n">
        <v>45709</v>
      </c>
      <c r="B300" s="17" t="n">
        <v>109900</v>
      </c>
      <c r="C300" s="17" t="n">
        <v>49600</v>
      </c>
      <c r="D300" s="17" t="n">
        <v>149800</v>
      </c>
      <c r="E300" s="17" t="n">
        <v>13400</v>
      </c>
    </row>
    <row r="301" customFormat="false" ht="15" hidden="false" customHeight="false" outlineLevel="0" collapsed="false">
      <c r="A301" s="15" t="n">
        <v>45712</v>
      </c>
      <c r="B301" s="17" t="n">
        <v>81400</v>
      </c>
      <c r="C301" s="17" t="n">
        <v>32800</v>
      </c>
      <c r="D301" s="17" t="n">
        <v>148400</v>
      </c>
      <c r="E301" s="17" t="n">
        <v>23200</v>
      </c>
    </row>
    <row r="302" customFormat="false" ht="15" hidden="false" customHeight="false" outlineLevel="0" collapsed="false">
      <c r="A302" s="15" t="n">
        <v>45713</v>
      </c>
      <c r="B302" s="17" t="n">
        <v>73700</v>
      </c>
      <c r="C302" s="17" t="n">
        <v>44100</v>
      </c>
      <c r="D302" s="17" t="n">
        <v>159700</v>
      </c>
      <c r="E302" s="17" t="n">
        <v>19200</v>
      </c>
    </row>
    <row r="303" customFormat="false" ht="15" hidden="false" customHeight="false" outlineLevel="0" collapsed="false">
      <c r="A303" s="15" t="n">
        <v>45714</v>
      </c>
      <c r="B303" s="17" t="n">
        <v>153600</v>
      </c>
      <c r="C303" s="17" t="n">
        <v>48100</v>
      </c>
      <c r="D303" s="17" t="n">
        <v>74600</v>
      </c>
      <c r="E303" s="17" t="n">
        <v>23800</v>
      </c>
    </row>
    <row r="304" customFormat="false" ht="15" hidden="false" customHeight="false" outlineLevel="0" collapsed="false">
      <c r="A304" s="15" t="n">
        <v>45715</v>
      </c>
      <c r="B304" s="17" t="n">
        <v>70100</v>
      </c>
      <c r="C304" s="17" t="n">
        <v>71700</v>
      </c>
      <c r="D304" s="17" t="n">
        <v>92700</v>
      </c>
      <c r="E304" s="17" t="n">
        <v>16400</v>
      </c>
    </row>
    <row r="305" customFormat="false" ht="15" hidden="false" customHeight="false" outlineLevel="0" collapsed="false">
      <c r="A305" s="15" t="n">
        <v>45716</v>
      </c>
      <c r="B305" s="17" t="n">
        <v>68100</v>
      </c>
      <c r="C305" s="17" t="n">
        <v>36800</v>
      </c>
      <c r="D305" s="17" t="n">
        <v>170700</v>
      </c>
      <c r="E305" s="17" t="n">
        <v>40500</v>
      </c>
    </row>
    <row r="306" customFormat="false" ht="15" hidden="false" customHeight="false" outlineLevel="0" collapsed="false">
      <c r="A306" s="15" t="n">
        <v>45719</v>
      </c>
      <c r="B306" s="17" t="n">
        <v>48400</v>
      </c>
      <c r="C306" s="17" t="n">
        <v>57400</v>
      </c>
      <c r="D306" s="17" t="n">
        <v>83400</v>
      </c>
      <c r="E306" s="17" t="n">
        <v>11500</v>
      </c>
    </row>
    <row r="307" customFormat="false" ht="15" hidden="false" customHeight="false" outlineLevel="0" collapsed="false">
      <c r="A307" s="15" t="n">
        <v>45720</v>
      </c>
      <c r="B307" s="17" t="n">
        <v>47100</v>
      </c>
      <c r="C307" s="17" t="n">
        <v>63600</v>
      </c>
      <c r="D307" s="17" t="n">
        <v>85000</v>
      </c>
      <c r="E307" s="17" t="n">
        <v>15000</v>
      </c>
    </row>
    <row r="308" customFormat="false" ht="15" hidden="false" customHeight="false" outlineLevel="0" collapsed="false">
      <c r="A308" s="15" t="n">
        <v>45721</v>
      </c>
      <c r="B308" s="17" t="n">
        <v>112900</v>
      </c>
      <c r="C308" s="17" t="n">
        <v>50300</v>
      </c>
      <c r="D308" s="17" t="n">
        <v>69400</v>
      </c>
      <c r="E308" s="17" t="n">
        <v>62700</v>
      </c>
    </row>
    <row r="309" customFormat="false" ht="15" hidden="false" customHeight="false" outlineLevel="0" collapsed="false">
      <c r="A309" s="15" t="n">
        <v>45722</v>
      </c>
      <c r="B309" s="17" t="n">
        <v>62500</v>
      </c>
      <c r="C309" s="17" t="n">
        <v>41400</v>
      </c>
      <c r="D309" s="17" t="n">
        <v>129600</v>
      </c>
      <c r="E309" s="17" t="n">
        <v>26600</v>
      </c>
    </row>
    <row r="310" customFormat="false" ht="15" hidden="false" customHeight="false" outlineLevel="0" collapsed="false">
      <c r="A310" s="15" t="n">
        <v>45723</v>
      </c>
      <c r="B310" s="17" t="n">
        <v>73500</v>
      </c>
      <c r="C310" s="17" t="n">
        <v>47100</v>
      </c>
      <c r="D310" s="17" t="n">
        <v>216400</v>
      </c>
      <c r="E310" s="17" t="n">
        <v>31400</v>
      </c>
    </row>
    <row r="311" customFormat="false" ht="15" hidden="false" customHeight="false" outlineLevel="0" collapsed="false">
      <c r="A311" s="15" t="n">
        <v>45726</v>
      </c>
      <c r="B311" s="17" t="n">
        <v>71400</v>
      </c>
      <c r="C311" s="17" t="n">
        <v>23800</v>
      </c>
      <c r="D311" s="17" t="n">
        <v>191700</v>
      </c>
      <c r="E311" s="17" t="n">
        <v>14400</v>
      </c>
    </row>
    <row r="312" customFormat="false" ht="15" hidden="false" customHeight="false" outlineLevel="0" collapsed="false">
      <c r="A312" s="15" t="n">
        <v>45727</v>
      </c>
      <c r="B312" s="17" t="n">
        <v>121100</v>
      </c>
      <c r="C312" s="17" t="n">
        <v>61000</v>
      </c>
      <c r="D312" s="17" t="n">
        <v>108000</v>
      </c>
      <c r="E312" s="17" t="n">
        <v>26800</v>
      </c>
    </row>
    <row r="313" customFormat="false" ht="15" hidden="false" customHeight="false" outlineLevel="0" collapsed="false">
      <c r="A313" s="15" t="n">
        <v>45728</v>
      </c>
      <c r="B313" s="17" t="n">
        <v>72500</v>
      </c>
      <c r="C313" s="17" t="n">
        <v>15900</v>
      </c>
      <c r="D313" s="17" t="n">
        <v>108400</v>
      </c>
      <c r="E313" s="17" t="n">
        <v>13800</v>
      </c>
    </row>
    <row r="314" customFormat="false" ht="15" hidden="false" customHeight="false" outlineLevel="0" collapsed="false">
      <c r="A314" s="15" t="n">
        <v>45729</v>
      </c>
      <c r="B314" s="17" t="n">
        <v>111900</v>
      </c>
      <c r="C314" s="17" t="n">
        <v>32200</v>
      </c>
      <c r="D314" s="17" t="n">
        <v>86700</v>
      </c>
      <c r="E314" s="17" t="n">
        <v>19200</v>
      </c>
    </row>
    <row r="315" customFormat="false" ht="15" hidden="false" customHeight="false" outlineLevel="0" collapsed="false">
      <c r="A315" s="15" t="n">
        <v>45730</v>
      </c>
      <c r="B315" s="17" t="n">
        <v>115400</v>
      </c>
      <c r="C315" s="17" t="n">
        <v>34100</v>
      </c>
      <c r="D315" s="17" t="n">
        <v>79200</v>
      </c>
      <c r="E315" s="17" t="n">
        <v>20200</v>
      </c>
    </row>
    <row r="316" customFormat="false" ht="15" hidden="false" customHeight="false" outlineLevel="0" collapsed="false">
      <c r="A316" s="15" t="n">
        <v>45733</v>
      </c>
      <c r="B316" s="17" t="n">
        <v>78200</v>
      </c>
      <c r="C316" s="17" t="n">
        <v>42500</v>
      </c>
      <c r="D316" s="17" t="n">
        <v>141400</v>
      </c>
      <c r="E316" s="17" t="n">
        <v>21600</v>
      </c>
    </row>
    <row r="317" customFormat="false" ht="15" hidden="false" customHeight="false" outlineLevel="0" collapsed="false">
      <c r="A317" s="15" t="n">
        <v>45734</v>
      </c>
      <c r="B317" s="17" t="n">
        <v>146700</v>
      </c>
      <c r="C317" s="17" t="n">
        <v>49300</v>
      </c>
      <c r="D317" s="17" t="n">
        <v>118600</v>
      </c>
      <c r="E317" s="17" t="n">
        <v>18400</v>
      </c>
    </row>
    <row r="318" customFormat="false" ht="15" hidden="false" customHeight="false" outlineLevel="0" collapsed="false">
      <c r="A318" s="15" t="n">
        <v>45735</v>
      </c>
      <c r="B318" s="17" t="n">
        <v>51000</v>
      </c>
      <c r="C318" s="17" t="n">
        <v>41300</v>
      </c>
      <c r="D318" s="17" t="n">
        <v>83400</v>
      </c>
      <c r="E318" s="17" t="n">
        <v>11100</v>
      </c>
    </row>
    <row r="319" customFormat="false" ht="15" hidden="false" customHeight="false" outlineLevel="0" collapsed="false">
      <c r="A319" s="15" t="n">
        <v>45736</v>
      </c>
      <c r="B319" s="17" t="n">
        <v>74900</v>
      </c>
      <c r="C319" s="17" t="n">
        <v>53400</v>
      </c>
      <c r="D319" s="17" t="n">
        <v>62100</v>
      </c>
      <c r="E319" s="17" t="n">
        <v>20200</v>
      </c>
    </row>
    <row r="320" customFormat="false" ht="15" hidden="false" customHeight="false" outlineLevel="0" collapsed="false">
      <c r="A320" s="15" t="n">
        <v>45737</v>
      </c>
      <c r="B320" s="17" t="n">
        <v>82100</v>
      </c>
      <c r="C320" s="17" t="n">
        <v>50500</v>
      </c>
      <c r="D320" s="17" t="n">
        <v>208900</v>
      </c>
      <c r="E320" s="17" t="n">
        <v>18100</v>
      </c>
    </row>
    <row r="321" customFormat="false" ht="15" hidden="false" customHeight="false" outlineLevel="0" collapsed="false">
      <c r="A321" s="15" t="n">
        <v>45740</v>
      </c>
      <c r="B321" s="17" t="n">
        <v>182600</v>
      </c>
      <c r="C321" s="17" t="n">
        <v>53700</v>
      </c>
      <c r="D321" s="17" t="n">
        <v>133500</v>
      </c>
      <c r="E321" s="17" t="n">
        <v>30900</v>
      </c>
    </row>
    <row r="322" customFormat="false" ht="15" hidden="false" customHeight="false" outlineLevel="0" collapsed="false">
      <c r="A322" s="15" t="n">
        <v>45741</v>
      </c>
      <c r="B322" s="17" t="n">
        <v>193400</v>
      </c>
      <c r="C322" s="17" t="n">
        <v>29700</v>
      </c>
      <c r="D322" s="17" t="n">
        <v>104600</v>
      </c>
      <c r="E322" s="17" t="n">
        <v>39100</v>
      </c>
    </row>
    <row r="323" customFormat="false" ht="15" hidden="false" customHeight="false" outlineLevel="0" collapsed="false">
      <c r="A323" s="15" t="n">
        <v>45742</v>
      </c>
      <c r="B323" s="17" t="n">
        <v>60300</v>
      </c>
      <c r="C323" s="17" t="n">
        <v>63100</v>
      </c>
      <c r="D323" s="17" t="n">
        <v>158100</v>
      </c>
      <c r="E323" s="17" t="n">
        <v>35200</v>
      </c>
    </row>
    <row r="324" customFormat="false" ht="15" hidden="false" customHeight="false" outlineLevel="0" collapsed="false">
      <c r="A324" s="15" t="n">
        <v>45743</v>
      </c>
      <c r="B324" s="17" t="n">
        <v>97400</v>
      </c>
      <c r="C324" s="17" t="n">
        <v>94700</v>
      </c>
      <c r="D324" s="17" t="n">
        <v>99900</v>
      </c>
      <c r="E324" s="17" t="n">
        <v>15200</v>
      </c>
    </row>
    <row r="325" customFormat="false" ht="15" hidden="false" customHeight="false" outlineLevel="0" collapsed="false">
      <c r="A325" s="15" t="n">
        <v>45744</v>
      </c>
      <c r="B325" s="17" t="n">
        <v>167400</v>
      </c>
      <c r="C325" s="17" t="n">
        <v>57700</v>
      </c>
      <c r="D325" s="17" t="n">
        <v>89800</v>
      </c>
      <c r="E325" s="17" t="n">
        <v>24400</v>
      </c>
    </row>
    <row r="326" customFormat="false" ht="15" hidden="false" customHeight="false" outlineLevel="0" collapsed="false">
      <c r="A326" s="15" t="n">
        <v>45747</v>
      </c>
      <c r="B326" s="17" t="n">
        <v>60400</v>
      </c>
      <c r="C326" s="17" t="n">
        <v>27700</v>
      </c>
      <c r="D326" s="17" t="n">
        <v>156500</v>
      </c>
      <c r="E326" s="17" t="n">
        <v>14300</v>
      </c>
    </row>
    <row r="327" customFormat="false" ht="15" hidden="false" customHeight="false" outlineLevel="0" collapsed="false">
      <c r="A327" s="15" t="n">
        <v>45748</v>
      </c>
      <c r="B327" s="17" t="n">
        <v>83800</v>
      </c>
      <c r="C327" s="17" t="n">
        <v>15800</v>
      </c>
      <c r="D327" s="17" t="n">
        <v>31400</v>
      </c>
      <c r="E327" s="17" t="n">
        <v>29800</v>
      </c>
    </row>
    <row r="328" customFormat="false" ht="15" hidden="false" customHeight="false" outlineLevel="0" collapsed="false">
      <c r="A328" s="15" t="n">
        <v>45749</v>
      </c>
      <c r="B328" s="17" t="n">
        <v>207600</v>
      </c>
      <c r="C328" s="17" t="n">
        <v>41000</v>
      </c>
      <c r="D328" s="17" t="n">
        <v>205900</v>
      </c>
      <c r="E328" s="17" t="n">
        <v>14000</v>
      </c>
    </row>
    <row r="329" customFormat="false" ht="15" hidden="false" customHeight="false" outlineLevel="0" collapsed="false">
      <c r="A329" s="15" t="n">
        <v>45750</v>
      </c>
      <c r="B329" s="17" t="n">
        <v>66600</v>
      </c>
      <c r="C329" s="17" t="n">
        <v>75200</v>
      </c>
      <c r="D329" s="17" t="n">
        <v>112800</v>
      </c>
      <c r="E329" s="17" t="n">
        <v>28200</v>
      </c>
    </row>
    <row r="330" customFormat="false" ht="15" hidden="false" customHeight="false" outlineLevel="0" collapsed="false">
      <c r="A330" s="15" t="n">
        <v>45751</v>
      </c>
      <c r="B330" s="17" t="n">
        <v>95100</v>
      </c>
      <c r="C330" s="17" t="n">
        <v>61800</v>
      </c>
      <c r="D330" s="17" t="n">
        <v>155000</v>
      </c>
      <c r="E330" s="17" t="n">
        <v>19200</v>
      </c>
    </row>
    <row r="331" customFormat="false" ht="15" hidden="false" customHeight="false" outlineLevel="0" collapsed="false">
      <c r="A331" s="15" t="n">
        <v>45754</v>
      </c>
      <c r="B331" s="17" t="n">
        <v>70200</v>
      </c>
      <c r="C331" s="17" t="n">
        <v>32000</v>
      </c>
      <c r="D331" s="17" t="n">
        <v>111000</v>
      </c>
      <c r="E331" s="17" t="n">
        <v>18500</v>
      </c>
    </row>
    <row r="332" customFormat="false" ht="15" hidden="false" customHeight="false" outlineLevel="0" collapsed="false">
      <c r="A332" s="15" t="n">
        <v>45755</v>
      </c>
      <c r="B332" s="17" t="n">
        <v>42600</v>
      </c>
      <c r="C332" s="17" t="n">
        <v>35300</v>
      </c>
      <c r="D332" s="17" t="n">
        <v>78500</v>
      </c>
      <c r="E332" s="17" t="n">
        <v>21000</v>
      </c>
    </row>
    <row r="333" customFormat="false" ht="15" hidden="false" customHeight="false" outlineLevel="0" collapsed="false">
      <c r="A333" s="15" t="n">
        <v>45756</v>
      </c>
      <c r="B333" s="17" t="n">
        <v>115600</v>
      </c>
      <c r="C333" s="17" t="n">
        <v>46700</v>
      </c>
      <c r="D333" s="17" t="n">
        <v>115600</v>
      </c>
      <c r="E333" s="17" t="n">
        <v>44200</v>
      </c>
    </row>
    <row r="334" customFormat="false" ht="15" hidden="false" customHeight="false" outlineLevel="0" collapsed="false">
      <c r="A334" s="15" t="n">
        <v>45757</v>
      </c>
      <c r="B334" s="17" t="n">
        <v>71700</v>
      </c>
      <c r="C334" s="17" t="n">
        <v>52400</v>
      </c>
      <c r="D334" s="17" t="n">
        <v>164500</v>
      </c>
      <c r="E334" s="17" t="n">
        <v>20800</v>
      </c>
    </row>
    <row r="335" customFormat="false" ht="15" hidden="false" customHeight="false" outlineLevel="0" collapsed="false">
      <c r="A335" s="15" t="n">
        <v>45758</v>
      </c>
      <c r="B335" s="17" t="n">
        <v>122900</v>
      </c>
      <c r="C335" s="17" t="n">
        <v>63600</v>
      </c>
      <c r="D335" s="17" t="n">
        <v>134700</v>
      </c>
      <c r="E335" s="17" t="n">
        <v>16900</v>
      </c>
    </row>
    <row r="336" customFormat="false" ht="15" hidden="false" customHeight="false" outlineLevel="0" collapsed="false">
      <c r="A336" s="15" t="n">
        <v>45761</v>
      </c>
      <c r="B336" s="17" t="n">
        <v>73700</v>
      </c>
      <c r="C336" s="17" t="n">
        <v>52200</v>
      </c>
      <c r="D336" s="17" t="n">
        <v>133300</v>
      </c>
      <c r="E336" s="17" t="n">
        <v>14800</v>
      </c>
    </row>
    <row r="337" customFormat="false" ht="15" hidden="false" customHeight="false" outlineLevel="0" collapsed="false">
      <c r="A337" s="15" t="n">
        <v>45762</v>
      </c>
      <c r="B337" s="17" t="n">
        <v>101800</v>
      </c>
      <c r="C337" s="17" t="n">
        <v>68500</v>
      </c>
      <c r="D337" s="17" t="n">
        <v>142400</v>
      </c>
      <c r="E337" s="17" t="n">
        <v>39300</v>
      </c>
    </row>
    <row r="338" customFormat="false" ht="15" hidden="false" customHeight="false" outlineLevel="0" collapsed="false">
      <c r="A338" s="15" t="n">
        <v>45763</v>
      </c>
      <c r="B338" s="17" t="n">
        <v>67300</v>
      </c>
      <c r="C338" s="17" t="n">
        <v>98000</v>
      </c>
      <c r="D338" s="17" t="n">
        <v>120500</v>
      </c>
      <c r="E338" s="17" t="n">
        <v>17700</v>
      </c>
    </row>
    <row r="339" customFormat="false" ht="15" hidden="false" customHeight="false" outlineLevel="0" collapsed="false">
      <c r="A339" s="15" t="n">
        <v>45764</v>
      </c>
      <c r="B339" s="17" t="n">
        <v>57300</v>
      </c>
      <c r="C339" s="17" t="n">
        <v>61700</v>
      </c>
      <c r="D339" s="17" t="n">
        <v>179000</v>
      </c>
      <c r="E339" s="17" t="n">
        <v>10200</v>
      </c>
    </row>
    <row r="340" customFormat="false" ht="15" hidden="false" customHeight="false" outlineLevel="0" collapsed="false">
      <c r="A340" s="15" t="n">
        <v>45765</v>
      </c>
      <c r="B340" s="17" t="n">
        <v>97400</v>
      </c>
      <c r="C340" s="17" t="n">
        <v>61200</v>
      </c>
      <c r="D340" s="17" t="n">
        <v>141300</v>
      </c>
      <c r="E340" s="17" t="n">
        <v>10400</v>
      </c>
    </row>
    <row r="341" customFormat="false" ht="15" hidden="false" customHeight="false" outlineLevel="0" collapsed="false">
      <c r="A341" s="15" t="n">
        <v>45768</v>
      </c>
      <c r="B341" s="17" t="n">
        <v>106700</v>
      </c>
      <c r="C341" s="17" t="n">
        <v>38800</v>
      </c>
      <c r="D341" s="17" t="n">
        <v>84200</v>
      </c>
      <c r="E341" s="17" t="n">
        <v>17000</v>
      </c>
    </row>
    <row r="342" customFormat="false" ht="15" hidden="false" customHeight="false" outlineLevel="0" collapsed="false">
      <c r="A342" s="15" t="n">
        <v>45769</v>
      </c>
      <c r="B342" s="17" t="n">
        <v>49700</v>
      </c>
      <c r="C342" s="17" t="n">
        <v>30800</v>
      </c>
      <c r="D342" s="17" t="n">
        <v>130900</v>
      </c>
      <c r="E342" s="17" t="n">
        <v>24600</v>
      </c>
    </row>
    <row r="343" customFormat="false" ht="15" hidden="false" customHeight="false" outlineLevel="0" collapsed="false">
      <c r="A343" s="15" t="n">
        <v>45770</v>
      </c>
      <c r="B343" s="17" t="n">
        <v>75100</v>
      </c>
      <c r="C343" s="17" t="n">
        <v>45600</v>
      </c>
      <c r="D343" s="17" t="n">
        <v>79800</v>
      </c>
      <c r="E343" s="17" t="n">
        <v>14900</v>
      </c>
    </row>
    <row r="344" customFormat="false" ht="15" hidden="false" customHeight="false" outlineLevel="0" collapsed="false">
      <c r="A344" s="15" t="n">
        <v>45771</v>
      </c>
      <c r="B344" s="17" t="n">
        <v>110500</v>
      </c>
      <c r="C344" s="17" t="n">
        <v>47000</v>
      </c>
      <c r="D344" s="17" t="n">
        <v>182000</v>
      </c>
      <c r="E344" s="17" t="n">
        <v>16600</v>
      </c>
    </row>
    <row r="345" customFormat="false" ht="15" hidden="false" customHeight="false" outlineLevel="0" collapsed="false">
      <c r="A345" s="15" t="n">
        <v>45772</v>
      </c>
      <c r="B345" s="17" t="n">
        <v>80700</v>
      </c>
      <c r="C345" s="17" t="n">
        <v>46500</v>
      </c>
      <c r="D345" s="17" t="n">
        <v>91000</v>
      </c>
      <c r="E345" s="17" t="n">
        <v>22500</v>
      </c>
    </row>
    <row r="346" customFormat="false" ht="15" hidden="false" customHeight="false" outlineLevel="0" collapsed="false">
      <c r="A346" s="15" t="n">
        <v>45775</v>
      </c>
      <c r="B346" s="17" t="n">
        <v>48800</v>
      </c>
      <c r="C346" s="17" t="n">
        <v>43600</v>
      </c>
      <c r="D346" s="17" t="n">
        <v>73800</v>
      </c>
      <c r="E346" s="17" t="n">
        <v>35500</v>
      </c>
    </row>
    <row r="347" customFormat="false" ht="15" hidden="false" customHeight="false" outlineLevel="0" collapsed="false">
      <c r="A347" s="15" t="n">
        <v>45776</v>
      </c>
      <c r="B347" s="17" t="n">
        <v>109600</v>
      </c>
      <c r="C347" s="17" t="n">
        <v>61100</v>
      </c>
      <c r="D347" s="17" t="n">
        <v>113400</v>
      </c>
      <c r="E347" s="17" t="n">
        <v>24800</v>
      </c>
    </row>
    <row r="348" customFormat="false" ht="15" hidden="false" customHeight="false" outlineLevel="0" collapsed="false">
      <c r="A348" s="15" t="n">
        <v>45777</v>
      </c>
      <c r="B348" s="17" t="n">
        <v>95400</v>
      </c>
      <c r="C348" s="17" t="n">
        <v>26000</v>
      </c>
      <c r="D348" s="17" t="n">
        <v>114400</v>
      </c>
      <c r="E348" s="17" t="n">
        <v>39800</v>
      </c>
    </row>
    <row r="349" customFormat="false" ht="15" hidden="false" customHeight="false" outlineLevel="0" collapsed="false">
      <c r="A349" s="15" t="n">
        <v>45778</v>
      </c>
      <c r="B349" s="17" t="n">
        <v>57400</v>
      </c>
      <c r="C349" s="17" t="n">
        <v>42700</v>
      </c>
      <c r="D349" s="17" t="n">
        <v>88900</v>
      </c>
      <c r="E349" s="17" t="n">
        <v>12400</v>
      </c>
    </row>
    <row r="350" customFormat="false" ht="15" hidden="false" customHeight="false" outlineLevel="0" collapsed="false">
      <c r="A350" s="15" t="n">
        <v>45779</v>
      </c>
      <c r="B350" s="17" t="n">
        <v>78100</v>
      </c>
      <c r="C350" s="17" t="n">
        <v>34500</v>
      </c>
      <c r="D350" s="17" t="n">
        <v>177900</v>
      </c>
      <c r="E350" s="17" t="n">
        <v>14700</v>
      </c>
    </row>
    <row r="351" customFormat="false" ht="15" hidden="false" customHeight="false" outlineLevel="0" collapsed="false">
      <c r="A351" s="15" t="n">
        <v>45782</v>
      </c>
      <c r="B351" s="17" t="n">
        <v>94400</v>
      </c>
      <c r="C351" s="17" t="n">
        <v>90500</v>
      </c>
      <c r="D351" s="17" t="n">
        <v>146900</v>
      </c>
      <c r="E351" s="17" t="n">
        <v>65400</v>
      </c>
    </row>
    <row r="352" customFormat="false" ht="15" hidden="false" customHeight="false" outlineLevel="0" collapsed="false">
      <c r="A352" s="15" t="n">
        <v>45783</v>
      </c>
      <c r="B352" s="17" t="n">
        <v>71200</v>
      </c>
      <c r="C352" s="17" t="n">
        <v>32600</v>
      </c>
      <c r="D352" s="17" t="n">
        <v>204600</v>
      </c>
      <c r="E352" s="17" t="n">
        <v>32800</v>
      </c>
    </row>
    <row r="353" customFormat="false" ht="15" hidden="false" customHeight="false" outlineLevel="0" collapsed="false">
      <c r="A353" s="15" t="n">
        <v>45784</v>
      </c>
      <c r="B353" s="17" t="n">
        <v>158000</v>
      </c>
      <c r="C353" s="17" t="n">
        <v>112200</v>
      </c>
      <c r="D353" s="17" t="n">
        <v>230100</v>
      </c>
      <c r="E353" s="17" t="n">
        <v>53100</v>
      </c>
    </row>
    <row r="354" customFormat="false" ht="15" hidden="false" customHeight="false" outlineLevel="0" collapsed="false">
      <c r="A354" s="15" t="n">
        <v>45785</v>
      </c>
      <c r="B354" s="17" t="n">
        <v>121500</v>
      </c>
      <c r="C354" s="17" t="n">
        <v>87200</v>
      </c>
      <c r="D354" s="17" t="n">
        <v>132500</v>
      </c>
      <c r="E354" s="17" t="n">
        <v>17100</v>
      </c>
    </row>
    <row r="355" customFormat="false" ht="15" hidden="false" customHeight="false" outlineLevel="0" collapsed="false">
      <c r="A355" s="15" t="n">
        <v>45786</v>
      </c>
      <c r="B355" s="17" t="n">
        <v>81300</v>
      </c>
      <c r="C355" s="17" t="n">
        <v>41800</v>
      </c>
      <c r="D355" s="17" t="n">
        <v>120200</v>
      </c>
      <c r="E355" s="17" t="n">
        <v>10400</v>
      </c>
    </row>
    <row r="356" customFormat="false" ht="15" hidden="false" customHeight="false" outlineLevel="0" collapsed="false">
      <c r="A356" s="15" t="n">
        <v>45789</v>
      </c>
      <c r="B356" s="17" t="n">
        <v>90700</v>
      </c>
      <c r="C356" s="17" t="n">
        <v>29400</v>
      </c>
      <c r="D356" s="17" t="n">
        <v>79100</v>
      </c>
      <c r="E356" s="17" t="n">
        <v>23900</v>
      </c>
    </row>
    <row r="357" customFormat="false" ht="15" hidden="false" customHeight="false" outlineLevel="0" collapsed="false">
      <c r="A357" s="15" t="n">
        <v>45790</v>
      </c>
      <c r="B357" s="17" t="n">
        <v>104800</v>
      </c>
      <c r="C357" s="17" t="n">
        <v>20600</v>
      </c>
      <c r="D357" s="17" t="n">
        <v>101900</v>
      </c>
      <c r="E357" s="17" t="n">
        <v>14100</v>
      </c>
    </row>
    <row r="358" customFormat="false" ht="15" hidden="false" customHeight="false" outlineLevel="0" collapsed="false">
      <c r="A358" s="15" t="n">
        <v>45791</v>
      </c>
      <c r="B358" s="17" t="n">
        <v>46800</v>
      </c>
      <c r="C358" s="17" t="n">
        <v>43800</v>
      </c>
      <c r="D358" s="17" t="n">
        <v>127500</v>
      </c>
      <c r="E358" s="17" t="n">
        <v>14200</v>
      </c>
    </row>
    <row r="359" customFormat="false" ht="15" hidden="false" customHeight="false" outlineLevel="0" collapsed="false">
      <c r="A359" s="15" t="n">
        <v>45792</v>
      </c>
      <c r="B359" s="17" t="n">
        <v>117500</v>
      </c>
      <c r="C359" s="17" t="n">
        <v>61700</v>
      </c>
      <c r="D359" s="17" t="n">
        <v>150300</v>
      </c>
      <c r="E359" s="17" t="n">
        <v>21000</v>
      </c>
    </row>
    <row r="360" customFormat="false" ht="15" hidden="false" customHeight="false" outlineLevel="0" collapsed="false">
      <c r="A360" s="15" t="n">
        <v>45793</v>
      </c>
      <c r="B360" s="17" t="n">
        <v>148600</v>
      </c>
      <c r="C360" s="17" t="n">
        <v>52000</v>
      </c>
      <c r="D360" s="17" t="n">
        <v>159000</v>
      </c>
      <c r="E360" s="17" t="n">
        <v>34100</v>
      </c>
    </row>
    <row r="361" customFormat="false" ht="15" hidden="false" customHeight="false" outlineLevel="0" collapsed="false">
      <c r="A361" s="15" t="n">
        <v>45796</v>
      </c>
      <c r="B361" s="17" t="n">
        <v>83200</v>
      </c>
      <c r="C361" s="17" t="n">
        <v>62300</v>
      </c>
      <c r="D361" s="17" t="n">
        <v>60200</v>
      </c>
      <c r="E361" s="17" t="n">
        <v>19300</v>
      </c>
    </row>
    <row r="362" customFormat="false" ht="15" hidden="false" customHeight="false" outlineLevel="0" collapsed="false">
      <c r="A362" s="15" t="n">
        <v>45797</v>
      </c>
      <c r="B362" s="17" t="n">
        <v>92300</v>
      </c>
      <c r="C362" s="17" t="n">
        <v>50600</v>
      </c>
      <c r="D362" s="17" t="n">
        <v>199400</v>
      </c>
      <c r="E362" s="17" t="n">
        <v>27800</v>
      </c>
    </row>
    <row r="363" customFormat="false" ht="15" hidden="false" customHeight="false" outlineLevel="0" collapsed="false">
      <c r="A363" s="15" t="n">
        <v>45798</v>
      </c>
      <c r="B363" s="17" t="n">
        <v>54200</v>
      </c>
      <c r="C363" s="17" t="n">
        <v>38000</v>
      </c>
      <c r="D363" s="17" t="n">
        <v>153000</v>
      </c>
      <c r="E363" s="17" t="n">
        <v>19300</v>
      </c>
    </row>
    <row r="364" customFormat="false" ht="15" hidden="false" customHeight="false" outlineLevel="0" collapsed="false">
      <c r="A364" s="15" t="n">
        <v>45799</v>
      </c>
      <c r="B364" s="17" t="n">
        <v>125900</v>
      </c>
      <c r="C364" s="17" t="n">
        <v>57000</v>
      </c>
      <c r="D364" s="17" t="n">
        <v>166900</v>
      </c>
      <c r="E364" s="17" t="n">
        <v>31600</v>
      </c>
    </row>
    <row r="365" customFormat="false" ht="15" hidden="false" customHeight="false" outlineLevel="0" collapsed="false">
      <c r="A365" s="15" t="n">
        <v>45800</v>
      </c>
      <c r="B365" s="17" t="n">
        <v>69700</v>
      </c>
      <c r="C365" s="17" t="n">
        <v>46500</v>
      </c>
      <c r="D365" s="17" t="n">
        <v>102600</v>
      </c>
      <c r="E365" s="17" t="n">
        <v>13800</v>
      </c>
    </row>
    <row r="366" customFormat="false" ht="15" hidden="false" customHeight="false" outlineLevel="0" collapsed="false">
      <c r="A366" s="15" t="n">
        <v>45803</v>
      </c>
      <c r="B366" s="17" t="n">
        <v>141100</v>
      </c>
      <c r="C366" s="17" t="n">
        <v>31000</v>
      </c>
      <c r="D366" s="17" t="n">
        <v>117700</v>
      </c>
      <c r="E366" s="17" t="n">
        <v>59000</v>
      </c>
    </row>
    <row r="367" customFormat="false" ht="15" hidden="false" customHeight="false" outlineLevel="0" collapsed="false">
      <c r="A367" s="15" t="n">
        <v>45804</v>
      </c>
      <c r="B367" s="17" t="n">
        <v>60100</v>
      </c>
      <c r="C367" s="17" t="n">
        <v>67700</v>
      </c>
      <c r="D367" s="17" t="n">
        <v>149800</v>
      </c>
      <c r="E367" s="17" t="n">
        <v>12700</v>
      </c>
    </row>
    <row r="368" customFormat="false" ht="15" hidden="false" customHeight="false" outlineLevel="0" collapsed="false">
      <c r="A368" s="15" t="n">
        <v>45805</v>
      </c>
      <c r="B368" s="17" t="n">
        <v>117300</v>
      </c>
      <c r="C368" s="17" t="n">
        <v>40700</v>
      </c>
      <c r="D368" s="17" t="n">
        <v>69000</v>
      </c>
      <c r="E368" s="17" t="n">
        <v>42400</v>
      </c>
    </row>
    <row r="369" customFormat="false" ht="15" hidden="false" customHeight="false" outlineLevel="0" collapsed="false">
      <c r="A369" s="15" t="n">
        <v>45806</v>
      </c>
      <c r="B369" s="17" t="n">
        <v>62800</v>
      </c>
      <c r="C369" s="17" t="n">
        <v>31900</v>
      </c>
      <c r="D369" s="17" t="n">
        <v>129600</v>
      </c>
      <c r="E369" s="17" t="n">
        <v>13500</v>
      </c>
    </row>
    <row r="370" customFormat="false" ht="15" hidden="false" customHeight="false" outlineLevel="0" collapsed="false">
      <c r="A370" s="15" t="n">
        <v>45807</v>
      </c>
      <c r="B370" s="17" t="n">
        <v>72100</v>
      </c>
      <c r="C370" s="17" t="n">
        <v>35800</v>
      </c>
      <c r="D370" s="17" t="n">
        <v>117100</v>
      </c>
      <c r="E370" s="17" t="n">
        <v>25800</v>
      </c>
    </row>
    <row r="371" customFormat="false" ht="15" hidden="false" customHeight="false" outlineLevel="0" collapsed="false">
      <c r="A371" s="15" t="n">
        <v>45810</v>
      </c>
      <c r="B371" s="17" t="n">
        <v>86400</v>
      </c>
      <c r="C371" s="17" t="n">
        <v>43800</v>
      </c>
      <c r="D371" s="17" t="n">
        <v>49100</v>
      </c>
      <c r="E371" s="17" t="n">
        <v>25700</v>
      </c>
    </row>
    <row r="372" customFormat="false" ht="15" hidden="false" customHeight="false" outlineLevel="0" collapsed="false">
      <c r="A372" s="15" t="n">
        <v>45811</v>
      </c>
      <c r="B372" s="17" t="n">
        <v>94900</v>
      </c>
      <c r="C372" s="17" t="n">
        <v>22300</v>
      </c>
      <c r="D372" s="17" t="n">
        <v>263700</v>
      </c>
      <c r="E372" s="17" t="n">
        <v>13000</v>
      </c>
    </row>
    <row r="373" customFormat="false" ht="15" hidden="false" customHeight="false" outlineLevel="0" collapsed="false">
      <c r="A373" s="15" t="n">
        <v>45812</v>
      </c>
      <c r="B373" s="17" t="n">
        <v>88700</v>
      </c>
      <c r="C373" s="17" t="n">
        <v>65500</v>
      </c>
      <c r="D373" s="17" t="n">
        <v>66000</v>
      </c>
      <c r="E373" s="17" t="n">
        <v>18400</v>
      </c>
    </row>
    <row r="374" customFormat="false" ht="15" hidden="false" customHeight="false" outlineLevel="0" collapsed="false">
      <c r="A374" s="15" t="n">
        <v>45813</v>
      </c>
      <c r="B374" s="17" t="n">
        <v>83300</v>
      </c>
      <c r="C374" s="17" t="n">
        <v>42100</v>
      </c>
      <c r="D374" s="17" t="n">
        <v>111600</v>
      </c>
      <c r="E374" s="17" t="n">
        <v>13700</v>
      </c>
    </row>
    <row r="375" customFormat="false" ht="15" hidden="false" customHeight="false" outlineLevel="0" collapsed="false">
      <c r="A375" s="15" t="n">
        <v>45814</v>
      </c>
      <c r="B375" s="17" t="n">
        <v>70000</v>
      </c>
      <c r="C375" s="17" t="n">
        <v>20900</v>
      </c>
      <c r="D375" s="17" t="n">
        <v>110800</v>
      </c>
      <c r="E375" s="17" t="n">
        <v>11500</v>
      </c>
    </row>
    <row r="376" customFormat="false" ht="15" hidden="false" customHeight="false" outlineLevel="0" collapsed="false">
      <c r="A376" s="15" t="n">
        <v>45817</v>
      </c>
      <c r="B376" s="17" t="n">
        <v>55800</v>
      </c>
      <c r="C376" s="17" t="n">
        <v>61100</v>
      </c>
      <c r="D376" s="17" t="n">
        <v>166900</v>
      </c>
      <c r="E376" s="17" t="n">
        <v>18700</v>
      </c>
    </row>
    <row r="377" customFormat="false" ht="15" hidden="false" customHeight="false" outlineLevel="0" collapsed="false">
      <c r="A377" s="15" t="n">
        <v>45818</v>
      </c>
      <c r="B377" s="17" t="n">
        <v>54600</v>
      </c>
      <c r="C377" s="17" t="n">
        <v>26200</v>
      </c>
      <c r="D377" s="17" t="n">
        <v>156200</v>
      </c>
      <c r="E377" s="17" t="n">
        <v>12100</v>
      </c>
    </row>
    <row r="378" customFormat="false" ht="15" hidden="false" customHeight="false" outlineLevel="0" collapsed="false">
      <c r="A378" s="15" t="n">
        <v>45819</v>
      </c>
      <c r="B378" s="17" t="n">
        <v>72500</v>
      </c>
      <c r="C378" s="17" t="n">
        <v>49900</v>
      </c>
      <c r="D378" s="17" t="n">
        <v>55800</v>
      </c>
      <c r="E378" s="17" t="n">
        <v>14500</v>
      </c>
    </row>
    <row r="379" customFormat="false" ht="15" hidden="false" customHeight="false" outlineLevel="0" collapsed="false">
      <c r="A379" s="15" t="n">
        <v>45820</v>
      </c>
      <c r="B379" s="17" t="n">
        <v>67900</v>
      </c>
      <c r="C379" s="17" t="n">
        <v>47600</v>
      </c>
      <c r="D379" s="17" t="n">
        <v>153100</v>
      </c>
      <c r="E379" s="17" t="n">
        <v>21800</v>
      </c>
    </row>
    <row r="380" customFormat="false" ht="15" hidden="false" customHeight="false" outlineLevel="0" collapsed="false">
      <c r="A380" s="15" t="n">
        <v>45821</v>
      </c>
      <c r="B380" s="17" t="n">
        <v>63800</v>
      </c>
      <c r="C380" s="17" t="n">
        <v>48300</v>
      </c>
      <c r="D380" s="17" t="n">
        <v>149700</v>
      </c>
      <c r="E380" s="17" t="n">
        <v>18600</v>
      </c>
    </row>
    <row r="381" customFormat="false" ht="15" hidden="false" customHeight="false" outlineLevel="0" collapsed="false">
      <c r="A381" s="15" t="n">
        <v>45824</v>
      </c>
      <c r="B381" s="17" t="n">
        <v>135800</v>
      </c>
      <c r="C381" s="17" t="n">
        <v>62100</v>
      </c>
      <c r="D381" s="17" t="n">
        <v>210000</v>
      </c>
      <c r="E381" s="17" t="n">
        <v>10500</v>
      </c>
    </row>
    <row r="382" customFormat="false" ht="15" hidden="false" customHeight="false" outlineLevel="0" collapsed="false">
      <c r="A382" s="15" t="n">
        <v>45825</v>
      </c>
      <c r="B382" s="17" t="n">
        <v>102500</v>
      </c>
      <c r="C382" s="17" t="n">
        <v>42000</v>
      </c>
      <c r="D382" s="17" t="n">
        <v>98600</v>
      </c>
      <c r="E382" s="17" t="n">
        <v>14000</v>
      </c>
    </row>
    <row r="383" customFormat="false" ht="15" hidden="false" customHeight="false" outlineLevel="0" collapsed="false">
      <c r="A383" s="15" t="n">
        <v>45826</v>
      </c>
      <c r="B383" s="17" t="n">
        <v>71500</v>
      </c>
      <c r="C383" s="17" t="n">
        <v>61400</v>
      </c>
      <c r="D383" s="17" t="n">
        <v>131500</v>
      </c>
      <c r="E383" s="17" t="n">
        <v>23100</v>
      </c>
    </row>
    <row r="384" customFormat="false" ht="15" hidden="false" customHeight="false" outlineLevel="0" collapsed="false">
      <c r="A384" s="15" t="n">
        <v>45827</v>
      </c>
      <c r="B384" s="17" t="n">
        <v>77800</v>
      </c>
      <c r="C384" s="17" t="n">
        <v>66300</v>
      </c>
      <c r="D384" s="17" t="n">
        <v>157600</v>
      </c>
      <c r="E384" s="17" t="n">
        <v>24200</v>
      </c>
    </row>
    <row r="385" customFormat="false" ht="15" hidden="false" customHeight="false" outlineLevel="0" collapsed="false">
      <c r="A385" s="15" t="n">
        <v>45828</v>
      </c>
      <c r="B385" s="17" t="n">
        <v>56700</v>
      </c>
      <c r="C385" s="17" t="n">
        <v>27800</v>
      </c>
      <c r="D385" s="17" t="n">
        <v>99200</v>
      </c>
      <c r="E385" s="17" t="n">
        <v>21500</v>
      </c>
    </row>
    <row r="386" customFormat="false" ht="15" hidden="false" customHeight="false" outlineLevel="0" collapsed="false">
      <c r="A386" s="15" t="n">
        <v>45831</v>
      </c>
      <c r="B386" s="17" t="n">
        <v>61100</v>
      </c>
      <c r="C386" s="17" t="n">
        <v>34500</v>
      </c>
      <c r="D386" s="17" t="n">
        <v>112100</v>
      </c>
      <c r="E386" s="17" t="n">
        <v>11900</v>
      </c>
    </row>
    <row r="387" customFormat="false" ht="15" hidden="false" customHeight="false" outlineLevel="0" collapsed="false">
      <c r="A387" s="15" t="n">
        <v>45832</v>
      </c>
      <c r="B387" s="17" t="n">
        <v>205900</v>
      </c>
      <c r="C387" s="17" t="n">
        <v>53300</v>
      </c>
      <c r="D387" s="17" t="n">
        <v>112000</v>
      </c>
      <c r="E387" s="17" t="n">
        <v>17700</v>
      </c>
    </row>
    <row r="388" customFormat="false" ht="15" hidden="false" customHeight="false" outlineLevel="0" collapsed="false">
      <c r="A388" s="15" t="n">
        <v>45833</v>
      </c>
      <c r="B388" s="17" t="n">
        <v>124200</v>
      </c>
      <c r="C388" s="17" t="n">
        <v>28000</v>
      </c>
      <c r="D388" s="17" t="n">
        <v>102500</v>
      </c>
      <c r="E388" s="17" t="n">
        <v>18300</v>
      </c>
    </row>
    <row r="389" customFormat="false" ht="15" hidden="false" customHeight="false" outlineLevel="0" collapsed="false">
      <c r="A389" s="15" t="n">
        <v>45834</v>
      </c>
      <c r="B389" s="17" t="n">
        <v>56900</v>
      </c>
      <c r="C389" s="17" t="n">
        <v>33000</v>
      </c>
      <c r="D389" s="17" t="n">
        <v>76200</v>
      </c>
      <c r="E389" s="17" t="n">
        <v>19200</v>
      </c>
    </row>
    <row r="390" customFormat="false" ht="15" hidden="false" customHeight="false" outlineLevel="0" collapsed="false">
      <c r="A390" s="15" t="n">
        <v>45835</v>
      </c>
      <c r="B390" s="17" t="n">
        <v>252700</v>
      </c>
      <c r="C390" s="17" t="n">
        <v>68500</v>
      </c>
      <c r="D390" s="17" t="n">
        <v>165000</v>
      </c>
      <c r="E390" s="17" t="n">
        <v>28600</v>
      </c>
    </row>
    <row r="391" customFormat="false" ht="15" hidden="false" customHeight="false" outlineLevel="0" collapsed="false">
      <c r="A391" s="15" t="n">
        <v>45838</v>
      </c>
      <c r="B391" s="17" t="n">
        <v>49200</v>
      </c>
      <c r="C391" s="17" t="n">
        <v>24000</v>
      </c>
      <c r="D391" s="17" t="n">
        <v>65900</v>
      </c>
      <c r="E391" s="17" t="n">
        <v>30700</v>
      </c>
    </row>
    <row r="392" customFormat="false" ht="15" hidden="false" customHeight="false" outlineLevel="0" collapsed="false">
      <c r="A392" s="15" t="n">
        <v>45839</v>
      </c>
      <c r="B392" s="17" t="n">
        <v>137500</v>
      </c>
      <c r="C392" s="17" t="n">
        <v>43000</v>
      </c>
      <c r="D392" s="17" t="n">
        <v>83100</v>
      </c>
      <c r="E392" s="17" t="n">
        <v>25600</v>
      </c>
    </row>
    <row r="393" customFormat="false" ht="15" hidden="false" customHeight="false" outlineLevel="0" collapsed="false">
      <c r="A393" s="15" t="n">
        <v>45840</v>
      </c>
      <c r="B393" s="17" t="n">
        <v>100500</v>
      </c>
      <c r="C393" s="17" t="n">
        <v>59800</v>
      </c>
      <c r="D393" s="17" t="n">
        <v>191200</v>
      </c>
      <c r="E393" s="17" t="n">
        <v>28000</v>
      </c>
    </row>
    <row r="394" customFormat="false" ht="15" hidden="false" customHeight="false" outlineLevel="0" collapsed="false">
      <c r="A394" s="15" t="n">
        <v>45841</v>
      </c>
      <c r="B394" s="17" t="n">
        <v>71600</v>
      </c>
      <c r="C394" s="17" t="n">
        <v>52900</v>
      </c>
      <c r="D394" s="17" t="n">
        <v>64100</v>
      </c>
      <c r="E394" s="17" t="n">
        <v>14400</v>
      </c>
    </row>
    <row r="395" customFormat="false" ht="15" hidden="false" customHeight="false" outlineLevel="0" collapsed="false">
      <c r="A395" s="15" t="n">
        <v>45842</v>
      </c>
      <c r="B395" s="17" t="n">
        <v>107400</v>
      </c>
      <c r="C395" s="17" t="n">
        <v>39100</v>
      </c>
      <c r="D395" s="17" t="n">
        <v>97500</v>
      </c>
      <c r="E395" s="17" t="n">
        <v>31800</v>
      </c>
    </row>
    <row r="396" customFormat="false" ht="15" hidden="false" customHeight="false" outlineLevel="0" collapsed="false">
      <c r="A396" s="15" t="n">
        <v>45845</v>
      </c>
      <c r="B396" s="17" t="n">
        <v>84500</v>
      </c>
      <c r="C396" s="17" t="n">
        <v>33000</v>
      </c>
      <c r="D396" s="17" t="n">
        <v>193500</v>
      </c>
      <c r="E396" s="17" t="n">
        <v>14500</v>
      </c>
    </row>
    <row r="397" customFormat="false" ht="15" hidden="false" customHeight="false" outlineLevel="0" collapsed="false">
      <c r="A397" s="15" t="n">
        <v>45846</v>
      </c>
      <c r="B397" s="17" t="n">
        <v>105200</v>
      </c>
      <c r="C397" s="17" t="n">
        <v>34700</v>
      </c>
      <c r="D397" s="17" t="n">
        <v>109400</v>
      </c>
      <c r="E397" s="17" t="n">
        <v>30200</v>
      </c>
    </row>
    <row r="398" customFormat="false" ht="15" hidden="false" customHeight="false" outlineLevel="0" collapsed="false">
      <c r="A398" s="15" t="n">
        <v>45847</v>
      </c>
      <c r="B398" s="17" t="n">
        <v>63000</v>
      </c>
      <c r="C398" s="17" t="n">
        <v>44400</v>
      </c>
      <c r="D398" s="17" t="n">
        <v>82700</v>
      </c>
      <c r="E398" s="17" t="n">
        <v>19300</v>
      </c>
    </row>
    <row r="399" customFormat="false" ht="15" hidden="false" customHeight="false" outlineLevel="0" collapsed="false">
      <c r="A399" s="15" t="n">
        <v>45848</v>
      </c>
      <c r="B399" s="17" t="n">
        <v>143500</v>
      </c>
      <c r="C399" s="17" t="n">
        <v>35200</v>
      </c>
      <c r="D399" s="17" t="n">
        <v>135900</v>
      </c>
      <c r="E399" s="17" t="n">
        <v>64900</v>
      </c>
    </row>
    <row r="400" customFormat="false" ht="15" hidden="false" customHeight="false" outlineLevel="0" collapsed="false">
      <c r="A400" s="15" t="n">
        <v>45849</v>
      </c>
      <c r="B400" s="17" t="n">
        <v>136400</v>
      </c>
      <c r="C400" s="17" t="n">
        <v>47700</v>
      </c>
      <c r="D400" s="17" t="n">
        <v>131800</v>
      </c>
      <c r="E400" s="17" t="n">
        <v>26400</v>
      </c>
    </row>
    <row r="401" customFormat="false" ht="15" hidden="false" customHeight="false" outlineLevel="0" collapsed="false">
      <c r="A401" s="15" t="n">
        <v>45852</v>
      </c>
      <c r="B401" s="17" t="n">
        <v>69600</v>
      </c>
      <c r="C401" s="17" t="n">
        <v>17100</v>
      </c>
      <c r="D401" s="17" t="n">
        <v>111000</v>
      </c>
      <c r="E401" s="17" t="n">
        <v>11400</v>
      </c>
    </row>
    <row r="402" customFormat="false" ht="15" hidden="false" customHeight="false" outlineLevel="0" collapsed="false">
      <c r="A402" s="15" t="n">
        <v>45853</v>
      </c>
      <c r="B402" s="17" t="n">
        <v>55100</v>
      </c>
      <c r="C402" s="17" t="n">
        <v>20400</v>
      </c>
      <c r="D402" s="17" t="n">
        <v>83900</v>
      </c>
      <c r="E402" s="17" t="n">
        <v>12100</v>
      </c>
    </row>
    <row r="403" customFormat="false" ht="15" hidden="false" customHeight="false" outlineLevel="0" collapsed="false">
      <c r="A403" s="15" t="n">
        <v>45854</v>
      </c>
      <c r="B403" s="17" t="n">
        <v>50400</v>
      </c>
      <c r="C403" s="17" t="n">
        <v>63000</v>
      </c>
      <c r="D403" s="17" t="n">
        <v>199700</v>
      </c>
      <c r="E403" s="17" t="n">
        <v>35700</v>
      </c>
    </row>
    <row r="404" customFormat="false" ht="15" hidden="false" customHeight="false" outlineLevel="0" collapsed="false">
      <c r="A404" s="15" t="n">
        <v>45855</v>
      </c>
      <c r="B404" s="17" t="n">
        <v>45600</v>
      </c>
      <c r="C404" s="17" t="n">
        <v>46200</v>
      </c>
      <c r="D404" s="17" t="n">
        <v>121200</v>
      </c>
      <c r="E404" s="17" t="n">
        <v>25800</v>
      </c>
    </row>
    <row r="405" customFormat="false" ht="15" hidden="false" customHeight="false" outlineLevel="0" collapsed="false">
      <c r="A405" s="15" t="n">
        <v>45856</v>
      </c>
      <c r="B405" s="17" t="n">
        <v>40800</v>
      </c>
      <c r="C405" s="17" t="n">
        <v>37000</v>
      </c>
      <c r="D405" s="17" t="n">
        <v>104100</v>
      </c>
      <c r="E405" s="17" t="n">
        <v>21700</v>
      </c>
    </row>
    <row r="406" customFormat="false" ht="15" hidden="false" customHeight="false" outlineLevel="0" collapsed="false">
      <c r="A406" s="15" t="n">
        <v>45859</v>
      </c>
      <c r="B406" s="17" t="n">
        <v>30400</v>
      </c>
      <c r="C406" s="17" t="n">
        <v>34700</v>
      </c>
      <c r="D406" s="17" t="n">
        <v>97200</v>
      </c>
      <c r="E406" s="17" t="n">
        <v>23100</v>
      </c>
    </row>
    <row r="407" customFormat="false" ht="15" hidden="false" customHeight="false" outlineLevel="0" collapsed="false">
      <c r="A407" s="15" t="n">
        <v>45860</v>
      </c>
      <c r="B407" s="17" t="n">
        <v>82900</v>
      </c>
      <c r="C407" s="17" t="n">
        <v>34400</v>
      </c>
      <c r="D407" s="17" t="n">
        <v>204000</v>
      </c>
      <c r="E407" s="17" t="n">
        <v>13700</v>
      </c>
    </row>
    <row r="408" customFormat="false" ht="15" hidden="false" customHeight="false" outlineLevel="0" collapsed="false">
      <c r="A408" s="15" t="n">
        <v>45861</v>
      </c>
      <c r="B408" s="17" t="n">
        <v>79800</v>
      </c>
      <c r="C408" s="17" t="n">
        <v>28100</v>
      </c>
      <c r="D408" s="17" t="n">
        <v>135600</v>
      </c>
      <c r="E408" s="17" t="n">
        <v>21200</v>
      </c>
    </row>
    <row r="409" customFormat="false" ht="15" hidden="false" customHeight="false" outlineLevel="0" collapsed="false">
      <c r="A409" s="15" t="n">
        <v>45862</v>
      </c>
      <c r="B409" s="17" t="n">
        <v>75500</v>
      </c>
      <c r="C409" s="17" t="n">
        <v>26600</v>
      </c>
      <c r="D409" s="17" t="n">
        <v>125300</v>
      </c>
      <c r="E409" s="17" t="n">
        <v>23000</v>
      </c>
    </row>
    <row r="410" customFormat="false" ht="15" hidden="false" customHeight="false" outlineLevel="0" collapsed="false">
      <c r="A410" s="15" t="n">
        <v>45863</v>
      </c>
      <c r="B410" s="17" t="n">
        <v>45100</v>
      </c>
      <c r="C410" s="17" t="n">
        <v>49300</v>
      </c>
      <c r="D410" s="17" t="n">
        <v>76100</v>
      </c>
      <c r="E410" s="17" t="n">
        <v>13000</v>
      </c>
    </row>
    <row r="411" customFormat="false" ht="15" hidden="false" customHeight="false" outlineLevel="0" collapsed="false">
      <c r="A411" s="15" t="n">
        <v>45866</v>
      </c>
      <c r="B411" s="17" t="n">
        <v>104100</v>
      </c>
      <c r="C411" s="17" t="n">
        <v>53300</v>
      </c>
      <c r="D411" s="17" t="n">
        <v>180600</v>
      </c>
      <c r="E411" s="17" t="n">
        <v>20000</v>
      </c>
    </row>
    <row r="412" customFormat="false" ht="15" hidden="false" customHeight="false" outlineLevel="0" collapsed="false">
      <c r="A412" s="15" t="n">
        <v>45867</v>
      </c>
      <c r="B412" s="17" t="n">
        <v>75600</v>
      </c>
      <c r="C412" s="17" t="n">
        <v>73000</v>
      </c>
      <c r="D412" s="17" t="n">
        <v>221800</v>
      </c>
      <c r="E412" s="17" t="n">
        <v>12000</v>
      </c>
    </row>
    <row r="413" customFormat="false" ht="15" hidden="false" customHeight="false" outlineLevel="0" collapsed="false">
      <c r="A413" s="15" t="n">
        <v>45868</v>
      </c>
      <c r="B413" s="17" t="n">
        <v>71900</v>
      </c>
      <c r="C413" s="17" t="n">
        <v>43400</v>
      </c>
      <c r="D413" s="17" t="n">
        <v>84100</v>
      </c>
      <c r="E413" s="17" t="n">
        <v>20500</v>
      </c>
    </row>
    <row r="414" customFormat="false" ht="15" hidden="false" customHeight="false" outlineLevel="0" collapsed="false">
      <c r="A414" s="15" t="n">
        <v>45869</v>
      </c>
      <c r="B414" s="17" t="n">
        <v>85000</v>
      </c>
      <c r="C414" s="17" t="n">
        <v>34600</v>
      </c>
      <c r="D414" s="17" t="n">
        <v>69100</v>
      </c>
      <c r="E414" s="17" t="n">
        <v>18700</v>
      </c>
    </row>
    <row r="415" customFormat="false" ht="15" hidden="false" customHeight="false" outlineLevel="0" collapsed="false">
      <c r="A415" s="15" t="n">
        <v>45870</v>
      </c>
      <c r="B415" s="17" t="n">
        <v>73800</v>
      </c>
      <c r="C415" s="17" t="n">
        <v>53600</v>
      </c>
      <c r="D415" s="17" t="n">
        <v>239300</v>
      </c>
      <c r="E415" s="17" t="n">
        <v>19500</v>
      </c>
    </row>
    <row r="416" customFormat="false" ht="15" hidden="false" customHeight="false" outlineLevel="0" collapsed="false">
      <c r="A416" s="15" t="n">
        <v>45873</v>
      </c>
      <c r="B416" s="17" t="n">
        <v>109000</v>
      </c>
      <c r="C416" s="17" t="n">
        <v>43700</v>
      </c>
      <c r="D416" s="17" t="n">
        <v>117900</v>
      </c>
      <c r="E416" s="17" t="n">
        <v>12800</v>
      </c>
    </row>
    <row r="417" customFormat="false" ht="15" hidden="false" customHeight="false" outlineLevel="0" collapsed="false">
      <c r="A417" s="15" t="n">
        <v>45874</v>
      </c>
      <c r="B417" s="17" t="n">
        <v>98400</v>
      </c>
      <c r="C417" s="17" t="n">
        <v>77600</v>
      </c>
      <c r="D417" s="17" t="n">
        <v>134500</v>
      </c>
      <c r="E417" s="17" t="n">
        <v>29700</v>
      </c>
    </row>
    <row r="418" customFormat="false" ht="15" hidden="false" customHeight="false" outlineLevel="0" collapsed="false">
      <c r="A418" s="15" t="n">
        <v>45875</v>
      </c>
      <c r="B418" s="17" t="n">
        <v>98000</v>
      </c>
      <c r="C418" s="17" t="n">
        <v>64100</v>
      </c>
      <c r="D418" s="17" t="n">
        <v>110300</v>
      </c>
      <c r="E418" s="17" t="n">
        <v>12800</v>
      </c>
    </row>
    <row r="419" customFormat="false" ht="15" hidden="false" customHeight="false" outlineLevel="0" collapsed="false">
      <c r="A419" s="15" t="n">
        <v>45876</v>
      </c>
      <c r="B419" s="17" t="n">
        <v>86100</v>
      </c>
      <c r="C419" s="17" t="n">
        <v>113100</v>
      </c>
      <c r="D419" s="17" t="n">
        <v>200400</v>
      </c>
      <c r="E419" s="17" t="n">
        <v>29000</v>
      </c>
    </row>
    <row r="420" customFormat="false" ht="15" hidden="false" customHeight="false" outlineLevel="0" collapsed="false">
      <c r="A420" s="15" t="n">
        <v>45877</v>
      </c>
      <c r="B420" s="17" t="n">
        <v>87400</v>
      </c>
      <c r="C420" s="17" t="n">
        <v>42600</v>
      </c>
      <c r="D420" s="17" t="n">
        <v>179300</v>
      </c>
      <c r="E420" s="17" t="n">
        <v>23600</v>
      </c>
    </row>
    <row r="421" customFormat="false" ht="15" hidden="false" customHeight="false" outlineLevel="0" collapsed="false">
      <c r="A421" s="15" t="n">
        <v>45880</v>
      </c>
      <c r="B421" s="17" t="n">
        <v>56700</v>
      </c>
      <c r="C421" s="17" t="n">
        <v>36500</v>
      </c>
      <c r="D421" s="17" t="n">
        <v>369100</v>
      </c>
      <c r="E421" s="17" t="n">
        <v>23700</v>
      </c>
    </row>
    <row r="422" customFormat="false" ht="15" hidden="false" customHeight="false" outlineLevel="0" collapsed="false">
      <c r="A422" s="15" t="n">
        <v>45881</v>
      </c>
      <c r="B422" s="17" t="n">
        <v>142500</v>
      </c>
      <c r="C422" s="17" t="n">
        <v>65600</v>
      </c>
      <c r="D422" s="17" t="n">
        <v>120100</v>
      </c>
      <c r="E422" s="17" t="n">
        <v>15300</v>
      </c>
    </row>
    <row r="423" customFormat="false" ht="15" hidden="false" customHeight="false" outlineLevel="0" collapsed="false">
      <c r="A423" s="15" t="n">
        <v>45882</v>
      </c>
      <c r="B423" s="17" t="n">
        <v>111600</v>
      </c>
      <c r="C423" s="17" t="n">
        <v>33300</v>
      </c>
      <c r="D423" s="17" t="n">
        <v>182400</v>
      </c>
      <c r="E423" s="17" t="n">
        <v>19200</v>
      </c>
    </row>
    <row r="424" customFormat="false" ht="15" hidden="false" customHeight="false" outlineLevel="0" collapsed="false">
      <c r="A424" s="15" t="n">
        <v>45883</v>
      </c>
      <c r="B424" s="17" t="n">
        <v>43800</v>
      </c>
      <c r="C424" s="17" t="n">
        <v>57300</v>
      </c>
      <c r="D424" s="17" t="n">
        <v>98400</v>
      </c>
      <c r="E424" s="17" t="n">
        <v>13900</v>
      </c>
    </row>
    <row r="425" customFormat="false" ht="15" hidden="false" customHeight="false" outlineLevel="0" collapsed="false">
      <c r="A425" s="15" t="n">
        <v>45884</v>
      </c>
      <c r="B425" s="17" t="n">
        <v>81500</v>
      </c>
      <c r="C425" s="17" t="n">
        <v>38800</v>
      </c>
      <c r="D425" s="17" t="n">
        <v>126400</v>
      </c>
      <c r="E425" s="17" t="n">
        <v>10700</v>
      </c>
    </row>
    <row r="426" customFormat="false" ht="15" hidden="false" customHeight="false" outlineLevel="0" collapsed="false">
      <c r="A426" s="15" t="n">
        <v>45887</v>
      </c>
      <c r="B426" s="17" t="n">
        <v>94200</v>
      </c>
      <c r="C426" s="17" t="n">
        <v>51900</v>
      </c>
      <c r="D426" s="17" t="n">
        <v>164100</v>
      </c>
      <c r="E426" s="17" t="n">
        <v>28500</v>
      </c>
    </row>
    <row r="427" customFormat="false" ht="15" hidden="false" customHeight="false" outlineLevel="0" collapsed="false">
      <c r="A427" s="15" t="n">
        <v>45888</v>
      </c>
      <c r="B427" s="17" t="n">
        <v>164300</v>
      </c>
      <c r="C427" s="17" t="n">
        <v>102800</v>
      </c>
      <c r="D427" s="17" t="n">
        <v>121700</v>
      </c>
      <c r="E427" s="17" t="n">
        <v>8800</v>
      </c>
    </row>
    <row r="428" customFormat="false" ht="15" hidden="false" customHeight="false" outlineLevel="0" collapsed="false">
      <c r="A428" s="15" t="n">
        <v>45889</v>
      </c>
      <c r="B428" s="17" t="n">
        <v>59500</v>
      </c>
      <c r="C428" s="17" t="n">
        <v>43100</v>
      </c>
      <c r="D428" s="17" t="n">
        <v>109800</v>
      </c>
      <c r="E428" s="17" t="n">
        <v>22800</v>
      </c>
    </row>
    <row r="429" customFormat="false" ht="15" hidden="false" customHeight="false" outlineLevel="0" collapsed="false">
      <c r="A429" s="15" t="n">
        <v>45890</v>
      </c>
      <c r="B429" s="17" t="n">
        <v>70100</v>
      </c>
      <c r="C429" s="17" t="n">
        <v>48700</v>
      </c>
      <c r="D429" s="17" t="n">
        <v>209500</v>
      </c>
      <c r="E429" s="17" t="n">
        <v>20900</v>
      </c>
    </row>
    <row r="430" customFormat="false" ht="15" hidden="false" customHeight="false" outlineLevel="0" collapsed="false">
      <c r="A430" s="15" t="n">
        <v>45891</v>
      </c>
      <c r="B430" s="17" t="n">
        <v>86800</v>
      </c>
      <c r="C430" s="17" t="n">
        <v>57600</v>
      </c>
      <c r="D430" s="17" t="n">
        <v>64300</v>
      </c>
      <c r="E430" s="17" t="n">
        <v>18700</v>
      </c>
    </row>
    <row r="431" customFormat="false" ht="15" hidden="false" customHeight="false" outlineLevel="0" collapsed="false">
      <c r="A431" s="15" t="n">
        <v>45894</v>
      </c>
      <c r="B431" s="17" t="n">
        <v>125400</v>
      </c>
      <c r="C431" s="17" t="n">
        <v>61700</v>
      </c>
      <c r="D431" s="17" t="n">
        <v>149000</v>
      </c>
      <c r="E431" s="17" t="n">
        <v>27200</v>
      </c>
    </row>
    <row r="432" customFormat="false" ht="15" hidden="false" customHeight="false" outlineLevel="0" collapsed="false">
      <c r="A432" s="15" t="n">
        <v>45895</v>
      </c>
      <c r="B432" s="17" t="n">
        <v>121400</v>
      </c>
      <c r="C432" s="17" t="n">
        <v>22900</v>
      </c>
      <c r="D432" s="17" t="n">
        <v>95300</v>
      </c>
      <c r="E432" s="17" t="n">
        <v>16200</v>
      </c>
    </row>
    <row r="433" customFormat="false" ht="15" hidden="false" customHeight="false" outlineLevel="0" collapsed="false">
      <c r="A433" s="15" t="n">
        <v>45896</v>
      </c>
      <c r="B433" s="17" t="n">
        <v>96300</v>
      </c>
      <c r="C433" s="17" t="n">
        <v>47800</v>
      </c>
      <c r="D433" s="17" t="n">
        <v>171600</v>
      </c>
      <c r="E433" s="17" t="n">
        <v>16800</v>
      </c>
    </row>
    <row r="434" customFormat="false" ht="15" hidden="false" customHeight="false" outlineLevel="0" collapsed="false">
      <c r="A434" s="15" t="n">
        <v>45897</v>
      </c>
      <c r="B434" s="17" t="n">
        <v>87800</v>
      </c>
      <c r="C434" s="17" t="n">
        <v>31800</v>
      </c>
      <c r="D434" s="17" t="n">
        <v>68300</v>
      </c>
      <c r="E434" s="17" t="n">
        <v>15300</v>
      </c>
    </row>
    <row r="435" customFormat="false" ht="15" hidden="false" customHeight="false" outlineLevel="0" collapsed="false">
      <c r="A435" s="15" t="n">
        <v>45898</v>
      </c>
      <c r="B435" s="17" t="n">
        <v>34300</v>
      </c>
      <c r="C435" s="17" t="n">
        <v>45400</v>
      </c>
      <c r="D435" s="17" t="n">
        <v>52100</v>
      </c>
      <c r="E435" s="17" t="n">
        <v>39900</v>
      </c>
    </row>
    <row r="436" customFormat="false" ht="15" hidden="false" customHeight="false" outlineLevel="0" collapsed="false">
      <c r="A436" s="15" t="n">
        <v>45901</v>
      </c>
      <c r="B436" s="17" t="n">
        <v>117900</v>
      </c>
      <c r="C436" s="17" t="n">
        <v>40700</v>
      </c>
      <c r="D436" s="17" t="n">
        <v>69800</v>
      </c>
      <c r="E436" s="17" t="n">
        <v>9700</v>
      </c>
    </row>
    <row r="437" customFormat="false" ht="15" hidden="false" customHeight="false" outlineLevel="0" collapsed="false">
      <c r="A437" s="15" t="n">
        <v>45902</v>
      </c>
      <c r="B437" s="17" t="n">
        <v>76200</v>
      </c>
      <c r="C437" s="17" t="n">
        <v>72100</v>
      </c>
      <c r="D437" s="17" t="n">
        <v>62000</v>
      </c>
      <c r="E437" s="17" t="n">
        <v>13500</v>
      </c>
    </row>
    <row r="438" customFormat="false" ht="15" hidden="false" customHeight="false" outlineLevel="0" collapsed="false">
      <c r="A438" s="15" t="n">
        <v>45903</v>
      </c>
      <c r="B438" s="17" t="n">
        <v>67400</v>
      </c>
      <c r="C438" s="17" t="n">
        <v>41700</v>
      </c>
      <c r="D438" s="17" t="n">
        <v>83200</v>
      </c>
      <c r="E438" s="17" t="n">
        <v>14800</v>
      </c>
    </row>
    <row r="439" customFormat="false" ht="15" hidden="false" customHeight="false" outlineLevel="0" collapsed="false">
      <c r="A439" s="15" t="n">
        <v>45904</v>
      </c>
      <c r="B439" s="17" t="n">
        <v>87800</v>
      </c>
      <c r="C439" s="17" t="n">
        <v>48100</v>
      </c>
      <c r="D439" s="17" t="n">
        <v>60000</v>
      </c>
      <c r="E439" s="17" t="n">
        <v>18200</v>
      </c>
    </row>
    <row r="440" customFormat="false" ht="15" hidden="false" customHeight="false" outlineLevel="0" collapsed="false">
      <c r="A440" s="15" t="n">
        <v>45905</v>
      </c>
      <c r="B440" s="17" t="n">
        <v>84900</v>
      </c>
      <c r="C440" s="17" t="n">
        <v>54500</v>
      </c>
      <c r="D440" s="17" t="n">
        <v>118900</v>
      </c>
      <c r="E440" s="17" t="n">
        <v>17500</v>
      </c>
    </row>
    <row r="441" customFormat="false" ht="15" hidden="false" customHeight="false" outlineLevel="0" collapsed="false">
      <c r="A441" s="15" t="n">
        <v>45908</v>
      </c>
      <c r="B441" s="17" t="n">
        <v>46200</v>
      </c>
      <c r="C441" s="17" t="n">
        <v>47900</v>
      </c>
      <c r="D441" s="17" t="n">
        <v>73900</v>
      </c>
      <c r="E441" s="17" t="n">
        <v>11800</v>
      </c>
    </row>
    <row r="442" customFormat="false" ht="15" hidden="false" customHeight="false" outlineLevel="0" collapsed="false">
      <c r="A442" s="15" t="n">
        <v>45909</v>
      </c>
      <c r="B442" s="17" t="n">
        <v>128000</v>
      </c>
      <c r="C442" s="17" t="n">
        <v>63500</v>
      </c>
      <c r="D442" s="17" t="n">
        <v>167600</v>
      </c>
      <c r="E442" s="17" t="n">
        <v>26000</v>
      </c>
    </row>
    <row r="443" customFormat="false" ht="15" hidden="false" customHeight="false" outlineLevel="0" collapsed="false">
      <c r="A443" s="15" t="n">
        <v>45910</v>
      </c>
      <c r="B443" s="17" t="n">
        <v>101800</v>
      </c>
      <c r="C443" s="17" t="n">
        <v>89100</v>
      </c>
      <c r="D443" s="17" t="n">
        <v>93500</v>
      </c>
      <c r="E443" s="17" t="n">
        <v>14600</v>
      </c>
    </row>
    <row r="444" customFormat="false" ht="15" hidden="false" customHeight="false" outlineLevel="0" collapsed="false">
      <c r="A444" s="15" t="n">
        <v>45911</v>
      </c>
      <c r="B444" s="17" t="n">
        <v>55400</v>
      </c>
      <c r="C444" s="17" t="n">
        <v>42900</v>
      </c>
      <c r="D444" s="17" t="n">
        <v>166800</v>
      </c>
      <c r="E444" s="17" t="n">
        <v>25800</v>
      </c>
    </row>
    <row r="445" customFormat="false" ht="15" hidden="false" customHeight="false" outlineLevel="0" collapsed="false">
      <c r="A445" s="15" t="n">
        <v>45912</v>
      </c>
      <c r="B445" s="17" t="n">
        <v>42000</v>
      </c>
      <c r="C445" s="17" t="n">
        <v>86600</v>
      </c>
      <c r="D445" s="17" t="n">
        <v>115000</v>
      </c>
      <c r="E445" s="17" t="n">
        <v>15800</v>
      </c>
    </row>
    <row r="446" customFormat="false" ht="15" hidden="false" customHeight="false" outlineLevel="0" collapsed="false">
      <c r="A446" s="15" t="n">
        <v>45915</v>
      </c>
      <c r="B446" s="17" t="n">
        <v>80500</v>
      </c>
      <c r="C446" s="17" t="n">
        <v>49700</v>
      </c>
      <c r="D446" s="17" t="n">
        <v>85900</v>
      </c>
      <c r="E446" s="17" t="n">
        <v>31400</v>
      </c>
    </row>
    <row r="447" customFormat="false" ht="15" hidden="false" customHeight="false" outlineLevel="0" collapsed="false">
      <c r="A447" s="15" t="n">
        <v>45916</v>
      </c>
      <c r="B447" s="17" t="n">
        <v>50200</v>
      </c>
      <c r="C447" s="17" t="n">
        <v>27300</v>
      </c>
      <c r="D447" s="17" t="n">
        <v>109700</v>
      </c>
      <c r="E447" s="17" t="n">
        <v>25900</v>
      </c>
    </row>
    <row r="448" customFormat="false" ht="15" hidden="false" customHeight="false" outlineLevel="0" collapsed="false">
      <c r="A448" s="15" t="n">
        <v>45917</v>
      </c>
      <c r="B448" s="17" t="n">
        <v>87900</v>
      </c>
      <c r="C448" s="17" t="n">
        <v>79100</v>
      </c>
      <c r="D448" s="17" t="n">
        <v>59500</v>
      </c>
      <c r="E448" s="17" t="n">
        <v>21300</v>
      </c>
    </row>
    <row r="449" customFormat="false" ht="15" hidden="false" customHeight="false" outlineLevel="0" collapsed="false">
      <c r="A449" s="15" t="n">
        <v>45918</v>
      </c>
      <c r="B449" s="17" t="n">
        <v>45300</v>
      </c>
      <c r="C449" s="17" t="n">
        <v>34800</v>
      </c>
      <c r="D449" s="17" t="n">
        <v>114300</v>
      </c>
      <c r="E449" s="17" t="n">
        <v>20200</v>
      </c>
    </row>
    <row r="450" customFormat="false" ht="15" hidden="false" customHeight="false" outlineLevel="0" collapsed="false">
      <c r="A450" s="15" t="n">
        <v>45919</v>
      </c>
      <c r="B450" s="17" t="n">
        <v>56600</v>
      </c>
      <c r="C450" s="17" t="n">
        <v>44200</v>
      </c>
      <c r="D450" s="17" t="n">
        <v>78400</v>
      </c>
      <c r="E450" s="17" t="n">
        <v>17700</v>
      </c>
    </row>
    <row r="451" customFormat="false" ht="15" hidden="false" customHeight="false" outlineLevel="0" collapsed="false">
      <c r="A451" s="15" t="n">
        <v>45922</v>
      </c>
      <c r="B451" s="17" t="n">
        <v>46200</v>
      </c>
      <c r="C451" s="17" t="n">
        <v>41200</v>
      </c>
      <c r="D451" s="17" t="n">
        <v>109000</v>
      </c>
      <c r="E451" s="17" t="n">
        <v>22600</v>
      </c>
    </row>
    <row r="452" customFormat="false" ht="15" hidden="false" customHeight="false" outlineLevel="0" collapsed="false">
      <c r="A452" s="15" t="n">
        <v>45923</v>
      </c>
      <c r="B452" s="17" t="n">
        <v>72600</v>
      </c>
      <c r="C452" s="17" t="n">
        <v>81300</v>
      </c>
      <c r="D452" s="17" t="n">
        <v>140800</v>
      </c>
      <c r="E452" s="17" t="n">
        <v>9700</v>
      </c>
    </row>
    <row r="453" customFormat="false" ht="15" hidden="false" customHeight="false" outlineLevel="0" collapsed="false">
      <c r="A453" s="15" t="n">
        <v>45924</v>
      </c>
      <c r="B453" s="17" t="n">
        <v>69800</v>
      </c>
      <c r="C453" s="17" t="n">
        <v>64400</v>
      </c>
      <c r="D453" s="17" t="n">
        <v>126000</v>
      </c>
      <c r="E453" s="17" t="n">
        <v>14300</v>
      </c>
    </row>
    <row r="454" customFormat="false" ht="15" hidden="false" customHeight="false" outlineLevel="0" collapsed="false">
      <c r="A454" s="15" t="n">
        <v>45925</v>
      </c>
      <c r="B454" s="17" t="n">
        <v>47700</v>
      </c>
      <c r="C454" s="17" t="n">
        <v>31000</v>
      </c>
      <c r="D454" s="17" t="n">
        <v>97900</v>
      </c>
      <c r="E454" s="17" t="n">
        <v>18900</v>
      </c>
    </row>
    <row r="455" customFormat="false" ht="15" hidden="false" customHeight="false" outlineLevel="0" collapsed="false">
      <c r="A455" s="15" t="n">
        <v>45926</v>
      </c>
      <c r="B455" s="17" t="n">
        <v>138000</v>
      </c>
      <c r="C455" s="17" t="n">
        <v>54600</v>
      </c>
      <c r="D455" s="17" t="n">
        <v>81400</v>
      </c>
      <c r="E455" s="17" t="n">
        <v>23400</v>
      </c>
    </row>
    <row r="456" customFormat="false" ht="15" hidden="false" customHeight="false" outlineLevel="0" collapsed="false">
      <c r="A456" s="15" t="n">
        <v>45929</v>
      </c>
      <c r="B456" s="17" t="n">
        <v>72400</v>
      </c>
      <c r="C456" s="17" t="n">
        <v>43600</v>
      </c>
      <c r="D456" s="17" t="n">
        <v>72500</v>
      </c>
      <c r="E456" s="17" t="n">
        <v>9100</v>
      </c>
    </row>
    <row r="457" customFormat="false" ht="15" hidden="false" customHeight="false" outlineLevel="0" collapsed="false">
      <c r="A457" s="15" t="n">
        <v>45930</v>
      </c>
      <c r="B457" s="17" t="n">
        <v>58300</v>
      </c>
      <c r="C457" s="17" t="n">
        <v>65700</v>
      </c>
      <c r="D457" s="17" t="n">
        <v>139200</v>
      </c>
      <c r="E457" s="17" t="n">
        <v>9800</v>
      </c>
    </row>
    <row r="458" customFormat="false" ht="15" hidden="false" customHeight="false" outlineLevel="0" collapsed="false">
      <c r="A458" s="15" t="n">
        <v>45931</v>
      </c>
      <c r="B458" s="17" t="n">
        <v>84900</v>
      </c>
      <c r="C458" s="17" t="n">
        <v>40000</v>
      </c>
      <c r="D458" s="17" t="n">
        <v>71200</v>
      </c>
      <c r="E458" s="17" t="n">
        <v>29000</v>
      </c>
    </row>
    <row r="459" customFormat="false" ht="15" hidden="false" customHeight="false" outlineLevel="0" collapsed="false">
      <c r="A459" s="15" t="n">
        <v>45932</v>
      </c>
      <c r="B459" s="17" t="n">
        <v>53500</v>
      </c>
      <c r="C459" s="17" t="n">
        <v>36300</v>
      </c>
      <c r="D459" s="17" t="n">
        <v>50800</v>
      </c>
      <c r="E459" s="17" t="n">
        <v>16700</v>
      </c>
    </row>
    <row r="460" customFormat="false" ht="15" hidden="false" customHeight="false" outlineLevel="0" collapsed="false">
      <c r="A460" s="15" t="n">
        <v>45933</v>
      </c>
      <c r="B460" s="17" t="n">
        <v>108500</v>
      </c>
      <c r="C460" s="17" t="n">
        <v>36400</v>
      </c>
      <c r="D460" s="17" t="n">
        <v>193000</v>
      </c>
      <c r="E460" s="17" t="n">
        <v>23800</v>
      </c>
    </row>
    <row r="461" customFormat="false" ht="15" hidden="false" customHeight="false" outlineLevel="0" collapsed="false">
      <c r="A461" s="15" t="n">
        <v>45936</v>
      </c>
      <c r="B461" s="17" t="n">
        <v>44300</v>
      </c>
      <c r="C461" s="17" t="n">
        <v>30200</v>
      </c>
      <c r="D461" s="17" t="n">
        <v>75800</v>
      </c>
      <c r="E461" s="17" t="n">
        <v>20300</v>
      </c>
    </row>
    <row r="462" customFormat="false" ht="15" hidden="false" customHeight="false" outlineLevel="0" collapsed="false">
      <c r="A462" s="15" t="n">
        <v>45937</v>
      </c>
      <c r="B462" s="17" t="n">
        <v>90600</v>
      </c>
      <c r="C462" s="17" t="n">
        <v>42700</v>
      </c>
      <c r="D462" s="17" t="n">
        <v>97800</v>
      </c>
      <c r="E462" s="17" t="n">
        <v>29000</v>
      </c>
    </row>
    <row r="463" customFormat="false" ht="15" hidden="false" customHeight="false" outlineLevel="0" collapsed="false">
      <c r="A463" s="15" t="n">
        <v>45938</v>
      </c>
      <c r="B463" s="17" t="n">
        <v>109300</v>
      </c>
      <c r="C463" s="17" t="n">
        <v>27200</v>
      </c>
      <c r="D463" s="17" t="n">
        <v>148900</v>
      </c>
      <c r="E463" s="17" t="n">
        <v>11700</v>
      </c>
    </row>
    <row r="464" customFormat="false" ht="15" hidden="false" customHeight="false" outlineLevel="0" collapsed="false">
      <c r="A464" s="15" t="n">
        <v>45939</v>
      </c>
      <c r="B464" s="17" t="n">
        <v>68900</v>
      </c>
      <c r="C464" s="17" t="n">
        <v>57000</v>
      </c>
      <c r="D464" s="17" t="n">
        <v>123500</v>
      </c>
      <c r="E464" s="17" t="n">
        <v>17900</v>
      </c>
    </row>
    <row r="465" customFormat="false" ht="15" hidden="false" customHeight="false" outlineLevel="0" collapsed="false">
      <c r="A465" s="15" t="n">
        <v>45940</v>
      </c>
      <c r="B465" s="17" t="n">
        <v>55200</v>
      </c>
      <c r="C465" s="17" t="n">
        <v>39500</v>
      </c>
      <c r="D465" s="17" t="n">
        <v>116800</v>
      </c>
      <c r="E465" s="17" t="n">
        <v>29200</v>
      </c>
    </row>
    <row r="466" customFormat="false" ht="15" hidden="false" customHeight="false" outlineLevel="0" collapsed="false">
      <c r="A466" s="15" t="n">
        <v>45943</v>
      </c>
      <c r="B466" s="17" t="n">
        <v>69700</v>
      </c>
      <c r="C466" s="17" t="n">
        <v>39700</v>
      </c>
      <c r="D466" s="17" t="n">
        <v>123300</v>
      </c>
      <c r="E466" s="17" t="n">
        <v>22700</v>
      </c>
    </row>
    <row r="467" customFormat="false" ht="15" hidden="false" customHeight="false" outlineLevel="0" collapsed="false">
      <c r="A467" s="15" t="n">
        <v>45944</v>
      </c>
      <c r="B467" s="17" t="n">
        <v>100800</v>
      </c>
      <c r="C467" s="17" t="n">
        <v>53700</v>
      </c>
      <c r="D467" s="17" t="n">
        <v>125300</v>
      </c>
      <c r="E467" s="17" t="n">
        <v>26100</v>
      </c>
    </row>
    <row r="468" customFormat="false" ht="15" hidden="false" customHeight="false" outlineLevel="0" collapsed="false">
      <c r="A468" s="15" t="n">
        <v>45945</v>
      </c>
      <c r="B468" s="17" t="n">
        <v>54600</v>
      </c>
      <c r="C468" s="17" t="n">
        <v>24700</v>
      </c>
      <c r="D468" s="17" t="n">
        <v>76300</v>
      </c>
      <c r="E468" s="17" t="n">
        <v>32600</v>
      </c>
    </row>
    <row r="469" customFormat="false" ht="15" hidden="false" customHeight="false" outlineLevel="0" collapsed="false">
      <c r="A469" s="15" t="n">
        <v>45946</v>
      </c>
      <c r="B469" s="17" t="n">
        <v>62800</v>
      </c>
      <c r="C469" s="17" t="n">
        <v>37200</v>
      </c>
      <c r="D469" s="17" t="n">
        <v>255900</v>
      </c>
      <c r="E469" s="17" t="n">
        <v>15900</v>
      </c>
    </row>
    <row r="470" customFormat="false" ht="15" hidden="false" customHeight="false" outlineLevel="0" collapsed="false">
      <c r="A470" s="15" t="n">
        <v>45947</v>
      </c>
      <c r="B470" s="17" t="n">
        <v>79900</v>
      </c>
      <c r="C470" s="17" t="n">
        <v>64100</v>
      </c>
      <c r="D470" s="17" t="n">
        <v>169200</v>
      </c>
      <c r="E470" s="17" t="n">
        <v>12500</v>
      </c>
    </row>
    <row r="471" customFormat="false" ht="15" hidden="false" customHeight="false" outlineLevel="0" collapsed="false">
      <c r="A471" s="15" t="n">
        <v>45950</v>
      </c>
      <c r="B471" s="17" t="n">
        <v>74100</v>
      </c>
      <c r="C471" s="17" t="n">
        <v>100500</v>
      </c>
      <c r="D471" s="17" t="n">
        <v>92000</v>
      </c>
      <c r="E471" s="17" t="n">
        <v>26800</v>
      </c>
    </row>
    <row r="472" customFormat="false" ht="15" hidden="false" customHeight="false" outlineLevel="0" collapsed="false">
      <c r="A472" s="15" t="n">
        <v>45951</v>
      </c>
      <c r="B472" s="17" t="n">
        <v>75100</v>
      </c>
      <c r="C472" s="17" t="n">
        <v>35100</v>
      </c>
      <c r="D472" s="17" t="n">
        <v>103700</v>
      </c>
      <c r="E472" s="17" t="n">
        <v>18300</v>
      </c>
    </row>
    <row r="473" customFormat="false" ht="15" hidden="false" customHeight="false" outlineLevel="0" collapsed="false">
      <c r="A473" s="15" t="n">
        <v>45952</v>
      </c>
      <c r="B473" s="17" t="n">
        <v>73200</v>
      </c>
      <c r="C473" s="17" t="n">
        <v>26100</v>
      </c>
      <c r="D473" s="17" t="n">
        <v>111400</v>
      </c>
      <c r="E473" s="17" t="n">
        <v>13800</v>
      </c>
    </row>
    <row r="474" customFormat="false" ht="15" hidden="false" customHeight="false" outlineLevel="0" collapsed="false">
      <c r="A474" s="15" t="n">
        <v>45953</v>
      </c>
      <c r="B474" s="17" t="n">
        <v>77900</v>
      </c>
      <c r="C474" s="17" t="n">
        <v>23700</v>
      </c>
      <c r="D474" s="17" t="n">
        <v>73300</v>
      </c>
      <c r="E474" s="17" t="n">
        <v>23100</v>
      </c>
    </row>
    <row r="475" customFormat="false" ht="15" hidden="false" customHeight="false" outlineLevel="0" collapsed="false">
      <c r="A475" s="15" t="n">
        <v>45954</v>
      </c>
      <c r="B475" s="17" t="n">
        <v>37100</v>
      </c>
      <c r="C475" s="17" t="n">
        <v>80400</v>
      </c>
      <c r="D475" s="17" t="n">
        <v>187200</v>
      </c>
      <c r="E475" s="17" t="n">
        <v>18000</v>
      </c>
    </row>
    <row r="476" customFormat="false" ht="15" hidden="false" customHeight="false" outlineLevel="0" collapsed="false">
      <c r="A476" s="15" t="n">
        <v>45957</v>
      </c>
      <c r="B476" s="17" t="n">
        <v>142700</v>
      </c>
      <c r="C476" s="17" t="n">
        <v>49100</v>
      </c>
      <c r="D476" s="17" t="n">
        <v>66700</v>
      </c>
      <c r="E476" s="17" t="n">
        <v>26700</v>
      </c>
    </row>
    <row r="477" customFormat="false" ht="15" hidden="false" customHeight="false" outlineLevel="0" collapsed="false">
      <c r="A477" s="15" t="n">
        <v>45958</v>
      </c>
      <c r="B477" s="17" t="n">
        <v>67900</v>
      </c>
      <c r="C477" s="17" t="n">
        <v>33300</v>
      </c>
      <c r="D477" s="17" t="n">
        <v>166000</v>
      </c>
      <c r="E477" s="17" t="n">
        <v>21300</v>
      </c>
    </row>
    <row r="478" customFormat="false" ht="15" hidden="false" customHeight="false" outlineLevel="0" collapsed="false">
      <c r="A478" s="15" t="n">
        <v>45959</v>
      </c>
      <c r="B478" s="17" t="n">
        <v>86800</v>
      </c>
      <c r="C478" s="17" t="n">
        <v>69300</v>
      </c>
      <c r="D478" s="17" t="n">
        <v>105700</v>
      </c>
      <c r="E478" s="17" t="n">
        <v>10500</v>
      </c>
    </row>
    <row r="479" customFormat="false" ht="15" hidden="false" customHeight="false" outlineLevel="0" collapsed="false">
      <c r="A479" s="15" t="n">
        <v>45960</v>
      </c>
      <c r="B479" s="17" t="n">
        <v>77000</v>
      </c>
      <c r="C479" s="17" t="n">
        <v>30100</v>
      </c>
      <c r="D479" s="17" t="n">
        <v>39700</v>
      </c>
      <c r="E479" s="17" t="n">
        <v>24100</v>
      </c>
    </row>
    <row r="480" customFormat="false" ht="15" hidden="false" customHeight="false" outlineLevel="0" collapsed="false">
      <c r="A480" s="15" t="n">
        <v>45961</v>
      </c>
      <c r="B480" s="17" t="n">
        <v>94800</v>
      </c>
      <c r="C480" s="17" t="n">
        <v>38500</v>
      </c>
      <c r="D480" s="17" t="n">
        <v>101200</v>
      </c>
      <c r="E480" s="17" t="n">
        <v>16900</v>
      </c>
    </row>
    <row r="481" customFormat="false" ht="15" hidden="false" customHeight="false" outlineLevel="0" collapsed="false">
      <c r="A481" s="15" t="n">
        <v>45964</v>
      </c>
      <c r="B481" s="17" t="n">
        <v>79400</v>
      </c>
      <c r="C481" s="17" t="n">
        <v>78400</v>
      </c>
      <c r="D481" s="17" t="n">
        <v>168600</v>
      </c>
      <c r="E481" s="17" t="n">
        <v>22100</v>
      </c>
    </row>
    <row r="482" customFormat="false" ht="15" hidden="false" customHeight="false" outlineLevel="0" collapsed="false">
      <c r="A482" s="15" t="n">
        <v>45965</v>
      </c>
      <c r="B482" s="17" t="n">
        <v>103700</v>
      </c>
      <c r="C482" s="17" t="n">
        <v>38700</v>
      </c>
      <c r="D482" s="17" t="n">
        <v>78500</v>
      </c>
      <c r="E482" s="17" t="n">
        <v>23500</v>
      </c>
    </row>
    <row r="483" customFormat="false" ht="15" hidden="false" customHeight="false" outlineLevel="0" collapsed="false">
      <c r="A483" s="15" t="n">
        <v>45966</v>
      </c>
      <c r="B483" s="17" t="n">
        <v>94700</v>
      </c>
      <c r="C483" s="17" t="n">
        <v>37400</v>
      </c>
      <c r="D483" s="17" t="n">
        <v>112800</v>
      </c>
      <c r="E483" s="17" t="n">
        <v>19900</v>
      </c>
    </row>
    <row r="484" customFormat="false" ht="15" hidden="false" customHeight="false" outlineLevel="0" collapsed="false">
      <c r="A484" s="15" t="n">
        <v>45967</v>
      </c>
      <c r="B484" s="17" t="n">
        <v>95000</v>
      </c>
      <c r="C484" s="17" t="n">
        <v>231300</v>
      </c>
      <c r="D484" s="17" t="n">
        <v>183500</v>
      </c>
      <c r="E484" s="17" t="n">
        <v>26600</v>
      </c>
    </row>
    <row r="485" customFormat="false" ht="15" hidden="false" customHeight="false" outlineLevel="0" collapsed="false">
      <c r="A485" s="15" t="n">
        <v>45968</v>
      </c>
      <c r="B485" s="17" t="n">
        <v>102800</v>
      </c>
      <c r="C485" s="17" t="n">
        <v>44400</v>
      </c>
      <c r="D485" s="17" t="n">
        <v>109300</v>
      </c>
      <c r="E485" s="17" t="n">
        <v>11100</v>
      </c>
    </row>
    <row r="486" customFormat="false" ht="15" hidden="false" customHeight="false" outlineLevel="0" collapsed="false">
      <c r="A486" s="15" t="n">
        <v>45971</v>
      </c>
      <c r="B486" s="17" t="n">
        <v>69000</v>
      </c>
      <c r="C486" s="17" t="n">
        <v>33900</v>
      </c>
      <c r="D486" s="17" t="n">
        <v>99700</v>
      </c>
      <c r="E486" s="17" t="n">
        <v>23000</v>
      </c>
    </row>
    <row r="487" customFormat="false" ht="15" hidden="false" customHeight="false" outlineLevel="0" collapsed="false">
      <c r="A487" s="15" t="n">
        <v>45972</v>
      </c>
      <c r="B487" s="17" t="n">
        <v>95800</v>
      </c>
      <c r="C487" s="17" t="n">
        <v>50400</v>
      </c>
      <c r="D487" s="17" t="n">
        <v>51700</v>
      </c>
      <c r="E487" s="17" t="n">
        <v>20700</v>
      </c>
    </row>
    <row r="488" customFormat="false" ht="15" hidden="false" customHeight="false" outlineLevel="0" collapsed="false">
      <c r="A488" s="15" t="n">
        <v>45973</v>
      </c>
      <c r="B488" s="17" t="n">
        <v>110100</v>
      </c>
      <c r="C488" s="17" t="n">
        <v>40400</v>
      </c>
      <c r="D488" s="17" t="n">
        <v>117700</v>
      </c>
      <c r="E488" s="17" t="n">
        <v>14200</v>
      </c>
    </row>
    <row r="489" customFormat="false" ht="15" hidden="false" customHeight="false" outlineLevel="0" collapsed="false">
      <c r="A489" s="15" t="n">
        <v>45974</v>
      </c>
      <c r="B489" s="17" t="n">
        <v>69300</v>
      </c>
      <c r="C489" s="17" t="n">
        <v>35300</v>
      </c>
      <c r="D489" s="17" t="n">
        <v>54100</v>
      </c>
      <c r="E489" s="17" t="n">
        <v>14400</v>
      </c>
    </row>
    <row r="490" customFormat="false" ht="15" hidden="false" customHeight="false" outlineLevel="0" collapsed="false">
      <c r="A490" s="15" t="n">
        <v>45975</v>
      </c>
      <c r="B490" s="17" t="n">
        <v>55300</v>
      </c>
      <c r="C490" s="17" t="n">
        <v>69000</v>
      </c>
      <c r="D490" s="17" t="n">
        <v>198600</v>
      </c>
      <c r="E490" s="17" t="n">
        <v>17100</v>
      </c>
    </row>
    <row r="491" customFormat="false" ht="15" hidden="false" customHeight="false" outlineLevel="0" collapsed="false">
      <c r="A491" s="15" t="n">
        <v>45978</v>
      </c>
      <c r="B491" s="17" t="n">
        <v>73100</v>
      </c>
      <c r="C491" s="17" t="n">
        <v>37800</v>
      </c>
      <c r="D491" s="17" t="n">
        <v>55600</v>
      </c>
      <c r="E491" s="17" t="n">
        <v>22300</v>
      </c>
    </row>
    <row r="492" customFormat="false" ht="15" hidden="false" customHeight="false" outlineLevel="0" collapsed="false">
      <c r="A492" s="15" t="n">
        <v>45979</v>
      </c>
      <c r="B492" s="17" t="n">
        <v>50600</v>
      </c>
      <c r="C492" s="17" t="n">
        <v>46500</v>
      </c>
      <c r="D492" s="17" t="n">
        <v>133400</v>
      </c>
      <c r="E492" s="17" t="n">
        <v>31200</v>
      </c>
    </row>
    <row r="493" customFormat="false" ht="15" hidden="false" customHeight="false" outlineLevel="0" collapsed="false">
      <c r="A493" s="15" t="n">
        <v>45980</v>
      </c>
      <c r="B493" s="17" t="n">
        <v>58700</v>
      </c>
      <c r="C493" s="17" t="n">
        <v>54700</v>
      </c>
      <c r="D493" s="17" t="n">
        <v>54000</v>
      </c>
      <c r="E493" s="17" t="n">
        <v>32300</v>
      </c>
    </row>
    <row r="494" customFormat="false" ht="15" hidden="false" customHeight="false" outlineLevel="0" collapsed="false">
      <c r="A494" s="15" t="n">
        <v>45981</v>
      </c>
      <c r="B494" s="17" t="n">
        <v>65700</v>
      </c>
      <c r="C494" s="17" t="n">
        <v>51800</v>
      </c>
      <c r="D494" s="17" t="n">
        <v>75300</v>
      </c>
      <c r="E494" s="17" t="n">
        <v>21400</v>
      </c>
    </row>
    <row r="495" customFormat="false" ht="15" hidden="false" customHeight="false" outlineLevel="0" collapsed="false">
      <c r="A495" s="15" t="n">
        <v>45982</v>
      </c>
      <c r="B495" s="17" t="n">
        <v>101700</v>
      </c>
      <c r="C495" s="17" t="n">
        <v>106500</v>
      </c>
      <c r="D495" s="17" t="n">
        <v>172900</v>
      </c>
      <c r="E495" s="17" t="n">
        <v>18000</v>
      </c>
    </row>
    <row r="496" customFormat="false" ht="15" hidden="false" customHeight="false" outlineLevel="0" collapsed="false">
      <c r="A496" s="15" t="n">
        <v>45985</v>
      </c>
      <c r="B496" s="17" t="n">
        <v>79800</v>
      </c>
      <c r="C496" s="17" t="n">
        <v>23700</v>
      </c>
      <c r="D496" s="17" t="n">
        <v>151900</v>
      </c>
      <c r="E496" s="17" t="n">
        <v>16000</v>
      </c>
    </row>
    <row r="497" customFormat="false" ht="15" hidden="false" customHeight="false" outlineLevel="0" collapsed="false">
      <c r="A497" s="15" t="n">
        <v>45986</v>
      </c>
      <c r="B497" s="17" t="n">
        <v>84800</v>
      </c>
      <c r="C497" s="17" t="n">
        <v>96700</v>
      </c>
      <c r="D497" s="17" t="n">
        <v>67700</v>
      </c>
      <c r="E497" s="17" t="n">
        <v>25400</v>
      </c>
    </row>
    <row r="498" customFormat="false" ht="15" hidden="false" customHeight="false" outlineLevel="0" collapsed="false">
      <c r="A498" s="15" t="n">
        <v>45987</v>
      </c>
      <c r="B498" s="17" t="n">
        <v>69700</v>
      </c>
      <c r="C498" s="17" t="n">
        <v>37000</v>
      </c>
      <c r="D498" s="17" t="n">
        <v>157600</v>
      </c>
      <c r="E498" s="17" t="n">
        <v>13500</v>
      </c>
    </row>
    <row r="499" customFormat="false" ht="15" hidden="false" customHeight="false" outlineLevel="0" collapsed="false">
      <c r="A499" s="15" t="n">
        <v>45988</v>
      </c>
      <c r="B499" s="17" t="n">
        <v>58200</v>
      </c>
      <c r="C499" s="17" t="n">
        <v>60800</v>
      </c>
      <c r="D499" s="17" t="n">
        <v>67300</v>
      </c>
      <c r="E499" s="17" t="n">
        <v>35400</v>
      </c>
    </row>
    <row r="500" customFormat="false" ht="15" hidden="false" customHeight="false" outlineLevel="0" collapsed="false">
      <c r="A500" s="15" t="n">
        <v>45989</v>
      </c>
      <c r="B500" s="17" t="n">
        <v>84600</v>
      </c>
      <c r="C500" s="17" t="n">
        <v>55200</v>
      </c>
      <c r="D500" s="17" t="n">
        <v>108800</v>
      </c>
      <c r="E500" s="17" t="n">
        <v>13800</v>
      </c>
    </row>
    <row r="501" customFormat="false" ht="15" hidden="false" customHeight="false" outlineLevel="0" collapsed="false">
      <c r="A501" s="15" t="n">
        <v>45992</v>
      </c>
      <c r="B501" s="17" t="n">
        <v>66000</v>
      </c>
      <c r="C501" s="17" t="n">
        <v>79400</v>
      </c>
      <c r="D501" s="17" t="n">
        <v>112700</v>
      </c>
      <c r="E501" s="17" t="n">
        <v>18300</v>
      </c>
    </row>
    <row r="502" customFormat="false" ht="15" hidden="false" customHeight="false" outlineLevel="0" collapsed="false">
      <c r="A502" s="15" t="n">
        <v>45993</v>
      </c>
      <c r="B502" s="17" t="n">
        <v>76600</v>
      </c>
      <c r="C502" s="17" t="n">
        <v>91000</v>
      </c>
      <c r="D502" s="17" t="n">
        <v>89400</v>
      </c>
      <c r="E502" s="17" t="n">
        <v>27200</v>
      </c>
    </row>
    <row r="503" customFormat="false" ht="15" hidden="false" customHeight="false" outlineLevel="0" collapsed="false">
      <c r="A503" s="15" t="n">
        <v>45994</v>
      </c>
      <c r="B503" s="17" t="n">
        <v>68900</v>
      </c>
      <c r="C503" s="17" t="n">
        <v>26600</v>
      </c>
      <c r="D503" s="17" t="n">
        <v>138600</v>
      </c>
      <c r="E503" s="17" t="n">
        <v>32100</v>
      </c>
    </row>
    <row r="504" customFormat="false" ht="15" hidden="false" customHeight="false" outlineLevel="0" collapsed="false">
      <c r="A504" s="15" t="n">
        <v>45995</v>
      </c>
      <c r="B504" s="17" t="n">
        <v>118800</v>
      </c>
      <c r="C504" s="17" t="n">
        <v>60400</v>
      </c>
      <c r="D504" s="17" t="n">
        <v>100600</v>
      </c>
      <c r="E504" s="17" t="n">
        <v>13600</v>
      </c>
    </row>
    <row r="505" customFormat="false" ht="15" hidden="false" customHeight="false" outlineLevel="0" collapsed="false">
      <c r="A505" s="15" t="n">
        <v>45996</v>
      </c>
      <c r="B505" s="17" t="n">
        <v>45300</v>
      </c>
      <c r="C505" s="17" t="n">
        <v>20900</v>
      </c>
      <c r="D505" s="17" t="n">
        <v>187100</v>
      </c>
      <c r="E505" s="17" t="n">
        <v>20000</v>
      </c>
    </row>
    <row r="506" customFormat="false" ht="15" hidden="false" customHeight="false" outlineLevel="0" collapsed="false">
      <c r="A506" s="15" t="n">
        <v>45999</v>
      </c>
      <c r="B506" s="17" t="n">
        <v>138300</v>
      </c>
      <c r="C506" s="17" t="n">
        <v>40400</v>
      </c>
      <c r="D506" s="17" t="n">
        <v>183300</v>
      </c>
      <c r="E506" s="17" t="n">
        <v>18700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7" min="7" style="0" width="3"/>
    <col collapsed="false" customWidth="true" hidden="false" outlineLevel="0" max="12" min="8" style="0" width="12"/>
    <col collapsed="false" customWidth="true" hidden="false" outlineLevel="0" max="14" min="14" style="0" width="40"/>
    <col collapsed="false" customWidth="true" hidden="false" outlineLevel="0" max="18" min="15" style="0" width="12"/>
    <col collapsed="false" customWidth="true" hidden="false" outlineLevel="0" max="19" min="19" style="0" width="13"/>
  </cols>
  <sheetData>
    <row r="1" customFormat="false" ht="23.85" hidden="false" customHeight="false" outlineLevel="0" collapsed="false">
      <c r="A1" s="7" t="s">
        <v>53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  <c r="G1" s="18"/>
      <c r="H1" s="7" t="s">
        <v>62</v>
      </c>
      <c r="I1" s="7" t="s">
        <v>63</v>
      </c>
      <c r="J1" s="7" t="s">
        <v>64</v>
      </c>
      <c r="K1" s="7" t="s">
        <v>65</v>
      </c>
      <c r="L1" s="7" t="s">
        <v>66</v>
      </c>
      <c r="N1" s="7" t="s">
        <v>67</v>
      </c>
      <c r="O1" s="7" t="s">
        <v>54</v>
      </c>
      <c r="P1" s="7" t="s">
        <v>46</v>
      </c>
      <c r="Q1" s="7" t="s">
        <v>47</v>
      </c>
      <c r="R1" s="7" t="s">
        <v>48</v>
      </c>
      <c r="S1" s="7" t="s">
        <v>49</v>
      </c>
    </row>
    <row r="2" customFormat="false" ht="15" hidden="false" customHeight="false" outlineLevel="0" collapsed="false">
      <c r="A2" s="19" t="n">
        <f aca="false">Narxlar!A3</f>
        <v>45294</v>
      </c>
      <c r="B2" s="20" t="n">
        <f aca="false">Narxlar!B3/Narxlar!B2-1</f>
        <v>0.00574000000000008</v>
      </c>
      <c r="C2" s="20" t="n">
        <f aca="false">Narxlar!C3/Narxlar!C2-1</f>
        <v>0.002</v>
      </c>
      <c r="D2" s="20" t="n">
        <f aca="false">Narxlar!D3/Narxlar!D2-1</f>
        <v>0.00918478260869571</v>
      </c>
      <c r="E2" s="20" t="n">
        <f aca="false">Narxlar!E3/Narxlar!E2-1</f>
        <v>0.0423287671232877</v>
      </c>
      <c r="F2" s="20" t="n">
        <f aca="false">Narxlar!F3/Narxlar!F2-1</f>
        <v>-0.0276562500000001</v>
      </c>
      <c r="H2" s="20" t="n">
        <f aca="false">LN(Narxlar!B3/Narxlar!B2)</f>
        <v>0.0057235889695956</v>
      </c>
      <c r="I2" s="20" t="n">
        <f aca="false">LN(Narxlar!C3/Narxlar!C2)</f>
        <v>0.00199800266267306</v>
      </c>
      <c r="J2" s="20" t="n">
        <f aca="false">LN(Narxlar!D3/Narxlar!D2)</f>
        <v>0.00914285900351866</v>
      </c>
      <c r="K2" s="20" t="n">
        <f aca="false">LN(Narxlar!E3/Narxlar!E2)</f>
        <v>0.0414574090400403</v>
      </c>
      <c r="L2" s="20" t="n">
        <f aca="false">LN(Narxlar!F3/Narxlar!F2)</f>
        <v>-0.0280458847785454</v>
      </c>
      <c r="N2" s="8" t="s">
        <v>68</v>
      </c>
      <c r="O2" s="21" t="n">
        <f aca="false">COUNT(H2:H505)</f>
        <v>504</v>
      </c>
      <c r="P2" s="21" t="n">
        <f aca="false">COUNT(I2:I505)</f>
        <v>504</v>
      </c>
      <c r="Q2" s="21" t="n">
        <f aca="false">COUNT(J2:J505)</f>
        <v>504</v>
      </c>
      <c r="R2" s="21" t="n">
        <f aca="false">COUNT(K2:K505)</f>
        <v>504</v>
      </c>
      <c r="S2" s="21" t="n">
        <f aca="false">COUNT(L2:L505)</f>
        <v>504</v>
      </c>
    </row>
    <row r="3" customFormat="false" ht="15" hidden="false" customHeight="false" outlineLevel="0" collapsed="false">
      <c r="A3" s="19" t="n">
        <f aca="false">Narxlar!A4</f>
        <v>45295</v>
      </c>
      <c r="B3" s="20" t="n">
        <f aca="false">Narxlar!B4/Narxlar!B3-1</f>
        <v>-0.0133632946884882</v>
      </c>
      <c r="C3" s="20" t="n">
        <f aca="false">Narxlar!C4/Narxlar!C3-1</f>
        <v>0.00287425149700593</v>
      </c>
      <c r="D3" s="20" t="n">
        <f aca="false">Narxlar!D4/Narxlar!D3-1</f>
        <v>-0.0100705476870052</v>
      </c>
      <c r="E3" s="20" t="n">
        <f aca="false">Narxlar!E4/Narxlar!E3-1</f>
        <v>-0.015113681167039</v>
      </c>
      <c r="F3" s="20" t="n">
        <f aca="false">Narxlar!F4/Narxlar!F3-1</f>
        <v>-0.0116905029728427</v>
      </c>
      <c r="H3" s="20" t="n">
        <f aca="false">LN(Narxlar!B4/Narxlar!B3)</f>
        <v>-0.0134533870315369</v>
      </c>
      <c r="I3" s="20" t="n">
        <f aca="false">LN(Narxlar!C4/Narxlar!C3)</f>
        <v>0.00287012873418742</v>
      </c>
      <c r="J3" s="20" t="n">
        <f aca="false">LN(Narxlar!D4/Narxlar!D3)</f>
        <v>-0.0101215986825408</v>
      </c>
      <c r="K3" s="20" t="n">
        <f aca="false">LN(Narxlar!E4/Narxlar!E3)</f>
        <v>-0.0152290568228901</v>
      </c>
      <c r="L3" s="20" t="n">
        <f aca="false">LN(Narxlar!F4/Narxlar!F3)</f>
        <v>-0.0117593741883557</v>
      </c>
      <c r="N3" s="8" t="s">
        <v>69</v>
      </c>
      <c r="O3" s="22" t="n">
        <f aca="false">AVERAGE(H2:H505)</f>
        <v>0.000389709254924943</v>
      </c>
      <c r="P3" s="22" t="n">
        <f aca="false">AVERAGE(I2:I505)</f>
        <v>0.00124846653728911</v>
      </c>
      <c r="Q3" s="22" t="n">
        <f aca="false">AVERAGE(J2:J505)</f>
        <v>0.00101963688342658</v>
      </c>
      <c r="R3" s="22" t="n">
        <f aca="false">AVERAGE(K2:K505)</f>
        <v>0.000237196587365965</v>
      </c>
      <c r="S3" s="22" t="n">
        <f aca="false">AVERAGE(L2:L505)</f>
        <v>0.000646230435792266</v>
      </c>
    </row>
    <row r="4" customFormat="false" ht="15" hidden="false" customHeight="false" outlineLevel="0" collapsed="false">
      <c r="A4" s="19" t="n">
        <f aca="false">Narxlar!A5</f>
        <v>45296</v>
      </c>
      <c r="B4" s="20" t="n">
        <f aca="false">Narxlar!B5/Narxlar!B4-1</f>
        <v>0.00656051597299201</v>
      </c>
      <c r="C4" s="20" t="n">
        <f aca="false">Narxlar!C5/Narxlar!C4-1</f>
        <v>0.00883687604490091</v>
      </c>
      <c r="D4" s="20" t="n">
        <f aca="false">Narxlar!D5/Narxlar!D4-1</f>
        <v>0.00647372429550641</v>
      </c>
      <c r="E4" s="20" t="n">
        <f aca="false">Narxlar!E5/Narxlar!E4-1</f>
        <v>0.00453696290365624</v>
      </c>
      <c r="F4" s="20" t="n">
        <f aca="false">Narxlar!F5/Narxlar!F4-1</f>
        <v>0.000243892524694145</v>
      </c>
      <c r="H4" s="20" t="n">
        <f aca="false">LN(Narxlar!B5/Narxlar!B4)</f>
        <v>0.00653908944971972</v>
      </c>
      <c r="I4" s="20" t="n">
        <f aca="false">LN(Narxlar!C5/Narxlar!C4)</f>
        <v>0.0087980593669541</v>
      </c>
      <c r="J4" s="20" t="n">
        <f aca="false">LN(Narxlar!D5/Narxlar!D4)</f>
        <v>0.00645285974154764</v>
      </c>
      <c r="K4" s="20" t="n">
        <f aca="false">LN(Narxlar!E5/Narxlar!E4)</f>
        <v>0.00452670191158287</v>
      </c>
      <c r="L4" s="20" t="n">
        <f aca="false">LN(Narxlar!F5/Narxlar!F4)</f>
        <v>0.000243862787747325</v>
      </c>
      <c r="N4" s="8" t="s">
        <v>70</v>
      </c>
      <c r="O4" s="22" t="n">
        <f aca="false">STDEV(H2:H505)</f>
        <v>0.0119709503703846</v>
      </c>
      <c r="P4" s="22" t="n">
        <f aca="false">STDEV(I2:I505)</f>
        <v>0.0178216224998214</v>
      </c>
      <c r="Q4" s="22" t="n">
        <f aca="false">STDEV(J2:J505)</f>
        <v>0.0147451219525606</v>
      </c>
      <c r="R4" s="22" t="n">
        <f aca="false">STDEV(K2:K505)</f>
        <v>0.0121350573571447</v>
      </c>
      <c r="S4" s="22" t="n">
        <f aca="false">STDEV(L2:L505)</f>
        <v>0.0222581597300448</v>
      </c>
    </row>
    <row r="5" customFormat="false" ht="15" hidden="false" customHeight="false" outlineLevel="0" collapsed="false">
      <c r="A5" s="19" t="n">
        <f aca="false">Narxlar!A6</f>
        <v>45299</v>
      </c>
      <c r="B5" s="20" t="n">
        <f aca="false">Narxlar!B6/Narxlar!B5-1</f>
        <v>0.00542645748440651</v>
      </c>
      <c r="C5" s="20" t="n">
        <f aca="false">Narxlar!C6/Narxlar!C5-1</f>
        <v>0.020123106060606</v>
      </c>
      <c r="D5" s="20" t="n">
        <f aca="false">Narxlar!D6/Narxlar!D5-1</f>
        <v>0.0124317604453814</v>
      </c>
      <c r="E5" s="20" t="n">
        <f aca="false">Narxlar!E6/Narxlar!E5-1</f>
        <v>-0.00318809776833151</v>
      </c>
      <c r="F5" s="20" t="n">
        <f aca="false">Narxlar!F6/Narxlar!F5-1</f>
        <v>0.00589263217783564</v>
      </c>
      <c r="H5" s="20" t="n">
        <f aca="false">LN(Narxlar!B6/Narxlar!B5)</f>
        <v>0.00541178731144148</v>
      </c>
      <c r="I5" s="20" t="n">
        <f aca="false">LN(Narxlar!C6/Narxlar!C5)</f>
        <v>0.0199233122297405</v>
      </c>
      <c r="J5" s="20" t="n">
        <f aca="false">LN(Narxlar!D6/Narxlar!D5)</f>
        <v>0.0123551206362898</v>
      </c>
      <c r="K5" s="20" t="n">
        <f aca="false">LN(Narxlar!E6/Narxlar!E5)</f>
        <v>-0.00319319057915491</v>
      </c>
      <c r="L5" s="20" t="n">
        <f aca="false">LN(Narxlar!F6/Narxlar!F5)</f>
        <v>0.00587533852434728</v>
      </c>
      <c r="N5" s="8" t="s">
        <v>71</v>
      </c>
      <c r="O5" s="23" t="n">
        <f aca="false">AVERAGE(H2:H505)*Parametrlar!$B$6</f>
        <v>0.0982067322410856</v>
      </c>
      <c r="P5" s="23" t="n">
        <f aca="false">AVERAGE(I2:I505)*Parametrlar!$B$6</f>
        <v>0.314613567396855</v>
      </c>
      <c r="Q5" s="23" t="n">
        <f aca="false">AVERAGE(J2:J505)*Parametrlar!$B$6</f>
        <v>0.256948494623498</v>
      </c>
      <c r="R5" s="23" t="n">
        <f aca="false">AVERAGE(K2:K505)*Parametrlar!$B$6</f>
        <v>0.0597735400162233</v>
      </c>
      <c r="S5" s="23" t="n">
        <f aca="false">AVERAGE(L2:L505)*Parametrlar!$B$6</f>
        <v>0.162850069819651</v>
      </c>
    </row>
    <row r="6" customFormat="false" ht="15" hidden="false" customHeight="false" outlineLevel="0" collapsed="false">
      <c r="A6" s="19" t="n">
        <f aca="false">Narxlar!A7</f>
        <v>45300</v>
      </c>
      <c r="B6" s="20" t="n">
        <f aca="false">Narxlar!B7/Narxlar!B6-1</f>
        <v>-0.00525775967656805</v>
      </c>
      <c r="C6" s="20" t="n">
        <f aca="false">Narxlar!C7/Narxlar!C6-1</f>
        <v>-0.0201902993734046</v>
      </c>
      <c r="D6" s="20" t="n">
        <f aca="false">Narxlar!D7/Narxlar!D6-1</f>
        <v>-0.00790134002455822</v>
      </c>
      <c r="E6" s="20" t="n">
        <f aca="false">Narxlar!E7/Narxlar!E6-1</f>
        <v>-0.0114605543710021</v>
      </c>
      <c r="F6" s="20" t="n">
        <f aca="false">Narxlar!F7/Narxlar!F6-1</f>
        <v>-0.0113122171945701</v>
      </c>
      <c r="H6" s="20" t="n">
        <f aca="false">LN(Narxlar!B7/Narxlar!B6)</f>
        <v>-0.005271630335399</v>
      </c>
      <c r="I6" s="20" t="n">
        <f aca="false">LN(Narxlar!C7/Narxlar!C6)</f>
        <v>-0.0203969092075721</v>
      </c>
      <c r="J6" s="20" t="n">
        <f aca="false">LN(Narxlar!D7/Narxlar!D6)</f>
        <v>-0.00793272102224156</v>
      </c>
      <c r="K6" s="20" t="n">
        <f aca="false">LN(Narxlar!E7/Narxlar!E6)</f>
        <v>-0.0115267326365245</v>
      </c>
      <c r="L6" s="20" t="n">
        <f aca="false">LN(Narxlar!F7/Narxlar!F6)</f>
        <v>-0.0113766869821079</v>
      </c>
      <c r="N6" s="8" t="s">
        <v>72</v>
      </c>
      <c r="O6" s="24" t="n">
        <f aca="false">STDEV(H2:H505)*SQRT(Parametrlar!$B$6)</f>
        <v>0.190032945822805</v>
      </c>
      <c r="P6" s="24" t="n">
        <f aca="false">STDEV(I2:I505)*SQRT(Parametrlar!$B$6)</f>
        <v>0.282909486565204</v>
      </c>
      <c r="Q6" s="24" t="n">
        <f aca="false">STDEV(J2:J505)*SQRT(Parametrlar!$B$6)</f>
        <v>0.234071554426767</v>
      </c>
      <c r="R6" s="24" t="n">
        <f aca="false">STDEV(K2:K505)*SQRT(Parametrlar!$B$6)</f>
        <v>0.192638063475057</v>
      </c>
      <c r="S6" s="24" t="n">
        <f aca="false">STDEV(L2:L505)*SQRT(Parametrlar!$B$6)</f>
        <v>0.353337331725907</v>
      </c>
    </row>
    <row r="7" customFormat="false" ht="15" hidden="false" customHeight="false" outlineLevel="0" collapsed="false">
      <c r="A7" s="19" t="n">
        <f aca="false">Narxlar!A8</f>
        <v>45301</v>
      </c>
      <c r="B7" s="20" t="n">
        <f aca="false">Narxlar!B8/Narxlar!B7-1</f>
        <v>0.0113719405375643</v>
      </c>
      <c r="C7" s="20" t="n">
        <f aca="false">Narxlar!C8/Narxlar!C7-1</f>
        <v>0.0195799778935732</v>
      </c>
      <c r="D7" s="20" t="n">
        <f aca="false">Narxlar!D8/Narxlar!D7-1</f>
        <v>0.00704945380186195</v>
      </c>
      <c r="E7" s="20" t="n">
        <f aca="false">Narxlar!E8/Narxlar!E7-1</f>
        <v>-0.00431383122135343</v>
      </c>
      <c r="F7" s="20" t="n">
        <f aca="false">Narxlar!F8/Narxlar!F7-1</f>
        <v>0.0366541353383458</v>
      </c>
      <c r="H7" s="20" t="n">
        <f aca="false">LN(Narxlar!B8/Narxlar!B7)</f>
        <v>0.0113077660888273</v>
      </c>
      <c r="I7" s="20" t="n">
        <f aca="false">LN(Narxlar!C8/Narxlar!C7)</f>
        <v>0.0193907561100366</v>
      </c>
      <c r="J7" s="20" t="n">
        <f aca="false">LN(Narxlar!D8/Narxlar!D7)</f>
        <v>0.00702472256220758</v>
      </c>
      <c r="K7" s="20" t="n">
        <f aca="false">LN(Narxlar!E8/Narxlar!E7)</f>
        <v>-0.00432316263702756</v>
      </c>
      <c r="L7" s="20" t="n">
        <f aca="false">LN(Narxlar!F8/Narxlar!F7)</f>
        <v>0.0359983493519127</v>
      </c>
      <c r="N7" s="8" t="s">
        <v>73</v>
      </c>
      <c r="O7" s="25" t="n">
        <f aca="false">IFERROR(STDEV(H2:H505)/AVERAGE(H2:H505),0)</f>
        <v>30.717644549371</v>
      </c>
      <c r="P7" s="25" t="n">
        <f aca="false">IFERROR(STDEV(I2:I505)/AVERAGE(I2:I505),0)</f>
        <v>14.2748099108198</v>
      </c>
      <c r="Q7" s="25" t="n">
        <f aca="false">IFERROR(STDEV(J2:J505)/AVERAGE(J2:J505),0)</f>
        <v>14.461150035107</v>
      </c>
      <c r="R7" s="25" t="n">
        <f aca="false">IFERROR(STDEV(K2:K505)/AVERAGE(K2:K505),0)</f>
        <v>51.1603370516531</v>
      </c>
      <c r="S7" s="25" t="n">
        <f aca="false">IFERROR(STDEV(L2:L505)/AVERAGE(L2:L505),0)</f>
        <v>34.4430693716194</v>
      </c>
    </row>
    <row r="8" customFormat="false" ht="15" hidden="false" customHeight="false" outlineLevel="0" collapsed="false">
      <c r="A8" s="19" t="n">
        <f aca="false">Narxlar!A9</f>
        <v>45302</v>
      </c>
      <c r="B8" s="20" t="n">
        <f aca="false">Narxlar!B9/Narxlar!B8-1</f>
        <v>-0.0130751947422078</v>
      </c>
      <c r="C8" s="20" t="n">
        <f aca="false">Narxlar!C9/Narxlar!C8-1</f>
        <v>-0.0163388570543596</v>
      </c>
      <c r="D8" s="20" t="n">
        <f aca="false">Narxlar!D9/Narxlar!D8-1</f>
        <v>-0.0126643154857327</v>
      </c>
      <c r="E8" s="20" t="n">
        <f aca="false">Narxlar!E9/Narxlar!E8-1</f>
        <v>-0.00812347684809101</v>
      </c>
      <c r="F8" s="20" t="n">
        <f aca="false">Narxlar!F9/Narxlar!F8-1</f>
        <v>-0.0147818203319011</v>
      </c>
      <c r="H8" s="20" t="n">
        <f aca="false">LN(Narxlar!B9/Narxlar!B8)</f>
        <v>-0.013161427600038</v>
      </c>
      <c r="I8" s="20" t="n">
        <f aca="false">LN(Narxlar!C9/Narxlar!C8)</f>
        <v>-0.0164738081629515</v>
      </c>
      <c r="J8" s="20" t="n">
        <f aca="false">LN(Narxlar!D9/Narxlar!D8)</f>
        <v>-0.0127451914807054</v>
      </c>
      <c r="K8" s="20" t="n">
        <f aca="false">LN(Narxlar!E9/Narxlar!E8)</f>
        <v>-0.00815665207374885</v>
      </c>
      <c r="L8" s="20" t="n">
        <f aca="false">LN(Narxlar!F9/Narxlar!F8)</f>
        <v>-0.0148921601369232</v>
      </c>
      <c r="N8" s="8" t="s">
        <v>74</v>
      </c>
      <c r="O8" s="23" t="n">
        <f aca="false">MIN(H2:H505)</f>
        <v>-0.0408344240199976</v>
      </c>
      <c r="P8" s="23" t="n">
        <f aca="false">MIN(I2:I505)</f>
        <v>-0.0517645145132515</v>
      </c>
      <c r="Q8" s="23" t="n">
        <f aca="false">MIN(J2:J505)</f>
        <v>-0.0442077177002302</v>
      </c>
      <c r="R8" s="23" t="n">
        <f aca="false">MIN(K2:K505)</f>
        <v>-0.0430688571858229</v>
      </c>
      <c r="S8" s="23" t="n">
        <f aca="false">MIN(L2:L505)</f>
        <v>-0.086969309808335</v>
      </c>
    </row>
    <row r="9" customFormat="false" ht="15" hidden="false" customHeight="false" outlineLevel="0" collapsed="false">
      <c r="A9" s="19" t="n">
        <f aca="false">Narxlar!A10</f>
        <v>45303</v>
      </c>
      <c r="B9" s="20" t="n">
        <f aca="false">Narxlar!B10/Narxlar!B9-1</f>
        <v>-0.014221241600642</v>
      </c>
      <c r="C9" s="20" t="n">
        <f aca="false">Narxlar!C10/Narxlar!C9-1</f>
        <v>-0.0213335432574983</v>
      </c>
      <c r="D9" s="20" t="n">
        <f aca="false">Narxlar!D10/Narxlar!D9-1</f>
        <v>-0.007847594306435</v>
      </c>
      <c r="E9" s="20" t="n">
        <f aca="false">Narxlar!E10/Narxlar!E9-1</f>
        <v>-0.0203385203385204</v>
      </c>
      <c r="F9" s="20" t="n">
        <f aca="false">Narxlar!F10/Narxlar!F9-1</f>
        <v>-0.0350084020164839</v>
      </c>
      <c r="H9" s="20" t="n">
        <f aca="false">LN(Narxlar!B10/Narxlar!B9)</f>
        <v>-0.0143233325192364</v>
      </c>
      <c r="I9" s="20" t="n">
        <f aca="false">LN(Narxlar!C10/Narxlar!C9)</f>
        <v>-0.0215643924160321</v>
      </c>
      <c r="J9" s="20" t="n">
        <f aca="false">LN(Narxlar!D10/Narxlar!D9)</f>
        <v>-0.00787854872613825</v>
      </c>
      <c r="K9" s="20" t="n">
        <f aca="false">LN(Narxlar!E10/Narxlar!E9)</f>
        <v>-0.0205481959086878</v>
      </c>
      <c r="L9" s="20" t="n">
        <f aca="false">LN(Narxlar!F10/Narxlar!F9)</f>
        <v>-0.0356358844338882</v>
      </c>
      <c r="N9" s="8" t="s">
        <v>75</v>
      </c>
      <c r="O9" s="23" t="n">
        <f aca="false">MAX(H2:H505)</f>
        <v>0.0615125620207073</v>
      </c>
      <c r="P9" s="23" t="n">
        <f aca="false">MAX(I2:I505)</f>
        <v>0.0745308707066633</v>
      </c>
      <c r="Q9" s="23" t="n">
        <f aca="false">MAX(J2:J505)</f>
        <v>0.0659359461108039</v>
      </c>
      <c r="R9" s="23" t="n">
        <f aca="false">MAX(K2:K505)</f>
        <v>0.0472789839488232</v>
      </c>
      <c r="S9" s="23" t="n">
        <f aca="false">MAX(L2:L505)</f>
        <v>0.0811173858263672</v>
      </c>
    </row>
    <row r="10" customFormat="false" ht="15" hidden="false" customHeight="false" outlineLevel="0" collapsed="false">
      <c r="A10" s="19" t="n">
        <f aca="false">Narxlar!A11</f>
        <v>45306</v>
      </c>
      <c r="B10" s="20" t="n">
        <f aca="false">Narxlar!B11/Narxlar!B10-1</f>
        <v>-0.00465958572416869</v>
      </c>
      <c r="C10" s="20" t="n">
        <f aca="false">Narxlar!C11/Narxlar!C10-1</f>
        <v>-0.00731981981981977</v>
      </c>
      <c r="D10" s="20" t="n">
        <f aca="false">Narxlar!D11/Narxlar!D10-1</f>
        <v>-0.00120008727907484</v>
      </c>
      <c r="E10" s="20" t="n">
        <f aca="false">Narxlar!E11/Narxlar!E10-1</f>
        <v>-0.000836003901351523</v>
      </c>
      <c r="F10" s="20" t="n">
        <f aca="false">Narxlar!F11/Narxlar!F10-1</f>
        <v>-0.0058874746050831</v>
      </c>
      <c r="H10" s="20" t="n">
        <f aca="false">LN(Narxlar!B11/Narxlar!B10)</f>
        <v>-0.00467047543458994</v>
      </c>
      <c r="I10" s="20" t="n">
        <f aca="false">LN(Narxlar!C11/Narxlar!C10)</f>
        <v>-0.0073467411542451</v>
      </c>
      <c r="J10" s="20" t="n">
        <f aca="false">LN(Narxlar!D11/Narxlar!D10)</f>
        <v>-0.00120080796045827</v>
      </c>
      <c r="K10" s="20" t="n">
        <f aca="false">LN(Narxlar!E11/Narxlar!E10)</f>
        <v>-0.000836353547497004</v>
      </c>
      <c r="L10" s="20" t="n">
        <f aca="false">LN(Narxlar!F11/Narxlar!F10)</f>
        <v>-0.00590487411006995</v>
      </c>
      <c r="N10" s="8" t="s">
        <v>76</v>
      </c>
      <c r="O10" s="25" t="n">
        <f aca="false">SKEW(H2:H505)</f>
        <v>0.329560560817077</v>
      </c>
      <c r="P10" s="25" t="n">
        <f aca="false">SKEW(I2:I505)</f>
        <v>0.220214154269613</v>
      </c>
      <c r="Q10" s="25" t="n">
        <f aca="false">SKEW(J2:J505)</f>
        <v>0.188272308276659</v>
      </c>
      <c r="R10" s="25" t="n">
        <f aca="false">SKEW(K2:K505)</f>
        <v>0.185018297505709</v>
      </c>
      <c r="S10" s="25" t="n">
        <f aca="false">SKEW(L2:L505)</f>
        <v>0.203666675268705</v>
      </c>
    </row>
    <row r="11" customFormat="false" ht="15" hidden="false" customHeight="false" outlineLevel="0" collapsed="false">
      <c r="A11" s="19" t="n">
        <f aca="false">Narxlar!A12</f>
        <v>45307</v>
      </c>
      <c r="B11" s="20" t="n">
        <f aca="false">Narxlar!B12/Narxlar!B11-1</f>
        <v>-0.00185007257190761</v>
      </c>
      <c r="C11" s="20" t="n">
        <f aca="false">Narxlar!C12/Narxlar!C11-1</f>
        <v>-0.0432703994814034</v>
      </c>
      <c r="D11" s="20" t="n">
        <f aca="false">Narxlar!D12/Narxlar!D11-1</f>
        <v>0.00999453850355003</v>
      </c>
      <c r="E11" s="20" t="n">
        <f aca="false">Narxlar!E12/Narxlar!E11-1</f>
        <v>0.00641472597964032</v>
      </c>
      <c r="F11" s="20" t="n">
        <f aca="false">Narxlar!F12/Narxlar!F11-1</f>
        <v>0.0140134295366392</v>
      </c>
      <c r="H11" s="20" t="n">
        <f aca="false">LN(Narxlar!B12/Narxlar!B11)</f>
        <v>-0.00185178606989151</v>
      </c>
      <c r="I11" s="20" t="n">
        <f aca="false">LN(Narxlar!C12/Narxlar!C11)</f>
        <v>-0.0442344765460738</v>
      </c>
      <c r="J11" s="20" t="n">
        <f aca="false">LN(Narxlar!D12/Narxlar!D11)</f>
        <v>0.00994492341632023</v>
      </c>
      <c r="K11" s="20" t="n">
        <f aca="false">LN(Narxlar!E12/Narxlar!E11)</f>
        <v>0.00639423918969846</v>
      </c>
      <c r="L11" s="20" t="n">
        <f aca="false">LN(Narxlar!F12/Narxlar!F11)</f>
        <v>0.0139161492002624</v>
      </c>
      <c r="N11" s="8" t="s">
        <v>77</v>
      </c>
      <c r="O11" s="25" t="n">
        <f aca="false">KURT(H2:H505)</f>
        <v>2.99607980017447</v>
      </c>
      <c r="P11" s="25" t="n">
        <f aca="false">KURT(I2:I505)</f>
        <v>1.32117685446001</v>
      </c>
      <c r="Q11" s="25" t="n">
        <f aca="false">KURT(J2:J505)</f>
        <v>1.61720935910637</v>
      </c>
      <c r="R11" s="25" t="n">
        <f aca="false">KURT(K2:K505)</f>
        <v>1.63504565877256</v>
      </c>
      <c r="S11" s="25" t="n">
        <f aca="false">KURT(L2:L505)</f>
        <v>0.876379012240834</v>
      </c>
    </row>
    <row r="12" customFormat="false" ht="15" hidden="false" customHeight="false" outlineLevel="0" collapsed="false">
      <c r="A12" s="19" t="n">
        <f aca="false">Narxlar!A13</f>
        <v>45308</v>
      </c>
      <c r="B12" s="20" t="n">
        <f aca="false">Narxlar!B13/Narxlar!B12-1</f>
        <v>-0.00272393065241205</v>
      </c>
      <c r="C12" s="20" t="n">
        <f aca="false">Narxlar!C13/Narxlar!C12-1</f>
        <v>0.0044041670195647</v>
      </c>
      <c r="D12" s="20" t="n">
        <f aca="false">Narxlar!D13/Narxlar!D12-1</f>
        <v>-0.00627264370302272</v>
      </c>
      <c r="E12" s="20" t="n">
        <f aca="false">Narxlar!E13/Narxlar!E12-1</f>
        <v>0.00498822225301376</v>
      </c>
      <c r="F12" s="20" t="n">
        <f aca="false">Narxlar!F13/Narxlar!F12-1</f>
        <v>0.00551145477727966</v>
      </c>
      <c r="H12" s="20" t="n">
        <f aca="false">LN(Narxlar!B13/Narxlar!B12)</f>
        <v>-0.00272764730231029</v>
      </c>
      <c r="I12" s="20" t="n">
        <f aca="false">LN(Narxlar!C13/Narxlar!C12)</f>
        <v>0.0043944970576855</v>
      </c>
      <c r="J12" s="20" t="n">
        <f aca="false">LN(Narxlar!D13/Narxlar!D12)</f>
        <v>-0.00629239938945216</v>
      </c>
      <c r="K12" s="20" t="n">
        <f aca="false">LN(Narxlar!E13/Narxlar!E12)</f>
        <v>0.0049758222911392</v>
      </c>
      <c r="L12" s="20" t="n">
        <f aca="false">LN(Narxlar!F13/Narxlar!F12)</f>
        <v>0.00549632228629624</v>
      </c>
      <c r="N12" s="8" t="s">
        <v>78</v>
      </c>
      <c r="O12" s="23" t="n">
        <f aca="false">SUM(H2:H505)</f>
        <v>0.196413464482171</v>
      </c>
      <c r="P12" s="23" t="n">
        <f aca="false">SUM(I2:I505)</f>
        <v>0.62922713479371</v>
      </c>
      <c r="Q12" s="23" t="n">
        <f aca="false">SUM(J2:J505)</f>
        <v>0.513896989246996</v>
      </c>
      <c r="R12" s="23" t="n">
        <f aca="false">SUM(K2:K505)</f>
        <v>0.119547080032447</v>
      </c>
      <c r="S12" s="23" t="n">
        <f aca="false">SUM(L2:L505)</f>
        <v>0.325700139639302</v>
      </c>
    </row>
    <row r="13" customFormat="false" ht="15" hidden="false" customHeight="false" outlineLevel="0" collapsed="false">
      <c r="A13" s="19" t="n">
        <f aca="false">Narxlar!A14</f>
        <v>45309</v>
      </c>
      <c r="B13" s="20" t="n">
        <f aca="false">Narxlar!B14/Narxlar!B13-1</f>
        <v>0.00339881092959016</v>
      </c>
      <c r="C13" s="20" t="n">
        <f aca="false">Narxlar!C14/Narxlar!C13-1</f>
        <v>0.0120583523062652</v>
      </c>
      <c r="D13" s="20" t="n">
        <f aca="false">Narxlar!D14/Narxlar!D13-1</f>
        <v>0.00467976274691195</v>
      </c>
      <c r="E13" s="20" t="n">
        <f aca="false">Narxlar!E14/Narxlar!E13-1</f>
        <v>0.011443540603888</v>
      </c>
      <c r="F13" s="20" t="n">
        <f aca="false">Narxlar!F14/Narxlar!F13-1</f>
        <v>0.00319057553073998</v>
      </c>
      <c r="H13" s="20" t="n">
        <f aca="false">LN(Narxlar!B14/Narxlar!B13)</f>
        <v>0.00339304802604386</v>
      </c>
      <c r="I13" s="20" t="n">
        <f aca="false">LN(Narxlar!C14/Narxlar!C13)</f>
        <v>0.0119862295846628</v>
      </c>
      <c r="J13" s="20" t="n">
        <f aca="false">LN(Narxlar!D14/Narxlar!D13)</f>
        <v>0.0046688467003188</v>
      </c>
      <c r="K13" s="20" t="n">
        <f aca="false">LN(Narxlar!E14/Narxlar!E13)</f>
        <v>0.0113785585728883</v>
      </c>
      <c r="L13" s="20" t="n">
        <f aca="false">LN(Narxlar!F14/Narxlar!F13)</f>
        <v>0.00318549644523436</v>
      </c>
      <c r="N13" s="8" t="s">
        <v>79</v>
      </c>
      <c r="O13" s="24" t="n">
        <f aca="false">LN(Narxlar!B506/Narxlar!B2)</f>
        <v>0.196413464482173</v>
      </c>
      <c r="P13" s="24" t="n">
        <f aca="false">LN(Narxlar!C506/Narxlar!C2)</f>
        <v>0.629227134793713</v>
      </c>
      <c r="Q13" s="24" t="n">
        <f aca="false">LN(Narxlar!D506/Narxlar!D2)</f>
        <v>0.513896989246999</v>
      </c>
      <c r="R13" s="24" t="n">
        <f aca="false">LN(Narxlar!E506/Narxlar!E2)</f>
        <v>0.119547080032448</v>
      </c>
      <c r="S13" s="24" t="n">
        <f aca="false">LN(Narxlar!F506/Narxlar!F2)</f>
        <v>0.325700139639302</v>
      </c>
    </row>
    <row r="14" customFormat="false" ht="15" hidden="false" customHeight="false" outlineLevel="0" collapsed="false">
      <c r="A14" s="19" t="n">
        <f aca="false">Narxlar!A15</f>
        <v>45310</v>
      </c>
      <c r="B14" s="20" t="n">
        <f aca="false">Narxlar!B15/Narxlar!B14-1</f>
        <v>-0.00297795697824343</v>
      </c>
      <c r="C14" s="20" t="n">
        <f aca="false">Narxlar!C15/Narxlar!C14-1</f>
        <v>-0.0082486252291285</v>
      </c>
      <c r="D14" s="20" t="n">
        <f aca="false">Narxlar!D15/Narxlar!D14-1</f>
        <v>0.00769105779125812</v>
      </c>
      <c r="E14" s="20" t="n">
        <f aca="false">Narxlar!E15/Narxlar!E14-1</f>
        <v>-0.00708833151581245</v>
      </c>
      <c r="F14" s="20" t="n">
        <f aca="false">Narxlar!F15/Narxlar!F14-1</f>
        <v>0.00811416921508656</v>
      </c>
      <c r="H14" s="20" t="n">
        <f aca="false">LN(Narxlar!B15/Narxlar!B14)</f>
        <v>-0.00298239991490081</v>
      </c>
      <c r="I14" s="20" t="n">
        <f aca="false">LN(Narxlar!C15/Narxlar!C14)</f>
        <v>-0.00828283338157841</v>
      </c>
      <c r="J14" s="20" t="n">
        <f aca="false">LN(Narxlar!D15/Narxlar!D14)</f>
        <v>0.00766163238497969</v>
      </c>
      <c r="K14" s="20" t="n">
        <f aca="false">LN(Narxlar!E15/Narxlar!E14)</f>
        <v>-0.00711357308880223</v>
      </c>
      <c r="L14" s="20" t="n">
        <f aca="false">LN(Narxlar!F15/Narxlar!F14)</f>
        <v>0.00808142634560002</v>
      </c>
      <c r="N14" s="8" t="s">
        <v>80</v>
      </c>
      <c r="O14" s="26" t="str">
        <f aca="false">IF(ABS(O12-O13)&lt;0.0000001,"Teng ✓","Teng emas")</f>
        <v>Teng ✓</v>
      </c>
      <c r="P14" s="26" t="str">
        <f aca="false">IF(ABS(P12-P13)&lt;0.0000001,"Teng ✓","Teng emas")</f>
        <v>Teng ✓</v>
      </c>
      <c r="Q14" s="26" t="str">
        <f aca="false">IF(ABS(Q12-Q13)&lt;0.0000001,"Teng ✓","Teng emas")</f>
        <v>Teng ✓</v>
      </c>
      <c r="R14" s="26" t="str">
        <f aca="false">IF(ABS(R12-R13)&lt;0.0000001,"Teng ✓","Teng emas")</f>
        <v>Teng ✓</v>
      </c>
      <c r="S14" s="26" t="str">
        <f aca="false">IF(ABS(S12-S13)&lt;0.0000001,"Teng ✓","Teng emas")</f>
        <v>Teng ✓</v>
      </c>
    </row>
    <row r="15" customFormat="false" ht="15" hidden="false" customHeight="false" outlineLevel="0" collapsed="false">
      <c r="A15" s="19" t="n">
        <f aca="false">Narxlar!A16</f>
        <v>45313</v>
      </c>
      <c r="B15" s="20" t="n">
        <f aca="false">Narxlar!B16/Narxlar!B15-1</f>
        <v>-0.00426986359017523</v>
      </c>
      <c r="C15" s="20" t="n">
        <f aca="false">Narxlar!C16/Narxlar!C15-1</f>
        <v>0.00411660925817015</v>
      </c>
      <c r="D15" s="20" t="n">
        <f aca="false">Narxlar!D16/Narxlar!D15-1</f>
        <v>-0.0161784466541253</v>
      </c>
      <c r="E15" s="20" t="n">
        <f aca="false">Narxlar!E16/Narxlar!E15-1</f>
        <v>-0.00576606260296542</v>
      </c>
      <c r="F15" s="20" t="n">
        <f aca="false">Narxlar!F16/Narxlar!F15-1</f>
        <v>-0.0137922666235237</v>
      </c>
      <c r="H15" s="20" t="n">
        <f aca="false">LN(Narxlar!B16/Narxlar!B15)</f>
        <v>-0.00427900549010576</v>
      </c>
      <c r="I15" s="20" t="n">
        <f aca="false">LN(Narxlar!C16/Narxlar!C15)</f>
        <v>0.00410815920471871</v>
      </c>
      <c r="J15" s="20" t="n">
        <f aca="false">LN(Narxlar!D16/Narxlar!D15)</f>
        <v>-0.0163107466011985</v>
      </c>
      <c r="K15" s="20" t="n">
        <f aca="false">LN(Narxlar!E16/Narxlar!E15)</f>
        <v>-0.00578275052191208</v>
      </c>
      <c r="L15" s="20" t="n">
        <f aca="false">LN(Narxlar!F16/Narxlar!F15)</f>
        <v>-0.0138882636324323</v>
      </c>
      <c r="N15" s="8" t="s">
        <v>81</v>
      </c>
      <c r="O15" s="23" t="n">
        <f aca="false">Narxlar!B506/Narxlar!B2-1</f>
        <v>0.21703</v>
      </c>
      <c r="P15" s="23" t="n">
        <f aca="false">Narxlar!C506/Narxlar!C2-1</f>
        <v>0.87616</v>
      </c>
      <c r="Q15" s="23" t="n">
        <f aca="false">Narxlar!D506/Narxlar!D2-1</f>
        <v>0.67179347826087</v>
      </c>
      <c r="R15" s="23" t="n">
        <f aca="false">Narxlar!E506/Narxlar!E2-1</f>
        <v>0.126986301369863</v>
      </c>
      <c r="S15" s="23" t="n">
        <f aca="false">Narxlar!F506/Narxlar!F2-1</f>
        <v>0.385</v>
      </c>
    </row>
    <row r="16" customFormat="false" ht="15" hidden="false" customHeight="false" outlineLevel="0" collapsed="false">
      <c r="A16" s="19" t="n">
        <f aca="false">Narxlar!A17</f>
        <v>45314</v>
      </c>
      <c r="B16" s="20" t="n">
        <f aca="false">Narxlar!B17/Narxlar!B16-1</f>
        <v>-0.00424694106853862</v>
      </c>
      <c r="C16" s="20" t="n">
        <f aca="false">Narxlar!C17/Narxlar!C16-1</f>
        <v>-0.00543842034805886</v>
      </c>
      <c r="D16" s="20" t="n">
        <f aca="false">Narxlar!D17/Narxlar!D16-1</f>
        <v>0.0130572552447552</v>
      </c>
      <c r="E16" s="20" t="n">
        <f aca="false">Narxlar!E17/Narxlar!E16-1</f>
        <v>-0.00566141949737642</v>
      </c>
      <c r="F16" s="20" t="n">
        <f aca="false">Narxlar!F17/Narxlar!F16-1</f>
        <v>-0.0143952753967929</v>
      </c>
      <c r="H16" s="20" t="n">
        <f aca="false">LN(Narxlar!B17/Narxlar!B16)</f>
        <v>-0.00425598493769413</v>
      </c>
      <c r="I16" s="20" t="n">
        <f aca="false">LN(Narxlar!C17/Narxlar!C16)</f>
        <v>-0.00545326239197416</v>
      </c>
      <c r="J16" s="20" t="n">
        <f aca="false">LN(Narxlar!D17/Narxlar!D16)</f>
        <v>0.0129727441478585</v>
      </c>
      <c r="K16" s="20" t="n">
        <f aca="false">LN(Narxlar!E17/Narxlar!E16)</f>
        <v>-0.0056775060767197</v>
      </c>
      <c r="L16" s="20" t="n">
        <f aca="false">LN(Narxlar!F17/Narxlar!F16)</f>
        <v>-0.0144998925828704</v>
      </c>
      <c r="N16" s="8" t="s">
        <v>82</v>
      </c>
      <c r="O16" s="23" t="n">
        <f aca="false">SUM(B2:B505)</f>
        <v>0.232556453580054</v>
      </c>
      <c r="P16" s="23" t="n">
        <f aca="false">SUM(C2:C505)</f>
        <v>0.709712169650299</v>
      </c>
      <c r="Q16" s="23" t="n">
        <f aca="false">SUM(D2:D505)</f>
        <v>0.568950645698388</v>
      </c>
      <c r="R16" s="23" t="n">
        <f aca="false">SUM(E2:E505)</f>
        <v>0.156635546774077</v>
      </c>
      <c r="S16" s="23" t="n">
        <f aca="false">SUM(F2:F505)</f>
        <v>0.450693010945475</v>
      </c>
    </row>
    <row r="17" customFormat="false" ht="15" hidden="false" customHeight="false" outlineLevel="0" collapsed="false">
      <c r="A17" s="19" t="n">
        <f aca="false">Narxlar!A18</f>
        <v>45315</v>
      </c>
      <c r="B17" s="20" t="n">
        <f aca="false">Narxlar!B18/Narxlar!B17-1</f>
        <v>0.00708081864201504</v>
      </c>
      <c r="C17" s="20" t="n">
        <f aca="false">Narxlar!C18/Narxlar!C17-1</f>
        <v>0.00319676958021375</v>
      </c>
      <c r="D17" s="20" t="n">
        <f aca="false">Narxlar!D18/Narxlar!D17-1</f>
        <v>0.00706466051879406</v>
      </c>
      <c r="E17" s="20" t="n">
        <f aca="false">Narxlar!E18/Narxlar!E17-1</f>
        <v>0.018191917789196</v>
      </c>
      <c r="F17" s="20" t="n">
        <f aca="false">Narxlar!F18/Narxlar!F17-1</f>
        <v>0.00174766977363516</v>
      </c>
      <c r="H17" s="20" t="n">
        <f aca="false">LN(Narxlar!B18/Narxlar!B17)</f>
        <v>0.00705586736012333</v>
      </c>
      <c r="I17" s="20" t="n">
        <f aca="false">LN(Narxlar!C18/Narxlar!C17)</f>
        <v>0.0031916707759177</v>
      </c>
      <c r="J17" s="20" t="n">
        <f aca="false">LN(Narxlar!D18/Narxlar!D17)</f>
        <v>0.0070398227164881</v>
      </c>
      <c r="K17" s="20" t="n">
        <f aca="false">LN(Narxlar!E18/Narxlar!E17)</f>
        <v>0.0180284247107289</v>
      </c>
      <c r="L17" s="20" t="n">
        <f aca="false">LN(Narxlar!F18/Narxlar!F17)</f>
        <v>0.00174614437581883</v>
      </c>
    </row>
    <row r="18" customFormat="false" ht="15" hidden="false" customHeight="false" outlineLevel="0" collapsed="false">
      <c r="A18" s="19" t="n">
        <f aca="false">Narxlar!A19</f>
        <v>45316</v>
      </c>
      <c r="B18" s="20" t="n">
        <f aca="false">Narxlar!B19/Narxlar!B18-1</f>
        <v>0.0131677682637255</v>
      </c>
      <c r="C18" s="20" t="n">
        <f aca="false">Narxlar!C19/Narxlar!C18-1</f>
        <v>0.0130817610062892</v>
      </c>
      <c r="D18" s="20" t="n">
        <f aca="false">Narxlar!D19/Narxlar!D18-1</f>
        <v>0.0352897076148655</v>
      </c>
      <c r="E18" s="20" t="n">
        <f aca="false">Narxlar!E19/Narxlar!E18-1</f>
        <v>0.0151391162029459</v>
      </c>
      <c r="F18" s="20" t="n">
        <f aca="false">Narxlar!F19/Narxlar!F18-1</f>
        <v>0.024964692199053</v>
      </c>
      <c r="H18" s="20" t="n">
        <f aca="false">LN(Narxlar!B19/Narxlar!B18)</f>
        <v>0.0130818268191291</v>
      </c>
      <c r="I18" s="20" t="n">
        <f aca="false">LN(Narxlar!C19/Narxlar!C18)</f>
        <v>0.0129969337630218</v>
      </c>
      <c r="J18" s="20" t="n">
        <f aca="false">LN(Narxlar!D19/Narxlar!D18)</f>
        <v>0.0346812982886308</v>
      </c>
      <c r="K18" s="20" t="n">
        <f aca="false">LN(Narxlar!E19/Narxlar!E18)</f>
        <v>0.015025663400315</v>
      </c>
      <c r="L18" s="20" t="n">
        <f aca="false">LN(Narxlar!F19/Narxlar!F18)</f>
        <v>0.0246581653620023</v>
      </c>
      <c r="N18" s="10" t="s">
        <v>83</v>
      </c>
    </row>
    <row r="19" customFormat="false" ht="15" hidden="false" customHeight="false" outlineLevel="0" collapsed="false">
      <c r="A19" s="19" t="n">
        <f aca="false">Narxlar!A20</f>
        <v>45317</v>
      </c>
      <c r="B19" s="20" t="n">
        <f aca="false">Narxlar!B20/Narxlar!B19-1</f>
        <v>0.00261758857189243</v>
      </c>
      <c r="C19" s="20" t="n">
        <f aca="false">Narxlar!C20/Narxlar!C19-1</f>
        <v>0.00587699693733956</v>
      </c>
      <c r="D19" s="20" t="n">
        <f aca="false">Narxlar!D20/Narxlar!D19-1</f>
        <v>0.00982775565095939</v>
      </c>
      <c r="E19" s="20" t="n">
        <f aca="false">Narxlar!E20/Narxlar!E19-1</f>
        <v>0.00806126561870224</v>
      </c>
      <c r="F19" s="20" t="n">
        <f aca="false">Narxlar!F20/Narxlar!F19-1</f>
        <v>0.00656534954407295</v>
      </c>
      <c r="H19" s="20" t="n">
        <f aca="false">LN(Narxlar!B20/Narxlar!B19)</f>
        <v>0.00261416865358597</v>
      </c>
      <c r="I19" s="20" t="n">
        <f aca="false">LN(Narxlar!C20/Narxlar!C19)</f>
        <v>0.00585979475604487</v>
      </c>
      <c r="J19" s="20" t="n">
        <f aca="false">LN(Narxlar!D20/Narxlar!D19)</f>
        <v>0.00977977735030009</v>
      </c>
      <c r="K19" s="20" t="n">
        <f aca="false">LN(Narxlar!E20/Narxlar!E19)</f>
        <v>0.00802894718581815</v>
      </c>
      <c r="L19" s="20" t="n">
        <f aca="false">LN(Narxlar!F20/Narxlar!F19)</f>
        <v>0.00654389150523323</v>
      </c>
    </row>
    <row r="20" customFormat="false" ht="15" hidden="false" customHeight="false" outlineLevel="0" collapsed="false">
      <c r="A20" s="19" t="n">
        <f aca="false">Narxlar!A21</f>
        <v>45320</v>
      </c>
      <c r="B20" s="20" t="n">
        <f aca="false">Narxlar!B21/Narxlar!B20-1</f>
        <v>0.000485721802837347</v>
      </c>
      <c r="C20" s="20" t="n">
        <f aca="false">Narxlar!C21/Narxlar!C20-1</f>
        <v>-0.00131665569453587</v>
      </c>
      <c r="D20" s="20" t="n">
        <f aca="false">Narxlar!D21/Narxlar!D20-1</f>
        <v>-0.0117297546483635</v>
      </c>
      <c r="E20" s="20" t="n">
        <f aca="false">Narxlar!E21/Narxlar!E20-1</f>
        <v>0.0145275223244035</v>
      </c>
      <c r="F20" s="20" t="n">
        <f aca="false">Narxlar!F21/Narxlar!F20-1</f>
        <v>-0.00603937673632082</v>
      </c>
      <c r="H20" s="20" t="n">
        <f aca="false">LN(Narxlar!B21/Narxlar!B20)</f>
        <v>0.000485603878186642</v>
      </c>
      <c r="I20" s="20" t="n">
        <f aca="false">LN(Narxlar!C21/Narxlar!C20)</f>
        <v>-0.0013175232472406</v>
      </c>
      <c r="J20" s="20" t="n">
        <f aca="false">LN(Narxlar!D21/Narxlar!D20)</f>
        <v>-0.0117990909523034</v>
      </c>
      <c r="K20" s="20" t="n">
        <f aca="false">LN(Narxlar!E21/Narxlar!E20)</f>
        <v>0.0144230088703113</v>
      </c>
      <c r="L20" s="20" t="n">
        <f aca="false">LN(Narxlar!F21/Narxlar!F20)</f>
        <v>-0.00605768753309296</v>
      </c>
    </row>
    <row r="21" customFormat="false" ht="15" hidden="false" customHeight="false" outlineLevel="0" collapsed="false">
      <c r="A21" s="19" t="n">
        <f aca="false">Narxlar!A22</f>
        <v>45321</v>
      </c>
      <c r="B21" s="20" t="n">
        <f aca="false">Narxlar!B22/Narxlar!B21-1</f>
        <v>0.00690806109032049</v>
      </c>
      <c r="C21" s="20" t="n">
        <f aca="false">Narxlar!C22/Narxlar!C21-1</f>
        <v>-0.00972313777191824</v>
      </c>
      <c r="D21" s="20" t="n">
        <f aca="false">Narxlar!D22/Narxlar!D21-1</f>
        <v>-0.00886285891987149</v>
      </c>
      <c r="E21" s="20" t="n">
        <f aca="false">Narxlar!E22/Narxlar!E21-1</f>
        <v>0.0153704676826063</v>
      </c>
      <c r="F21" s="20" t="n">
        <f aca="false">Narxlar!F22/Narxlar!F21-1</f>
        <v>0.0231700895208005</v>
      </c>
      <c r="H21" s="20" t="n">
        <f aca="false">LN(Narxlar!B22/Narxlar!B21)</f>
        <v>0.00688430975734131</v>
      </c>
      <c r="I21" s="20" t="n">
        <f aca="false">LN(Narxlar!C22/Narxlar!C21)</f>
        <v>-0.00977071613449491</v>
      </c>
      <c r="J21" s="20" t="n">
        <f aca="false">LN(Narxlar!D22/Narxlar!D21)</f>
        <v>-0.00890236766752466</v>
      </c>
      <c r="K21" s="20" t="n">
        <f aca="false">LN(Narxlar!E22/Narxlar!E21)</f>
        <v>0.0152535386908308</v>
      </c>
      <c r="L21" s="20" t="n">
        <f aca="false">LN(Narxlar!F22/Narxlar!F21)</f>
        <v>0.0229057385651542</v>
      </c>
    </row>
    <row r="22" customFormat="false" ht="15" hidden="false" customHeight="false" outlineLevel="0" collapsed="false">
      <c r="A22" s="19" t="n">
        <f aca="false">Narxlar!A23</f>
        <v>45322</v>
      </c>
      <c r="B22" s="20" t="n">
        <f aca="false">Narxlar!B23/Narxlar!B22-1</f>
        <v>0.00465078902695049</v>
      </c>
      <c r="C22" s="20" t="n">
        <f aca="false">Narxlar!C23/Narxlar!C22-1</f>
        <v>0.00649026460309532</v>
      </c>
      <c r="D22" s="20" t="n">
        <f aca="false">Narxlar!D23/Narxlar!D22-1</f>
        <v>0.0113475919050359</v>
      </c>
      <c r="E22" s="20" t="n">
        <f aca="false">Narxlar!E23/Narxlar!E22-1</f>
        <v>-0.00129382843834902</v>
      </c>
      <c r="F22" s="20" t="n">
        <f aca="false">Narxlar!F23/Narxlar!F22-1</f>
        <v>0.00158359396650698</v>
      </c>
      <c r="H22" s="20" t="n">
        <f aca="false">LN(Narxlar!B23/Narxlar!B22)</f>
        <v>0.00464000752307353</v>
      </c>
      <c r="I22" s="20" t="n">
        <f aca="false">LN(Narxlar!C23/Narxlar!C22)</f>
        <v>0.00646929352544094</v>
      </c>
      <c r="J22" s="20" t="n">
        <f aca="false">LN(Narxlar!D23/Narxlar!D22)</f>
        <v>0.0112836909443111</v>
      </c>
      <c r="K22" s="20" t="n">
        <f aca="false">LN(Narxlar!E23/Narxlar!E22)</f>
        <v>-0.00129466615701708</v>
      </c>
      <c r="L22" s="20" t="n">
        <f aca="false">LN(Narxlar!F23/Narxlar!F22)</f>
        <v>0.00158234140377443</v>
      </c>
    </row>
    <row r="23" customFormat="false" ht="15" hidden="false" customHeight="false" outlineLevel="0" collapsed="false">
      <c r="A23" s="19" t="n">
        <f aca="false">Narxlar!A24</f>
        <v>45323</v>
      </c>
      <c r="B23" s="20" t="n">
        <f aca="false">Narxlar!B24/Narxlar!B23-1</f>
        <v>-0.00574908014717646</v>
      </c>
      <c r="C23" s="20" t="n">
        <f aca="false">Narxlar!C24/Narxlar!C23-1</f>
        <v>0.00859788359788349</v>
      </c>
      <c r="D23" s="20" t="n">
        <f aca="false">Narxlar!D24/Narxlar!D23-1</f>
        <v>-0.00139607032057909</v>
      </c>
      <c r="E23" s="20" t="n">
        <f aca="false">Narxlar!E24/Narxlar!E23-1</f>
        <v>-0.00259100919808264</v>
      </c>
      <c r="F23" s="20" t="n">
        <f aca="false">Narxlar!F24/Narxlar!F23-1</f>
        <v>0.000316218032333282</v>
      </c>
      <c r="H23" s="20" t="n">
        <f aca="false">LN(Narxlar!B24/Narxlar!B23)</f>
        <v>-0.00576566972219922</v>
      </c>
      <c r="I23" s="20" t="n">
        <f aca="false">LN(Narxlar!C24/Narxlar!C23)</f>
        <v>0.00856113230203359</v>
      </c>
      <c r="J23" s="20" t="n">
        <f aca="false">LN(Narxlar!D24/Narxlar!D23)</f>
        <v>-0.00139704573468591</v>
      </c>
      <c r="K23" s="20" t="n">
        <f aca="false">LN(Narxlar!E24/Narxlar!E23)</f>
        <v>-0.00259437167180429</v>
      </c>
      <c r="L23" s="20" t="n">
        <f aca="false">LN(Narxlar!F24/Narxlar!F23)</f>
        <v>0.000316168045948749</v>
      </c>
    </row>
    <row r="24" customFormat="false" ht="15" hidden="false" customHeight="false" outlineLevel="0" collapsed="false">
      <c r="A24" s="19" t="n">
        <f aca="false">Narxlar!A25</f>
        <v>45324</v>
      </c>
      <c r="B24" s="20" t="n">
        <f aca="false">Narxlar!B25/Narxlar!B24-1</f>
        <v>-0.00160899427801409</v>
      </c>
      <c r="C24" s="20" t="n">
        <f aca="false">Narxlar!C25/Narxlar!C24-1</f>
        <v>0.0037704918032786</v>
      </c>
      <c r="D24" s="20" t="n">
        <f aca="false">Narxlar!D25/Narxlar!D24-1</f>
        <v>0.00585098120437011</v>
      </c>
      <c r="E24" s="20" t="n">
        <f aca="false">Narxlar!E25/Narxlar!E24-1</f>
        <v>-0.0122093778412781</v>
      </c>
      <c r="F24" s="20" t="n">
        <f aca="false">Narxlar!F25/Narxlar!F24-1</f>
        <v>0.00825858458134121</v>
      </c>
      <c r="H24" s="20" t="n">
        <f aca="false">LN(Narxlar!B25/Narxlar!B24)</f>
        <v>-0.0016102900994735</v>
      </c>
      <c r="I24" s="20" t="n">
        <f aca="false">LN(Narxlar!C25/Narxlar!C24)</f>
        <v>0.00376340131655178</v>
      </c>
      <c r="J24" s="20" t="n">
        <f aca="false">LN(Narxlar!D25/Narxlar!D24)</f>
        <v>0.00583393068967647</v>
      </c>
      <c r="K24" s="20" t="n">
        <f aca="false">LN(Narxlar!E25/Narxlar!E24)</f>
        <v>-0.0122845245846563</v>
      </c>
      <c r="L24" s="20" t="n">
        <f aca="false">LN(Narxlar!F25/Narxlar!F24)</f>
        <v>0.00822466907314598</v>
      </c>
    </row>
    <row r="25" customFormat="false" ht="15" hidden="false" customHeight="false" outlineLevel="0" collapsed="false">
      <c r="A25" s="19" t="n">
        <f aca="false">Narxlar!A26</f>
        <v>45327</v>
      </c>
      <c r="B25" s="20" t="n">
        <f aca="false">Narxlar!B26/Narxlar!B25-1</f>
        <v>0.00511678971807306</v>
      </c>
      <c r="C25" s="20" t="n">
        <f aca="false">Narxlar!C26/Narxlar!C25-1</f>
        <v>0.000163318634656129</v>
      </c>
      <c r="D25" s="20" t="n">
        <f aca="false">Narxlar!D26/Narxlar!D25-1</f>
        <v>-0.01724492947596</v>
      </c>
      <c r="E25" s="20" t="n">
        <f aca="false">Narxlar!E26/Narxlar!E25-1</f>
        <v>0.00959894806048656</v>
      </c>
      <c r="F25" s="20" t="n">
        <f aca="false">Narxlar!F26/Narxlar!F25-1</f>
        <v>0.00830851230600405</v>
      </c>
      <c r="H25" s="20" t="n">
        <f aca="false">LN(Narxlar!B26/Narxlar!B25)</f>
        <v>0.00510374343403366</v>
      </c>
      <c r="I25" s="20" t="n">
        <f aca="false">LN(Narxlar!C26/Narxlar!C25)</f>
        <v>0.000163305299619803</v>
      </c>
      <c r="J25" s="20" t="n">
        <f aca="false">LN(Narxlar!D26/Narxlar!D25)</f>
        <v>-0.0173953551676166</v>
      </c>
      <c r="K25" s="20" t="n">
        <f aca="false">LN(Narxlar!E26/Narxlar!E25)</f>
        <v>0.00955317086734982</v>
      </c>
      <c r="L25" s="20" t="n">
        <f aca="false">LN(Narxlar!F26/Narxlar!F25)</f>
        <v>0.00827418661684696</v>
      </c>
    </row>
    <row r="26" customFormat="false" ht="15" hidden="false" customHeight="false" outlineLevel="0" collapsed="false">
      <c r="A26" s="19" t="n">
        <f aca="false">Narxlar!A27</f>
        <v>45328</v>
      </c>
      <c r="B26" s="20" t="n">
        <f aca="false">Narxlar!B27/Narxlar!B26-1</f>
        <v>-0.00542143923678962</v>
      </c>
      <c r="C26" s="20" t="n">
        <f aca="false">Narxlar!C27/Narxlar!C26-1</f>
        <v>-0.01208360548661</v>
      </c>
      <c r="D26" s="20" t="n">
        <f aca="false">Narxlar!D27/Narxlar!D26-1</f>
        <v>-0.00481902467131112</v>
      </c>
      <c r="E26" s="20" t="n">
        <f aca="false">Narxlar!E27/Narxlar!E26-1</f>
        <v>-0.0277415993748372</v>
      </c>
      <c r="F26" s="20" t="n">
        <f aca="false">Narxlar!F27/Narxlar!F26-1</f>
        <v>-0.019356343283582</v>
      </c>
      <c r="H26" s="20" t="n">
        <f aca="false">LN(Narxlar!B27/Narxlar!B26)</f>
        <v>-0.00543618857105563</v>
      </c>
      <c r="I26" s="20" t="n">
        <f aca="false">LN(Narxlar!C27/Narxlar!C26)</f>
        <v>-0.0121572057526872</v>
      </c>
      <c r="J26" s="20" t="n">
        <f aca="false">LN(Narxlar!D27/Narxlar!D26)</f>
        <v>-0.0048306736101193</v>
      </c>
      <c r="K26" s="20" t="n">
        <f aca="false">LN(Narxlar!E27/Narxlar!E26)</f>
        <v>-0.0281336655874523</v>
      </c>
      <c r="L26" s="20" t="n">
        <f aca="false">LN(Narxlar!F27/Narxlar!F26)</f>
        <v>-0.0195461303435894</v>
      </c>
    </row>
    <row r="27" customFormat="false" ht="15" hidden="false" customHeight="false" outlineLevel="0" collapsed="false">
      <c r="A27" s="19" t="n">
        <f aca="false">Narxlar!A28</f>
        <v>45329</v>
      </c>
      <c r="B27" s="20" t="n">
        <f aca="false">Narxlar!B28/Narxlar!B27-1</f>
        <v>0.000896743511204168</v>
      </c>
      <c r="C27" s="20" t="n">
        <f aca="false">Narxlar!C28/Narxlar!C27-1</f>
        <v>0.00710743801652902</v>
      </c>
      <c r="D27" s="20" t="n">
        <f aca="false">Narxlar!D28/Narxlar!D27-1</f>
        <v>0.00310542660140012</v>
      </c>
      <c r="E27" s="20" t="n">
        <f aca="false">Narxlar!E28/Narxlar!E27-1</f>
        <v>-0.000937709310113832</v>
      </c>
      <c r="F27" s="20" t="n">
        <f aca="false">Narxlar!F28/Narxlar!F27-1</f>
        <v>0.00150614347998412</v>
      </c>
      <c r="H27" s="20" t="n">
        <f aca="false">LN(Narxlar!B28/Narxlar!B27)</f>
        <v>0.000896341676951953</v>
      </c>
      <c r="I27" s="20" t="n">
        <f aca="false">LN(Narxlar!C28/Narxlar!C27)</f>
        <v>0.00708229922360733</v>
      </c>
      <c r="J27" s="20" t="n">
        <f aca="false">LN(Narxlar!D28/Narxlar!D27)</f>
        <v>0.00310061472359359</v>
      </c>
      <c r="K27" s="20" t="n">
        <f aca="false">LN(Narxlar!E28/Narxlar!E27)</f>
        <v>-0.000938149234524614</v>
      </c>
      <c r="L27" s="20" t="n">
        <f aca="false">LN(Narxlar!F28/Narxlar!F27)</f>
        <v>0.00150501038348756</v>
      </c>
    </row>
    <row r="28" customFormat="false" ht="15" hidden="false" customHeight="false" outlineLevel="0" collapsed="false">
      <c r="A28" s="19" t="n">
        <f aca="false">Narxlar!A29</f>
        <v>45330</v>
      </c>
      <c r="B28" s="20" t="n">
        <f aca="false">Narxlar!B29/Narxlar!B28-1</f>
        <v>0.0069863192969386</v>
      </c>
      <c r="C28" s="20" t="n">
        <f aca="false">Narxlar!C29/Narxlar!C28-1</f>
        <v>0.00771376989988504</v>
      </c>
      <c r="D28" s="20" t="n">
        <f aca="false">Narxlar!D29/Narxlar!D28-1</f>
        <v>0.0023612131388393</v>
      </c>
      <c r="E28" s="20" t="n">
        <f aca="false">Narxlar!E29/Narxlar!E28-1</f>
        <v>0</v>
      </c>
      <c r="F28" s="20" t="n">
        <f aca="false">Narxlar!F29/Narxlar!F28-1</f>
        <v>0.00368054456229228</v>
      </c>
      <c r="H28" s="20" t="n">
        <f aca="false">LN(Narxlar!B29/Narxlar!B28)</f>
        <v>0.00696202804030554</v>
      </c>
      <c r="I28" s="20" t="n">
        <f aca="false">LN(Narxlar!C29/Narxlar!C28)</f>
        <v>0.0076841708926937</v>
      </c>
      <c r="J28" s="20" t="n">
        <f aca="false">LN(Narxlar!D29/Narxlar!D28)</f>
        <v>0.00235842985551821</v>
      </c>
      <c r="K28" s="20" t="n">
        <f aca="false">LN(Narxlar!E29/Narxlar!E28)</f>
        <v>0</v>
      </c>
      <c r="L28" s="20" t="n">
        <f aca="false">LN(Narxlar!F29/Narxlar!F28)</f>
        <v>0.00367378793179958</v>
      </c>
    </row>
    <row r="29" customFormat="false" ht="15" hidden="false" customHeight="false" outlineLevel="0" collapsed="false">
      <c r="A29" s="19" t="n">
        <f aca="false">Narxlar!A30</f>
        <v>45331</v>
      </c>
      <c r="B29" s="20" t="n">
        <f aca="false">Narxlar!B30/Narxlar!B29-1</f>
        <v>1.99938019214141E-005</v>
      </c>
      <c r="C29" s="20" t="n">
        <f aca="false">Narxlar!C30/Narxlar!C29-1</f>
        <v>-0.00260586319218237</v>
      </c>
      <c r="D29" s="20" t="n">
        <f aca="false">Narxlar!D30/Narxlar!D29-1</f>
        <v>0.00937025598073604</v>
      </c>
      <c r="E29" s="20" t="n">
        <f aca="false">Narxlar!E30/Narxlar!E29-1</f>
        <v>-0.0096540627514079</v>
      </c>
      <c r="F29" s="20" t="n">
        <f aca="false">Narxlar!F30/Narxlar!F29-1</f>
        <v>-0.00764954063325574</v>
      </c>
      <c r="H29" s="20" t="n">
        <f aca="false">LN(Narxlar!B30/Narxlar!B29)</f>
        <v>1.99936020480206E-005</v>
      </c>
      <c r="I29" s="20" t="n">
        <f aca="false">LN(Narxlar!C30/Narxlar!C29)</f>
        <v>-0.00260926436361373</v>
      </c>
      <c r="J29" s="20" t="n">
        <f aca="false">LN(Narxlar!D30/Narxlar!D29)</f>
        <v>0.00932662746067394</v>
      </c>
      <c r="K29" s="20" t="n">
        <f aca="false">LN(Narxlar!E30/Narxlar!E29)</f>
        <v>-0.00970096532625762</v>
      </c>
      <c r="L29" s="20" t="n">
        <f aca="false">LN(Narxlar!F30/Narxlar!F29)</f>
        <v>-0.0076789484359862</v>
      </c>
    </row>
    <row r="30" customFormat="false" ht="15" hidden="false" customHeight="false" outlineLevel="0" collapsed="false">
      <c r="A30" s="19" t="n">
        <f aca="false">Narxlar!A31</f>
        <v>45334</v>
      </c>
      <c r="B30" s="20" t="n">
        <f aca="false">Narxlar!B31/Narxlar!B30-1</f>
        <v>0.0013795447502325</v>
      </c>
      <c r="C30" s="20" t="n">
        <f aca="false">Narxlar!C31/Narxlar!C30-1</f>
        <v>-0.00171456564337036</v>
      </c>
      <c r="D30" s="20" t="n">
        <f aca="false">Narxlar!D31/Narxlar!D30-1</f>
        <v>0.000933513121045504</v>
      </c>
      <c r="E30" s="20" t="n">
        <f aca="false">Narxlar!E31/Narxlar!E30-1</f>
        <v>0.000270782561603067</v>
      </c>
      <c r="F30" s="20" t="n">
        <f aca="false">Narxlar!F31/Narxlar!F30-1</f>
        <v>0.00369531529383726</v>
      </c>
      <c r="H30" s="20" t="n">
        <f aca="false">LN(Narxlar!B31/Narxlar!B30)</f>
        <v>0.00137859405262637</v>
      </c>
      <c r="I30" s="20" t="n">
        <f aca="false">LN(Narxlar!C31/Narxlar!C30)</f>
        <v>-0.00171603719332962</v>
      </c>
      <c r="J30" s="20" t="n">
        <f aca="false">LN(Narxlar!D31/Narxlar!D30)</f>
        <v>0.0009330776686512</v>
      </c>
      <c r="K30" s="20" t="n">
        <f aca="false">LN(Narxlar!E31/Narxlar!E30)</f>
        <v>0.000270745906622103</v>
      </c>
      <c r="L30" s="20" t="n">
        <f aca="false">LN(Narxlar!F31/Narxlar!F30)</f>
        <v>0.00368850439007791</v>
      </c>
    </row>
    <row r="31" customFormat="false" ht="15" hidden="false" customHeight="false" outlineLevel="0" collapsed="false">
      <c r="A31" s="19" t="n">
        <f aca="false">Narxlar!A32</f>
        <v>45335</v>
      </c>
      <c r="B31" s="20" t="n">
        <f aca="false">Narxlar!B32/Narxlar!B31-1</f>
        <v>0.00853540445837608</v>
      </c>
      <c r="C31" s="20" t="n">
        <f aca="false">Narxlar!C32/Narxlar!C31-1</f>
        <v>-0.00196286906027643</v>
      </c>
      <c r="D31" s="20" t="n">
        <f aca="false">Narxlar!D32/Narxlar!D31-1</f>
        <v>0.0130569948186527</v>
      </c>
      <c r="E31" s="20" t="n">
        <f aca="false">Narxlar!E32/Narxlar!E31-1</f>
        <v>-0.00730914997292909</v>
      </c>
      <c r="F31" s="20" t="n">
        <f aca="false">Narxlar!F32/Narxlar!F31-1</f>
        <v>0.0125494853523358</v>
      </c>
      <c r="H31" s="20" t="n">
        <f aca="false">LN(Narxlar!B32/Narxlar!B31)</f>
        <v>0.00849918385281872</v>
      </c>
      <c r="I31" s="20" t="n">
        <f aca="false">LN(Narxlar!C32/Narxlar!C31)</f>
        <v>-0.00196479801235054</v>
      </c>
      <c r="J31" s="20" t="n">
        <f aca="false">LN(Narxlar!D32/Narxlar!D31)</f>
        <v>0.0129724870783448</v>
      </c>
      <c r="K31" s="20" t="n">
        <f aca="false">LN(Narxlar!E32/Narxlar!E31)</f>
        <v>-0.00733599268785927</v>
      </c>
      <c r="L31" s="20" t="n">
        <f aca="false">LN(Narxlar!F32/Narxlar!F31)</f>
        <v>0.0124713932263016</v>
      </c>
    </row>
    <row r="32" customFormat="false" ht="15" hidden="false" customHeight="false" outlineLevel="0" collapsed="false">
      <c r="A32" s="19" t="n">
        <f aca="false">Narxlar!A33</f>
        <v>45336</v>
      </c>
      <c r="B32" s="20" t="n">
        <f aca="false">Narxlar!B33/Narxlar!B32-1</f>
        <v>0.00561241660562617</v>
      </c>
      <c r="C32" s="20" t="n">
        <f aca="false">Narxlar!C33/Narxlar!C32-1</f>
        <v>0.0172088830615422</v>
      </c>
      <c r="D32" s="20" t="n">
        <f aca="false">Narxlar!D33/Narxlar!D32-1</f>
        <v>0.00623977086743044</v>
      </c>
      <c r="E32" s="20" t="n">
        <f aca="false">Narxlar!E33/Narxlar!E32-1</f>
        <v>-0.00559040087264795</v>
      </c>
      <c r="F32" s="20" t="n">
        <f aca="false">Narxlar!F33/Narxlar!F32-1</f>
        <v>0.00301051726160217</v>
      </c>
      <c r="H32" s="20" t="n">
        <f aca="false">LN(Narxlar!B33/Narxlar!B32)</f>
        <v>0.00559672567752236</v>
      </c>
      <c r="I32" s="20" t="n">
        <f aca="false">LN(Narxlar!C33/Narxlar!C32)</f>
        <v>0.0170624873841083</v>
      </c>
      <c r="J32" s="20" t="n">
        <f aca="false">LN(Narxlar!D33/Narxlar!D32)</f>
        <v>0.00622038410138138</v>
      </c>
      <c r="K32" s="20" t="n">
        <f aca="false">LN(Narxlar!E33/Narxlar!E32)</f>
        <v>-0.00560608564703828</v>
      </c>
      <c r="L32" s="20" t="n">
        <f aca="false">LN(Narxlar!F33/Narxlar!F32)</f>
        <v>0.00300599472901242</v>
      </c>
    </row>
    <row r="33" customFormat="false" ht="15" hidden="false" customHeight="false" outlineLevel="0" collapsed="false">
      <c r="A33" s="19" t="n">
        <f aca="false">Narxlar!A34</f>
        <v>45337</v>
      </c>
      <c r="B33" s="20" t="n">
        <f aca="false">Narxlar!B34/Narxlar!B33-1</f>
        <v>-0.00367151280107869</v>
      </c>
      <c r="C33" s="20" t="n">
        <f aca="false">Narxlar!C34/Narxlar!C33-1</f>
        <v>-0.00314186739708366</v>
      </c>
      <c r="D33" s="20" t="n">
        <f aca="false">Narxlar!D34/Narxlar!D33-1</f>
        <v>0.00955575886957405</v>
      </c>
      <c r="E33" s="20" t="n">
        <f aca="false">Narxlar!E34/Narxlar!E33-1</f>
        <v>-0.0095982448923625</v>
      </c>
      <c r="F33" s="20" t="n">
        <f aca="false">Narxlar!F34/Narxlar!F33-1</f>
        <v>0.000701644967646464</v>
      </c>
      <c r="H33" s="20" t="n">
        <f aca="false">LN(Narxlar!B34/Narxlar!B33)</f>
        <v>-0.00367826934710292</v>
      </c>
      <c r="I33" s="20" t="n">
        <f aca="false">LN(Narxlar!C34/Narxlar!C33)</f>
        <v>-0.00314681342501368</v>
      </c>
      <c r="J33" s="20" t="n">
        <f aca="false">LN(Narxlar!D34/Narxlar!D33)</f>
        <v>0.0095103913906006</v>
      </c>
      <c r="K33" s="20" t="n">
        <f aca="false">LN(Narxlar!E34/Narxlar!E33)</f>
        <v>-0.0096446049333862</v>
      </c>
      <c r="L33" s="20" t="n">
        <f aca="false">LN(Narxlar!F34/Narxlar!F33)</f>
        <v>0.000701398929896858</v>
      </c>
    </row>
    <row r="34" customFormat="false" ht="15" hidden="false" customHeight="false" outlineLevel="0" collapsed="false">
      <c r="A34" s="19" t="n">
        <f aca="false">Narxlar!A35</f>
        <v>45338</v>
      </c>
      <c r="B34" s="20" t="n">
        <f aca="false">Narxlar!B35/Narxlar!B34-1</f>
        <v>-0.00903971547125082</v>
      </c>
      <c r="C34" s="20" t="n">
        <f aca="false">Narxlar!C35/Narxlar!C34-1</f>
        <v>0.00444480362049449</v>
      </c>
      <c r="D34" s="20" t="n">
        <f aca="false">Narxlar!D35/Narxlar!D34-1</f>
        <v>-0.00181250629342467</v>
      </c>
      <c r="E34" s="20" t="n">
        <f aca="false">Narxlar!E35/Narxlar!E34-1</f>
        <v>-0.0171673819742489</v>
      </c>
      <c r="F34" s="20" t="n">
        <f aca="false">Narxlar!F35/Narxlar!F34-1</f>
        <v>-0.0110236833904643</v>
      </c>
      <c r="H34" s="20" t="n">
        <f aca="false">LN(Narxlar!B35/Narxlar!B34)</f>
        <v>-0.00908082161188045</v>
      </c>
      <c r="I34" s="20" t="n">
        <f aca="false">LN(Narxlar!C35/Narxlar!C34)</f>
        <v>0.0044349546545773</v>
      </c>
      <c r="J34" s="20" t="n">
        <f aca="false">LN(Narxlar!D35/Narxlar!D34)</f>
        <v>-0.00181415087046111</v>
      </c>
      <c r="K34" s="20" t="n">
        <f aca="false">LN(Narxlar!E35/Narxlar!E34)</f>
        <v>-0.0173164500114609</v>
      </c>
      <c r="L34" s="20" t="n">
        <f aca="false">LN(Narxlar!F35/Narxlar!F34)</f>
        <v>-0.0110848944514771</v>
      </c>
    </row>
    <row r="35" customFormat="false" ht="15" hidden="false" customHeight="false" outlineLevel="0" collapsed="false">
      <c r="A35" s="19" t="n">
        <f aca="false">Narxlar!A36</f>
        <v>45341</v>
      </c>
      <c r="B35" s="20" t="n">
        <f aca="false">Narxlar!B36/Narxlar!B35-1</f>
        <v>0.0117043018792682</v>
      </c>
      <c r="C35" s="20" t="n">
        <f aca="false">Narxlar!C36/Narxlar!C35-1</f>
        <v>0.0202751629254163</v>
      </c>
      <c r="D35" s="20" t="n">
        <f aca="false">Narxlar!D36/Narxlar!D35-1</f>
        <v>0.00917986482396849</v>
      </c>
      <c r="E35" s="20" t="n">
        <f aca="false">Narxlar!E36/Narxlar!E35-1</f>
        <v>0.0170446541766447</v>
      </c>
      <c r="F35" s="20" t="n">
        <f aca="false">Narxlar!F36/Narxlar!F35-1</f>
        <v>-0.00382055220764899</v>
      </c>
      <c r="H35" s="20" t="n">
        <f aca="false">LN(Narxlar!B36/Narxlar!B35)</f>
        <v>0.0116363363500221</v>
      </c>
      <c r="I35" s="20" t="n">
        <f aca="false">LN(Narxlar!C36/Narxlar!C35)</f>
        <v>0.020072358489388</v>
      </c>
      <c r="J35" s="20" t="n">
        <f aca="false">LN(Narxlar!D36/Narxlar!D35)</f>
        <v>0.00913798596461215</v>
      </c>
      <c r="K35" s="20" t="n">
        <f aca="false">LN(Narxlar!E36/Narxlar!E35)</f>
        <v>0.0169010238474861</v>
      </c>
      <c r="L35" s="20" t="n">
        <f aca="false">LN(Narxlar!F36/Narxlar!F35)</f>
        <v>-0.00382786915971185</v>
      </c>
    </row>
    <row r="36" customFormat="false" ht="15" hidden="false" customHeight="false" outlineLevel="0" collapsed="false">
      <c r="A36" s="19" t="n">
        <f aca="false">Narxlar!A37</f>
        <v>45342</v>
      </c>
      <c r="B36" s="20" t="n">
        <f aca="false">Narxlar!B37/Narxlar!B36-1</f>
        <v>-0.0042866011687146</v>
      </c>
      <c r="C36" s="20" t="n">
        <f aca="false">Narxlar!C37/Narxlar!C36-1</f>
        <v>0.0020503114896302</v>
      </c>
      <c r="D36" s="20" t="n">
        <f aca="false">Narxlar!D37/Narxlar!D36-1</f>
        <v>-0.00504798080767688</v>
      </c>
      <c r="E36" s="20" t="n">
        <f aca="false">Narxlar!E37/Narxlar!E36-1</f>
        <v>-0.000415512465373968</v>
      </c>
      <c r="F36" s="20" t="n">
        <f aca="false">Narxlar!F37/Narxlar!F36-1</f>
        <v>0.0122568401075438</v>
      </c>
      <c r="H36" s="20" t="n">
        <f aca="false">LN(Narxlar!B37/Narxlar!B36)</f>
        <v>-0.00429581498356472</v>
      </c>
      <c r="I36" s="20" t="n">
        <f aca="false">LN(Narxlar!C37/Narxlar!C36)</f>
        <v>0.00204821246963481</v>
      </c>
      <c r="J36" s="20" t="n">
        <f aca="false">LN(Narxlar!D37/Narxlar!D36)</f>
        <v>-0.00506076490352151</v>
      </c>
      <c r="K36" s="20" t="n">
        <f aca="false">LN(Narxlar!E37/Narxlar!E36)</f>
        <v>-0.00041559881459869</v>
      </c>
      <c r="L36" s="20" t="n">
        <f aca="false">LN(Narxlar!F37/Narxlar!F36)</f>
        <v>0.0121823332375511</v>
      </c>
    </row>
    <row r="37" customFormat="false" ht="15" hidden="false" customHeight="false" outlineLevel="0" collapsed="false">
      <c r="A37" s="19" t="n">
        <f aca="false">Narxlar!A38</f>
        <v>45343</v>
      </c>
      <c r="B37" s="20" t="n">
        <f aca="false">Narxlar!B38/Narxlar!B37-1</f>
        <v>5.93800720478654E-005</v>
      </c>
      <c r="C37" s="20" t="n">
        <f aca="false">Narxlar!C38/Narxlar!C37-1</f>
        <v>-0.00330526481466908</v>
      </c>
      <c r="D37" s="20" t="n">
        <f aca="false">Narxlar!D38/Narxlar!D37-1</f>
        <v>-0.0288340784648616</v>
      </c>
      <c r="E37" s="20" t="n">
        <f aca="false">Narxlar!E38/Narxlar!E37-1</f>
        <v>-0.0102535679645281</v>
      </c>
      <c r="F37" s="20" t="n">
        <f aca="false">Narxlar!F38/Narxlar!F37-1</f>
        <v>-0.0052339660963987</v>
      </c>
      <c r="H37" s="20" t="n">
        <f aca="false">LN(Narxlar!B38/Narxlar!B37)</f>
        <v>5.93783091211754E-005</v>
      </c>
      <c r="I37" s="20" t="n">
        <f aca="false">LN(Narxlar!C38/Narxlar!C37)</f>
        <v>-0.00331073926875878</v>
      </c>
      <c r="J37" s="20" t="n">
        <f aca="false">LN(Narxlar!D38/Narxlar!D37)</f>
        <v>-0.0292579483214314</v>
      </c>
      <c r="K37" s="20" t="n">
        <f aca="false">LN(Narxlar!E38/Narxlar!E37)</f>
        <v>-0.0103064979173007</v>
      </c>
      <c r="L37" s="20" t="n">
        <f aca="false">LN(Narxlar!F38/Narxlar!F37)</f>
        <v>-0.005247711279139</v>
      </c>
    </row>
    <row r="38" customFormat="false" ht="15" hidden="false" customHeight="false" outlineLevel="0" collapsed="false">
      <c r="A38" s="19" t="n">
        <f aca="false">Narxlar!A39</f>
        <v>45344</v>
      </c>
      <c r="B38" s="20" t="n">
        <f aca="false">Narxlar!B39/Narxlar!B38-1</f>
        <v>0.0487382483918852</v>
      </c>
      <c r="C38" s="20" t="n">
        <f aca="false">Narxlar!C39/Narxlar!C38-1</f>
        <v>0.0773786024476906</v>
      </c>
      <c r="D38" s="20" t="n">
        <f aca="false">Narxlar!D39/Narxlar!D38-1</f>
        <v>0.0490870532250556</v>
      </c>
      <c r="E38" s="20" t="n">
        <f aca="false">Narxlar!E39/Narxlar!E38-1</f>
        <v>0.0275794484110319</v>
      </c>
      <c r="F38" s="20" t="n">
        <f aca="false">Narxlar!F39/Narxlar!F38-1</f>
        <v>0.0844981938118423</v>
      </c>
      <c r="H38" s="20" t="n">
        <f aca="false">LN(Narxlar!B39/Narxlar!B38)</f>
        <v>0.0475877733890708</v>
      </c>
      <c r="I38" s="20" t="n">
        <f aca="false">LN(Narxlar!C39/Narxlar!C38)</f>
        <v>0.0745308707066633</v>
      </c>
      <c r="J38" s="20" t="n">
        <f aca="false">LN(Narxlar!D39/Narxlar!D38)</f>
        <v>0.0479203128394396</v>
      </c>
      <c r="K38" s="20" t="n">
        <f aca="false">LN(Narxlar!E39/Narxlar!E38)</f>
        <v>0.0272059864535889</v>
      </c>
      <c r="L38" s="20" t="n">
        <f aca="false">LN(Narxlar!F39/Narxlar!F38)</f>
        <v>0.0811173858263672</v>
      </c>
    </row>
    <row r="39" customFormat="false" ht="15" hidden="false" customHeight="false" outlineLevel="0" collapsed="false">
      <c r="A39" s="19" t="n">
        <f aca="false">Narxlar!A40</f>
        <v>45345</v>
      </c>
      <c r="B39" s="20" t="n">
        <f aca="false">Narxlar!B40/Narxlar!B39-1</f>
        <v>0.00117952347251715</v>
      </c>
      <c r="C39" s="20" t="n">
        <f aca="false">Narxlar!C40/Narxlar!C39-1</f>
        <v>0.00762183950164896</v>
      </c>
      <c r="D39" s="20" t="n">
        <f aca="false">Narxlar!D40/Narxlar!D39-1</f>
        <v>-0.00488117542648658</v>
      </c>
      <c r="E39" s="20" t="n">
        <f aca="false">Narxlar!E40/Narxlar!E39-1</f>
        <v>0.00136239782016356</v>
      </c>
      <c r="F39" s="20" t="n">
        <f aca="false">Narxlar!F40/Narxlar!F39-1</f>
        <v>0.00890658942795075</v>
      </c>
      <c r="H39" s="20" t="n">
        <f aca="false">LN(Narxlar!B40/Narxlar!B39)</f>
        <v>0.00117882838123667</v>
      </c>
      <c r="I39" s="20" t="n">
        <f aca="false">LN(Narxlar!C40/Narxlar!C39)</f>
        <v>0.00759294003479491</v>
      </c>
      <c r="J39" s="20" t="n">
        <f aca="false">LN(Narxlar!D40/Narxlar!D39)</f>
        <v>-0.00489312727182265</v>
      </c>
      <c r="K39" s="20" t="n">
        <f aca="false">LN(Narxlar!E40/Narxlar!E39)</f>
        <v>0.00136147059832117</v>
      </c>
      <c r="L39" s="20" t="n">
        <f aca="false">LN(Narxlar!F40/Narxlar!F39)</f>
        <v>0.00886715971025393</v>
      </c>
    </row>
    <row r="40" customFormat="false" ht="15" hidden="false" customHeight="false" outlineLevel="0" collapsed="false">
      <c r="A40" s="19" t="n">
        <f aca="false">Narxlar!A41</f>
        <v>45348</v>
      </c>
      <c r="B40" s="20" t="n">
        <f aca="false">Narxlar!B41/Narxlar!B40-1</f>
        <v>-0.0103864278982092</v>
      </c>
      <c r="C40" s="20" t="n">
        <f aca="false">Narxlar!C41/Narxlar!C40-1</f>
        <v>-0.0208742453996654</v>
      </c>
      <c r="D40" s="20" t="n">
        <f aca="false">Narxlar!D41/Narxlar!D40-1</f>
        <v>0</v>
      </c>
      <c r="E40" s="20" t="n">
        <f aca="false">Narxlar!E41/Narxlar!E40-1</f>
        <v>0.00816326530612255</v>
      </c>
      <c r="F40" s="20" t="n">
        <f aca="false">Narxlar!F41/Narxlar!F40-1</f>
        <v>-0.00936625278116698</v>
      </c>
      <c r="H40" s="20" t="n">
        <f aca="false">LN(Narxlar!B41/Narxlar!B40)</f>
        <v>-0.0104407432628699</v>
      </c>
      <c r="I40" s="20" t="n">
        <f aca="false">LN(Narxlar!C41/Narxlar!C40)</f>
        <v>-0.0210951926065753</v>
      </c>
      <c r="J40" s="20" t="n">
        <f aca="false">LN(Narxlar!D41/Narxlar!D40)</f>
        <v>0</v>
      </c>
      <c r="K40" s="20" t="n">
        <f aca="false">LN(Narxlar!E41/Narxlar!E40)</f>
        <v>0.00813012608325031</v>
      </c>
      <c r="L40" s="20" t="n">
        <f aca="false">LN(Narxlar!F41/Narxlar!F40)</f>
        <v>-0.00941039195539204</v>
      </c>
    </row>
    <row r="41" customFormat="false" ht="15" hidden="false" customHeight="false" outlineLevel="0" collapsed="false">
      <c r="A41" s="19" t="n">
        <f aca="false">Narxlar!A42</f>
        <v>45349</v>
      </c>
      <c r="B41" s="20" t="n">
        <f aca="false">Narxlar!B42/Narxlar!B41-1</f>
        <v>0.00264766947941864</v>
      </c>
      <c r="C41" s="20" t="n">
        <f aca="false">Narxlar!C42/Narxlar!C41-1</f>
        <v>0.0116624572871786</v>
      </c>
      <c r="D41" s="20" t="n">
        <f aca="false">Narxlar!D42/Narxlar!D41-1</f>
        <v>-0.000545013129861771</v>
      </c>
      <c r="E41" s="20" t="n">
        <f aca="false">Narxlar!E42/Narxlar!E41-1</f>
        <v>0.0128205128205128</v>
      </c>
      <c r="F41" s="20" t="n">
        <f aca="false">Narxlar!F42/Narxlar!F41-1</f>
        <v>0.0122079333454084</v>
      </c>
      <c r="H41" s="20" t="n">
        <f aca="false">LN(Narxlar!B42/Narxlar!B41)</f>
        <v>0.00264417057717956</v>
      </c>
      <c r="I41" s="20" t="n">
        <f aca="false">LN(Narxlar!C42/Narxlar!C41)</f>
        <v>0.0115949749982988</v>
      </c>
      <c r="J41" s="20" t="n">
        <f aca="false">LN(Narxlar!D42/Narxlar!D41)</f>
        <v>-0.000545161703503141</v>
      </c>
      <c r="K41" s="20" t="n">
        <f aca="false">LN(Narxlar!E42/Narxlar!E41)</f>
        <v>0.0127390257774297</v>
      </c>
      <c r="L41" s="20" t="n">
        <f aca="false">LN(Narxlar!F42/Narxlar!F41)</f>
        <v>0.0121340174922872</v>
      </c>
    </row>
    <row r="42" customFormat="false" ht="15" hidden="false" customHeight="false" outlineLevel="0" collapsed="false">
      <c r="A42" s="19" t="n">
        <f aca="false">Narxlar!A43</f>
        <v>45350</v>
      </c>
      <c r="B42" s="20" t="n">
        <f aca="false">Narxlar!B43/Narxlar!B42-1</f>
        <v>0.00242220449105202</v>
      </c>
      <c r="C42" s="20" t="n">
        <f aca="false">Narxlar!C43/Narxlar!C42-1</f>
        <v>-0.0146119392025846</v>
      </c>
      <c r="D42" s="20" t="n">
        <f aca="false">Narxlar!D43/Narxlar!D42-1</f>
        <v>0.0235474915724767</v>
      </c>
      <c r="E42" s="20" t="n">
        <f aca="false">Narxlar!E43/Narxlar!E42-1</f>
        <v>-0.00692871419053964</v>
      </c>
      <c r="F42" s="20" t="n">
        <f aca="false">Narxlar!F43/Narxlar!F42-1</f>
        <v>0.000143153675470575</v>
      </c>
      <c r="H42" s="20" t="n">
        <f aca="false">LN(Narxlar!B43/Narxlar!B42)</f>
        <v>0.00241927568224959</v>
      </c>
      <c r="I42" s="20" t="n">
        <f aca="false">LN(Narxlar!C43/Narxlar!C42)</f>
        <v>-0.0147197450432846</v>
      </c>
      <c r="J42" s="20" t="n">
        <f aca="false">LN(Narxlar!D43/Narxlar!D42)</f>
        <v>0.0232745261882635</v>
      </c>
      <c r="K42" s="20" t="n">
        <f aca="false">LN(Narxlar!E43/Narxlar!E42)</f>
        <v>-0.00695282918586851</v>
      </c>
      <c r="L42" s="20" t="n">
        <f aca="false">LN(Narxlar!F43/Narxlar!F42)</f>
        <v>0.000143143429960952</v>
      </c>
    </row>
    <row r="43" customFormat="false" ht="15" hidden="false" customHeight="false" outlineLevel="0" collapsed="false">
      <c r="A43" s="19" t="n">
        <f aca="false">Narxlar!A44</f>
        <v>45351</v>
      </c>
      <c r="B43" s="20" t="n">
        <f aca="false">Narxlar!B44/Narxlar!B43-1</f>
        <v>0.00100444419175405</v>
      </c>
      <c r="C43" s="20" t="n">
        <f aca="false">Narxlar!C44/Narxlar!C43-1</f>
        <v>0.00551415797317434</v>
      </c>
      <c r="D43" s="20" t="n">
        <f aca="false">Narxlar!D44/Narxlar!D43-1</f>
        <v>0.0044074199641595</v>
      </c>
      <c r="E43" s="20" t="n">
        <f aca="false">Narxlar!E44/Narxlar!E43-1</f>
        <v>-0.00563531463840061</v>
      </c>
      <c r="F43" s="20" t="n">
        <f aca="false">Narxlar!F44/Narxlar!F43-1</f>
        <v>0.00429399556287136</v>
      </c>
      <c r="H43" s="20" t="n">
        <f aca="false">LN(Narxlar!B44/Narxlar!B43)</f>
        <v>0.00100394007522991</v>
      </c>
      <c r="I43" s="20" t="n">
        <f aca="false">LN(Narxlar!C44/Narxlar!C43)</f>
        <v>0.00549901066169787</v>
      </c>
      <c r="J43" s="20" t="n">
        <f aca="false">LN(Narxlar!D44/Narxlar!D43)</f>
        <v>0.00439773573334416</v>
      </c>
      <c r="K43" s="20" t="n">
        <f aca="false">LN(Narxlar!E44/Narxlar!E43)</f>
        <v>-0.00565125293033492</v>
      </c>
      <c r="L43" s="20" t="n">
        <f aca="false">LN(Narxlar!F44/Narxlar!F43)</f>
        <v>0.00428480267068792</v>
      </c>
    </row>
    <row r="44" customFormat="false" ht="15" hidden="false" customHeight="false" outlineLevel="0" collapsed="false">
      <c r="A44" s="19" t="n">
        <f aca="false">Narxlar!A45</f>
        <v>45352</v>
      </c>
      <c r="B44" s="20" t="n">
        <f aca="false">Narxlar!B45/Narxlar!B44-1</f>
        <v>0.00549996686766963</v>
      </c>
      <c r="C44" s="20" t="n">
        <f aca="false">Narxlar!C45/Narxlar!C44-1</f>
        <v>-0.0107455165258633</v>
      </c>
      <c r="D44" s="20" t="n">
        <f aca="false">Narxlar!D45/Narxlar!D44-1</f>
        <v>0.0149484038962291</v>
      </c>
      <c r="E44" s="20" t="n">
        <f aca="false">Narxlar!E45/Narxlar!E44-1</f>
        <v>0.0143030630144381</v>
      </c>
      <c r="F44" s="20" t="n">
        <f aca="false">Narxlar!F45/Narxlar!F44-1</f>
        <v>0.00481009050096204</v>
      </c>
      <c r="H44" s="20" t="n">
        <f aca="false">LN(Narxlar!B45/Narxlar!B44)</f>
        <v>0.00548489727946981</v>
      </c>
      <c r="I44" s="20" t="n">
        <f aca="false">LN(Narxlar!C45/Narxlar!C44)</f>
        <v>-0.0108036665316383</v>
      </c>
      <c r="J44" s="20" t="n">
        <f aca="false">LN(Narxlar!D45/Narxlar!D44)</f>
        <v>0.0148377776019051</v>
      </c>
      <c r="K44" s="20" t="n">
        <f aca="false">LN(Narxlar!E45/Narxlar!E44)</f>
        <v>0.0142017392261101</v>
      </c>
      <c r="L44" s="20" t="n">
        <f aca="false">LN(Narxlar!F45/Narxlar!F44)</f>
        <v>0.00479855897930561</v>
      </c>
    </row>
    <row r="45" customFormat="false" ht="15" hidden="false" customHeight="false" outlineLevel="0" collapsed="false">
      <c r="A45" s="19" t="n">
        <f aca="false">Narxlar!A46</f>
        <v>45355</v>
      </c>
      <c r="B45" s="20" t="n">
        <f aca="false">Narxlar!B46/Narxlar!B45-1</f>
        <v>0.00154399442655651</v>
      </c>
      <c r="C45" s="20" t="n">
        <f aca="false">Narxlar!C46/Narxlar!C45-1</f>
        <v>-0.00157315154693238</v>
      </c>
      <c r="D45" s="20" t="n">
        <f aca="false">Narxlar!D46/Narxlar!D45-1</f>
        <v>0.0104522995058913</v>
      </c>
      <c r="E45" s="20" t="n">
        <f aca="false">Narxlar!E46/Narxlar!E45-1</f>
        <v>-0.00758281229213786</v>
      </c>
      <c r="F45" s="20" t="n">
        <f aca="false">Narxlar!F46/Narxlar!F45-1</f>
        <v>-0.00368781248891881</v>
      </c>
      <c r="H45" s="20" t="n">
        <f aca="false">LN(Narxlar!B46/Narxlar!B45)</f>
        <v>0.00154280369266198</v>
      </c>
      <c r="I45" s="20" t="n">
        <f aca="false">LN(Narxlar!C46/Narxlar!C45)</f>
        <v>-0.00157439024910847</v>
      </c>
      <c r="J45" s="20" t="n">
        <f aca="false">LN(Narxlar!D46/Narxlar!D45)</f>
        <v>0.0103980519041005</v>
      </c>
      <c r="K45" s="20" t="n">
        <f aca="false">LN(Narxlar!E46/Narxlar!E45)</f>
        <v>-0.00761170797966239</v>
      </c>
      <c r="L45" s="20" t="n">
        <f aca="false">LN(Narxlar!F46/Narxlar!F45)</f>
        <v>-0.00369462923380738</v>
      </c>
    </row>
    <row r="46" customFormat="false" ht="15" hidden="false" customHeight="false" outlineLevel="0" collapsed="false">
      <c r="A46" s="19" t="n">
        <f aca="false">Narxlar!A47</f>
        <v>45356</v>
      </c>
      <c r="B46" s="20" t="n">
        <f aca="false">Narxlar!B47/Narxlar!B46-1</f>
        <v>0.00610065612603639</v>
      </c>
      <c r="C46" s="20" t="n">
        <f aca="false">Narxlar!C47/Narxlar!C46-1</f>
        <v>0.00660264105642261</v>
      </c>
      <c r="D46" s="20" t="n">
        <f aca="false">Narxlar!D47/Narxlar!D46-1</f>
        <v>0.0178672183562159</v>
      </c>
      <c r="E46" s="20" t="n">
        <f aca="false">Narxlar!E47/Narxlar!E46-1</f>
        <v>0.00938337801608569</v>
      </c>
      <c r="F46" s="20" t="n">
        <f aca="false">Narxlar!F47/Narxlar!F46-1</f>
        <v>0.0170836744136385</v>
      </c>
      <c r="H46" s="20" t="n">
        <f aca="false">LN(Narxlar!B47/Narxlar!B46)</f>
        <v>0.0060821224635893</v>
      </c>
      <c r="I46" s="20" t="n">
        <f aca="false">LN(Narxlar!C47/Narxlar!C46)</f>
        <v>0.00658093909642089</v>
      </c>
      <c r="J46" s="20" t="n">
        <f aca="false">LN(Narxlar!D47/Narxlar!D46)</f>
        <v>0.0177094757863401</v>
      </c>
      <c r="K46" s="20" t="n">
        <f aca="false">LN(Narxlar!E47/Narxlar!E46)</f>
        <v>0.00933962759613262</v>
      </c>
      <c r="L46" s="20" t="n">
        <f aca="false">LN(Narxlar!F47/Narxlar!F46)</f>
        <v>0.0169393894082525</v>
      </c>
    </row>
    <row r="47" customFormat="false" ht="15" hidden="false" customHeight="false" outlineLevel="0" collapsed="false">
      <c r="A47" s="19" t="n">
        <f aca="false">Narxlar!A48</f>
        <v>45357</v>
      </c>
      <c r="B47" s="20" t="n">
        <f aca="false">Narxlar!B48/Narxlar!B47-1</f>
        <v>-0.0342984742738086</v>
      </c>
      <c r="C47" s="20" t="n">
        <f aca="false">Narxlar!C48/Narxlar!C47-1</f>
        <v>-0.0421884317233154</v>
      </c>
      <c r="D47" s="20" t="n">
        <f aca="false">Narxlar!D48/Narxlar!D47-1</f>
        <v>-0.0364929785661493</v>
      </c>
      <c r="E47" s="20" t="n">
        <f aca="false">Narxlar!E48/Narxlar!E47-1</f>
        <v>-0.0367861885790173</v>
      </c>
      <c r="F47" s="20" t="n">
        <f aca="false">Narxlar!F48/Narxlar!F47-1</f>
        <v>-0.0232704622598593</v>
      </c>
      <c r="H47" s="20" t="n">
        <f aca="false">LN(Narxlar!B48/Narxlar!B47)</f>
        <v>-0.0349004720931562</v>
      </c>
      <c r="I47" s="20" t="n">
        <f aca="false">LN(Narxlar!C48/Narxlar!C47)</f>
        <v>-0.0431042131796789</v>
      </c>
      <c r="J47" s="20" t="n">
        <f aca="false">LN(Narxlar!D48/Narxlar!D47)</f>
        <v>-0.0371755037294111</v>
      </c>
      <c r="K47" s="20" t="n">
        <f aca="false">LN(Narxlar!E48/Narxlar!E47)</f>
        <v>-0.0374798654305269</v>
      </c>
      <c r="L47" s="20" t="n">
        <f aca="false">LN(Narxlar!F48/Narxlar!F47)</f>
        <v>-0.0235454945982216</v>
      </c>
    </row>
    <row r="48" customFormat="false" ht="15" hidden="false" customHeight="false" outlineLevel="0" collapsed="false">
      <c r="A48" s="19" t="n">
        <f aca="false">Narxlar!A49</f>
        <v>45358</v>
      </c>
      <c r="B48" s="20" t="n">
        <f aca="false">Narxlar!B49/Narxlar!B48-1</f>
        <v>-0.0320433436532507</v>
      </c>
      <c r="C48" s="20" t="n">
        <f aca="false">Narxlar!C49/Narxlar!C48-1</f>
        <v>-0.03431906614786</v>
      </c>
      <c r="D48" s="20" t="n">
        <f aca="false">Narxlar!D49/Narxlar!D48-1</f>
        <v>-0.0432447981589798</v>
      </c>
      <c r="E48" s="20" t="n">
        <f aca="false">Narxlar!E49/Narxlar!E48-1</f>
        <v>-0.019164483661933</v>
      </c>
      <c r="F48" s="20" t="n">
        <f aca="false">Narxlar!F49/Narxlar!F48-1</f>
        <v>-0.0508741759816567</v>
      </c>
      <c r="H48" s="20" t="n">
        <f aca="false">LN(Narxlar!B49/Narxlar!B48)</f>
        <v>-0.0325679692093495</v>
      </c>
      <c r="I48" s="20" t="n">
        <f aca="false">LN(Narxlar!C49/Narxlar!C48)</f>
        <v>-0.0349217955487463</v>
      </c>
      <c r="J48" s="20" t="n">
        <f aca="false">LN(Narxlar!D49/Narxlar!D48)</f>
        <v>-0.0442077177002302</v>
      </c>
      <c r="K48" s="20" t="n">
        <f aca="false">LN(Narxlar!E49/Narxlar!E48)</f>
        <v>-0.0193505028550119</v>
      </c>
      <c r="L48" s="20" t="n">
        <f aca="false">LN(Narxlar!F49/Narxlar!F48)</f>
        <v>-0.05221390326174</v>
      </c>
    </row>
    <row r="49" customFormat="false" ht="15" hidden="false" customHeight="false" outlineLevel="0" collapsed="false">
      <c r="A49" s="19" t="n">
        <f aca="false">Narxlar!A50</f>
        <v>45359</v>
      </c>
      <c r="B49" s="20" t="n">
        <f aca="false">Narxlar!B50/Narxlar!B49-1</f>
        <v>0.0134135614904844</v>
      </c>
      <c r="C49" s="20" t="n">
        <f aca="false">Narxlar!C50/Narxlar!C49-1</f>
        <v>0.034813441856717</v>
      </c>
      <c r="D49" s="20" t="n">
        <f aca="false">Narxlar!D50/Narxlar!D49-1</f>
        <v>0.0111244738424534</v>
      </c>
      <c r="E49" s="20" t="n">
        <f aca="false">Narxlar!E50/Narxlar!E49-1</f>
        <v>0.0154624683722238</v>
      </c>
      <c r="F49" s="20" t="n">
        <f aca="false">Narxlar!F50/Narxlar!F49-1</f>
        <v>0.00566208666767332</v>
      </c>
      <c r="H49" s="20" t="n">
        <f aca="false">LN(Narxlar!B50/Narxlar!B49)</f>
        <v>0.0133243961395462</v>
      </c>
      <c r="I49" s="20" t="n">
        <f aca="false">LN(Narxlar!C50/Narxlar!C49)</f>
        <v>0.0342211610566544</v>
      </c>
      <c r="J49" s="20" t="n">
        <f aca="false">LN(Narxlar!D50/Narxlar!D49)</f>
        <v>0.0110630519873966</v>
      </c>
      <c r="K49" s="20" t="n">
        <f aca="false">LN(Narxlar!E50/Narxlar!E49)</f>
        <v>0.0153441425884208</v>
      </c>
      <c r="L49" s="20" t="n">
        <f aca="false">LN(Narxlar!F50/Narxlar!F49)</f>
        <v>0.0056461173065381</v>
      </c>
    </row>
    <row r="50" customFormat="false" ht="15" hidden="false" customHeight="false" outlineLevel="0" collapsed="false">
      <c r="A50" s="19" t="n">
        <f aca="false">Narxlar!A51</f>
        <v>45362</v>
      </c>
      <c r="B50" s="20" t="n">
        <f aca="false">Narxlar!B51/Narxlar!B50-1</f>
        <v>0.0437715751060261</v>
      </c>
      <c r="C50" s="20" t="n">
        <f aca="false">Narxlar!C51/Narxlar!C50-1</f>
        <v>0.0494509773382135</v>
      </c>
      <c r="D50" s="20" t="n">
        <f aca="false">Narxlar!D51/Narxlar!D50-1</f>
        <v>0.0499058380414312</v>
      </c>
      <c r="E50" s="20" t="n">
        <f aca="false">Narxlar!E51/Narxlar!E50-1</f>
        <v>0.0268549280177186</v>
      </c>
      <c r="F50" s="20" t="n">
        <f aca="false">Narxlar!F51/Narxlar!F50-1</f>
        <v>0.05299902409729</v>
      </c>
      <c r="H50" s="20" t="n">
        <f aca="false">LN(Narxlar!B51/Narxlar!B50)</f>
        <v>0.0428406677295555</v>
      </c>
      <c r="I50" s="20" t="n">
        <f aca="false">LN(Narxlar!C51/Narxlar!C50)</f>
        <v>0.0482671486951695</v>
      </c>
      <c r="J50" s="20" t="n">
        <f aca="false">LN(Narxlar!D51/Narxlar!D50)</f>
        <v>0.048700482092335</v>
      </c>
      <c r="K50" s="20" t="n">
        <f aca="false">LN(Narxlar!E51/Narxlar!E50)</f>
        <v>0.0265006629527147</v>
      </c>
      <c r="L50" s="20" t="n">
        <f aca="false">LN(Narxlar!F51/Narxlar!F50)</f>
        <v>0.0516423063682086</v>
      </c>
    </row>
    <row r="51" customFormat="false" ht="15" hidden="false" customHeight="false" outlineLevel="0" collapsed="false">
      <c r="A51" s="19" t="n">
        <f aca="false">Narxlar!A52</f>
        <v>45363</v>
      </c>
      <c r="B51" s="20" t="n">
        <f aca="false">Narxlar!B52/Narxlar!B51-1</f>
        <v>-0.00216388857391236</v>
      </c>
      <c r="C51" s="20" t="n">
        <f aca="false">Narxlar!C52/Narxlar!C51-1</f>
        <v>0.00155832591273364</v>
      </c>
      <c r="D51" s="20" t="n">
        <f aca="false">Narxlar!D52/Narxlar!D51-1</f>
        <v>-0.00221855086145861</v>
      </c>
      <c r="E51" s="20" t="n">
        <f aca="false">Narxlar!E52/Narxlar!E51-1</f>
        <v>-0.0183337826907523</v>
      </c>
      <c r="F51" s="20" t="n">
        <f aca="false">Narxlar!F52/Narxlar!F51-1</f>
        <v>0.00270906109645686</v>
      </c>
      <c r="H51" s="20" t="n">
        <f aca="false">LN(Narxlar!B52/Narxlar!B51)</f>
        <v>-0.00216623316369049</v>
      </c>
      <c r="I51" s="20" t="n">
        <f aca="false">LN(Narxlar!C52/Narxlar!C51)</f>
        <v>0.00155711298283838</v>
      </c>
      <c r="J51" s="20" t="n">
        <f aca="false">LN(Narxlar!D52/Narxlar!D51)</f>
        <v>-0.00222101549136699</v>
      </c>
      <c r="K51" s="20" t="n">
        <f aca="false">LN(Narxlar!E52/Narxlar!E51)</f>
        <v>-0.0185039293141574</v>
      </c>
      <c r="L51" s="20" t="n">
        <f aca="false">LN(Narxlar!F52/Narxlar!F51)</f>
        <v>0.00270539820428585</v>
      </c>
    </row>
    <row r="52" customFormat="false" ht="15" hidden="false" customHeight="false" outlineLevel="0" collapsed="false">
      <c r="A52" s="19" t="n">
        <f aca="false">Narxlar!A53</f>
        <v>45364</v>
      </c>
      <c r="B52" s="20" t="n">
        <f aca="false">Narxlar!B53/Narxlar!B52-1</f>
        <v>0.0081913654485366</v>
      </c>
      <c r="C52" s="20" t="n">
        <f aca="false">Narxlar!C53/Narxlar!C52-1</f>
        <v>-0.00229680669778465</v>
      </c>
      <c r="D52" s="20" t="n">
        <f aca="false">Narxlar!D53/Narxlar!D52-1</f>
        <v>0.0213359825905952</v>
      </c>
      <c r="E52" s="20" t="n">
        <f aca="false">Narxlar!E53/Narxlar!E52-1</f>
        <v>-0.00466904696511949</v>
      </c>
      <c r="F52" s="20" t="n">
        <f aca="false">Narxlar!F53/Narxlar!F52-1</f>
        <v>0.0200142196942765</v>
      </c>
      <c r="H52" s="20" t="n">
        <f aca="false">LN(Narxlar!B53/Narxlar!B52)</f>
        <v>0.00815799830571284</v>
      </c>
      <c r="I52" s="20" t="n">
        <f aca="false">LN(Narxlar!C53/Narxlar!C52)</f>
        <v>-0.00229944840405574</v>
      </c>
      <c r="J52" s="20" t="n">
        <f aca="false">LN(Narxlar!D53/Narxlar!D52)</f>
        <v>0.0211115571271665</v>
      </c>
      <c r="K52" s="20" t="n">
        <f aca="false">LN(Narxlar!E53/Narxlar!E52)</f>
        <v>-0.00467998101256352</v>
      </c>
      <c r="L52" s="20" t="n">
        <f aca="false">LN(Narxlar!F53/Narxlar!F52)</f>
        <v>0.0198165680757483</v>
      </c>
    </row>
    <row r="53" customFormat="false" ht="15" hidden="false" customHeight="false" outlineLevel="0" collapsed="false">
      <c r="A53" s="19" t="n">
        <f aca="false">Narxlar!A54</f>
        <v>45365</v>
      </c>
      <c r="B53" s="20" t="n">
        <f aca="false">Narxlar!B54/Narxlar!B53-1</f>
        <v>0.0189453712052898</v>
      </c>
      <c r="C53" s="20" t="n">
        <f aca="false">Narxlar!C54/Narxlar!C53-1</f>
        <v>0.0362394177929601</v>
      </c>
      <c r="D53" s="20" t="n">
        <f aca="false">Narxlar!D54/Narxlar!D53-1</f>
        <v>-0.00847653897818335</v>
      </c>
      <c r="E53" s="20" t="n">
        <f aca="false">Narxlar!E54/Narxlar!E53-1</f>
        <v>0.0364238410596027</v>
      </c>
      <c r="F53" s="20" t="n">
        <f aca="false">Narxlar!F54/Narxlar!F53-1</f>
        <v>0.0200048792388388</v>
      </c>
      <c r="H53" s="20" t="n">
        <f aca="false">LN(Narxlar!B54/Narxlar!B53)</f>
        <v>0.0187681426026164</v>
      </c>
      <c r="I53" s="20" t="n">
        <f aca="false">LN(Narxlar!C54/Narxlar!C53)</f>
        <v>0.0355982153939558</v>
      </c>
      <c r="J53" s="20" t="n">
        <f aca="false">LN(Narxlar!D54/Narxlar!D53)</f>
        <v>-0.0085126691521382</v>
      </c>
      <c r="K53" s="20" t="n">
        <f aca="false">LN(Narxlar!E54/Narxlar!E53)</f>
        <v>0.0357761731652837</v>
      </c>
      <c r="L53" s="20" t="n">
        <f aca="false">LN(Narxlar!F54/Narxlar!F53)</f>
        <v>0.0198074108522275</v>
      </c>
    </row>
    <row r="54" customFormat="false" ht="15" hidden="false" customHeight="false" outlineLevel="0" collapsed="false">
      <c r="A54" s="19" t="n">
        <f aca="false">Narxlar!A55</f>
        <v>45366</v>
      </c>
      <c r="B54" s="20" t="n">
        <f aca="false">Narxlar!B55/Narxlar!B54-1</f>
        <v>0.0094394410081029</v>
      </c>
      <c r="C54" s="20" t="n">
        <f aca="false">Narxlar!C55/Narxlar!C54-1</f>
        <v>0.0113945821986527</v>
      </c>
      <c r="D54" s="20" t="n">
        <f aca="false">Narxlar!D55/Narxlar!D54-1</f>
        <v>0.00953003830701671</v>
      </c>
      <c r="E54" s="20" t="n">
        <f aca="false">Narxlar!E55/Narxlar!E54-1</f>
        <v>0.0310170394036209</v>
      </c>
      <c r="F54" s="20" t="n">
        <f aca="false">Narxlar!F55/Narxlar!F54-1</f>
        <v>0.0382341886766666</v>
      </c>
      <c r="H54" s="20" t="n">
        <f aca="false">LN(Narxlar!B55/Narxlar!B54)</f>
        <v>0.00939516787584744</v>
      </c>
      <c r="I54" s="20" t="n">
        <f aca="false">LN(Narxlar!C55/Narxlar!C54)</f>
        <v>0.0113301529148251</v>
      </c>
      <c r="J54" s="20" t="n">
        <f aca="false">LN(Narxlar!D55/Narxlar!D54)</f>
        <v>0.00948491395661073</v>
      </c>
      <c r="K54" s="20" t="n">
        <f aca="false">LN(Narxlar!E55/Narxlar!E54)</f>
        <v>0.0305457319628702</v>
      </c>
      <c r="L54" s="20" t="n">
        <f aca="false">LN(Narxlar!F55/Narxlar!F54)</f>
        <v>0.0375213745918335</v>
      </c>
    </row>
    <row r="55" customFormat="false" ht="15" hidden="false" customHeight="false" outlineLevel="0" collapsed="false">
      <c r="A55" s="19" t="n">
        <f aca="false">Narxlar!A56</f>
        <v>45369</v>
      </c>
      <c r="B55" s="20" t="n">
        <f aca="false">Narxlar!B56/Narxlar!B55-1</f>
        <v>0.0133601205424412</v>
      </c>
      <c r="C55" s="20" t="n">
        <f aca="false">Narxlar!C56/Narxlar!C55-1</f>
        <v>0.0184227308155602</v>
      </c>
      <c r="D55" s="20" t="n">
        <f aca="false">Narxlar!D56/Narxlar!D55-1</f>
        <v>0.0255900046274873</v>
      </c>
      <c r="E55" s="20" t="n">
        <f aca="false">Narxlar!E56/Narxlar!E55-1</f>
        <v>0.014073595868302</v>
      </c>
      <c r="F55" s="20" t="n">
        <f aca="false">Narxlar!F56/Narxlar!F55-1</f>
        <v>0.00645033897189484</v>
      </c>
      <c r="H55" s="20" t="n">
        <f aca="false">LN(Narxlar!B56/Narxlar!B55)</f>
        <v>0.013271661146459</v>
      </c>
      <c r="I55" s="20" t="n">
        <f aca="false">LN(Narxlar!C56/Narxlar!C55)</f>
        <v>0.018255088137225</v>
      </c>
      <c r="J55" s="20" t="n">
        <f aca="false">LN(Narxlar!D56/Narxlar!D55)</f>
        <v>0.0252680612587421</v>
      </c>
      <c r="K55" s="20" t="n">
        <f aca="false">LN(Narxlar!E56/Narxlar!E55)</f>
        <v>0.0139754822869858</v>
      </c>
      <c r="L55" s="20" t="n">
        <f aca="false">LN(Narxlar!F56/Narxlar!F55)</f>
        <v>0.00642962456438486</v>
      </c>
    </row>
    <row r="56" customFormat="false" ht="15" hidden="false" customHeight="false" outlineLevel="0" collapsed="false">
      <c r="A56" s="19" t="n">
        <f aca="false">Narxlar!A57</f>
        <v>45370</v>
      </c>
      <c r="B56" s="20" t="n">
        <f aca="false">Narxlar!B57/Narxlar!B56-1</f>
        <v>0.023295003965107</v>
      </c>
      <c r="C56" s="20" t="n">
        <f aca="false">Narxlar!C57/Narxlar!C56-1</f>
        <v>0.0217769428790093</v>
      </c>
      <c r="D56" s="20" t="n">
        <f aca="false">Narxlar!D57/Narxlar!D56-1</f>
        <v>0.0249514957361368</v>
      </c>
      <c r="E56" s="20" t="n">
        <f aca="false">Narxlar!E57/Narxlar!E56-1</f>
        <v>0.0182072829131652</v>
      </c>
      <c r="F56" s="20" t="n">
        <f aca="false">Narxlar!F57/Narxlar!F56-1</f>
        <v>0.0410372114315611</v>
      </c>
      <c r="H56" s="20" t="n">
        <f aca="false">LN(Narxlar!B57/Narxlar!B56)</f>
        <v>0.0230278168208345</v>
      </c>
      <c r="I56" s="20" t="n">
        <f aca="false">LN(Narxlar!C57/Narxlar!C56)</f>
        <v>0.0215432124603241</v>
      </c>
      <c r="J56" s="20" t="n">
        <f aca="false">LN(Narxlar!D57/Narxlar!D56)</f>
        <v>0.0246452902376493</v>
      </c>
      <c r="K56" s="20" t="n">
        <f aca="false">LN(Narxlar!E57/Narxlar!E56)</f>
        <v>0.0180435151939349</v>
      </c>
      <c r="L56" s="20" t="n">
        <f aca="false">LN(Narxlar!F57/Narxlar!F56)</f>
        <v>0.0402175348456079</v>
      </c>
    </row>
    <row r="57" customFormat="false" ht="15" hidden="false" customHeight="false" outlineLevel="0" collapsed="false">
      <c r="A57" s="19" t="n">
        <f aca="false">Narxlar!A58</f>
        <v>45371</v>
      </c>
      <c r="B57" s="20" t="n">
        <f aca="false">Narxlar!B58/Narxlar!B57-1</f>
        <v>0.00303822884468041</v>
      </c>
      <c r="C57" s="20" t="n">
        <f aca="false">Narxlar!C58/Narxlar!C57-1</f>
        <v>0.0138226882745471</v>
      </c>
      <c r="D57" s="20" t="n">
        <f aca="false">Narxlar!D58/Narxlar!D57-1</f>
        <v>0.00858425779186467</v>
      </c>
      <c r="E57" s="20" t="n">
        <f aca="false">Narxlar!E58/Narxlar!E57-1</f>
        <v>0.00325121920720273</v>
      </c>
      <c r="F57" s="20" t="n">
        <f aca="false">Narxlar!F58/Narxlar!F57-1</f>
        <v>0.018154976913654</v>
      </c>
      <c r="H57" s="20" t="n">
        <f aca="false">LN(Narxlar!B58/Narxlar!B57)</f>
        <v>0.00303362275463622</v>
      </c>
      <c r="I57" s="20" t="n">
        <f aca="false">LN(Narxlar!C58/Narxlar!C57)</f>
        <v>0.0137280262439947</v>
      </c>
      <c r="J57" s="20" t="n">
        <f aca="false">LN(Narxlar!D58/Narxlar!D57)</f>
        <v>0.00854762255917056</v>
      </c>
      <c r="K57" s="20" t="n">
        <f aca="false">LN(Narxlar!E58/Narxlar!E57)</f>
        <v>0.00324594542176611</v>
      </c>
      <c r="L57" s="20" t="n">
        <f aca="false">LN(Narxlar!F58/Narxlar!F57)</f>
        <v>0.0179921431953916</v>
      </c>
    </row>
    <row r="58" customFormat="false" ht="15" hidden="false" customHeight="false" outlineLevel="0" collapsed="false">
      <c r="A58" s="19" t="n">
        <f aca="false">Narxlar!A59</f>
        <v>45372</v>
      </c>
      <c r="B58" s="20" t="n">
        <f aca="false">Narxlar!B59/Narxlar!B58-1</f>
        <v>-0.0155841191241286</v>
      </c>
      <c r="C58" s="20" t="n">
        <f aca="false">Narxlar!C59/Narxlar!C58-1</f>
        <v>-0.0318355833165425</v>
      </c>
      <c r="D58" s="20" t="n">
        <f aca="false">Narxlar!D59/Narxlar!D58-1</f>
        <v>-0.013356029854655</v>
      </c>
      <c r="E58" s="20" t="n">
        <f aca="false">Narxlar!E59/Narxlar!E58-1</f>
        <v>-0.0188208899414184</v>
      </c>
      <c r="F58" s="20" t="n">
        <f aca="false">Narxlar!F59/Narxlar!F58-1</f>
        <v>-0.0832947709393799</v>
      </c>
      <c r="H58" s="20" t="n">
        <f aca="false">LN(Narxlar!B59/Narxlar!B58)</f>
        <v>-0.0157068280518135</v>
      </c>
      <c r="I58" s="20" t="n">
        <f aca="false">LN(Narxlar!C59/Narxlar!C58)</f>
        <v>-0.032353354183048</v>
      </c>
      <c r="J58" s="20" t="n">
        <f aca="false">LN(Narxlar!D59/Narxlar!D58)</f>
        <v>-0.0134460238277883</v>
      </c>
      <c r="K58" s="20" t="n">
        <f aca="false">LN(Narxlar!E59/Narxlar!E58)</f>
        <v>-0.0190002570215666</v>
      </c>
      <c r="L58" s="20" t="n">
        <f aca="false">LN(Narxlar!F59/Narxlar!F58)</f>
        <v>-0.086969309808335</v>
      </c>
    </row>
    <row r="59" customFormat="false" ht="15" hidden="false" customHeight="false" outlineLevel="0" collapsed="false">
      <c r="A59" s="19" t="n">
        <f aca="false">Narxlar!A60</f>
        <v>45373</v>
      </c>
      <c r="B59" s="20" t="n">
        <f aca="false">Narxlar!B60/Narxlar!B59-1</f>
        <v>-0.0228053120234029</v>
      </c>
      <c r="C59" s="20" t="n">
        <f aca="false">Narxlar!C60/Narxlar!C59-1</f>
        <v>0.00097121054457161</v>
      </c>
      <c r="D59" s="20" t="n">
        <f aca="false">Narxlar!D60/Narxlar!D59-1</f>
        <v>-0.0145985401459854</v>
      </c>
      <c r="E59" s="20" t="n">
        <f aca="false">Narxlar!E60/Narxlar!E59-1</f>
        <v>-0.00825711382113825</v>
      </c>
      <c r="F59" s="20" t="n">
        <f aca="false">Narxlar!F60/Narxlar!F59-1</f>
        <v>-0.0472825172471816</v>
      </c>
      <c r="H59" s="20" t="n">
        <f aca="false">LN(Narxlar!B60/Narxlar!B59)</f>
        <v>-0.0230693755766942</v>
      </c>
      <c r="I59" s="20" t="n">
        <f aca="false">LN(Narxlar!C60/Narxlar!C59)</f>
        <v>0.000970739224753166</v>
      </c>
      <c r="J59" s="20" t="n">
        <f aca="false">LN(Narxlar!D60/Narxlar!D59)</f>
        <v>-0.0147061473896954</v>
      </c>
      <c r="K59" s="20" t="n">
        <f aca="false">LN(Narxlar!E60/Narxlar!E59)</f>
        <v>-0.00829139261179845</v>
      </c>
      <c r="L59" s="20" t="n">
        <f aca="false">LN(Narxlar!F60/Narxlar!F59)</f>
        <v>-0.0484368696948157</v>
      </c>
    </row>
    <row r="60" customFormat="false" ht="15" hidden="false" customHeight="false" outlineLevel="0" collapsed="false">
      <c r="A60" s="19" t="n">
        <f aca="false">Narxlar!A61</f>
        <v>45376</v>
      </c>
      <c r="B60" s="20" t="n">
        <f aca="false">Narxlar!B61/Narxlar!B60-1</f>
        <v>0.0032218023839512</v>
      </c>
      <c r="C60" s="20" t="n">
        <f aca="false">Narxlar!C61/Narxlar!C60-1</f>
        <v>0.0102571210756117</v>
      </c>
      <c r="D60" s="20" t="n">
        <f aca="false">Narxlar!D61/Narxlar!D60-1</f>
        <v>0.0195286195286195</v>
      </c>
      <c r="E60" s="20" t="n">
        <f aca="false">Narxlar!E61/Narxlar!E60-1</f>
        <v>0.00076854105290125</v>
      </c>
      <c r="F60" s="20" t="n">
        <f aca="false">Narxlar!F61/Narxlar!F60-1</f>
        <v>0.00134228187919461</v>
      </c>
      <c r="H60" s="20" t="n">
        <f aca="false">LN(Narxlar!B61/Narxlar!B60)</f>
        <v>0.0032166234992313</v>
      </c>
      <c r="I60" s="20" t="n">
        <f aca="false">LN(Narxlar!C61/Narxlar!C60)</f>
        <v>0.010204873776757</v>
      </c>
      <c r="J60" s="20" t="n">
        <f aca="false">LN(Narxlar!D61/Narxlar!D60)</f>
        <v>0.0193403827605941</v>
      </c>
      <c r="K60" s="20" t="n">
        <f aca="false">LN(Narxlar!E61/Narxlar!E60)</f>
        <v>0.000768245876453383</v>
      </c>
      <c r="L60" s="20" t="n">
        <f aca="false">LN(Narxlar!F61/Narxlar!F60)</f>
        <v>0.00134138182420131</v>
      </c>
    </row>
    <row r="61" customFormat="false" ht="15" hidden="false" customHeight="false" outlineLevel="0" collapsed="false">
      <c r="A61" s="19" t="n">
        <f aca="false">Narxlar!A62</f>
        <v>45377</v>
      </c>
      <c r="B61" s="20" t="n">
        <f aca="false">Narxlar!B62/Narxlar!B61-1</f>
        <v>-0.0206970587432564</v>
      </c>
      <c r="C61" s="20" t="n">
        <f aca="false">Narxlar!C62/Narxlar!C61-1</f>
        <v>-0.0165328942855183</v>
      </c>
      <c r="D61" s="20" t="n">
        <f aca="false">Narxlar!D62/Narxlar!D61-1</f>
        <v>-0.0405988551298987</v>
      </c>
      <c r="E61" s="20" t="n">
        <f aca="false">Narxlar!E62/Narxlar!E61-1</f>
        <v>-0.0195827467042109</v>
      </c>
      <c r="F61" s="20" t="n">
        <f aca="false">Narxlar!F62/Narxlar!F61-1</f>
        <v>-0.0252575137575843</v>
      </c>
      <c r="H61" s="20" t="n">
        <f aca="false">LN(Narxlar!B62/Narxlar!B61)</f>
        <v>-0.0209142448322017</v>
      </c>
      <c r="I61" s="20" t="n">
        <f aca="false">LN(Narxlar!C62/Narxlar!C61)</f>
        <v>-0.016671087859301</v>
      </c>
      <c r="J61" s="20" t="n">
        <f aca="false">LN(Narxlar!D62/Narxlar!D61)</f>
        <v>-0.041445996596039</v>
      </c>
      <c r="K61" s="20" t="n">
        <f aca="false">LN(Narxlar!E62/Narxlar!E61)</f>
        <v>-0.0197770292621073</v>
      </c>
      <c r="L61" s="20" t="n">
        <f aca="false">LN(Narxlar!F62/Narxlar!F61)</f>
        <v>-0.0255819595436868</v>
      </c>
    </row>
    <row r="62" customFormat="false" ht="15" hidden="false" customHeight="false" outlineLevel="0" collapsed="false">
      <c r="A62" s="19" t="n">
        <f aca="false">Narxlar!A63</f>
        <v>45378</v>
      </c>
      <c r="B62" s="20" t="n">
        <f aca="false">Narxlar!B63/Narxlar!B62-1</f>
        <v>-0.0206606963695143</v>
      </c>
      <c r="C62" s="20" t="n">
        <f aca="false">Narxlar!C63/Narxlar!C62-1</f>
        <v>-0.0079520089285714</v>
      </c>
      <c r="D62" s="20" t="n">
        <f aca="false">Narxlar!D63/Narxlar!D62-1</f>
        <v>-0.00458968239397839</v>
      </c>
      <c r="E62" s="20" t="n">
        <f aca="false">Narxlar!E63/Narxlar!E62-1</f>
        <v>-0.00261096605744127</v>
      </c>
      <c r="F62" s="20" t="n">
        <f aca="false">Narxlar!F63/Narxlar!F62-1</f>
        <v>-0.0406050955414012</v>
      </c>
      <c r="H62" s="20" t="n">
        <f aca="false">LN(Narxlar!B63/Narxlar!B62)</f>
        <v>-0.0208771146479209</v>
      </c>
      <c r="I62" s="20" t="n">
        <f aca="false">LN(Narxlar!C63/Narxlar!C62)</f>
        <v>-0.00798379477124843</v>
      </c>
      <c r="J62" s="20" t="n">
        <f aca="false">LN(Narxlar!D63/Narxlar!D62)</f>
        <v>-0.00460024732506369</v>
      </c>
      <c r="K62" s="20" t="n">
        <f aca="false">LN(Narxlar!E63/Narxlar!E62)</f>
        <v>-0.00261438057407082</v>
      </c>
      <c r="L62" s="20" t="n">
        <f aca="false">LN(Narxlar!F63/Narxlar!F62)</f>
        <v>-0.0414525011033886</v>
      </c>
    </row>
    <row r="63" customFormat="false" ht="15" hidden="false" customHeight="false" outlineLevel="0" collapsed="false">
      <c r="A63" s="19" t="n">
        <f aca="false">Narxlar!A64</f>
        <v>45379</v>
      </c>
      <c r="B63" s="20" t="n">
        <f aca="false">Narxlar!B64/Narxlar!B63-1</f>
        <v>0.00977044204135824</v>
      </c>
      <c r="C63" s="20" t="n">
        <f aca="false">Narxlar!C64/Narxlar!C63-1</f>
        <v>0.00548446069469843</v>
      </c>
      <c r="D63" s="20" t="n">
        <f aca="false">Narxlar!D64/Narxlar!D63-1</f>
        <v>0.00728513463666536</v>
      </c>
      <c r="E63" s="20" t="n">
        <f aca="false">Narxlar!E64/Narxlar!E63-1</f>
        <v>-0.000392670157068009</v>
      </c>
      <c r="F63" s="20" t="n">
        <f aca="false">Narxlar!F64/Narxlar!F63-1</f>
        <v>-0.00162202942285927</v>
      </c>
      <c r="H63" s="20" t="n">
        <f aca="false">LN(Narxlar!B64/Narxlar!B63)</f>
        <v>0.00972301991242752</v>
      </c>
      <c r="I63" s="20" t="n">
        <f aca="false">LN(Narxlar!C64/Narxlar!C63)</f>
        <v>0.00546947580453548</v>
      </c>
      <c r="J63" s="20" t="n">
        <f aca="false">LN(Narxlar!D64/Narxlar!D63)</f>
        <v>0.00725872622498691</v>
      </c>
      <c r="K63" s="20" t="n">
        <f aca="false">LN(Narxlar!E64/Narxlar!E63)</f>
        <v>-0.000392747272181998</v>
      </c>
      <c r="L63" s="20" t="n">
        <f aca="false">LN(Narxlar!F64/Narxlar!F63)</f>
        <v>-0.00162334633682504</v>
      </c>
    </row>
    <row r="64" customFormat="false" ht="15" hidden="false" customHeight="false" outlineLevel="0" collapsed="false">
      <c r="A64" s="19" t="n">
        <f aca="false">Narxlar!A65</f>
        <v>45380</v>
      </c>
      <c r="B64" s="20" t="n">
        <f aca="false">Narxlar!B65/Narxlar!B64-1</f>
        <v>0.0083513386566465</v>
      </c>
      <c r="C64" s="20" t="n">
        <f aca="false">Narxlar!C65/Narxlar!C64-1</f>
        <v>0.00783216783216778</v>
      </c>
      <c r="D64" s="20" t="n">
        <f aca="false">Narxlar!D65/Narxlar!D64-1</f>
        <v>0.00842259452531358</v>
      </c>
      <c r="E64" s="20" t="n">
        <f aca="false">Narxlar!E65/Narxlar!E64-1</f>
        <v>0.00340447819824541</v>
      </c>
      <c r="F64" s="20" t="n">
        <f aca="false">Narxlar!F65/Narxlar!F64-1</f>
        <v>0.0330600370272414</v>
      </c>
      <c r="H64" s="20" t="n">
        <f aca="false">LN(Narxlar!B65/Narxlar!B64)</f>
        <v>0.00831665917425762</v>
      </c>
      <c r="I64" s="20" t="n">
        <f aca="false">LN(Narxlar!C65/Narxlar!C64)</f>
        <v>0.00780165561998515</v>
      </c>
      <c r="J64" s="20" t="n">
        <f aca="false">LN(Narxlar!D65/Narxlar!D64)</f>
        <v>0.00838732239290038</v>
      </c>
      <c r="K64" s="20" t="n">
        <f aca="false">LN(Narxlar!E65/Narxlar!E64)</f>
        <v>0.00339869608202022</v>
      </c>
      <c r="L64" s="20" t="n">
        <f aca="false">LN(Narxlar!F65/Narxlar!F64)</f>
        <v>0.0325253075456913</v>
      </c>
    </row>
    <row r="65" customFormat="false" ht="15" hidden="false" customHeight="false" outlineLevel="0" collapsed="false">
      <c r="A65" s="19" t="n">
        <f aca="false">Narxlar!A66</f>
        <v>45383</v>
      </c>
      <c r="B65" s="20" t="n">
        <f aca="false">Narxlar!B66/Narxlar!B65-1</f>
        <v>0.0634438554486252</v>
      </c>
      <c r="C65" s="20" t="n">
        <f aca="false">Narxlar!C66/Narxlar!C65-1</f>
        <v>0.0743824590618929</v>
      </c>
      <c r="D65" s="20" t="n">
        <f aca="false">Narxlar!D66/Narxlar!D65-1</f>
        <v>0.0615524285065818</v>
      </c>
      <c r="E65" s="20" t="n">
        <f aca="false">Narxlar!E66/Narxlar!E65-1</f>
        <v>0.0484144590891296</v>
      </c>
      <c r="F65" s="20" t="n">
        <f aca="false">Narxlar!F66/Narxlar!F65-1</f>
        <v>0.0738790139711798</v>
      </c>
      <c r="H65" s="20" t="n">
        <f aca="false">LN(Narxlar!B66/Narxlar!B65)</f>
        <v>0.0615125620207073</v>
      </c>
      <c r="I65" s="20" t="n">
        <f aca="false">LN(Narxlar!C66/Narxlar!C65)</f>
        <v>0.0717460398295549</v>
      </c>
      <c r="J65" s="20" t="n">
        <f aca="false">LN(Narxlar!D66/Narxlar!D65)</f>
        <v>0.0597323919038749</v>
      </c>
      <c r="K65" s="20" t="n">
        <f aca="false">LN(Narxlar!E66/Narxlar!E65)</f>
        <v>0.0472789839488232</v>
      </c>
      <c r="L65" s="20" t="n">
        <f aca="false">LN(Narxlar!F66/Narxlar!F65)</f>
        <v>0.071277339807468</v>
      </c>
    </row>
    <row r="66" customFormat="false" ht="15" hidden="false" customHeight="false" outlineLevel="0" collapsed="false">
      <c r="A66" s="19" t="n">
        <f aca="false">Narxlar!A67</f>
        <v>45384</v>
      </c>
      <c r="B66" s="20" t="n">
        <f aca="false">Narxlar!B67/Narxlar!B66-1</f>
        <v>-0.0135699830922742</v>
      </c>
      <c r="C66" s="20" t="n">
        <f aca="false">Narxlar!C67/Narxlar!C66-1</f>
        <v>-0.0180185998450013</v>
      </c>
      <c r="D66" s="20" t="n">
        <f aca="false">Narxlar!D67/Narxlar!D66-1</f>
        <v>-0.0218079192679381</v>
      </c>
      <c r="E66" s="20" t="n">
        <f aca="false">Narxlar!E67/Narxlar!E66-1</f>
        <v>0.000746825989544453</v>
      </c>
      <c r="F66" s="20" t="n">
        <f aca="false">Narxlar!F67/Narxlar!F66-1</f>
        <v>-0.00221374565765275</v>
      </c>
      <c r="H66" s="20" t="n">
        <f aca="false">LN(Narxlar!B67/Narxlar!B66)</f>
        <v>-0.0136628968288635</v>
      </c>
      <c r="I66" s="20" t="n">
        <f aca="false">LN(Narxlar!C67/Narxlar!C66)</f>
        <v>-0.0181829115860737</v>
      </c>
      <c r="J66" s="20" t="n">
        <f aca="false">LN(Narxlar!D67/Narxlar!D66)</f>
        <v>-0.022049226665057</v>
      </c>
      <c r="K66" s="20" t="n">
        <f aca="false">LN(Narxlar!E67/Narxlar!E66)</f>
        <v>0.000746547253784563</v>
      </c>
      <c r="L66" s="20" t="n">
        <f aca="false">LN(Narxlar!F67/Narxlar!F66)</f>
        <v>-0.00221619961486479</v>
      </c>
    </row>
    <row r="67" customFormat="false" ht="15" hidden="false" customHeight="false" outlineLevel="0" collapsed="false">
      <c r="A67" s="19" t="n">
        <f aca="false">Narxlar!A68</f>
        <v>45385</v>
      </c>
      <c r="B67" s="20" t="n">
        <f aca="false">Narxlar!B68/Narxlar!B67-1</f>
        <v>-0.0297602131438721</v>
      </c>
      <c r="C67" s="20" t="n">
        <f aca="false">Narxlar!C68/Narxlar!C67-1</f>
        <v>-0.0343965800723446</v>
      </c>
      <c r="D67" s="20" t="n">
        <f aca="false">Narxlar!D68/Narxlar!D67-1</f>
        <v>-0.0384682636824619</v>
      </c>
      <c r="E67" s="20" t="n">
        <f aca="false">Narxlar!E68/Narxlar!E67-1</f>
        <v>-0.0212686567164179</v>
      </c>
      <c r="F67" s="20" t="n">
        <f aca="false">Narxlar!F68/Narxlar!F67-1</f>
        <v>-0.041130491176571</v>
      </c>
      <c r="H67" s="20" t="n">
        <f aca="false">LN(Narxlar!B68/Narxlar!B67)</f>
        <v>-0.0302120350898602</v>
      </c>
      <c r="I67" s="20" t="n">
        <f aca="false">LN(Narxlar!C68/Narxlar!C67)</f>
        <v>-0.0350020674407383</v>
      </c>
      <c r="J67" s="20" t="n">
        <f aca="false">LN(Narxlar!D68/Narxlar!D67)</f>
        <v>-0.0392277074075014</v>
      </c>
      <c r="K67" s="20" t="n">
        <f aca="false">LN(Narxlar!E68/Narxlar!E67)</f>
        <v>-0.0214980936380286</v>
      </c>
      <c r="L67" s="20" t="n">
        <f aca="false">LN(Narxlar!F68/Narxlar!F67)</f>
        <v>-0.0420002834056298</v>
      </c>
    </row>
    <row r="68" customFormat="false" ht="15" hidden="false" customHeight="false" outlineLevel="0" collapsed="false">
      <c r="A68" s="19" t="n">
        <f aca="false">Narxlar!A69</f>
        <v>45386</v>
      </c>
      <c r="B68" s="20" t="n">
        <f aca="false">Narxlar!B69/Narxlar!B68-1</f>
        <v>-0.0100229750386731</v>
      </c>
      <c r="C68" s="20" t="n">
        <f aca="false">Narxlar!C69/Narxlar!C68-1</f>
        <v>-0.0055169595422967</v>
      </c>
      <c r="D68" s="20" t="n">
        <f aca="false">Narxlar!D69/Narxlar!D68-1</f>
        <v>-0.00918348790689216</v>
      </c>
      <c r="E68" s="20" t="n">
        <f aca="false">Narxlar!E69/Narxlar!E68-1</f>
        <v>-0.000508323802262067</v>
      </c>
      <c r="F68" s="20" t="n">
        <f aca="false">Narxlar!F69/Narxlar!F68-1</f>
        <v>0.0155204328634486</v>
      </c>
      <c r="H68" s="20" t="n">
        <f aca="false">LN(Narxlar!B69/Narxlar!B68)</f>
        <v>-0.0100735432325614</v>
      </c>
      <c r="I68" s="20" t="n">
        <f aca="false">LN(Narxlar!C69/Narxlar!C68)</f>
        <v>-0.00553223416916267</v>
      </c>
      <c r="J68" s="20" t="n">
        <f aca="false">LN(Narxlar!D69/Narxlar!D68)</f>
        <v>-0.0092259160908739</v>
      </c>
      <c r="K68" s="20" t="n">
        <f aca="false">LN(Narxlar!E69/Narxlar!E68)</f>
        <v>-0.000508453042605191</v>
      </c>
      <c r="L68" s="20" t="n">
        <f aca="false">LN(Narxlar!F69/Narxlar!F68)</f>
        <v>0.0154012228240105</v>
      </c>
    </row>
    <row r="69" customFormat="false" ht="15" hidden="false" customHeight="false" outlineLevel="0" collapsed="false">
      <c r="A69" s="19" t="n">
        <f aca="false">Narxlar!A70</f>
        <v>45387</v>
      </c>
      <c r="B69" s="20" t="n">
        <f aca="false">Narxlar!B70/Narxlar!B69-1</f>
        <v>-0.0336649592248089</v>
      </c>
      <c r="C69" s="20" t="n">
        <f aca="false">Narxlar!C70/Narxlar!C69-1</f>
        <v>-0.0466406410519827</v>
      </c>
      <c r="D69" s="20" t="n">
        <f aca="false">Narxlar!D70/Narxlar!D69-1</f>
        <v>-0.0218867578232541</v>
      </c>
      <c r="E69" s="20" t="n">
        <f aca="false">Narxlar!E70/Narxlar!E69-1</f>
        <v>-0.0316592498410681</v>
      </c>
      <c r="F69" s="20" t="n">
        <f aca="false">Narxlar!F70/Narxlar!F69-1</f>
        <v>-0.0377523836231072</v>
      </c>
      <c r="H69" s="20" t="n">
        <f aca="false">LN(Narxlar!B70/Narxlar!B69)</f>
        <v>-0.0342446718017034</v>
      </c>
      <c r="I69" s="20" t="n">
        <f aca="false">LN(Narxlar!C70/Narxlar!C69)</f>
        <v>-0.0477633646131534</v>
      </c>
      <c r="J69" s="20" t="n">
        <f aca="false">LN(Narxlar!D70/Narxlar!D69)</f>
        <v>-0.0221298261036369</v>
      </c>
      <c r="K69" s="20" t="n">
        <f aca="false">LN(Narxlar!E70/Narxlar!E69)</f>
        <v>-0.032171239021177</v>
      </c>
      <c r="L69" s="20" t="n">
        <f aca="false">LN(Narxlar!F70/Narxlar!F69)</f>
        <v>-0.0384834639563013</v>
      </c>
    </row>
    <row r="70" customFormat="false" ht="15" hidden="false" customHeight="false" outlineLevel="0" collapsed="false">
      <c r="A70" s="19" t="n">
        <f aca="false">Narxlar!A71</f>
        <v>45390</v>
      </c>
      <c r="B70" s="20" t="n">
        <f aca="false">Narxlar!B71/Narxlar!B70-1</f>
        <v>0.019098102628381</v>
      </c>
      <c r="C70" s="20" t="n">
        <f aca="false">Narxlar!C71/Narxlar!C70-1</f>
        <v>0.0043103448275863</v>
      </c>
      <c r="D70" s="20" t="n">
        <f aca="false">Narxlar!D71/Narxlar!D70-1</f>
        <v>0.0155744241685041</v>
      </c>
      <c r="E70" s="20" t="n">
        <f aca="false">Narxlar!E71/Narxlar!E70-1</f>
        <v>0.0141806722689075</v>
      </c>
      <c r="F70" s="20" t="n">
        <f aca="false">Narxlar!F71/Narxlar!F70-1</f>
        <v>0.0290699792357292</v>
      </c>
      <c r="H70" s="20" t="n">
        <f aca="false">LN(Narxlar!B71/Narxlar!B70)</f>
        <v>0.0189180230397493</v>
      </c>
      <c r="I70" s="20" t="n">
        <f aca="false">LN(Narxlar!C71/Narxlar!C70)</f>
        <v>0.0043010818993907</v>
      </c>
      <c r="J70" s="20" t="n">
        <f aca="false">LN(Narxlar!D71/Narxlar!D70)</f>
        <v>0.0154543875542359</v>
      </c>
      <c r="K70" s="20" t="n">
        <f aca="false">LN(Narxlar!E71/Narxlar!E70)</f>
        <v>0.0140810670772038</v>
      </c>
      <c r="L70" s="20" t="n">
        <f aca="false">LN(Narxlar!F71/Narxlar!F70)</f>
        <v>0.028655461571346</v>
      </c>
    </row>
    <row r="71" customFormat="false" ht="15" hidden="false" customHeight="false" outlineLevel="0" collapsed="false">
      <c r="A71" s="19" t="n">
        <f aca="false">Narxlar!A72</f>
        <v>45391</v>
      </c>
      <c r="B71" s="20" t="n">
        <f aca="false">Narxlar!B72/Narxlar!B71-1</f>
        <v>0.025753692176248</v>
      </c>
      <c r="C71" s="20" t="n">
        <f aca="false">Narxlar!C72/Narxlar!C71-1</f>
        <v>0.0162374821173104</v>
      </c>
      <c r="D71" s="20" t="n">
        <f aca="false">Narxlar!D72/Narxlar!D71-1</f>
        <v>0.026698692780267</v>
      </c>
      <c r="E71" s="20" t="n">
        <f aca="false">Narxlar!E72/Narxlar!E71-1</f>
        <v>0.0226566545831175</v>
      </c>
      <c r="F71" s="20" t="n">
        <f aca="false">Narxlar!F72/Narxlar!F71-1</f>
        <v>0.0259832206449786</v>
      </c>
      <c r="H71" s="20" t="n">
        <f aca="false">LN(Narxlar!B72/Narxlar!B71)</f>
        <v>0.0254276518230763</v>
      </c>
      <c r="I71" s="20" t="n">
        <f aca="false">LN(Narxlar!C72/Narxlar!C71)</f>
        <v>0.0161070640842758</v>
      </c>
      <c r="J71" s="20" t="n">
        <f aca="false">LN(Narxlar!D72/Narxlar!D71)</f>
        <v>0.0263485020973363</v>
      </c>
      <c r="K71" s="20" t="n">
        <f aca="false">LN(Narxlar!E72/Narxlar!E71)</f>
        <v>0.022403804616014</v>
      </c>
      <c r="L71" s="20" t="n">
        <f aca="false">LN(Narxlar!F72/Narxlar!F71)</f>
        <v>0.0256513924676529</v>
      </c>
    </row>
    <row r="72" customFormat="false" ht="15" hidden="false" customHeight="false" outlineLevel="0" collapsed="false">
      <c r="A72" s="19" t="n">
        <f aca="false">Narxlar!A73</f>
        <v>45392</v>
      </c>
      <c r="B72" s="20" t="n">
        <f aca="false">Narxlar!B73/Narxlar!B72-1</f>
        <v>-0.0125306630542233</v>
      </c>
      <c r="C72" s="20" t="n">
        <f aca="false">Narxlar!C73/Narxlar!C72-1</f>
        <v>-0.0133033011895545</v>
      </c>
      <c r="D72" s="20" t="n">
        <f aca="false">Narxlar!D73/Narxlar!D72-1</f>
        <v>-0.00940297835965265</v>
      </c>
      <c r="E72" s="20" t="n">
        <f aca="false">Narxlar!E73/Narxlar!E72-1</f>
        <v>-0.0105076591973667</v>
      </c>
      <c r="F72" s="20" t="n">
        <f aca="false">Narxlar!F73/Narxlar!F72-1</f>
        <v>-0.00759065659179514</v>
      </c>
      <c r="H72" s="20" t="n">
        <f aca="false">LN(Narxlar!B73/Narxlar!B72)</f>
        <v>-0.0126098338831087</v>
      </c>
      <c r="I72" s="20" t="n">
        <f aca="false">LN(Narxlar!C73/Narxlar!C72)</f>
        <v>-0.0133925828118071</v>
      </c>
      <c r="J72" s="20" t="n">
        <f aca="false">LN(Narxlar!D73/Narxlar!D72)</f>
        <v>-0.00944746545441812</v>
      </c>
      <c r="K72" s="20" t="n">
        <f aca="false">LN(Narxlar!E73/Narxlar!E72)</f>
        <v>-0.0105632544418004</v>
      </c>
      <c r="L72" s="20" t="n">
        <f aca="false">LN(Narxlar!F73/Narxlar!F72)</f>
        <v>-0.00761961224689617</v>
      </c>
    </row>
    <row r="73" customFormat="false" ht="15" hidden="false" customHeight="false" outlineLevel="0" collapsed="false">
      <c r="A73" s="19" t="n">
        <f aca="false">Narxlar!A74</f>
        <v>45393</v>
      </c>
      <c r="B73" s="20" t="n">
        <f aca="false">Narxlar!B74/Narxlar!B73-1</f>
        <v>0.0114568560384862</v>
      </c>
      <c r="C73" s="20" t="n">
        <f aca="false">Narxlar!C74/Narxlar!C73-1</f>
        <v>0.0242545298901413</v>
      </c>
      <c r="D73" s="20" t="n">
        <f aca="false">Narxlar!D74/Narxlar!D73-1</f>
        <v>0.00340630393314556</v>
      </c>
      <c r="E73" s="20" t="n">
        <f aca="false">Narxlar!E74/Narxlar!E73-1</f>
        <v>0.00588536335721601</v>
      </c>
      <c r="F73" s="20" t="n">
        <f aca="false">Narxlar!F74/Narxlar!F73-1</f>
        <v>0.0532281055522721</v>
      </c>
      <c r="H73" s="20" t="n">
        <f aca="false">LN(Narxlar!B74/Narxlar!B73)</f>
        <v>0.0113917232691043</v>
      </c>
      <c r="I73" s="20" t="n">
        <f aca="false">LN(Narxlar!C74/Narxlar!C73)</f>
        <v>0.0239650600761583</v>
      </c>
      <c r="J73" s="20" t="n">
        <f aca="false">LN(Narxlar!D74/Narxlar!D73)</f>
        <v>0.00340051562067967</v>
      </c>
      <c r="K73" s="20" t="n">
        <f aca="false">LN(Narxlar!E74/Narxlar!E73)</f>
        <v>0.00586811225918701</v>
      </c>
      <c r="L73" s="20" t="n">
        <f aca="false">LN(Narxlar!F74/Narxlar!F73)</f>
        <v>0.0518598341482477</v>
      </c>
    </row>
    <row r="74" customFormat="false" ht="15" hidden="false" customHeight="false" outlineLevel="0" collapsed="false">
      <c r="A74" s="19" t="n">
        <f aca="false">Narxlar!A75</f>
        <v>45394</v>
      </c>
      <c r="B74" s="20" t="n">
        <f aca="false">Narxlar!B75/Narxlar!B74-1</f>
        <v>0.0120144062903802</v>
      </c>
      <c r="C74" s="20" t="n">
        <f aca="false">Narxlar!C75/Narxlar!C74-1</f>
        <v>0.00619863490736861</v>
      </c>
      <c r="D74" s="20" t="n">
        <f aca="false">Narxlar!D75/Narxlar!D74-1</f>
        <v>0.0406916217806546</v>
      </c>
      <c r="E74" s="20" t="n">
        <f aca="false">Narxlar!E75/Narxlar!E74-1</f>
        <v>0.0124650216229967</v>
      </c>
      <c r="F74" s="20" t="n">
        <f aca="false">Narxlar!F75/Narxlar!F74-1</f>
        <v>0.00934178385158768</v>
      </c>
      <c r="H74" s="20" t="n">
        <f aca="false">LN(Narxlar!B75/Narxlar!B74)</f>
        <v>0.0119428062287531</v>
      </c>
      <c r="I74" s="20" t="n">
        <f aca="false">LN(Narxlar!C75/Narxlar!C74)</f>
        <v>0.00617950239295292</v>
      </c>
      <c r="J74" s="20" t="n">
        <f aca="false">LN(Narxlar!D75/Narxlar!D74)</f>
        <v>0.039885513067778</v>
      </c>
      <c r="K74" s="20" t="n">
        <f aca="false">LN(Narxlar!E75/Narxlar!E74)</f>
        <v>0.012387972856623</v>
      </c>
      <c r="L74" s="20" t="n">
        <f aca="false">LN(Narxlar!F75/Narxlar!F74)</f>
        <v>0.00929841924812213</v>
      </c>
    </row>
    <row r="75" customFormat="false" ht="15" hidden="false" customHeight="false" outlineLevel="0" collapsed="false">
      <c r="A75" s="19" t="n">
        <f aca="false">Narxlar!A76</f>
        <v>45397</v>
      </c>
      <c r="B75" s="20" t="n">
        <f aca="false">Narxlar!B76/Narxlar!B75-1</f>
        <v>-0.00635696821515885</v>
      </c>
      <c r="C75" s="20" t="n">
        <f aca="false">Narxlar!C76/Narxlar!C75-1</f>
        <v>-0.0204194642486329</v>
      </c>
      <c r="D75" s="20" t="n">
        <f aca="false">Narxlar!D76/Narxlar!D75-1</f>
        <v>0.00304453723034093</v>
      </c>
      <c r="E75" s="20" t="n">
        <f aca="false">Narxlar!E76/Narxlar!E75-1</f>
        <v>0.00276381909547729</v>
      </c>
      <c r="F75" s="20" t="n">
        <f aca="false">Narxlar!F76/Narxlar!F75-1</f>
        <v>-0.0233181803316218</v>
      </c>
      <c r="H75" s="20" t="n">
        <f aca="false">LN(Narxlar!B76/Narxlar!B75)</f>
        <v>-0.00637725977852954</v>
      </c>
      <c r="I75" s="20" t="n">
        <f aca="false">LN(Narxlar!C76/Narxlar!C75)</f>
        <v>-0.0206308236897602</v>
      </c>
      <c r="J75" s="20" t="n">
        <f aca="false">LN(Narxlar!D76/Narxlar!D75)</f>
        <v>0.00303991201225531</v>
      </c>
      <c r="K75" s="20" t="n">
        <f aca="false">LN(Narxlar!E76/Narxlar!E75)</f>
        <v>0.00276000677025041</v>
      </c>
      <c r="L75" s="20" t="n">
        <f aca="false">LN(Narxlar!F76/Narxlar!F75)</f>
        <v>-0.0235943507406732</v>
      </c>
    </row>
    <row r="76" customFormat="false" ht="15" hidden="false" customHeight="false" outlineLevel="0" collapsed="false">
      <c r="A76" s="19" t="n">
        <f aca="false">Narxlar!A77</f>
        <v>45398</v>
      </c>
      <c r="B76" s="20" t="n">
        <f aca="false">Narxlar!B77/Narxlar!B76-1</f>
        <v>0.0066072470107903</v>
      </c>
      <c r="C76" s="20" t="n">
        <f aca="false">Narxlar!C77/Narxlar!C76-1</f>
        <v>0.00968061051441493</v>
      </c>
      <c r="D76" s="20" t="n">
        <f aca="false">Narxlar!D77/Narxlar!D76-1</f>
        <v>0.0222443847021074</v>
      </c>
      <c r="E76" s="20" t="n">
        <f aca="false">Narxlar!E77/Narxlar!E76-1</f>
        <v>-0.00714106740165377</v>
      </c>
      <c r="F76" s="20" t="n">
        <f aca="false">Narxlar!F77/Narxlar!F76-1</f>
        <v>0.0173787838199839</v>
      </c>
      <c r="H76" s="20" t="n">
        <f aca="false">LN(Narxlar!B77/Narxlar!B76)</f>
        <v>0.00658551482833538</v>
      </c>
      <c r="I76" s="20" t="n">
        <f aca="false">LN(Narxlar!C77/Narxlar!C76)</f>
        <v>0.00963405362934889</v>
      </c>
      <c r="J76" s="20" t="n">
        <f aca="false">LN(Narxlar!D77/Narxlar!D76)</f>
        <v>0.0220005871705968</v>
      </c>
      <c r="K76" s="20" t="n">
        <f aca="false">LN(Narxlar!E77/Narxlar!E76)</f>
        <v>-0.00716668686319788</v>
      </c>
      <c r="L76" s="20" t="n">
        <f aca="false">LN(Narxlar!F77/Narxlar!F76)</f>
        <v>0.0172294998570552</v>
      </c>
    </row>
    <row r="77" customFormat="false" ht="15" hidden="false" customHeight="false" outlineLevel="0" collapsed="false">
      <c r="A77" s="19" t="n">
        <f aca="false">Narxlar!A78</f>
        <v>45399</v>
      </c>
      <c r="B77" s="20" t="n">
        <f aca="false">Narxlar!B78/Narxlar!B77-1</f>
        <v>0.00289715987795725</v>
      </c>
      <c r="C77" s="20" t="n">
        <f aca="false">Narxlar!C78/Narxlar!C77-1</f>
        <v>-0.0100076982294073</v>
      </c>
      <c r="D77" s="20" t="n">
        <f aca="false">Narxlar!D78/Narxlar!D77-1</f>
        <v>-0.0156521739130435</v>
      </c>
      <c r="E77" s="20" t="n">
        <f aca="false">Narxlar!E78/Narxlar!E77-1</f>
        <v>0.0278864353312303</v>
      </c>
      <c r="F77" s="20" t="n">
        <f aca="false">Narxlar!F78/Narxlar!F77-1</f>
        <v>0.000394957706612242</v>
      </c>
      <c r="H77" s="20" t="n">
        <f aca="false">LN(Narxlar!B78/Narxlar!B77)</f>
        <v>0.00289297119851051</v>
      </c>
      <c r="I77" s="20" t="n">
        <f aca="false">LN(Narxlar!C78/Narxlar!C77)</f>
        <v>-0.0100581118730349</v>
      </c>
      <c r="J77" s="20" t="n">
        <f aca="false">LN(Narxlar!D78/Narxlar!D77)</f>
        <v>-0.0157759625941676</v>
      </c>
      <c r="K77" s="20" t="n">
        <f aca="false">LN(Narxlar!E78/Narxlar!E77)</f>
        <v>0.0275046894628765</v>
      </c>
      <c r="L77" s="20" t="n">
        <f aca="false">LN(Narxlar!F78/Narxlar!F77)</f>
        <v>0.000394879731347848</v>
      </c>
    </row>
    <row r="78" customFormat="false" ht="15" hidden="false" customHeight="false" outlineLevel="0" collapsed="false">
      <c r="A78" s="19" t="n">
        <f aca="false">Narxlar!A79</f>
        <v>45400</v>
      </c>
      <c r="B78" s="20" t="n">
        <f aca="false">Narxlar!B79/Narxlar!B78-1</f>
        <v>-0.00604840529731976</v>
      </c>
      <c r="C78" s="20" t="n">
        <f aca="false">Narxlar!C79/Narxlar!C78-1</f>
        <v>-0.0125123709882652</v>
      </c>
      <c r="D78" s="20" t="n">
        <f aca="false">Narxlar!D79/Narxlar!D78-1</f>
        <v>-0.00301646126001898</v>
      </c>
      <c r="E78" s="20" t="n">
        <f aca="false">Narxlar!E79/Narxlar!E78-1</f>
        <v>-0.00294623127915539</v>
      </c>
      <c r="F78" s="20" t="n">
        <f aca="false">Narxlar!F79/Narxlar!F78-1</f>
        <v>0.0129626583319624</v>
      </c>
      <c r="H78" s="20" t="n">
        <f aca="false">LN(Narxlar!B79/Narxlar!B78)</f>
        <v>-0.00606677099353694</v>
      </c>
      <c r="I78" s="20" t="n">
        <f aca="false">LN(Narxlar!C79/Narxlar!C78)</f>
        <v>-0.0125913098683843</v>
      </c>
      <c r="J78" s="20" t="n">
        <f aca="false">LN(Narxlar!D79/Narxlar!D78)</f>
        <v>-0.00302101994899952</v>
      </c>
      <c r="K78" s="20" t="n">
        <f aca="false">LN(Narxlar!E79/Narxlar!E78)</f>
        <v>-0.00295057996211476</v>
      </c>
      <c r="L78" s="20" t="n">
        <f aca="false">LN(Narxlar!F79/Narxlar!F78)</f>
        <v>0.0128793621310011</v>
      </c>
    </row>
    <row r="79" customFormat="false" ht="15" hidden="false" customHeight="false" outlineLevel="0" collapsed="false">
      <c r="A79" s="19" t="n">
        <f aca="false">Narxlar!A80</f>
        <v>45401</v>
      </c>
      <c r="B79" s="20" t="n">
        <f aca="false">Narxlar!B80/Narxlar!B79-1</f>
        <v>0.00239775482956883</v>
      </c>
      <c r="C79" s="20" t="n">
        <f aca="false">Narxlar!C80/Narxlar!C79-1</f>
        <v>0.00207602548500252</v>
      </c>
      <c r="D79" s="20" t="n">
        <f aca="false">Narxlar!D80/Narxlar!D79-1</f>
        <v>0.0115404564315353</v>
      </c>
      <c r="E79" s="20" t="n">
        <f aca="false">Narxlar!E80/Narxlar!E79-1</f>
        <v>0.0125584831322334</v>
      </c>
      <c r="F79" s="20" t="n">
        <f aca="false">Narxlar!F80/Narxlar!F79-1</f>
        <v>-0.00958134398648869</v>
      </c>
      <c r="H79" s="20" t="n">
        <f aca="false">LN(Narxlar!B80/Narxlar!B79)</f>
        <v>0.0023948848022898</v>
      </c>
      <c r="I79" s="20" t="n">
        <f aca="false">LN(Narxlar!C80/Narxlar!C79)</f>
        <v>0.00207387352193409</v>
      </c>
      <c r="J79" s="20" t="n">
        <f aca="false">LN(Narxlar!D80/Narxlar!D79)</f>
        <v>0.0114743732979317</v>
      </c>
      <c r="K79" s="20" t="n">
        <f aca="false">LN(Narxlar!E80/Narxlar!E79)</f>
        <v>0.0124802794487032</v>
      </c>
      <c r="L79" s="20" t="n">
        <f aca="false">LN(Narxlar!F80/Narxlar!F79)</f>
        <v>-0.00962754038197171</v>
      </c>
    </row>
    <row r="80" customFormat="false" ht="15" hidden="false" customHeight="false" outlineLevel="0" collapsed="false">
      <c r="A80" s="19" t="n">
        <f aca="false">Narxlar!A81</f>
        <v>45404</v>
      </c>
      <c r="B80" s="20" t="n">
        <f aca="false">Narxlar!B81/Narxlar!B80-1</f>
        <v>0.0229053974467006</v>
      </c>
      <c r="C80" s="20" t="n">
        <f aca="false">Narxlar!C81/Narxlar!C80-1</f>
        <v>0.0440777253893414</v>
      </c>
      <c r="D80" s="20" t="n">
        <f aca="false">Narxlar!D81/Narxlar!D80-1</f>
        <v>0.013160705892407</v>
      </c>
      <c r="E80" s="20" t="n">
        <f aca="false">Narxlar!E81/Narxlar!E80-1</f>
        <v>0.0455982490272373</v>
      </c>
      <c r="F80" s="20" t="n">
        <f aca="false">Narxlar!F81/Narxlar!F80-1</f>
        <v>0.0238079622220764</v>
      </c>
      <c r="H80" s="20" t="n">
        <f aca="false">LN(Narxlar!B81/Narxlar!B80)</f>
        <v>0.0226470070791828</v>
      </c>
      <c r="I80" s="20" t="n">
        <f aca="false">LN(Narxlar!C81/Narxlar!C80)</f>
        <v>0.0431339362958614</v>
      </c>
      <c r="J80" s="20" t="n">
        <f aca="false">LN(Narxlar!D81/Narxlar!D80)</f>
        <v>0.0130748562105545</v>
      </c>
      <c r="K80" s="20" t="n">
        <f aca="false">LN(Narxlar!E81/Narxlar!E80)</f>
        <v>0.0445892087159501</v>
      </c>
      <c r="L80" s="20" t="n">
        <f aca="false">LN(Narxlar!F81/Narxlar!F80)</f>
        <v>0.0235289721375706</v>
      </c>
    </row>
    <row r="81" customFormat="false" ht="15" hidden="false" customHeight="false" outlineLevel="0" collapsed="false">
      <c r="A81" s="19" t="n">
        <f aca="false">Narxlar!A82</f>
        <v>45405</v>
      </c>
      <c r="B81" s="20" t="n">
        <f aca="false">Narxlar!B82/Narxlar!B81-1</f>
        <v>0.0115771291908411</v>
      </c>
      <c r="C81" s="20" t="n">
        <f aca="false">Narxlar!C82/Narxlar!C81-1</f>
        <v>0.00561067396510429</v>
      </c>
      <c r="D81" s="20" t="n">
        <f aca="false">Narxlar!D82/Narxlar!D81-1</f>
        <v>0.00109653747205929</v>
      </c>
      <c r="E81" s="20" t="n">
        <f aca="false">Narxlar!E82/Narxlar!E81-1</f>
        <v>-0.0061635073845796</v>
      </c>
      <c r="F81" s="20" t="n">
        <f aca="false">Narxlar!F82/Narxlar!F81-1</f>
        <v>0.0182254964766175</v>
      </c>
      <c r="H81" s="20" t="n">
        <f aca="false">LN(Narxlar!B82/Narxlar!B81)</f>
        <v>0.0115106270081168</v>
      </c>
      <c r="I81" s="20" t="n">
        <f aca="false">LN(Narxlar!C82/Narxlar!C81)</f>
        <v>0.00559499276133812</v>
      </c>
      <c r="J81" s="20" t="n">
        <f aca="false">LN(Narxlar!D82/Narxlar!D81)</f>
        <v>0.00109593671397453</v>
      </c>
      <c r="K81" s="20" t="n">
        <f aca="false">LN(Narxlar!E82/Narxlar!E81)</f>
        <v>-0.00618258020692626</v>
      </c>
      <c r="L81" s="20" t="n">
        <f aca="false">LN(Narxlar!F82/Narxlar!F81)</f>
        <v>0.0180614029078208</v>
      </c>
    </row>
    <row r="82" customFormat="false" ht="15" hidden="false" customHeight="false" outlineLevel="0" collapsed="false">
      <c r="A82" s="19" t="n">
        <f aca="false">Narxlar!A83</f>
        <v>45406</v>
      </c>
      <c r="B82" s="20" t="n">
        <f aca="false">Narxlar!B83/Narxlar!B82-1</f>
        <v>0.0055428101084043</v>
      </c>
      <c r="C82" s="20" t="n">
        <f aca="false">Narxlar!C83/Narxlar!C82-1</f>
        <v>0.0167381098183304</v>
      </c>
      <c r="D82" s="20" t="n">
        <f aca="false">Narxlar!D83/Narxlar!D82-1</f>
        <v>0.0148712979736276</v>
      </c>
      <c r="E82" s="20" t="n">
        <f aca="false">Narxlar!E83/Narxlar!E82-1</f>
        <v>0.0155628364146969</v>
      </c>
      <c r="F82" s="20" t="n">
        <f aca="false">Narxlar!F83/Narxlar!F82-1</f>
        <v>0.00981471578218884</v>
      </c>
      <c r="H82" s="20" t="n">
        <f aca="false">LN(Narxlar!B83/Narxlar!B82)</f>
        <v>0.00552750526497032</v>
      </c>
      <c r="I82" s="20" t="n">
        <f aca="false">LN(Narxlar!C83/Narxlar!C82)</f>
        <v>0.0165995714347087</v>
      </c>
      <c r="J82" s="20" t="n">
        <f aca="false">LN(Narxlar!D83/Narxlar!D82)</f>
        <v>0.0147618044279651</v>
      </c>
      <c r="K82" s="20" t="n">
        <f aca="false">LN(Narxlar!E83/Narxlar!E82)</f>
        <v>0.0154429774402745</v>
      </c>
      <c r="L82" s="20" t="n">
        <f aca="false">LN(Narxlar!F83/Narxlar!F82)</f>
        <v>0.00976686430360477</v>
      </c>
    </row>
    <row r="83" customFormat="false" ht="15" hidden="false" customHeight="false" outlineLevel="0" collapsed="false">
      <c r="A83" s="19" t="n">
        <f aca="false">Narxlar!A84</f>
        <v>45407</v>
      </c>
      <c r="B83" s="20" t="n">
        <f aca="false">Narxlar!B84/Narxlar!B83-1</f>
        <v>-0.00893455827927026</v>
      </c>
      <c r="C83" s="20" t="n">
        <f aca="false">Narxlar!C84/Narxlar!C83-1</f>
        <v>-0.00943585625376431</v>
      </c>
      <c r="D83" s="20" t="n">
        <f aca="false">Narxlar!D84/Narxlar!D83-1</f>
        <v>-0.0174346201743462</v>
      </c>
      <c r="E83" s="20" t="n">
        <f aca="false">Narxlar!E84/Narxlar!E83-1</f>
        <v>-0.011752506049084</v>
      </c>
      <c r="F83" s="20" t="n">
        <f aca="false">Narxlar!F84/Narxlar!F83-1</f>
        <v>0.0274757795707299</v>
      </c>
      <c r="H83" s="20" t="n">
        <f aca="false">LN(Narxlar!B84/Narxlar!B83)</f>
        <v>-0.00897471078729674</v>
      </c>
      <c r="I83" s="20" t="n">
        <f aca="false">LN(Narxlar!C84/Narxlar!C83)</f>
        <v>-0.00948065598398138</v>
      </c>
      <c r="J83" s="20" t="n">
        <f aca="false">LN(Narxlar!D84/Narxlar!D83)</f>
        <v>-0.0175883931008874</v>
      </c>
      <c r="K83" s="20" t="n">
        <f aca="false">LN(Narxlar!E84/Narxlar!E83)</f>
        <v>-0.0118221126538233</v>
      </c>
      <c r="L83" s="20" t="n">
        <f aca="false">LN(Narxlar!F84/Narxlar!F83)</f>
        <v>0.0271050949164872</v>
      </c>
    </row>
    <row r="84" customFormat="false" ht="15" hidden="false" customHeight="false" outlineLevel="0" collapsed="false">
      <c r="A84" s="19" t="n">
        <f aca="false">Narxlar!A85</f>
        <v>45408</v>
      </c>
      <c r="B84" s="20" t="n">
        <f aca="false">Narxlar!B85/Narxlar!B84-1</f>
        <v>0.0194272860670071</v>
      </c>
      <c r="C84" s="20" t="n">
        <f aca="false">Narxlar!C85/Narxlar!C84-1</f>
        <v>0.0330360762059181</v>
      </c>
      <c r="D84" s="20" t="n">
        <f aca="false">Narxlar!D85/Narxlar!D84-1</f>
        <v>0.0217152513730461</v>
      </c>
      <c r="E84" s="20" t="n">
        <f aca="false">Narxlar!E85/Narxlar!E84-1</f>
        <v>0.0280984027049085</v>
      </c>
      <c r="F84" s="20" t="n">
        <f aca="false">Narxlar!F85/Narxlar!F84-1</f>
        <v>0.0231634478367644</v>
      </c>
      <c r="H84" s="20" t="n">
        <f aca="false">LN(Narxlar!B85/Narxlar!B84)</f>
        <v>0.0192409853568368</v>
      </c>
      <c r="I84" s="20" t="n">
        <f aca="false">LN(Narxlar!C85/Narxlar!C84)</f>
        <v>0.0325021132507397</v>
      </c>
      <c r="J84" s="20" t="n">
        <f aca="false">LN(Narxlar!D85/Narxlar!D84)</f>
        <v>0.0214828339512644</v>
      </c>
      <c r="K84" s="20" t="n">
        <f aca="false">LN(Narxlar!E85/Narxlar!E84)</f>
        <v>0.0277108849274615</v>
      </c>
      <c r="L84" s="20" t="n">
        <f aca="false">LN(Narxlar!F85/Narxlar!F84)</f>
        <v>0.0228992472635997</v>
      </c>
    </row>
    <row r="85" customFormat="false" ht="15" hidden="false" customHeight="false" outlineLevel="0" collapsed="false">
      <c r="A85" s="19" t="n">
        <f aca="false">Narxlar!A86</f>
        <v>45411</v>
      </c>
      <c r="B85" s="20" t="n">
        <f aca="false">Narxlar!B86/Narxlar!B85-1</f>
        <v>0.00218927771073951</v>
      </c>
      <c r="C85" s="20" t="n">
        <f aca="false">Narxlar!C86/Narxlar!C85-1</f>
        <v>0.00294290759270166</v>
      </c>
      <c r="D85" s="20" t="n">
        <f aca="false">Narxlar!D86/Narxlar!D85-1</f>
        <v>0.010502811776381</v>
      </c>
      <c r="E85" s="20" t="n">
        <f aca="false">Narxlar!E86/Narxlar!E85-1</f>
        <v>0.00136085280108866</v>
      </c>
      <c r="F85" s="20" t="n">
        <f aca="false">Narxlar!F86/Narxlar!F85-1</f>
        <v>0.00278543277921006</v>
      </c>
      <c r="H85" s="20" t="n">
        <f aca="false">LN(Narxlar!B86/Narxlar!B85)</f>
        <v>0.00218688473424909</v>
      </c>
      <c r="I85" s="20" t="n">
        <f aca="false">LN(Narxlar!C86/Narxlar!C85)</f>
        <v>0.00293858571732909</v>
      </c>
      <c r="J85" s="20" t="n">
        <f aca="false">LN(Narxlar!D86/Narxlar!D85)</f>
        <v>0.0104480404171735</v>
      </c>
      <c r="K85" s="20" t="n">
        <f aca="false">LN(Narxlar!E86/Narxlar!E85)</f>
        <v>0.00135992768012274</v>
      </c>
      <c r="L85" s="20" t="n">
        <f aca="false">LN(Narxlar!F86/Narxlar!F85)</f>
        <v>0.00278156065003013</v>
      </c>
    </row>
    <row r="86" customFormat="false" ht="15" hidden="false" customHeight="false" outlineLevel="0" collapsed="false">
      <c r="A86" s="19" t="n">
        <f aca="false">Narxlar!A87</f>
        <v>45412</v>
      </c>
      <c r="B86" s="20" t="n">
        <f aca="false">Narxlar!B87/Narxlar!B86-1</f>
        <v>-0.00515162461083307</v>
      </c>
      <c r="C86" s="20" t="n">
        <f aca="false">Narxlar!C87/Narxlar!C86-1</f>
        <v>-0.0120631194574856</v>
      </c>
      <c r="D86" s="20" t="n">
        <f aca="false">Narxlar!D87/Narxlar!D86-1</f>
        <v>-0.0081021360176774</v>
      </c>
      <c r="E86" s="20" t="n">
        <f aca="false">Narxlar!E87/Narxlar!E86-1</f>
        <v>-0.000339750849377096</v>
      </c>
      <c r="F86" s="20" t="n">
        <f aca="false">Narxlar!F87/Narxlar!F86-1</f>
        <v>0.017020773617801</v>
      </c>
      <c r="H86" s="20" t="n">
        <f aca="false">LN(Narxlar!B87/Narxlar!B86)</f>
        <v>-0.00516493997910413</v>
      </c>
      <c r="I86" s="20" t="n">
        <f aca="false">LN(Narxlar!C87/Narxlar!C86)</f>
        <v>-0.0121364693656449</v>
      </c>
      <c r="J86" s="20" t="n">
        <f aca="false">LN(Narxlar!D87/Narxlar!D86)</f>
        <v>-0.00813513669321684</v>
      </c>
      <c r="K86" s="20" t="n">
        <f aca="false">LN(Narxlar!E87/Narxlar!E86)</f>
        <v>-0.000339808577772807</v>
      </c>
      <c r="L86" s="20" t="n">
        <f aca="false">LN(Narxlar!F87/Narxlar!F86)</f>
        <v>0.0168775432273266</v>
      </c>
    </row>
    <row r="87" customFormat="false" ht="15" hidden="false" customHeight="false" outlineLevel="0" collapsed="false">
      <c r="A87" s="19" t="n">
        <f aca="false">Narxlar!A88</f>
        <v>45413</v>
      </c>
      <c r="B87" s="20" t="n">
        <f aca="false">Narxlar!B88/Narxlar!B87-1</f>
        <v>-0.00547222822563209</v>
      </c>
      <c r="C87" s="20" t="n">
        <f aca="false">Narxlar!C88/Narxlar!C87-1</f>
        <v>0.000264008976305297</v>
      </c>
      <c r="D87" s="20" t="n">
        <f aca="false">Narxlar!D88/Narxlar!D87-1</f>
        <v>-0.00268151815181517</v>
      </c>
      <c r="E87" s="20" t="n">
        <f aca="false">Narxlar!E88/Narxlar!E87-1</f>
        <v>0.00419168460405572</v>
      </c>
      <c r="F87" s="20" t="n">
        <f aca="false">Narxlar!F88/Narxlar!F87-1</f>
        <v>0.00438736670831275</v>
      </c>
      <c r="H87" s="20" t="n">
        <f aca="false">LN(Narxlar!B88/Narxlar!B87)</f>
        <v>-0.00548725571414669</v>
      </c>
      <c r="I87" s="20" t="n">
        <f aca="false">LN(Narxlar!C88/Narxlar!C87)</f>
        <v>0.000263974132068171</v>
      </c>
      <c r="J87" s="20" t="n">
        <f aca="false">LN(Narxlar!D88/Narxlar!D87)</f>
        <v>-0.00268511986175566</v>
      </c>
      <c r="K87" s="20" t="n">
        <f aca="false">LN(Narxlar!E88/Narxlar!E87)</f>
        <v>0.00418292396683217</v>
      </c>
      <c r="L87" s="20" t="n">
        <f aca="false">LN(Narxlar!F88/Narxlar!F87)</f>
        <v>0.00437777027347692</v>
      </c>
    </row>
    <row r="88" customFormat="false" ht="15" hidden="false" customHeight="false" outlineLevel="0" collapsed="false">
      <c r="A88" s="19" t="n">
        <f aca="false">Narxlar!A89</f>
        <v>45414</v>
      </c>
      <c r="B88" s="20" t="n">
        <f aca="false">Narxlar!B89/Narxlar!B88-1</f>
        <v>0.0119869265137948</v>
      </c>
      <c r="C88" s="20" t="n">
        <f aca="false">Narxlar!C89/Narxlar!C88-1</f>
        <v>0.00745628505443752</v>
      </c>
      <c r="D88" s="20" t="n">
        <f aca="false">Narxlar!D89/Narxlar!D88-1</f>
        <v>-0.00756980351602898</v>
      </c>
      <c r="E88" s="20" t="n">
        <f aca="false">Narxlar!E89/Narxlar!E88-1</f>
        <v>0.00191787003610111</v>
      </c>
      <c r="F88" s="20" t="n">
        <f aca="false">Narxlar!F89/Narxlar!F88-1</f>
        <v>0.0292177736635038</v>
      </c>
      <c r="H88" s="20" t="n">
        <f aca="false">LN(Narxlar!B89/Narxlar!B88)</f>
        <v>0.0119156523172001</v>
      </c>
      <c r="I88" s="20" t="n">
        <f aca="false">LN(Narxlar!C89/Narxlar!C88)</f>
        <v>0.00742862437321687</v>
      </c>
      <c r="J88" s="20" t="n">
        <f aca="false">LN(Narxlar!D89/Narxlar!D88)</f>
        <v>-0.00759859989265009</v>
      </c>
      <c r="K88" s="20" t="n">
        <f aca="false">LN(Narxlar!E89/Narxlar!E88)</f>
        <v>0.00191603327143908</v>
      </c>
      <c r="L88" s="20" t="n">
        <f aca="false">LN(Narxlar!F89/Narxlar!F88)</f>
        <v>0.0287990706734459</v>
      </c>
    </row>
    <row r="89" customFormat="false" ht="15" hidden="false" customHeight="false" outlineLevel="0" collapsed="false">
      <c r="A89" s="19" t="n">
        <f aca="false">Narxlar!A90</f>
        <v>45415</v>
      </c>
      <c r="B89" s="20" t="n">
        <f aca="false">Narxlar!B90/Narxlar!B89-1</f>
        <v>-0.0116645622353355</v>
      </c>
      <c r="C89" s="20" t="n">
        <f aca="false">Narxlar!C90/Narxlar!C89-1</f>
        <v>-0.0207623788315431</v>
      </c>
      <c r="D89" s="20" t="n">
        <f aca="false">Narxlar!D90/Narxlar!D89-1</f>
        <v>-0.0213404468156052</v>
      </c>
      <c r="E89" s="20" t="n">
        <f aca="false">Narxlar!E90/Narxlar!E89-1</f>
        <v>-0.00450399729760165</v>
      </c>
      <c r="F89" s="20" t="n">
        <f aca="false">Narxlar!F90/Narxlar!F89-1</f>
        <v>-0.0476699083703412</v>
      </c>
      <c r="H89" s="20" t="n">
        <f aca="false">LN(Narxlar!B90/Narxlar!B89)</f>
        <v>-0.0117331269478401</v>
      </c>
      <c r="I89" s="20" t="n">
        <f aca="false">LN(Narxlar!C90/Narxlar!C89)</f>
        <v>-0.0209809476511925</v>
      </c>
      <c r="J89" s="20" t="n">
        <f aca="false">LN(Narxlar!D90/Narxlar!D89)</f>
        <v>-0.0215714464868123</v>
      </c>
      <c r="K89" s="20" t="n">
        <f aca="false">LN(Narxlar!E90/Narxlar!E89)</f>
        <v>-0.00451417085269971</v>
      </c>
      <c r="L89" s="20" t="n">
        <f aca="false">LN(Narxlar!F90/Narxlar!F89)</f>
        <v>-0.0488435693843234</v>
      </c>
    </row>
    <row r="90" customFormat="false" ht="15" hidden="false" customHeight="false" outlineLevel="0" collapsed="false">
      <c r="A90" s="19" t="n">
        <f aca="false">Narxlar!A91</f>
        <v>45418</v>
      </c>
      <c r="B90" s="20" t="n">
        <f aca="false">Narxlar!B91/Narxlar!B90-1</f>
        <v>0.00519715286408307</v>
      </c>
      <c r="C90" s="20" t="n">
        <f aca="false">Narxlar!C91/Narxlar!C90-1</f>
        <v>0.00100327737275108</v>
      </c>
      <c r="D90" s="20" t="n">
        <f aca="false">Narxlar!D91/Narxlar!D90-1</f>
        <v>0.0171635434412265</v>
      </c>
      <c r="E90" s="20" t="n">
        <f aca="false">Narxlar!E91/Narxlar!E90-1</f>
        <v>0.00328017192625274</v>
      </c>
      <c r="F90" s="20" t="n">
        <f aca="false">Narxlar!F91/Narxlar!F90-1</f>
        <v>-0.0023021073136178</v>
      </c>
      <c r="H90" s="20" t="n">
        <f aca="false">LN(Narxlar!B91/Narxlar!B90)</f>
        <v>0.00518369427589033</v>
      </c>
      <c r="I90" s="20" t="n">
        <f aca="false">LN(Narxlar!C91/Narxlar!C90)</f>
        <v>0.00100277442637611</v>
      </c>
      <c r="J90" s="20" t="n">
        <f aca="false">LN(Narxlar!D91/Narxlar!D90)</f>
        <v>0.0170179138146551</v>
      </c>
      <c r="K90" s="20" t="n">
        <f aca="false">LN(Narxlar!E91/Narxlar!E90)</f>
        <v>0.00327480389782081</v>
      </c>
      <c r="L90" s="20" t="n">
        <f aca="false">LN(Narxlar!F91/Narxlar!F90)</f>
        <v>-0.00230476123651873</v>
      </c>
    </row>
    <row r="91" customFormat="false" ht="15" hidden="false" customHeight="false" outlineLevel="0" collapsed="false">
      <c r="A91" s="19" t="n">
        <f aca="false">Narxlar!A92</f>
        <v>45419</v>
      </c>
      <c r="B91" s="20" t="n">
        <f aca="false">Narxlar!B92/Narxlar!B91-1</f>
        <v>0.0135827980045131</v>
      </c>
      <c r="C91" s="20" t="n">
        <f aca="false">Narxlar!C92/Narxlar!C91-1</f>
        <v>-0.00628090338099696</v>
      </c>
      <c r="D91" s="20" t="n">
        <f aca="false">Narxlar!D92/Narxlar!D91-1</f>
        <v>0.00540133149101862</v>
      </c>
      <c r="E91" s="20" t="n">
        <f aca="false">Narxlar!E92/Narxlar!E91-1</f>
        <v>0.0119503945885007</v>
      </c>
      <c r="F91" s="20" t="n">
        <f aca="false">Narxlar!F92/Narxlar!F91-1</f>
        <v>0.0253816116435925</v>
      </c>
      <c r="H91" s="20" t="n">
        <f aca="false">LN(Narxlar!B92/Narxlar!B91)</f>
        <v>0.0134913786934409</v>
      </c>
      <c r="I91" s="20" t="n">
        <f aca="false">LN(Narxlar!C92/Narxlar!C91)</f>
        <v>-0.00630071123902393</v>
      </c>
      <c r="J91" s="20" t="n">
        <f aca="false">LN(Narxlar!D92/Narxlar!D91)</f>
        <v>0.00538679661504575</v>
      </c>
      <c r="K91" s="20" t="n">
        <f aca="false">LN(Narxlar!E92/Narxlar!E91)</f>
        <v>0.0118795524588525</v>
      </c>
      <c r="L91" s="20" t="n">
        <f aca="false">LN(Narxlar!F92/Narxlar!F91)</f>
        <v>0.0250648473449477</v>
      </c>
    </row>
    <row r="92" customFormat="false" ht="15" hidden="false" customHeight="false" outlineLevel="0" collapsed="false">
      <c r="A92" s="19" t="n">
        <f aca="false">Narxlar!A93</f>
        <v>45420</v>
      </c>
      <c r="B92" s="20" t="n">
        <f aca="false">Narxlar!B93/Narxlar!B92-1</f>
        <v>-0.00565545243619481</v>
      </c>
      <c r="C92" s="20" t="n">
        <f aca="false">Narxlar!C93/Narxlar!C92-1</f>
        <v>-0.00618612157073695</v>
      </c>
      <c r="D92" s="20" t="n">
        <f aca="false">Narxlar!D93/Narxlar!D92-1</f>
        <v>0.00166583374979168</v>
      </c>
      <c r="E92" s="20" t="n">
        <f aca="false">Narxlar!E93/Narxlar!E92-1</f>
        <v>-0.00155971479500894</v>
      </c>
      <c r="F92" s="20" t="n">
        <f aca="false">Narxlar!F93/Narxlar!F92-1</f>
        <v>-0.0189833246783221</v>
      </c>
      <c r="H92" s="20" t="n">
        <f aca="false">LN(Narxlar!B93/Narxlar!B92)</f>
        <v>-0.0056715050591645</v>
      </c>
      <c r="I92" s="20" t="n">
        <f aca="false">LN(Narxlar!C93/Narxlar!C92)</f>
        <v>-0.00620533489908717</v>
      </c>
      <c r="J92" s="20" t="n">
        <f aca="false">LN(Narxlar!D93/Narxlar!D92)</f>
        <v>0.00166444778772548</v>
      </c>
      <c r="K92" s="20" t="n">
        <f aca="false">LN(Narxlar!E93/Narxlar!E92)</f>
        <v>-0.00156093241638924</v>
      </c>
      <c r="L92" s="20" t="n">
        <f aca="false">LN(Narxlar!F93/Narxlar!F92)</f>
        <v>-0.0191658212720711</v>
      </c>
    </row>
    <row r="93" customFormat="false" ht="15" hidden="false" customHeight="false" outlineLevel="0" collapsed="false">
      <c r="A93" s="19" t="n">
        <f aca="false">Narxlar!A94</f>
        <v>45421</v>
      </c>
      <c r="B93" s="20" t="n">
        <f aca="false">Narxlar!B94/Narxlar!B93-1</f>
        <v>-0.00178435089946738</v>
      </c>
      <c r="C93" s="20" t="n">
        <f aca="false">Narxlar!C94/Narxlar!C93-1</f>
        <v>-0.015020297699594</v>
      </c>
      <c r="D93" s="20" t="n">
        <f aca="false">Narxlar!D94/Narxlar!D93-1</f>
        <v>0.0140528854149342</v>
      </c>
      <c r="E93" s="20" t="n">
        <f aca="false">Narxlar!E94/Narxlar!E93-1</f>
        <v>0.000111582236107965</v>
      </c>
      <c r="F93" s="20" t="n">
        <f aca="false">Narxlar!F94/Narxlar!F93-1</f>
        <v>0.0317315609928244</v>
      </c>
      <c r="H93" s="20" t="n">
        <f aca="false">LN(Narxlar!B94/Narxlar!B93)</f>
        <v>-0.00178594474980798</v>
      </c>
      <c r="I93" s="20" t="n">
        <f aca="false">LN(Narxlar!C94/Narxlar!C93)</f>
        <v>-0.0151342448239895</v>
      </c>
      <c r="J93" s="20" t="n">
        <f aca="false">LN(Narxlar!D94/Narxlar!D93)</f>
        <v>0.0139550590505066</v>
      </c>
      <c r="K93" s="20" t="n">
        <f aca="false">LN(Narxlar!E94/Narxlar!E93)</f>
        <v>0.000111576011273308</v>
      </c>
      <c r="L93" s="20" t="n">
        <f aca="false">LN(Narxlar!F94/Narxlar!F93)</f>
        <v>0.0312385179064837</v>
      </c>
    </row>
    <row r="94" customFormat="false" ht="15" hidden="false" customHeight="false" outlineLevel="0" collapsed="false">
      <c r="A94" s="19" t="n">
        <f aca="false">Narxlar!A95</f>
        <v>45422</v>
      </c>
      <c r="B94" s="20" t="n">
        <f aca="false">Narxlar!B95/Narxlar!B94-1</f>
        <v>0.0210293826969517</v>
      </c>
      <c r="C94" s="20" t="n">
        <f aca="false">Narxlar!C95/Narxlar!C94-1</f>
        <v>0.0231487841736502</v>
      </c>
      <c r="D94" s="20" t="n">
        <f aca="false">Narxlar!D95/Narxlar!D94-1</f>
        <v>0.0271832718327183</v>
      </c>
      <c r="E94" s="20" t="n">
        <f aca="false">Narxlar!E95/Narxlar!E94-1</f>
        <v>0.0091487225259399</v>
      </c>
      <c r="F94" s="20" t="n">
        <f aca="false">Narxlar!F95/Narxlar!F94-1</f>
        <v>0.0147649858906023</v>
      </c>
      <c r="H94" s="20" t="n">
        <f aca="false">LN(Narxlar!B95/Narxlar!B94)</f>
        <v>0.0208113171200084</v>
      </c>
      <c r="I94" s="20" t="n">
        <f aca="false">LN(Narxlar!C95/Narxlar!C94)</f>
        <v>0.0228849154691794</v>
      </c>
      <c r="J94" s="20" t="n">
        <f aca="false">LN(Narxlar!D95/Narxlar!D94)</f>
        <v>0.0268203686113731</v>
      </c>
      <c r="K94" s="20" t="n">
        <f aca="false">LN(Narxlar!E95/Narxlar!E94)</f>
        <v>0.00910712647203375</v>
      </c>
      <c r="L94" s="20" t="n">
        <f aca="false">LN(Narxlar!F95/Narxlar!F94)</f>
        <v>0.0146570446895156</v>
      </c>
    </row>
    <row r="95" customFormat="false" ht="15" hidden="false" customHeight="false" outlineLevel="0" collapsed="false">
      <c r="A95" s="19" t="n">
        <f aca="false">Narxlar!A96</f>
        <v>45425</v>
      </c>
      <c r="B95" s="20" t="n">
        <f aca="false">Narxlar!B96/Narxlar!B95-1</f>
        <v>0.00445256211702905</v>
      </c>
      <c r="C95" s="20" t="n">
        <f aca="false">Narxlar!C96/Narxlar!C95-1</f>
        <v>0.00208123531386373</v>
      </c>
      <c r="D95" s="20" t="n">
        <f aca="false">Narxlar!D96/Narxlar!D95-1</f>
        <v>0.00810282201732337</v>
      </c>
      <c r="E95" s="20" t="n">
        <f aca="false">Narxlar!E96/Narxlar!E95-1</f>
        <v>0.0221116639027086</v>
      </c>
      <c r="F95" s="20" t="n">
        <f aca="false">Narxlar!F96/Narxlar!F95-1</f>
        <v>0.0179208449200865</v>
      </c>
      <c r="H95" s="20" t="n">
        <f aca="false">LN(Narxlar!B96/Narxlar!B95)</f>
        <v>0.00444267878888791</v>
      </c>
      <c r="I95" s="20" t="n">
        <f aca="false">LN(Narxlar!C96/Narxlar!C95)</f>
        <v>0.0020790725439501</v>
      </c>
      <c r="J95" s="20" t="n">
        <f aca="false">LN(Narxlar!D96/Narxlar!D95)</f>
        <v>0.00807017041648857</v>
      </c>
      <c r="K95" s="20" t="n">
        <f aca="false">LN(Narxlar!E96/Narxlar!E95)</f>
        <v>0.0218707459918296</v>
      </c>
      <c r="L95" s="20" t="n">
        <f aca="false">LN(Narxlar!F96/Narxlar!F95)</f>
        <v>0.0177621596239659</v>
      </c>
    </row>
    <row r="96" customFormat="false" ht="15" hidden="false" customHeight="false" outlineLevel="0" collapsed="false">
      <c r="A96" s="19" t="n">
        <f aca="false">Narxlar!A97</f>
        <v>45426</v>
      </c>
      <c r="B96" s="20" t="n">
        <f aca="false">Narxlar!B97/Narxlar!B96-1</f>
        <v>0.000418981539673347</v>
      </c>
      <c r="C96" s="20" t="n">
        <f aca="false">Narxlar!C97/Narxlar!C96-1</f>
        <v>0.0188932064853276</v>
      </c>
      <c r="D96" s="20" t="n">
        <f aca="false">Narxlar!D97/Narxlar!D96-1</f>
        <v>-0.00795850490972438</v>
      </c>
      <c r="E96" s="20" t="n">
        <f aca="false">Narxlar!E97/Narxlar!E96-1</f>
        <v>-0.00605732828555972</v>
      </c>
      <c r="F96" s="20" t="n">
        <f aca="false">Narxlar!F97/Narxlar!F96-1</f>
        <v>0.00452551118960232</v>
      </c>
      <c r="H96" s="20" t="n">
        <f aca="false">LN(Narxlar!B97/Narxlar!B96)</f>
        <v>0.00041889379141713</v>
      </c>
      <c r="I96" s="20" t="n">
        <f aca="false">LN(Narxlar!C97/Narxlar!C96)</f>
        <v>0.0187169464769323</v>
      </c>
      <c r="J96" s="20" t="n">
        <f aca="false">LN(Narxlar!D97/Narxlar!D96)</f>
        <v>-0.00799034284400252</v>
      </c>
      <c r="K96" s="20" t="n">
        <f aca="false">LN(Narxlar!E97/Narxlar!E96)</f>
        <v>-0.00607574832034024</v>
      </c>
      <c r="L96" s="20" t="n">
        <f aca="false">LN(Narxlar!F97/Narxlar!F96)</f>
        <v>0.00451530185389256</v>
      </c>
    </row>
    <row r="97" customFormat="false" ht="15" hidden="false" customHeight="false" outlineLevel="0" collapsed="false">
      <c r="A97" s="19" t="n">
        <f aca="false">Narxlar!A98</f>
        <v>45427</v>
      </c>
      <c r="B97" s="20" t="n">
        <f aca="false">Narxlar!B98/Narxlar!B97-1</f>
        <v>0.0176401115699365</v>
      </c>
      <c r="C97" s="20" t="n">
        <f aca="false">Narxlar!C98/Narxlar!C97-1</f>
        <v>0.0388611257233036</v>
      </c>
      <c r="D97" s="20" t="n">
        <f aca="false">Narxlar!D98/Narxlar!D97-1</f>
        <v>0.0102973458391538</v>
      </c>
      <c r="E97" s="20" t="n">
        <f aca="false">Narxlar!E98/Narxlar!E97-1</f>
        <v>0.00848841005550116</v>
      </c>
      <c r="F97" s="20" t="n">
        <f aca="false">Narxlar!F98/Narxlar!F97-1</f>
        <v>0.028816306348378</v>
      </c>
      <c r="H97" s="20" t="n">
        <f aca="false">LN(Narxlar!B98/Narxlar!B97)</f>
        <v>0.0174863306432274</v>
      </c>
      <c r="I97" s="20" t="n">
        <f aca="false">LN(Narxlar!C98/Narxlar!C97)</f>
        <v>0.038125041704584</v>
      </c>
      <c r="J97" s="20" t="n">
        <f aca="false">LN(Narxlar!D98/Narxlar!D97)</f>
        <v>0.0102446893463999</v>
      </c>
      <c r="K97" s="20" t="n">
        <f aca="false">LN(Narxlar!E98/Narxlar!E97)</f>
        <v>0.00845258608580648</v>
      </c>
      <c r="L97" s="20" t="n">
        <f aca="false">LN(Narxlar!F98/Narxlar!F97)</f>
        <v>0.0284089242476725</v>
      </c>
    </row>
    <row r="98" customFormat="false" ht="15" hidden="false" customHeight="false" outlineLevel="0" collapsed="false">
      <c r="A98" s="19" t="n">
        <f aca="false">Narxlar!A99</f>
        <v>45428</v>
      </c>
      <c r="B98" s="20" t="n">
        <f aca="false">Narxlar!B99/Narxlar!B98-1</f>
        <v>-0.00740783419620883</v>
      </c>
      <c r="C98" s="20" t="n">
        <f aca="false">Narxlar!C99/Narxlar!C98-1</f>
        <v>-0.0139249319577188</v>
      </c>
      <c r="D98" s="20" t="n">
        <f aca="false">Narxlar!D99/Narxlar!D98-1</f>
        <v>-0.00588630348042507</v>
      </c>
      <c r="E98" s="20" t="n">
        <f aca="false">Narxlar!E99/Narxlar!E98-1</f>
        <v>-0.00151073702384807</v>
      </c>
      <c r="F98" s="20" t="n">
        <f aca="false">Narxlar!F99/Narxlar!F98-1</f>
        <v>-0.00886468012389197</v>
      </c>
      <c r="H98" s="20" t="n">
        <f aca="false">LN(Narxlar!B99/Narxlar!B98)</f>
        <v>-0.007435408461403</v>
      </c>
      <c r="I98" s="20" t="n">
        <f aca="false">LN(Narxlar!C99/Narxlar!C98)</f>
        <v>-0.0140227933604203</v>
      </c>
      <c r="J98" s="20" t="n">
        <f aca="false">LN(Narxlar!D99/Narxlar!D98)</f>
        <v>-0.0059036960503048</v>
      </c>
      <c r="K98" s="20" t="n">
        <f aca="false">LN(Narxlar!E99/Narxlar!E98)</f>
        <v>-0.00151187933766116</v>
      </c>
      <c r="L98" s="20" t="n">
        <f aca="false">LN(Narxlar!F99/Narxlar!F98)</f>
        <v>-0.00890420515864292</v>
      </c>
    </row>
    <row r="99" customFormat="false" ht="15" hidden="false" customHeight="false" outlineLevel="0" collapsed="false">
      <c r="A99" s="19" t="n">
        <f aca="false">Narxlar!A100</f>
        <v>45429</v>
      </c>
      <c r="B99" s="20" t="n">
        <f aca="false">Narxlar!B100/Narxlar!B99-1</f>
        <v>0.0082674782118366</v>
      </c>
      <c r="C99" s="20" t="n">
        <f aca="false">Narxlar!C100/Narxlar!C99-1</f>
        <v>0.0121317157712304</v>
      </c>
      <c r="D99" s="20" t="n">
        <f aca="false">Narxlar!D100/Narxlar!D99-1</f>
        <v>0.00770942616436177</v>
      </c>
      <c r="E99" s="20" t="n">
        <f aca="false">Narxlar!E100/Narxlar!E99-1</f>
        <v>0.0116718901977737</v>
      </c>
      <c r="F99" s="20" t="n">
        <f aca="false">Narxlar!F100/Narxlar!F99-1</f>
        <v>-0.00191271551724137</v>
      </c>
      <c r="H99" s="20" t="n">
        <f aca="false">LN(Narxlar!B100/Narxlar!B99)</f>
        <v>0.00823348981755345</v>
      </c>
      <c r="I99" s="20" t="n">
        <f aca="false">LN(Narxlar!C100/Narxlar!C99)</f>
        <v>0.0120587163201274</v>
      </c>
      <c r="J99" s="20" t="n">
        <f aca="false">LN(Narxlar!D100/Narxlar!D99)</f>
        <v>0.00767986039797302</v>
      </c>
      <c r="K99" s="20" t="n">
        <f aca="false">LN(Narxlar!E100/Narxlar!E99)</f>
        <v>0.0116042991227144</v>
      </c>
      <c r="L99" s="20" t="n">
        <f aca="false">LN(Narxlar!F100/Narxlar!F99)</f>
        <v>-0.0019145470934618</v>
      </c>
    </row>
    <row r="100" customFormat="false" ht="15" hidden="false" customHeight="false" outlineLevel="0" collapsed="false">
      <c r="A100" s="19" t="n">
        <f aca="false">Narxlar!A101</f>
        <v>45432</v>
      </c>
      <c r="B100" s="20" t="n">
        <f aca="false">Narxlar!B101/Narxlar!B100-1</f>
        <v>0.00177646188008862</v>
      </c>
      <c r="C100" s="20" t="n">
        <f aca="false">Narxlar!C101/Narxlar!C100-1</f>
        <v>0.00450279046169455</v>
      </c>
      <c r="D100" s="20" t="n">
        <f aca="false">Narxlar!D101/Narxlar!D100-1</f>
        <v>-0.000236611720167201</v>
      </c>
      <c r="E100" s="20" t="n">
        <f aca="false">Narxlar!E101/Narxlar!E100-1</f>
        <v>0.000640957162696187</v>
      </c>
      <c r="F100" s="20" t="n">
        <f aca="false">Narxlar!F101/Narxlar!F100-1</f>
        <v>-0.00696375070852118</v>
      </c>
      <c r="H100" s="20" t="n">
        <f aca="false">LN(Narxlar!B101/Narxlar!B100)</f>
        <v>0.00177488583792608</v>
      </c>
      <c r="I100" s="20" t="n">
        <f aca="false">LN(Narxlar!C101/Narxlar!C100)</f>
        <v>0.00449268322986416</v>
      </c>
      <c r="J100" s="20" t="n">
        <f aca="false">LN(Narxlar!D101/Narxlar!D100)</f>
        <v>-0.000236639717136623</v>
      </c>
      <c r="K100" s="20" t="n">
        <f aca="false">LN(Narxlar!E101/Narxlar!E100)</f>
        <v>0.000640751837385783</v>
      </c>
      <c r="L100" s="20" t="n">
        <f aca="false">LN(Narxlar!F101/Narxlar!F100)</f>
        <v>-0.00698811077799377</v>
      </c>
    </row>
    <row r="101" customFormat="false" ht="15" hidden="false" customHeight="false" outlineLevel="0" collapsed="false">
      <c r="A101" s="19" t="n">
        <f aca="false">Narxlar!A102</f>
        <v>45433</v>
      </c>
      <c r="B101" s="20" t="n">
        <f aca="false">Narxlar!B102/Narxlar!B101-1</f>
        <v>0.00352199399044384</v>
      </c>
      <c r="C101" s="20" t="n">
        <f aca="false">Narxlar!C102/Narxlar!C101-1</f>
        <v>0.00953343014079167</v>
      </c>
      <c r="D101" s="20" t="n">
        <f aca="false">Narxlar!D102/Narxlar!D101-1</f>
        <v>0.0098217103187126</v>
      </c>
      <c r="E101" s="20" t="n">
        <f aca="false">Narxlar!E102/Narxlar!E101-1</f>
        <v>0.00202839756592299</v>
      </c>
      <c r="F101" s="20" t="n">
        <f aca="false">Narxlar!F102/Narxlar!F101-1</f>
        <v>0.0292462830583566</v>
      </c>
      <c r="H101" s="20" t="n">
        <f aca="false">LN(Narxlar!B102/Narxlar!B101)</f>
        <v>0.00351580629403967</v>
      </c>
      <c r="I101" s="20" t="n">
        <f aca="false">LN(Narxlar!C102/Narxlar!C101)</f>
        <v>0.00948827376557955</v>
      </c>
      <c r="J101" s="20" t="n">
        <f aca="false">LN(Narxlar!D102/Narxlar!D101)</f>
        <v>0.00977379083397765</v>
      </c>
      <c r="K101" s="20" t="n">
        <f aca="false">LN(Narxlar!E102/Narxlar!E101)</f>
        <v>0.00202634314523247</v>
      </c>
      <c r="L101" s="20" t="n">
        <f aca="false">LN(Narxlar!F102/Narxlar!F101)</f>
        <v>0.0288267703505538</v>
      </c>
    </row>
    <row r="102" customFormat="false" ht="15" hidden="false" customHeight="false" outlineLevel="0" collapsed="false">
      <c r="A102" s="19" t="n">
        <f aca="false">Narxlar!A103</f>
        <v>45434</v>
      </c>
      <c r="B102" s="20" t="n">
        <f aca="false">Narxlar!B103/Narxlar!B102-1</f>
        <v>-0.00710107579662112</v>
      </c>
      <c r="C102" s="20" t="n">
        <f aca="false">Narxlar!C103/Narxlar!C102-1</f>
        <v>-0.0166979362101314</v>
      </c>
      <c r="D102" s="20" t="n">
        <f aca="false">Narxlar!D103/Narxlar!D102-1</f>
        <v>-0.00601539002382723</v>
      </c>
      <c r="E102" s="20" t="n">
        <f aca="false">Narxlar!E103/Narxlar!E102-1</f>
        <v>0</v>
      </c>
      <c r="F102" s="20" t="n">
        <f aca="false">Narxlar!F103/Narxlar!F102-1</f>
        <v>-0.010959410568569</v>
      </c>
      <c r="H102" s="20" t="n">
        <f aca="false">LN(Narxlar!B103/Narxlar!B102)</f>
        <v>-0.00712640843257143</v>
      </c>
      <c r="I102" s="20" t="n">
        <f aca="false">LN(Narxlar!C103/Narxlar!C102)</f>
        <v>-0.016838918357724</v>
      </c>
      <c r="J102" s="20" t="n">
        <f aca="false">LN(Narxlar!D103/Narxlar!D102)</f>
        <v>-0.00603355536678004</v>
      </c>
      <c r="K102" s="20" t="n">
        <f aca="false">LN(Narxlar!E103/Narxlar!E102)</f>
        <v>0</v>
      </c>
      <c r="L102" s="20" t="n">
        <f aca="false">LN(Narxlar!F103/Narxlar!F102)</f>
        <v>-0.0110199073204555</v>
      </c>
    </row>
    <row r="103" customFormat="false" ht="15" hidden="false" customHeight="false" outlineLevel="0" collapsed="false">
      <c r="A103" s="19" t="n">
        <f aca="false">Narxlar!A104</f>
        <v>45435</v>
      </c>
      <c r="B103" s="20" t="n">
        <f aca="false">Narxlar!B104/Narxlar!B103-1</f>
        <v>0.0124086448540377</v>
      </c>
      <c r="C103" s="20" t="n">
        <f aca="false">Narxlar!C104/Narxlar!C103-1</f>
        <v>-0.0111937925332316</v>
      </c>
      <c r="D103" s="20" t="n">
        <f aca="false">Narxlar!D104/Narxlar!D103-1</f>
        <v>0.0071521200927418</v>
      </c>
      <c r="E103" s="20" t="n">
        <f aca="false">Narxlar!E104/Narxlar!E103-1</f>
        <v>0.0101214574898785</v>
      </c>
      <c r="F103" s="20" t="n">
        <f aca="false">Narxlar!F104/Narxlar!F103-1</f>
        <v>0.0347377977144079</v>
      </c>
      <c r="H103" s="20" t="n">
        <f aca="false">LN(Narxlar!B104/Narxlar!B103)</f>
        <v>0.0123322886231749</v>
      </c>
      <c r="I103" s="20" t="n">
        <f aca="false">LN(Narxlar!C104/Narxlar!C103)</f>
        <v>-0.0112569145205352</v>
      </c>
      <c r="J103" s="20" t="n">
        <f aca="false">LN(Narxlar!D104/Narxlar!D103)</f>
        <v>0.00712666498177411</v>
      </c>
      <c r="K103" s="20" t="n">
        <f aca="false">LN(Narxlar!E104/Narxlar!E103)</f>
        <v>0.0100705785635961</v>
      </c>
      <c r="L103" s="20" t="n">
        <f aca="false">LN(Narxlar!F104/Narxlar!F103)</f>
        <v>0.0341480590808285</v>
      </c>
    </row>
    <row r="104" customFormat="false" ht="15" hidden="false" customHeight="false" outlineLevel="0" collapsed="false">
      <c r="A104" s="19" t="n">
        <f aca="false">Narxlar!A105</f>
        <v>45436</v>
      </c>
      <c r="B104" s="20" t="n">
        <f aca="false">Narxlar!B105/Narxlar!B104-1</f>
        <v>-0.0045656897772498</v>
      </c>
      <c r="C104" s="20" t="n">
        <f aca="false">Narxlar!C105/Narxlar!C104-1</f>
        <v>0.0036019810895993</v>
      </c>
      <c r="D104" s="20" t="n">
        <f aca="false">Narxlar!D105/Narxlar!D104-1</f>
        <v>0.00542354364196807</v>
      </c>
      <c r="E104" s="20" t="n">
        <f aca="false">Narxlar!E105/Narxlar!E104-1</f>
        <v>-0.00506275709313364</v>
      </c>
      <c r="F104" s="20" t="n">
        <f aca="false">Narxlar!F105/Narxlar!F104-1</f>
        <v>0.0083090341392924</v>
      </c>
      <c r="H104" s="20" t="n">
        <f aca="false">LN(Narxlar!B105/Narxlar!B104)</f>
        <v>-0.00457614437258375</v>
      </c>
      <c r="I104" s="20" t="n">
        <f aca="false">LN(Narxlar!C105/Narxlar!C104)</f>
        <v>0.00359550949144144</v>
      </c>
      <c r="J104" s="20" t="n">
        <f aca="false">LN(Narxlar!D105/Narxlar!D104)</f>
        <v>0.0054088891913064</v>
      </c>
      <c r="K104" s="20" t="n">
        <f aca="false">LN(Narxlar!E105/Narxlar!E104)</f>
        <v>-0.00507561626810593</v>
      </c>
      <c r="L104" s="20" t="n">
        <f aca="false">LN(Narxlar!F105/Narxlar!F104)</f>
        <v>0.00827470415006914</v>
      </c>
    </row>
    <row r="105" customFormat="false" ht="15" hidden="false" customHeight="false" outlineLevel="0" collapsed="false">
      <c r="A105" s="19" t="n">
        <f aca="false">Narxlar!A106</f>
        <v>45439</v>
      </c>
      <c r="B105" s="20" t="n">
        <f aca="false">Narxlar!B106/Narxlar!B105-1</f>
        <v>-0.000204395316894535</v>
      </c>
      <c r="C105" s="20" t="n">
        <f aca="false">Narxlar!C106/Narxlar!C105-1</f>
        <v>0.00307633147471642</v>
      </c>
      <c r="D105" s="20" t="n">
        <f aca="false">Narxlar!D106/Narxlar!D105-1</f>
        <v>0.00116423470971738</v>
      </c>
      <c r="E105" s="20" t="n">
        <f aca="false">Narxlar!E106/Narxlar!E105-1</f>
        <v>0.0102830488709849</v>
      </c>
      <c r="F105" s="20" t="n">
        <f aca="false">Narxlar!F106/Narxlar!F105-1</f>
        <v>0.00616762635956492</v>
      </c>
      <c r="H105" s="20" t="n">
        <f aca="false">LN(Narxlar!B106/Narxlar!B105)</f>
        <v>-0.000204416208464127</v>
      </c>
      <c r="I105" s="20" t="n">
        <f aca="false">LN(Narxlar!C106/Narxlar!C105)</f>
        <v>0.00307160924932027</v>
      </c>
      <c r="J105" s="20" t="n">
        <f aca="false">LN(Narxlar!D106/Narxlar!D105)</f>
        <v>0.00116355751404657</v>
      </c>
      <c r="K105" s="20" t="n">
        <f aca="false">LN(Narxlar!E106/Narxlar!E105)</f>
        <v>0.0102305379983946</v>
      </c>
      <c r="L105" s="20" t="n">
        <f aca="false">LN(Narxlar!F106/Narxlar!F105)</f>
        <v>0.00614868439684259</v>
      </c>
    </row>
    <row r="106" customFormat="false" ht="15" hidden="false" customHeight="false" outlineLevel="0" collapsed="false">
      <c r="A106" s="19" t="n">
        <f aca="false">Narxlar!A107</f>
        <v>45440</v>
      </c>
      <c r="B106" s="20" t="n">
        <f aca="false">Narxlar!B107/Narxlar!B106-1</f>
        <v>-0.000613311308642728</v>
      </c>
      <c r="C106" s="20" t="n">
        <f aca="false">Narxlar!C107/Narxlar!C106-1</f>
        <v>-0.000958405213724367</v>
      </c>
      <c r="D106" s="20" t="n">
        <f aca="false">Narxlar!D107/Narxlar!D106-1</f>
        <v>0.0102721141173734</v>
      </c>
      <c r="E106" s="20" t="n">
        <f aca="false">Narxlar!E107/Narxlar!E106-1</f>
        <v>-0.00241343126967475</v>
      </c>
      <c r="F106" s="20" t="n">
        <f aca="false">Narxlar!F107/Narxlar!F106-1</f>
        <v>-0.0218740461898463</v>
      </c>
      <c r="H106" s="20" t="n">
        <f aca="false">LN(Narxlar!B107/Narxlar!B106)</f>
        <v>-0.000613499460957944</v>
      </c>
      <c r="I106" s="20" t="n">
        <f aca="false">LN(Narxlar!C107/Narxlar!C106)</f>
        <v>-0.00095886477765699</v>
      </c>
      <c r="J106" s="20" t="n">
        <f aca="false">LN(Narxlar!D107/Narxlar!D106)</f>
        <v>0.0102197144843309</v>
      </c>
      <c r="K106" s="20" t="n">
        <f aca="false">LN(Narxlar!E107/Narxlar!E106)</f>
        <v>-0.0024163482892174</v>
      </c>
      <c r="L106" s="20" t="n">
        <f aca="false">LN(Narxlar!F107/Narxlar!F106)</f>
        <v>-0.0221168301127233</v>
      </c>
    </row>
    <row r="107" customFormat="false" ht="15" hidden="false" customHeight="false" outlineLevel="0" collapsed="false">
      <c r="A107" s="19" t="n">
        <f aca="false">Narxlar!A108</f>
        <v>45441</v>
      </c>
      <c r="B107" s="20" t="n">
        <f aca="false">Narxlar!B108/Narxlar!B107-1</f>
        <v>-0.00373122115667857</v>
      </c>
      <c r="C107" s="20" t="n">
        <f aca="false">Narxlar!C108/Narxlar!C107-1</f>
        <v>-0.0149654643131235</v>
      </c>
      <c r="D107" s="20" t="n">
        <f aca="false">Narxlar!D108/Narxlar!D107-1</f>
        <v>-0.00372175114146489</v>
      </c>
      <c r="E107" s="20" t="n">
        <f aca="false">Narxlar!E108/Narxlar!E107-1</f>
        <v>-0.00220889870621643</v>
      </c>
      <c r="F107" s="20" t="n">
        <f aca="false">Narxlar!F108/Narxlar!F107-1</f>
        <v>-0.0246515498231745</v>
      </c>
      <c r="H107" s="20" t="n">
        <f aca="false">LN(Narxlar!B108/Narxlar!B107)</f>
        <v>-0.00373819952630701</v>
      </c>
      <c r="I107" s="20" t="n">
        <f aca="false">LN(Narxlar!C108/Narxlar!C107)</f>
        <v>-0.01507857681365</v>
      </c>
      <c r="J107" s="20" t="n">
        <f aca="false">LN(Narxlar!D108/Narxlar!D107)</f>
        <v>-0.00372869408921359</v>
      </c>
      <c r="K107" s="20" t="n">
        <f aca="false">LN(Narxlar!E108/Narxlar!E107)</f>
        <v>-0.00221134192150338</v>
      </c>
      <c r="L107" s="20" t="n">
        <f aca="false">LN(Narxlar!F108/Narxlar!F107)</f>
        <v>-0.0249604870342808</v>
      </c>
    </row>
    <row r="108" customFormat="false" ht="15" hidden="false" customHeight="false" outlineLevel="0" collapsed="false">
      <c r="A108" s="19" t="n">
        <f aca="false">Narxlar!A109</f>
        <v>45442</v>
      </c>
      <c r="B108" s="20" t="n">
        <f aca="false">Narxlar!B109/Narxlar!B108-1</f>
        <v>-0.00314563553336178</v>
      </c>
      <c r="C108" s="20" t="n">
        <f aca="false">Narxlar!C109/Narxlar!C108-1</f>
        <v>-0.000649266329048159</v>
      </c>
      <c r="D108" s="20" t="n">
        <f aca="false">Narxlar!D109/Narxlar!D108-1</f>
        <v>-0.00500654702303016</v>
      </c>
      <c r="E108" s="20" t="n">
        <f aca="false">Narxlar!E109/Narxlar!E108-1</f>
        <v>0.00326797385620914</v>
      </c>
      <c r="F108" s="20" t="n">
        <f aca="false">Narxlar!F109/Narxlar!F108-1</f>
        <v>-0.0135704383064946</v>
      </c>
      <c r="H108" s="20" t="n">
        <f aca="false">LN(Narxlar!B109/Narxlar!B108)</f>
        <v>-0.00315059344473434</v>
      </c>
      <c r="I108" s="20" t="n">
        <f aca="false">LN(Narxlar!C109/Narxlar!C108)</f>
        <v>-0.000649477193707666</v>
      </c>
      <c r="J108" s="20" t="n">
        <f aca="false">LN(Narxlar!D109/Narxlar!D108)</f>
        <v>-0.00501912176783545</v>
      </c>
      <c r="K108" s="20" t="n">
        <f aca="false">LN(Narxlar!E109/Narxlar!E108)</f>
        <v>0.00326264563481637</v>
      </c>
      <c r="L108" s="20" t="n">
        <f aca="false">LN(Narxlar!F109/Narxlar!F108)</f>
        <v>-0.013663358305418</v>
      </c>
    </row>
    <row r="109" customFormat="false" ht="15" hidden="false" customHeight="false" outlineLevel="0" collapsed="false">
      <c r="A109" s="19" t="n">
        <f aca="false">Narxlar!A110</f>
        <v>45443</v>
      </c>
      <c r="B109" s="20" t="n">
        <f aca="false">Narxlar!B110/Narxlar!B109-1</f>
        <v>-0.00828849908958329</v>
      </c>
      <c r="C109" s="20" t="n">
        <f aca="false">Narxlar!C110/Narxlar!C109-1</f>
        <v>0</v>
      </c>
      <c r="D109" s="20" t="n">
        <f aca="false">Narxlar!D110/Narxlar!D109-1</f>
        <v>0.0124245239201115</v>
      </c>
      <c r="E109" s="20" t="n">
        <f aca="false">Narxlar!E110/Narxlar!E109-1</f>
        <v>-0.00283702847535994</v>
      </c>
      <c r="F109" s="20" t="n">
        <f aca="false">Narxlar!F110/Narxlar!F109-1</f>
        <v>-0.0294332279250791</v>
      </c>
      <c r="H109" s="20" t="n">
        <f aca="false">LN(Narxlar!B110/Narxlar!B109)</f>
        <v>-0.00832303969040228</v>
      </c>
      <c r="I109" s="20" t="n">
        <f aca="false">LN(Narxlar!C110/Narxlar!C109)</f>
        <v>0</v>
      </c>
      <c r="J109" s="20" t="n">
        <f aca="false">LN(Narxlar!D110/Narxlar!D109)</f>
        <v>0.0123479729435614</v>
      </c>
      <c r="K109" s="20" t="n">
        <f aca="false">LN(Narxlar!E110/Narxlar!E109)</f>
        <v>-0.00284106046836991</v>
      </c>
      <c r="L109" s="20" t="n">
        <f aca="false">LN(Narxlar!F110/Narxlar!F109)</f>
        <v>-0.0298750770139693</v>
      </c>
    </row>
    <row r="110" customFormat="false" ht="15" hidden="false" customHeight="false" outlineLevel="0" collapsed="false">
      <c r="A110" s="19" t="n">
        <f aca="false">Narxlar!A111</f>
        <v>45446</v>
      </c>
      <c r="B110" s="20" t="n">
        <f aca="false">Narxlar!B111/Narxlar!B110-1</f>
        <v>0.00111326194056494</v>
      </c>
      <c r="C110" s="20" t="n">
        <f aca="false">Narxlar!C111/Narxlar!C110-1</f>
        <v>-0.00435291060291065</v>
      </c>
      <c r="D110" s="20" t="n">
        <f aca="false">Narxlar!D111/Narxlar!D110-1</f>
        <v>-0.0173567305119089</v>
      </c>
      <c r="E110" s="20" t="n">
        <f aca="false">Narxlar!E111/Narxlar!E110-1</f>
        <v>0.00505795574288714</v>
      </c>
      <c r="F110" s="20" t="n">
        <f aca="false">Narxlar!F111/Narxlar!F110-1</f>
        <v>-0.0138401559454191</v>
      </c>
      <c r="H110" s="20" t="n">
        <f aca="false">LN(Narxlar!B111/Narxlar!B110)</f>
        <v>0.00111264272401498</v>
      </c>
      <c r="I110" s="20" t="n">
        <f aca="false">LN(Narxlar!C111/Narxlar!C110)</f>
        <v>-0.00436241210107563</v>
      </c>
      <c r="J110" s="20" t="n">
        <f aca="false">LN(Narxlar!D111/Narxlar!D110)</f>
        <v>-0.0175091245076973</v>
      </c>
      <c r="K110" s="20" t="n">
        <f aca="false">LN(Narxlar!E111/Narxlar!E110)</f>
        <v>0.005045207254196</v>
      </c>
      <c r="L110" s="20" t="n">
        <f aca="false">LN(Narxlar!F111/Narxlar!F110)</f>
        <v>-0.0139368238728791</v>
      </c>
    </row>
    <row r="111" customFormat="false" ht="15" hidden="false" customHeight="false" outlineLevel="0" collapsed="false">
      <c r="A111" s="19" t="n">
        <f aca="false">Narxlar!A112</f>
        <v>45447</v>
      </c>
      <c r="B111" s="20" t="n">
        <f aca="false">Narxlar!B112/Narxlar!B111-1</f>
        <v>-0.00473854988755285</v>
      </c>
      <c r="C111" s="20" t="n">
        <f aca="false">Narxlar!C112/Narxlar!C111-1</f>
        <v>0.0206851549755303</v>
      </c>
      <c r="D111" s="20" t="n">
        <f aca="false">Narxlar!D112/Narxlar!D111-1</f>
        <v>-0.0092985254639536</v>
      </c>
      <c r="E111" s="20" t="n">
        <f aca="false">Narxlar!E112/Narxlar!E111-1</f>
        <v>-0.00534703292094774</v>
      </c>
      <c r="F111" s="20" t="n">
        <f aca="false">Narxlar!F112/Narxlar!F111-1</f>
        <v>-0.0280970265156864</v>
      </c>
      <c r="H111" s="20" t="n">
        <f aca="false">LN(Narxlar!B112/Narxlar!B111)</f>
        <v>-0.00474981240783229</v>
      </c>
      <c r="I111" s="20" t="n">
        <f aca="false">LN(Narxlar!C112/Narxlar!C111)</f>
        <v>0.0204741223571447</v>
      </c>
      <c r="J111" s="20" t="n">
        <f aca="false">LN(Narxlar!D112/Narxlar!D111)</f>
        <v>-0.00934202662629868</v>
      </c>
      <c r="K111" s="20" t="n">
        <f aca="false">LN(Narxlar!E112/Narxlar!E111)</f>
        <v>-0.00536137946529277</v>
      </c>
      <c r="L111" s="20" t="n">
        <f aca="false">LN(Narxlar!F112/Narxlar!F111)</f>
        <v>-0.0284993010223931</v>
      </c>
    </row>
    <row r="112" customFormat="false" ht="15" hidden="false" customHeight="false" outlineLevel="0" collapsed="false">
      <c r="A112" s="19" t="n">
        <f aca="false">Narxlar!A113</f>
        <v>45448</v>
      </c>
      <c r="B112" s="20" t="n">
        <f aca="false">Narxlar!B113/Narxlar!B112-1</f>
        <v>-0.00774618527474358</v>
      </c>
      <c r="C112" s="20" t="n">
        <f aca="false">Narxlar!C113/Narxlar!C112-1</f>
        <v>-0.0168137066871245</v>
      </c>
      <c r="D112" s="20" t="n">
        <f aca="false">Narxlar!D113/Narxlar!D112-1</f>
        <v>-0.00204209864907323</v>
      </c>
      <c r="E112" s="20" t="n">
        <f aca="false">Narxlar!E113/Narxlar!E112-1</f>
        <v>-0.00084325919679562</v>
      </c>
      <c r="F112" s="20" t="n">
        <f aca="false">Narxlar!F113/Narxlar!F112-1</f>
        <v>-0.0127549538032425</v>
      </c>
      <c r="H112" s="20" t="n">
        <f aca="false">LN(Narxlar!B113/Narxlar!B112)</f>
        <v>-0.00777634280606379</v>
      </c>
      <c r="I112" s="20" t="n">
        <f aca="false">LN(Narxlar!C113/Narxlar!C112)</f>
        <v>-0.0169566617216333</v>
      </c>
      <c r="J112" s="20" t="n">
        <f aca="false">LN(Narxlar!D113/Narxlar!D112)</f>
        <v>-0.00204418657550492</v>
      </c>
      <c r="K112" s="20" t="n">
        <f aca="false">LN(Narxlar!E113/Narxlar!E112)</f>
        <v>-0.00084361493983523</v>
      </c>
      <c r="L112" s="20" t="n">
        <f aca="false">LN(Narxlar!F113/Narxlar!F112)</f>
        <v>-0.0128369966079041</v>
      </c>
    </row>
    <row r="113" customFormat="false" ht="15" hidden="false" customHeight="false" outlineLevel="0" collapsed="false">
      <c r="A113" s="19" t="n">
        <f aca="false">Narxlar!A114</f>
        <v>45449</v>
      </c>
      <c r="B113" s="20" t="n">
        <f aca="false">Narxlar!B114/Narxlar!B113-1</f>
        <v>0.0130251006294064</v>
      </c>
      <c r="C113" s="20" t="n">
        <f aca="false">Narxlar!C114/Narxlar!C113-1</f>
        <v>0.00448663762273238</v>
      </c>
      <c r="D113" s="20" t="n">
        <f aca="false">Narxlar!D114/Narxlar!D113-1</f>
        <v>0.00688651031008969</v>
      </c>
      <c r="E113" s="20" t="n">
        <f aca="false">Narxlar!E114/Narxlar!E113-1</f>
        <v>0.00696275978478744</v>
      </c>
      <c r="F113" s="20" t="n">
        <f aca="false">Narxlar!F114/Narxlar!F113-1</f>
        <v>0.0151858500838753</v>
      </c>
      <c r="H113" s="20" t="n">
        <f aca="false">LN(Narxlar!B114/Narxlar!B113)</f>
        <v>0.0129410034683563</v>
      </c>
      <c r="I113" s="20" t="n">
        <f aca="false">LN(Narxlar!C114/Narxlar!C113)</f>
        <v>0.00447660266842694</v>
      </c>
      <c r="J113" s="20" t="n">
        <f aca="false">LN(Narxlar!D114/Narxlar!D113)</f>
        <v>0.00686290660079527</v>
      </c>
      <c r="K113" s="20" t="n">
        <f aca="false">LN(Narxlar!E114/Narxlar!E113)</f>
        <v>0.0069386317068064</v>
      </c>
      <c r="L113" s="20" t="n">
        <f aca="false">LN(Narxlar!F114/Narxlar!F113)</f>
        <v>0.0150716992632568</v>
      </c>
    </row>
    <row r="114" customFormat="false" ht="15" hidden="false" customHeight="false" outlineLevel="0" collapsed="false">
      <c r="A114" s="19" t="n">
        <f aca="false">Narxlar!A115</f>
        <v>45450</v>
      </c>
      <c r="B114" s="20" t="n">
        <f aca="false">Narxlar!B115/Narxlar!B114-1</f>
        <v>-0.00951464525387602</v>
      </c>
      <c r="C114" s="20" t="n">
        <f aca="false">Narxlar!C115/Narxlar!C114-1</f>
        <v>-0.00504919730709474</v>
      </c>
      <c r="D114" s="20" t="n">
        <f aca="false">Narxlar!D115/Narxlar!D114-1</f>
        <v>-0.0157501856411459</v>
      </c>
      <c r="E114" s="20" t="n">
        <f aca="false">Narxlar!E115/Narxlar!E114-1</f>
        <v>-0.0039811419591409</v>
      </c>
      <c r="F114" s="20" t="n">
        <f aca="false">Narxlar!F115/Narxlar!F114-1</f>
        <v>-0.0193941150891434</v>
      </c>
      <c r="H114" s="20" t="n">
        <f aca="false">LN(Narxlar!B115/Narxlar!B114)</f>
        <v>-0.00956019867104015</v>
      </c>
      <c r="I114" s="20" t="n">
        <f aca="false">LN(Narxlar!C115/Narxlar!C114)</f>
        <v>-0.0050619875757088</v>
      </c>
      <c r="J114" s="20" t="n">
        <f aca="false">LN(Narxlar!D115/Narxlar!D114)</f>
        <v>-0.0158755377700894</v>
      </c>
      <c r="K114" s="20" t="n">
        <f aca="false">LN(Narxlar!E115/Narxlar!E114)</f>
        <v>-0.00398908780081754</v>
      </c>
      <c r="L114" s="20" t="n">
        <f aca="false">LN(Narxlar!F115/Narxlar!F114)</f>
        <v>-0.0195846484462217</v>
      </c>
    </row>
    <row r="115" customFormat="false" ht="15" hidden="false" customHeight="false" outlineLevel="0" collapsed="false">
      <c r="A115" s="19" t="n">
        <f aca="false">Narxlar!A116</f>
        <v>45453</v>
      </c>
      <c r="B115" s="20" t="n">
        <f aca="false">Narxlar!B116/Narxlar!B115-1</f>
        <v>-0.00876017553850794</v>
      </c>
      <c r="C115" s="20" t="n">
        <f aca="false">Narxlar!C116/Narxlar!C115-1</f>
        <v>0.00728692257644759</v>
      </c>
      <c r="D115" s="20" t="n">
        <f aca="false">Narxlar!D116/Narxlar!D115-1</f>
        <v>0.000238246505718021</v>
      </c>
      <c r="E115" s="20" t="n">
        <f aca="false">Narxlar!E116/Narxlar!E115-1</f>
        <v>-0.00168297044283161</v>
      </c>
      <c r="F115" s="20" t="n">
        <f aca="false">Narxlar!F116/Narxlar!F115-1</f>
        <v>-0.00904629574883231</v>
      </c>
      <c r="H115" s="20" t="n">
        <f aca="false">LN(Narxlar!B116/Narxlar!B115)</f>
        <v>-0.00879877144618003</v>
      </c>
      <c r="I115" s="20" t="n">
        <f aca="false">LN(Narxlar!C116/Narxlar!C115)</f>
        <v>0.00726050123201714</v>
      </c>
      <c r="J115" s="20" t="n">
        <f aca="false">LN(Narxlar!D116/Narxlar!D115)</f>
        <v>0.000238218129526207</v>
      </c>
      <c r="K115" s="20" t="n">
        <f aca="false">LN(Narxlar!E116/Narxlar!E115)</f>
        <v>-0.00168438822853825</v>
      </c>
      <c r="L115" s="20" t="n">
        <f aca="false">LN(Narxlar!F116/Narxlar!F115)</f>
        <v>-0.00908746193796803</v>
      </c>
    </row>
    <row r="116" customFormat="false" ht="15" hidden="false" customHeight="false" outlineLevel="0" collapsed="false">
      <c r="A116" s="19" t="n">
        <f aca="false">Narxlar!A117</f>
        <v>45454</v>
      </c>
      <c r="B116" s="20" t="n">
        <f aca="false">Narxlar!B117/Narxlar!B116-1</f>
        <v>-0.0300359924973386</v>
      </c>
      <c r="C116" s="20" t="n">
        <f aca="false">Narxlar!C117/Narxlar!C116-1</f>
        <v>-0.0399173233432373</v>
      </c>
      <c r="D116" s="20" t="n">
        <f aca="false">Narxlar!D117/Narxlar!D116-1</f>
        <v>-0.0219531560142914</v>
      </c>
      <c r="E116" s="20" t="n">
        <f aca="false">Narxlar!E117/Narxlar!E116-1</f>
        <v>-0.00716468233062906</v>
      </c>
      <c r="F116" s="20" t="n">
        <f aca="false">Narxlar!F117/Narxlar!F116-1</f>
        <v>-0.0393198090692124</v>
      </c>
      <c r="H116" s="20" t="n">
        <f aca="false">LN(Narxlar!B117/Narxlar!B116)</f>
        <v>-0.0304963138405002</v>
      </c>
      <c r="I116" s="20" t="n">
        <f aca="false">LN(Narxlar!C117/Narxlar!C116)</f>
        <v>-0.0407358767110389</v>
      </c>
      <c r="J116" s="20" t="n">
        <f aca="false">LN(Narxlar!D117/Narxlar!D116)</f>
        <v>-0.0221977123584813</v>
      </c>
      <c r="K116" s="20" t="n">
        <f aca="false">LN(Narxlar!E117/Narxlar!E116)</f>
        <v>-0.007190471923736</v>
      </c>
      <c r="L116" s="20" t="n">
        <f aca="false">LN(Narxlar!F117/Narxlar!F116)</f>
        <v>-0.0401137131911355</v>
      </c>
    </row>
    <row r="117" customFormat="false" ht="15" hidden="false" customHeight="false" outlineLevel="0" collapsed="false">
      <c r="A117" s="19" t="n">
        <f aca="false">Narxlar!A118</f>
        <v>45455</v>
      </c>
      <c r="B117" s="20" t="n">
        <f aca="false">Narxlar!B118/Narxlar!B117-1</f>
        <v>-0.0185796538417985</v>
      </c>
      <c r="C117" s="20" t="n">
        <f aca="false">Narxlar!C118/Narxlar!C117-1</f>
        <v>-0.0264397201291712</v>
      </c>
      <c r="D117" s="20" t="n">
        <f aca="false">Narxlar!D118/Narxlar!D117-1</f>
        <v>-0.017047530137598</v>
      </c>
      <c r="E117" s="20" t="n">
        <f aca="false">Narxlar!E118/Narxlar!E117-1</f>
        <v>-0.0205879231667198</v>
      </c>
      <c r="F117" s="20" t="n">
        <f aca="false">Narxlar!F118/Narxlar!F117-1</f>
        <v>-0.0472330911123533</v>
      </c>
      <c r="H117" s="20" t="n">
        <f aca="false">LN(Narxlar!B118/Narxlar!B117)</f>
        <v>-0.0187544237721273</v>
      </c>
      <c r="I117" s="20" t="n">
        <f aca="false">LN(Narxlar!C118/Narxlar!C117)</f>
        <v>-0.0267955353156271</v>
      </c>
      <c r="J117" s="20" t="n">
        <f aca="false">LN(Narxlar!D118/Narxlar!D117)</f>
        <v>-0.017194512127673</v>
      </c>
      <c r="K117" s="20" t="n">
        <f aca="false">LN(Narxlar!E118/Narxlar!E117)</f>
        <v>-0.0208028089411795</v>
      </c>
      <c r="L117" s="20" t="n">
        <f aca="false">LN(Narxlar!F118/Narxlar!F117)</f>
        <v>-0.0483849919307614</v>
      </c>
    </row>
    <row r="118" customFormat="false" ht="15" hidden="false" customHeight="false" outlineLevel="0" collapsed="false">
      <c r="A118" s="19" t="n">
        <f aca="false">Narxlar!A119</f>
        <v>45456</v>
      </c>
      <c r="B118" s="20" t="n">
        <f aca="false">Narxlar!B119/Narxlar!B118-1</f>
        <v>0.000248513357592906</v>
      </c>
      <c r="C118" s="20" t="n">
        <f aca="false">Narxlar!C119/Narxlar!C118-1</f>
        <v>0.0131988114159354</v>
      </c>
      <c r="D118" s="20" t="n">
        <f aca="false">Narxlar!D119/Narxlar!D118-1</f>
        <v>-0.00313829128298304</v>
      </c>
      <c r="E118" s="20" t="n">
        <f aca="false">Narxlar!E119/Narxlar!E118-1</f>
        <v>0.00325062303608181</v>
      </c>
      <c r="F118" s="20" t="n">
        <f aca="false">Narxlar!F119/Narxlar!F118-1</f>
        <v>-0.0220331801440631</v>
      </c>
      <c r="H118" s="20" t="n">
        <f aca="false">LN(Narxlar!B119/Narxlar!B118)</f>
        <v>0.000248482483263471</v>
      </c>
      <c r="I118" s="20" t="n">
        <f aca="false">LN(Narxlar!C119/Narxlar!C118)</f>
        <v>0.0131124660455393</v>
      </c>
      <c r="J118" s="20" t="n">
        <f aca="false">LN(Narxlar!D119/Narxlar!D118)</f>
        <v>-0.00314322604625915</v>
      </c>
      <c r="K118" s="20" t="n">
        <f aca="false">LN(Narxlar!E119/Narxlar!E118)</f>
        <v>0.00324535118247027</v>
      </c>
      <c r="L118" s="20" t="n">
        <f aca="false">LN(Narxlar!F119/Narxlar!F118)</f>
        <v>-0.0222795360505092</v>
      </c>
    </row>
    <row r="119" customFormat="false" ht="15" hidden="false" customHeight="false" outlineLevel="0" collapsed="false">
      <c r="A119" s="19" t="n">
        <f aca="false">Narxlar!A120</f>
        <v>45457</v>
      </c>
      <c r="B119" s="20" t="n">
        <f aca="false">Narxlar!B120/Narxlar!B119-1</f>
        <v>-0.00439226960549433</v>
      </c>
      <c r="C119" s="20" t="n">
        <f aca="false">Narxlar!C120/Narxlar!C119-1</f>
        <v>0.0118674123584777</v>
      </c>
      <c r="D119" s="20" t="n">
        <f aca="false">Narxlar!D120/Narxlar!D119-1</f>
        <v>0.0124269914253758</v>
      </c>
      <c r="E119" s="20" t="n">
        <f aca="false">Narxlar!E120/Narxlar!E119-1</f>
        <v>-0.000540015120423343</v>
      </c>
      <c r="F119" s="20" t="n">
        <f aca="false">Narxlar!F120/Narxlar!F119-1</f>
        <v>-0.0200299950008332</v>
      </c>
      <c r="H119" s="20" t="n">
        <f aca="false">LN(Narxlar!B120/Narxlar!B119)</f>
        <v>-0.00440194396028079</v>
      </c>
      <c r="I119" s="20" t="n">
        <f aca="false">LN(Narxlar!C120/Narxlar!C119)</f>
        <v>0.0117975468259495</v>
      </c>
      <c r="J119" s="20" t="n">
        <f aca="false">LN(Narxlar!D120/Narxlar!D119)</f>
        <v>0.0123504101645089</v>
      </c>
      <c r="K119" s="20" t="n">
        <f aca="false">LN(Narxlar!E120/Narxlar!E119)</f>
        <v>-0.000540160981102164</v>
      </c>
      <c r="L119" s="20" t="n">
        <f aca="false">LN(Narxlar!F120/Narxlar!F119)</f>
        <v>-0.020233314929635</v>
      </c>
    </row>
    <row r="120" customFormat="false" ht="15" hidden="false" customHeight="false" outlineLevel="0" collapsed="false">
      <c r="A120" s="19" t="n">
        <f aca="false">Narxlar!A121</f>
        <v>45460</v>
      </c>
      <c r="B120" s="20" t="n">
        <f aca="false">Narxlar!B121/Narxlar!B120-1</f>
        <v>-0.0102047182339153</v>
      </c>
      <c r="C120" s="20" t="n">
        <f aca="false">Narxlar!C121/Narxlar!C120-1</f>
        <v>-0.00599892154219461</v>
      </c>
      <c r="D120" s="20" t="n">
        <f aca="false">Narxlar!D121/Narxlar!D120-1</f>
        <v>-0.00875577922343607</v>
      </c>
      <c r="E120" s="20" t="n">
        <f aca="false">Narxlar!E121/Narxlar!E120-1</f>
        <v>-0.00994164685541388</v>
      </c>
      <c r="F120" s="20" t="n">
        <f aca="false">Narxlar!F121/Narxlar!F120-1</f>
        <v>-0.00367296966399133</v>
      </c>
      <c r="H120" s="20" t="n">
        <f aca="false">LN(Narxlar!B121/Narxlar!B120)</f>
        <v>-0.0102571433315578</v>
      </c>
      <c r="I120" s="20" t="n">
        <f aca="false">LN(Narxlar!C121/Narxlar!C120)</f>
        <v>-0.00601698735854054</v>
      </c>
      <c r="J120" s="20" t="n">
        <f aca="false">LN(Narxlar!D121/Narxlar!D120)</f>
        <v>-0.00879433628809395</v>
      </c>
      <c r="K120" s="20" t="n">
        <f aca="false">LN(Narxlar!E121/Narxlar!E120)</f>
        <v>-0.00999139502025747</v>
      </c>
      <c r="L120" s="20" t="n">
        <f aca="false">LN(Narxlar!F121/Narxlar!F120)</f>
        <v>-0.00367973157968634</v>
      </c>
    </row>
    <row r="121" customFormat="false" ht="15" hidden="false" customHeight="false" outlineLevel="0" collapsed="false">
      <c r="A121" s="19" t="n">
        <f aca="false">Narxlar!A122</f>
        <v>45461</v>
      </c>
      <c r="B121" s="20" t="n">
        <f aca="false">Narxlar!B122/Narxlar!B121-1</f>
        <v>-0.0112733886797889</v>
      </c>
      <c r="C121" s="20" t="n">
        <f aca="false">Narxlar!C122/Narxlar!C121-1</f>
        <v>0.00840848986234488</v>
      </c>
      <c r="D121" s="20" t="n">
        <f aca="false">Narxlar!D122/Narxlar!D121-1</f>
        <v>-0.00441656003632307</v>
      </c>
      <c r="E121" s="20" t="n">
        <f aca="false">Narxlar!E122/Narxlar!E121-1</f>
        <v>-0.0132067234228335</v>
      </c>
      <c r="F121" s="20" t="n">
        <f aca="false">Narxlar!F122/Narxlar!F121-1</f>
        <v>-0.0121518296013108</v>
      </c>
      <c r="H121" s="20" t="n">
        <f aca="false">LN(Narxlar!B122/Narxlar!B121)</f>
        <v>-0.0113374149762992</v>
      </c>
      <c r="I121" s="20" t="n">
        <f aca="false">LN(Narxlar!C122/Narxlar!C121)</f>
        <v>0.00837333543774275</v>
      </c>
      <c r="J121" s="20" t="n">
        <f aca="false">LN(Narxlar!D122/Narxlar!D121)</f>
        <v>-0.00442634184953577</v>
      </c>
      <c r="K121" s="20" t="n">
        <f aca="false">LN(Narxlar!E122/Narxlar!E121)</f>
        <v>-0.013294707709321</v>
      </c>
      <c r="L121" s="20" t="n">
        <f aca="false">LN(Narxlar!F122/Narxlar!F121)</f>
        <v>-0.0122262667288171</v>
      </c>
    </row>
    <row r="122" customFormat="false" ht="15" hidden="false" customHeight="false" outlineLevel="0" collapsed="false">
      <c r="A122" s="19" t="n">
        <f aca="false">Narxlar!A123</f>
        <v>45462</v>
      </c>
      <c r="B122" s="20" t="n">
        <f aca="false">Narxlar!B123/Narxlar!B122-1</f>
        <v>0.0144345482031949</v>
      </c>
      <c r="C122" s="20" t="n">
        <f aca="false">Narxlar!C123/Narxlar!C122-1</f>
        <v>0.0186268576423911</v>
      </c>
      <c r="D122" s="20" t="n">
        <f aca="false">Narxlar!D123/Narxlar!D122-1</f>
        <v>-0.0101575456053068</v>
      </c>
      <c r="E122" s="20" t="n">
        <f aca="false">Narxlar!E123/Narxlar!E122-1</f>
        <v>0.00851675699590748</v>
      </c>
      <c r="F122" s="20" t="n">
        <f aca="false">Narxlar!F123/Narxlar!F122-1</f>
        <v>-0.0114029025570145</v>
      </c>
      <c r="H122" s="20" t="n">
        <f aca="false">LN(Narxlar!B123/Narxlar!B122)</f>
        <v>0.01433136189216</v>
      </c>
      <c r="I122" s="20" t="n">
        <f aca="false">LN(Narxlar!C123/Narxlar!C122)</f>
        <v>0.0184555023330018</v>
      </c>
      <c r="J122" s="20" t="n">
        <f aca="false">LN(Narxlar!D123/Narxlar!D122)</f>
        <v>-0.0102094854921907</v>
      </c>
      <c r="K122" s="20" t="n">
        <f aca="false">LN(Narxlar!E123/Narxlar!E122)</f>
        <v>0.00848069403602024</v>
      </c>
      <c r="L122" s="20" t="n">
        <f aca="false">LN(Narxlar!F123/Narxlar!F122)</f>
        <v>-0.0114684141413189</v>
      </c>
    </row>
    <row r="123" customFormat="false" ht="15" hidden="false" customHeight="false" outlineLevel="0" collapsed="false">
      <c r="A123" s="19" t="n">
        <f aca="false">Narxlar!A124</f>
        <v>45463</v>
      </c>
      <c r="B123" s="20" t="n">
        <f aca="false">Narxlar!B124/Narxlar!B123-1</f>
        <v>-0.00474903717535546</v>
      </c>
      <c r="C123" s="20" t="n">
        <f aca="false">Narxlar!C124/Narxlar!C123-1</f>
        <v>-0.00442302614206491</v>
      </c>
      <c r="D123" s="20" t="n">
        <f aca="false">Narxlar!D124/Narxlar!D123-1</f>
        <v>0.00980104712041885</v>
      </c>
      <c r="E123" s="20" t="n">
        <f aca="false">Narxlar!E124/Narxlar!E123-1</f>
        <v>0.00372888791401627</v>
      </c>
      <c r="F123" s="20" t="n">
        <f aca="false">Narxlar!F124/Narxlar!F123-1</f>
        <v>-0.00650122334847958</v>
      </c>
      <c r="H123" s="20" t="n">
        <f aca="false">LN(Narxlar!B124/Narxlar!B123)</f>
        <v>-0.00476034968228941</v>
      </c>
      <c r="I123" s="20" t="n">
        <f aca="false">LN(Narxlar!C124/Narxlar!C123)</f>
        <v>-0.00443283666100046</v>
      </c>
      <c r="J123" s="20" t="n">
        <f aca="false">LN(Narxlar!D124/Narxlar!D123)</f>
        <v>0.00975332840036884</v>
      </c>
      <c r="K123" s="20" t="n">
        <f aca="false">LN(Narxlar!E124/Narxlar!E123)</f>
        <v>0.00372195284619245</v>
      </c>
      <c r="L123" s="20" t="n">
        <f aca="false">LN(Narxlar!F124/Narxlar!F123)</f>
        <v>-0.00652244834329296</v>
      </c>
    </row>
    <row r="124" customFormat="false" ht="15" hidden="false" customHeight="false" outlineLevel="0" collapsed="false">
      <c r="A124" s="19" t="n">
        <f aca="false">Narxlar!A125</f>
        <v>45464</v>
      </c>
      <c r="B124" s="20" t="n">
        <f aca="false">Narxlar!B125/Narxlar!B124-1</f>
        <v>-0.0137648608179538</v>
      </c>
      <c r="C124" s="20" t="n">
        <f aca="false">Narxlar!C125/Narxlar!C124-1</f>
        <v>-0.0263908228897288</v>
      </c>
      <c r="D124" s="20" t="n">
        <f aca="false">Narxlar!D125/Narxlar!D124-1</f>
        <v>-0.0120701812601103</v>
      </c>
      <c r="E124" s="20" t="n">
        <f aca="false">Narxlar!E125/Narxlar!E124-1</f>
        <v>-0.00644667832167833</v>
      </c>
      <c r="F124" s="20" t="n">
        <f aca="false">Narxlar!F125/Narxlar!F124-1</f>
        <v>-0.0150225161835069</v>
      </c>
      <c r="H124" s="20" t="n">
        <f aca="false">LN(Narxlar!B125/Narxlar!B124)</f>
        <v>-0.0138604749385715</v>
      </c>
      <c r="I124" s="20" t="n">
        <f aca="false">LN(Narxlar!C125/Narxlar!C124)</f>
        <v>-0.0267453113977474</v>
      </c>
      <c r="J124" s="20" t="n">
        <f aca="false">LN(Narxlar!D125/Narxlar!D124)</f>
        <v>-0.0121436174213587</v>
      </c>
      <c r="K124" s="20" t="n">
        <f aca="false">LN(Narxlar!E125/Narxlar!E124)</f>
        <v>-0.00646754789366631</v>
      </c>
      <c r="L124" s="20" t="n">
        <f aca="false">LN(Narxlar!F125/Narxlar!F124)</f>
        <v>-0.0151364971408709</v>
      </c>
    </row>
    <row r="125" customFormat="false" ht="15" hidden="false" customHeight="false" outlineLevel="0" collapsed="false">
      <c r="A125" s="19" t="n">
        <f aca="false">Narxlar!A126</f>
        <v>45467</v>
      </c>
      <c r="B125" s="20" t="n">
        <f aca="false">Narxlar!B126/Narxlar!B125-1</f>
        <v>0.00138106387649084</v>
      </c>
      <c r="C125" s="20" t="n">
        <f aca="false">Narxlar!C126/Narxlar!C125-1</f>
        <v>0.0144384662534904</v>
      </c>
      <c r="D125" s="20" t="n">
        <f aca="false">Narxlar!D126/Narxlar!D125-1</f>
        <v>0.000377865479889161</v>
      </c>
      <c r="E125" s="20" t="n">
        <f aca="false">Narxlar!E126/Narxlar!E125-1</f>
        <v>0.00648850764324216</v>
      </c>
      <c r="F125" s="20" t="n">
        <f aca="false">Narxlar!F126/Narxlar!F125-1</f>
        <v>-0.00403614673000674</v>
      </c>
      <c r="H125" s="20" t="n">
        <f aca="false">LN(Narxlar!B126/Narxlar!B125)</f>
        <v>0.00138011108491849</v>
      </c>
      <c r="I125" s="20" t="n">
        <f aca="false">LN(Narxlar!C126/Narxlar!C125)</f>
        <v>0.0143352241844451</v>
      </c>
      <c r="J125" s="20" t="n">
        <f aca="false">LN(Narxlar!D126/Narxlar!D125)</f>
        <v>0.00037779410670779</v>
      </c>
      <c r="K125" s="20" t="n">
        <f aca="false">LN(Narxlar!E126/Narxlar!E125)</f>
        <v>0.0064675478936664</v>
      </c>
      <c r="L125" s="20" t="n">
        <f aca="false">LN(Narxlar!F126/Narxlar!F125)</f>
        <v>-0.0040443139537028</v>
      </c>
    </row>
    <row r="126" customFormat="false" ht="15" hidden="false" customHeight="false" outlineLevel="0" collapsed="false">
      <c r="A126" s="19" t="n">
        <f aca="false">Narxlar!A127</f>
        <v>45468</v>
      </c>
      <c r="B126" s="20" t="n">
        <f aca="false">Narxlar!B127/Narxlar!B126-1</f>
        <v>0.0157187611314586</v>
      </c>
      <c r="C126" s="20" t="n">
        <f aca="false">Narxlar!C127/Narxlar!C126-1</f>
        <v>0.0283316549177577</v>
      </c>
      <c r="D126" s="20" t="n">
        <f aca="false">Narxlar!D127/Narxlar!D126-1</f>
        <v>0.0178788769043523</v>
      </c>
      <c r="E126" s="20" t="n">
        <f aca="false">Narxlar!E127/Narxlar!E126-1</f>
        <v>-0.00284090909090906</v>
      </c>
      <c r="F126" s="20" t="n">
        <f aca="false">Narxlar!F127/Narxlar!F126-1</f>
        <v>-0.00799741787404962</v>
      </c>
      <c r="H126" s="20" t="n">
        <f aca="false">LN(Narxlar!B127/Narxlar!B126)</f>
        <v>0.0155965009273738</v>
      </c>
      <c r="I126" s="20" t="n">
        <f aca="false">LN(Narxlar!C127/Narxlar!C126)</f>
        <v>0.0279377365171714</v>
      </c>
      <c r="J126" s="20" t="n">
        <f aca="false">LN(Narxlar!D127/Narxlar!D126)</f>
        <v>0.0177209296195698</v>
      </c>
      <c r="K126" s="20" t="n">
        <f aca="false">LN(Narxlar!E127/Narxlar!E126)</f>
        <v>-0.00284495213223125</v>
      </c>
      <c r="L126" s="20" t="n">
        <f aca="false">LN(Narxlar!F127/Narxlar!F126)</f>
        <v>-0.00802956875110517</v>
      </c>
    </row>
    <row r="127" customFormat="false" ht="15" hidden="false" customHeight="false" outlineLevel="0" collapsed="false">
      <c r="A127" s="19" t="n">
        <f aca="false">Narxlar!A128</f>
        <v>45469</v>
      </c>
      <c r="B127" s="20" t="n">
        <f aca="false">Narxlar!B128/Narxlar!B127-1</f>
        <v>0.00102510610747442</v>
      </c>
      <c r="C127" s="20" t="n">
        <f aca="false">Narxlar!C128/Narxlar!C127-1</f>
        <v>-0.00541881569497948</v>
      </c>
      <c r="D127" s="20" t="n">
        <f aca="false">Narxlar!D128/Narxlar!D127-1</f>
        <v>-0.0138951882241373</v>
      </c>
      <c r="E127" s="20" t="n">
        <f aca="false">Narxlar!E128/Narxlar!E127-1</f>
        <v>0.00416392724085024</v>
      </c>
      <c r="F127" s="20" t="n">
        <f aca="false">Narxlar!F128/Narxlar!F127-1</f>
        <v>0.00596507718448347</v>
      </c>
      <c r="H127" s="20" t="n">
        <f aca="false">LN(Narxlar!B128/Narxlar!B127)</f>
        <v>0.00102458104500782</v>
      </c>
      <c r="I127" s="20" t="n">
        <f aca="false">LN(Narxlar!C128/Narxlar!C127)</f>
        <v>-0.00543355073182061</v>
      </c>
      <c r="J127" s="20" t="n">
        <f aca="false">LN(Narxlar!D128/Narxlar!D127)</f>
        <v>-0.0139926300534237</v>
      </c>
      <c r="K127" s="20" t="n">
        <f aca="false">LN(Narxlar!E128/Narxlar!E127)</f>
        <v>0.00415528208603821</v>
      </c>
      <c r="L127" s="20" t="n">
        <f aca="false">LN(Narxlar!F128/Narxlar!F127)</f>
        <v>0.00594735654663783</v>
      </c>
    </row>
    <row r="128" customFormat="false" ht="15" hidden="false" customHeight="false" outlineLevel="0" collapsed="false">
      <c r="A128" s="19" t="n">
        <f aca="false">Narxlar!A129</f>
        <v>45470</v>
      </c>
      <c r="B128" s="20" t="n">
        <f aca="false">Narxlar!B129/Narxlar!B128-1</f>
        <v>-0.00397944700957587</v>
      </c>
      <c r="C128" s="20" t="n">
        <f aca="false">Narxlar!C129/Narxlar!C128-1</f>
        <v>-0.0173952999868715</v>
      </c>
      <c r="D128" s="20" t="n">
        <f aca="false">Narxlar!D129/Narxlar!D128-1</f>
        <v>0.00405586218431187</v>
      </c>
      <c r="E128" s="20" t="n">
        <f aca="false">Narxlar!E129/Narxlar!E128-1</f>
        <v>-0.0152771715408119</v>
      </c>
      <c r="F128" s="20" t="n">
        <f aca="false">Narxlar!F129/Narxlar!F128-1</f>
        <v>-0.000395313735355396</v>
      </c>
      <c r="H128" s="20" t="n">
        <f aca="false">LN(Narxlar!B129/Narxlar!B128)</f>
        <v>-0.00398738607789414</v>
      </c>
      <c r="I128" s="20" t="n">
        <f aca="false">LN(Narxlar!C129/Narxlar!C128)</f>
        <v>-0.0175483760174977</v>
      </c>
      <c r="J128" s="20" t="n">
        <f aca="false">LN(Narxlar!D129/Narxlar!D128)</f>
        <v>0.00404765934751952</v>
      </c>
      <c r="K128" s="20" t="n">
        <f aca="false">LN(Narxlar!E129/Narxlar!E128)</f>
        <v>-0.015395069835546</v>
      </c>
      <c r="L128" s="20" t="n">
        <f aca="false">LN(Narxlar!F129/Narxlar!F128)</f>
        <v>-0.000395391892428465</v>
      </c>
    </row>
    <row r="129" customFormat="false" ht="15" hidden="false" customHeight="false" outlineLevel="0" collapsed="false">
      <c r="A129" s="19" t="n">
        <f aca="false">Narxlar!A130</f>
        <v>45471</v>
      </c>
      <c r="B129" s="20" t="n">
        <f aca="false">Narxlar!B130/Narxlar!B129-1</f>
        <v>-0.00340912165513751</v>
      </c>
      <c r="C129" s="20" t="n">
        <f aca="false">Narxlar!C130/Narxlar!C129-1</f>
        <v>0.019707395283586</v>
      </c>
      <c r="D129" s="20" t="n">
        <f aca="false">Narxlar!D130/Narxlar!D129-1</f>
        <v>0.000541373422729308</v>
      </c>
      <c r="E129" s="20" t="n">
        <f aca="false">Narxlar!E130/Narxlar!E129-1</f>
        <v>0.000554078014184389</v>
      </c>
      <c r="F129" s="20" t="n">
        <f aca="false">Narxlar!F130/Narxlar!F129-1</f>
        <v>-0.0217868056803883</v>
      </c>
      <c r="H129" s="20" t="n">
        <f aca="false">LN(Narxlar!B130/Narxlar!B129)</f>
        <v>-0.00341494595129082</v>
      </c>
      <c r="I129" s="20" t="n">
        <f aca="false">LN(Narxlar!C130/Narxlar!C129)</f>
        <v>0.0195157187728319</v>
      </c>
      <c r="J129" s="20" t="n">
        <f aca="false">LN(Narxlar!D130/Narxlar!D129)</f>
        <v>0.000541226933005933</v>
      </c>
      <c r="K129" s="20" t="n">
        <f aca="false">LN(Narxlar!E130/Narxlar!E129)</f>
        <v>0.000553924569639038</v>
      </c>
      <c r="L129" s="20" t="n">
        <f aca="false">LN(Narxlar!F130/Narxlar!F129)</f>
        <v>-0.0220276426018571</v>
      </c>
    </row>
    <row r="130" customFormat="false" ht="15" hidden="false" customHeight="false" outlineLevel="0" collapsed="false">
      <c r="A130" s="19" t="n">
        <f aca="false">Narxlar!A131</f>
        <v>45474</v>
      </c>
      <c r="B130" s="20" t="n">
        <f aca="false">Narxlar!B131/Narxlar!B130-1</f>
        <v>-0.0021085782029121</v>
      </c>
      <c r="C130" s="20" t="n">
        <f aca="false">Narxlar!C131/Narxlar!C130-1</f>
        <v>-0.00196540880503149</v>
      </c>
      <c r="D130" s="20" t="n">
        <f aca="false">Narxlar!D131/Narxlar!D130-1</f>
        <v>0.0130691750603513</v>
      </c>
      <c r="E130" s="20" t="n">
        <f aca="false">Narxlar!E131/Narxlar!E130-1</f>
        <v>-0.00697751689002102</v>
      </c>
      <c r="F130" s="20" t="n">
        <f aca="false">Narxlar!F131/Narxlar!F130-1</f>
        <v>0.00488808850012856</v>
      </c>
      <c r="H130" s="20" t="n">
        <f aca="false">LN(Narxlar!B131/Narxlar!B130)</f>
        <v>-0.00211080438386592</v>
      </c>
      <c r="I130" s="20" t="n">
        <f aca="false">LN(Narxlar!C131/Narxlar!C130)</f>
        <v>-0.00196734275533437</v>
      </c>
      <c r="J130" s="20" t="n">
        <f aca="false">LN(Narxlar!D131/Narxlar!D130)</f>
        <v>0.0129845102601978</v>
      </c>
      <c r="K130" s="20" t="n">
        <f aca="false">LN(Narxlar!E131/Narxlar!E130)</f>
        <v>-0.00700197359209435</v>
      </c>
      <c r="L130" s="20" t="n">
        <f aca="false">LN(Narxlar!F131/Narxlar!F130)</f>
        <v>0.00487618058440101</v>
      </c>
    </row>
    <row r="131" customFormat="false" ht="15" hidden="false" customHeight="false" outlineLevel="0" collapsed="false">
      <c r="A131" s="19" t="n">
        <f aca="false">Narxlar!A132</f>
        <v>45475</v>
      </c>
      <c r="B131" s="20" t="n">
        <f aca="false">Narxlar!B132/Narxlar!B131-1</f>
        <v>0.0152990894910581</v>
      </c>
      <c r="C131" s="20" t="n">
        <f aca="false">Narxlar!C132/Narxlar!C131-1</f>
        <v>0.0202179335696469</v>
      </c>
      <c r="D131" s="20" t="n">
        <f aca="false">Narxlar!D132/Narxlar!D131-1</f>
        <v>0.0132703368940017</v>
      </c>
      <c r="E131" s="20" t="n">
        <f aca="false">Narxlar!E132/Narxlar!E131-1</f>
        <v>0.0124916350658042</v>
      </c>
      <c r="F131" s="20" t="n">
        <f aca="false">Narxlar!F132/Narxlar!F131-1</f>
        <v>0.0271743105844489</v>
      </c>
      <c r="H131" s="20" t="n">
        <f aca="false">LN(Narxlar!B132/Narxlar!B131)</f>
        <v>0.0151832385365536</v>
      </c>
      <c r="I131" s="20" t="n">
        <f aca="false">LN(Narxlar!C132/Narxlar!C131)</f>
        <v>0.0200162648364541</v>
      </c>
      <c r="J131" s="20" t="n">
        <f aca="false">LN(Narxlar!D132/Narxlar!D131)</f>
        <v>0.013183057278725</v>
      </c>
      <c r="K131" s="20" t="n">
        <f aca="false">LN(Narxlar!E132/Narxlar!E131)</f>
        <v>0.0124142583010262</v>
      </c>
      <c r="L131" s="20" t="n">
        <f aca="false">LN(Narxlar!F132/Narxlar!F131)</f>
        <v>0.0268116444745956</v>
      </c>
    </row>
    <row r="132" customFormat="false" ht="15" hidden="false" customHeight="false" outlineLevel="0" collapsed="false">
      <c r="A132" s="19" t="n">
        <f aca="false">Narxlar!A133</f>
        <v>45476</v>
      </c>
      <c r="B132" s="20" t="n">
        <f aca="false">Narxlar!B133/Narxlar!B132-1</f>
        <v>0.00198293957393592</v>
      </c>
      <c r="C132" s="20" t="n">
        <f aca="false">Narxlar!C133/Narxlar!C132-1</f>
        <v>0.0231630420795264</v>
      </c>
      <c r="D132" s="20" t="n">
        <f aca="false">Narxlar!D133/Narxlar!D132-1</f>
        <v>-0.00401411020557108</v>
      </c>
      <c r="E132" s="20" t="n">
        <f aca="false">Narxlar!E133/Narxlar!E132-1</f>
        <v>0.00484688257325394</v>
      </c>
      <c r="F132" s="20" t="n">
        <f aca="false">Narxlar!F133/Narxlar!F132-1</f>
        <v>0.000249243368346086</v>
      </c>
      <c r="H132" s="20" t="n">
        <f aca="false">LN(Narxlar!B133/Narxlar!B132)</f>
        <v>0.00198097614440527</v>
      </c>
      <c r="I132" s="20" t="n">
        <f aca="false">LN(Narxlar!C133/Narxlar!C132)</f>
        <v>0.0228988506922412</v>
      </c>
      <c r="J132" s="20" t="n">
        <f aca="false">LN(Narxlar!D133/Narxlar!D132)</f>
        <v>-0.00402218837095324</v>
      </c>
      <c r="K132" s="20" t="n">
        <f aca="false">LN(Narxlar!E133/Narxlar!E132)</f>
        <v>0.00483517425523474</v>
      </c>
      <c r="L132" s="20" t="n">
        <f aca="false">LN(Narxlar!F133/Narxlar!F132)</f>
        <v>0.000249212312377976</v>
      </c>
    </row>
    <row r="133" customFormat="false" ht="15" hidden="false" customHeight="false" outlineLevel="0" collapsed="false">
      <c r="A133" s="19" t="n">
        <f aca="false">Narxlar!A134</f>
        <v>45477</v>
      </c>
      <c r="B133" s="20" t="n">
        <f aca="false">Narxlar!B134/Narxlar!B133-1</f>
        <v>-0.000855790402667256</v>
      </c>
      <c r="C133" s="20" t="n">
        <f aca="false">Narxlar!C134/Narxlar!C133-1</f>
        <v>0.000754622060118226</v>
      </c>
      <c r="D133" s="20" t="n">
        <f aca="false">Narxlar!D134/Narxlar!D133-1</f>
        <v>-0.0114395049666178</v>
      </c>
      <c r="E133" s="20" t="n">
        <f aca="false">Narxlar!E134/Narxlar!E133-1</f>
        <v>-0.00909888182416141</v>
      </c>
      <c r="F133" s="20" t="n">
        <f aca="false">Narxlar!F134/Narxlar!F133-1</f>
        <v>-0.0235298305567422</v>
      </c>
      <c r="H133" s="20" t="n">
        <f aca="false">LN(Narxlar!B134/Narxlar!B133)</f>
        <v>-0.000856156800328554</v>
      </c>
      <c r="I133" s="20" t="n">
        <f aca="false">LN(Narxlar!C134/Narxlar!C133)</f>
        <v>0.000754337476051361</v>
      </c>
      <c r="J133" s="20" t="n">
        <f aca="false">LN(Narxlar!D134/Narxlar!D133)</f>
        <v>-0.0115054394242268</v>
      </c>
      <c r="K133" s="20" t="n">
        <f aca="false">LN(Narxlar!E134/Narxlar!E133)</f>
        <v>-0.00914052947323486</v>
      </c>
      <c r="L133" s="20" t="n">
        <f aca="false">LN(Narxlar!F134/Narxlar!F133)</f>
        <v>-0.0238110775772212</v>
      </c>
    </row>
    <row r="134" customFormat="false" ht="15" hidden="false" customHeight="false" outlineLevel="0" collapsed="false">
      <c r="A134" s="19" t="n">
        <f aca="false">Narxlar!A135</f>
        <v>45478</v>
      </c>
      <c r="B134" s="20" t="n">
        <f aca="false">Narxlar!B135/Narxlar!B134-1</f>
        <v>0.0167735833905835</v>
      </c>
      <c r="C134" s="20" t="n">
        <f aca="false">Narxlar!C135/Narxlar!C134-1</f>
        <v>0.0103053914792006</v>
      </c>
      <c r="D134" s="20" t="n">
        <f aca="false">Narxlar!D135/Narxlar!D134-1</f>
        <v>0.0118189680023062</v>
      </c>
      <c r="E134" s="20" t="n">
        <f aca="false">Narxlar!E135/Narxlar!E134-1</f>
        <v>0.00398274145370059</v>
      </c>
      <c r="F134" s="20" t="n">
        <f aca="false">Narxlar!F135/Narxlar!F134-1</f>
        <v>0.0229302613831066</v>
      </c>
      <c r="H134" s="20" t="n">
        <f aca="false">LN(Narxlar!B135/Narxlar!B134)</f>
        <v>0.0166344604126037</v>
      </c>
      <c r="I134" s="20" t="n">
        <f aca="false">LN(Narxlar!C135/Narxlar!C134)</f>
        <v>0.0102526529504259</v>
      </c>
      <c r="J134" s="20" t="n">
        <f aca="false">LN(Narxlar!D135/Narxlar!D134)</f>
        <v>0.0117496694901618</v>
      </c>
      <c r="K134" s="20" t="n">
        <f aca="false">LN(Narxlar!E135/Narxlar!E134)</f>
        <v>0.00397483133464056</v>
      </c>
      <c r="L134" s="20" t="n">
        <f aca="false">LN(Narxlar!F135/Narxlar!F134)</f>
        <v>0.0226713139547619</v>
      </c>
    </row>
    <row r="135" customFormat="false" ht="15" hidden="false" customHeight="false" outlineLevel="0" collapsed="false">
      <c r="A135" s="19" t="n">
        <f aca="false">Narxlar!A136</f>
        <v>45481</v>
      </c>
      <c r="B135" s="20" t="n">
        <f aca="false">Narxlar!B136/Narxlar!B135-1</f>
        <v>-0.00977527399724454</v>
      </c>
      <c r="C135" s="20" t="n">
        <f aca="false">Narxlar!C136/Narxlar!C135-1</f>
        <v>-0.00155491976614008</v>
      </c>
      <c r="D135" s="20" t="n">
        <f aca="false">Narxlar!D136/Narxlar!D135-1</f>
        <v>0.00219780219780219</v>
      </c>
      <c r="E135" s="20" t="n">
        <f aca="false">Narxlar!E136/Narxlar!E135-1</f>
        <v>-0.00330578512396695</v>
      </c>
      <c r="F135" s="20" t="n">
        <f aca="false">Narxlar!F136/Narxlar!F135-1</f>
        <v>-0.012615823235923</v>
      </c>
      <c r="H135" s="20" t="n">
        <f aca="false">LN(Narxlar!B136/Narxlar!B135)</f>
        <v>-0.0098233656508075</v>
      </c>
      <c r="I135" s="20" t="n">
        <f aca="false">LN(Narxlar!C136/Narxlar!C135)</f>
        <v>-0.00155612990849184</v>
      </c>
      <c r="J135" s="20" t="n">
        <f aca="false">LN(Narxlar!D136/Narxlar!D135)</f>
        <v>0.00219539056343566</v>
      </c>
      <c r="K135" s="20" t="n">
        <f aca="false">LN(Narxlar!E136/Narxlar!E135)</f>
        <v>-0.00331126130365603</v>
      </c>
      <c r="L135" s="20" t="n">
        <f aca="false">LN(Narxlar!F136/Narxlar!F135)</f>
        <v>-0.0126960784386276</v>
      </c>
    </row>
    <row r="136" customFormat="false" ht="15" hidden="false" customHeight="false" outlineLevel="0" collapsed="false">
      <c r="A136" s="19" t="n">
        <f aca="false">Narxlar!A137</f>
        <v>45482</v>
      </c>
      <c r="B136" s="20" t="n">
        <f aca="false">Narxlar!B137/Narxlar!B136-1</f>
        <v>-0.00315471390466737</v>
      </c>
      <c r="C136" s="20" t="n">
        <f aca="false">Narxlar!C137/Narxlar!C136-1</f>
        <v>-0.00878340497103347</v>
      </c>
      <c r="D136" s="20" t="n">
        <f aca="false">Narxlar!D137/Narxlar!D136-1</f>
        <v>0.00450779727095507</v>
      </c>
      <c r="E136" s="20" t="n">
        <f aca="false">Narxlar!E137/Narxlar!E136-1</f>
        <v>0.00475400773908241</v>
      </c>
      <c r="F136" s="20" t="n">
        <f aca="false">Narxlar!F137/Narxlar!F136-1</f>
        <v>-0.0173608604634375</v>
      </c>
      <c r="H136" s="20" t="n">
        <f aca="false">LN(Narxlar!B137/Narxlar!B136)</f>
        <v>-0.0031597005048706</v>
      </c>
      <c r="I136" s="20" t="n">
        <f aca="false">LN(Narxlar!C137/Narxlar!C136)</f>
        <v>-0.00882220644560621</v>
      </c>
      <c r="J136" s="20" t="n">
        <f aca="false">LN(Narxlar!D137/Narxlar!D136)</f>
        <v>0.00449766758314841</v>
      </c>
      <c r="K136" s="20" t="n">
        <f aca="false">LN(Narxlar!E137/Narxlar!E136)</f>
        <v>0.00474274313153712</v>
      </c>
      <c r="L136" s="20" t="n">
        <f aca="false">LN(Narxlar!F137/Narxlar!F136)</f>
        <v>-0.0175133274166631</v>
      </c>
    </row>
    <row r="137" customFormat="false" ht="15" hidden="false" customHeight="false" outlineLevel="0" collapsed="false">
      <c r="A137" s="19" t="n">
        <f aca="false">Narxlar!A138</f>
        <v>45483</v>
      </c>
      <c r="B137" s="20" t="n">
        <f aca="false">Narxlar!B138/Narxlar!B137-1</f>
        <v>-0.000240019201536157</v>
      </c>
      <c r="C137" s="20" t="n">
        <f aca="false">Narxlar!C138/Narxlar!C137-1</f>
        <v>0.00741578682755151</v>
      </c>
      <c r="D137" s="20" t="n">
        <f aca="false">Narxlar!D138/Narxlar!D137-1</f>
        <v>0.0062259955528603</v>
      </c>
      <c r="E137" s="20" t="n">
        <f aca="false">Narxlar!E138/Narxlar!E137-1</f>
        <v>-0.00319102112676062</v>
      </c>
      <c r="F137" s="20" t="n">
        <f aca="false">Narxlar!F138/Narxlar!F137-1</f>
        <v>0.00723599632690553</v>
      </c>
      <c r="H137" s="20" t="n">
        <f aca="false">LN(Narxlar!B138/Narxlar!B137)</f>
        <v>-0.000240048010754646</v>
      </c>
      <c r="I137" s="20" t="n">
        <f aca="false">LN(Narxlar!C138/Narxlar!C137)</f>
        <v>0.00738842506979048</v>
      </c>
      <c r="J137" s="20" t="n">
        <f aca="false">LN(Narxlar!D138/Narxlar!D137)</f>
        <v>0.00620669411489792</v>
      </c>
      <c r="K137" s="20" t="n">
        <f aca="false">LN(Narxlar!E138/Narxlar!E137)</f>
        <v>-0.00319612329164485</v>
      </c>
      <c r="L137" s="20" t="n">
        <f aca="false">LN(Narxlar!F138/Narxlar!F137)</f>
        <v>0.00720994211543918</v>
      </c>
    </row>
    <row r="138" customFormat="false" ht="15" hidden="false" customHeight="false" outlineLevel="0" collapsed="false">
      <c r="A138" s="19" t="n">
        <f aca="false">Narxlar!A139</f>
        <v>45484</v>
      </c>
      <c r="B138" s="20" t="n">
        <f aca="false">Narxlar!B139/Narxlar!B138-1</f>
        <v>-0.0078247261345854</v>
      </c>
      <c r="C138" s="20" t="n">
        <f aca="false">Narxlar!C139/Narxlar!C138-1</f>
        <v>-0.00286961946350595</v>
      </c>
      <c r="D138" s="20" t="n">
        <f aca="false">Narxlar!D139/Narxlar!D138-1</f>
        <v>-0.002732130660131</v>
      </c>
      <c r="E138" s="20" t="n">
        <f aca="false">Narxlar!E139/Narxlar!E138-1</f>
        <v>-0.00640247267910366</v>
      </c>
      <c r="F138" s="20" t="n">
        <f aca="false">Narxlar!F139/Narxlar!F138-1</f>
        <v>0.0238129968638319</v>
      </c>
      <c r="H138" s="20" t="n">
        <f aca="false">LN(Narxlar!B139/Narxlar!B138)</f>
        <v>-0.00785549994030899</v>
      </c>
      <c r="I138" s="20" t="n">
        <f aca="false">LN(Narxlar!C139/Narxlar!C138)</f>
        <v>-0.0028737447152639</v>
      </c>
      <c r="J138" s="20" t="n">
        <f aca="false">LN(Narxlar!D139/Narxlar!D138)</f>
        <v>-0.00273586974109436</v>
      </c>
      <c r="K138" s="20" t="n">
        <f aca="false">LN(Narxlar!E139/Narxlar!E138)</f>
        <v>-0.00642305641220255</v>
      </c>
      <c r="L138" s="20" t="n">
        <f aca="false">LN(Narxlar!F139/Narxlar!F138)</f>
        <v>0.0235338896900436</v>
      </c>
    </row>
    <row r="139" customFormat="false" ht="15" hidden="false" customHeight="false" outlineLevel="0" collapsed="false">
      <c r="A139" s="19" t="n">
        <f aca="false">Narxlar!A140</f>
        <v>45485</v>
      </c>
      <c r="B139" s="20" t="n">
        <f aca="false">Narxlar!B140/Narxlar!B139-1</f>
        <v>-0.00162209635790067</v>
      </c>
      <c r="C139" s="20" t="n">
        <f aca="false">Narxlar!C140/Narxlar!C139-1</f>
        <v>0.012575075075075</v>
      </c>
      <c r="D139" s="20" t="n">
        <f aca="false">Narxlar!D140/Narxlar!D139-1</f>
        <v>0.0167197131461263</v>
      </c>
      <c r="E139" s="20" t="n">
        <f aca="false">Narxlar!E140/Narxlar!E139-1</f>
        <v>0.00811020997666923</v>
      </c>
      <c r="F139" s="20" t="n">
        <f aca="false">Narxlar!F140/Narxlar!F139-1</f>
        <v>0.0110774710596617</v>
      </c>
      <c r="H139" s="20" t="n">
        <f aca="false">LN(Narxlar!B140/Narxlar!B139)</f>
        <v>-0.00162341338061568</v>
      </c>
      <c r="I139" s="20" t="n">
        <f aca="false">LN(Narxlar!C140/Narxlar!C139)</f>
        <v>0.0124966654720099</v>
      </c>
      <c r="J139" s="20" t="n">
        <f aca="false">LN(Narxlar!D140/Narxlar!D139)</f>
        <v>0.0165814774550876</v>
      </c>
      <c r="K139" s="20" t="n">
        <f aca="false">LN(Narxlar!E140/Narxlar!E139)</f>
        <v>0.00807749896682393</v>
      </c>
      <c r="L139" s="20" t="n">
        <f aca="false">LN(Narxlar!F140/Narxlar!F139)</f>
        <v>0.0110165652525593</v>
      </c>
    </row>
    <row r="140" customFormat="false" ht="15" hidden="false" customHeight="false" outlineLevel="0" collapsed="false">
      <c r="A140" s="19" t="n">
        <f aca="false">Narxlar!A141</f>
        <v>45488</v>
      </c>
      <c r="B140" s="20" t="n">
        <f aca="false">Narxlar!B141/Narxlar!B140-1</f>
        <v>0.0035636383221278</v>
      </c>
      <c r="C140" s="20" t="n">
        <f aca="false">Narxlar!C141/Narxlar!C140-1</f>
        <v>0.020389249304912</v>
      </c>
      <c r="D140" s="20" t="n">
        <f aca="false">Narxlar!D141/Narxlar!D140-1</f>
        <v>-0.00463623395149782</v>
      </c>
      <c r="E140" s="20" t="n">
        <f aca="false">Narxlar!E141/Narxlar!E140-1</f>
        <v>0.000661229887590986</v>
      </c>
      <c r="F140" s="20" t="n">
        <f aca="false">Narxlar!F141/Narxlar!F140-1</f>
        <v>0.036743465088424</v>
      </c>
      <c r="H140" s="20" t="n">
        <f aca="false">LN(Narxlar!B141/Narxlar!B140)</f>
        <v>0.00355730360837395</v>
      </c>
      <c r="I140" s="20" t="n">
        <f aca="false">LN(Narxlar!C141/Narxlar!C140)</f>
        <v>0.0201841714645454</v>
      </c>
      <c r="J140" s="20" t="n">
        <f aca="false">LN(Narxlar!D141/Narxlar!D140)</f>
        <v>-0.00464701461815849</v>
      </c>
      <c r="K140" s="20" t="n">
        <f aca="false">LN(Narxlar!E141/Narxlar!E140)</f>
        <v>0.000661011371429836</v>
      </c>
      <c r="L140" s="20" t="n">
        <f aca="false">LN(Narxlar!F141/Narxlar!F140)</f>
        <v>0.0360845168579569</v>
      </c>
    </row>
    <row r="141" customFormat="false" ht="15" hidden="false" customHeight="false" outlineLevel="0" collapsed="false">
      <c r="A141" s="19" t="n">
        <f aca="false">Narxlar!A142</f>
        <v>45489</v>
      </c>
      <c r="B141" s="20" t="n">
        <f aca="false">Narxlar!B142/Narxlar!B141-1</f>
        <v>0.0127549194991055</v>
      </c>
      <c r="C141" s="20" t="n">
        <f aca="false">Narxlar!C142/Narxlar!C141-1</f>
        <v>0.0142900393581593</v>
      </c>
      <c r="D141" s="20" t="n">
        <f aca="false">Narxlar!D142/Narxlar!D141-1</f>
        <v>0.0138938652016403</v>
      </c>
      <c r="E141" s="20" t="n">
        <f aca="false">Narxlar!E142/Narxlar!E141-1</f>
        <v>0.0110132158590308</v>
      </c>
      <c r="F141" s="20" t="n">
        <f aca="false">Narxlar!F142/Narxlar!F141-1</f>
        <v>0.0224608379489619</v>
      </c>
      <c r="H141" s="20" t="n">
        <f aca="false">LN(Narxlar!B142/Narxlar!B141)</f>
        <v>0.0126742606540148</v>
      </c>
      <c r="I141" s="20" t="n">
        <f aca="false">LN(Narxlar!C142/Narxlar!C141)</f>
        <v>0.0141888991387967</v>
      </c>
      <c r="J141" s="20" t="n">
        <f aca="false">LN(Narxlar!D142/Narxlar!D141)</f>
        <v>0.0137982302643745</v>
      </c>
      <c r="K141" s="20" t="n">
        <f aca="false">LN(Narxlar!E142/Narxlar!E141)</f>
        <v>0.0109530120191971</v>
      </c>
      <c r="L141" s="20" t="n">
        <f aca="false">LN(Narxlar!F142/Narxlar!F141)</f>
        <v>0.022212307906931</v>
      </c>
    </row>
    <row r="142" customFormat="false" ht="15" hidden="false" customHeight="false" outlineLevel="0" collapsed="false">
      <c r="A142" s="19" t="n">
        <f aca="false">Narxlar!A143</f>
        <v>45490</v>
      </c>
      <c r="B142" s="20" t="n">
        <f aca="false">Narxlar!B143/Narxlar!B142-1</f>
        <v>0.00693303658170374</v>
      </c>
      <c r="C142" s="20" t="n">
        <f aca="false">Narxlar!C143/Narxlar!C142-1</f>
        <v>0.000716375141782688</v>
      </c>
      <c r="D142" s="20" t="n">
        <f aca="false">Narxlar!D143/Narxlar!D142-1</f>
        <v>0.00184545311763773</v>
      </c>
      <c r="E142" s="20" t="n">
        <f aca="false">Narxlar!E143/Narxlar!E142-1</f>
        <v>0.0092592592592593</v>
      </c>
      <c r="F142" s="20" t="n">
        <f aca="false">Narxlar!F143/Narxlar!F142-1</f>
        <v>0.00877367896311077</v>
      </c>
      <c r="H142" s="20" t="n">
        <f aca="false">LN(Narxlar!B143/Narxlar!B142)</f>
        <v>0.0069091135925728</v>
      </c>
      <c r="I142" s="20" t="n">
        <f aca="false">LN(Narxlar!C143/Narxlar!C142)</f>
        <v>0.00071611866759132</v>
      </c>
      <c r="J142" s="20" t="n">
        <f aca="false">LN(Narxlar!D143/Narxlar!D142)</f>
        <v>0.00184375236115579</v>
      </c>
      <c r="K142" s="20" t="n">
        <f aca="false">LN(Narxlar!E143/Narxlar!E142)</f>
        <v>0.00921665510492405</v>
      </c>
      <c r="L142" s="20" t="n">
        <f aca="false">LN(Narxlar!F143/Narxlar!F142)</f>
        <v>0.00873541389590028</v>
      </c>
    </row>
    <row r="143" customFormat="false" ht="15" hidden="false" customHeight="false" outlineLevel="0" collapsed="false">
      <c r="A143" s="19" t="n">
        <f aca="false">Narxlar!A144</f>
        <v>45491</v>
      </c>
      <c r="B143" s="20" t="n">
        <f aca="false">Narxlar!B144/Narxlar!B143-1</f>
        <v>0.00826236064941099</v>
      </c>
      <c r="C143" s="20" t="n">
        <f aca="false">Narxlar!C144/Narxlar!C143-1</f>
        <v>0.00859034778977508</v>
      </c>
      <c r="D143" s="20" t="n">
        <f aca="false">Narxlar!D144/Narxlar!D143-1</f>
        <v>0.0261414854007447</v>
      </c>
      <c r="E143" s="20" t="n">
        <f aca="false">Narxlar!E144/Narxlar!E143-1</f>
        <v>0.00982191041554237</v>
      </c>
      <c r="F143" s="20" t="n">
        <f aca="false">Narxlar!F144/Narxlar!F143-1</f>
        <v>0.0168346840614086</v>
      </c>
      <c r="H143" s="20" t="n">
        <f aca="false">LN(Narxlar!B144/Narxlar!B143)</f>
        <v>0.00822841420465946</v>
      </c>
      <c r="I143" s="20" t="n">
        <f aca="false">LN(Narxlar!C144/Narxlar!C143)</f>
        <v>0.00855366070568854</v>
      </c>
      <c r="J143" s="20" t="n">
        <f aca="false">LN(Narxlar!D144/Narxlar!D143)</f>
        <v>0.0258056372419725</v>
      </c>
      <c r="K143" s="20" t="n">
        <f aca="false">LN(Narxlar!E144/Narxlar!E143)</f>
        <v>0.00977398898460949</v>
      </c>
      <c r="L143" s="20" t="n">
        <f aca="false">LN(Narxlar!F144/Narxlar!F143)</f>
        <v>0.0166945513080051</v>
      </c>
    </row>
    <row r="144" customFormat="false" ht="15" hidden="false" customHeight="false" outlineLevel="0" collapsed="false">
      <c r="A144" s="19" t="n">
        <f aca="false">Narxlar!A145</f>
        <v>45492</v>
      </c>
      <c r="B144" s="20" t="n">
        <f aca="false">Narxlar!B145/Narxlar!B144-1</f>
        <v>-0.00340139013335894</v>
      </c>
      <c r="C144" s="20" t="n">
        <f aca="false">Narxlar!C145/Narxlar!C144-1</f>
        <v>-0.0151416573017094</v>
      </c>
      <c r="D144" s="20" t="n">
        <f aca="false">Narxlar!D145/Narxlar!D144-1</f>
        <v>-0.00794438927507446</v>
      </c>
      <c r="E144" s="20" t="n">
        <f aca="false">Narxlar!E145/Narxlar!E144-1</f>
        <v>-0.0177426250534416</v>
      </c>
      <c r="F144" s="20" t="n">
        <f aca="false">Narxlar!F145/Narxlar!F144-1</f>
        <v>0.00359630649603115</v>
      </c>
      <c r="H144" s="20" t="n">
        <f aca="false">LN(Narxlar!B145/Narxlar!B144)</f>
        <v>-0.00340718801174283</v>
      </c>
      <c r="I144" s="20" t="n">
        <f aca="false">LN(Narxlar!C145/Narxlar!C144)</f>
        <v>-0.0152574626718497</v>
      </c>
      <c r="J144" s="20" t="n">
        <f aca="false">LN(Narxlar!D145/Narxlar!D144)</f>
        <v>-0.00797611407000876</v>
      </c>
      <c r="K144" s="20" t="n">
        <f aca="false">LN(Narxlar!E145/Narxlar!E144)</f>
        <v>-0.0179019123543369</v>
      </c>
      <c r="L144" s="20" t="n">
        <f aca="false">LN(Narxlar!F145/Narxlar!F144)</f>
        <v>0.00358985524830735</v>
      </c>
    </row>
    <row r="145" customFormat="false" ht="15" hidden="false" customHeight="false" outlineLevel="0" collapsed="false">
      <c r="A145" s="19" t="n">
        <f aca="false">Narxlar!A146</f>
        <v>45495</v>
      </c>
      <c r="B145" s="20" t="n">
        <f aca="false">Narxlar!B146/Narxlar!B145-1</f>
        <v>0.00693947382203519</v>
      </c>
      <c r="C145" s="20" t="n">
        <f aca="false">Narxlar!C146/Narxlar!C145-1</f>
        <v>0.0207795327607951</v>
      </c>
      <c r="D145" s="20" t="n">
        <f aca="false">Narxlar!D146/Narxlar!D145-1</f>
        <v>0.0184030184030184</v>
      </c>
      <c r="E145" s="20" t="n">
        <f aca="false">Narxlar!E146/Narxlar!E145-1</f>
        <v>0.00598476605005449</v>
      </c>
      <c r="F145" s="20" t="n">
        <f aca="false">Narxlar!F146/Narxlar!F145-1</f>
        <v>-0.00319602272727271</v>
      </c>
      <c r="H145" s="20" t="n">
        <f aca="false">LN(Narxlar!B146/Narxlar!B145)</f>
        <v>0.0069155064901353</v>
      </c>
      <c r="I145" s="20" t="n">
        <f aca="false">LN(Narxlar!C146/Narxlar!C145)</f>
        <v>0.0205665832122347</v>
      </c>
      <c r="J145" s="20" t="n">
        <f aca="false">LN(Narxlar!D146/Narxlar!D145)</f>
        <v>0.0182357321245174</v>
      </c>
      <c r="K145" s="20" t="n">
        <f aca="false">LN(Narxlar!E146/Narxlar!E145)</f>
        <v>0.00596692847149257</v>
      </c>
      <c r="L145" s="20" t="n">
        <f aca="false">LN(Narxlar!F146/Narxlar!F145)</f>
        <v>-0.00320114091605051</v>
      </c>
    </row>
    <row r="146" customFormat="false" ht="15" hidden="false" customHeight="false" outlineLevel="0" collapsed="false">
      <c r="A146" s="19" t="n">
        <f aca="false">Narxlar!A147</f>
        <v>45496</v>
      </c>
      <c r="B146" s="20" t="n">
        <f aca="false">Narxlar!B147/Narxlar!B146-1</f>
        <v>0.0200334613417479</v>
      </c>
      <c r="C146" s="20" t="n">
        <f aca="false">Narxlar!C147/Narxlar!C146-1</f>
        <v>0.010884273695358</v>
      </c>
      <c r="D146" s="20" t="n">
        <f aca="false">Narxlar!D147/Narxlar!D146-1</f>
        <v>0.0302434598518071</v>
      </c>
      <c r="E146" s="20" t="n">
        <f aca="false">Narxlar!E147/Narxlar!E146-1</f>
        <v>0.014710654407788</v>
      </c>
      <c r="F146" s="20" t="n">
        <f aca="false">Narxlar!F147/Narxlar!F146-1</f>
        <v>0.0690157722576674</v>
      </c>
      <c r="H146" s="20" t="n">
        <f aca="false">LN(Narxlar!B147/Narxlar!B146)</f>
        <v>0.0198354319951074</v>
      </c>
      <c r="I146" s="20" t="n">
        <f aca="false">LN(Narxlar!C147/Narxlar!C146)</f>
        <v>0.0108254663206504</v>
      </c>
      <c r="J146" s="20" t="n">
        <f aca="false">LN(Narxlar!D147/Narxlar!D146)</f>
        <v>0.0297951430990058</v>
      </c>
      <c r="K146" s="20" t="n">
        <f aca="false">LN(Narxlar!E147/Narxlar!E146)</f>
        <v>0.0146035023047257</v>
      </c>
      <c r="L146" s="20" t="n">
        <f aca="false">LN(Narxlar!F147/Narxlar!F146)</f>
        <v>0.0667383861507799</v>
      </c>
    </row>
    <row r="147" customFormat="false" ht="15" hidden="false" customHeight="false" outlineLevel="0" collapsed="false">
      <c r="A147" s="19" t="n">
        <f aca="false">Narxlar!A148</f>
        <v>45497</v>
      </c>
      <c r="B147" s="20" t="n">
        <f aca="false">Narxlar!B148/Narxlar!B147-1</f>
        <v>-0.015331271033756</v>
      </c>
      <c r="C147" s="20" t="n">
        <f aca="false">Narxlar!C148/Narxlar!C147-1</f>
        <v>-0.0104760796182051</v>
      </c>
      <c r="D147" s="20" t="n">
        <f aca="false">Narxlar!D148/Narxlar!D147-1</f>
        <v>-0.00245853515338323</v>
      </c>
      <c r="E147" s="20" t="n">
        <f aca="false">Narxlar!E148/Narxlar!E147-1</f>
        <v>-0.00799488327470421</v>
      </c>
      <c r="F147" s="20" t="n">
        <f aca="false">Narxlar!F148/Narxlar!F147-1</f>
        <v>-0.0261451769268056</v>
      </c>
      <c r="H147" s="20" t="n">
        <f aca="false">LN(Narxlar!B148/Narxlar!B147)</f>
        <v>-0.0154500101471907</v>
      </c>
      <c r="I147" s="20" t="n">
        <f aca="false">LN(Narxlar!C148/Narxlar!C147)</f>
        <v>-0.0105313400206976</v>
      </c>
      <c r="J147" s="20" t="n">
        <f aca="false">LN(Narxlar!D148/Narxlar!D147)</f>
        <v>-0.00246156231353774</v>
      </c>
      <c r="K147" s="20" t="n">
        <f aca="false">LN(Narxlar!E148/Narxlar!E147)</f>
        <v>-0.00802701372135718</v>
      </c>
      <c r="L147" s="20" t="n">
        <f aca="false">LN(Narxlar!F148/Narxlar!F147)</f>
        <v>-0.026493038735246</v>
      </c>
    </row>
    <row r="148" customFormat="false" ht="15" hidden="false" customHeight="false" outlineLevel="0" collapsed="false">
      <c r="A148" s="19" t="n">
        <f aca="false">Narxlar!A149</f>
        <v>45498</v>
      </c>
      <c r="B148" s="20" t="n">
        <f aca="false">Narxlar!B149/Narxlar!B148-1</f>
        <v>-0.000310709107229301</v>
      </c>
      <c r="C148" s="20" t="n">
        <f aca="false">Narxlar!C149/Narxlar!C148-1</f>
        <v>0.0127632043289025</v>
      </c>
      <c r="D148" s="20" t="n">
        <f aca="false">Narxlar!D149/Narxlar!D148-1</f>
        <v>0.00205995953650917</v>
      </c>
      <c r="E148" s="20" t="n">
        <f aca="false">Narxlar!E149/Narxlar!E148-1</f>
        <v>-0.0148291424887169</v>
      </c>
      <c r="F148" s="20" t="n">
        <f aca="false">Narxlar!F149/Narxlar!F148-1</f>
        <v>0.00547519054285273</v>
      </c>
      <c r="H148" s="20" t="n">
        <f aca="false">LN(Narxlar!B149/Narxlar!B148)</f>
        <v>-0.000310757387304924</v>
      </c>
      <c r="I148" s="20" t="n">
        <f aca="false">LN(Narxlar!C149/Narxlar!C148)</f>
        <v>0.0126824411088818</v>
      </c>
      <c r="J148" s="20" t="n">
        <f aca="false">LN(Narxlar!D149/Narxlar!D148)</f>
        <v>0.00205784072913583</v>
      </c>
      <c r="K148" s="20" t="n">
        <f aca="false">LN(Narxlar!E149/Narxlar!E148)</f>
        <v>-0.014940193450073</v>
      </c>
      <c r="L148" s="20" t="n">
        <f aca="false">LN(Narxlar!F149/Narxlar!F148)</f>
        <v>0.00546025617465372</v>
      </c>
    </row>
    <row r="149" customFormat="false" ht="15" hidden="false" customHeight="false" outlineLevel="0" collapsed="false">
      <c r="A149" s="19" t="n">
        <f aca="false">Narxlar!A150</f>
        <v>45499</v>
      </c>
      <c r="B149" s="20" t="n">
        <f aca="false">Narxlar!B150/Narxlar!B149-1</f>
        <v>-0.00956590807058733</v>
      </c>
      <c r="C149" s="20" t="n">
        <f aca="false">Narxlar!C150/Narxlar!C149-1</f>
        <v>-0.00452987978395958</v>
      </c>
      <c r="D149" s="20" t="n">
        <f aca="false">Narxlar!D150/Narxlar!D149-1</f>
        <v>-0.0053228589258838</v>
      </c>
      <c r="E149" s="20" t="n">
        <f aca="false">Narxlar!E150/Narxlar!E149-1</f>
        <v>-0.00883507853403143</v>
      </c>
      <c r="F149" s="20" t="n">
        <f aca="false">Narxlar!F150/Narxlar!F149-1</f>
        <v>-0.0316203087775749</v>
      </c>
      <c r="H149" s="20" t="n">
        <f aca="false">LN(Narxlar!B150/Narxlar!B149)</f>
        <v>-0.0096119552599401</v>
      </c>
      <c r="I149" s="20" t="n">
        <f aca="false">LN(Narxlar!C150/Narxlar!C149)</f>
        <v>-0.00454017077912884</v>
      </c>
      <c r="J149" s="20" t="n">
        <f aca="false">LN(Narxlar!D150/Narxlar!D149)</f>
        <v>-0.00533707581154918</v>
      </c>
      <c r="K149" s="20" t="n">
        <f aca="false">LN(Narxlar!E150/Narxlar!E149)</f>
        <v>-0.00887433925917382</v>
      </c>
      <c r="L149" s="20" t="n">
        <f aca="false">LN(Narxlar!F150/Narxlar!F149)</f>
        <v>-0.0321310256143617</v>
      </c>
    </row>
    <row r="150" customFormat="false" ht="15" hidden="false" customHeight="false" outlineLevel="0" collapsed="false">
      <c r="A150" s="19" t="n">
        <f aca="false">Narxlar!A151</f>
        <v>45502</v>
      </c>
      <c r="B150" s="20" t="n">
        <f aca="false">Narxlar!B151/Narxlar!B150-1</f>
        <v>0.0136942119944212</v>
      </c>
      <c r="C150" s="20" t="n">
        <f aca="false">Narxlar!C151/Narxlar!C150-1</f>
        <v>0.00210022752464845</v>
      </c>
      <c r="D150" s="20" t="n">
        <f aca="false">Narxlar!D151/Narxlar!D150-1</f>
        <v>0.0201136699143785</v>
      </c>
      <c r="E150" s="20" t="n">
        <f aca="false">Narxlar!E151/Narxlar!E150-1</f>
        <v>0.000990425883129698</v>
      </c>
      <c r="F150" s="20" t="n">
        <f aca="false">Narxlar!F151/Narxlar!F150-1</f>
        <v>0.0353365922233937</v>
      </c>
      <c r="H150" s="20" t="n">
        <f aca="false">LN(Narxlar!B151/Narxlar!B150)</f>
        <v>0.0136012936083448</v>
      </c>
      <c r="I150" s="20" t="n">
        <f aca="false">LN(Narxlar!C151/Narxlar!C150)</f>
        <v>0.00209802512996832</v>
      </c>
      <c r="J150" s="20" t="n">
        <f aca="false">LN(Narxlar!D151/Narxlar!D150)</f>
        <v>0.0199140621796104</v>
      </c>
      <c r="K150" s="20" t="n">
        <f aca="false">LN(Narxlar!E151/Narxlar!E150)</f>
        <v>0.000989935735024927</v>
      </c>
      <c r="L150" s="20" t="n">
        <f aca="false">LN(Narxlar!F151/Narxlar!F150)</f>
        <v>0.0347265837257373</v>
      </c>
    </row>
    <row r="151" customFormat="false" ht="15" hidden="false" customHeight="false" outlineLevel="0" collapsed="false">
      <c r="A151" s="19" t="n">
        <f aca="false">Narxlar!A152</f>
        <v>45503</v>
      </c>
      <c r="B151" s="20" t="n">
        <f aca="false">Narxlar!B152/Narxlar!B151-1</f>
        <v>0.00944183126811193</v>
      </c>
      <c r="C151" s="20" t="n">
        <f aca="false">Narxlar!C152/Narxlar!C151-1</f>
        <v>0.00751004249869003</v>
      </c>
      <c r="D151" s="20" t="n">
        <f aca="false">Narxlar!D152/Narxlar!D151-1</f>
        <v>0.00886364458594113</v>
      </c>
      <c r="E151" s="20" t="n">
        <f aca="false">Narxlar!E152/Narxlar!E151-1</f>
        <v>-0.00197889182058042</v>
      </c>
      <c r="F151" s="20" t="n">
        <f aca="false">Narxlar!F152/Narxlar!F151-1</f>
        <v>0.031908656071594</v>
      </c>
      <c r="H151" s="20" t="n">
        <f aca="false">LN(Narxlar!B152/Narxlar!B151)</f>
        <v>0.00939753578132247</v>
      </c>
      <c r="I151" s="20" t="n">
        <f aca="false">LN(Narxlar!C152/Narxlar!C151)</f>
        <v>0.00748198252965866</v>
      </c>
      <c r="J151" s="20" t="n">
        <f aca="false">LN(Narxlar!D152/Narxlar!D151)</f>
        <v>0.00882459307774823</v>
      </c>
      <c r="K151" s="20" t="n">
        <f aca="false">LN(Narxlar!E152/Narxlar!E151)</f>
        <v>-0.00198085241396099</v>
      </c>
      <c r="L151" s="20" t="n">
        <f aca="false">LN(Narxlar!F152/Narxlar!F151)</f>
        <v>0.0314101515834589</v>
      </c>
    </row>
    <row r="152" customFormat="false" ht="15" hidden="false" customHeight="false" outlineLevel="0" collapsed="false">
      <c r="A152" s="19" t="n">
        <f aca="false">Narxlar!A153</f>
        <v>45504</v>
      </c>
      <c r="B152" s="20" t="n">
        <f aca="false">Narxlar!B153/Narxlar!B152-1</f>
        <v>-0.00367155355271809</v>
      </c>
      <c r="C152" s="20" t="n">
        <f aca="false">Narxlar!C153/Narxlar!C152-1</f>
        <v>0.00496937478331216</v>
      </c>
      <c r="D152" s="20" t="n">
        <f aca="false">Narxlar!D153/Narxlar!D152-1</f>
        <v>0.000573764613067462</v>
      </c>
      <c r="E152" s="20" t="n">
        <f aca="false">Narxlar!E153/Narxlar!E152-1</f>
        <v>-0.00220312844238824</v>
      </c>
      <c r="F152" s="20" t="n">
        <f aca="false">Narxlar!F153/Narxlar!F152-1</f>
        <v>0.0269146804629326</v>
      </c>
      <c r="H152" s="20" t="n">
        <f aca="false">LN(Narxlar!B153/Narxlar!B152)</f>
        <v>-0.00367831024891467</v>
      </c>
      <c r="I152" s="20" t="n">
        <f aca="false">LN(Narxlar!C153/Narxlar!C152)</f>
        <v>0.00495706819430657</v>
      </c>
      <c r="J152" s="20" t="n">
        <f aca="false">LN(Narxlar!D153/Narxlar!D152)</f>
        <v>0.000573600073086995</v>
      </c>
      <c r="K152" s="20" t="n">
        <f aca="false">LN(Narxlar!E153/Narxlar!E152)</f>
        <v>-0.00220555890025179</v>
      </c>
      <c r="L152" s="20" t="n">
        <f aca="false">LN(Narxlar!F153/Narxlar!F152)</f>
        <v>0.026558851023065</v>
      </c>
    </row>
    <row r="153" customFormat="false" ht="15" hidden="false" customHeight="false" outlineLevel="0" collapsed="false">
      <c r="A153" s="19" t="n">
        <f aca="false">Narxlar!A154</f>
        <v>45505</v>
      </c>
      <c r="B153" s="20" t="n">
        <f aca="false">Narxlar!B154/Narxlar!B153-1</f>
        <v>-0.00167581524991878</v>
      </c>
      <c r="C153" s="20" t="n">
        <f aca="false">Narxlar!C154/Narxlar!C153-1</f>
        <v>-0.0106370745170193</v>
      </c>
      <c r="D153" s="20" t="n">
        <f aca="false">Narxlar!D154/Narxlar!D153-1</f>
        <v>-0.00670202852842095</v>
      </c>
      <c r="E153" s="20" t="n">
        <f aca="false">Narxlar!E154/Narxlar!E153-1</f>
        <v>-0.00364318834179733</v>
      </c>
      <c r="F153" s="20" t="n">
        <f aca="false">Narxlar!F154/Narxlar!F153-1</f>
        <v>-0.00926060747255308</v>
      </c>
      <c r="H153" s="20" t="n">
        <f aca="false">LN(Narxlar!B154/Narxlar!B153)</f>
        <v>-0.00167722099903143</v>
      </c>
      <c r="I153" s="20" t="n">
        <f aca="false">LN(Narxlar!C154/Narxlar!C153)</f>
        <v>-0.0106940526078331</v>
      </c>
      <c r="J153" s="20" t="n">
        <f aca="false">LN(Narxlar!D154/Narxlar!D153)</f>
        <v>-0.00672458797414832</v>
      </c>
      <c r="K153" s="20" t="n">
        <f aca="false">LN(Narxlar!E154/Narxlar!E153)</f>
        <v>-0.00364984091507754</v>
      </c>
      <c r="L153" s="20" t="n">
        <f aca="false">LN(Narxlar!F154/Narxlar!F153)</f>
        <v>-0.00930375347665749</v>
      </c>
    </row>
    <row r="154" customFormat="false" ht="15" hidden="false" customHeight="false" outlineLevel="0" collapsed="false">
      <c r="A154" s="19" t="n">
        <f aca="false">Narxlar!A155</f>
        <v>45506</v>
      </c>
      <c r="B154" s="20" t="n">
        <f aca="false">Narxlar!B155/Narxlar!B154-1</f>
        <v>-0.0260958188451721</v>
      </c>
      <c r="C154" s="20" t="n">
        <f aca="false">Narxlar!C155/Narxlar!C154-1</f>
        <v>-0.0284186668216424</v>
      </c>
      <c r="D154" s="20" t="n">
        <f aca="false">Narxlar!D155/Narxlar!D154-1</f>
        <v>-0.0423958145408624</v>
      </c>
      <c r="E154" s="20" t="n">
        <f aca="false">Narxlar!E155/Narxlar!E154-1</f>
        <v>-0.0364542936288088</v>
      </c>
      <c r="F154" s="20" t="n">
        <f aca="false">Narxlar!F155/Narxlar!F154-1</f>
        <v>-0.0176655595073632</v>
      </c>
      <c r="H154" s="20" t="n">
        <f aca="false">LN(Narxlar!B155/Narxlar!B154)</f>
        <v>-0.0264423568166545</v>
      </c>
      <c r="I154" s="20" t="n">
        <f aca="false">LN(Narxlar!C155/Narxlar!C154)</f>
        <v>-0.0288302944940563</v>
      </c>
      <c r="J154" s="20" t="n">
        <f aca="false">LN(Narxlar!D155/Narxlar!D154)</f>
        <v>-0.0433207539677066</v>
      </c>
      <c r="K154" s="20" t="n">
        <f aca="false">LN(Narxlar!E155/Narxlar!E154)</f>
        <v>-0.0371353544000362</v>
      </c>
      <c r="L154" s="20" t="n">
        <f aca="false">LN(Narxlar!F155/Narxlar!F154)</f>
        <v>-0.0178234578422979</v>
      </c>
    </row>
    <row r="155" customFormat="false" ht="15" hidden="false" customHeight="false" outlineLevel="0" collapsed="false">
      <c r="A155" s="19" t="n">
        <f aca="false">Narxlar!A156</f>
        <v>45509</v>
      </c>
      <c r="B155" s="20" t="n">
        <f aca="false">Narxlar!B156/Narxlar!B155-1</f>
        <v>0.0156971375807939</v>
      </c>
      <c r="C155" s="20" t="n">
        <f aca="false">Narxlar!C156/Narxlar!C155-1</f>
        <v>0.0324201459504725</v>
      </c>
      <c r="D155" s="20" t="n">
        <f aca="false">Narxlar!D156/Narxlar!D155-1</f>
        <v>0.0112283345892992</v>
      </c>
      <c r="E155" s="20" t="n">
        <f aca="false">Narxlar!E156/Narxlar!E155-1</f>
        <v>0.0246090156393743</v>
      </c>
      <c r="F155" s="20" t="n">
        <f aca="false">Narxlar!F156/Narxlar!F155-1</f>
        <v>0.0350987432675045</v>
      </c>
      <c r="H155" s="20" t="n">
        <f aca="false">LN(Narxlar!B156/Narxlar!B155)</f>
        <v>0.0155752117854712</v>
      </c>
      <c r="I155" s="20" t="n">
        <f aca="false">LN(Narxlar!C156/Narxlar!C155)</f>
        <v>0.0319057023783175</v>
      </c>
      <c r="J155" s="20" t="n">
        <f aca="false">LN(Narxlar!D156/Narxlar!D155)</f>
        <v>0.0111657647747046</v>
      </c>
      <c r="K155" s="20" t="n">
        <f aca="false">LN(Narxlar!E156/Narxlar!E155)</f>
        <v>0.0243110916638095</v>
      </c>
      <c r="L155" s="20" t="n">
        <f aca="false">LN(Narxlar!F156/Narxlar!F155)</f>
        <v>0.0344968262898412</v>
      </c>
    </row>
    <row r="156" customFormat="false" ht="15" hidden="false" customHeight="false" outlineLevel="0" collapsed="false">
      <c r="A156" s="19" t="n">
        <f aca="false">Narxlar!A157</f>
        <v>45510</v>
      </c>
      <c r="B156" s="20" t="n">
        <f aca="false">Narxlar!B157/Narxlar!B156-1</f>
        <v>0.019064935064935</v>
      </c>
      <c r="C156" s="20" t="n">
        <f aca="false">Narxlar!C157/Narxlar!C156-1</f>
        <v>0.0290845886442641</v>
      </c>
      <c r="D156" s="20" t="n">
        <f aca="false">Narxlar!D157/Narxlar!D156-1</f>
        <v>0.0213875847678664</v>
      </c>
      <c r="E156" s="20" t="n">
        <f aca="false">Narxlar!E157/Narxlar!E156-1</f>
        <v>0.00965207631874288</v>
      </c>
      <c r="F156" s="20" t="n">
        <f aca="false">Narxlar!F157/Narxlar!F156-1</f>
        <v>0.0159569855173012</v>
      </c>
      <c r="H156" s="20" t="n">
        <f aca="false">LN(Narxlar!B157/Narxlar!B156)</f>
        <v>0.0188854765134553</v>
      </c>
      <c r="I156" s="20" t="n">
        <f aca="false">LN(Narxlar!C157/Narxlar!C156)</f>
        <v>0.0286696581810304</v>
      </c>
      <c r="J156" s="20" t="n">
        <f aca="false">LN(Narxlar!D157/Narxlar!D156)</f>
        <v>0.0211620800448111</v>
      </c>
      <c r="K156" s="20" t="n">
        <f aca="false">LN(Narxlar!E157/Narxlar!E156)</f>
        <v>0.0096057926143512</v>
      </c>
      <c r="L156" s="20" t="n">
        <f aca="false">LN(Narxlar!F157/Narxlar!F156)</f>
        <v>0.0158310111707798</v>
      </c>
    </row>
    <row r="157" customFormat="false" ht="15" hidden="false" customHeight="false" outlineLevel="0" collapsed="false">
      <c r="A157" s="19" t="n">
        <f aca="false">Narxlar!A158</f>
        <v>45511</v>
      </c>
      <c r="B157" s="20" t="n">
        <f aca="false">Narxlar!B158/Narxlar!B157-1</f>
        <v>-0.0106540245705256</v>
      </c>
      <c r="C157" s="20" t="n">
        <f aca="false">Narxlar!C158/Narxlar!C157-1</f>
        <v>-0.0112599932440041</v>
      </c>
      <c r="D157" s="20" t="n">
        <f aca="false">Narxlar!D158/Narxlar!D157-1</f>
        <v>-0.0203560484459361</v>
      </c>
      <c r="E157" s="20" t="n">
        <f aca="false">Narxlar!E158/Narxlar!E157-1</f>
        <v>-0.00978212538906176</v>
      </c>
      <c r="F157" s="20" t="n">
        <f aca="false">Narxlar!F158/Narxlar!F157-1</f>
        <v>-0.0242993313415849</v>
      </c>
      <c r="H157" s="20" t="n">
        <f aca="false">LN(Narxlar!B158/Narxlar!B157)</f>
        <v>-0.0107111850455543</v>
      </c>
      <c r="I157" s="20" t="n">
        <f aca="false">LN(Narxlar!C158/Narxlar!C157)</f>
        <v>-0.0113238668985086</v>
      </c>
      <c r="J157" s="20" t="n">
        <f aca="false">LN(Narxlar!D158/Narxlar!D157)</f>
        <v>-0.0205660880730609</v>
      </c>
      <c r="K157" s="20" t="n">
        <f aca="false">LN(Narxlar!E158/Narxlar!E157)</f>
        <v>-0.00983028470194801</v>
      </c>
      <c r="L157" s="20" t="n">
        <f aca="false">LN(Narxlar!F158/Narxlar!F157)</f>
        <v>-0.0245994315569834</v>
      </c>
    </row>
    <row r="158" customFormat="false" ht="15" hidden="false" customHeight="false" outlineLevel="0" collapsed="false">
      <c r="A158" s="19" t="n">
        <f aca="false">Narxlar!A159</f>
        <v>45512</v>
      </c>
      <c r="B158" s="20" t="n">
        <f aca="false">Narxlar!B159/Narxlar!B158-1</f>
        <v>0.00552177796097841</v>
      </c>
      <c r="C158" s="20" t="n">
        <f aca="false">Narxlar!C159/Narxlar!C158-1</f>
        <v>0.0138366928595832</v>
      </c>
      <c r="D158" s="20" t="n">
        <f aca="false">Narxlar!D159/Narxlar!D158-1</f>
        <v>0.0162731809041483</v>
      </c>
      <c r="E158" s="20" t="n">
        <f aca="false">Narxlar!E159/Narxlar!E158-1</f>
        <v>-0.00594970812752582</v>
      </c>
      <c r="F158" s="20" t="n">
        <f aca="false">Narxlar!F159/Narxlar!F158-1</f>
        <v>0.0184888163074859</v>
      </c>
      <c r="H158" s="20" t="n">
        <f aca="false">LN(Narxlar!B159/Narxlar!B158)</f>
        <v>0.00550658883339332</v>
      </c>
      <c r="I158" s="20" t="n">
        <f aca="false">LN(Narxlar!C159/Narxlar!C158)</f>
        <v>0.0137418397919373</v>
      </c>
      <c r="J158" s="20" t="n">
        <f aca="false">LN(Narxlar!D159/Narxlar!D158)</f>
        <v>0.0161421918575181</v>
      </c>
      <c r="K158" s="20" t="n">
        <f aca="false">LN(Narxlar!E159/Narxlar!E158)</f>
        <v>-0.00596747816032433</v>
      </c>
      <c r="L158" s="20" t="n">
        <f aca="false">LN(Narxlar!F159/Narxlar!F158)</f>
        <v>0.0183199760721401</v>
      </c>
    </row>
    <row r="159" customFormat="false" ht="15" hidden="false" customHeight="false" outlineLevel="0" collapsed="false">
      <c r="A159" s="19" t="n">
        <f aca="false">Narxlar!A160</f>
        <v>45513</v>
      </c>
      <c r="B159" s="20" t="n">
        <f aca="false">Narxlar!B160/Narxlar!B159-1</f>
        <v>-0.0111366373162756</v>
      </c>
      <c r="C159" s="20" t="n">
        <f aca="false">Narxlar!C160/Narxlar!C159-1</f>
        <v>-0.0115136197697276</v>
      </c>
      <c r="D159" s="20" t="n">
        <f aca="false">Narxlar!D160/Narxlar!D159-1</f>
        <v>-0.0122384668938478</v>
      </c>
      <c r="E159" s="20" t="n">
        <f aca="false">Narxlar!E160/Narxlar!E159-1</f>
        <v>0.00496894409937898</v>
      </c>
      <c r="F159" s="20" t="n">
        <f aca="false">Narxlar!F160/Narxlar!F159-1</f>
        <v>-0.022419470293486</v>
      </c>
      <c r="H159" s="20" t="n">
        <f aca="false">LN(Narxlar!B160/Narxlar!B159)</f>
        <v>-0.0111991139477453</v>
      </c>
      <c r="I159" s="20" t="n">
        <f aca="false">LN(Narxlar!C160/Narxlar!C159)</f>
        <v>-0.011580414685635</v>
      </c>
      <c r="J159" s="20" t="n">
        <f aca="false">LN(Narxlar!D160/Narxlar!D159)</f>
        <v>-0.0123139736199493</v>
      </c>
      <c r="K159" s="20" t="n">
        <f aca="false">LN(Narxlar!E160/Narxlar!E159)</f>
        <v>0.00495663963992842</v>
      </c>
      <c r="L159" s="20" t="n">
        <f aca="false">LN(Narxlar!F160/Narxlar!F159)</f>
        <v>-0.0226746071844644</v>
      </c>
    </row>
    <row r="160" customFormat="false" ht="15" hidden="false" customHeight="false" outlineLevel="0" collapsed="false">
      <c r="A160" s="19" t="n">
        <f aca="false">Narxlar!A161</f>
        <v>45516</v>
      </c>
      <c r="B160" s="20" t="n">
        <f aca="false">Narxlar!B161/Narxlar!B160-1</f>
        <v>0.000613194918255067</v>
      </c>
      <c r="C160" s="20" t="n">
        <f aca="false">Narxlar!C161/Narxlar!C160-1</f>
        <v>0.00363636363636366</v>
      </c>
      <c r="D160" s="20" t="n">
        <f aca="false">Narxlar!D161/Narxlar!D160-1</f>
        <v>-0.00289349705085873</v>
      </c>
      <c r="E160" s="20" t="n">
        <f aca="false">Narxlar!E161/Narxlar!E160-1</f>
        <v>0.00988875154511737</v>
      </c>
      <c r="F160" s="20" t="n">
        <f aca="false">Narxlar!F161/Narxlar!F160-1</f>
        <v>-0.0132681155175444</v>
      </c>
      <c r="H160" s="20" t="n">
        <f aca="false">LN(Narxlar!B161/Narxlar!B160)</f>
        <v>0.000613006991071252</v>
      </c>
      <c r="I160" s="20" t="n">
        <f aca="false">LN(Narxlar!C161/Narxlar!C160)</f>
        <v>0.00362976805057873</v>
      </c>
      <c r="J160" s="20" t="n">
        <f aca="false">LN(Narxlar!D161/Narxlar!D160)</f>
        <v>-0.00289769130611442</v>
      </c>
      <c r="K160" s="20" t="n">
        <f aca="false">LN(Narxlar!E161/Narxlar!E160)</f>
        <v>0.00984017780151114</v>
      </c>
      <c r="L160" s="20" t="n">
        <f aca="false">LN(Narxlar!F161/Narxlar!F160)</f>
        <v>-0.0133569233789685</v>
      </c>
    </row>
    <row r="161" customFormat="false" ht="15" hidden="false" customHeight="false" outlineLevel="0" collapsed="false">
      <c r="A161" s="19" t="n">
        <f aca="false">Narxlar!A162</f>
        <v>45517</v>
      </c>
      <c r="B161" s="20" t="n">
        <f aca="false">Narxlar!B162/Narxlar!B161-1</f>
        <v>-0.00548947849954251</v>
      </c>
      <c r="C161" s="20" t="n">
        <f aca="false">Narxlar!C162/Narxlar!C161-1</f>
        <v>-0.0179461050724637</v>
      </c>
      <c r="D161" s="20" t="n">
        <f aca="false">Narxlar!D162/Narxlar!D161-1</f>
        <v>-0.0032367275568288</v>
      </c>
      <c r="E161" s="20" t="n">
        <f aca="false">Narxlar!E162/Narxlar!E161-1</f>
        <v>-0.00534104818070547</v>
      </c>
      <c r="F161" s="20" t="n">
        <f aca="false">Narxlar!F162/Narxlar!F161-1</f>
        <v>-0.00908308349906495</v>
      </c>
      <c r="H161" s="20" t="n">
        <f aca="false">LN(Narxlar!B162/Narxlar!B161)</f>
        <v>-0.00550460105532909</v>
      </c>
      <c r="I161" s="20" t="n">
        <f aca="false">LN(Narxlar!C162/Narxlar!C161)</f>
        <v>-0.0181090893154129</v>
      </c>
      <c r="J161" s="20" t="n">
        <f aca="false">LN(Narxlar!D162/Narxlar!D161)</f>
        <v>-0.00324197709006726</v>
      </c>
      <c r="K161" s="20" t="n">
        <f aca="false">LN(Narxlar!E162/Narxlar!E161)</f>
        <v>-0.00535536257052083</v>
      </c>
      <c r="L161" s="20" t="n">
        <f aca="false">LN(Narxlar!F162/Narxlar!F161)</f>
        <v>-0.00912458620819199</v>
      </c>
    </row>
    <row r="162" customFormat="false" ht="15" hidden="false" customHeight="false" outlineLevel="0" collapsed="false">
      <c r="A162" s="19" t="n">
        <f aca="false">Narxlar!A163</f>
        <v>45518</v>
      </c>
      <c r="B162" s="20" t="n">
        <f aca="false">Narxlar!B163/Narxlar!B162-1</f>
        <v>0.00758535696307994</v>
      </c>
      <c r="C162" s="20" t="n">
        <f aca="false">Narxlar!C163/Narxlar!C162-1</f>
        <v>0.0138928921427337</v>
      </c>
      <c r="D162" s="20" t="n">
        <f aca="false">Narxlar!D163/Narxlar!D162-1</f>
        <v>0.00328456255598697</v>
      </c>
      <c r="E162" s="20" t="n">
        <f aca="false">Narxlar!E163/Narxlar!E162-1</f>
        <v>0.00178990938583734</v>
      </c>
      <c r="F162" s="20" t="n">
        <f aca="false">Narxlar!F163/Narxlar!F162-1</f>
        <v>0.0350777341760777</v>
      </c>
      <c r="H162" s="20" t="n">
        <f aca="false">LN(Narxlar!B163/Narxlar!B162)</f>
        <v>0.00755673280147715</v>
      </c>
      <c r="I162" s="20" t="n">
        <f aca="false">LN(Narxlar!C163/Narxlar!C162)</f>
        <v>0.0137972705392919</v>
      </c>
      <c r="J162" s="20" t="n">
        <f aca="false">LN(Narxlar!D163/Narxlar!D162)</f>
        <v>0.00327918016304544</v>
      </c>
      <c r="K162" s="20" t="n">
        <f aca="false">LN(Narxlar!E163/Narxlar!E162)</f>
        <v>0.00178830940695956</v>
      </c>
      <c r="L162" s="20" t="n">
        <f aca="false">LN(Narxlar!F163/Narxlar!F162)</f>
        <v>0.0344765293811898</v>
      </c>
    </row>
    <row r="163" customFormat="false" ht="15" hidden="false" customHeight="false" outlineLevel="0" collapsed="false">
      <c r="A163" s="19" t="n">
        <f aca="false">Narxlar!A164</f>
        <v>45519</v>
      </c>
      <c r="B163" s="20" t="n">
        <f aca="false">Narxlar!B164/Narxlar!B163-1</f>
        <v>0.00976777839029763</v>
      </c>
      <c r="C163" s="20" t="n">
        <f aca="false">Narxlar!C164/Narxlar!C163-1</f>
        <v>0.00210370707300434</v>
      </c>
      <c r="D163" s="20" t="n">
        <f aca="false">Narxlar!D164/Narxlar!D163-1</f>
        <v>0.0162202380952381</v>
      </c>
      <c r="E163" s="20" t="n">
        <f aca="false">Narxlar!E164/Narxlar!E163-1</f>
        <v>0.00446677833612497</v>
      </c>
      <c r="F163" s="20" t="n">
        <f aca="false">Narxlar!F164/Narxlar!F163-1</f>
        <v>2.89402095270397E-005</v>
      </c>
      <c r="H163" s="20" t="n">
        <f aca="false">LN(Narxlar!B164/Narxlar!B163)</f>
        <v>0.00972038203112014</v>
      </c>
      <c r="I163" s="20" t="n">
        <f aca="false">LN(Narxlar!C164/Narxlar!C163)</f>
        <v>0.00210149737976868</v>
      </c>
      <c r="J163" s="20" t="n">
        <f aca="false">LN(Narxlar!D164/Narxlar!D163)</f>
        <v>0.016090095443894</v>
      </c>
      <c r="K163" s="20" t="n">
        <f aca="false">LN(Narxlar!E164/Narxlar!E163)</f>
        <v>0.00445683188982122</v>
      </c>
      <c r="L163" s="20" t="n">
        <f aca="false">LN(Narxlar!F164/Narxlar!F163)</f>
        <v>2.89397907672553E-005</v>
      </c>
    </row>
    <row r="164" customFormat="false" ht="15" hidden="false" customHeight="false" outlineLevel="0" collapsed="false">
      <c r="A164" s="19" t="n">
        <f aca="false">Narxlar!A165</f>
        <v>45520</v>
      </c>
      <c r="B164" s="20" t="n">
        <f aca="false">Narxlar!B165/Narxlar!B164-1</f>
        <v>0.010423952913077</v>
      </c>
      <c r="C164" s="20" t="n">
        <f aca="false">Narxlar!C165/Narxlar!C164-1</f>
        <v>0.0217304964539007</v>
      </c>
      <c r="D164" s="20" t="n">
        <f aca="false">Narxlar!D165/Narxlar!D164-1</f>
        <v>0.0200248938351149</v>
      </c>
      <c r="E164" s="20" t="n">
        <f aca="false">Narxlar!E165/Narxlar!E164-1</f>
        <v>0.0121178432462479</v>
      </c>
      <c r="F164" s="20" t="n">
        <f aca="false">Narxlar!F165/Narxlar!F164-1</f>
        <v>0.0300969468962524</v>
      </c>
      <c r="H164" s="20" t="n">
        <f aca="false">LN(Narxlar!B165/Narxlar!B164)</f>
        <v>0.0103699981400144</v>
      </c>
      <c r="I164" s="20" t="n">
        <f aca="false">LN(Narxlar!C165/Narxlar!C164)</f>
        <v>0.0214977549060987</v>
      </c>
      <c r="J164" s="20" t="n">
        <f aca="false">LN(Narxlar!D165/Narxlar!D164)</f>
        <v>0.0198270327190658</v>
      </c>
      <c r="K164" s="20" t="n">
        <f aca="false">LN(Narxlar!E165/Narxlar!E164)</f>
        <v>0.0120450099814786</v>
      </c>
      <c r="L164" s="20" t="n">
        <f aca="false">LN(Narxlar!F165/Narxlar!F164)</f>
        <v>0.029652921012479</v>
      </c>
    </row>
    <row r="165" customFormat="false" ht="15" hidden="false" customHeight="false" outlineLevel="0" collapsed="false">
      <c r="A165" s="19" t="n">
        <f aca="false">Narxlar!A166</f>
        <v>45523</v>
      </c>
      <c r="B165" s="20" t="n">
        <f aca="false">Narxlar!B166/Narxlar!B165-1</f>
        <v>-0.00312362813629152</v>
      </c>
      <c r="C165" s="20" t="n">
        <f aca="false">Narxlar!C166/Narxlar!C165-1</f>
        <v>0.0204908929364727</v>
      </c>
      <c r="D165" s="20" t="n">
        <f aca="false">Narxlar!D166/Narxlar!D165-1</f>
        <v>0.00190216416035605</v>
      </c>
      <c r="E165" s="20" t="n">
        <f aca="false">Narxlar!E166/Narxlar!E165-1</f>
        <v>-0.00527240773286464</v>
      </c>
      <c r="F165" s="20" t="n">
        <f aca="false">Narxlar!F166/Narxlar!F165-1</f>
        <v>-0.00280938334035674</v>
      </c>
      <c r="H165" s="20" t="n">
        <f aca="false">LN(Narxlar!B166/Narxlar!B165)</f>
        <v>-0.0031285168456529</v>
      </c>
      <c r="I165" s="20" t="n">
        <f aca="false">LN(Narxlar!C166/Narxlar!C165)</f>
        <v>0.0202837791088562</v>
      </c>
      <c r="J165" s="20" t="n">
        <f aca="false">LN(Narxlar!D166/Narxlar!D165)</f>
        <v>0.00190035733699651</v>
      </c>
      <c r="K165" s="20" t="n">
        <f aca="false">LN(Narxlar!E166/Narxlar!E165)</f>
        <v>-0.00528635592314795</v>
      </c>
      <c r="L165" s="20" t="n">
        <f aca="false">LN(Narxlar!F166/Narxlar!F165)</f>
        <v>-0.00281333706448731</v>
      </c>
    </row>
    <row r="166" customFormat="false" ht="15" hidden="false" customHeight="false" outlineLevel="0" collapsed="false">
      <c r="A166" s="19" t="n">
        <f aca="false">Narxlar!A167</f>
        <v>45524</v>
      </c>
      <c r="B166" s="20" t="n">
        <f aca="false">Narxlar!B167/Narxlar!B166-1</f>
        <v>0.0170136007181452</v>
      </c>
      <c r="C166" s="20" t="n">
        <f aca="false">Narxlar!C167/Narxlar!C166-1</f>
        <v>-0.00146922783914671</v>
      </c>
      <c r="D166" s="20" t="n">
        <f aca="false">Narxlar!D167/Narxlar!D166-1</f>
        <v>0.0181258059893967</v>
      </c>
      <c r="E166" s="20" t="n">
        <f aca="false">Narxlar!E167/Narxlar!E166-1</f>
        <v>0.0029814487632509</v>
      </c>
      <c r="F166" s="20" t="n">
        <f aca="false">Narxlar!F167/Narxlar!F166-1</f>
        <v>0.0180025355683899</v>
      </c>
      <c r="H166" s="20" t="n">
        <f aca="false">LN(Narxlar!B167/Narxlar!B166)</f>
        <v>0.0168704903478411</v>
      </c>
      <c r="I166" s="20" t="n">
        <f aca="false">LN(Narxlar!C167/Narxlar!C166)</f>
        <v>-0.00147030821270798</v>
      </c>
      <c r="J166" s="20" t="n">
        <f aca="false">LN(Narxlar!D167/Narxlar!D166)</f>
        <v>0.0179634920147645</v>
      </c>
      <c r="K166" s="20" t="n">
        <f aca="false">LN(Narxlar!E167/Narxlar!E166)</f>
        <v>0.0029770130592494</v>
      </c>
      <c r="L166" s="20" t="n">
        <f aca="false">LN(Narxlar!F167/Narxlar!F166)</f>
        <v>0.0178424088603862</v>
      </c>
    </row>
    <row r="167" customFormat="false" ht="15" hidden="false" customHeight="false" outlineLevel="0" collapsed="false">
      <c r="A167" s="19" t="n">
        <f aca="false">Narxlar!A168</f>
        <v>45525</v>
      </c>
      <c r="B167" s="20" t="n">
        <f aca="false">Narxlar!B168/Narxlar!B167-1</f>
        <v>0.00898485315302566</v>
      </c>
      <c r="C167" s="20" t="n">
        <f aca="false">Narxlar!C168/Narxlar!C167-1</f>
        <v>0.0317711171662125</v>
      </c>
      <c r="D167" s="20" t="n">
        <f aca="false">Narxlar!D168/Narxlar!D167-1</f>
        <v>-0.00527760185771586</v>
      </c>
      <c r="E167" s="20" t="n">
        <f aca="false">Narxlar!E168/Narxlar!E167-1</f>
        <v>0.0117802488164704</v>
      </c>
      <c r="F167" s="20" t="n">
        <f aca="false">Narxlar!F168/Narxlar!F167-1</f>
        <v>0.010903857862401</v>
      </c>
      <c r="H167" s="20" t="n">
        <f aca="false">LN(Narxlar!B168/Narxlar!B167)</f>
        <v>0.00894472951749198</v>
      </c>
      <c r="I167" s="20" t="n">
        <f aca="false">LN(Narxlar!C168/Narxlar!C167)</f>
        <v>0.0312768567696329</v>
      </c>
      <c r="J167" s="20" t="n">
        <f aca="false">LN(Narxlar!D168/Narxlar!D167)</f>
        <v>-0.00529157759232916</v>
      </c>
      <c r="K167" s="20" t="n">
        <f aca="false">LN(Narxlar!E168/Narxlar!E167)</f>
        <v>0.0117114018475193</v>
      </c>
      <c r="L167" s="20" t="n">
        <f aca="false">LN(Narxlar!F168/Narxlar!F167)</f>
        <v>0.0108448394357042</v>
      </c>
    </row>
    <row r="168" customFormat="false" ht="15" hidden="false" customHeight="false" outlineLevel="0" collapsed="false">
      <c r="A168" s="19" t="n">
        <f aca="false">Narxlar!A169</f>
        <v>45526</v>
      </c>
      <c r="B168" s="20" t="n">
        <f aca="false">Narxlar!B169/Narxlar!B168-1</f>
        <v>0.000148551621688586</v>
      </c>
      <c r="C168" s="20" t="n">
        <f aca="false">Narxlar!C169/Narxlar!C168-1</f>
        <v>-0.025194105530027</v>
      </c>
      <c r="D168" s="20" t="n">
        <f aca="false">Narxlar!D169/Narxlar!D168-1</f>
        <v>0.00194538766270513</v>
      </c>
      <c r="E168" s="20" t="n">
        <f aca="false">Narxlar!E169/Narxlar!E168-1</f>
        <v>0.00794341675734489</v>
      </c>
      <c r="F168" s="20" t="n">
        <f aca="false">Narxlar!F169/Narxlar!F168-1</f>
        <v>-0.0192728865527815</v>
      </c>
      <c r="H168" s="20" t="n">
        <f aca="false">LN(Narxlar!B169/Narxlar!B168)</f>
        <v>0.000148540588989037</v>
      </c>
      <c r="I168" s="20" t="n">
        <f aca="false">LN(Narxlar!C169/Narxlar!C168)</f>
        <v>-0.0255169103987597</v>
      </c>
      <c r="J168" s="20" t="n">
        <f aca="false">LN(Narxlar!D169/Narxlar!D168)</f>
        <v>0.00194349784667896</v>
      </c>
      <c r="K168" s="20" t="n">
        <f aca="false">LN(Narxlar!E169/Narxlar!E168)</f>
        <v>0.00791203390429473</v>
      </c>
      <c r="L168" s="20" t="n">
        <f aca="false">LN(Narxlar!F169/Narxlar!F168)</f>
        <v>-0.0194610299310408</v>
      </c>
    </row>
    <row r="169" customFormat="false" ht="15" hidden="false" customHeight="false" outlineLevel="0" collapsed="false">
      <c r="A169" s="19" t="n">
        <f aca="false">Narxlar!A170</f>
        <v>45527</v>
      </c>
      <c r="B169" s="20" t="n">
        <f aca="false">Narxlar!B170/Narxlar!B169-1</f>
        <v>0.00582565930620183</v>
      </c>
      <c r="C169" s="20" t="n">
        <f aca="false">Narxlar!C170/Narxlar!C169-1</f>
        <v>0.0432921543129605</v>
      </c>
      <c r="D169" s="20" t="n">
        <f aca="false">Narxlar!D170/Narxlar!D169-1</f>
        <v>-0.000141208034737161</v>
      </c>
      <c r="E169" s="20" t="n">
        <f aca="false">Narxlar!E170/Narxlar!E169-1</f>
        <v>0.00550577566663058</v>
      </c>
      <c r="F169" s="20" t="n">
        <f aca="false">Narxlar!F170/Narxlar!F169-1</f>
        <v>0.0247878517195177</v>
      </c>
      <c r="H169" s="20" t="n">
        <f aca="false">LN(Narxlar!B170/Narxlar!B169)</f>
        <v>0.00580875577074597</v>
      </c>
      <c r="I169" s="20" t="n">
        <f aca="false">LN(Narxlar!C170/Narxlar!C169)</f>
        <v>0.0423812463954196</v>
      </c>
      <c r="J169" s="20" t="n">
        <f aca="false">LN(Narxlar!D170/Narxlar!D169)</f>
        <v>-0.000141218005530347</v>
      </c>
      <c r="K169" s="20" t="n">
        <f aca="false">LN(Narxlar!E170/Narxlar!E169)</f>
        <v>0.00549067428829491</v>
      </c>
      <c r="L169" s="20" t="n">
        <f aca="false">LN(Narxlar!F170/Narxlar!F169)</f>
        <v>0.0244856172361334</v>
      </c>
    </row>
    <row r="170" customFormat="false" ht="15" hidden="false" customHeight="false" outlineLevel="0" collapsed="false">
      <c r="A170" s="19" t="n">
        <f aca="false">Narxlar!A171</f>
        <v>45530</v>
      </c>
      <c r="B170" s="20" t="n">
        <f aca="false">Narxlar!B171/Narxlar!B170-1</f>
        <v>0.00166538139695138</v>
      </c>
      <c r="C170" s="20" t="n">
        <f aca="false">Narxlar!C171/Narxlar!C170-1</f>
        <v>-0.0117372111139964</v>
      </c>
      <c r="D170" s="20" t="n">
        <f aca="false">Narxlar!D171/Narxlar!D170-1</f>
        <v>0.0192070049076722</v>
      </c>
      <c r="E170" s="20" t="n">
        <f aca="false">Narxlar!E171/Narxlar!E170-1</f>
        <v>0.00633455013957485</v>
      </c>
      <c r="F170" s="20" t="n">
        <f aca="false">Narxlar!F171/Narxlar!F170-1</f>
        <v>-0.013047504903029</v>
      </c>
      <c r="H170" s="20" t="n">
        <f aca="false">LN(Narxlar!B171/Narxlar!B170)</f>
        <v>0.00166399618707465</v>
      </c>
      <c r="I170" s="20" t="n">
        <f aca="false">LN(Narxlar!C171/Narxlar!C170)</f>
        <v>-0.0118066359470025</v>
      </c>
      <c r="J170" s="20" t="n">
        <f aca="false">LN(Narxlar!D171/Narxlar!D170)</f>
        <v>0.0190248787592314</v>
      </c>
      <c r="K170" s="20" t="n">
        <f aca="false">LN(Narxlar!E171/Narxlar!E170)</f>
        <v>0.0063145712041633</v>
      </c>
      <c r="L170" s="20" t="n">
        <f aca="false">LN(Narxlar!F171/Narxlar!F170)</f>
        <v>-0.0131333713078099</v>
      </c>
    </row>
    <row r="171" customFormat="false" ht="15" hidden="false" customHeight="false" outlineLevel="0" collapsed="false">
      <c r="A171" s="19" t="n">
        <f aca="false">Narxlar!A172</f>
        <v>45531</v>
      </c>
      <c r="B171" s="20" t="n">
        <f aca="false">Narxlar!B172/Narxlar!B171-1</f>
        <v>-0.00434081099453709</v>
      </c>
      <c r="C171" s="20" t="n">
        <f aca="false">Narxlar!C172/Narxlar!C171-1</f>
        <v>-0.00725208891691631</v>
      </c>
      <c r="D171" s="20" t="n">
        <f aca="false">Narxlar!D172/Narxlar!D171-1</f>
        <v>0.0110160390757612</v>
      </c>
      <c r="E171" s="20" t="n">
        <f aca="false">Narxlar!E172/Narxlar!E171-1</f>
        <v>-0.00106689427077777</v>
      </c>
      <c r="F171" s="20" t="n">
        <f aca="false">Narxlar!F172/Narxlar!F171-1</f>
        <v>0.00872133138299347</v>
      </c>
      <c r="H171" s="20" t="n">
        <f aca="false">LN(Narxlar!B172/Narxlar!B171)</f>
        <v>-0.00435025966776596</v>
      </c>
      <c r="I171" s="20" t="n">
        <f aca="false">LN(Narxlar!C172/Narxlar!C171)</f>
        <v>-0.00727851314515448</v>
      </c>
      <c r="J171" s="20" t="n">
        <f aca="false">LN(Narxlar!D172/Narxlar!D171)</f>
        <v>0.0109558044780337</v>
      </c>
      <c r="K171" s="20" t="n">
        <f aca="false">LN(Narxlar!E172/Narxlar!E171)</f>
        <v>-0.0010674638075967</v>
      </c>
      <c r="L171" s="20" t="n">
        <f aca="false">LN(Narxlar!F172/Narxlar!F171)</f>
        <v>0.00868352025565771</v>
      </c>
    </row>
    <row r="172" customFormat="false" ht="15" hidden="false" customHeight="false" outlineLevel="0" collapsed="false">
      <c r="A172" s="19" t="n">
        <f aca="false">Narxlar!A173</f>
        <v>45532</v>
      </c>
      <c r="B172" s="20" t="n">
        <f aca="false">Narxlar!B173/Narxlar!B172-1</f>
        <v>0.00123388748591302</v>
      </c>
      <c r="C172" s="20" t="n">
        <f aca="false">Narxlar!C173/Narxlar!C172-1</f>
        <v>0.0331904081308561</v>
      </c>
      <c r="D172" s="20" t="n">
        <f aca="false">Narxlar!D173/Narxlar!D172-1</f>
        <v>-0.0147335960253555</v>
      </c>
      <c r="E172" s="20" t="n">
        <f aca="false">Narxlar!E173/Narxlar!E172-1</f>
        <v>-0.00128164049983981</v>
      </c>
      <c r="F172" s="20" t="n">
        <f aca="false">Narxlar!F173/Narxlar!F172-1</f>
        <v>0.0215874579331856</v>
      </c>
      <c r="H172" s="20" t="n">
        <f aca="false">LN(Narxlar!B173/Narxlar!B172)</f>
        <v>0.00123312687235915</v>
      </c>
      <c r="I172" s="20" t="n">
        <f aca="false">LN(Narxlar!C173/Narxlar!C172)</f>
        <v>0.0326514985445542</v>
      </c>
      <c r="J172" s="20" t="n">
        <f aca="false">LN(Narxlar!D173/Narxlar!D172)</f>
        <v>-0.0148432134900369</v>
      </c>
      <c r="K172" s="20" t="n">
        <f aca="false">LN(Narxlar!E173/Narxlar!E172)</f>
        <v>-0.00128246250344236</v>
      </c>
      <c r="L172" s="20" t="n">
        <f aca="false">LN(Narxlar!F173/Narxlar!F172)</f>
        <v>0.0213577487747557</v>
      </c>
    </row>
    <row r="173" customFormat="false" ht="15" hidden="false" customHeight="false" outlineLevel="0" collapsed="false">
      <c r="A173" s="19" t="n">
        <f aca="false">Narxlar!A174</f>
        <v>45533</v>
      </c>
      <c r="B173" s="20" t="n">
        <f aca="false">Narxlar!B174/Narxlar!B173-1</f>
        <v>0.0105901394217733</v>
      </c>
      <c r="C173" s="20" t="n">
        <f aca="false">Narxlar!C174/Narxlar!C173-1</f>
        <v>-0.00256173788297986</v>
      </c>
      <c r="D173" s="20" t="n">
        <f aca="false">Narxlar!D174/Narxlar!D173-1</f>
        <v>-0.00413841071118071</v>
      </c>
      <c r="E173" s="20" t="n">
        <f aca="false">Narxlar!E174/Narxlar!E173-1</f>
        <v>0.00695112822158062</v>
      </c>
      <c r="F173" s="20" t="n">
        <f aca="false">Narxlar!F174/Narxlar!F173-1</f>
        <v>0.0120252825539664</v>
      </c>
      <c r="H173" s="20" t="n">
        <f aca="false">LN(Narxlar!B174/Narxlar!B173)</f>
        <v>0.0105344566756587</v>
      </c>
      <c r="I173" s="20" t="n">
        <f aca="false">LN(Narxlar!C174/Narxlar!C173)</f>
        <v>-0.00256502474806159</v>
      </c>
      <c r="J173" s="20" t="n">
        <f aca="false">LN(Narxlar!D174/Narxlar!D173)</f>
        <v>-0.00414699763177897</v>
      </c>
      <c r="K173" s="20" t="n">
        <f aca="false">LN(Narxlar!E174/Narxlar!E173)</f>
        <v>0.00692708050466591</v>
      </c>
      <c r="L173" s="20" t="n">
        <f aca="false">LN(Narxlar!F174/Narxlar!F173)</f>
        <v>0.0119535533140462</v>
      </c>
    </row>
    <row r="174" customFormat="false" ht="15" hidden="false" customHeight="false" outlineLevel="0" collapsed="false">
      <c r="A174" s="19" t="n">
        <f aca="false">Narxlar!A175</f>
        <v>45534</v>
      </c>
      <c r="B174" s="20" t="n">
        <f aca="false">Narxlar!B175/Narxlar!B174-1</f>
        <v>0.00212997739947651</v>
      </c>
      <c r="C174" s="20" t="n">
        <f aca="false">Narxlar!C175/Narxlar!C174-1</f>
        <v>0.0102219026094104</v>
      </c>
      <c r="D174" s="20" t="n">
        <f aca="false">Narxlar!D175/Narxlar!D174-1</f>
        <v>0.0070191367509429</v>
      </c>
      <c r="E174" s="20" t="n">
        <f aca="false">Narxlar!E175/Narxlar!E174-1</f>
        <v>-0.00785896346644011</v>
      </c>
      <c r="F174" s="20" t="n">
        <f aca="false">Narxlar!F175/Narxlar!F174-1</f>
        <v>0.0603117474263635</v>
      </c>
      <c r="H174" s="20" t="n">
        <f aca="false">LN(Narxlar!B175/Narxlar!B174)</f>
        <v>0.00212771221357494</v>
      </c>
      <c r="I174" s="20" t="n">
        <f aca="false">LN(Narxlar!C175/Narxlar!C174)</f>
        <v>0.010170012275309</v>
      </c>
      <c r="J174" s="20" t="n">
        <f aca="false">LN(Narxlar!D175/Narxlar!D174)</f>
        <v>0.00699461728072557</v>
      </c>
      <c r="K174" s="20" t="n">
        <f aca="false">LN(Narxlar!E175/Narxlar!E174)</f>
        <v>-0.00789000787805932</v>
      </c>
      <c r="L174" s="20" t="n">
        <f aca="false">LN(Narxlar!F175/Narxlar!F174)</f>
        <v>0.0585629662302786</v>
      </c>
    </row>
    <row r="175" customFormat="false" ht="15" hidden="false" customHeight="false" outlineLevel="0" collapsed="false">
      <c r="A175" s="19" t="n">
        <f aca="false">Narxlar!A176</f>
        <v>45537</v>
      </c>
      <c r="B175" s="20" t="n">
        <f aca="false">Narxlar!B176/Narxlar!B175-1</f>
        <v>-0.00108706233572387</v>
      </c>
      <c r="C175" s="20" t="n">
        <f aca="false">Narxlar!C176/Narxlar!C175-1</f>
        <v>0.00299994915340407</v>
      </c>
      <c r="D175" s="20" t="n">
        <f aca="false">Narxlar!D176/Narxlar!D175-1</f>
        <v>-0.00565246038076084</v>
      </c>
      <c r="E175" s="20" t="n">
        <f aca="false">Narxlar!E176/Narxlar!E175-1</f>
        <v>0.00535217298223079</v>
      </c>
      <c r="F175" s="20" t="n">
        <f aca="false">Narxlar!F176/Narxlar!F175-1</f>
        <v>-0.00187191134627862</v>
      </c>
      <c r="H175" s="20" t="n">
        <f aca="false">LN(Narxlar!B176/Narxlar!B175)</f>
        <v>-0.00108765361652964</v>
      </c>
      <c r="I175" s="20" t="n">
        <f aca="false">LN(Narxlar!C176/Narxlar!C175)</f>
        <v>0.0029954582852848</v>
      </c>
      <c r="J175" s="20" t="n">
        <f aca="false">LN(Narxlar!D176/Narxlar!D175)</f>
        <v>-0.00566849599058796</v>
      </c>
      <c r="K175" s="20" t="n">
        <f aca="false">LN(Narxlar!E176/Narxlar!E175)</f>
        <v>0.00533790100582436</v>
      </c>
      <c r="L175" s="20" t="n">
        <f aca="false">LN(Narxlar!F176/Narxlar!F175)</f>
        <v>-0.00187366556182194</v>
      </c>
    </row>
    <row r="176" customFormat="false" ht="15" hidden="false" customHeight="false" outlineLevel="0" collapsed="false">
      <c r="A176" s="19" t="n">
        <f aca="false">Narxlar!A177</f>
        <v>45538</v>
      </c>
      <c r="B176" s="20" t="n">
        <f aca="false">Narxlar!B177/Narxlar!B176-1</f>
        <v>0.00229018792534985</v>
      </c>
      <c r="C176" s="20" t="n">
        <f aca="false">Narxlar!C177/Narxlar!C176-1</f>
        <v>-0.00354861603974455</v>
      </c>
      <c r="D176" s="20" t="n">
        <f aca="false">Narxlar!D177/Narxlar!D176-1</f>
        <v>0.00146474157773602</v>
      </c>
      <c r="E176" s="20" t="n">
        <f aca="false">Narxlar!E177/Narxlar!E176-1</f>
        <v>-0.00660136286201019</v>
      </c>
      <c r="F176" s="20" t="n">
        <f aca="false">Narxlar!F177/Narxlar!F176-1</f>
        <v>-0.00777674976869791</v>
      </c>
      <c r="H176" s="20" t="n">
        <f aca="false">LN(Narxlar!B177/Narxlar!B176)</f>
        <v>0.00228756944210023</v>
      </c>
      <c r="I176" s="20" t="n">
        <f aca="false">LN(Narxlar!C177/Narxlar!C176)</f>
        <v>-0.00355492731292383</v>
      </c>
      <c r="J176" s="20" t="n">
        <f aca="false">LN(Narxlar!D177/Narxlar!D176)</f>
        <v>0.00146366989016051</v>
      </c>
      <c r="K176" s="20" t="n">
        <f aca="false">LN(Narxlar!E177/Narxlar!E176)</f>
        <v>-0.00662324822648814</v>
      </c>
      <c r="L176" s="20" t="n">
        <f aca="false">LN(Narxlar!F177/Narxlar!F176)</f>
        <v>-0.0078071463809667</v>
      </c>
    </row>
    <row r="177" customFormat="false" ht="15" hidden="false" customHeight="false" outlineLevel="0" collapsed="false">
      <c r="A177" s="19" t="n">
        <f aca="false">Narxlar!A178</f>
        <v>45539</v>
      </c>
      <c r="B177" s="20" t="n">
        <f aca="false">Narxlar!B178/Narxlar!B177-1</f>
        <v>0.00265767809684325</v>
      </c>
      <c r="C177" s="20" t="n">
        <f aca="false">Narxlar!C178/Narxlar!C177-1</f>
        <v>0.0242673992673992</v>
      </c>
      <c r="D177" s="20" t="n">
        <f aca="false">Narxlar!D178/Narxlar!D177-1</f>
        <v>-0.014138459395459</v>
      </c>
      <c r="E177" s="20" t="n">
        <f aca="false">Narxlar!E178/Narxlar!E177-1</f>
        <v>0.00986066452304391</v>
      </c>
      <c r="F177" s="20" t="n">
        <f aca="false">Narxlar!F178/Narxlar!F177-1</f>
        <v>0.0286542338709677</v>
      </c>
      <c r="H177" s="20" t="n">
        <f aca="false">LN(Narxlar!B178/Narxlar!B177)</f>
        <v>0.00265415271524825</v>
      </c>
      <c r="I177" s="20" t="n">
        <f aca="false">LN(Narxlar!C178/Narxlar!C177)</f>
        <v>0.0239776246253339</v>
      </c>
      <c r="J177" s="20" t="n">
        <f aca="false">LN(Narxlar!D178/Narxlar!D177)</f>
        <v>-0.0142393595904284</v>
      </c>
      <c r="K177" s="20" t="n">
        <f aca="false">LN(Narxlar!E178/Narxlar!E177)</f>
        <v>0.00981236541859687</v>
      </c>
      <c r="L177" s="20" t="n">
        <f aca="false">LN(Narxlar!F178/Narxlar!F177)</f>
        <v>0.0282513788786601</v>
      </c>
    </row>
    <row r="178" customFormat="false" ht="15" hidden="false" customHeight="false" outlineLevel="0" collapsed="false">
      <c r="A178" s="19" t="n">
        <f aca="false">Narxlar!A179</f>
        <v>45540</v>
      </c>
      <c r="B178" s="20" t="n">
        <f aca="false">Narxlar!B179/Narxlar!B178-1</f>
        <v>0.00487296353762612</v>
      </c>
      <c r="C178" s="20" t="n">
        <f aca="false">Narxlar!C179/Narxlar!C178-1</f>
        <v>0.00566234540306954</v>
      </c>
      <c r="D178" s="20" t="n">
        <f aca="false">Narxlar!D179/Narxlar!D178-1</f>
        <v>0.0122218297421406</v>
      </c>
      <c r="E178" s="20" t="n">
        <f aca="false">Narxlar!E179/Narxlar!E178-1</f>
        <v>0.0243048185098704</v>
      </c>
      <c r="F178" s="20" t="n">
        <f aca="false">Narxlar!F179/Narxlar!F178-1</f>
        <v>-0.0279295391626038</v>
      </c>
      <c r="H178" s="20" t="n">
        <f aca="false">LN(Narxlar!B179/Narxlar!B178)</f>
        <v>0.00486112908115151</v>
      </c>
      <c r="I178" s="20" t="n">
        <f aca="false">LN(Narxlar!C179/Narxlar!C178)</f>
        <v>0.00564637458516714</v>
      </c>
      <c r="J178" s="20" t="n">
        <f aca="false">LN(Narxlar!D179/Narxlar!D178)</f>
        <v>0.0121477461945477</v>
      </c>
      <c r="K178" s="20" t="n">
        <f aca="false">LN(Narxlar!E179/Narxlar!E178)</f>
        <v>0.0240141566471495</v>
      </c>
      <c r="L178" s="20" t="n">
        <f aca="false">LN(Narxlar!F179/Narxlar!F178)</f>
        <v>-0.0283269865755597</v>
      </c>
    </row>
    <row r="179" customFormat="false" ht="15" hidden="false" customHeight="false" outlineLevel="0" collapsed="false">
      <c r="A179" s="19" t="n">
        <f aca="false">Narxlar!A180</f>
        <v>45541</v>
      </c>
      <c r="B179" s="20" t="n">
        <f aca="false">Narxlar!B180/Narxlar!B179-1</f>
        <v>-0.00965845577295788</v>
      </c>
      <c r="C179" s="20" t="n">
        <f aca="false">Narxlar!C180/Narxlar!C179-1</f>
        <v>-0.0287943892922409</v>
      </c>
      <c r="D179" s="20" t="n">
        <f aca="false">Narxlar!D180/Narxlar!D179-1</f>
        <v>-0.00296621998883306</v>
      </c>
      <c r="E179" s="20" t="n">
        <f aca="false">Narxlar!E180/Narxlar!E179-1</f>
        <v>-0.0086001450626878</v>
      </c>
      <c r="F179" s="20" t="n">
        <f aca="false">Narxlar!F180/Narxlar!F179-1</f>
        <v>-0.0230864228646319</v>
      </c>
      <c r="H179" s="20" t="n">
        <f aca="false">LN(Narxlar!B180/Narxlar!B179)</f>
        <v>-0.00970540118157661</v>
      </c>
      <c r="I179" s="20" t="n">
        <f aca="false">LN(Narxlar!C180/Narxlar!C179)</f>
        <v>-0.0292170816057002</v>
      </c>
      <c r="J179" s="20" t="n">
        <f aca="false">LN(Narxlar!D180/Narxlar!D179)</f>
        <v>-0.00297062793813373</v>
      </c>
      <c r="K179" s="20" t="n">
        <f aca="false">LN(Narxlar!E180/Narxlar!E179)</f>
        <v>-0.00863733971672306</v>
      </c>
      <c r="L179" s="20" t="n">
        <f aca="false">LN(Narxlar!F180/Narxlar!F179)</f>
        <v>-0.0233570882364143</v>
      </c>
    </row>
    <row r="180" customFormat="false" ht="15" hidden="false" customHeight="false" outlineLevel="0" collapsed="false">
      <c r="A180" s="19" t="n">
        <f aca="false">Narxlar!A181</f>
        <v>45544</v>
      </c>
      <c r="B180" s="20" t="n">
        <f aca="false">Narxlar!B181/Narxlar!B180-1</f>
        <v>0.00835593523135136</v>
      </c>
      <c r="C180" s="20" t="n">
        <f aca="false">Narxlar!C181/Narxlar!C180-1</f>
        <v>-0.00869609438567942</v>
      </c>
      <c r="D180" s="20" t="n">
        <f aca="false">Narxlar!D181/Narxlar!D180-1</f>
        <v>0.00539008085121284</v>
      </c>
      <c r="E180" s="20" t="n">
        <f aca="false">Narxlar!E181/Narxlar!E180-1</f>
        <v>0.0100334448160535</v>
      </c>
      <c r="F180" s="20" t="n">
        <f aca="false">Narxlar!F181/Narxlar!F180-1</f>
        <v>0.0174918087768634</v>
      </c>
      <c r="H180" s="20" t="n">
        <f aca="false">LN(Narxlar!B181/Narxlar!B180)</f>
        <v>0.0083212176689528</v>
      </c>
      <c r="I180" s="20" t="n">
        <f aca="false">LN(Narxlar!C181/Narxlar!C180)</f>
        <v>-0.00873412605967106</v>
      </c>
      <c r="J180" s="20" t="n">
        <f aca="false">LN(Narxlar!D181/Narxlar!D180)</f>
        <v>0.00537560635459721</v>
      </c>
      <c r="K180" s="20" t="n">
        <f aca="false">LN(Narxlar!E181/Narxlar!E180)</f>
        <v>0.00998344398418321</v>
      </c>
      <c r="L180" s="20" t="n">
        <f aca="false">LN(Narxlar!F181/Narxlar!F180)</f>
        <v>0.0173405879600598</v>
      </c>
    </row>
    <row r="181" customFormat="false" ht="15" hidden="false" customHeight="false" outlineLevel="0" collapsed="false">
      <c r="A181" s="19" t="n">
        <f aca="false">Narxlar!A182</f>
        <v>45545</v>
      </c>
      <c r="B181" s="20" t="n">
        <f aca="false">Narxlar!B182/Narxlar!B181-1</f>
        <v>0.00788403462854848</v>
      </c>
      <c r="C181" s="20" t="n">
        <f aca="false">Narxlar!C182/Narxlar!C181-1</f>
        <v>0.0147745344482635</v>
      </c>
      <c r="D181" s="20" t="n">
        <f aca="false">Narxlar!D182/Narxlar!D181-1</f>
        <v>-0.00417754569190598</v>
      </c>
      <c r="E181" s="20" t="n">
        <f aca="false">Narxlar!E182/Narxlar!E181-1</f>
        <v>0.00972682119205293</v>
      </c>
      <c r="F181" s="20" t="n">
        <f aca="false">Narxlar!F182/Narxlar!F181-1</f>
        <v>0.0169629047389639</v>
      </c>
      <c r="H181" s="20" t="n">
        <f aca="false">LN(Narxlar!B182/Narxlar!B181)</f>
        <v>0.00785311801963132</v>
      </c>
      <c r="I181" s="20" t="n">
        <f aca="false">LN(Narxlar!C182/Narxlar!C181)</f>
        <v>0.0146664542699309</v>
      </c>
      <c r="J181" s="20" t="n">
        <f aca="false">LN(Narxlar!D182/Narxlar!D181)</f>
        <v>-0.00418629601432727</v>
      </c>
      <c r="K181" s="20" t="n">
        <f aca="false">LN(Narxlar!E182/Narxlar!E181)</f>
        <v>0.00967982020118626</v>
      </c>
      <c r="L181" s="20" t="n">
        <f aca="false">LN(Narxlar!F182/Narxlar!F181)</f>
        <v>0.0168206412182609</v>
      </c>
    </row>
    <row r="182" customFormat="false" ht="15" hidden="false" customHeight="false" outlineLevel="0" collapsed="false">
      <c r="A182" s="19" t="n">
        <f aca="false">Narxlar!A183</f>
        <v>45546</v>
      </c>
      <c r="B182" s="20" t="n">
        <f aca="false">Narxlar!B183/Narxlar!B182-1</f>
        <v>0.0058807549099511</v>
      </c>
      <c r="C182" s="20" t="n">
        <f aca="false">Narxlar!C183/Narxlar!C182-1</f>
        <v>0.0173904251554522</v>
      </c>
      <c r="D182" s="20" t="n">
        <f aca="false">Narxlar!D183/Narxlar!D182-1</f>
        <v>0.0263939870651984</v>
      </c>
      <c r="E182" s="20" t="n">
        <f aca="false">Narxlar!E183/Narxlar!E182-1</f>
        <v>0.00860832137733136</v>
      </c>
      <c r="F182" s="20" t="n">
        <f aca="false">Narxlar!F183/Narxlar!F182-1</f>
        <v>0.026029719756657</v>
      </c>
      <c r="H182" s="20" t="n">
        <f aca="false">LN(Narxlar!B183/Narxlar!B182)</f>
        <v>0.00586353076512259</v>
      </c>
      <c r="I182" s="20" t="n">
        <f aca="false">LN(Narxlar!C183/Narxlar!C182)</f>
        <v>0.0172409422706882</v>
      </c>
      <c r="J182" s="20" t="n">
        <f aca="false">LN(Narxlar!D183/Narxlar!D182)</f>
        <v>0.0260516760258227</v>
      </c>
      <c r="K182" s="20" t="n">
        <f aca="false">LN(Narxlar!E183/Narxlar!E182)</f>
        <v>0.00857148105014096</v>
      </c>
      <c r="L182" s="20" t="n">
        <f aca="false">LN(Narxlar!F183/Narxlar!F182)</f>
        <v>0.0256967129534753</v>
      </c>
    </row>
    <row r="183" customFormat="false" ht="15" hidden="false" customHeight="false" outlineLevel="0" collapsed="false">
      <c r="A183" s="19" t="n">
        <f aca="false">Narxlar!A184</f>
        <v>45547</v>
      </c>
      <c r="B183" s="20" t="n">
        <f aca="false">Narxlar!B184/Narxlar!B183-1</f>
        <v>-0.00425768528080084</v>
      </c>
      <c r="C183" s="20" t="n">
        <f aca="false">Narxlar!C184/Narxlar!C183-1</f>
        <v>-0.00914285714285712</v>
      </c>
      <c r="D183" s="20" t="n">
        <f aca="false">Narxlar!D184/Narxlar!D183-1</f>
        <v>-0.0016689373297003</v>
      </c>
      <c r="E183" s="20" t="n">
        <f aca="false">Narxlar!E184/Narxlar!E183-1</f>
        <v>-0.00528347896768955</v>
      </c>
      <c r="F183" s="20" t="n">
        <f aca="false">Narxlar!F184/Narxlar!F183-1</f>
        <v>-0.00561333592534996</v>
      </c>
      <c r="H183" s="20" t="n">
        <f aca="false">LN(Narxlar!B184/Narxlar!B183)</f>
        <v>-0.00426677503282011</v>
      </c>
      <c r="I183" s="20" t="n">
        <f aca="false">LN(Narxlar!C184/Narxlar!C183)</f>
        <v>-0.00918490957707255</v>
      </c>
      <c r="J183" s="20" t="n">
        <f aca="false">LN(Narxlar!D184/Narxlar!D183)</f>
        <v>-0.00167033155707355</v>
      </c>
      <c r="K183" s="20" t="n">
        <f aca="false">LN(Narxlar!E184/Narxlar!E183)</f>
        <v>-0.00529748590136751</v>
      </c>
      <c r="L183" s="20" t="n">
        <f aca="false">LN(Narxlar!F184/Narxlar!F183)</f>
        <v>-0.00562914990266605</v>
      </c>
    </row>
    <row r="184" customFormat="false" ht="15" hidden="false" customHeight="false" outlineLevel="0" collapsed="false">
      <c r="A184" s="19" t="n">
        <f aca="false">Narxlar!A185</f>
        <v>45548</v>
      </c>
      <c r="B184" s="20" t="n">
        <f aca="false">Narxlar!B185/Narxlar!B184-1</f>
        <v>-0.00323882764012318</v>
      </c>
      <c r="C184" s="20" t="n">
        <f aca="false">Narxlar!C185/Narxlar!C184-1</f>
        <v>-0.00666967554285136</v>
      </c>
      <c r="D184" s="20" t="n">
        <f aca="false">Narxlar!D185/Narxlar!D184-1</f>
        <v>-0.00811981849817478</v>
      </c>
      <c r="E184" s="20" t="n">
        <f aca="false">Narxlar!E185/Narxlar!E184-1</f>
        <v>0.00061287027579171</v>
      </c>
      <c r="F184" s="20" t="n">
        <f aca="false">Narxlar!F185/Narxlar!F184-1</f>
        <v>-0.0276141834266025</v>
      </c>
      <c r="H184" s="20" t="n">
        <f aca="false">LN(Narxlar!B185/Narxlar!B184)</f>
        <v>-0.0032440839950514</v>
      </c>
      <c r="I184" s="20" t="n">
        <f aca="false">LN(Narxlar!C185/Narxlar!C184)</f>
        <v>-0.00669201722536884</v>
      </c>
      <c r="J184" s="20" t="n">
        <f aca="false">LN(Narxlar!D185/Narxlar!D184)</f>
        <v>-0.00815296376871866</v>
      </c>
      <c r="K184" s="20" t="n">
        <f aca="false">LN(Narxlar!E185/Narxlar!E184)</f>
        <v>0.000612682547502379</v>
      </c>
      <c r="L184" s="20" t="n">
        <f aca="false">LN(Narxlar!F185/Narxlar!F184)</f>
        <v>-0.0280026226467537</v>
      </c>
    </row>
    <row r="185" customFormat="false" ht="15" hidden="false" customHeight="false" outlineLevel="0" collapsed="false">
      <c r="A185" s="19" t="n">
        <f aca="false">Narxlar!A186</f>
        <v>45551</v>
      </c>
      <c r="B185" s="20" t="n">
        <f aca="false">Narxlar!B186/Narxlar!B185-1</f>
        <v>0.00440983449114829</v>
      </c>
      <c r="C185" s="20" t="n">
        <f aca="false">Narxlar!C186/Narxlar!C185-1</f>
        <v>0.0136308562197092</v>
      </c>
      <c r="D185" s="20" t="n">
        <f aca="false">Narxlar!D186/Narxlar!D185-1</f>
        <v>0.0283080521446015</v>
      </c>
      <c r="E185" s="20" t="n">
        <f aca="false">Narxlar!E186/Narxlar!E185-1</f>
        <v>0.0127603103307472</v>
      </c>
      <c r="F185" s="20" t="n">
        <f aca="false">Narxlar!F186/Narxlar!F185-1</f>
        <v>0.0117363222839335</v>
      </c>
      <c r="H185" s="20" t="n">
        <f aca="false">LN(Narxlar!B186/Narxlar!B185)</f>
        <v>0.00440013966230628</v>
      </c>
      <c r="I185" s="20" t="n">
        <f aca="false">LN(Narxlar!C186/Narxlar!C185)</f>
        <v>0.0135387917671492</v>
      </c>
      <c r="J185" s="20" t="n">
        <f aca="false">LN(Narxlar!D186/Narxlar!D185)</f>
        <v>0.0279147837626601</v>
      </c>
      <c r="K185" s="20" t="n">
        <f aca="false">LN(Narxlar!E186/Narxlar!E185)</f>
        <v>0.0126795835778441</v>
      </c>
      <c r="L185" s="20" t="n">
        <f aca="false">LN(Narxlar!F186/Narxlar!F185)</f>
        <v>0.0116679858131056</v>
      </c>
    </row>
    <row r="186" customFormat="false" ht="15" hidden="false" customHeight="false" outlineLevel="0" collapsed="false">
      <c r="A186" s="19" t="n">
        <f aca="false">Narxlar!A187</f>
        <v>45552</v>
      </c>
      <c r="B186" s="20" t="n">
        <f aca="false">Narxlar!B187/Narxlar!B186-1</f>
        <v>-0.000924310153865848</v>
      </c>
      <c r="C186" s="20" t="n">
        <f aca="false">Narxlar!C187/Narxlar!C186-1</f>
        <v>-0.00174320151409502</v>
      </c>
      <c r="D186" s="20" t="n">
        <f aca="false">Narxlar!D187/Narxlar!D186-1</f>
        <v>0.000234145036125177</v>
      </c>
      <c r="E186" s="20" t="n">
        <f aca="false">Narxlar!E187/Narxlar!E186-1</f>
        <v>0.00080637032557207</v>
      </c>
      <c r="F186" s="20" t="n">
        <f aca="false">Narxlar!F187/Narxlar!F186-1</f>
        <v>-0.00357692880918081</v>
      </c>
      <c r="H186" s="20" t="n">
        <f aca="false">LN(Narxlar!B187/Narxlar!B186)</f>
        <v>-0.00092473759190663</v>
      </c>
      <c r="I186" s="20" t="n">
        <f aca="false">LN(Narxlar!C187/Narxlar!C186)</f>
        <v>-0.00174472265788486</v>
      </c>
      <c r="J186" s="20" t="n">
        <f aca="false">LN(Narxlar!D187/Narxlar!D186)</f>
        <v>0.00023411762845437</v>
      </c>
      <c r="K186" s="20" t="n">
        <f aca="false">LN(Narxlar!E187/Narxlar!E186)</f>
        <v>0.000806045383691682</v>
      </c>
      <c r="L186" s="20" t="n">
        <f aca="false">LN(Narxlar!F187/Narxlar!F186)</f>
        <v>-0.00358334131498502</v>
      </c>
    </row>
    <row r="187" customFormat="false" ht="15" hidden="false" customHeight="false" outlineLevel="0" collapsed="false">
      <c r="A187" s="19" t="n">
        <f aca="false">Narxlar!A188</f>
        <v>45553</v>
      </c>
      <c r="B187" s="20" t="n">
        <f aca="false">Narxlar!B188/Narxlar!B187-1</f>
        <v>-0.00824673201311177</v>
      </c>
      <c r="C187" s="20" t="n">
        <f aca="false">Narxlar!C188/Narxlar!C187-1</f>
        <v>0.0164147083769894</v>
      </c>
      <c r="D187" s="20" t="n">
        <f aca="false">Narxlar!D188/Narxlar!D187-1</f>
        <v>-0.00511654349061963</v>
      </c>
      <c r="E187" s="20" t="n">
        <f aca="false">Narxlar!E188/Narxlar!E187-1</f>
        <v>-0.0104743680128915</v>
      </c>
      <c r="F187" s="20" t="n">
        <f aca="false">Narxlar!F188/Narxlar!F187-1</f>
        <v>-0.00927357032457499</v>
      </c>
      <c r="H187" s="20" t="n">
        <f aca="false">LN(Narxlar!B188/Narxlar!B187)</f>
        <v>-0.00828092442106889</v>
      </c>
      <c r="I187" s="20" t="n">
        <f aca="false">LN(Narxlar!C188/Narxlar!C187)</f>
        <v>0.0162814434109082</v>
      </c>
      <c r="J187" s="20" t="n">
        <f aca="false">LN(Narxlar!D188/Narxlar!D187)</f>
        <v>-0.00512967781999839</v>
      </c>
      <c r="K187" s="20" t="n">
        <f aca="false">LN(Narxlar!E188/Narxlar!E187)</f>
        <v>-0.0105296102961321</v>
      </c>
      <c r="L187" s="20" t="n">
        <f aca="false">LN(Narxlar!F188/Narxlar!F187)</f>
        <v>-0.00931683758023055</v>
      </c>
    </row>
    <row r="188" customFormat="false" ht="15" hidden="false" customHeight="false" outlineLevel="0" collapsed="false">
      <c r="A188" s="19" t="n">
        <f aca="false">Narxlar!A189</f>
        <v>45554</v>
      </c>
      <c r="B188" s="20" t="n">
        <f aca="false">Narxlar!B189/Narxlar!B188-1</f>
        <v>-0.00156816701380791</v>
      </c>
      <c r="C188" s="20" t="n">
        <f aca="false">Narxlar!C189/Narxlar!C188-1</f>
        <v>-0.00584135087374826</v>
      </c>
      <c r="D188" s="20" t="n">
        <f aca="false">Narxlar!D189/Narxlar!D188-1</f>
        <v>0.00554621848739489</v>
      </c>
      <c r="E188" s="20" t="n">
        <f aca="false">Narxlar!E189/Narxlar!E188-1</f>
        <v>0.00824427480916024</v>
      </c>
      <c r="F188" s="20" t="n">
        <f aca="false">Narxlar!F189/Narxlar!F188-1</f>
        <v>0.0306225152231896</v>
      </c>
      <c r="H188" s="20" t="n">
        <f aca="false">LN(Narxlar!B189/Narxlar!B188)</f>
        <v>-0.00156939787466474</v>
      </c>
      <c r="I188" s="20" t="n">
        <f aca="false">LN(Narxlar!C189/Narxlar!C188)</f>
        <v>-0.00585847829451505</v>
      </c>
      <c r="J188" s="20" t="n">
        <f aca="false">LN(Narxlar!D189/Narxlar!D188)</f>
        <v>0.00553089485035629</v>
      </c>
      <c r="K188" s="20" t="n">
        <f aca="false">LN(Narxlar!E189/Narxlar!E188)</f>
        <v>0.00821047641072096</v>
      </c>
      <c r="L188" s="20" t="n">
        <f aca="false">LN(Narxlar!F189/Narxlar!F188)</f>
        <v>0.0301630033870998</v>
      </c>
    </row>
    <row r="189" customFormat="false" ht="15" hidden="false" customHeight="false" outlineLevel="0" collapsed="false">
      <c r="A189" s="19" t="n">
        <f aca="false">Narxlar!A190</f>
        <v>45555</v>
      </c>
      <c r="B189" s="20" t="n">
        <f aca="false">Narxlar!B190/Narxlar!B189-1</f>
        <v>0.0022633181371523</v>
      </c>
      <c r="C189" s="20" t="n">
        <f aca="false">Narxlar!C190/Narxlar!C189-1</f>
        <v>-0.00133313583172867</v>
      </c>
      <c r="D189" s="20" t="n">
        <f aca="false">Narxlar!D190/Narxlar!D189-1</f>
        <v>0.000267424369045699</v>
      </c>
      <c r="E189" s="20" t="n">
        <f aca="false">Narxlar!E190/Narxlar!E189-1</f>
        <v>-0.000908540278618975</v>
      </c>
      <c r="F189" s="20" t="n">
        <f aca="false">Narxlar!F190/Narxlar!F189-1</f>
        <v>0.010669205791157</v>
      </c>
      <c r="H189" s="20" t="n">
        <f aca="false">LN(Narxlar!B190/Narxlar!B189)</f>
        <v>0.00226076069080684</v>
      </c>
      <c r="I189" s="20" t="n">
        <f aca="false">LN(Narxlar!C190/Narxlar!C189)</f>
        <v>-0.00133402524786448</v>
      </c>
      <c r="J189" s="20" t="n">
        <f aca="false">LN(Narxlar!D190/Narxlar!D189)</f>
        <v>0.000267388617522863</v>
      </c>
      <c r="K189" s="20" t="n">
        <f aca="false">LN(Narxlar!E190/Narxlar!E189)</f>
        <v>-0.000908953251491851</v>
      </c>
      <c r="L189" s="20" t="n">
        <f aca="false">LN(Narxlar!F190/Narxlar!F189)</f>
        <v>0.0106126914352024</v>
      </c>
    </row>
    <row r="190" customFormat="false" ht="15" hidden="false" customHeight="false" outlineLevel="0" collapsed="false">
      <c r="A190" s="19" t="n">
        <f aca="false">Narxlar!A191</f>
        <v>45558</v>
      </c>
      <c r="B190" s="20" t="n">
        <f aca="false">Narxlar!B191/Narxlar!B190-1</f>
        <v>0.00305380319042081</v>
      </c>
      <c r="C190" s="20" t="n">
        <f aca="false">Narxlar!C191/Narxlar!C190-1</f>
        <v>0.0102343518243844</v>
      </c>
      <c r="D190" s="20" t="n">
        <f aca="false">Narxlar!D191/Narxlar!D190-1</f>
        <v>-0.00314139625037602</v>
      </c>
      <c r="E190" s="20" t="n">
        <f aca="false">Narxlar!E191/Narxlar!E190-1</f>
        <v>0.00454683237344655</v>
      </c>
      <c r="F190" s="20" t="n">
        <f aca="false">Narxlar!F191/Narxlar!F190-1</f>
        <v>0.00920378780558506</v>
      </c>
      <c r="H190" s="20" t="n">
        <f aca="false">LN(Narxlar!B191/Narxlar!B190)</f>
        <v>0.00304914980473363</v>
      </c>
      <c r="I190" s="20" t="n">
        <f aca="false">LN(Narxlar!C191/Narxlar!C190)</f>
        <v>0.0101823354473122</v>
      </c>
      <c r="J190" s="20" t="n">
        <f aca="false">LN(Narxlar!D191/Narxlar!D190)</f>
        <v>-0.00314634079347174</v>
      </c>
      <c r="K190" s="20" t="n">
        <f aca="false">LN(Narxlar!E191/Narxlar!E190)</f>
        <v>0.00453652675792685</v>
      </c>
      <c r="L190" s="20" t="n">
        <f aca="false">LN(Narxlar!F191/Narxlar!F190)</f>
        <v>0.00916169105317302</v>
      </c>
    </row>
    <row r="191" customFormat="false" ht="15" hidden="false" customHeight="false" outlineLevel="0" collapsed="false">
      <c r="A191" s="19" t="n">
        <f aca="false">Narxlar!A192</f>
        <v>45559</v>
      </c>
      <c r="B191" s="20" t="n">
        <f aca="false">Narxlar!B192/Narxlar!B191-1</f>
        <v>0.000825221327564796</v>
      </c>
      <c r="C191" s="20" t="n">
        <f aca="false">Narxlar!C192/Narxlar!C191-1</f>
        <v>9.78808789702246E-005</v>
      </c>
      <c r="D191" s="20" t="n">
        <f aca="false">Narxlar!D192/Narxlar!D191-1</f>
        <v>0.00321834456401482</v>
      </c>
      <c r="E191" s="20" t="n">
        <f aca="false">Narxlar!E192/Narxlar!E191-1</f>
        <v>-0.00181050090525048</v>
      </c>
      <c r="F191" s="20" t="n">
        <f aca="false">Narxlar!F192/Narxlar!F191-1</f>
        <v>-0.0135720611819901</v>
      </c>
      <c r="H191" s="20" t="n">
        <f aca="false">LN(Narxlar!B192/Narxlar!B191)</f>
        <v>0.000824881019651758</v>
      </c>
      <c r="I191" s="20" t="n">
        <f aca="false">LN(Narxlar!C192/Narxlar!C191)</f>
        <v>9.78760889495557E-005</v>
      </c>
      <c r="J191" s="20" t="n">
        <f aca="false">LN(Narxlar!D192/Narxlar!D191)</f>
        <v>0.00321317677799056</v>
      </c>
      <c r="K191" s="20" t="n">
        <f aca="false">LN(Narxlar!E192/Narxlar!E191)</f>
        <v>-0.00181214184292631</v>
      </c>
      <c r="L191" s="20" t="n">
        <f aca="false">LN(Narxlar!F192/Narxlar!F191)</f>
        <v>-0.0136650035083736</v>
      </c>
    </row>
    <row r="192" customFormat="false" ht="15" hidden="false" customHeight="false" outlineLevel="0" collapsed="false">
      <c r="A192" s="19" t="n">
        <f aca="false">Narxlar!A193</f>
        <v>45560</v>
      </c>
      <c r="B192" s="20" t="n">
        <f aca="false">Narxlar!B193/Narxlar!B192-1</f>
        <v>-0.00308202180630501</v>
      </c>
      <c r="C192" s="20" t="n">
        <f aca="false">Narxlar!C193/Narxlar!C192-1</f>
        <v>0.001370198189381</v>
      </c>
      <c r="D192" s="20" t="n">
        <f aca="false">Narxlar!D193/Narxlar!D192-1</f>
        <v>-0.00197159565580618</v>
      </c>
      <c r="E192" s="20" t="n">
        <f aca="false">Narxlar!E193/Narxlar!E192-1</f>
        <v>-0.000503829101168862</v>
      </c>
      <c r="F192" s="20" t="n">
        <f aca="false">Narxlar!F193/Narxlar!F192-1</f>
        <v>0.008687211841786</v>
      </c>
      <c r="H192" s="20" t="n">
        <f aca="false">LN(Narxlar!B193/Narxlar!B192)</f>
        <v>-0.00308678101668804</v>
      </c>
      <c r="I192" s="20" t="n">
        <f aca="false">LN(Narxlar!C193/Narxlar!C192)</f>
        <v>0.00136926032445138</v>
      </c>
      <c r="J192" s="20" t="n">
        <f aca="false">LN(Narxlar!D193/Narxlar!D192)</f>
        <v>-0.00197354180895997</v>
      </c>
      <c r="K192" s="20" t="n">
        <f aca="false">LN(Narxlar!E193/Narxlar!E192)</f>
        <v>-0.000503956065697862</v>
      </c>
      <c r="L192" s="20" t="n">
        <f aca="false">LN(Narxlar!F193/Narxlar!F192)</f>
        <v>0.00864969513746308</v>
      </c>
    </row>
    <row r="193" customFormat="false" ht="15" hidden="false" customHeight="false" outlineLevel="0" collapsed="false">
      <c r="A193" s="19" t="n">
        <f aca="false">Narxlar!A194</f>
        <v>45561</v>
      </c>
      <c r="B193" s="20" t="n">
        <f aca="false">Narxlar!B194/Narxlar!B193-1</f>
        <v>-0.00674520006745194</v>
      </c>
      <c r="C193" s="20" t="n">
        <f aca="false">Narxlar!C194/Narxlar!C193-1</f>
        <v>-0.0181302839270879</v>
      </c>
      <c r="D193" s="20" t="n">
        <f aca="false">Narxlar!D194/Narxlar!D193-1</f>
        <v>-0.00113841826826488</v>
      </c>
      <c r="E193" s="20" t="n">
        <f aca="false">Narxlar!E194/Narxlar!E193-1</f>
        <v>-0.00241959874987396</v>
      </c>
      <c r="F193" s="20" t="n">
        <f aca="false">Narxlar!F194/Narxlar!F193-1</f>
        <v>-0.00875673595073134</v>
      </c>
      <c r="H193" s="20" t="n">
        <f aca="false">LN(Narxlar!B194/Narxlar!B193)</f>
        <v>-0.00676805174682955</v>
      </c>
      <c r="I193" s="20" t="n">
        <f aca="false">LN(Narxlar!C194/Narxlar!C193)</f>
        <v>-0.0182966514528937</v>
      </c>
      <c r="J193" s="20" t="n">
        <f aca="false">LN(Narxlar!D194/Narxlar!D193)</f>
        <v>-0.00113906675855716</v>
      </c>
      <c r="K193" s="20" t="n">
        <f aca="false">LN(Narxlar!E194/Narxlar!E193)</f>
        <v>-0.00242253070932762</v>
      </c>
      <c r="L193" s="20" t="n">
        <f aca="false">LN(Narxlar!F194/Narxlar!F193)</f>
        <v>-0.00879530146674208</v>
      </c>
    </row>
    <row r="194" customFormat="false" ht="15" hidden="false" customHeight="false" outlineLevel="0" collapsed="false">
      <c r="A194" s="19" t="n">
        <f aca="false">Narxlar!A195</f>
        <v>45562</v>
      </c>
      <c r="B194" s="20" t="n">
        <f aca="false">Narxlar!B195/Narxlar!B194-1</f>
        <v>-0.00174625888287949</v>
      </c>
      <c r="C194" s="20" t="n">
        <f aca="false">Narxlar!C195/Narxlar!C194-1</f>
        <v>-0.0239896476209437</v>
      </c>
      <c r="D194" s="20" t="n">
        <f aca="false">Narxlar!D195/Narxlar!D194-1</f>
        <v>-0.00740815231965675</v>
      </c>
      <c r="E194" s="20" t="n">
        <f aca="false">Narxlar!E195/Narxlar!E194-1</f>
        <v>-0.00141485598787261</v>
      </c>
      <c r="F194" s="20" t="n">
        <f aca="false">Narxlar!F195/Narxlar!F194-1</f>
        <v>0.00856712940491211</v>
      </c>
      <c r="H194" s="20" t="n">
        <f aca="false">LN(Narxlar!B195/Narxlar!B194)</f>
        <v>-0.00174778537027614</v>
      </c>
      <c r="I194" s="20" t="n">
        <f aca="false">LN(Narxlar!C195/Narxlar!C194)</f>
        <v>-0.0242820856795434</v>
      </c>
      <c r="J194" s="20" t="n">
        <f aca="false">LN(Narxlar!D195/Narxlar!D194)</f>
        <v>-0.00743572895909566</v>
      </c>
      <c r="K194" s="20" t="n">
        <f aca="false">LN(Narxlar!E195/Narxlar!E194)</f>
        <v>-0.00141585784170325</v>
      </c>
      <c r="L194" s="20" t="n">
        <f aca="false">LN(Narxlar!F195/Narxlar!F194)</f>
        <v>0.00853063981106183</v>
      </c>
    </row>
    <row r="195" customFormat="false" ht="15" hidden="false" customHeight="false" outlineLevel="0" collapsed="false">
      <c r="A195" s="19" t="n">
        <f aca="false">Narxlar!A196</f>
        <v>45565</v>
      </c>
      <c r="B195" s="20" t="n">
        <f aca="false">Narxlar!B196/Narxlar!B195-1</f>
        <v>0.00265636515302448</v>
      </c>
      <c r="C195" s="20" t="n">
        <f aca="false">Narxlar!C196/Narxlar!C195-1</f>
        <v>0.0145334013258542</v>
      </c>
      <c r="D195" s="20" t="n">
        <f aca="false">Narxlar!D196/Narxlar!D195-1</f>
        <v>0.00844280841579148</v>
      </c>
      <c r="E195" s="20" t="n">
        <f aca="false">Narxlar!E196/Narxlar!E195-1</f>
        <v>-0.000708430320817688</v>
      </c>
      <c r="F195" s="20" t="n">
        <f aca="false">Narxlar!F196/Narxlar!F195-1</f>
        <v>0.00760401376422748</v>
      </c>
      <c r="H195" s="20" t="n">
        <f aca="false">LN(Narxlar!B196/Narxlar!B195)</f>
        <v>0.00265284325070508</v>
      </c>
      <c r="I195" s="20" t="n">
        <f aca="false">LN(Narxlar!C196/Narxlar!C195)</f>
        <v>0.0144288036706371</v>
      </c>
      <c r="J195" s="20" t="n">
        <f aca="false">LN(Narxlar!D196/Narxlar!D195)</f>
        <v>0.00840736725107396</v>
      </c>
      <c r="K195" s="20" t="n">
        <f aca="false">LN(Narxlar!E196/Narxlar!E195)</f>
        <v>-0.000708681376154559</v>
      </c>
      <c r="L195" s="20" t="n">
        <f aca="false">LN(Narxlar!F196/Narxlar!F195)</f>
        <v>0.00757524897808972</v>
      </c>
    </row>
    <row r="196" customFormat="false" ht="15" hidden="false" customHeight="false" outlineLevel="0" collapsed="false">
      <c r="A196" s="19" t="n">
        <f aca="false">Narxlar!A197</f>
        <v>45566</v>
      </c>
      <c r="B196" s="20" t="n">
        <f aca="false">Narxlar!B197/Narxlar!B196-1</f>
        <v>0.00468478655950877</v>
      </c>
      <c r="C196" s="20" t="n">
        <f aca="false">Narxlar!C197/Narxlar!C196-1</f>
        <v>0.00206081930133206</v>
      </c>
      <c r="D196" s="20" t="n">
        <f aca="false">Narxlar!D197/Narxlar!D196-1</f>
        <v>0.00277954522621471</v>
      </c>
      <c r="E196" s="20" t="n">
        <f aca="false">Narxlar!E197/Narxlar!E196-1</f>
        <v>0.00800081020862864</v>
      </c>
      <c r="F196" s="20" t="n">
        <f aca="false">Narxlar!F197/Narxlar!F196-1</f>
        <v>0.00310462589257998</v>
      </c>
      <c r="H196" s="20" t="n">
        <f aca="false">LN(Narxlar!B197/Narxlar!B196)</f>
        <v>0.00467384709967248</v>
      </c>
      <c r="I196" s="20" t="n">
        <f aca="false">LN(Narxlar!C197/Narxlar!C196)</f>
        <v>0.00205869872615075</v>
      </c>
      <c r="J196" s="20" t="n">
        <f aca="false">LN(Narxlar!D197/Narxlar!D196)</f>
        <v>0.00277568943362982</v>
      </c>
      <c r="K196" s="20" t="n">
        <f aca="false">LN(Narxlar!E197/Narxlar!E196)</f>
        <v>0.00796897342725527</v>
      </c>
      <c r="L196" s="20" t="n">
        <f aca="false">LN(Narxlar!F197/Narxlar!F196)</f>
        <v>0.00309981649329947</v>
      </c>
    </row>
    <row r="197" customFormat="false" ht="15" hidden="false" customHeight="false" outlineLevel="0" collapsed="false">
      <c r="A197" s="19" t="n">
        <f aca="false">Narxlar!A198</f>
        <v>45567</v>
      </c>
      <c r="B197" s="20" t="n">
        <f aca="false">Narxlar!B198/Narxlar!B197-1</f>
        <v>-0.00187321622382119</v>
      </c>
      <c r="C197" s="20" t="n">
        <f aca="false">Narxlar!C198/Narxlar!C197-1</f>
        <v>-0.0106841894060995</v>
      </c>
      <c r="D197" s="20" t="n">
        <f aca="false">Narxlar!D198/Narxlar!D197-1</f>
        <v>-0.00617819930537</v>
      </c>
      <c r="E197" s="20" t="n">
        <f aca="false">Narxlar!E198/Narxlar!E197-1</f>
        <v>0.00210991660805782</v>
      </c>
      <c r="F197" s="20" t="n">
        <f aca="false">Narxlar!F198/Narxlar!F197-1</f>
        <v>-0.012427683736876</v>
      </c>
      <c r="H197" s="20" t="n">
        <f aca="false">LN(Narxlar!B198/Narxlar!B197)</f>
        <v>-0.00187497288741507</v>
      </c>
      <c r="I197" s="20" t="n">
        <f aca="false">LN(Narxlar!C198/Narxlar!C197)</f>
        <v>-0.0107416751836762</v>
      </c>
      <c r="J197" s="20" t="n">
        <f aca="false">LN(Narxlar!D198/Narxlar!D197)</f>
        <v>-0.00619736335233925</v>
      </c>
      <c r="K197" s="20" t="n">
        <f aca="false">LN(Narxlar!E198/Narxlar!E197)</f>
        <v>0.00210769386000425</v>
      </c>
      <c r="L197" s="20" t="n">
        <f aca="false">LN(Narxlar!F198/Narxlar!F197)</f>
        <v>-0.0125055532293074</v>
      </c>
    </row>
    <row r="198" customFormat="false" ht="15" hidden="false" customHeight="false" outlineLevel="0" collapsed="false">
      <c r="A198" s="19" t="n">
        <f aca="false">Narxlar!A199</f>
        <v>45568</v>
      </c>
      <c r="B198" s="20" t="n">
        <f aca="false">Narxlar!B199/Narxlar!B198-1</f>
        <v>3.22185707841705E-005</v>
      </c>
      <c r="C198" s="20" t="n">
        <f aca="false">Narxlar!C199/Narxlar!C198-1</f>
        <v>-0.00157176900065914</v>
      </c>
      <c r="D198" s="20" t="n">
        <f aca="false">Narxlar!D199/Narxlar!D198-1</f>
        <v>-0.00903928223394601</v>
      </c>
      <c r="E198" s="20" t="n">
        <f aca="false">Narxlar!E199/Narxlar!E198-1</f>
        <v>0.00932424303188295</v>
      </c>
      <c r="F198" s="20" t="n">
        <f aca="false">Narxlar!F199/Narxlar!F198-1</f>
        <v>0.0308092861792146</v>
      </c>
      <c r="H198" s="20" t="n">
        <f aca="false">LN(Narxlar!B199/Narxlar!B198)</f>
        <v>3.22180517771665E-005</v>
      </c>
      <c r="I198" s="20" t="n">
        <f aca="false">LN(Narxlar!C199/Narxlar!C198)</f>
        <v>-0.00157300552541223</v>
      </c>
      <c r="J198" s="20" t="n">
        <f aca="false">LN(Narxlar!D199/Narxlar!D198)</f>
        <v>-0.00908038442260368</v>
      </c>
      <c r="K198" s="20" t="n">
        <f aca="false">LN(Narxlar!E199/Narxlar!E198)</f>
        <v>0.0092810406233555</v>
      </c>
      <c r="L198" s="20" t="n">
        <f aca="false">LN(Narxlar!F199/Narxlar!F198)</f>
        <v>0.0303442084664131</v>
      </c>
    </row>
    <row r="199" customFormat="false" ht="15" hidden="false" customHeight="false" outlineLevel="0" collapsed="false">
      <c r="A199" s="19" t="n">
        <f aca="false">Narxlar!A200</f>
        <v>45569</v>
      </c>
      <c r="B199" s="20" t="n">
        <f aca="false">Narxlar!B200/Narxlar!B199-1</f>
        <v>0.00288346918393012</v>
      </c>
      <c r="C199" s="20" t="n">
        <f aca="false">Narxlar!C200/Narxlar!C199-1</f>
        <v>0.00898842169408898</v>
      </c>
      <c r="D199" s="20" t="n">
        <f aca="false">Narxlar!D200/Narxlar!D199-1</f>
        <v>-0.00169548999660907</v>
      </c>
      <c r="E199" s="20" t="n">
        <f aca="false">Narxlar!E200/Narxlar!E199-1</f>
        <v>-0.00526472633356512</v>
      </c>
      <c r="F199" s="20" t="n">
        <f aca="false">Narxlar!F200/Narxlar!F199-1</f>
        <v>-0.0474052246310718</v>
      </c>
      <c r="H199" s="20" t="n">
        <f aca="false">LN(Narxlar!B200/Narxlar!B199)</f>
        <v>0.00287931996085374</v>
      </c>
      <c r="I199" s="20" t="n">
        <f aca="false">LN(Narxlar!C200/Narxlar!C199)</f>
        <v>0.00894826627499793</v>
      </c>
      <c r="J199" s="20" t="n">
        <f aca="false">LN(Narxlar!D200/Narxlar!D199)</f>
        <v>-0.00169692896650943</v>
      </c>
      <c r="K199" s="20" t="n">
        <f aca="false">LN(Narxlar!E200/Narxlar!E199)</f>
        <v>-0.00527863383953323</v>
      </c>
      <c r="L199" s="20" t="n">
        <f aca="false">LN(Narxlar!F200/Narxlar!F199)</f>
        <v>-0.0485656752315846</v>
      </c>
    </row>
    <row r="200" customFormat="false" ht="15" hidden="false" customHeight="false" outlineLevel="0" collapsed="false">
      <c r="A200" s="19" t="n">
        <f aca="false">Narxlar!A201</f>
        <v>45572</v>
      </c>
      <c r="B200" s="20" t="n">
        <f aca="false">Narxlar!B201/Narxlar!B200-1</f>
        <v>-0.00179096326517503</v>
      </c>
      <c r="C200" s="20" t="n">
        <f aca="false">Narxlar!C201/Narxlar!C200-1</f>
        <v>0.00231516432633749</v>
      </c>
      <c r="D200" s="20" t="n">
        <f aca="false">Narxlar!D201/Narxlar!D200-1</f>
        <v>-0.000985054347826142</v>
      </c>
      <c r="E200" s="20" t="n">
        <f aca="false">Narxlar!E201/Narxlar!E200-1</f>
        <v>-0.000199720391451996</v>
      </c>
      <c r="F200" s="20" t="n">
        <f aca="false">Narxlar!F201/Narxlar!F200-1</f>
        <v>0.00230776784837472</v>
      </c>
      <c r="H200" s="20" t="n">
        <f aca="false">LN(Narxlar!B201/Narxlar!B200)</f>
        <v>-0.00179256895732714</v>
      </c>
      <c r="I200" s="20" t="n">
        <f aca="false">LN(Narxlar!C201/Narxlar!C200)</f>
        <v>0.00231248846265545</v>
      </c>
      <c r="J200" s="20" t="n">
        <f aca="false">LN(Narxlar!D201/Narxlar!D200)</f>
        <v>-0.00098553983270574</v>
      </c>
      <c r="K200" s="20" t="n">
        <f aca="false">LN(Narxlar!E201/Narxlar!E200)</f>
        <v>-0.000199740338225273</v>
      </c>
      <c r="L200" s="20" t="n">
        <f aca="false">LN(Narxlar!F201/Narxlar!F200)</f>
        <v>0.0023051090419733</v>
      </c>
    </row>
    <row r="201" customFormat="false" ht="15" hidden="false" customHeight="false" outlineLevel="0" collapsed="false">
      <c r="A201" s="19" t="n">
        <f aca="false">Narxlar!A202</f>
        <v>45573</v>
      </c>
      <c r="B201" s="20" t="n">
        <f aca="false">Narxlar!B202/Narxlar!B201-1</f>
        <v>0.00200336307536353</v>
      </c>
      <c r="C201" s="20" t="n">
        <f aca="false">Narxlar!C202/Narxlar!C201-1</f>
        <v>0.00180768265126785</v>
      </c>
      <c r="D201" s="20" t="n">
        <f aca="false">Narxlar!D202/Narxlar!D201-1</f>
        <v>0.00724218829689582</v>
      </c>
      <c r="E201" s="20" t="n">
        <f aca="false">Narxlar!E202/Narxlar!E201-1</f>
        <v>0.0153815421494208</v>
      </c>
      <c r="F201" s="20" t="n">
        <f aca="false">Narxlar!F202/Narxlar!F201-1</f>
        <v>-0.0103120560427179</v>
      </c>
      <c r="H201" s="20" t="n">
        <f aca="false">LN(Narxlar!B202/Narxlar!B201)</f>
        <v>0.00200135901967874</v>
      </c>
      <c r="I201" s="20" t="n">
        <f aca="false">LN(Narxlar!C202/Narxlar!C201)</f>
        <v>0.00180605075931655</v>
      </c>
      <c r="J201" s="20" t="n">
        <f aca="false">LN(Narxlar!D202/Narxlar!D201)</f>
        <v>0.00721608958334186</v>
      </c>
      <c r="K201" s="20" t="n">
        <f aca="false">LN(Narxlar!E202/Narxlar!E201)</f>
        <v>0.0152644454551831</v>
      </c>
      <c r="L201" s="20" t="n">
        <f aca="false">LN(Narxlar!F202/Narxlar!F201)</f>
        <v>-0.0103655936659814</v>
      </c>
    </row>
    <row r="202" customFormat="false" ht="15" hidden="false" customHeight="false" outlineLevel="0" collapsed="false">
      <c r="A202" s="19" t="n">
        <f aca="false">Narxlar!A203</f>
        <v>45574</v>
      </c>
      <c r="B202" s="20" t="n">
        <f aca="false">Narxlar!B203/Narxlar!B202-1</f>
        <v>0.00236871687811124</v>
      </c>
      <c r="C202" s="20" t="n">
        <f aca="false">Narxlar!C203/Narxlar!C202-1</f>
        <v>0.032228960954338</v>
      </c>
      <c r="D202" s="20" t="n">
        <f aca="false">Narxlar!D203/Narxlar!D202-1</f>
        <v>0.00148528220361865</v>
      </c>
      <c r="E202" s="20" t="n">
        <f aca="false">Narxlar!E203/Narxlar!E202-1</f>
        <v>0</v>
      </c>
      <c r="F202" s="20" t="n">
        <f aca="false">Narxlar!F203/Narxlar!F202-1</f>
        <v>0.0107164954832322</v>
      </c>
      <c r="H202" s="20" t="n">
        <f aca="false">LN(Narxlar!B203/Narxlar!B202)</f>
        <v>0.00236591589057921</v>
      </c>
      <c r="I202" s="20" t="n">
        <f aca="false">LN(Narxlar!C203/Narxlar!C202)</f>
        <v>0.0317205038416349</v>
      </c>
      <c r="J202" s="20" t="n">
        <f aca="false">LN(Narxlar!D203/Narxlar!D202)</f>
        <v>0.00148418026300004</v>
      </c>
      <c r="K202" s="20" t="n">
        <f aca="false">LN(Narxlar!E203/Narxlar!E202)</f>
        <v>0</v>
      </c>
      <c r="L202" s="20" t="n">
        <f aca="false">LN(Narxlar!F203/Narxlar!F202)</f>
        <v>0.0106594808154319</v>
      </c>
    </row>
    <row r="203" customFormat="false" ht="15" hidden="false" customHeight="false" outlineLevel="0" collapsed="false">
      <c r="A203" s="19" t="n">
        <f aca="false">Narxlar!A204</f>
        <v>45575</v>
      </c>
      <c r="B203" s="20" t="n">
        <f aca="false">Narxlar!B204/Narxlar!B203-1</f>
        <v>0.00567949693595549</v>
      </c>
      <c r="C203" s="20" t="n">
        <f aca="false">Narxlar!C204/Narxlar!C203-1</f>
        <v>0.019131785957075</v>
      </c>
      <c r="D203" s="20" t="n">
        <f aca="false">Narxlar!D204/Narxlar!D203-1</f>
        <v>0.00593231764864499</v>
      </c>
      <c r="E203" s="20" t="n">
        <f aca="false">Narxlar!E204/Narxlar!E203-1</f>
        <v>-0.00875467243753691</v>
      </c>
      <c r="F203" s="20" t="n">
        <f aca="false">Narxlar!F204/Narxlar!F203-1</f>
        <v>-0.0262500612174935</v>
      </c>
      <c r="H203" s="20" t="n">
        <f aca="false">LN(Narxlar!B204/Narxlar!B203)</f>
        <v>0.00566342940153433</v>
      </c>
      <c r="I203" s="20" t="n">
        <f aca="false">LN(Narxlar!C204/Narxlar!C203)</f>
        <v>0.0189510745899064</v>
      </c>
      <c r="J203" s="20" t="n">
        <f aca="false">LN(Narxlar!D204/Narxlar!D203)</f>
        <v>0.00591479073495627</v>
      </c>
      <c r="K203" s="20" t="n">
        <f aca="false">LN(Narxlar!E204/Narxlar!E203)</f>
        <v>-0.00879321972644541</v>
      </c>
      <c r="L203" s="20" t="n">
        <f aca="false">LN(Narxlar!F204/Narxlar!F203)</f>
        <v>-0.0266007446649536</v>
      </c>
    </row>
    <row r="204" customFormat="false" ht="15" hidden="false" customHeight="false" outlineLevel="0" collapsed="false">
      <c r="A204" s="19" t="n">
        <f aca="false">Narxlar!A205</f>
        <v>45576</v>
      </c>
      <c r="B204" s="20" t="n">
        <f aca="false">Narxlar!B205/Narxlar!B204-1</f>
        <v>-0.00409418211941637</v>
      </c>
      <c r="C204" s="20" t="n">
        <f aca="false">Narxlar!C205/Narxlar!C204-1</f>
        <v>0.00647989327234599</v>
      </c>
      <c r="D204" s="20" t="n">
        <f aca="false">Narxlar!D205/Narxlar!D204-1</f>
        <v>-0.00824286288701248</v>
      </c>
      <c r="E204" s="20" t="n">
        <f aca="false">Narxlar!E205/Narxlar!E204-1</f>
        <v>0.000992358836955365</v>
      </c>
      <c r="F204" s="20" t="n">
        <f aca="false">Narxlar!F205/Narxlar!F204-1</f>
        <v>0.00935472514208113</v>
      </c>
      <c r="H204" s="20" t="n">
        <f aca="false">LN(Narxlar!B205/Narxlar!B204)</f>
        <v>-0.00410258622951141</v>
      </c>
      <c r="I204" s="20" t="n">
        <f aca="false">LN(Narxlar!C205/Narxlar!C204)</f>
        <v>0.00645898902022129</v>
      </c>
      <c r="J204" s="20" t="n">
        <f aca="false">LN(Narxlar!D205/Narxlar!D204)</f>
        <v>-0.00827702312961174</v>
      </c>
      <c r="K204" s="20" t="n">
        <f aca="false">LN(Narxlar!E205/Narxlar!E204)</f>
        <v>0.000991866774432878</v>
      </c>
      <c r="L204" s="20" t="n">
        <f aca="false">LN(Narxlar!F205/Narxlar!F204)</f>
        <v>0.00931124068060192</v>
      </c>
    </row>
    <row r="205" customFormat="false" ht="15" hidden="false" customHeight="false" outlineLevel="0" collapsed="false">
      <c r="A205" s="19" t="n">
        <f aca="false">Narxlar!A206</f>
        <v>45579</v>
      </c>
      <c r="B205" s="20" t="n">
        <f aca="false">Narxlar!B206/Narxlar!B205-1</f>
        <v>0.00339918419579299</v>
      </c>
      <c r="C205" s="20" t="n">
        <f aca="false">Narxlar!C206/Narxlar!C205-1</f>
        <v>0.00326642681310352</v>
      </c>
      <c r="D205" s="20" t="n">
        <f aca="false">Narxlar!D206/Narxlar!D205-1</f>
        <v>-0.000270288533009033</v>
      </c>
      <c r="E205" s="20" t="n">
        <f aca="false">Narxlar!E206/Narxlar!E205-1</f>
        <v>0.0109051254089423</v>
      </c>
      <c r="F205" s="20" t="n">
        <f aca="false">Narxlar!F206/Narxlar!F205-1</f>
        <v>0.0100403607553938</v>
      </c>
      <c r="H205" s="20" t="n">
        <f aca="false">LN(Narxlar!B206/Narxlar!B205)</f>
        <v>0.00339342002781359</v>
      </c>
      <c r="I205" s="20" t="n">
        <f aca="false">LN(Narxlar!C206/Narxlar!C205)</f>
        <v>0.00326110362975022</v>
      </c>
      <c r="J205" s="20" t="n">
        <f aca="false">LN(Narxlar!D206/Narxlar!D205)</f>
        <v>-0.000270325067537962</v>
      </c>
      <c r="K205" s="20" t="n">
        <f aca="false">LN(Narxlar!E206/Narxlar!E205)</f>
        <v>0.0108460933093904</v>
      </c>
      <c r="L205" s="20" t="n">
        <f aca="false">LN(Narxlar!F206/Narxlar!F205)</f>
        <v>0.00999029119869713</v>
      </c>
    </row>
    <row r="206" customFormat="false" ht="15" hidden="false" customHeight="false" outlineLevel="0" collapsed="false">
      <c r="A206" s="19" t="n">
        <f aca="false">Narxlar!A207</f>
        <v>45580</v>
      </c>
      <c r="B206" s="20" t="n">
        <f aca="false">Narxlar!B207/Narxlar!B206-1</f>
        <v>0.00400143477741022</v>
      </c>
      <c r="C206" s="20" t="n">
        <f aca="false">Narxlar!C207/Narxlar!C206-1</f>
        <v>0.00424668522625393</v>
      </c>
      <c r="D206" s="20" t="n">
        <f aca="false">Narxlar!D207/Narxlar!D206-1</f>
        <v>-0.0095978371071308</v>
      </c>
      <c r="E206" s="20" t="n">
        <f aca="false">Narxlar!E207/Narxlar!E206-1</f>
        <v>0.00421692654702355</v>
      </c>
      <c r="F206" s="20" t="n">
        <f aca="false">Narxlar!F207/Narxlar!F206-1</f>
        <v>-0.0171431390444242</v>
      </c>
      <c r="H206" s="20" t="n">
        <f aca="false">LN(Narxlar!B207/Narxlar!B206)</f>
        <v>0.0039934503296819</v>
      </c>
      <c r="I206" s="20" t="n">
        <f aca="false">LN(Narxlar!C207/Narxlar!C206)</f>
        <v>0.00423769350622969</v>
      </c>
      <c r="J206" s="20" t="n">
        <f aca="false">LN(Narxlar!D207/Narxlar!D206)</f>
        <v>-0.00964419319628492</v>
      </c>
      <c r="K206" s="20" t="n">
        <f aca="false">LN(Narxlar!E207/Narxlar!E206)</f>
        <v>0.00420806022927299</v>
      </c>
      <c r="L206" s="20" t="n">
        <f aca="false">LN(Narxlar!F207/Narxlar!F206)</f>
        <v>-0.017291783928557</v>
      </c>
    </row>
    <row r="207" customFormat="false" ht="15" hidden="false" customHeight="false" outlineLevel="0" collapsed="false">
      <c r="A207" s="19" t="n">
        <f aca="false">Narxlar!A208</f>
        <v>45581</v>
      </c>
      <c r="B207" s="20" t="n">
        <f aca="false">Narxlar!B208/Narxlar!B207-1</f>
        <v>0.000404900084949533</v>
      </c>
      <c r="C207" s="20" t="n">
        <f aca="false">Narxlar!C208/Narxlar!C207-1</f>
        <v>0.0013625898604519</v>
      </c>
      <c r="D207" s="20" t="n">
        <f aca="false">Narxlar!D208/Narxlar!D207-1</f>
        <v>-0.0150481130143998</v>
      </c>
      <c r="E207" s="20" t="n">
        <f aca="false">Narxlar!E208/Narxlar!E207-1</f>
        <v>0.00166015625000004</v>
      </c>
      <c r="F207" s="20" t="n">
        <f aca="false">Narxlar!F208/Narxlar!F207-1</f>
        <v>-0.0320483862872057</v>
      </c>
      <c r="H207" s="20" t="n">
        <f aca="false">LN(Narxlar!B208/Narxlar!B207)</f>
        <v>0.00040481813503041</v>
      </c>
      <c r="I207" s="20" t="n">
        <f aca="false">LN(Narxlar!C208/Narxlar!C207)</f>
        <v>0.00136166237731182</v>
      </c>
      <c r="J207" s="20" t="n">
        <f aca="false">LN(Narxlar!D208/Narxlar!D207)</f>
        <v>-0.0151624847029365</v>
      </c>
      <c r="K207" s="20" t="n">
        <f aca="false">LN(Narxlar!E208/Narxlar!E207)</f>
        <v>0.00165877971391224</v>
      </c>
      <c r="L207" s="20" t="n">
        <f aca="false">LN(Narxlar!F208/Narxlar!F207)</f>
        <v>-0.0325731787887837</v>
      </c>
    </row>
    <row r="208" customFormat="false" ht="15" hidden="false" customHeight="false" outlineLevel="0" collapsed="false">
      <c r="A208" s="19" t="n">
        <f aca="false">Narxlar!A209</f>
        <v>45582</v>
      </c>
      <c r="B208" s="20" t="n">
        <f aca="false">Narxlar!B209/Narxlar!B208-1</f>
        <v>0.0129356866230717</v>
      </c>
      <c r="C208" s="20" t="n">
        <f aca="false">Narxlar!C209/Narxlar!C208-1</f>
        <v>0.0143111861861862</v>
      </c>
      <c r="D208" s="20" t="n">
        <f aca="false">Narxlar!D209/Narxlar!D208-1</f>
        <v>0.00488480859172014</v>
      </c>
      <c r="E208" s="20" t="n">
        <f aca="false">Narxlar!E209/Narxlar!E208-1</f>
        <v>-0.00799454031393199</v>
      </c>
      <c r="F208" s="20" t="n">
        <f aca="false">Narxlar!F209/Narxlar!F208-1</f>
        <v>0.0170862609868028</v>
      </c>
      <c r="H208" s="20" t="n">
        <f aca="false">LN(Narxlar!B209/Narxlar!B208)</f>
        <v>0.0128527352185901</v>
      </c>
      <c r="I208" s="20" t="n">
        <f aca="false">LN(Narxlar!C209/Narxlar!C208)</f>
        <v>0.0142097478179371</v>
      </c>
      <c r="J208" s="20" t="n">
        <f aca="false">LN(Narxlar!D209/Narxlar!D208)</f>
        <v>0.00487291662516146</v>
      </c>
      <c r="K208" s="20" t="n">
        <f aca="false">LN(Narxlar!E209/Narxlar!E208)</f>
        <v>-0.00802666799661528</v>
      </c>
      <c r="L208" s="20" t="n">
        <f aca="false">LN(Narxlar!F209/Narxlar!F208)</f>
        <v>0.0169419325322258</v>
      </c>
    </row>
    <row r="209" customFormat="false" ht="15" hidden="false" customHeight="false" outlineLevel="0" collapsed="false">
      <c r="A209" s="19" t="n">
        <f aca="false">Narxlar!A210</f>
        <v>45583</v>
      </c>
      <c r="B209" s="20" t="n">
        <f aca="false">Narxlar!B210/Narxlar!B209-1</f>
        <v>-0.00301634309531651</v>
      </c>
      <c r="C209" s="20" t="n">
        <f aca="false">Narxlar!C210/Narxlar!C209-1</f>
        <v>-0.0114261923486145</v>
      </c>
      <c r="D209" s="20" t="n">
        <f aca="false">Narxlar!D210/Narxlar!D209-1</f>
        <v>-0.00727435702958013</v>
      </c>
      <c r="E209" s="20" t="n">
        <f aca="false">Narxlar!E210/Narxlar!E209-1</f>
        <v>0.00894348894348895</v>
      </c>
      <c r="F209" s="20" t="n">
        <f aca="false">Narxlar!F210/Narxlar!F209-1</f>
        <v>-0.0229682879575813</v>
      </c>
      <c r="H209" s="20" t="n">
        <f aca="false">LN(Narxlar!B210/Narxlar!B209)</f>
        <v>-0.00302090142678639</v>
      </c>
      <c r="I209" s="20" t="n">
        <f aca="false">LN(Narxlar!C210/Narxlar!C209)</f>
        <v>-0.0114919728448595</v>
      </c>
      <c r="J209" s="20" t="n">
        <f aca="false">LN(Narxlar!D210/Narxlar!D209)</f>
        <v>-0.00730094417942264</v>
      </c>
      <c r="K209" s="20" t="n">
        <f aca="false">LN(Narxlar!E210/Narxlar!E209)</f>
        <v>0.00890373280945275</v>
      </c>
      <c r="L209" s="20" t="n">
        <f aca="false">LN(Narxlar!F210/Narxlar!F209)</f>
        <v>-0.0232361688761345</v>
      </c>
    </row>
    <row r="210" customFormat="false" ht="15" hidden="false" customHeight="false" outlineLevel="0" collapsed="false">
      <c r="A210" s="19" t="n">
        <f aca="false">Narxlar!A211</f>
        <v>45586</v>
      </c>
      <c r="B210" s="20" t="n">
        <f aca="false">Narxlar!B211/Narxlar!B210-1</f>
        <v>0.00550871099306116</v>
      </c>
      <c r="C210" s="20" t="n">
        <f aca="false">Narxlar!C211/Narxlar!C210-1</f>
        <v>0.0148806738418343</v>
      </c>
      <c r="D210" s="20" t="n">
        <f aca="false">Narxlar!D211/Narxlar!D210-1</f>
        <v>0.00274353186317078</v>
      </c>
      <c r="E210" s="20" t="n">
        <f aca="false">Narxlar!E211/Narxlar!E210-1</f>
        <v>0.0147087473212546</v>
      </c>
      <c r="F210" s="20" t="n">
        <f aca="false">Narxlar!F211/Narxlar!F210-1</f>
        <v>-0.00195684504396376</v>
      </c>
      <c r="H210" s="20" t="n">
        <f aca="false">LN(Narxlar!B211/Narxlar!B210)</f>
        <v>0.00549359353770863</v>
      </c>
      <c r="I210" s="20" t="n">
        <f aca="false">LN(Narxlar!C211/Narxlar!C210)</f>
        <v>0.0147710428653081</v>
      </c>
      <c r="J210" s="20" t="n">
        <f aca="false">LN(Narxlar!D211/Narxlar!D210)</f>
        <v>0.00273977524898721</v>
      </c>
      <c r="K210" s="20" t="n">
        <f aca="false">LN(Narxlar!E211/Narxlar!E210)</f>
        <v>0.0146016228642003</v>
      </c>
      <c r="L210" s="20" t="n">
        <f aca="false">LN(Narxlar!F211/Narxlar!F210)</f>
        <v>-0.00195876216664308</v>
      </c>
    </row>
    <row r="211" customFormat="false" ht="15" hidden="false" customHeight="false" outlineLevel="0" collapsed="false">
      <c r="A211" s="19" t="n">
        <f aca="false">Narxlar!A212</f>
        <v>45587</v>
      </c>
      <c r="B211" s="20" t="n">
        <f aca="false">Narxlar!B212/Narxlar!B211-1</f>
        <v>-0.00177407505822402</v>
      </c>
      <c r="C211" s="20" t="n">
        <f aca="false">Narxlar!C212/Narxlar!C211-1</f>
        <v>-0.0303854666174843</v>
      </c>
      <c r="D211" s="20" t="n">
        <f aca="false">Narxlar!D212/Narxlar!D211-1</f>
        <v>-0.00290919166031722</v>
      </c>
      <c r="E211" s="20" t="n">
        <f aca="false">Narxlar!E212/Narxlar!E211-1</f>
        <v>0.010847652875108</v>
      </c>
      <c r="F211" s="20" t="n">
        <f aca="false">Narxlar!F212/Narxlar!F211-1</f>
        <v>0.00533305448081145</v>
      </c>
      <c r="H211" s="20" t="n">
        <f aca="false">LN(Narxlar!B212/Narxlar!B211)</f>
        <v>-0.00177565059306726</v>
      </c>
      <c r="I211" s="20" t="n">
        <f aca="false">LN(Narxlar!C212/Narxlar!C211)</f>
        <v>-0.0308566747297975</v>
      </c>
      <c r="J211" s="20" t="n">
        <f aca="false">LN(Narxlar!D212/Narxlar!D211)</f>
        <v>-0.0029134315835383</v>
      </c>
      <c r="K211" s="20" t="n">
        <f aca="false">LN(Narxlar!E212/Narxlar!E211)</f>
        <v>0.0107892391435724</v>
      </c>
      <c r="L211" s="20" t="n">
        <f aca="false">LN(Narxlar!F212/Narxlar!F211)</f>
        <v>0.00531888410436332</v>
      </c>
    </row>
    <row r="212" customFormat="false" ht="15" hidden="false" customHeight="false" outlineLevel="0" collapsed="false">
      <c r="A212" s="19" t="n">
        <f aca="false">Narxlar!A213</f>
        <v>45588</v>
      </c>
      <c r="B212" s="20" t="n">
        <f aca="false">Narxlar!B213/Narxlar!B212-1</f>
        <v>0.000258363540989626</v>
      </c>
      <c r="C212" s="20" t="n">
        <f aca="false">Narxlar!C213/Narxlar!C212-1</f>
        <v>0.0145513338722716</v>
      </c>
      <c r="D212" s="20" t="n">
        <f aca="false">Narxlar!D213/Narxlar!D212-1</f>
        <v>-0.00187565126780131</v>
      </c>
      <c r="E212" s="20" t="n">
        <f aca="false">Narxlar!E213/Narxlar!E212-1</f>
        <v>-0.0177587844254511</v>
      </c>
      <c r="F212" s="20" t="n">
        <f aca="false">Narxlar!F213/Narxlar!F212-1</f>
        <v>-0.0119877262325775</v>
      </c>
      <c r="H212" s="20" t="n">
        <f aca="false">LN(Narxlar!B213/Narxlar!B212)</f>
        <v>0.000258330170877592</v>
      </c>
      <c r="I212" s="20" t="n">
        <f aca="false">LN(Narxlar!C213/Narxlar!C212)</f>
        <v>0.0144464791733963</v>
      </c>
      <c r="J212" s="20" t="n">
        <f aca="false">LN(Narxlar!D213/Narxlar!D212)</f>
        <v>-0.0018774125042954</v>
      </c>
      <c r="K212" s="20" t="n">
        <f aca="false">LN(Narxlar!E213/Narxlar!E212)</f>
        <v>-0.0179183637502176</v>
      </c>
      <c r="L212" s="20" t="n">
        <f aca="false">LN(Narxlar!F213/Narxlar!F212)</f>
        <v>-0.0120601584699113</v>
      </c>
    </row>
    <row r="213" customFormat="false" ht="15" hidden="false" customHeight="false" outlineLevel="0" collapsed="false">
      <c r="A213" s="19" t="n">
        <f aca="false">Narxlar!A214</f>
        <v>45589</v>
      </c>
      <c r="B213" s="20" t="n">
        <f aca="false">Narxlar!B214/Narxlar!B213-1</f>
        <v>-0.000759236067626623</v>
      </c>
      <c r="C213" s="20" t="n">
        <f aca="false">Narxlar!C214/Narxlar!C213-1</f>
        <v>-0.00679634403562224</v>
      </c>
      <c r="D213" s="20" t="n">
        <f aca="false">Narxlar!D214/Narxlar!D213-1</f>
        <v>-0.000939587973273981</v>
      </c>
      <c r="E213" s="20" t="n">
        <f aca="false">Narxlar!E214/Narxlar!E213-1</f>
        <v>-0.0087982210190467</v>
      </c>
      <c r="F213" s="20" t="n">
        <f aca="false">Narxlar!F214/Narxlar!F213-1</f>
        <v>0.00752730622450315</v>
      </c>
      <c r="H213" s="20" t="n">
        <f aca="false">LN(Narxlar!B214/Narxlar!B213)</f>
        <v>-0.000759524433297466</v>
      </c>
      <c r="I213" s="20" t="n">
        <f aca="false">LN(Narxlar!C214/Narxlar!C213)</f>
        <v>-0.00681954435975561</v>
      </c>
      <c r="J213" s="20" t="n">
        <f aca="false">LN(Narxlar!D214/Narxlar!D213)</f>
        <v>-0.000940029662746159</v>
      </c>
      <c r="K213" s="20" t="n">
        <f aca="false">LN(Narxlar!E214/Narxlar!E213)</f>
        <v>-0.00883715389384191</v>
      </c>
      <c r="L213" s="20" t="n">
        <f aca="false">LN(Narxlar!F214/Narxlar!F213)</f>
        <v>0.00749911742378307</v>
      </c>
    </row>
    <row r="214" customFormat="false" ht="15" hidden="false" customHeight="false" outlineLevel="0" collapsed="false">
      <c r="A214" s="19" t="n">
        <f aca="false">Narxlar!A215</f>
        <v>45590</v>
      </c>
      <c r="B214" s="20" t="n">
        <f aca="false">Narxlar!B215/Narxlar!B214-1</f>
        <v>0.00181728456953056</v>
      </c>
      <c r="C214" s="20" t="n">
        <f aca="false">Narxlar!C215/Narxlar!C214-1</f>
        <v>-0.00212364322793768</v>
      </c>
      <c r="D214" s="20" t="n">
        <f aca="false">Narxlar!D215/Narxlar!D214-1</f>
        <v>0.000592148803510995</v>
      </c>
      <c r="E214" s="20" t="n">
        <f aca="false">Narxlar!E215/Narxlar!E214-1</f>
        <v>-0.00234100663285208</v>
      </c>
      <c r="F214" s="20" t="n">
        <f aca="false">Narxlar!F215/Narxlar!F214-1</f>
        <v>0.0141323371907736</v>
      </c>
      <c r="H214" s="20" t="n">
        <f aca="false">LN(Narxlar!B215/Narxlar!B214)</f>
        <v>0.00181563530574602</v>
      </c>
      <c r="I214" s="20" t="n">
        <f aca="false">LN(Narxlar!C215/Narxlar!C214)</f>
        <v>-0.00212590135575577</v>
      </c>
      <c r="J214" s="20" t="n">
        <f aca="false">LN(Narxlar!D215/Narxlar!D214)</f>
        <v>0.000591973552587915</v>
      </c>
      <c r="K214" s="20" t="n">
        <f aca="false">LN(Narxlar!E215/Narxlar!E214)</f>
        <v>-0.00234375107288445</v>
      </c>
      <c r="L214" s="20" t="n">
        <f aca="false">LN(Narxlar!F215/Narxlar!F214)</f>
        <v>0.0140334067033683</v>
      </c>
    </row>
    <row r="215" customFormat="false" ht="15" hidden="false" customHeight="false" outlineLevel="0" collapsed="false">
      <c r="A215" s="19" t="n">
        <f aca="false">Narxlar!A216</f>
        <v>45593</v>
      </c>
      <c r="B215" s="20" t="n">
        <f aca="false">Narxlar!B216/Narxlar!B215-1</f>
        <v>0.00395637046014308</v>
      </c>
      <c r="C215" s="20" t="n">
        <f aca="false">Narxlar!C216/Narxlar!C215-1</f>
        <v>0.0128162686214235</v>
      </c>
      <c r="D215" s="20" t="n">
        <f aca="false">Narxlar!D216/Narxlar!D215-1</f>
        <v>-0.015526004316647</v>
      </c>
      <c r="E215" s="20" t="n">
        <f aca="false">Narxlar!E216/Narxlar!E215-1</f>
        <v>0.00293312475557284</v>
      </c>
      <c r="F215" s="20" t="n">
        <f aca="false">Narxlar!F216/Narxlar!F215-1</f>
        <v>0.00378651280201958</v>
      </c>
      <c r="H215" s="20" t="n">
        <f aca="false">LN(Narxlar!B216/Narxlar!B215)</f>
        <v>0.00394856460832146</v>
      </c>
      <c r="I215" s="20" t="n">
        <f aca="false">LN(Narxlar!C216/Narxlar!C215)</f>
        <v>0.0127348352935995</v>
      </c>
      <c r="J215" s="20" t="n">
        <f aca="false">LN(Narxlar!D216/Narxlar!D215)</f>
        <v>-0.015647794981259</v>
      </c>
      <c r="K215" s="20" t="n">
        <f aca="false">LN(Narxlar!E216/Narxlar!E215)</f>
        <v>0.00292883153813642</v>
      </c>
      <c r="L215" s="20" t="n">
        <f aca="false">LN(Narxlar!F216/Narxlar!F215)</f>
        <v>0.00377936200778453</v>
      </c>
    </row>
    <row r="216" customFormat="false" ht="15" hidden="false" customHeight="false" outlineLevel="0" collapsed="false">
      <c r="A216" s="19" t="n">
        <f aca="false">Narxlar!A217</f>
        <v>45594</v>
      </c>
      <c r="B216" s="20" t="n">
        <f aca="false">Narxlar!B217/Narxlar!B216-1</f>
        <v>0.00704044361025225</v>
      </c>
      <c r="C216" s="20" t="n">
        <f aca="false">Narxlar!C217/Narxlar!C216-1</f>
        <v>-0.00803137840866641</v>
      </c>
      <c r="D216" s="20" t="n">
        <f aca="false">Narxlar!D217/Narxlar!D216-1</f>
        <v>0.00523338048090527</v>
      </c>
      <c r="E216" s="20" t="n">
        <f aca="false">Narxlar!E217/Narxlar!E216-1</f>
        <v>-0.000974848898420699</v>
      </c>
      <c r="F216" s="20" t="n">
        <f aca="false">Narxlar!F217/Narxlar!F216-1</f>
        <v>0.0273550771125766</v>
      </c>
      <c r="H216" s="20" t="n">
        <f aca="false">LN(Narxlar!B217/Narxlar!B216)</f>
        <v>0.00701577540287637</v>
      </c>
      <c r="I216" s="20" t="n">
        <f aca="false">LN(Narxlar!C217/Narxlar!C216)</f>
        <v>-0.00806380365789866</v>
      </c>
      <c r="J216" s="20" t="n">
        <f aca="false">LN(Narxlar!D217/Narxlar!D216)</f>
        <v>0.00521973393627675</v>
      </c>
      <c r="K216" s="20" t="n">
        <f aca="false">LN(Narxlar!E217/Narxlar!E216)</f>
        <v>-0.00097532437264354</v>
      </c>
      <c r="L216" s="20" t="n">
        <f aca="false">LN(Narxlar!F217/Narxlar!F216)</f>
        <v>0.026987613267913</v>
      </c>
    </row>
    <row r="217" customFormat="false" ht="15" hidden="false" customHeight="false" outlineLevel="0" collapsed="false">
      <c r="A217" s="19" t="n">
        <f aca="false">Narxlar!A218</f>
        <v>45595</v>
      </c>
      <c r="B217" s="20" t="n">
        <f aca="false">Narxlar!B218/Narxlar!B217-1</f>
        <v>0.0118556900351883</v>
      </c>
      <c r="C217" s="20" t="n">
        <f aca="false">Narxlar!C218/Narxlar!C217-1</f>
        <v>0.0168047448691395</v>
      </c>
      <c r="D217" s="20" t="n">
        <f aca="false">Narxlar!D218/Narxlar!D217-1</f>
        <v>0.0189601801041226</v>
      </c>
      <c r="E217" s="20" t="n">
        <f aca="false">Narxlar!E218/Narxlar!E217-1</f>
        <v>0.00546448087431695</v>
      </c>
      <c r="F217" s="20" t="n">
        <f aca="false">Narxlar!F218/Narxlar!F217-1</f>
        <v>0.0357687023854127</v>
      </c>
      <c r="H217" s="20" t="n">
        <f aca="false">LN(Narxlar!B218/Narxlar!B217)</f>
        <v>0.011785961917643</v>
      </c>
      <c r="I217" s="20" t="n">
        <f aca="false">LN(Narxlar!C218/Narxlar!C217)</f>
        <v>0.0166651073546224</v>
      </c>
      <c r="J217" s="20" t="n">
        <f aca="false">LN(Narxlar!D218/Narxlar!D217)</f>
        <v>0.0187826760522392</v>
      </c>
      <c r="K217" s="20" t="n">
        <f aca="false">LN(Narxlar!E218/Narxlar!E217)</f>
        <v>0.00544960476756469</v>
      </c>
      <c r="L217" s="20" t="n">
        <f aca="false">LN(Narxlar!F218/Narxlar!F217)</f>
        <v>0.035143858665272</v>
      </c>
    </row>
    <row r="218" customFormat="false" ht="15" hidden="false" customHeight="false" outlineLevel="0" collapsed="false">
      <c r="A218" s="19" t="n">
        <f aca="false">Narxlar!A219</f>
        <v>45596</v>
      </c>
      <c r="B218" s="20" t="n">
        <f aca="false">Narxlar!B219/Narxlar!B218-1</f>
        <v>0.00301135755667303</v>
      </c>
      <c r="C218" s="20" t="n">
        <f aca="false">Narxlar!C219/Narxlar!C218-1</f>
        <v>0.0102773019767604</v>
      </c>
      <c r="D218" s="20" t="n">
        <f aca="false">Narxlar!D219/Narxlar!D218-1</f>
        <v>0.000517830634860328</v>
      </c>
      <c r="E218" s="20" t="n">
        <f aca="false">Narxlar!E219/Narxlar!E218-1</f>
        <v>0.0124223602484472</v>
      </c>
      <c r="F218" s="20" t="n">
        <f aca="false">Narxlar!F219/Narxlar!F218-1</f>
        <v>-0.00262859623314926</v>
      </c>
      <c r="H218" s="20" t="n">
        <f aca="false">LN(Narxlar!B219/Narxlar!B218)</f>
        <v>0.00300683250160245</v>
      </c>
      <c r="I218" s="20" t="n">
        <f aca="false">LN(Narxlar!C219/Narxlar!C218)</f>
        <v>0.0102248495820876</v>
      </c>
      <c r="J218" s="20" t="n">
        <f aca="false">LN(Narxlar!D219/Narxlar!D218)</f>
        <v>0.00051769660684434</v>
      </c>
      <c r="K218" s="20" t="n">
        <f aca="false">LN(Narxlar!E219/Narxlar!E218)</f>
        <v>0.0123458358222994</v>
      </c>
      <c r="L218" s="20" t="n">
        <f aca="false">LN(Narxlar!F219/Narxlar!F218)</f>
        <v>-0.00263205705829937</v>
      </c>
    </row>
    <row r="219" customFormat="false" ht="15" hidden="false" customHeight="false" outlineLevel="0" collapsed="false">
      <c r="A219" s="19" t="n">
        <f aca="false">Narxlar!A220</f>
        <v>45597</v>
      </c>
      <c r="B219" s="20" t="n">
        <f aca="false">Narxlar!B220/Narxlar!B219-1</f>
        <v>-0.000906791026578757</v>
      </c>
      <c r="C219" s="20" t="n">
        <f aca="false">Narxlar!C220/Narxlar!C219-1</f>
        <v>-0.018100169545892</v>
      </c>
      <c r="D219" s="20" t="n">
        <f aca="false">Narxlar!D220/Narxlar!D219-1</f>
        <v>-0.00562418052584368</v>
      </c>
      <c r="E219" s="20" t="n">
        <f aca="false">Narxlar!E220/Narxlar!E219-1</f>
        <v>0.0032592024539877</v>
      </c>
      <c r="F219" s="20" t="n">
        <f aca="false">Narxlar!F220/Narxlar!F219-1</f>
        <v>-0.0188597127520673</v>
      </c>
      <c r="H219" s="20" t="n">
        <f aca="false">LN(Narxlar!B220/Narxlar!B219)</f>
        <v>-0.000907202410273196</v>
      </c>
      <c r="I219" s="20" t="n">
        <f aca="false">LN(Narxlar!C220/Narxlar!C219)</f>
        <v>-0.0182659814781489</v>
      </c>
      <c r="J219" s="20" t="n">
        <f aca="false">LN(Narxlar!D220/Narxlar!D219)</f>
        <v>-0.00564005578065152</v>
      </c>
      <c r="K219" s="20" t="n">
        <f aca="false">LN(Narxlar!E220/Narxlar!E219)</f>
        <v>0.0032539027657189</v>
      </c>
      <c r="L219" s="20" t="n">
        <f aca="false">LN(Narxlar!F220/Narxlar!F219)</f>
        <v>-0.0190398253107119</v>
      </c>
    </row>
    <row r="220" customFormat="false" ht="15" hidden="false" customHeight="false" outlineLevel="0" collapsed="false">
      <c r="A220" s="19" t="n">
        <f aca="false">Narxlar!A221</f>
        <v>45600</v>
      </c>
      <c r="B220" s="20" t="n">
        <f aca="false">Narxlar!B221/Narxlar!B220-1</f>
        <v>-0.00109828926193445</v>
      </c>
      <c r="C220" s="20" t="n">
        <f aca="false">Narxlar!C221/Narxlar!C220-1</f>
        <v>0.00648683964905739</v>
      </c>
      <c r="D220" s="20" t="n">
        <f aca="false">Narxlar!D221/Narxlar!D220-1</f>
        <v>0.0109649883757244</v>
      </c>
      <c r="E220" s="20" t="n">
        <f aca="false">Narxlar!E221/Narxlar!E220-1</f>
        <v>0.00191094974202177</v>
      </c>
      <c r="F220" s="20" t="n">
        <f aca="false">Narxlar!F221/Narxlar!F220-1</f>
        <v>-0.0409581546650895</v>
      </c>
      <c r="H220" s="20" t="n">
        <f aca="false">LN(Narxlar!B221/Narxlar!B220)</f>
        <v>-0.00109889282354985</v>
      </c>
      <c r="I220" s="20" t="n">
        <f aca="false">LN(Narxlar!C221/Narxlar!C220)</f>
        <v>0.00646589065113035</v>
      </c>
      <c r="J220" s="20" t="n">
        <f aca="false">LN(Narxlar!D221/Narxlar!D220)</f>
        <v>0.0109053087519566</v>
      </c>
      <c r="K220" s="20" t="n">
        <f aca="false">LN(Narxlar!E221/Narxlar!E220)</f>
        <v>0.00190912620032496</v>
      </c>
      <c r="L220" s="20" t="n">
        <f aca="false">LN(Narxlar!F221/Narxlar!F220)</f>
        <v>-0.0418205707076767</v>
      </c>
    </row>
    <row r="221" customFormat="false" ht="15" hidden="false" customHeight="false" outlineLevel="0" collapsed="false">
      <c r="A221" s="19" t="n">
        <f aca="false">Narxlar!A222</f>
        <v>45601</v>
      </c>
      <c r="B221" s="20" t="n">
        <f aca="false">Narxlar!B222/Narxlar!B221-1</f>
        <v>0.000129801708801169</v>
      </c>
      <c r="C221" s="20" t="n">
        <f aca="false">Narxlar!C222/Narxlar!C221-1</f>
        <v>0.00282839523345846</v>
      </c>
      <c r="D221" s="20" t="n">
        <f aca="false">Narxlar!D222/Narxlar!D221-1</f>
        <v>-0.00789428522395741</v>
      </c>
      <c r="E221" s="20" t="n">
        <f aca="false">Narxlar!E222/Narxlar!E221-1</f>
        <v>-0.00734312416555405</v>
      </c>
      <c r="F221" s="20" t="n">
        <f aca="false">Narxlar!F222/Narxlar!F221-1</f>
        <v>-0.0117175454825779</v>
      </c>
      <c r="H221" s="20" t="n">
        <f aca="false">LN(Narxlar!B222/Narxlar!B221)</f>
        <v>0.000129793285288282</v>
      </c>
      <c r="I221" s="20" t="n">
        <f aca="false">LN(Narxlar!C222/Narxlar!C221)</f>
        <v>0.00282440284991418</v>
      </c>
      <c r="J221" s="20" t="n">
        <f aca="false">LN(Narxlar!D222/Narxlar!D221)</f>
        <v>-0.00792561006059808</v>
      </c>
      <c r="K221" s="20" t="n">
        <f aca="false">LN(Narxlar!E222/Narxlar!E221)</f>
        <v>-0.00737021761700969</v>
      </c>
      <c r="L221" s="20" t="n">
        <f aca="false">LN(Narxlar!F222/Narxlar!F221)</f>
        <v>-0.0117867369525476</v>
      </c>
    </row>
    <row r="222" customFormat="false" ht="15" hidden="false" customHeight="false" outlineLevel="0" collapsed="false">
      <c r="A222" s="19" t="n">
        <f aca="false">Narxlar!A223</f>
        <v>45602</v>
      </c>
      <c r="B222" s="20" t="n">
        <f aca="false">Narxlar!B223/Narxlar!B222-1</f>
        <v>0.0027636541309759</v>
      </c>
      <c r="C222" s="20" t="n">
        <f aca="false">Narxlar!C223/Narxlar!C222-1</f>
        <v>0.00799889032735335</v>
      </c>
      <c r="D222" s="20" t="n">
        <f aca="false">Narxlar!D223/Narxlar!D222-1</f>
        <v>0.00256011070748996</v>
      </c>
      <c r="E222" s="20" t="n">
        <f aca="false">Narxlar!E223/Narxlar!E222-1</f>
        <v>0.00758958593524839</v>
      </c>
      <c r="F222" s="20" t="n">
        <f aca="false">Narxlar!F223/Narxlar!F222-1</f>
        <v>-0.00657826313052523</v>
      </c>
      <c r="H222" s="20" t="n">
        <f aca="false">LN(Narxlar!B223/Narxlar!B222)</f>
        <v>0.00275984226041088</v>
      </c>
      <c r="I222" s="20" t="n">
        <f aca="false">LN(Narxlar!C223/Narxlar!C222)</f>
        <v>0.00796706878285004</v>
      </c>
      <c r="J222" s="20" t="n">
        <f aca="false">LN(Narxlar!D223/Narxlar!D222)</f>
        <v>0.00255683920648623</v>
      </c>
      <c r="K222" s="20" t="n">
        <f aca="false">LN(Narxlar!E223/Narxlar!E222)</f>
        <v>0.00756092992806744</v>
      </c>
      <c r="L222" s="20" t="n">
        <f aca="false">LN(Narxlar!F223/Narxlar!F222)</f>
        <v>-0.00659999526231665</v>
      </c>
    </row>
    <row r="223" customFormat="false" ht="15" hidden="false" customHeight="false" outlineLevel="0" collapsed="false">
      <c r="A223" s="19" t="n">
        <f aca="false">Narxlar!A224</f>
        <v>45603</v>
      </c>
      <c r="B223" s="20" t="n">
        <f aca="false">Narxlar!B224/Narxlar!B223-1</f>
        <v>0.00362396077595384</v>
      </c>
      <c r="C223" s="20" t="n">
        <f aca="false">Narxlar!C224/Narxlar!C223-1</f>
        <v>0.0240814641530205</v>
      </c>
      <c r="D223" s="20" t="n">
        <f aca="false">Narxlar!D224/Narxlar!D223-1</f>
        <v>-0.0117326339763277</v>
      </c>
      <c r="E223" s="20" t="n">
        <f aca="false">Narxlar!E224/Narxlar!E223-1</f>
        <v>0.00905797101449268</v>
      </c>
      <c r="F223" s="20" t="n">
        <f aca="false">Narxlar!F224/Narxlar!F223-1</f>
        <v>-0.0119611589499307</v>
      </c>
      <c r="H223" s="20" t="n">
        <f aca="false">LN(Narxlar!B224/Narxlar!B223)</f>
        <v>0.00361741005170919</v>
      </c>
      <c r="I223" s="20" t="n">
        <f aca="false">LN(Narxlar!C224/Narxlar!C223)</f>
        <v>0.0237960782899319</v>
      </c>
      <c r="J223" s="20" t="n">
        <f aca="false">LN(Narxlar!D224/Narxlar!D223)</f>
        <v>-0.011802004459183</v>
      </c>
      <c r="K223" s="20" t="n">
        <f aca="false">LN(Narxlar!E224/Narxlar!E223)</f>
        <v>0.00901719365018864</v>
      </c>
      <c r="L223" s="20" t="n">
        <f aca="false">LN(Narxlar!F224/Narxlar!F223)</f>
        <v>-0.0120332692032833</v>
      </c>
    </row>
    <row r="224" customFormat="false" ht="15" hidden="false" customHeight="false" outlineLevel="0" collapsed="false">
      <c r="A224" s="19" t="n">
        <f aca="false">Narxlar!A225</f>
        <v>45604</v>
      </c>
      <c r="B224" s="20" t="n">
        <f aca="false">Narxlar!B225/Narxlar!B224-1</f>
        <v>-0.00058411214953269</v>
      </c>
      <c r="C224" s="20" t="n">
        <f aca="false">Narxlar!C225/Narxlar!C224-1</f>
        <v>0.00282182209083581</v>
      </c>
      <c r="D224" s="20" t="n">
        <f aca="false">Narxlar!D225/Narxlar!D224-1</f>
        <v>-0.00974196026397567</v>
      </c>
      <c r="E224" s="20" t="n">
        <f aca="false">Narxlar!E225/Narxlar!E224-1</f>
        <v>0.0295757346688084</v>
      </c>
      <c r="F224" s="20" t="n">
        <f aca="false">Narxlar!F225/Narxlar!F224-1</f>
        <v>0.00164238410596029</v>
      </c>
      <c r="H224" s="20" t="n">
        <f aca="false">LN(Narxlar!B225/Narxlar!B224)</f>
        <v>-0.000584282809493912</v>
      </c>
      <c r="I224" s="20" t="n">
        <f aca="false">LN(Narxlar!C225/Narxlar!C224)</f>
        <v>0.00281784822481964</v>
      </c>
      <c r="J224" s="20" t="n">
        <f aca="false">LN(Narxlar!D225/Narxlar!D224)</f>
        <v>-0.00978972361781603</v>
      </c>
      <c r="K224" s="20" t="n">
        <f aca="false">LN(Narxlar!E225/Narxlar!E224)</f>
        <v>0.029146809295569</v>
      </c>
      <c r="L224" s="20" t="n">
        <f aca="false">LN(Narxlar!F225/Narxlar!F224)</f>
        <v>0.00164103686810418</v>
      </c>
    </row>
    <row r="225" customFormat="false" ht="15" hidden="false" customHeight="false" outlineLevel="0" collapsed="false">
      <c r="A225" s="19" t="n">
        <f aca="false">Narxlar!A226</f>
        <v>45607</v>
      </c>
      <c r="B225" s="20" t="n">
        <f aca="false">Narxlar!B226/Narxlar!B225-1</f>
        <v>0.00200384069466475</v>
      </c>
      <c r="C225" s="20" t="n">
        <f aca="false">Narxlar!C226/Narxlar!C225-1</f>
        <v>-0.0172406092277457</v>
      </c>
      <c r="D225" s="20" t="n">
        <f aca="false">Narxlar!D226/Narxlar!D225-1</f>
        <v>0.00856840620592392</v>
      </c>
      <c r="E225" s="20" t="n">
        <f aca="false">Narxlar!E226/Narxlar!E225-1</f>
        <v>0.00633259911894268</v>
      </c>
      <c r="F225" s="20" t="n">
        <f aca="false">Narxlar!F226/Narxlar!F225-1</f>
        <v>-0.012747275997038</v>
      </c>
      <c r="H225" s="20" t="n">
        <f aca="false">LN(Narxlar!B226/Narxlar!B225)</f>
        <v>0.00200183568393456</v>
      </c>
      <c r="I225" s="20" t="n">
        <f aca="false">LN(Narxlar!C226/Narxlar!C225)</f>
        <v>-0.0173909591193561</v>
      </c>
      <c r="J225" s="20" t="n">
        <f aca="false">LN(Narxlar!D226/Narxlar!D225)</f>
        <v>0.00853190576566851</v>
      </c>
      <c r="K225" s="20" t="n">
        <f aca="false">LN(Narxlar!E226/Narxlar!E225)</f>
        <v>0.00631263246269492</v>
      </c>
      <c r="L225" s="20" t="n">
        <f aca="false">LN(Narxlar!F226/Narxlar!F225)</f>
        <v>-0.0128292196366454</v>
      </c>
    </row>
    <row r="226" customFormat="false" ht="15" hidden="false" customHeight="false" outlineLevel="0" collapsed="false">
      <c r="A226" s="19" t="n">
        <f aca="false">Narxlar!A227</f>
        <v>45608</v>
      </c>
      <c r="B226" s="20" t="n">
        <f aca="false">Narxlar!B227/Narxlar!B226-1</f>
        <v>0.00365878601025682</v>
      </c>
      <c r="C226" s="20" t="n">
        <f aca="false">Narxlar!C227/Narxlar!C226-1</f>
        <v>0.00622642366949955</v>
      </c>
      <c r="D226" s="20" t="n">
        <f aca="false">Narxlar!D227/Narxlar!D226-1</f>
        <v>0.0198230954794951</v>
      </c>
      <c r="E226" s="20" t="n">
        <f aca="false">Narxlar!E227/Narxlar!E226-1</f>
        <v>0.00875512995896033</v>
      </c>
      <c r="F226" s="20" t="n">
        <f aca="false">Narxlar!F227/Narxlar!F226-1</f>
        <v>-0.00155371015269223</v>
      </c>
      <c r="H226" s="20" t="n">
        <f aca="false">LN(Narxlar!B227/Narxlar!B226)</f>
        <v>0.00365210893442737</v>
      </c>
      <c r="I226" s="20" t="n">
        <f aca="false">LN(Narxlar!C227/Narxlar!C226)</f>
        <v>0.00620711958248678</v>
      </c>
      <c r="J226" s="20" t="n">
        <f aca="false">LN(Narxlar!D227/Narxlar!D226)</f>
        <v>0.0196291764500348</v>
      </c>
      <c r="K226" s="20" t="n">
        <f aca="false">LN(Narxlar!E227/Narxlar!E226)</f>
        <v>0.00871702605026564</v>
      </c>
      <c r="L226" s="20" t="n">
        <f aca="false">LN(Narxlar!F227/Narxlar!F226)</f>
        <v>-0.00155491841199687</v>
      </c>
    </row>
    <row r="227" customFormat="false" ht="15" hidden="false" customHeight="false" outlineLevel="0" collapsed="false">
      <c r="A227" s="19" t="n">
        <f aca="false">Narxlar!A228</f>
        <v>45609</v>
      </c>
      <c r="B227" s="20" t="n">
        <f aca="false">Narxlar!B228/Narxlar!B227-1</f>
        <v>-0.00605310429151507</v>
      </c>
      <c r="C227" s="20" t="n">
        <f aca="false">Narxlar!C228/Narxlar!C227-1</f>
        <v>-0.00709123757904251</v>
      </c>
      <c r="D227" s="20" t="n">
        <f aca="false">Narxlar!D228/Narxlar!D227-1</f>
        <v>-0.00260541652382584</v>
      </c>
      <c r="E227" s="20" t="n">
        <f aca="false">Narxlar!E228/Narxlar!E227-1</f>
        <v>-0.00108489286682945</v>
      </c>
      <c r="F227" s="20" t="n">
        <f aca="false">Narxlar!F228/Narxlar!F227-1</f>
        <v>-0.0131197681905988</v>
      </c>
      <c r="H227" s="20" t="n">
        <f aca="false">LN(Narxlar!B228/Narxlar!B227)</f>
        <v>-0.00607149859327906</v>
      </c>
      <c r="I227" s="20" t="n">
        <f aca="false">LN(Narxlar!C228/Narxlar!C227)</f>
        <v>-0.00711649990251089</v>
      </c>
      <c r="J227" s="20" t="n">
        <f aca="false">LN(Narxlar!D228/Narxlar!D227)</f>
        <v>-0.00260881652835982</v>
      </c>
      <c r="K227" s="20" t="n">
        <f aca="false">LN(Narxlar!E228/Narxlar!E227)</f>
        <v>-0.00108548178907926</v>
      </c>
      <c r="L227" s="20" t="n">
        <f aca="false">LN(Narxlar!F228/Narxlar!F227)</f>
        <v>-0.0132065925961359</v>
      </c>
    </row>
    <row r="228" customFormat="false" ht="15" hidden="false" customHeight="false" outlineLevel="0" collapsed="false">
      <c r="A228" s="19" t="n">
        <f aca="false">Narxlar!A229</f>
        <v>45610</v>
      </c>
      <c r="B228" s="20" t="n">
        <f aca="false">Narxlar!B229/Narxlar!B228-1</f>
        <v>-0.00508762870941293</v>
      </c>
      <c r="C228" s="20" t="n">
        <f aca="false">Narxlar!C229/Narxlar!C228-1</f>
        <v>-0.025201291907383</v>
      </c>
      <c r="D228" s="20" t="n">
        <f aca="false">Narxlar!D229/Narxlar!D228-1</f>
        <v>-0.00962397745239574</v>
      </c>
      <c r="E228" s="20" t="n">
        <f aca="false">Narxlar!E229/Narxlar!E228-1</f>
        <v>-0.0131233595800525</v>
      </c>
      <c r="F228" s="20" t="n">
        <f aca="false">Narxlar!F229/Narxlar!F228-1</f>
        <v>-0.0154691025745589</v>
      </c>
      <c r="H228" s="20" t="n">
        <f aca="false">LN(Narxlar!B229/Narxlar!B228)</f>
        <v>-0.00510061475653755</v>
      </c>
      <c r="I228" s="20" t="n">
        <f aca="false">LN(Narxlar!C229/Narxlar!C228)</f>
        <v>-0.0255242825370349</v>
      </c>
      <c r="J228" s="20" t="n">
        <f aca="false">LN(Narxlar!D229/Narxlar!D228)</f>
        <v>-0.00967058721198905</v>
      </c>
      <c r="K228" s="20" t="n">
        <f aca="false">LN(Narxlar!E229/Narxlar!E228)</f>
        <v>-0.0132102317368065</v>
      </c>
      <c r="L228" s="20" t="n">
        <f aca="false">LN(Narxlar!F229/Narxlar!F228)</f>
        <v>-0.0155899975199088</v>
      </c>
    </row>
    <row r="229" customFormat="false" ht="15" hidden="false" customHeight="false" outlineLevel="0" collapsed="false">
      <c r="A229" s="19" t="n">
        <f aca="false">Narxlar!A230</f>
        <v>45611</v>
      </c>
      <c r="B229" s="20" t="n">
        <f aca="false">Narxlar!B230/Narxlar!B229-1</f>
        <v>-0.00073270137839454</v>
      </c>
      <c r="C229" s="20" t="n">
        <f aca="false">Narxlar!C230/Narxlar!C229-1</f>
        <v>-0.00177329786737601</v>
      </c>
      <c r="D229" s="20" t="n">
        <f aca="false">Narxlar!D230/Narxlar!D229-1</f>
        <v>0</v>
      </c>
      <c r="E229" s="20" t="n">
        <f aca="false">Narxlar!E230/Narxlar!E229-1</f>
        <v>-0.00660308143800437</v>
      </c>
      <c r="F229" s="20" t="n">
        <f aca="false">Narxlar!F230/Narxlar!F229-1</f>
        <v>-0.0107969293643342</v>
      </c>
      <c r="H229" s="20" t="n">
        <f aca="false">LN(Narxlar!B230/Narxlar!B229)</f>
        <v>-0.000732969935238817</v>
      </c>
      <c r="I229" s="20" t="n">
        <f aca="false">LN(Narxlar!C230/Narxlar!C229)</f>
        <v>-0.001774872021277</v>
      </c>
      <c r="J229" s="20" t="n">
        <f aca="false">LN(Narxlar!D230/Narxlar!D229)</f>
        <v>0</v>
      </c>
      <c r="K229" s="20" t="n">
        <f aca="false">LN(Narxlar!E230/Narxlar!E229)</f>
        <v>-0.00662497822431228</v>
      </c>
      <c r="L229" s="20" t="n">
        <f aca="false">LN(Narxlar!F230/Narxlar!F229)</f>
        <v>-0.0108556391790935</v>
      </c>
    </row>
    <row r="230" customFormat="false" ht="15" hidden="false" customHeight="false" outlineLevel="0" collapsed="false">
      <c r="A230" s="19" t="n">
        <f aca="false">Narxlar!A231</f>
        <v>45614</v>
      </c>
      <c r="B230" s="20" t="n">
        <f aca="false">Narxlar!B231/Narxlar!B230-1</f>
        <v>-0.00272673113056221</v>
      </c>
      <c r="C230" s="20" t="n">
        <f aca="false">Narxlar!C231/Narxlar!C230-1</f>
        <v>0.00575008181010706</v>
      </c>
      <c r="D230" s="20" t="n">
        <f aca="false">Narxlar!D231/Narxlar!D230-1</f>
        <v>0.000520580273478233</v>
      </c>
      <c r="E230" s="20" t="n">
        <f aca="false">Narxlar!E231/Narxlar!E230-1</f>
        <v>0.0072008862629247</v>
      </c>
      <c r="F230" s="20" t="n">
        <f aca="false">Narxlar!F231/Narxlar!F230-1</f>
        <v>-0.0129804873963655</v>
      </c>
      <c r="H230" s="20" t="n">
        <f aca="false">LN(Narxlar!B231/Narxlar!B230)</f>
        <v>-0.00273045543354726</v>
      </c>
      <c r="I230" s="20" t="n">
        <f aca="false">LN(Narxlar!C231/Narxlar!C230)</f>
        <v>0.00573361319014556</v>
      </c>
      <c r="J230" s="20" t="n">
        <f aca="false">LN(Narxlar!D231/Narxlar!D230)</f>
        <v>0.000520444818575727</v>
      </c>
      <c r="K230" s="20" t="n">
        <f aca="false">LN(Narxlar!E231/Narxlar!E230)</f>
        <v>0.0071750836750603</v>
      </c>
      <c r="L230" s="20" t="n">
        <f aca="false">LN(Narxlar!F231/Narxlar!F230)</f>
        <v>-0.013065470135526</v>
      </c>
    </row>
    <row r="231" customFormat="false" ht="15" hidden="false" customHeight="false" outlineLevel="0" collapsed="false">
      <c r="A231" s="19" t="n">
        <f aca="false">Narxlar!A232</f>
        <v>45615</v>
      </c>
      <c r="B231" s="20" t="n">
        <f aca="false">Narxlar!B232/Narxlar!B231-1</f>
        <v>-0.00634913340838939</v>
      </c>
      <c r="C231" s="20" t="n">
        <f aca="false">Narxlar!C232/Narxlar!C231-1</f>
        <v>-0.0133401505996096</v>
      </c>
      <c r="D231" s="20" t="n">
        <f aca="false">Narxlar!D232/Narxlar!D231-1</f>
        <v>-0.00537653057684973</v>
      </c>
      <c r="E231" s="20" t="n">
        <f aca="false">Narxlar!E232/Narxlar!E231-1</f>
        <v>-0.00384967919340051</v>
      </c>
      <c r="F231" s="20" t="n">
        <f aca="false">Narxlar!F232/Narxlar!F231-1</f>
        <v>-0.0155551784603202</v>
      </c>
      <c r="H231" s="20" t="n">
        <f aca="false">LN(Narxlar!B232/Narxlar!B231)</f>
        <v>-0.00636937487859007</v>
      </c>
      <c r="I231" s="20" t="n">
        <f aca="false">LN(Narxlar!C232/Narxlar!C231)</f>
        <v>-0.0134299297475068</v>
      </c>
      <c r="J231" s="20" t="n">
        <f aca="false">LN(Narxlar!D232/Narxlar!D231)</f>
        <v>-0.00539103613378076</v>
      </c>
      <c r="K231" s="20" t="n">
        <f aca="false">LN(Narxlar!E232/Narxlar!E231)</f>
        <v>-0.00385710828087811</v>
      </c>
      <c r="L231" s="20" t="n">
        <f aca="false">LN(Narxlar!F232/Narxlar!F231)</f>
        <v>-0.0156774296654523</v>
      </c>
    </row>
    <row r="232" customFormat="false" ht="15" hidden="false" customHeight="false" outlineLevel="0" collapsed="false">
      <c r="A232" s="19" t="n">
        <f aca="false">Narxlar!A233</f>
        <v>45616</v>
      </c>
      <c r="B232" s="20" t="n">
        <f aca="false">Narxlar!B233/Narxlar!B232-1</f>
        <v>-0.00295976568521672</v>
      </c>
      <c r="C232" s="20" t="n">
        <f aca="false">Narxlar!C233/Narxlar!C232-1</f>
        <v>0.0102699392283412</v>
      </c>
      <c r="D232" s="20" t="n">
        <f aca="false">Narxlar!D233/Narxlar!D232-1</f>
        <v>-0.000871869986747598</v>
      </c>
      <c r="E232" s="20" t="n">
        <f aca="false">Narxlar!E233/Narxlar!E232-1</f>
        <v>0.00349650349650354</v>
      </c>
      <c r="F232" s="20" t="n">
        <f aca="false">Narxlar!F233/Narxlar!F232-1</f>
        <v>-0.0131291657090324</v>
      </c>
      <c r="H232" s="20" t="n">
        <f aca="false">LN(Narxlar!B233/Narxlar!B232)</f>
        <v>-0.00296415445362914</v>
      </c>
      <c r="I232" s="20" t="n">
        <f aca="false">LN(Narxlar!C233/Narxlar!C232)</f>
        <v>0.0102175617065368</v>
      </c>
      <c r="J232" s="20" t="n">
        <f aca="false">LN(Narxlar!D233/Narxlar!D232)</f>
        <v>-0.000872250286448491</v>
      </c>
      <c r="K232" s="20" t="n">
        <f aca="false">LN(Narxlar!E233/Narxlar!E232)</f>
        <v>0.00349040493976857</v>
      </c>
      <c r="L232" s="20" t="n">
        <f aca="false">LN(Narxlar!F233/Narxlar!F232)</f>
        <v>-0.0132161150922553</v>
      </c>
    </row>
    <row r="233" customFormat="false" ht="15" hidden="false" customHeight="false" outlineLevel="0" collapsed="false">
      <c r="A233" s="19" t="n">
        <f aca="false">Narxlar!A234</f>
        <v>45617</v>
      </c>
      <c r="B233" s="20" t="n">
        <f aca="false">Narxlar!B234/Narxlar!B233-1</f>
        <v>0.00111320696372808</v>
      </c>
      <c r="C233" s="20" t="n">
        <f aca="false">Narxlar!C234/Narxlar!C233-1</f>
        <v>-0.00326416414082542</v>
      </c>
      <c r="D233" s="20" t="n">
        <f aca="false">Narxlar!D234/Narxlar!D233-1</f>
        <v>-0.000767915110475026</v>
      </c>
      <c r="E233" s="20" t="n">
        <f aca="false">Narxlar!E234/Narxlar!E233-1</f>
        <v>-0.00971942050247565</v>
      </c>
      <c r="F233" s="20" t="n">
        <f aca="false">Narxlar!F234/Narxlar!F233-1</f>
        <v>-0.00113533812698319</v>
      </c>
      <c r="H233" s="20" t="n">
        <f aca="false">LN(Narxlar!B234/Narxlar!B233)</f>
        <v>0.00111258780831217</v>
      </c>
      <c r="I233" s="20" t="n">
        <f aca="false">LN(Narxlar!C234/Narxlar!C233)</f>
        <v>-0.00326950314601992</v>
      </c>
      <c r="J233" s="20" t="n">
        <f aca="false">LN(Narxlar!D234/Narxlar!D233)</f>
        <v>-0.000768210108315342</v>
      </c>
      <c r="K233" s="20" t="n">
        <f aca="false">LN(Narxlar!E234/Narxlar!E233)</f>
        <v>-0.00976696237369577</v>
      </c>
      <c r="L233" s="20" t="n">
        <f aca="false">LN(Narxlar!F234/Narxlar!F233)</f>
        <v>-0.0011359831115444</v>
      </c>
    </row>
    <row r="234" customFormat="false" ht="15" hidden="false" customHeight="false" outlineLevel="0" collapsed="false">
      <c r="A234" s="19" t="n">
        <f aca="false">Narxlar!A235</f>
        <v>45618</v>
      </c>
      <c r="B234" s="20" t="n">
        <f aca="false">Narxlar!B235/Narxlar!B234-1</f>
        <v>-0.000409266409266418</v>
      </c>
      <c r="C234" s="20" t="n">
        <f aca="false">Narxlar!C235/Narxlar!C234-1</f>
        <v>-0.008421052631579</v>
      </c>
      <c r="D234" s="20" t="n">
        <f aca="false">Narxlar!D235/Narxlar!D234-1</f>
        <v>0.00122262200020962</v>
      </c>
      <c r="E234" s="20" t="n">
        <f aca="false">Narxlar!E235/Narxlar!E234-1</f>
        <v>-0.0100925925925925</v>
      </c>
      <c r="F234" s="20" t="n">
        <f aca="false">Narxlar!F235/Narxlar!F234-1</f>
        <v>-0.0183900676148286</v>
      </c>
      <c r="H234" s="20" t="n">
        <f aca="false">LN(Narxlar!B235/Narxlar!B234)</f>
        <v>-0.000409350181620882</v>
      </c>
      <c r="I234" s="20" t="n">
        <f aca="false">LN(Narxlar!C235/Narxlar!C234)</f>
        <v>-0.00845671001822351</v>
      </c>
      <c r="J234" s="20" t="n">
        <f aca="false">LN(Narxlar!D235/Narxlar!D234)</f>
        <v>0.0012218752065675</v>
      </c>
      <c r="K234" s="20" t="n">
        <f aca="false">LN(Narxlar!E235/Narxlar!E234)</f>
        <v>-0.0101438680988111</v>
      </c>
      <c r="L234" s="20" t="n">
        <f aca="false">LN(Narxlar!F235/Narxlar!F234)</f>
        <v>-0.0185612670698272</v>
      </c>
    </row>
    <row r="235" customFormat="false" ht="15" hidden="false" customHeight="false" outlineLevel="0" collapsed="false">
      <c r="A235" s="19" t="n">
        <f aca="false">Narxlar!A236</f>
        <v>45621</v>
      </c>
      <c r="B235" s="20" t="n">
        <f aca="false">Narxlar!B236/Narxlar!B235-1</f>
        <v>-0.000216304742481466</v>
      </c>
      <c r="C235" s="20" t="n">
        <f aca="false">Narxlar!C236/Narxlar!C235-1</f>
        <v>0.0119839584807737</v>
      </c>
      <c r="D235" s="20" t="n">
        <f aca="false">Narxlar!D236/Narxlar!D235-1</f>
        <v>0.0194333961342543</v>
      </c>
      <c r="E235" s="20" t="n">
        <f aca="false">Narxlar!E236/Narxlar!E235-1</f>
        <v>0.000187073239173108</v>
      </c>
      <c r="F235" s="20" t="n">
        <f aca="false">Narxlar!F236/Narxlar!F235-1</f>
        <v>0.0145482616311867</v>
      </c>
      <c r="H235" s="20" t="n">
        <f aca="false">LN(Narxlar!B236/Narxlar!B235)</f>
        <v>-0.000216328139726293</v>
      </c>
      <c r="I235" s="20" t="n">
        <f aca="false">LN(Narxlar!C236/Narxlar!C235)</f>
        <v>0.0119127194360573</v>
      </c>
      <c r="J235" s="20" t="n">
        <f aca="false">LN(Narxlar!D236/Narxlar!D235)</f>
        <v>0.0192469789662095</v>
      </c>
      <c r="K235" s="20" t="n">
        <f aca="false">LN(Narxlar!E236/Narxlar!E235)</f>
        <v>0.000187055743156691</v>
      </c>
      <c r="L235" s="20" t="n">
        <f aca="false">LN(Narxlar!F236/Narxlar!F235)</f>
        <v>0.0144434509917421</v>
      </c>
    </row>
    <row r="236" customFormat="false" ht="15" hidden="false" customHeight="false" outlineLevel="0" collapsed="false">
      <c r="A236" s="19" t="n">
        <f aca="false">Narxlar!A237</f>
        <v>45622</v>
      </c>
      <c r="B236" s="20" t="n">
        <f aca="false">Narxlar!B237/Narxlar!B236-1</f>
        <v>0.00214806172200377</v>
      </c>
      <c r="C236" s="20" t="n">
        <f aca="false">Narxlar!C237/Narxlar!C236-1</f>
        <v>0.00638724416056702</v>
      </c>
      <c r="D236" s="20" t="n">
        <f aca="false">Narxlar!D237/Narxlar!D236-1</f>
        <v>0.00663951538382568</v>
      </c>
      <c r="E236" s="20" t="n">
        <f aca="false">Narxlar!E237/Narxlar!E236-1</f>
        <v>-0.00402132236042274</v>
      </c>
      <c r="F236" s="20" t="n">
        <f aca="false">Narxlar!F237/Narxlar!F236-1</f>
        <v>0.00433115799947315</v>
      </c>
      <c r="H236" s="20" t="n">
        <f aca="false">LN(Narxlar!B237/Narxlar!B236)</f>
        <v>0.00214575793594954</v>
      </c>
      <c r="I236" s="20" t="n">
        <f aca="false">LN(Narxlar!C237/Narxlar!C236)</f>
        <v>0.00636693216249688</v>
      </c>
      <c r="J236" s="20" t="n">
        <f aca="false">LN(Narxlar!D237/Narxlar!D236)</f>
        <v>0.00661757088191101</v>
      </c>
      <c r="K236" s="20" t="n">
        <f aca="false">LN(Narxlar!E237/Narxlar!E236)</f>
        <v>-0.00402942961908547</v>
      </c>
      <c r="L236" s="20" t="n">
        <f aca="false">LN(Narxlar!F237/Narxlar!F236)</f>
        <v>0.00432180552962367</v>
      </c>
    </row>
    <row r="237" customFormat="false" ht="15" hidden="false" customHeight="false" outlineLevel="0" collapsed="false">
      <c r="A237" s="19" t="n">
        <f aca="false">Narxlar!A238</f>
        <v>45623</v>
      </c>
      <c r="B237" s="20" t="n">
        <f aca="false">Narxlar!B238/Narxlar!B237-1</f>
        <v>0.00334626090040624</v>
      </c>
      <c r="C237" s="20" t="n">
        <f aca="false">Narxlar!C238/Narxlar!C237-1</f>
        <v>0.0176040025942741</v>
      </c>
      <c r="D237" s="20" t="n">
        <f aca="false">Narxlar!D238/Narxlar!D237-1</f>
        <v>-0.00282188148097784</v>
      </c>
      <c r="E237" s="20" t="n">
        <f aca="false">Narxlar!E238/Narxlar!E237-1</f>
        <v>0.00863849765258218</v>
      </c>
      <c r="F237" s="20" t="n">
        <f aca="false">Narxlar!F238/Narxlar!F237-1</f>
        <v>0.00868323669104587</v>
      </c>
      <c r="H237" s="20" t="n">
        <f aca="false">LN(Narxlar!B238/Narxlar!B237)</f>
        <v>0.00334067462801378</v>
      </c>
      <c r="I237" s="20" t="n">
        <f aca="false">LN(Narxlar!C238/Narxlar!C237)</f>
        <v>0.0174508469629996</v>
      </c>
      <c r="J237" s="20" t="n">
        <f aca="false">LN(Narxlar!D238/Narxlar!D237)</f>
        <v>-0.00282587049464073</v>
      </c>
      <c r="K237" s="20" t="n">
        <f aca="false">LN(Narxlar!E238/Narxlar!E237)</f>
        <v>0.0086013993278335</v>
      </c>
      <c r="L237" s="20" t="n">
        <f aca="false">LN(Narxlar!F238/Narxlar!F237)</f>
        <v>0.0086457542145225</v>
      </c>
    </row>
    <row r="238" customFormat="false" ht="15" hidden="false" customHeight="false" outlineLevel="0" collapsed="false">
      <c r="A238" s="19" t="n">
        <f aca="false">Narxlar!A239</f>
        <v>45624</v>
      </c>
      <c r="B238" s="20" t="n">
        <f aca="false">Narxlar!B239/Narxlar!B238-1</f>
        <v>-0.00012295302426002</v>
      </c>
      <c r="C238" s="20" t="n">
        <f aca="false">Narxlar!C239/Narxlar!C238-1</f>
        <v>0.0048256396248747</v>
      </c>
      <c r="D238" s="20" t="n">
        <f aca="false">Narxlar!D239/Narxlar!D238-1</f>
        <v>0.00627344016365505</v>
      </c>
      <c r="E238" s="20" t="n">
        <f aca="false">Narxlar!E239/Narxlar!E238-1</f>
        <v>-0.00297896108732076</v>
      </c>
      <c r="F238" s="20" t="n">
        <f aca="false">Narxlar!F239/Narxlar!F238-1</f>
        <v>-0.00184880261143372</v>
      </c>
      <c r="H238" s="20" t="n">
        <f aca="false">LN(Narxlar!B239/Narxlar!B238)</f>
        <v>-0.000122960583602743</v>
      </c>
      <c r="I238" s="20" t="n">
        <f aca="false">LN(Narxlar!C239/Narxlar!C238)</f>
        <v>0.0048140335488307</v>
      </c>
      <c r="J238" s="20" t="n">
        <f aca="false">LN(Narxlar!D239/Narxlar!D238)</f>
        <v>0.00625384405189818</v>
      </c>
      <c r="K238" s="20" t="n">
        <f aca="false">LN(Narxlar!E239/Narxlar!E238)</f>
        <v>-0.00298340702361017</v>
      </c>
      <c r="L238" s="20" t="n">
        <f aca="false">LN(Narxlar!F239/Narxlar!F238)</f>
        <v>-0.00185051375635313</v>
      </c>
    </row>
    <row r="239" customFormat="false" ht="15" hidden="false" customHeight="false" outlineLevel="0" collapsed="false">
      <c r="A239" s="19" t="n">
        <f aca="false">Narxlar!A240</f>
        <v>45625</v>
      </c>
      <c r="B239" s="20" t="n">
        <f aca="false">Narxlar!B240/Narxlar!B239-1</f>
        <v>0.00227491065595808</v>
      </c>
      <c r="C239" s="20" t="n">
        <f aca="false">Narxlar!C240/Narxlar!C239-1</f>
        <v>0.00163102573396157</v>
      </c>
      <c r="D239" s="20" t="n">
        <f aca="false">Narxlar!D240/Narxlar!D239-1</f>
        <v>0.00582774276614484</v>
      </c>
      <c r="E239" s="20" t="n">
        <f aca="false">Narxlar!E240/Narxlar!E239-1</f>
        <v>-0.00961718020541547</v>
      </c>
      <c r="F239" s="20" t="n">
        <f aca="false">Narxlar!F240/Narxlar!F239-1</f>
        <v>-0.0074089080542934</v>
      </c>
      <c r="H239" s="20" t="n">
        <f aca="false">LN(Narxlar!B240/Narxlar!B239)</f>
        <v>0.0022723269644148</v>
      </c>
      <c r="I239" s="20" t="n">
        <f aca="false">LN(Narxlar!C240/Narxlar!C239)</f>
        <v>0.00162969705603154</v>
      </c>
      <c r="J239" s="20" t="n">
        <f aca="false">LN(Narxlar!D240/Narxlar!D239)</f>
        <v>0.00581082716131541</v>
      </c>
      <c r="K239" s="20" t="n">
        <f aca="false">LN(Narxlar!E240/Narxlar!E239)</f>
        <v>-0.00966372393632419</v>
      </c>
      <c r="L239" s="20" t="n">
        <f aca="false">LN(Narxlar!F240/Narxlar!F239)</f>
        <v>-0.00743649033440427</v>
      </c>
    </row>
    <row r="240" customFormat="false" ht="15" hidden="false" customHeight="false" outlineLevel="0" collapsed="false">
      <c r="A240" s="19" t="n">
        <f aca="false">Narxlar!A241</f>
        <v>45628</v>
      </c>
      <c r="B240" s="20" t="n">
        <f aca="false">Narxlar!B241/Narxlar!B240-1</f>
        <v>-0.000575104860786269</v>
      </c>
      <c r="C240" s="20" t="n">
        <f aca="false">Narxlar!C241/Narxlar!C240-1</f>
        <v>-0.000678487425366359</v>
      </c>
      <c r="D240" s="20" t="n">
        <f aca="false">Narxlar!D241/Narxlar!D240-1</f>
        <v>-0.00677086842282559</v>
      </c>
      <c r="E240" s="20" t="n">
        <f aca="false">Narxlar!E241/Narxlar!E240-1</f>
        <v>0.00593947393230887</v>
      </c>
      <c r="F240" s="20" t="n">
        <f aca="false">Narxlar!F241/Narxlar!F240-1</f>
        <v>-0.0350176400268245</v>
      </c>
      <c r="H240" s="20" t="n">
        <f aca="false">LN(Narxlar!B241/Narxlar!B240)</f>
        <v>-0.000575270297018547</v>
      </c>
      <c r="I240" s="20" t="n">
        <f aca="false">LN(Narxlar!C241/Narxlar!C240)</f>
        <v>-0.000678717702125364</v>
      </c>
      <c r="J240" s="20" t="n">
        <f aca="false">LN(Narxlar!D241/Narxlar!D240)</f>
        <v>-0.00679389475010577</v>
      </c>
      <c r="K240" s="20" t="n">
        <f aca="false">LN(Narxlar!E241/Narxlar!E240)</f>
        <v>0.00592190479032884</v>
      </c>
      <c r="L240" s="20" t="n">
        <f aca="false">LN(Narxlar!F241/Narxlar!F240)</f>
        <v>-0.0356454576307726</v>
      </c>
    </row>
    <row r="241" customFormat="false" ht="15" hidden="false" customHeight="false" outlineLevel="0" collapsed="false">
      <c r="A241" s="19" t="n">
        <f aca="false">Narxlar!A242</f>
        <v>45629</v>
      </c>
      <c r="B241" s="20" t="n">
        <f aca="false">Narxlar!B242/Narxlar!B241-1</f>
        <v>-0.0013119936164987</v>
      </c>
      <c r="C241" s="20" t="n">
        <f aca="false">Narxlar!C242/Narxlar!C241-1</f>
        <v>0.00769474494183675</v>
      </c>
      <c r="D241" s="20" t="n">
        <f aca="false">Narxlar!D242/Narxlar!D241-1</f>
        <v>-0.0332372392742072</v>
      </c>
      <c r="E241" s="20" t="n">
        <f aca="false">Narxlar!E242/Narxlar!E241-1</f>
        <v>-0.00299906279287721</v>
      </c>
      <c r="F241" s="20" t="n">
        <f aca="false">Narxlar!F242/Narxlar!F241-1</f>
        <v>-0.0155910079767948</v>
      </c>
      <c r="H241" s="20" t="n">
        <f aca="false">LN(Narxlar!B242/Narxlar!B241)</f>
        <v>-0.0013128550336552</v>
      </c>
      <c r="I241" s="20" t="n">
        <f aca="false">LN(Narxlar!C242/Narxlar!C241)</f>
        <v>0.00766529138721503</v>
      </c>
      <c r="J241" s="20" t="n">
        <f aca="false">LN(Narxlar!D242/Narxlar!D241)</f>
        <v>-0.0338021489689222</v>
      </c>
      <c r="K241" s="20" t="n">
        <f aca="false">LN(Narxlar!E242/Narxlar!E241)</f>
        <v>-0.00300356899353614</v>
      </c>
      <c r="L241" s="20" t="n">
        <f aca="false">LN(Narxlar!F242/Narxlar!F241)</f>
        <v>-0.0157138259852113</v>
      </c>
    </row>
    <row r="242" customFormat="false" ht="15" hidden="false" customHeight="false" outlineLevel="0" collapsed="false">
      <c r="A242" s="19" t="n">
        <f aca="false">Narxlar!A243</f>
        <v>45630</v>
      </c>
      <c r="B242" s="20" t="n">
        <f aca="false">Narxlar!B243/Narxlar!B242-1</f>
        <v>0.0122459954672913</v>
      </c>
      <c r="C242" s="20" t="n">
        <f aca="false">Narxlar!C243/Narxlar!C242-1</f>
        <v>0.0150473880429411</v>
      </c>
      <c r="D242" s="20" t="n">
        <f aca="false">Narxlar!D243/Narxlar!D242-1</f>
        <v>0.0230836695316612</v>
      </c>
      <c r="E242" s="20" t="n">
        <f aca="false">Narxlar!E243/Narxlar!E242-1</f>
        <v>0.00639217898101152</v>
      </c>
      <c r="F242" s="20" t="n">
        <f aca="false">Narxlar!F243/Narxlar!F242-1</f>
        <v>0.0353591160220994</v>
      </c>
      <c r="H242" s="20" t="n">
        <f aca="false">LN(Narxlar!B243/Narxlar!B242)</f>
        <v>0.0121716198514673</v>
      </c>
      <c r="I242" s="20" t="n">
        <f aca="false">LN(Narxlar!C243/Narxlar!C242)</f>
        <v>0.0149352991309483</v>
      </c>
      <c r="J242" s="20" t="n">
        <f aca="false">LN(Narxlar!D243/Narxlar!D242)</f>
        <v>0.0228212720234965</v>
      </c>
      <c r="K242" s="20" t="n">
        <f aca="false">LN(Narxlar!E243/Narxlar!E242)</f>
        <v>0.00637183565106376</v>
      </c>
      <c r="L242" s="20" t="n">
        <f aca="false">LN(Narxlar!F243/Narxlar!F242)</f>
        <v>0.034748338538496</v>
      </c>
    </row>
    <row r="243" customFormat="false" ht="15" hidden="false" customHeight="false" outlineLevel="0" collapsed="false">
      <c r="A243" s="19" t="n">
        <f aca="false">Narxlar!A244</f>
        <v>45631</v>
      </c>
      <c r="B243" s="20" t="n">
        <f aca="false">Narxlar!B244/Narxlar!B243-1</f>
        <v>0.000516093777275239</v>
      </c>
      <c r="C243" s="20" t="n">
        <f aca="false">Narxlar!C244/Narxlar!C243-1</f>
        <v>-0.0243826887335162</v>
      </c>
      <c r="D243" s="20" t="n">
        <f aca="false">Narxlar!D244/Narxlar!D243-1</f>
        <v>0.000857250625792894</v>
      </c>
      <c r="E243" s="20" t="n">
        <f aca="false">Narxlar!E244/Narxlar!E243-1</f>
        <v>0</v>
      </c>
      <c r="F243" s="20" t="n">
        <f aca="false">Narxlar!F244/Narxlar!F243-1</f>
        <v>0.0024902170046246</v>
      </c>
      <c r="H243" s="20" t="n">
        <f aca="false">LN(Narxlar!B244/Narxlar!B243)</f>
        <v>0.000515960646685045</v>
      </c>
      <c r="I243" s="20" t="n">
        <f aca="false">LN(Narxlar!C244/Narxlar!C243)</f>
        <v>-0.0246848685722106</v>
      </c>
      <c r="J243" s="20" t="n">
        <f aca="false">LN(Narxlar!D244/Narxlar!D243)</f>
        <v>0.000856883396331987</v>
      </c>
      <c r="K243" s="20" t="n">
        <f aca="false">LN(Narxlar!E244/Narxlar!E243)</f>
        <v>0</v>
      </c>
      <c r="L243" s="20" t="n">
        <f aca="false">LN(Narxlar!F244/Narxlar!F243)</f>
        <v>0.00248712155209355</v>
      </c>
    </row>
    <row r="244" customFormat="false" ht="15" hidden="false" customHeight="false" outlineLevel="0" collapsed="false">
      <c r="A244" s="19" t="n">
        <f aca="false">Narxlar!A245</f>
        <v>45632</v>
      </c>
      <c r="B244" s="20" t="n">
        <f aca="false">Narxlar!B245/Narxlar!B244-1</f>
        <v>-0.0019571104553695</v>
      </c>
      <c r="C244" s="20" t="n">
        <f aca="false">Narxlar!C245/Narxlar!C244-1</f>
        <v>4.53576450309967E-005</v>
      </c>
      <c r="D244" s="20" t="n">
        <f aca="false">Narxlar!D245/Narxlar!D244-1</f>
        <v>0.0107578456900095</v>
      </c>
      <c r="E244" s="20" t="n">
        <f aca="false">Narxlar!E245/Narxlar!E244-1</f>
        <v>-0.00326919484401267</v>
      </c>
      <c r="F244" s="20" t="n">
        <f aca="false">Narxlar!F245/Narxlar!F244-1</f>
        <v>-0.0020108824225219</v>
      </c>
      <c r="H244" s="20" t="n">
        <f aca="false">LN(Narxlar!B245/Narxlar!B244)</f>
        <v>-0.00195902809847149</v>
      </c>
      <c r="I244" s="20" t="n">
        <f aca="false">LN(Narxlar!C245/Narxlar!C244)</f>
        <v>4.53566164041193E-005</v>
      </c>
      <c r="J244" s="20" t="n">
        <f aca="false">LN(Narxlar!D245/Narxlar!D244)</f>
        <v>0.0107003917544835</v>
      </c>
      <c r="K244" s="20" t="n">
        <f aca="false">LN(Narxlar!E245/Narxlar!E244)</f>
        <v>-0.00327455033676167</v>
      </c>
      <c r="L244" s="20" t="n">
        <f aca="false">LN(Narxlar!F245/Narxlar!F244)</f>
        <v>-0.0020129069611085</v>
      </c>
    </row>
    <row r="245" customFormat="false" ht="15" hidden="false" customHeight="false" outlineLevel="0" collapsed="false">
      <c r="A245" s="19" t="n">
        <f aca="false">Narxlar!A246</f>
        <v>45635</v>
      </c>
      <c r="B245" s="20" t="n">
        <f aca="false">Narxlar!B246/Narxlar!B245-1</f>
        <v>-0.00447673844142626</v>
      </c>
      <c r="C245" s="20" t="n">
        <f aca="false">Narxlar!C246/Narxlar!C245-1</f>
        <v>-0.0209996371552975</v>
      </c>
      <c r="D245" s="20" t="n">
        <f aca="false">Narxlar!D246/Narxlar!D245-1</f>
        <v>0.00752491356518203</v>
      </c>
      <c r="E245" s="20" t="n">
        <f aca="false">Narxlar!E246/Narxlar!E245-1</f>
        <v>0.0126511104863649</v>
      </c>
      <c r="F245" s="20" t="n">
        <f aca="false">Narxlar!F246/Narxlar!F245-1</f>
        <v>-0.00607443404053576</v>
      </c>
      <c r="H245" s="20" t="n">
        <f aca="false">LN(Narxlar!B246/Narxlar!B245)</f>
        <v>-0.00448678904212019</v>
      </c>
      <c r="I245" s="20" t="n">
        <f aca="false">LN(Narxlar!C246/Narxlar!C245)</f>
        <v>-0.0212232658238072</v>
      </c>
      <c r="J245" s="20" t="n">
        <f aca="false">LN(Narxlar!D246/Narxlar!D245)</f>
        <v>0.0074967426373655</v>
      </c>
      <c r="K245" s="20" t="n">
        <f aca="false">LN(Narxlar!E246/Narxlar!E245)</f>
        <v>0.0125717537874462</v>
      </c>
      <c r="L245" s="20" t="n">
        <f aca="false">LN(Narxlar!F246/Narxlar!F245)</f>
        <v>-0.00609295847003958</v>
      </c>
    </row>
    <row r="246" customFormat="false" ht="15" hidden="false" customHeight="false" outlineLevel="0" collapsed="false">
      <c r="A246" s="19" t="n">
        <f aca="false">Narxlar!A247</f>
        <v>45636</v>
      </c>
      <c r="B246" s="20" t="n">
        <f aca="false">Narxlar!B247/Narxlar!B246-1</f>
        <v>-0.00677966101694905</v>
      </c>
      <c r="C246" s="20" t="n">
        <f aca="false">Narxlar!C247/Narxlar!C246-1</f>
        <v>0.00699559879545975</v>
      </c>
      <c r="D246" s="20" t="n">
        <f aca="false">Narxlar!D247/Narxlar!D246-1</f>
        <v>-0.00962185439375585</v>
      </c>
      <c r="E246" s="20" t="n">
        <f aca="false">Narxlar!E247/Narxlar!E246-1</f>
        <v>-0.00101795298908014</v>
      </c>
      <c r="F246" s="20" t="n">
        <f aca="false">Narxlar!F247/Narxlar!F246-1</f>
        <v>0.00318993530691958</v>
      </c>
      <c r="H246" s="20" t="n">
        <f aca="false">LN(Narxlar!B247/Narxlar!B246)</f>
        <v>-0.00680274732275241</v>
      </c>
      <c r="I246" s="20" t="n">
        <f aca="false">LN(Narxlar!C247/Narxlar!C246)</f>
        <v>0.00697124311660572</v>
      </c>
      <c r="J246" s="20" t="n">
        <f aca="false">LN(Narxlar!D247/Narxlar!D246)</f>
        <v>-0.00966844352482784</v>
      </c>
      <c r="K246" s="20" t="n">
        <f aca="false">LN(Narxlar!E247/Narxlar!E246)</f>
        <v>-0.00101847145510335</v>
      </c>
      <c r="L246" s="20" t="n">
        <f aca="false">LN(Narxlar!F247/Narxlar!F246)</f>
        <v>0.00318485825739617</v>
      </c>
    </row>
    <row r="247" customFormat="false" ht="15" hidden="false" customHeight="false" outlineLevel="0" collapsed="false">
      <c r="A247" s="19" t="n">
        <f aca="false">Narxlar!A248</f>
        <v>45637</v>
      </c>
      <c r="B247" s="20" t="n">
        <f aca="false">Narxlar!B248/Narxlar!B247-1</f>
        <v>0.00854011007594613</v>
      </c>
      <c r="C247" s="20" t="n">
        <f aca="false">Narxlar!C248/Narxlar!C247-1</f>
        <v>0.0220831799779169</v>
      </c>
      <c r="D247" s="20" t="n">
        <f aca="false">Narxlar!D248/Narxlar!D247-1</f>
        <v>0.0186833344656567</v>
      </c>
      <c r="E247" s="20" t="n">
        <f aca="false">Narxlar!E248/Narxlar!E247-1</f>
        <v>-0.00592867068087077</v>
      </c>
      <c r="F247" s="20" t="n">
        <f aca="false">Narxlar!F248/Narxlar!F247-1</f>
        <v>-0.00511144130757801</v>
      </c>
      <c r="H247" s="20" t="n">
        <f aca="false">LN(Narxlar!B248/Narxlar!B247)</f>
        <v>0.00850384963507242</v>
      </c>
      <c r="I247" s="20" t="n">
        <f aca="false">LN(Narxlar!C248/Narxlar!C247)</f>
        <v>0.0218428778804519</v>
      </c>
      <c r="J247" s="20" t="n">
        <f aca="false">LN(Narxlar!D248/Narxlar!D247)</f>
        <v>0.0185109448704208</v>
      </c>
      <c r="K247" s="20" t="n">
        <f aca="false">LN(Narxlar!E248/Narxlar!E247)</f>
        <v>-0.0059463150217803</v>
      </c>
      <c r="L247" s="20" t="n">
        <f aca="false">LN(Narxlar!F248/Narxlar!F247)</f>
        <v>-0.00512454941030859</v>
      </c>
    </row>
    <row r="248" customFormat="false" ht="15" hidden="false" customHeight="false" outlineLevel="0" collapsed="false">
      <c r="A248" s="19" t="n">
        <f aca="false">Narxlar!A249</f>
        <v>45638</v>
      </c>
      <c r="B248" s="20" t="n">
        <f aca="false">Narxlar!B249/Narxlar!B248-1</f>
        <v>-0.00270573081408199</v>
      </c>
      <c r="C248" s="20" t="n">
        <f aca="false">Narxlar!C249/Narxlar!C248-1</f>
        <v>-0.00900252070579766</v>
      </c>
      <c r="D248" s="20" t="n">
        <f aca="false">Narxlar!D249/Narxlar!D248-1</f>
        <v>-0.0179738562091504</v>
      </c>
      <c r="E248" s="20" t="n">
        <f aca="false">Narxlar!E249/Narxlar!E248-1</f>
        <v>-0.0123939986953686</v>
      </c>
      <c r="F248" s="20" t="n">
        <f aca="false">Narxlar!F249/Narxlar!F248-1</f>
        <v>0.0149351813131011</v>
      </c>
      <c r="H248" s="20" t="n">
        <f aca="false">LN(Narxlar!B249/Narxlar!B248)</f>
        <v>-0.00270939791999575</v>
      </c>
      <c r="I248" s="20" t="n">
        <f aca="false">LN(Narxlar!C249/Narxlar!C248)</f>
        <v>-0.0090432882535653</v>
      </c>
      <c r="J248" s="20" t="n">
        <f aca="false">LN(Narxlar!D249/Narxlar!D248)</f>
        <v>-0.0181373479771186</v>
      </c>
      <c r="K248" s="20" t="n">
        <f aca="false">LN(Narxlar!E249/Narxlar!E248)</f>
        <v>-0.0124714448744201</v>
      </c>
      <c r="L248" s="20" t="n">
        <f aca="false">LN(Narxlar!F249/Narxlar!F248)</f>
        <v>0.0148247496792947</v>
      </c>
    </row>
    <row r="249" customFormat="false" ht="15" hidden="false" customHeight="false" outlineLevel="0" collapsed="false">
      <c r="A249" s="19" t="n">
        <f aca="false">Narxlar!A250</f>
        <v>45639</v>
      </c>
      <c r="B249" s="20" t="n">
        <f aca="false">Narxlar!B250/Narxlar!B249-1</f>
        <v>-0.000359195402298895</v>
      </c>
      <c r="C249" s="20" t="n">
        <f aca="false">Narxlar!C250/Narxlar!C249-1</f>
        <v>0.00967478197674421</v>
      </c>
      <c r="D249" s="20" t="n">
        <f aca="false">Narxlar!D250/Narxlar!D249-1</f>
        <v>-0.00312404495908181</v>
      </c>
      <c r="E249" s="20" t="n">
        <f aca="false">Narxlar!E250/Narxlar!E249-1</f>
        <v>0.00434044159275326</v>
      </c>
      <c r="F249" s="20" t="n">
        <f aca="false">Narxlar!F250/Narxlar!F249-1</f>
        <v>0.00894696568367759</v>
      </c>
      <c r="H249" s="20" t="n">
        <f aca="false">LN(Narxlar!B250/Narxlar!B249)</f>
        <v>-0.000359259928419531</v>
      </c>
      <c r="I249" s="20" t="n">
        <f aca="false">LN(Narxlar!C250/Narxlar!C249)</f>
        <v>0.00962828095783954</v>
      </c>
      <c r="J249" s="20" t="n">
        <f aca="false">LN(Narxlar!D250/Narxlar!D249)</f>
        <v>-0.0031289349746097</v>
      </c>
      <c r="K249" s="20" t="n">
        <f aca="false">LN(Narxlar!E250/Narxlar!E249)</f>
        <v>0.00433104904487232</v>
      </c>
      <c r="L249" s="20" t="n">
        <f aca="false">LN(Narxlar!F250/Narxlar!F249)</f>
        <v>0.00890717872514224</v>
      </c>
    </row>
    <row r="250" customFormat="false" ht="15" hidden="false" customHeight="false" outlineLevel="0" collapsed="false">
      <c r="A250" s="19" t="n">
        <f aca="false">Narxlar!A251</f>
        <v>45642</v>
      </c>
      <c r="B250" s="20" t="n">
        <f aca="false">Narxlar!B251/Narxlar!B250-1</f>
        <v>0.000451066887867668</v>
      </c>
      <c r="C250" s="20" t="n">
        <f aca="false">Narxlar!C251/Narxlar!C250-1</f>
        <v>0.0252822889018849</v>
      </c>
      <c r="D250" s="20" t="n">
        <f aca="false">Narxlar!D251/Narxlar!D250-1</f>
        <v>-0.00701706577647576</v>
      </c>
      <c r="E250" s="20" t="n">
        <f aca="false">Narxlar!E251/Narxlar!E250-1</f>
        <v>-0.0135287485907554</v>
      </c>
      <c r="F250" s="20" t="n">
        <f aca="false">Narxlar!F251/Narxlar!F250-1</f>
        <v>-0.0197771425237734</v>
      </c>
      <c r="H250" s="20" t="n">
        <f aca="false">LN(Narxlar!B251/Narxlar!B250)</f>
        <v>0.000450965187780215</v>
      </c>
      <c r="I250" s="20" t="n">
        <f aca="false">LN(Narxlar!C251/Narxlar!C250)</f>
        <v>0.0249679784804215</v>
      </c>
      <c r="J250" s="20" t="n">
        <f aca="false">LN(Narxlar!D251/Narxlar!D250)</f>
        <v>-0.00704180116367577</v>
      </c>
      <c r="K250" s="20" t="n">
        <f aca="false">LN(Narxlar!E251/Narxlar!E250)</f>
        <v>-0.0136210959519651</v>
      </c>
      <c r="L250" s="20" t="n">
        <f aca="false">LN(Narxlar!F251/Narxlar!F250)</f>
        <v>-0.0199753275822645</v>
      </c>
    </row>
    <row r="251" customFormat="false" ht="15" hidden="false" customHeight="false" outlineLevel="0" collapsed="false">
      <c r="A251" s="19" t="n">
        <f aca="false">Narxlar!A252</f>
        <v>45643</v>
      </c>
      <c r="B251" s="20" t="n">
        <f aca="false">Narxlar!B252/Narxlar!B251-1</f>
        <v>0.00744306892862601</v>
      </c>
      <c r="C251" s="20" t="n">
        <f aca="false">Narxlar!C252/Narxlar!C251-1</f>
        <v>0.0174191566846562</v>
      </c>
      <c r="D251" s="20" t="n">
        <f aca="false">Narxlar!D252/Narxlar!D251-1</f>
        <v>0.0020239442900758</v>
      </c>
      <c r="E251" s="20" t="n">
        <f aca="false">Narxlar!E252/Narxlar!E251-1</f>
        <v>0.00238095238095237</v>
      </c>
      <c r="F251" s="20" t="n">
        <f aca="false">Narxlar!F252/Narxlar!F251-1</f>
        <v>0.0056838471610523</v>
      </c>
      <c r="H251" s="20" t="n">
        <f aca="false">LN(Narxlar!B252/Narxlar!B251)</f>
        <v>0.00741550597523279</v>
      </c>
      <c r="I251" s="20" t="n">
        <f aca="false">LN(Narxlar!C252/Narxlar!C251)</f>
        <v>0.0172691822882922</v>
      </c>
      <c r="J251" s="20" t="n">
        <f aca="false">LN(Narxlar!D252/Narxlar!D251)</f>
        <v>0.00202189887423795</v>
      </c>
      <c r="K251" s="20" t="n">
        <f aca="false">LN(Narxlar!E252/Narxlar!E251)</f>
        <v>0.00237812240496742</v>
      </c>
      <c r="L251" s="20" t="n">
        <f aca="false">LN(Narxlar!F252/Narxlar!F251)</f>
        <v>0.00566775504971678</v>
      </c>
    </row>
    <row r="252" customFormat="false" ht="15" hidden="false" customHeight="false" outlineLevel="0" collapsed="false">
      <c r="A252" s="19" t="n">
        <f aca="false">Narxlar!A253</f>
        <v>45644</v>
      </c>
      <c r="B252" s="20" t="n">
        <f aca="false">Narxlar!B253/Narxlar!B252-1</f>
        <v>-0.00567380190239242</v>
      </c>
      <c r="C252" s="20" t="n">
        <f aca="false">Narxlar!C253/Narxlar!C252-1</f>
        <v>-0.00590822839399685</v>
      </c>
      <c r="D252" s="20" t="n">
        <f aca="false">Narxlar!D253/Narxlar!D252-1</f>
        <v>-0.000410818212940756</v>
      </c>
      <c r="E252" s="20" t="n">
        <f aca="false">Narxlar!E253/Narxlar!E252-1</f>
        <v>0.00152019002375292</v>
      </c>
      <c r="F252" s="20" t="n">
        <f aca="false">Narxlar!F253/Narxlar!F252-1</f>
        <v>-0.0190560733836367</v>
      </c>
      <c r="H252" s="20" t="n">
        <f aca="false">LN(Narxlar!B253/Narxlar!B252)</f>
        <v>-0.00568995906039941</v>
      </c>
      <c r="I252" s="20" t="n">
        <f aca="false">LN(Narxlar!C253/Narxlar!C252)</f>
        <v>-0.00592575102794586</v>
      </c>
      <c r="J252" s="20" t="n">
        <f aca="false">LN(Narxlar!D253/Narxlar!D252)</f>
        <v>-0.000410902621861404</v>
      </c>
      <c r="K252" s="20" t="n">
        <f aca="false">LN(Narxlar!E253/Narxlar!E252)</f>
        <v>0.00151903570460698</v>
      </c>
      <c r="L252" s="20" t="n">
        <f aca="false">LN(Narxlar!F253/Narxlar!F252)</f>
        <v>-0.0192399804629091</v>
      </c>
    </row>
    <row r="253" customFormat="false" ht="15" hidden="false" customHeight="false" outlineLevel="0" collapsed="false">
      <c r="A253" s="19" t="n">
        <f aca="false">Narxlar!A254</f>
        <v>45645</v>
      </c>
      <c r="B253" s="20" t="n">
        <f aca="false">Narxlar!B254/Narxlar!B253-1</f>
        <v>-0.0081015516531131</v>
      </c>
      <c r="C253" s="20" t="n">
        <f aca="false">Narxlar!C254/Narxlar!C253-1</f>
        <v>-0.0154873975098694</v>
      </c>
      <c r="D253" s="20" t="n">
        <f aca="false">Narxlar!D254/Narxlar!D253-1</f>
        <v>-0.022844030413042</v>
      </c>
      <c r="E253" s="20" t="n">
        <f aca="false">Narxlar!E254/Narxlar!E253-1</f>
        <v>-0.0110046485153211</v>
      </c>
      <c r="F253" s="20" t="n">
        <f aca="false">Narxlar!F254/Narxlar!F253-1</f>
        <v>0.00208138517691769</v>
      </c>
      <c r="H253" s="20" t="n">
        <f aca="false">LN(Narxlar!B254/Narxlar!B253)</f>
        <v>-0.00813454755555118</v>
      </c>
      <c r="I253" s="20" t="n">
        <f aca="false">LN(Narxlar!C254/Narxlar!C253)</f>
        <v>-0.0156085800807428</v>
      </c>
      <c r="J253" s="20" t="n">
        <f aca="false">LN(Narxlar!D254/Narxlar!D253)</f>
        <v>-0.0231089983429509</v>
      </c>
      <c r="K253" s="20" t="n">
        <f aca="false">LN(Narxlar!E254/Narxlar!E253)</f>
        <v>-0.011065647588187</v>
      </c>
      <c r="L253" s="20" t="n">
        <f aca="false">LN(Narxlar!F254/Narxlar!F253)</f>
        <v>0.00207922209574039</v>
      </c>
    </row>
    <row r="254" customFormat="false" ht="15" hidden="false" customHeight="false" outlineLevel="0" collapsed="false">
      <c r="A254" s="19" t="n">
        <f aca="false">Narxlar!A255</f>
        <v>45646</v>
      </c>
      <c r="B254" s="20" t="n">
        <f aca="false">Narxlar!B255/Narxlar!B254-1</f>
        <v>0.00965206423429521</v>
      </c>
      <c r="C254" s="20" t="n">
        <f aca="false">Narxlar!C255/Narxlar!C254-1</f>
        <v>0.0147616109985018</v>
      </c>
      <c r="D254" s="20" t="n">
        <f aca="false">Narxlar!D255/Narxlar!D254-1</f>
        <v>0.0267778907153622</v>
      </c>
      <c r="E254" s="20" t="n">
        <f aca="false">Narxlar!E255/Narxlar!E254-1</f>
        <v>0.0102637889688249</v>
      </c>
      <c r="F254" s="20" t="n">
        <f aca="false">Narxlar!F255/Narxlar!F254-1</f>
        <v>0.0215833835039132</v>
      </c>
      <c r="H254" s="20" t="n">
        <f aca="false">LN(Narxlar!B255/Narxlar!B254)</f>
        <v>0.00960578064542842</v>
      </c>
      <c r="I254" s="20" t="n">
        <f aca="false">LN(Narxlar!C255/Narxlar!C254)</f>
        <v>0.0146537188970814</v>
      </c>
      <c r="J254" s="20" t="n">
        <f aca="false">LN(Narxlar!D255/Narxlar!D254)</f>
        <v>0.0264256375619147</v>
      </c>
      <c r="K254" s="20" t="n">
        <f aca="false">LN(Narxlar!E255/Narxlar!E254)</f>
        <v>0.0102114739491977</v>
      </c>
      <c r="L254" s="20" t="n">
        <f aca="false">LN(Narxlar!F255/Narxlar!F254)</f>
        <v>0.0213537604354649</v>
      </c>
    </row>
    <row r="255" customFormat="false" ht="15" hidden="false" customHeight="false" outlineLevel="0" collapsed="false">
      <c r="A255" s="19" t="n">
        <f aca="false">Narxlar!A256</f>
        <v>45649</v>
      </c>
      <c r="B255" s="20" t="n">
        <f aca="false">Narxlar!B256/Narxlar!B255-1</f>
        <v>0.00426572414476056</v>
      </c>
      <c r="C255" s="20" t="n">
        <f aca="false">Narxlar!C256/Narxlar!C255-1</f>
        <v>-0.00199748143644973</v>
      </c>
      <c r="D255" s="20" t="n">
        <f aca="false">Narxlar!D256/Narxlar!D255-1</f>
        <v>0.00621266427718048</v>
      </c>
      <c r="E255" s="20" t="n">
        <f aca="false">Narxlar!E256/Narxlar!E255-1</f>
        <v>-0.00655146221040637</v>
      </c>
      <c r="F255" s="20" t="n">
        <f aca="false">Narxlar!F256/Narxlar!F255-1</f>
        <v>0.00639420101953614</v>
      </c>
      <c r="H255" s="20" t="n">
        <f aca="false">LN(Narxlar!B256/Narxlar!B255)</f>
        <v>0.00425665173463632</v>
      </c>
      <c r="I255" s="20" t="n">
        <f aca="false">LN(Narxlar!C256/Narxlar!C255)</f>
        <v>-0.00199947906308557</v>
      </c>
      <c r="J255" s="20" t="n">
        <f aca="false">LN(Narxlar!D256/Narxlar!D255)</f>
        <v>0.00619344523835215</v>
      </c>
      <c r="K255" s="20" t="n">
        <f aca="false">LN(Narxlar!E256/Narxlar!E255)</f>
        <v>-0.00657301723515271</v>
      </c>
      <c r="L255" s="20" t="n">
        <f aca="false">LN(Narxlar!F256/Narxlar!F255)</f>
        <v>0.00637384484443342</v>
      </c>
    </row>
    <row r="256" customFormat="false" ht="15" hidden="false" customHeight="false" outlineLevel="0" collapsed="false">
      <c r="A256" s="19" t="n">
        <f aca="false">Narxlar!A257</f>
        <v>45650</v>
      </c>
      <c r="B256" s="20" t="n">
        <f aca="false">Narxlar!B257/Narxlar!B256-1</f>
        <v>0.00477855566258834</v>
      </c>
      <c r="C256" s="20" t="n">
        <f aca="false">Narxlar!C257/Narxlar!C256-1</f>
        <v>-0.00865857372840795</v>
      </c>
      <c r="D256" s="20" t="n">
        <f aca="false">Narxlar!D257/Narxlar!D256-1</f>
        <v>0.00692064999830366</v>
      </c>
      <c r="E256" s="20" t="n">
        <f aca="false">Narxlar!E257/Narxlar!E256-1</f>
        <v>0.00229379719009848</v>
      </c>
      <c r="F256" s="20" t="n">
        <f aca="false">Narxlar!F257/Narxlar!F256-1</f>
        <v>0.0295133805703578</v>
      </c>
      <c r="H256" s="20" t="n">
        <f aca="false">LN(Narxlar!B257/Narxlar!B256)</f>
        <v>0.00476717460774629</v>
      </c>
      <c r="I256" s="20" t="n">
        <f aca="false">LN(Narxlar!C257/Narxlar!C256)</f>
        <v>-0.00869627697322829</v>
      </c>
      <c r="J256" s="20" t="n">
        <f aca="false">LN(Narxlar!D257/Narxlar!D256)</f>
        <v>0.00689681221886052</v>
      </c>
      <c r="K256" s="20" t="n">
        <f aca="false">LN(Narxlar!E257/Narxlar!E256)</f>
        <v>0.00229117045335786</v>
      </c>
      <c r="L256" s="20" t="n">
        <f aca="false">LN(Narxlar!F257/Narxlar!F256)</f>
        <v>0.0290862445555506</v>
      </c>
    </row>
    <row r="257" customFormat="false" ht="15" hidden="false" customHeight="false" outlineLevel="0" collapsed="false">
      <c r="A257" s="19" t="n">
        <f aca="false">Narxlar!A258</f>
        <v>45651</v>
      </c>
      <c r="B257" s="20" t="n">
        <f aca="false">Narxlar!B258/Narxlar!B257-1</f>
        <v>0.00445387222670957</v>
      </c>
      <c r="C257" s="20" t="n">
        <f aca="false">Narxlar!C258/Narxlar!C257-1</f>
        <v>0.00548630617977519</v>
      </c>
      <c r="D257" s="20" t="n">
        <f aca="false">Narxlar!D258/Narxlar!D257-1</f>
        <v>0.0146895320238536</v>
      </c>
      <c r="E257" s="20" t="n">
        <f aca="false">Narxlar!E258/Narxlar!E257-1</f>
        <v>0.00953561552398208</v>
      </c>
      <c r="F257" s="20" t="n">
        <f aca="false">Narxlar!F258/Narxlar!F257-1</f>
        <v>0.016836357431318</v>
      </c>
      <c r="H257" s="20" t="n">
        <f aca="false">LN(Narxlar!B258/Narxlar!B257)</f>
        <v>0.00444398309023129</v>
      </c>
      <c r="I257" s="20" t="n">
        <f aca="false">LN(Narxlar!C258/Narxlar!C257)</f>
        <v>0.00547131122164562</v>
      </c>
      <c r="J257" s="20" t="n">
        <f aca="false">LN(Narxlar!D258/Narxlar!D257)</f>
        <v>0.0145826859235345</v>
      </c>
      <c r="K257" s="20" t="n">
        <f aca="false">LN(Narxlar!E258/Narxlar!E257)</f>
        <v>0.00949043850897464</v>
      </c>
      <c r="L257" s="20" t="n">
        <f aca="false">LN(Narxlar!F258/Narxlar!F257)</f>
        <v>0.016696196972299</v>
      </c>
    </row>
    <row r="258" customFormat="false" ht="15" hidden="false" customHeight="false" outlineLevel="0" collapsed="false">
      <c r="A258" s="19" t="n">
        <f aca="false">Narxlar!A259</f>
        <v>45652</v>
      </c>
      <c r="B258" s="20" t="n">
        <f aca="false">Narxlar!B259/Narxlar!B258-1</f>
        <v>0.0109274832968835</v>
      </c>
      <c r="C258" s="20" t="n">
        <f aca="false">Narxlar!C259/Narxlar!C258-1</f>
        <v>0.0170675280457462</v>
      </c>
      <c r="D258" s="20" t="n">
        <f aca="false">Narxlar!D259/Narxlar!D258-1</f>
        <v>0.00713882524819876</v>
      </c>
      <c r="E258" s="20" t="n">
        <f aca="false">Narxlar!E259/Narxlar!E258-1</f>
        <v>0.0037782185699442</v>
      </c>
      <c r="F258" s="20" t="n">
        <f aca="false">Narxlar!F259/Narxlar!F258-1</f>
        <v>0.0403591206578284</v>
      </c>
      <c r="H258" s="20" t="n">
        <f aca="false">LN(Narxlar!B259/Narxlar!B258)</f>
        <v>0.0108682097673463</v>
      </c>
      <c r="I258" s="20" t="n">
        <f aca="false">LN(Narxlar!C259/Narxlar!C258)</f>
        <v>0.0169235141204439</v>
      </c>
      <c r="J258" s="20" t="n">
        <f aca="false">LN(Narxlar!D259/Narxlar!D258)</f>
        <v>0.00711346446118994</v>
      </c>
      <c r="K258" s="20" t="n">
        <f aca="false">LN(Narxlar!E259/Narxlar!E258)</f>
        <v>0.00377109902931533</v>
      </c>
      <c r="L258" s="20" t="n">
        <f aca="false">LN(Narxlar!F259/Narxlar!F258)</f>
        <v>0.0395659618729178</v>
      </c>
    </row>
    <row r="259" customFormat="false" ht="15" hidden="false" customHeight="false" outlineLevel="0" collapsed="false">
      <c r="A259" s="19" t="n">
        <f aca="false">Narxlar!A260</f>
        <v>45653</v>
      </c>
      <c r="B259" s="20" t="n">
        <f aca="false">Narxlar!B260/Narxlar!B259-1</f>
        <v>0.0114635760112405</v>
      </c>
      <c r="C259" s="20" t="n">
        <f aca="false">Narxlar!C260/Narxlar!C259-1</f>
        <v>0.0116738197424893</v>
      </c>
      <c r="D259" s="20" t="n">
        <f aca="false">Narxlar!D260/Narxlar!D259-1</f>
        <v>0.00125280232098124</v>
      </c>
      <c r="E259" s="20" t="n">
        <f aca="false">Narxlar!E260/Narxlar!E259-1</f>
        <v>0.00112919920956056</v>
      </c>
      <c r="F259" s="20" t="n">
        <f aca="false">Narxlar!F260/Narxlar!F259-1</f>
        <v>0.00733930155657725</v>
      </c>
      <c r="H259" s="20" t="n">
        <f aca="false">LN(Narxlar!B260/Narxlar!B259)</f>
        <v>0.0113983671020972</v>
      </c>
      <c r="I259" s="20" t="n">
        <f aca="false">LN(Narxlar!C260/Narxlar!C259)</f>
        <v>0.011606206404012</v>
      </c>
      <c r="J259" s="20" t="n">
        <f aca="false">LN(Narxlar!D260/Narxlar!D259)</f>
        <v>0.0012520182189684</v>
      </c>
      <c r="K259" s="20" t="n">
        <f aca="false">LN(Narxlar!E260/Narxlar!E259)</f>
        <v>0.00112856214367089</v>
      </c>
      <c r="L259" s="20" t="n">
        <f aca="false">LN(Narxlar!F260/Narxlar!F259)</f>
        <v>0.00731249993978141</v>
      </c>
    </row>
    <row r="260" customFormat="false" ht="15" hidden="false" customHeight="false" outlineLevel="0" collapsed="false">
      <c r="A260" s="19" t="n">
        <f aca="false">Narxlar!A261</f>
        <v>45656</v>
      </c>
      <c r="B260" s="20" t="n">
        <f aca="false">Narxlar!B261/Narxlar!B260-1</f>
        <v>-0.0031163867553563</v>
      </c>
      <c r="C260" s="20" t="n">
        <f aca="false">Narxlar!C261/Narxlar!C260-1</f>
        <v>-0.00330901069064993</v>
      </c>
      <c r="D260" s="20" t="n">
        <f aca="false">Narxlar!D261/Narxlar!D260-1</f>
        <v>0.00204148831083306</v>
      </c>
      <c r="E260" s="20" t="n">
        <f aca="false">Narxlar!E261/Narxlar!E260-1</f>
        <v>-0.0131591314973212</v>
      </c>
      <c r="F260" s="20" t="n">
        <f aca="false">Narxlar!F261/Narxlar!F260-1</f>
        <v>-0.0178275954096611</v>
      </c>
      <c r="H260" s="20" t="n">
        <f aca="false">LN(Narxlar!B261/Narxlar!B260)</f>
        <v>-0.00312125280084376</v>
      </c>
      <c r="I260" s="20" t="n">
        <f aca="false">LN(Narxlar!C261/Narxlar!C260)</f>
        <v>-0.00331449757397268</v>
      </c>
      <c r="J260" s="20" t="n">
        <f aca="false">LN(Narxlar!D261/Narxlar!D260)</f>
        <v>0.0020394073053224</v>
      </c>
      <c r="K260" s="20" t="n">
        <f aca="false">LN(Narxlar!E261/Narxlar!E260)</f>
        <v>-0.0132464800014247</v>
      </c>
      <c r="L260" s="20" t="n">
        <f aca="false">LN(Narxlar!F261/Narxlar!F260)</f>
        <v>-0.0179884212814134</v>
      </c>
    </row>
    <row r="261" customFormat="false" ht="15" hidden="false" customHeight="false" outlineLevel="0" collapsed="false">
      <c r="A261" s="19" t="n">
        <f aca="false">Narxlar!A262</f>
        <v>45657</v>
      </c>
      <c r="B261" s="20" t="n">
        <f aca="false">Narxlar!B262/Narxlar!B261-1</f>
        <v>0.000420257905641153</v>
      </c>
      <c r="C261" s="20" t="n">
        <f aca="false">Narxlar!C262/Narxlar!C261-1</f>
        <v>0.0131097301438665</v>
      </c>
      <c r="D261" s="20" t="n">
        <f aca="false">Narxlar!D262/Narxlar!D261-1</f>
        <v>0.000854363827549998</v>
      </c>
      <c r="E261" s="20" t="n">
        <f aca="false">Narxlar!E262/Narxlar!E261-1</f>
        <v>0.00809600914372788</v>
      </c>
      <c r="F261" s="20" t="n">
        <f aca="false">Narxlar!F262/Narxlar!F261-1</f>
        <v>0.0173903592196076</v>
      </c>
      <c r="H261" s="20" t="n">
        <f aca="false">LN(Narxlar!B262/Narxlar!B261)</f>
        <v>0.000420169622021252</v>
      </c>
      <c r="I261" s="20" t="n">
        <f aca="false">LN(Narxlar!C262/Narxlar!C261)</f>
        <v>0.0130245413585539</v>
      </c>
      <c r="J261" s="20" t="n">
        <f aca="false">LN(Narxlar!D262/Narxlar!D261)</f>
        <v>0.000853999066519386</v>
      </c>
      <c r="K261" s="20" t="n">
        <f aca="false">LN(Narxlar!E262/Narxlar!E261)</f>
        <v>0.00806341227985023</v>
      </c>
      <c r="L261" s="20" t="n">
        <f aca="false">LN(Narxlar!F262/Narxlar!F261)</f>
        <v>0.017240877461894</v>
      </c>
    </row>
    <row r="262" customFormat="false" ht="15" hidden="false" customHeight="false" outlineLevel="0" collapsed="false">
      <c r="A262" s="19" t="n">
        <f aca="false">Narxlar!A263</f>
        <v>45658</v>
      </c>
      <c r="B262" s="20" t="n">
        <f aca="false">Narxlar!B263/Narxlar!B262-1</f>
        <v>-0.00161399681622554</v>
      </c>
      <c r="C262" s="20" t="n">
        <f aca="false">Narxlar!C263/Narxlar!C262-1</f>
        <v>-0.0180657087639694</v>
      </c>
      <c r="D262" s="20" t="n">
        <f aca="false">Narxlar!D263/Narxlar!D262-1</f>
        <v>0.0111957449602731</v>
      </c>
      <c r="E262" s="20" t="n">
        <f aca="false">Narxlar!E263/Narxlar!E262-1</f>
        <v>0.00396825396825395</v>
      </c>
      <c r="F262" s="20" t="n">
        <f aca="false">Narxlar!F263/Narxlar!F262-1</f>
        <v>-0.0260402756263021</v>
      </c>
      <c r="H262" s="20" t="n">
        <f aca="false">LN(Narxlar!B263/Narxlar!B262)</f>
        <v>-0.00161530071226517</v>
      </c>
      <c r="I262" s="20" t="n">
        <f aca="false">LN(Narxlar!C263/Narxlar!C262)</f>
        <v>-0.0182308860680575</v>
      </c>
      <c r="J262" s="20" t="n">
        <f aca="false">LN(Narxlar!D263/Narxlar!D262)</f>
        <v>0.0111335364904803</v>
      </c>
      <c r="K262" s="20" t="n">
        <f aca="false">LN(Narxlar!E263/Narxlar!E262)</f>
        <v>0.00396040121609691</v>
      </c>
      <c r="L262" s="20" t="n">
        <f aca="false">LN(Narxlar!F263/Narxlar!F262)</f>
        <v>-0.0263853269402576</v>
      </c>
    </row>
    <row r="263" customFormat="false" ht="15" hidden="false" customHeight="false" outlineLevel="0" collapsed="false">
      <c r="A263" s="19" t="n">
        <f aca="false">Narxlar!A264</f>
        <v>45659</v>
      </c>
      <c r="B263" s="20" t="n">
        <f aca="false">Narxlar!B264/Narxlar!B263-1</f>
        <v>0.0103418494268062</v>
      </c>
      <c r="C263" s="20" t="n">
        <f aca="false">Narxlar!C264/Narxlar!C263-1</f>
        <v>0.0062467910320041</v>
      </c>
      <c r="D263" s="20" t="n">
        <f aca="false">Narxlar!D264/Narxlar!D263-1</f>
        <v>0.0152277671352965</v>
      </c>
      <c r="E263" s="20" t="n">
        <f aca="false">Narxlar!E264/Narxlar!E263-1</f>
        <v>0.0134575569358177</v>
      </c>
      <c r="F263" s="20" t="n">
        <f aca="false">Narxlar!F264/Narxlar!F263-1</f>
        <v>0.00987193901335459</v>
      </c>
      <c r="H263" s="20" t="n">
        <f aca="false">LN(Narxlar!B264/Narxlar!B263)</f>
        <v>0.0102887383659021</v>
      </c>
      <c r="I263" s="20" t="n">
        <f aca="false">LN(Narxlar!C264/Narxlar!C263)</f>
        <v>0.00622736070903342</v>
      </c>
      <c r="J263" s="20" t="n">
        <f aca="false">LN(Narxlar!D264/Narxlar!D263)</f>
        <v>0.0151129884381044</v>
      </c>
      <c r="K263" s="20" t="n">
        <f aca="false">LN(Narxlar!E264/Narxlar!E263)</f>
        <v>0.0133678083179923</v>
      </c>
      <c r="L263" s="20" t="n">
        <f aca="false">LN(Narxlar!F264/Narxlar!F263)</f>
        <v>0.00982352975816446</v>
      </c>
    </row>
    <row r="264" customFormat="false" ht="15" hidden="false" customHeight="false" outlineLevel="0" collapsed="false">
      <c r="A264" s="19" t="n">
        <f aca="false">Narxlar!A265</f>
        <v>45660</v>
      </c>
      <c r="B264" s="20" t="n">
        <f aca="false">Narxlar!B265/Narxlar!B264-1</f>
        <v>0.00966610652443922</v>
      </c>
      <c r="C264" s="20" t="n">
        <f aca="false">Narxlar!C265/Narxlar!C264-1</f>
        <v>0.000595288715026898</v>
      </c>
      <c r="D264" s="20" t="n">
        <f aca="false">Narxlar!D265/Narxlar!D264-1</f>
        <v>-0.000607649993603632</v>
      </c>
      <c r="E264" s="20" t="n">
        <f aca="false">Narxlar!E265/Narxlar!E264-1</f>
        <v>-0.000650013928869875</v>
      </c>
      <c r="F264" s="20" t="n">
        <f aca="false">Narxlar!F265/Narxlar!F264-1</f>
        <v>0.00787465718087277</v>
      </c>
      <c r="H264" s="20" t="n">
        <f aca="false">LN(Narxlar!B265/Narxlar!B264)</f>
        <v>0.00961968859747637</v>
      </c>
      <c r="I264" s="20" t="n">
        <f aca="false">LN(Narxlar!C265/Narxlar!C264)</f>
        <v>0.00059511160098562</v>
      </c>
      <c r="J264" s="20" t="n">
        <f aca="false">LN(Narxlar!D265/Narxlar!D264)</f>
        <v>-0.000607834687684356</v>
      </c>
      <c r="K264" s="20" t="n">
        <f aca="false">LN(Narxlar!E265/Narxlar!E264)</f>
        <v>-0.000650225279515943</v>
      </c>
      <c r="L264" s="20" t="n">
        <f aca="false">LN(Narxlar!F265/Narxlar!F264)</f>
        <v>0.00784381388247058</v>
      </c>
    </row>
    <row r="265" customFormat="false" ht="15" hidden="false" customHeight="false" outlineLevel="0" collapsed="false">
      <c r="A265" s="19" t="n">
        <f aca="false">Narxlar!A266</f>
        <v>45663</v>
      </c>
      <c r="B265" s="20" t="n">
        <f aca="false">Narxlar!B266/Narxlar!B265-1</f>
        <v>-0.00811907983761839</v>
      </c>
      <c r="C265" s="20" t="n">
        <f aca="false">Narxlar!C266/Narxlar!C265-1</f>
        <v>-0.00203977562468127</v>
      </c>
      <c r="D265" s="20" t="n">
        <f aca="false">Narxlar!D266/Narxlar!D265-1</f>
        <v>-0.0122243911805178</v>
      </c>
      <c r="E265" s="20" t="n">
        <f aca="false">Narxlar!E266/Narxlar!E265-1</f>
        <v>-0.0255528712135291</v>
      </c>
      <c r="F265" s="20" t="n">
        <f aca="false">Narxlar!F266/Narxlar!F265-1</f>
        <v>-0.0213918150712612</v>
      </c>
      <c r="H265" s="20" t="n">
        <f aca="false">LN(Narxlar!B266/Narxlar!B265)</f>
        <v>-0.00815221906155027</v>
      </c>
      <c r="I265" s="20" t="n">
        <f aca="false">LN(Narxlar!C266/Narxlar!C265)</f>
        <v>-0.00204185880027004</v>
      </c>
      <c r="J265" s="20" t="n">
        <f aca="false">LN(Narxlar!D266/Narxlar!D265)</f>
        <v>-0.0122997236086167</v>
      </c>
      <c r="K265" s="20" t="n">
        <f aca="false">LN(Narxlar!E266/Narxlar!E265)</f>
        <v>-0.0258850162149599</v>
      </c>
      <c r="L265" s="20" t="n">
        <f aca="false">LN(Narxlar!F266/Narxlar!F265)</f>
        <v>-0.0216239362455382</v>
      </c>
    </row>
    <row r="266" customFormat="false" ht="15" hidden="false" customHeight="false" outlineLevel="0" collapsed="false">
      <c r="A266" s="19" t="n">
        <f aca="false">Narxlar!A267</f>
        <v>45664</v>
      </c>
      <c r="B266" s="20" t="n">
        <f aca="false">Narxlar!B267/Narxlar!B266-1</f>
        <v>-0.0109651202661394</v>
      </c>
      <c r="C266" s="20" t="n">
        <f aca="false">Narxlar!C267/Narxlar!C266-1</f>
        <v>-0.00485436893203883</v>
      </c>
      <c r="D266" s="20" t="n">
        <f aca="false">Narxlar!D267/Narxlar!D266-1</f>
        <v>-0.00920076457057695</v>
      </c>
      <c r="E266" s="20" t="n">
        <f aca="false">Narxlar!E267/Narxlar!E266-1</f>
        <v>-0.00762849241918562</v>
      </c>
      <c r="F266" s="20" t="n">
        <f aca="false">Narxlar!F267/Narxlar!F266-1</f>
        <v>-0.0326239572722518</v>
      </c>
      <c r="H266" s="20" t="n">
        <f aca="false">LN(Narxlar!B267/Narxlar!B266)</f>
        <v>-0.0110256803029927</v>
      </c>
      <c r="I266" s="20" t="n">
        <f aca="false">LN(Narxlar!C267/Narxlar!C266)</f>
        <v>-0.0048661896511729</v>
      </c>
      <c r="J266" s="20" t="n">
        <f aca="false">LN(Narxlar!D267/Narxlar!D266)</f>
        <v>-0.0092433530371707</v>
      </c>
      <c r="K266" s="20" t="n">
        <f aca="false">LN(Narxlar!E267/Narxlar!E266)</f>
        <v>-0.00765773819654568</v>
      </c>
      <c r="L266" s="20" t="n">
        <f aca="false">LN(Narxlar!F267/Narxlar!F266)</f>
        <v>-0.0331679834980534</v>
      </c>
    </row>
    <row r="267" customFormat="false" ht="15" hidden="false" customHeight="false" outlineLevel="0" collapsed="false">
      <c r="A267" s="19" t="n">
        <f aca="false">Narxlar!A268</f>
        <v>45665</v>
      </c>
      <c r="B267" s="20" t="n">
        <f aca="false">Narxlar!B268/Narxlar!B267-1</f>
        <v>-0.00292841968606161</v>
      </c>
      <c r="C267" s="20" t="n">
        <f aca="false">Narxlar!C268/Narxlar!C267-1</f>
        <v>0.00577663671373552</v>
      </c>
      <c r="D267" s="20" t="n">
        <f aca="false">Narxlar!D268/Narxlar!D267-1</f>
        <v>-0.00794559068763689</v>
      </c>
      <c r="E267" s="20" t="n">
        <f aca="false">Narxlar!E268/Narxlar!E267-1</f>
        <v>0.00595752858652832</v>
      </c>
      <c r="F267" s="20" t="n">
        <f aca="false">Narxlar!F268/Narxlar!F267-1</f>
        <v>0.00196368603790775</v>
      </c>
      <c r="H267" s="20" t="n">
        <f aca="false">LN(Narxlar!B268/Narxlar!B267)</f>
        <v>-0.0029327158964452</v>
      </c>
      <c r="I267" s="20" t="n">
        <f aca="false">LN(Narxlar!C268/Narxlar!C267)</f>
        <v>0.00576001592532721</v>
      </c>
      <c r="J267" s="20" t="n">
        <f aca="false">LN(Narxlar!D268/Narxlar!D267)</f>
        <v>-0.00797732510422591</v>
      </c>
      <c r="K267" s="20" t="n">
        <f aca="false">LN(Narxlar!E268/Narxlar!E267)</f>
        <v>0.00593985268149556</v>
      </c>
      <c r="L267" s="20" t="n">
        <f aca="false">LN(Narxlar!F268/Narxlar!F267)</f>
        <v>0.0019617605268008</v>
      </c>
    </row>
    <row r="268" customFormat="false" ht="15" hidden="false" customHeight="false" outlineLevel="0" collapsed="false">
      <c r="A268" s="19" t="n">
        <f aca="false">Narxlar!A269</f>
        <v>45666</v>
      </c>
      <c r="B268" s="20" t="n">
        <f aca="false">Narxlar!B269/Narxlar!B268-1</f>
        <v>-0.00557811956706689</v>
      </c>
      <c r="C268" s="20" t="n">
        <f aca="false">Narxlar!C269/Narxlar!C268-1</f>
        <v>-0.0172729206551797</v>
      </c>
      <c r="D268" s="20" t="n">
        <f aca="false">Narxlar!D269/Narxlar!D268-1</f>
        <v>-0.0086025049439683</v>
      </c>
      <c r="E268" s="20" t="n">
        <f aca="false">Narxlar!E269/Narxlar!E268-1</f>
        <v>-0.00582672652593375</v>
      </c>
      <c r="F268" s="20" t="n">
        <f aca="false">Narxlar!F269/Narxlar!F268-1</f>
        <v>-0.0118442355213452</v>
      </c>
      <c r="H268" s="20" t="n">
        <f aca="false">LN(Narxlar!B269/Narxlar!B268)</f>
        <v>-0.00559373537432042</v>
      </c>
      <c r="I268" s="20" t="n">
        <f aca="false">LN(Narxlar!C269/Narxlar!C268)</f>
        <v>-0.017423837928677</v>
      </c>
      <c r="J268" s="20" t="n">
        <f aca="false">LN(Narxlar!D269/Narxlar!D268)</f>
        <v>-0.00863972007221477</v>
      </c>
      <c r="K268" s="20" t="n">
        <f aca="false">LN(Narxlar!E269/Narxlar!E268)</f>
        <v>-0.00584376812701378</v>
      </c>
      <c r="L268" s="20" t="n">
        <f aca="false">LN(Narxlar!F269/Narxlar!F268)</f>
        <v>-0.0119149373058125</v>
      </c>
    </row>
    <row r="269" customFormat="false" ht="15" hidden="false" customHeight="false" outlineLevel="0" collapsed="false">
      <c r="A269" s="19" t="n">
        <f aca="false">Narxlar!A270</f>
        <v>45667</v>
      </c>
      <c r="B269" s="20" t="n">
        <f aca="false">Narxlar!B270/Narxlar!B269-1</f>
        <v>-0.000587723279049546</v>
      </c>
      <c r="C269" s="20" t="n">
        <f aca="false">Narxlar!C270/Narxlar!C269-1</f>
        <v>0.00909130265379443</v>
      </c>
      <c r="D269" s="20" t="n">
        <f aca="false">Narxlar!D270/Narxlar!D269-1</f>
        <v>-0.0303201569201104</v>
      </c>
      <c r="E269" s="20" t="n">
        <f aca="false">Narxlar!E270/Narxlar!E269-1</f>
        <v>-0.00297847809377405</v>
      </c>
      <c r="F269" s="20" t="n">
        <f aca="false">Narxlar!F270/Narxlar!F269-1</f>
        <v>0.0220753089968382</v>
      </c>
      <c r="H269" s="20" t="n">
        <f aca="false">LN(Narxlar!B270/Narxlar!B269)</f>
        <v>-0.000587896056075951</v>
      </c>
      <c r="I269" s="20" t="n">
        <f aca="false">LN(Narxlar!C270/Narxlar!C269)</f>
        <v>0.00905022553711561</v>
      </c>
      <c r="J269" s="20" t="n">
        <f aca="false">LN(Narxlar!D270/Narxlar!D269)</f>
        <v>-0.0307893206465894</v>
      </c>
      <c r="K269" s="20" t="n">
        <f aca="false">LN(Narxlar!E270/Narxlar!E269)</f>
        <v>-0.00298292258706283</v>
      </c>
      <c r="L269" s="20" t="n">
        <f aca="false">LN(Narxlar!F270/Narxlar!F269)</f>
        <v>0.0218351769305293</v>
      </c>
    </row>
    <row r="270" customFormat="false" ht="15" hidden="false" customHeight="false" outlineLevel="0" collapsed="false">
      <c r="A270" s="19" t="n">
        <f aca="false">Narxlar!A271</f>
        <v>45670</v>
      </c>
      <c r="B270" s="20" t="n">
        <f aca="false">Narxlar!B271/Narxlar!B270-1</f>
        <v>0.00627521624558947</v>
      </c>
      <c r="C270" s="20" t="n">
        <f aca="false">Narxlar!C271/Narxlar!C270-1</f>
        <v>0.0114548028658459</v>
      </c>
      <c r="D270" s="20" t="n">
        <f aca="false">Narxlar!D271/Narxlar!D270-1</f>
        <v>0.00596564610690153</v>
      </c>
      <c r="E270" s="20" t="n">
        <f aca="false">Narxlar!E271/Narxlar!E270-1</f>
        <v>0.00751662330153224</v>
      </c>
      <c r="F270" s="20" t="n">
        <f aca="false">Narxlar!F271/Narxlar!F270-1</f>
        <v>-0.0167332245908094</v>
      </c>
      <c r="H270" s="20" t="n">
        <f aca="false">LN(Narxlar!B271/Narxlar!B270)</f>
        <v>0.00625560905959502</v>
      </c>
      <c r="I270" s="20" t="n">
        <f aca="false">LN(Narxlar!C271/Narxlar!C270)</f>
        <v>0.0113896933508611</v>
      </c>
      <c r="J270" s="20" t="n">
        <f aca="false">LN(Narxlar!D271/Narxlar!D270)</f>
        <v>0.00594792209535328</v>
      </c>
      <c r="K270" s="20" t="n">
        <f aca="false">LN(Narxlar!E271/Narxlar!E270)</f>
        <v>0.00748851425745555</v>
      </c>
      <c r="L270" s="20" t="n">
        <f aca="false">LN(Narxlar!F271/Narxlar!F270)</f>
        <v>-0.0168748066317355</v>
      </c>
    </row>
    <row r="271" customFormat="false" ht="15" hidden="false" customHeight="false" outlineLevel="0" collapsed="false">
      <c r="A271" s="19" t="n">
        <f aca="false">Narxlar!A272</f>
        <v>45671</v>
      </c>
      <c r="B271" s="20" t="n">
        <f aca="false">Narxlar!B272/Narxlar!B271-1</f>
        <v>-0.00395025928199966</v>
      </c>
      <c r="C271" s="20" t="n">
        <f aca="false">Narxlar!C272/Narxlar!C271-1</f>
        <v>0.00886494740413979</v>
      </c>
      <c r="D271" s="20" t="n">
        <f aca="false">Narxlar!D272/Narxlar!D271-1</f>
        <v>0.00201083807641189</v>
      </c>
      <c r="E271" s="20" t="n">
        <f aca="false">Narxlar!E272/Narxlar!E271-1</f>
        <v>-0.00593017694882836</v>
      </c>
      <c r="F271" s="20" t="n">
        <f aca="false">Narxlar!F272/Narxlar!F271-1</f>
        <v>-0.00735062780653839</v>
      </c>
      <c r="H271" s="20" t="n">
        <f aca="false">LN(Narxlar!B272/Narxlar!B271)</f>
        <v>-0.00395808216460305</v>
      </c>
      <c r="I271" s="20" t="n">
        <f aca="false">LN(Narxlar!C272/Narxlar!C271)</f>
        <v>0.00882588444885119</v>
      </c>
      <c r="J271" s="20" t="n">
        <f aca="false">LN(Narxlar!D272/Narxlar!D271)</f>
        <v>0.00200881904770059</v>
      </c>
      <c r="K271" s="20" t="n">
        <f aca="false">LN(Narxlar!E272/Narxlar!E271)</f>
        <v>-0.00594783027431233</v>
      </c>
      <c r="L271" s="20" t="n">
        <f aca="false">LN(Narxlar!F272/Narxlar!F271)</f>
        <v>-0.00737777679433242</v>
      </c>
    </row>
    <row r="272" customFormat="false" ht="15" hidden="false" customHeight="false" outlineLevel="0" collapsed="false">
      <c r="A272" s="19" t="n">
        <f aca="false">Narxlar!A273</f>
        <v>45672</v>
      </c>
      <c r="B272" s="20" t="n">
        <f aca="false">Narxlar!B273/Narxlar!B272-1</f>
        <v>0.011266496839885</v>
      </c>
      <c r="C272" s="20" t="n">
        <f aca="false">Narxlar!C273/Narxlar!C272-1</f>
        <v>0.00588606264452385</v>
      </c>
      <c r="D272" s="20" t="n">
        <f aca="false">Narxlar!D273/Narxlar!D272-1</f>
        <v>0.0094217687074829</v>
      </c>
      <c r="E272" s="20" t="n">
        <f aca="false">Narxlar!E273/Narxlar!E272-1</f>
        <v>-0.0151063215625902</v>
      </c>
      <c r="F272" s="20" t="n">
        <f aca="false">Narxlar!F273/Narxlar!F272-1</f>
        <v>0.0356134385985132</v>
      </c>
      <c r="H272" s="20" t="n">
        <f aca="false">LN(Narxlar!B273/Narxlar!B272)</f>
        <v>0.011203502572594</v>
      </c>
      <c r="I272" s="20" t="n">
        <f aca="false">LN(Narxlar!C273/Narxlar!C272)</f>
        <v>0.00586880745477315</v>
      </c>
      <c r="J272" s="20" t="n">
        <f aca="false">LN(Narxlar!D273/Narxlar!D272)</f>
        <v>0.00937766067868559</v>
      </c>
      <c r="K272" s="20" t="n">
        <f aca="false">LN(Narxlar!E273/Narxlar!E272)</f>
        <v>-0.0152215843087422</v>
      </c>
      <c r="L272" s="20" t="n">
        <f aca="false">LN(Narxlar!F273/Narxlar!F272)</f>
        <v>0.0349939454415183</v>
      </c>
    </row>
    <row r="273" customFormat="false" ht="15" hidden="false" customHeight="false" outlineLevel="0" collapsed="false">
      <c r="A273" s="19" t="n">
        <f aca="false">Narxlar!A274</f>
        <v>45673</v>
      </c>
      <c r="B273" s="20" t="n">
        <f aca="false">Narxlar!B274/Narxlar!B273-1</f>
        <v>-0.00970888046767138</v>
      </c>
      <c r="C273" s="20" t="n">
        <f aca="false">Narxlar!C274/Narxlar!C273-1</f>
        <v>-0.0185161964472309</v>
      </c>
      <c r="D273" s="20" t="n">
        <f aca="false">Narxlar!D274/Narxlar!D273-1</f>
        <v>-0.00724466758769415</v>
      </c>
      <c r="E273" s="20" t="n">
        <f aca="false">Narxlar!E274/Narxlar!E273-1</f>
        <v>-0.00361469323954666</v>
      </c>
      <c r="F273" s="20" t="n">
        <f aca="false">Narxlar!F274/Narxlar!F273-1</f>
        <v>-0.0405375326915586</v>
      </c>
      <c r="H273" s="20" t="n">
        <f aca="false">LN(Narxlar!B274/Narxlar!B273)</f>
        <v>-0.00975631894704321</v>
      </c>
      <c r="I273" s="20" t="n">
        <f aca="false">LN(Narxlar!C274/Narxlar!C273)</f>
        <v>-0.0186897671309978</v>
      </c>
      <c r="J273" s="20" t="n">
        <f aca="false">LN(Narxlar!D274/Narxlar!D273)</f>
        <v>-0.00727103763057499</v>
      </c>
      <c r="K273" s="20" t="n">
        <f aca="false">LN(Narxlar!E274/Narxlar!E273)</f>
        <v>-0.00362124202916126</v>
      </c>
      <c r="L273" s="20" t="n">
        <f aca="false">LN(Narxlar!F274/Narxlar!F273)</f>
        <v>-0.0413820812265758</v>
      </c>
    </row>
    <row r="274" customFormat="false" ht="15" hidden="false" customHeight="false" outlineLevel="0" collapsed="false">
      <c r="A274" s="19" t="n">
        <f aca="false">Narxlar!A275</f>
        <v>45674</v>
      </c>
      <c r="B274" s="20" t="n">
        <f aca="false">Narxlar!B275/Narxlar!B274-1</f>
        <v>0.00473146349060372</v>
      </c>
      <c r="C274" s="20" t="n">
        <f aca="false">Narxlar!C275/Narxlar!C274-1</f>
        <v>0.00370496550549349</v>
      </c>
      <c r="D274" s="20" t="n">
        <f aca="false">Narxlar!D275/Narxlar!D274-1</f>
        <v>0.00940194148394546</v>
      </c>
      <c r="E274" s="20" t="n">
        <f aca="false">Narxlar!E275/Narxlar!E274-1</f>
        <v>0.00294146484949498</v>
      </c>
      <c r="F274" s="20" t="n">
        <f aca="false">Narxlar!F275/Narxlar!F274-1</f>
        <v>-0.0113962592431492</v>
      </c>
      <c r="H274" s="20" t="n">
        <f aca="false">LN(Narxlar!B275/Narxlar!B274)</f>
        <v>0.00472030529976137</v>
      </c>
      <c r="I274" s="20" t="n">
        <f aca="false">LN(Narxlar!C275/Narxlar!C274)</f>
        <v>0.00369811902623055</v>
      </c>
      <c r="J274" s="20" t="n">
        <f aca="false">LN(Narxlar!D275/Narxlar!D274)</f>
        <v>0.00935801832612357</v>
      </c>
      <c r="K274" s="20" t="n">
        <f aca="false">LN(Narxlar!E275/Narxlar!E274)</f>
        <v>0.00293714720648918</v>
      </c>
      <c r="L274" s="20" t="n">
        <f aca="false">LN(Narxlar!F275/Narxlar!F274)</f>
        <v>-0.0114616942232034</v>
      </c>
    </row>
    <row r="275" customFormat="false" ht="15" hidden="false" customHeight="false" outlineLevel="0" collapsed="false">
      <c r="A275" s="19" t="n">
        <f aca="false">Narxlar!A276</f>
        <v>45677</v>
      </c>
      <c r="B275" s="20" t="n">
        <f aca="false">Narxlar!B276/Narxlar!B275-1</f>
        <v>-0.00261293179805133</v>
      </c>
      <c r="C275" s="20" t="n">
        <f aca="false">Narxlar!C276/Narxlar!C275-1</f>
        <v>-0.00776443633586488</v>
      </c>
      <c r="D275" s="20" t="n">
        <f aca="false">Narxlar!D276/Narxlar!D275-1</f>
        <v>-0.00571639934093282</v>
      </c>
      <c r="E275" s="20" t="n">
        <f aca="false">Narxlar!E276/Narxlar!E275-1</f>
        <v>-0.014664190047903</v>
      </c>
      <c r="F275" s="20" t="n">
        <f aca="false">Narxlar!F276/Narxlar!F275-1</f>
        <v>0.00489850991434948</v>
      </c>
      <c r="H275" s="20" t="n">
        <f aca="false">LN(Narxlar!B276/Narxlar!B275)</f>
        <v>-0.00261635146254091</v>
      </c>
      <c r="I275" s="20" t="n">
        <f aca="false">LN(Narxlar!C276/Narxlar!C275)</f>
        <v>-0.00779473651612398</v>
      </c>
      <c r="J275" s="20" t="n">
        <f aca="false">LN(Narxlar!D276/Narxlar!D275)</f>
        <v>-0.00573280048517118</v>
      </c>
      <c r="K275" s="20" t="n">
        <f aca="false">LN(Narxlar!E276/Narxlar!E275)</f>
        <v>-0.0147727721021294</v>
      </c>
      <c r="L275" s="20" t="n">
        <f aca="false">LN(Narxlar!F276/Narxlar!F275)</f>
        <v>0.00488655125184325</v>
      </c>
    </row>
    <row r="276" customFormat="false" ht="15" hidden="false" customHeight="false" outlineLevel="0" collapsed="false">
      <c r="A276" s="19" t="n">
        <f aca="false">Narxlar!A277</f>
        <v>45678</v>
      </c>
      <c r="B276" s="20" t="n">
        <f aca="false">Narxlar!B277/Narxlar!B276-1</f>
        <v>0.00757071178011626</v>
      </c>
      <c r="C276" s="20" t="n">
        <f aca="false">Narxlar!C277/Narxlar!C276-1</f>
        <v>0.0159069528777902</v>
      </c>
      <c r="D276" s="20" t="n">
        <f aca="false">Narxlar!D277/Narxlar!D276-1</f>
        <v>0.00341573945686369</v>
      </c>
      <c r="E276" s="20" t="n">
        <f aca="false">Narxlar!E277/Narxlar!E276-1</f>
        <v>0.00535767437245749</v>
      </c>
      <c r="F276" s="20" t="n">
        <f aca="false">Narxlar!F277/Narxlar!F276-1</f>
        <v>0.0112379228815787</v>
      </c>
      <c r="H276" s="20" t="n">
        <f aca="false">LN(Narxlar!B277/Narxlar!B276)</f>
        <v>0.00754219776551533</v>
      </c>
      <c r="I276" s="20" t="n">
        <f aca="false">LN(Narxlar!C277/Narxlar!C276)</f>
        <v>0.0157817631492212</v>
      </c>
      <c r="J276" s="20" t="n">
        <f aca="false">LN(Narxlar!D277/Narxlar!D276)</f>
        <v>0.00340991906903153</v>
      </c>
      <c r="K276" s="20" t="n">
        <f aca="false">LN(Narxlar!E277/Narxlar!E276)</f>
        <v>0.00534337309343954</v>
      </c>
      <c r="L276" s="20" t="n">
        <f aca="false">LN(Narxlar!F277/Narxlar!F276)</f>
        <v>0.0111752465569041</v>
      </c>
    </row>
    <row r="277" customFormat="false" ht="15" hidden="false" customHeight="false" outlineLevel="0" collapsed="false">
      <c r="A277" s="19" t="n">
        <f aca="false">Narxlar!A278</f>
        <v>45679</v>
      </c>
      <c r="B277" s="20" t="n">
        <f aca="false">Narxlar!B278/Narxlar!B277-1</f>
        <v>0.00585388067484893</v>
      </c>
      <c r="C277" s="20" t="n">
        <f aca="false">Narxlar!C278/Narxlar!C277-1</f>
        <v>0.0291691219799646</v>
      </c>
      <c r="D277" s="20" t="n">
        <f aca="false">Narxlar!D278/Narxlar!D277-1</f>
        <v>0.0194135490394338</v>
      </c>
      <c r="E277" s="20" t="n">
        <f aca="false">Narxlar!E278/Narxlar!E277-1</f>
        <v>-0.00473699792756344</v>
      </c>
      <c r="F277" s="20" t="n">
        <f aca="false">Narxlar!F278/Narxlar!F277-1</f>
        <v>0.00666782126775201</v>
      </c>
      <c r="H277" s="20" t="n">
        <f aca="false">LN(Narxlar!B278/Narxlar!B277)</f>
        <v>0.00583681328993635</v>
      </c>
      <c r="I277" s="20" t="n">
        <f aca="false">LN(Narxlar!C278/Narxlar!C277)</f>
        <v>0.0287517990126603</v>
      </c>
      <c r="J277" s="20" t="n">
        <f aca="false">LN(Narxlar!D278/Narxlar!D277)</f>
        <v>0.0192275100258184</v>
      </c>
      <c r="K277" s="20" t="n">
        <f aca="false">LN(Narxlar!E278/Narxlar!E277)</f>
        <v>-0.00474825306000543</v>
      </c>
      <c r="L277" s="20" t="n">
        <f aca="false">LN(Narxlar!F278/Narxlar!F277)</f>
        <v>0.00664568967273136</v>
      </c>
    </row>
    <row r="278" customFormat="false" ht="15" hidden="false" customHeight="false" outlineLevel="0" collapsed="false">
      <c r="A278" s="19" t="n">
        <f aca="false">Narxlar!A279</f>
        <v>45680</v>
      </c>
      <c r="B278" s="20" t="n">
        <f aca="false">Narxlar!B279/Narxlar!B278-1</f>
        <v>-0.0243380602573277</v>
      </c>
      <c r="C278" s="20" t="n">
        <f aca="false">Narxlar!C279/Narxlar!C278-1</f>
        <v>-0.023843605578504</v>
      </c>
      <c r="D278" s="20" t="n">
        <f aca="false">Narxlar!D279/Narxlar!D278-1</f>
        <v>-0.025391787343781</v>
      </c>
      <c r="E278" s="20" t="n">
        <f aca="false">Narxlar!E279/Narxlar!E278-1</f>
        <v>-0.0249876053544869</v>
      </c>
      <c r="F278" s="20" t="n">
        <f aca="false">Narxlar!F279/Narxlar!F278-1</f>
        <v>-0.0397992831541218</v>
      </c>
      <c r="H278" s="20" t="n">
        <f aca="false">LN(Narxlar!B279/Narxlar!B278)</f>
        <v>-0.024639125784577</v>
      </c>
      <c r="I278" s="20" t="n">
        <f aca="false">LN(Narxlar!C279/Narxlar!C278)</f>
        <v>-0.0241324652201728</v>
      </c>
      <c r="J278" s="20" t="n">
        <f aca="false">LN(Narxlar!D279/Narxlar!D278)</f>
        <v>-0.0257197219139826</v>
      </c>
      <c r="K278" s="20" t="n">
        <f aca="false">LN(Narxlar!E279/Narxlar!E278)</f>
        <v>-0.0253050956081559</v>
      </c>
      <c r="L278" s="20" t="n">
        <f aca="false">LN(Narxlar!F279/Narxlar!F278)</f>
        <v>-0.0406129363266524</v>
      </c>
    </row>
    <row r="279" customFormat="false" ht="15" hidden="false" customHeight="false" outlineLevel="0" collapsed="false">
      <c r="A279" s="19" t="n">
        <f aca="false">Narxlar!A280</f>
        <v>45681</v>
      </c>
      <c r="B279" s="20" t="n">
        <f aca="false">Narxlar!B280/Narxlar!B279-1</f>
        <v>0.00894374050429203</v>
      </c>
      <c r="C279" s="20" t="n">
        <f aca="false">Narxlar!C280/Narxlar!C279-1</f>
        <v>0.0207809619574326</v>
      </c>
      <c r="D279" s="20" t="n">
        <f aca="false">Narxlar!D280/Narxlar!D279-1</f>
        <v>0.00196756903453421</v>
      </c>
      <c r="E279" s="20" t="n">
        <f aca="false">Narxlar!E280/Narxlar!E279-1</f>
        <v>0.00193226889047082</v>
      </c>
      <c r="F279" s="20" t="n">
        <f aca="false">Narxlar!F280/Narxlar!F279-1</f>
        <v>0.0694000656971363</v>
      </c>
      <c r="H279" s="20" t="n">
        <f aca="false">LN(Narxlar!B280/Narxlar!B279)</f>
        <v>0.00890398214033647</v>
      </c>
      <c r="I279" s="20" t="n">
        <f aca="false">LN(Narxlar!C280/Narxlar!C279)</f>
        <v>0.0205679833144028</v>
      </c>
      <c r="J279" s="20" t="n">
        <f aca="false">LN(Narxlar!D280/Narxlar!D279)</f>
        <v>0.00196563590587545</v>
      </c>
      <c r="K279" s="20" t="n">
        <f aca="false">LN(Narxlar!E280/Narxlar!E279)</f>
        <v>0.00193040446027226</v>
      </c>
      <c r="L279" s="20" t="n">
        <f aca="false">LN(Narxlar!F280/Narxlar!F279)</f>
        <v>0.0670978049661338</v>
      </c>
    </row>
    <row r="280" customFormat="false" ht="15" hidden="false" customHeight="false" outlineLevel="0" collapsed="false">
      <c r="A280" s="19" t="n">
        <f aca="false">Narxlar!A281</f>
        <v>45684</v>
      </c>
      <c r="B280" s="20" t="n">
        <f aca="false">Narxlar!B281/Narxlar!B280-1</f>
        <v>0.000363479912171449</v>
      </c>
      <c r="C280" s="20" t="n">
        <f aca="false">Narxlar!C281/Narxlar!C280-1</f>
        <v>0.0051305204399934</v>
      </c>
      <c r="D280" s="20" t="n">
        <f aca="false">Narxlar!D281/Narxlar!D280-1</f>
        <v>-0.00782096424702061</v>
      </c>
      <c r="E280" s="20" t="n">
        <f aca="false">Narxlar!E281/Narxlar!E280-1</f>
        <v>0.000304506699147389</v>
      </c>
      <c r="F280" s="20" t="n">
        <f aca="false">Narxlar!F281/Narxlar!F280-1</f>
        <v>-0.000614336377090852</v>
      </c>
      <c r="H280" s="20" t="n">
        <f aca="false">LN(Narxlar!B281/Narxlar!B280)</f>
        <v>0.000363413869351181</v>
      </c>
      <c r="I280" s="20" t="n">
        <f aca="false">LN(Narxlar!C281/Narxlar!C280)</f>
        <v>0.00511740416309041</v>
      </c>
      <c r="J280" s="20" t="n">
        <f aca="false">LN(Narxlar!D281/Narxlar!D280)</f>
        <v>-0.00785170839204913</v>
      </c>
      <c r="K280" s="20" t="n">
        <f aca="false">LN(Narxlar!E281/Narxlar!E280)</f>
        <v>0.000304460346392054</v>
      </c>
      <c r="L280" s="20" t="n">
        <f aca="false">LN(Narxlar!F281/Narxlar!F280)</f>
        <v>-0.000614525159003984</v>
      </c>
    </row>
    <row r="281" customFormat="false" ht="15" hidden="false" customHeight="false" outlineLevel="0" collapsed="false">
      <c r="A281" s="19" t="n">
        <f aca="false">Narxlar!A282</f>
        <v>45685</v>
      </c>
      <c r="B281" s="20" t="n">
        <f aca="false">Narxlar!B282/Narxlar!B281-1</f>
        <v>-0.00428602148942947</v>
      </c>
      <c r="C281" s="20" t="n">
        <f aca="false">Narxlar!C282/Narxlar!C281-1</f>
        <v>-0.004655151292417</v>
      </c>
      <c r="D281" s="20" t="n">
        <f aca="false">Narxlar!D282/Narxlar!D281-1</f>
        <v>-0.00730250810441901</v>
      </c>
      <c r="E281" s="20" t="n">
        <f aca="false">Narxlar!E282/Narxlar!E281-1</f>
        <v>-0.00892947742262806</v>
      </c>
      <c r="F281" s="20" t="n">
        <f aca="false">Narxlar!F282/Narxlar!F281-1</f>
        <v>-0.0380843275866887</v>
      </c>
      <c r="H281" s="20" t="n">
        <f aca="false">LN(Narxlar!B282/Narxlar!B281)</f>
        <v>-0.00429523280889772</v>
      </c>
      <c r="I281" s="20" t="n">
        <f aca="false">LN(Narxlar!C282/Narxlar!C281)</f>
        <v>-0.00466602025341775</v>
      </c>
      <c r="J281" s="20" t="n">
        <f aca="false">LN(Narxlar!D282/Narxlar!D281)</f>
        <v>-0.00732930193787364</v>
      </c>
      <c r="K281" s="20" t="n">
        <f aca="false">LN(Narxlar!E282/Narxlar!E281)</f>
        <v>-0.0089695841393435</v>
      </c>
      <c r="L281" s="20" t="n">
        <f aca="false">LN(Narxlar!F282/Narxlar!F281)</f>
        <v>-0.0388284907726929</v>
      </c>
    </row>
    <row r="282" customFormat="false" ht="15" hidden="false" customHeight="false" outlineLevel="0" collapsed="false">
      <c r="A282" s="19" t="n">
        <f aca="false">Narxlar!A283</f>
        <v>45686</v>
      </c>
      <c r="B282" s="20" t="n">
        <f aca="false">Narxlar!B283/Narxlar!B282-1</f>
        <v>-0.000871320161752842</v>
      </c>
      <c r="C282" s="20" t="n">
        <f aca="false">Narxlar!C283/Narxlar!C282-1</f>
        <v>0.00681025641025634</v>
      </c>
      <c r="D282" s="20" t="n">
        <f aca="false">Narxlar!D283/Narxlar!D282-1</f>
        <v>0.0129593345020798</v>
      </c>
      <c r="E282" s="20" t="n">
        <f aca="false">Narxlar!E283/Narxlar!E282-1</f>
        <v>-0.00511927920548783</v>
      </c>
      <c r="F282" s="20" t="n">
        <f aca="false">Narxlar!F283/Narxlar!F282-1</f>
        <v>-0.00700052286062858</v>
      </c>
      <c r="H282" s="20" t="n">
        <f aca="false">LN(Narxlar!B283/Narxlar!B282)</f>
        <v>-0.000871699981810924</v>
      </c>
      <c r="I282" s="20" t="n">
        <f aca="false">LN(Narxlar!C283/Narxlar!C282)</f>
        <v>0.00678717136485506</v>
      </c>
      <c r="J282" s="20" t="n">
        <f aca="false">LN(Narxlar!D283/Narxlar!D282)</f>
        <v>0.0128760808300483</v>
      </c>
      <c r="K282" s="20" t="n">
        <f aca="false">LN(Narxlar!E283/Narxlar!E282)</f>
        <v>-0.005132427608038</v>
      </c>
      <c r="L282" s="20" t="n">
        <f aca="false">LN(Narxlar!F283/Narxlar!F282)</f>
        <v>-0.00702514148355684</v>
      </c>
    </row>
    <row r="283" customFormat="false" ht="15" hidden="false" customHeight="false" outlineLevel="0" collapsed="false">
      <c r="A283" s="19" t="n">
        <f aca="false">Narxlar!A284</f>
        <v>45687</v>
      </c>
      <c r="B283" s="20" t="n">
        <f aca="false">Narxlar!B284/Narxlar!B283-1</f>
        <v>-0.00576914476528356</v>
      </c>
      <c r="C283" s="20" t="n">
        <f aca="false">Narxlar!C284/Narxlar!C283-1</f>
        <v>-0.0061122203659183</v>
      </c>
      <c r="D283" s="20" t="n">
        <f aca="false">Narxlar!D284/Narxlar!D283-1</f>
        <v>-0.00509026740871454</v>
      </c>
      <c r="E283" s="20" t="n">
        <f aca="false">Narxlar!E284/Narxlar!E283-1</f>
        <v>-0.00267572295976126</v>
      </c>
      <c r="F283" s="20" t="n">
        <f aca="false">Narxlar!F284/Narxlar!F283-1</f>
        <v>-0.028579786456048</v>
      </c>
      <c r="H283" s="20" t="n">
        <f aca="false">LN(Narxlar!B284/Narxlar!B283)</f>
        <v>-0.00578585056404466</v>
      </c>
      <c r="I283" s="20" t="n">
        <f aca="false">LN(Narxlar!C284/Narxlar!C283)</f>
        <v>-0.00613097645142686</v>
      </c>
      <c r="J283" s="20" t="n">
        <f aca="false">LN(Narxlar!D284/Narxlar!D283)</f>
        <v>-0.00510326695272782</v>
      </c>
      <c r="K283" s="20" t="n">
        <f aca="false">LN(Narxlar!E284/Narxlar!E283)</f>
        <v>-0.00267930910488896</v>
      </c>
      <c r="L283" s="20" t="n">
        <f aca="false">LN(Narxlar!F284/Narxlar!F283)</f>
        <v>-0.0289961406150196</v>
      </c>
    </row>
    <row r="284" customFormat="false" ht="15" hidden="false" customHeight="false" outlineLevel="0" collapsed="false">
      <c r="A284" s="19" t="n">
        <f aca="false">Narxlar!A285</f>
        <v>45688</v>
      </c>
      <c r="B284" s="20" t="n">
        <f aca="false">Narxlar!B285/Narxlar!B284-1</f>
        <v>-0.0128347377575195</v>
      </c>
      <c r="C284" s="20" t="n">
        <f aca="false">Narxlar!C285/Narxlar!C284-1</f>
        <v>-0.0128326021893321</v>
      </c>
      <c r="D284" s="20" t="n">
        <f aca="false">Narxlar!D285/Narxlar!D284-1</f>
        <v>-0.0110512313254656</v>
      </c>
      <c r="E284" s="20" t="n">
        <f aca="false">Narxlar!E285/Narxlar!E284-1</f>
        <v>-0.0118666804251367</v>
      </c>
      <c r="F284" s="20" t="n">
        <f aca="false">Narxlar!F285/Narxlar!F284-1</f>
        <v>-0.0134606119007468</v>
      </c>
      <c r="H284" s="20" t="n">
        <f aca="false">LN(Narxlar!B285/Narxlar!B284)</f>
        <v>-0.0129178146161766</v>
      </c>
      <c r="I284" s="20" t="n">
        <f aca="false">LN(Narxlar!C285/Narxlar!C284)</f>
        <v>-0.0129156512845045</v>
      </c>
      <c r="J284" s="20" t="n">
        <f aca="false">LN(Narxlar!D285/Narxlar!D284)</f>
        <v>-0.0111127498391336</v>
      </c>
      <c r="K284" s="20" t="n">
        <f aca="false">LN(Narxlar!E285/Narxlar!E284)</f>
        <v>-0.011937651496741</v>
      </c>
      <c r="L284" s="20" t="n">
        <f aca="false">LN(Narxlar!F285/Narxlar!F284)</f>
        <v>-0.0135520272012232</v>
      </c>
    </row>
    <row r="285" customFormat="false" ht="15" hidden="false" customHeight="false" outlineLevel="0" collapsed="false">
      <c r="A285" s="19" t="n">
        <f aca="false">Narxlar!A286</f>
        <v>45691</v>
      </c>
      <c r="B285" s="20" t="n">
        <f aca="false">Narxlar!B286/Narxlar!B285-1</f>
        <v>0.00473890458397896</v>
      </c>
      <c r="C285" s="20" t="n">
        <f aca="false">Narxlar!C286/Narxlar!C285-1</f>
        <v>0.00336406678295531</v>
      </c>
      <c r="D285" s="20" t="n">
        <f aca="false">Narxlar!D286/Narxlar!D285-1</f>
        <v>0.0186590329033594</v>
      </c>
      <c r="E285" s="20" t="n">
        <f aca="false">Narxlar!E286/Narxlar!E285-1</f>
        <v>0.00762322472848798</v>
      </c>
      <c r="F285" s="20" t="n">
        <f aca="false">Narxlar!F286/Narxlar!F285-1</f>
        <v>0.0173682122035348</v>
      </c>
      <c r="H285" s="20" t="n">
        <f aca="false">LN(Narxlar!B286/Narxlar!B285)</f>
        <v>0.00472771132424772</v>
      </c>
      <c r="I285" s="20" t="n">
        <f aca="false">LN(Narxlar!C286/Narxlar!C285)</f>
        <v>0.00335842096868278</v>
      </c>
      <c r="J285" s="20" t="n">
        <f aca="false">LN(Narxlar!D286/Narxlar!D285)</f>
        <v>0.0184870887304929</v>
      </c>
      <c r="K285" s="20" t="n">
        <f aca="false">LN(Narxlar!E286/Narxlar!E285)</f>
        <v>0.00759431478257482</v>
      </c>
      <c r="L285" s="20" t="n">
        <f aca="false">LN(Narxlar!F286/Narxlar!F285)</f>
        <v>0.017219108770134</v>
      </c>
    </row>
    <row r="286" customFormat="false" ht="15" hidden="false" customHeight="false" outlineLevel="0" collapsed="false">
      <c r="A286" s="19" t="n">
        <f aca="false">Narxlar!A287</f>
        <v>45692</v>
      </c>
      <c r="B286" s="20" t="n">
        <f aca="false">Narxlar!B287/Narxlar!B286-1</f>
        <v>0.00860166288737729</v>
      </c>
      <c r="C286" s="20" t="n">
        <f aca="false">Narxlar!C287/Narxlar!C286-1</f>
        <v>0.000289747092180992</v>
      </c>
      <c r="D286" s="20" t="n">
        <f aca="false">Narxlar!D287/Narxlar!D286-1</f>
        <v>0.0111393262231252</v>
      </c>
      <c r="E286" s="20" t="n">
        <f aca="false">Narxlar!E287/Narxlar!E286-1</f>
        <v>0.0131619856979999</v>
      </c>
      <c r="F286" s="20" t="n">
        <f aca="false">Narxlar!F287/Narxlar!F286-1</f>
        <v>0.00246024602460238</v>
      </c>
      <c r="H286" s="20" t="n">
        <f aca="false">LN(Narxlar!B287/Narxlar!B286)</f>
        <v>0.00856487936761308</v>
      </c>
      <c r="I286" s="20" t="n">
        <f aca="false">LN(Narxlar!C287/Narxlar!C286)</f>
        <v>0.000289705123598932</v>
      </c>
      <c r="J286" s="20" t="n">
        <f aca="false">LN(Narxlar!D287/Narxlar!D286)</f>
        <v>0.0110777408530842</v>
      </c>
      <c r="K286" s="20" t="n">
        <f aca="false">LN(Narxlar!E287/Narxlar!E286)</f>
        <v>0.0130761193909928</v>
      </c>
      <c r="L286" s="20" t="n">
        <f aca="false">LN(Narxlar!F287/Narxlar!F286)</f>
        <v>0.00245722457401144</v>
      </c>
    </row>
    <row r="287" customFormat="false" ht="15" hidden="false" customHeight="false" outlineLevel="0" collapsed="false">
      <c r="A287" s="19" t="n">
        <f aca="false">Narxlar!A288</f>
        <v>45693</v>
      </c>
      <c r="B287" s="20" t="n">
        <f aca="false">Narxlar!B288/Narxlar!B287-1</f>
        <v>-0.00263043510844008</v>
      </c>
      <c r="C287" s="20" t="n">
        <f aca="false">Narxlar!C288/Narxlar!C287-1</f>
        <v>0.0216833567822561</v>
      </c>
      <c r="D287" s="20" t="n">
        <f aca="false">Narxlar!D288/Narxlar!D287-1</f>
        <v>-0.000669702652022486</v>
      </c>
      <c r="E287" s="20" t="n">
        <f aca="false">Narxlar!E288/Narxlar!E287-1</f>
        <v>-0.00429623567921444</v>
      </c>
      <c r="F287" s="20" t="n">
        <f aca="false">Narxlar!F288/Narxlar!F287-1</f>
        <v>0.0015263977014246</v>
      </c>
      <c r="H287" s="20" t="n">
        <f aca="false">LN(Narxlar!B288/Narxlar!B287)</f>
        <v>-0.00263390078168974</v>
      </c>
      <c r="I287" s="20" t="n">
        <f aca="false">LN(Narxlar!C288/Narxlar!C287)</f>
        <v>0.0214516167519717</v>
      </c>
      <c r="J287" s="20" t="n">
        <f aca="false">LN(Narxlar!D288/Narxlar!D287)</f>
        <v>-0.000669927003014777</v>
      </c>
      <c r="K287" s="20" t="n">
        <f aca="false">LN(Narxlar!E288/Narxlar!E287)</f>
        <v>-0.00430549101797699</v>
      </c>
      <c r="L287" s="20" t="n">
        <f aca="false">LN(Narxlar!F288/Narxlar!F287)</f>
        <v>0.00152523394054392</v>
      </c>
    </row>
    <row r="288" customFormat="false" ht="15" hidden="false" customHeight="false" outlineLevel="0" collapsed="false">
      <c r="A288" s="19" t="n">
        <f aca="false">Narxlar!A289</f>
        <v>45694</v>
      </c>
      <c r="B288" s="20" t="n">
        <f aca="false">Narxlar!B289/Narxlar!B288-1</f>
        <v>-0.00589088340709454</v>
      </c>
      <c r="C288" s="20" t="n">
        <f aca="false">Narxlar!C289/Narxlar!C288-1</f>
        <v>0.0046577561765897</v>
      </c>
      <c r="D288" s="20" t="n">
        <f aca="false">Narxlar!D289/Narxlar!D288-1</f>
        <v>0.0157820667470849</v>
      </c>
      <c r="E288" s="20" t="n">
        <f aca="false">Narxlar!E289/Narxlar!E288-1</f>
        <v>-0.0201356071501952</v>
      </c>
      <c r="F288" s="20" t="n">
        <f aca="false">Narxlar!F289/Narxlar!F288-1</f>
        <v>-0.00143442010578854</v>
      </c>
      <c r="H288" s="20" t="n">
        <f aca="false">LN(Narxlar!B289/Narxlar!B288)</f>
        <v>-0.00590830310605255</v>
      </c>
      <c r="I288" s="20" t="n">
        <f aca="false">LN(Narxlar!C289/Narxlar!C288)</f>
        <v>0.00464694239592407</v>
      </c>
      <c r="J288" s="20" t="n">
        <f aca="false">LN(Narxlar!D289/Narxlar!D288)</f>
        <v>0.0156588249144262</v>
      </c>
      <c r="K288" s="20" t="n">
        <f aca="false">LN(Narxlar!E289/Narxlar!E288)</f>
        <v>-0.02034109153523</v>
      </c>
      <c r="L288" s="20" t="n">
        <f aca="false">LN(Narxlar!F289/Narxlar!F288)</f>
        <v>-0.0014354498711704</v>
      </c>
    </row>
    <row r="289" customFormat="false" ht="15" hidden="false" customHeight="false" outlineLevel="0" collapsed="false">
      <c r="A289" s="19" t="n">
        <f aca="false">Narxlar!A290</f>
        <v>45695</v>
      </c>
      <c r="B289" s="20" t="n">
        <f aca="false">Narxlar!B290/Narxlar!B289-1</f>
        <v>0.0151621656349439</v>
      </c>
      <c r="C289" s="20" t="n">
        <f aca="false">Narxlar!C290/Narxlar!C289-1</f>
        <v>-0.00137069139286439</v>
      </c>
      <c r="D289" s="20" t="n">
        <f aca="false">Narxlar!D290/Narxlar!D289-1</f>
        <v>0.0208477651327725</v>
      </c>
      <c r="E289" s="20" t="n">
        <f aca="false">Narxlar!E290/Narxlar!E289-1</f>
        <v>0.0124764101488781</v>
      </c>
      <c r="F289" s="20" t="n">
        <f aca="false">Narxlar!F290/Narxlar!F289-1</f>
        <v>0.0501271883884482</v>
      </c>
      <c r="H289" s="20" t="n">
        <f aca="false">LN(Narxlar!B290/Narxlar!B289)</f>
        <v>0.0150483688304944</v>
      </c>
      <c r="I289" s="20" t="n">
        <f aca="false">LN(Narxlar!C290/Narxlar!C289)</f>
        <v>-0.00137163164961106</v>
      </c>
      <c r="J289" s="20" t="n">
        <f aca="false">LN(Narxlar!D290/Narxlar!D289)</f>
        <v>0.0206334243757254</v>
      </c>
      <c r="K289" s="20" t="n">
        <f aca="false">LN(Narxlar!E290/Narxlar!E289)</f>
        <v>0.0123992211087482</v>
      </c>
      <c r="L289" s="20" t="n">
        <f aca="false">LN(Narxlar!F290/Narxlar!F289)</f>
        <v>0.0489112886320902</v>
      </c>
    </row>
    <row r="290" customFormat="false" ht="15" hidden="false" customHeight="false" outlineLevel="0" collapsed="false">
      <c r="A290" s="19" t="n">
        <f aca="false">Narxlar!A291</f>
        <v>45698</v>
      </c>
      <c r="B290" s="20" t="n">
        <f aca="false">Narxlar!B291/Narxlar!B290-1</f>
        <v>0.00476513115278943</v>
      </c>
      <c r="C290" s="20" t="n">
        <f aca="false">Narxlar!C291/Narxlar!C290-1</f>
        <v>0.0229300391586937</v>
      </c>
      <c r="D290" s="20" t="n">
        <f aca="false">Narxlar!D291/Narxlar!D290-1</f>
        <v>0.00242349823892463</v>
      </c>
      <c r="E290" s="20" t="n">
        <f aca="false">Narxlar!E291/Narxlar!E290-1</f>
        <v>-0.000414207310759029</v>
      </c>
      <c r="F290" s="20" t="n">
        <f aca="false">Narxlar!F291/Narxlar!F290-1</f>
        <v>-0.0190652607580507</v>
      </c>
      <c r="H290" s="20" t="n">
        <f aca="false">LN(Narxlar!B291/Narxlar!B290)</f>
        <v>0.00475381385337485</v>
      </c>
      <c r="I290" s="20" t="n">
        <f aca="false">LN(Narxlar!C291/Narxlar!C290)</f>
        <v>0.0226710967117636</v>
      </c>
      <c r="J290" s="20" t="n">
        <f aca="false">LN(Narxlar!D291/Narxlar!D290)</f>
        <v>0.00242056630313962</v>
      </c>
      <c r="K290" s="20" t="n">
        <f aca="false">LN(Narxlar!E291/Narxlar!E290)</f>
        <v>-0.000414293118302732</v>
      </c>
      <c r="L290" s="20" t="n">
        <f aca="false">LN(Narxlar!F291/Narxlar!F290)</f>
        <v>-0.0192493463575223</v>
      </c>
    </row>
    <row r="291" customFormat="false" ht="15" hidden="false" customHeight="false" outlineLevel="0" collapsed="false">
      <c r="A291" s="19" t="n">
        <f aca="false">Narxlar!A292</f>
        <v>45699</v>
      </c>
      <c r="B291" s="20" t="n">
        <f aca="false">Narxlar!B292/Narxlar!B291-1</f>
        <v>0.00559470614824864</v>
      </c>
      <c r="C291" s="20" t="n">
        <f aca="false">Narxlar!C292/Narxlar!C291-1</f>
        <v>0.00785350645250404</v>
      </c>
      <c r="D291" s="20" t="n">
        <f aca="false">Narxlar!D292/Narxlar!D291-1</f>
        <v>0.0123138417896977</v>
      </c>
      <c r="E291" s="20" t="n">
        <f aca="false">Narxlar!E292/Narxlar!E291-1</f>
        <v>-0.00797679477882518</v>
      </c>
      <c r="F291" s="20" t="n">
        <f aca="false">Narxlar!F292/Narxlar!F291-1</f>
        <v>0.0209755672409284</v>
      </c>
      <c r="H291" s="20" t="n">
        <f aca="false">LN(Narxlar!B292/Narxlar!B291)</f>
        <v>0.00557911390877153</v>
      </c>
      <c r="I291" s="20" t="n">
        <f aca="false">LN(Narxlar!C292/Narxlar!C291)</f>
        <v>0.00782282818732468</v>
      </c>
      <c r="J291" s="20" t="n">
        <f aca="false">LN(Narxlar!D292/Narxlar!D291)</f>
        <v>0.0122386431334502</v>
      </c>
      <c r="K291" s="20" t="n">
        <f aca="false">LN(Narxlar!E292/Narxlar!E291)</f>
        <v>-0.00800877961080599</v>
      </c>
      <c r="L291" s="20" t="n">
        <f aca="false">LN(Narxlar!F292/Narxlar!F291)</f>
        <v>0.0207586086718361</v>
      </c>
    </row>
    <row r="292" customFormat="false" ht="15" hidden="false" customHeight="false" outlineLevel="0" collapsed="false">
      <c r="A292" s="19" t="n">
        <f aca="false">Narxlar!A293</f>
        <v>45700</v>
      </c>
      <c r="B292" s="20" t="n">
        <f aca="false">Narxlar!B293/Narxlar!B292-1</f>
        <v>0.00453192241938338</v>
      </c>
      <c r="C292" s="20" t="n">
        <f aca="false">Narxlar!C293/Narxlar!C292-1</f>
        <v>0.0114339415772575</v>
      </c>
      <c r="D292" s="20" t="n">
        <f aca="false">Narxlar!D293/Narxlar!D292-1</f>
        <v>0.00633677238568331</v>
      </c>
      <c r="E292" s="20" t="n">
        <f aca="false">Narxlar!E293/Narxlar!E292-1</f>
        <v>-0.00480367585630748</v>
      </c>
      <c r="F292" s="20" t="n">
        <f aca="false">Narxlar!F293/Narxlar!F292-1</f>
        <v>0.0174714736931965</v>
      </c>
      <c r="H292" s="20" t="n">
        <f aca="false">LN(Narxlar!B293/Narxlar!B292)</f>
        <v>0.00452168417992649</v>
      </c>
      <c r="I292" s="20" t="n">
        <f aca="false">LN(Narxlar!C293/Narxlar!C292)</f>
        <v>0.0113690681052598</v>
      </c>
      <c r="J292" s="20" t="n">
        <f aca="false">LN(Narxlar!D293/Narxlar!D292)</f>
        <v>0.00631677945951389</v>
      </c>
      <c r="K292" s="20" t="n">
        <f aca="false">LN(Narxlar!E293/Narxlar!E292)</f>
        <v>-0.00481525058956132</v>
      </c>
      <c r="L292" s="20" t="n">
        <f aca="false">LN(Narxlar!F293/Narxlar!F292)</f>
        <v>0.0173206022592437</v>
      </c>
    </row>
    <row r="293" customFormat="false" ht="15" hidden="false" customHeight="false" outlineLevel="0" collapsed="false">
      <c r="A293" s="19" t="n">
        <f aca="false">Narxlar!A294</f>
        <v>45701</v>
      </c>
      <c r="B293" s="20" t="n">
        <f aca="false">Narxlar!B294/Narxlar!B293-1</f>
        <v>0.0105414505681525</v>
      </c>
      <c r="C293" s="20" t="n">
        <f aca="false">Narxlar!C294/Narxlar!C293-1</f>
        <v>0.0111111111111111</v>
      </c>
      <c r="D293" s="20" t="n">
        <f aca="false">Narxlar!D294/Narxlar!D293-1</f>
        <v>0.00386039300066443</v>
      </c>
      <c r="E293" s="20" t="n">
        <f aca="false">Narxlar!E294/Narxlar!E293-1</f>
        <v>0.000314795383000943</v>
      </c>
      <c r="F293" s="20" t="n">
        <f aca="false">Narxlar!F294/Narxlar!F293-1</f>
        <v>0.0204715160667841</v>
      </c>
      <c r="H293" s="20" t="n">
        <f aca="false">LN(Narxlar!B294/Narxlar!B293)</f>
        <v>0.0104862768798736</v>
      </c>
      <c r="I293" s="20" t="n">
        <f aca="false">LN(Narxlar!C294/Narxlar!C293)</f>
        <v>0.0110498361865849</v>
      </c>
      <c r="J293" s="20" t="n">
        <f aca="false">LN(Narxlar!D294/Narxlar!D293)</f>
        <v>0.00385296080492825</v>
      </c>
      <c r="K293" s="20" t="n">
        <f aca="false">LN(Narxlar!E294/Narxlar!E293)</f>
        <v>0.000314745845330244</v>
      </c>
      <c r="L293" s="20" t="n">
        <f aca="false">LN(Narxlar!F294/Narxlar!F293)</f>
        <v>0.0202647911357277</v>
      </c>
    </row>
    <row r="294" customFormat="false" ht="15" hidden="false" customHeight="false" outlineLevel="0" collapsed="false">
      <c r="A294" s="19" t="n">
        <f aca="false">Narxlar!A295</f>
        <v>45702</v>
      </c>
      <c r="B294" s="20" t="n">
        <f aca="false">Narxlar!B295/Narxlar!B294-1</f>
        <v>-0.00992334272191398</v>
      </c>
      <c r="C294" s="20" t="n">
        <f aca="false">Narxlar!C295/Narxlar!C294-1</f>
        <v>-0.021978021978022</v>
      </c>
      <c r="D294" s="20" t="n">
        <f aca="false">Narxlar!D295/Narxlar!D294-1</f>
        <v>-0.00535855003940111</v>
      </c>
      <c r="E294" s="20" t="n">
        <f aca="false">Narxlar!E295/Narxlar!E294-1</f>
        <v>-0.0101751809503828</v>
      </c>
      <c r="F294" s="20" t="n">
        <f aca="false">Narxlar!F295/Narxlar!F294-1</f>
        <v>-0.00443969415440271</v>
      </c>
      <c r="H294" s="20" t="n">
        <f aca="false">LN(Narxlar!B295/Narxlar!B294)</f>
        <v>-0.00997290725714629</v>
      </c>
      <c r="I294" s="20" t="n">
        <f aca="false">LN(Narxlar!C295/Narxlar!C294)</f>
        <v>-0.0222231367847102</v>
      </c>
      <c r="J294" s="20" t="n">
        <f aca="false">LN(Narxlar!D295/Narxlar!D294)</f>
        <v>-0.00537295856424852</v>
      </c>
      <c r="K294" s="20" t="n">
        <f aca="false">LN(Narxlar!E295/Narxlar!E294)</f>
        <v>-0.0102273019660125</v>
      </c>
      <c r="L294" s="20" t="n">
        <f aca="false">LN(Narxlar!F295/Narxlar!F294)</f>
        <v>-0.00444957886407012</v>
      </c>
    </row>
    <row r="295" customFormat="false" ht="15" hidden="false" customHeight="false" outlineLevel="0" collapsed="false">
      <c r="A295" s="19" t="n">
        <f aca="false">Narxlar!A296</f>
        <v>45705</v>
      </c>
      <c r="B295" s="20" t="n">
        <f aca="false">Narxlar!B296/Narxlar!B295-1</f>
        <v>0.00802850669775412</v>
      </c>
      <c r="C295" s="20" t="n">
        <f aca="false">Narxlar!C296/Narxlar!C295-1</f>
        <v>0.0044239126179384</v>
      </c>
      <c r="D295" s="20" t="n">
        <f aca="false">Narxlar!D296/Narxlar!D295-1</f>
        <v>0.0454127713516084</v>
      </c>
      <c r="E295" s="20" t="n">
        <f aca="false">Narxlar!E296/Narxlar!E295-1</f>
        <v>0.00752437473505729</v>
      </c>
      <c r="F295" s="20" t="n">
        <f aca="false">Narxlar!F296/Narxlar!F295-1</f>
        <v>-0.0212514107963774</v>
      </c>
      <c r="H295" s="20" t="n">
        <f aca="false">LN(Narxlar!B296/Narxlar!B295)</f>
        <v>0.00799644970341353</v>
      </c>
      <c r="I295" s="20" t="n">
        <f aca="false">LN(Narxlar!C296/Narxlar!C295)</f>
        <v>0.00441415588122992</v>
      </c>
      <c r="J295" s="20" t="n">
        <f aca="false">LN(Narxlar!D296/Narxlar!D295)</f>
        <v>0.0444118039349062</v>
      </c>
      <c r="K295" s="20" t="n">
        <f aca="false">LN(Narxlar!E296/Narxlar!E295)</f>
        <v>0.00749620783146485</v>
      </c>
      <c r="L295" s="20" t="n">
        <f aca="false">LN(Narxlar!F296/Narxlar!F295)</f>
        <v>-0.0214804731048577</v>
      </c>
    </row>
    <row r="296" customFormat="false" ht="15" hidden="false" customHeight="false" outlineLevel="0" collapsed="false">
      <c r="A296" s="19" t="n">
        <f aca="false">Narxlar!A297</f>
        <v>45706</v>
      </c>
      <c r="B296" s="20" t="n">
        <f aca="false">Narxlar!B297/Narxlar!B296-1</f>
        <v>0.0201841668848739</v>
      </c>
      <c r="C296" s="20" t="n">
        <f aca="false">Narxlar!C297/Narxlar!C296-1</f>
        <v>0.011498285001559</v>
      </c>
      <c r="D296" s="20" t="n">
        <f aca="false">Narxlar!D297/Narxlar!D296-1</f>
        <v>0.0184006305323148</v>
      </c>
      <c r="E296" s="20" t="n">
        <f aca="false">Narxlar!E297/Narxlar!E296-1</f>
        <v>0.00883559482486596</v>
      </c>
      <c r="F296" s="20" t="n">
        <f aca="false">Narxlar!F297/Narxlar!F296-1</f>
        <v>0.0102657854028969</v>
      </c>
      <c r="H296" s="20" t="n">
        <f aca="false">LN(Narxlar!B297/Narxlar!B296)</f>
        <v>0.0199831667674328</v>
      </c>
      <c r="I296" s="20" t="n">
        <f aca="false">LN(Narxlar!C297/Narxlar!C296)</f>
        <v>0.0114326821240369</v>
      </c>
      <c r="J296" s="20" t="n">
        <f aca="false">LN(Narxlar!D297/Narxlar!D296)</f>
        <v>0.0182333874010043</v>
      </c>
      <c r="K296" s="20" t="n">
        <f aca="false">LN(Narxlar!E297/Narxlar!E296)</f>
        <v>0.00879678936892077</v>
      </c>
      <c r="L296" s="20" t="n">
        <f aca="false">LN(Narxlar!F297/Narxlar!F296)</f>
        <v>0.0102134500985176</v>
      </c>
    </row>
    <row r="297" customFormat="false" ht="15" hidden="false" customHeight="false" outlineLevel="0" collapsed="false">
      <c r="A297" s="19" t="n">
        <f aca="false">Narxlar!A298</f>
        <v>45707</v>
      </c>
      <c r="B297" s="20" t="n">
        <f aca="false">Narxlar!B298/Narxlar!B297-1</f>
        <v>-0.00945393878467693</v>
      </c>
      <c r="C297" s="20" t="n">
        <f aca="false">Narxlar!C298/Narxlar!C297-1</f>
        <v>-0.0143347077183924</v>
      </c>
      <c r="D297" s="20" t="n">
        <f aca="false">Narxlar!D298/Narxlar!D297-1</f>
        <v>0.00720345289477598</v>
      </c>
      <c r="E297" s="20" t="n">
        <f aca="false">Narxlar!E298/Narxlar!E297-1</f>
        <v>-0.0212699405692837</v>
      </c>
      <c r="F297" s="20" t="n">
        <f aca="false">Narxlar!F298/Narxlar!F297-1</f>
        <v>-0.0194320712694878</v>
      </c>
      <c r="H297" s="20" t="n">
        <f aca="false">LN(Narxlar!B298/Narxlar!B297)</f>
        <v>-0.0094989109309983</v>
      </c>
      <c r="I297" s="20" t="n">
        <f aca="false">LN(Narxlar!C298/Narxlar!C297)</f>
        <v>-0.0144384421697857</v>
      </c>
      <c r="J297" s="20" t="n">
        <f aca="false">LN(Narxlar!D298/Narxlar!D297)</f>
        <v>0.00717763195377613</v>
      </c>
      <c r="K297" s="20" t="n">
        <f aca="false">LN(Narxlar!E298/Narxlar!E297)</f>
        <v>-0.0214994053909593</v>
      </c>
      <c r="L297" s="20" t="n">
        <f aca="false">LN(Narxlar!F298/Narxlar!F297)</f>
        <v>-0.0196233560611054</v>
      </c>
    </row>
    <row r="298" customFormat="false" ht="15" hidden="false" customHeight="false" outlineLevel="0" collapsed="false">
      <c r="A298" s="19" t="n">
        <f aca="false">Narxlar!A299</f>
        <v>45708</v>
      </c>
      <c r="B298" s="20" t="n">
        <f aca="false">Narxlar!B299/Narxlar!B298-1</f>
        <v>0.00382198613720286</v>
      </c>
      <c r="C298" s="20" t="n">
        <f aca="false">Narxlar!C299/Narxlar!C298-1</f>
        <v>-0.0136830994174909</v>
      </c>
      <c r="D298" s="20" t="n">
        <f aca="false">Narxlar!D299/Narxlar!D298-1</f>
        <v>0.00629488429825331</v>
      </c>
      <c r="E298" s="20" t="n">
        <f aca="false">Narxlar!E299/Narxlar!E298-1</f>
        <v>-0.00596569724086504</v>
      </c>
      <c r="F298" s="20" t="n">
        <f aca="false">Narxlar!F299/Narxlar!F298-1</f>
        <v>-0.0310885242178184</v>
      </c>
      <c r="H298" s="20" t="n">
        <f aca="false">LN(Narxlar!B299/Narxlar!B298)</f>
        <v>0.00381470090499054</v>
      </c>
      <c r="I298" s="20" t="n">
        <f aca="false">LN(Narxlar!C299/Narxlar!C298)</f>
        <v>-0.0137775758323766</v>
      </c>
      <c r="J298" s="20" t="n">
        <f aca="false">LN(Narxlar!D299/Narxlar!D298)</f>
        <v>0.00627515426963184</v>
      </c>
      <c r="K298" s="20" t="n">
        <f aca="false">LN(Narxlar!E299/Narxlar!E298)</f>
        <v>-0.00598356310296987</v>
      </c>
      <c r="L298" s="20" t="n">
        <f aca="false">LN(Narxlar!F299/Narxlar!F298)</f>
        <v>-0.0315820275265468</v>
      </c>
    </row>
    <row r="299" customFormat="false" ht="15" hidden="false" customHeight="false" outlineLevel="0" collapsed="false">
      <c r="A299" s="19" t="n">
        <f aca="false">Narxlar!A300</f>
        <v>45709</v>
      </c>
      <c r="B299" s="20" t="n">
        <f aca="false">Narxlar!B300/Narxlar!B299-1</f>
        <v>-0.00165634142144222</v>
      </c>
      <c r="C299" s="20" t="n">
        <f aca="false">Narxlar!C300/Narxlar!C299-1</f>
        <v>-0.030163700503389</v>
      </c>
      <c r="D299" s="20" t="n">
        <f aca="false">Narxlar!D300/Narxlar!D299-1</f>
        <v>-0.00663729809104263</v>
      </c>
      <c r="E299" s="20" t="n">
        <f aca="false">Narxlar!E300/Narxlar!E299-1</f>
        <v>-0.027006751687922</v>
      </c>
      <c r="F299" s="20" t="n">
        <f aca="false">Narxlar!F300/Narxlar!F299-1</f>
        <v>0.0062999970697688</v>
      </c>
      <c r="H299" s="20" t="n">
        <f aca="false">LN(Narxlar!B300/Narxlar!B299)</f>
        <v>-0.00165771467148452</v>
      </c>
      <c r="I299" s="20" t="n">
        <f aca="false">LN(Narxlar!C300/Narxlar!C299)</f>
        <v>-0.0306279851324102</v>
      </c>
      <c r="J299" s="20" t="n">
        <f aca="false">LN(Narxlar!D300/Narxlar!D299)</f>
        <v>-0.00665942290769429</v>
      </c>
      <c r="K299" s="20" t="n">
        <f aca="false">LN(Narxlar!E300/Narxlar!E299)</f>
        <v>-0.0273781358622648</v>
      </c>
      <c r="L299" s="20" t="n">
        <f aca="false">LN(Narxlar!F300/Narxlar!F299)</f>
        <v>0.00628023504526417</v>
      </c>
    </row>
    <row r="300" customFormat="false" ht="15" hidden="false" customHeight="false" outlineLevel="0" collapsed="false">
      <c r="A300" s="19" t="n">
        <f aca="false">Narxlar!A301</f>
        <v>45712</v>
      </c>
      <c r="B300" s="20" t="n">
        <f aca="false">Narxlar!B301/Narxlar!B300-1</f>
        <v>-0.0040292172114369</v>
      </c>
      <c r="C300" s="20" t="n">
        <f aca="false">Narxlar!C301/Narxlar!C300-1</f>
        <v>-0.0049861042994932</v>
      </c>
      <c r="D300" s="20" t="n">
        <f aca="false">Narxlar!D301/Narxlar!D300-1</f>
        <v>0.00671121097445604</v>
      </c>
      <c r="E300" s="20" t="n">
        <f aca="false">Narxlar!E301/Narxlar!E300-1</f>
        <v>-0.00649851305209825</v>
      </c>
      <c r="F300" s="20" t="n">
        <f aca="false">Narxlar!F301/Narxlar!F300-1</f>
        <v>-0.0106575039310466</v>
      </c>
      <c r="H300" s="20" t="n">
        <f aca="false">LN(Narxlar!B301/Narxlar!B300)</f>
        <v>-0.00403735637744057</v>
      </c>
      <c r="I300" s="20" t="n">
        <f aca="false">LN(Narxlar!C301/Narxlar!C300)</f>
        <v>-0.00499857639291382</v>
      </c>
      <c r="J300" s="20" t="n">
        <f aca="false">LN(Narxlar!D301/Narxlar!D300)</f>
        <v>0.00668879105207018</v>
      </c>
      <c r="K300" s="20" t="n">
        <f aca="false">LN(Narxlar!E301/Narxlar!E300)</f>
        <v>-0.00651972031508785</v>
      </c>
      <c r="L300" s="20" t="n">
        <f aca="false">LN(Narxlar!F301/Narxlar!F300)</f>
        <v>-0.0107147018806409</v>
      </c>
    </row>
    <row r="301" customFormat="false" ht="15" hidden="false" customHeight="false" outlineLevel="0" collapsed="false">
      <c r="A301" s="19" t="n">
        <f aca="false">Narxlar!A302</f>
        <v>45713</v>
      </c>
      <c r="B301" s="20" t="n">
        <f aca="false">Narxlar!B302/Narxlar!B301-1</f>
        <v>0.00538681204569058</v>
      </c>
      <c r="C301" s="20" t="n">
        <f aca="false">Narxlar!C302/Narxlar!C301-1</f>
        <v>0.0171280703195598</v>
      </c>
      <c r="D301" s="20" t="n">
        <f aca="false">Narxlar!D302/Narxlar!D301-1</f>
        <v>0.00760623770227009</v>
      </c>
      <c r="E301" s="20" t="n">
        <f aca="false">Narxlar!E302/Narxlar!E301-1</f>
        <v>0.0104212860310422</v>
      </c>
      <c r="F301" s="20" t="n">
        <f aca="false">Narxlar!F302/Narxlar!F301-1</f>
        <v>0.0179832823169297</v>
      </c>
      <c r="H301" s="20" t="n">
        <f aca="false">LN(Narxlar!B302/Narxlar!B301)</f>
        <v>0.0053723550684562</v>
      </c>
      <c r="I301" s="20" t="n">
        <f aca="false">LN(Narxlar!C302/Narxlar!C301)</f>
        <v>0.0169830386557247</v>
      </c>
      <c r="J301" s="20" t="n">
        <f aca="false">LN(Narxlar!D302/Narxlar!D301)</f>
        <v>0.00757745613046103</v>
      </c>
      <c r="K301" s="20" t="n">
        <f aca="false">LN(Narxlar!E302/Narxlar!E301)</f>
        <v>0.0103673587671586</v>
      </c>
      <c r="L301" s="20" t="n">
        <f aca="false">LN(Narxlar!F302/Narxlar!F301)</f>
        <v>0.0178234959079563</v>
      </c>
    </row>
    <row r="302" customFormat="false" ht="15" hidden="false" customHeight="false" outlineLevel="0" collapsed="false">
      <c r="A302" s="19" t="n">
        <f aca="false">Narxlar!A303</f>
        <v>45714</v>
      </c>
      <c r="B302" s="20" t="n">
        <f aca="false">Narxlar!B303/Narxlar!B302-1</f>
        <v>-0.0084421778954088</v>
      </c>
      <c r="C302" s="20" t="n">
        <f aca="false">Narxlar!C303/Narxlar!C302-1</f>
        <v>-0.0199491176351815</v>
      </c>
      <c r="D302" s="20" t="n">
        <f aca="false">Narxlar!D303/Narxlar!D302-1</f>
        <v>-0.0107548819586126</v>
      </c>
      <c r="E302" s="20" t="n">
        <f aca="false">Narxlar!E303/Narxlar!E302-1</f>
        <v>0.00526662277814349</v>
      </c>
      <c r="F302" s="20" t="n">
        <f aca="false">Narxlar!F303/Narxlar!F302-1</f>
        <v>-0.05068378292422</v>
      </c>
      <c r="H302" s="20" t="n">
        <f aca="false">LN(Narxlar!B303/Narxlar!B302)</f>
        <v>-0.00847801491676181</v>
      </c>
      <c r="I302" s="20" t="n">
        <f aca="false">LN(Narxlar!C303/Narxlar!C302)</f>
        <v>-0.0201507878849295</v>
      </c>
      <c r="J302" s="20" t="n">
        <f aca="false">LN(Narxlar!D303/Narxlar!D302)</f>
        <v>-0.0108131337387504</v>
      </c>
      <c r="K302" s="20" t="n">
        <f aca="false">LN(Narxlar!E303/Narxlar!E302)</f>
        <v>0.00525280262285956</v>
      </c>
      <c r="L302" s="20" t="n">
        <f aca="false">LN(Narxlar!F303/Narxlar!F302)</f>
        <v>-0.0520133250465998</v>
      </c>
    </row>
    <row r="303" customFormat="false" ht="15" hidden="false" customHeight="false" outlineLevel="0" collapsed="false">
      <c r="A303" s="19" t="n">
        <f aca="false">Narxlar!A304</f>
        <v>45715</v>
      </c>
      <c r="B303" s="20" t="n">
        <f aca="false">Narxlar!B304/Narxlar!B303-1</f>
        <v>0.000303815048972034</v>
      </c>
      <c r="C303" s="20" t="n">
        <f aca="false">Narxlar!C304/Narxlar!C303-1</f>
        <v>0.0130207260290907</v>
      </c>
      <c r="D303" s="20" t="n">
        <f aca="false">Narxlar!D304/Narxlar!D303-1</f>
        <v>0.00710055684864908</v>
      </c>
      <c r="E303" s="20" t="n">
        <f aca="false">Narxlar!E304/Narxlar!E303-1</f>
        <v>-0.000218292949137777</v>
      </c>
      <c r="F303" s="20" t="n">
        <f aca="false">Narxlar!F304/Narxlar!F303-1</f>
        <v>-0.0102637509898276</v>
      </c>
      <c r="H303" s="20" t="n">
        <f aca="false">LN(Narxlar!B304/Narxlar!B303)</f>
        <v>0.000303768906525653</v>
      </c>
      <c r="I303" s="20" t="n">
        <f aca="false">LN(Narxlar!C304/Narxlar!C303)</f>
        <v>0.0129366851057031</v>
      </c>
      <c r="J303" s="20" t="n">
        <f aca="false">LN(Narxlar!D304/Narxlar!D303)</f>
        <v>0.00707546659470553</v>
      </c>
      <c r="K303" s="20" t="n">
        <f aca="false">LN(Narxlar!E304/Narxlar!E303)</f>
        <v>-0.000218316778511518</v>
      </c>
      <c r="L303" s="20" t="n">
        <f aca="false">LN(Narxlar!F304/Narxlar!F303)</f>
        <v>-0.0103167864895595</v>
      </c>
    </row>
    <row r="304" customFormat="false" ht="15" hidden="false" customHeight="false" outlineLevel="0" collapsed="false">
      <c r="A304" s="19" t="n">
        <f aca="false">Narxlar!A305</f>
        <v>45716</v>
      </c>
      <c r="B304" s="20" t="n">
        <f aca="false">Narxlar!B305/Narxlar!B304-1</f>
        <v>-0.0279931156171356</v>
      </c>
      <c r="C304" s="20" t="n">
        <f aca="false">Narxlar!C305/Narxlar!C304-1</f>
        <v>-0.0205409802725239</v>
      </c>
      <c r="D304" s="20" t="n">
        <f aca="false">Narxlar!D305/Narxlar!D304-1</f>
        <v>-0.016061084781464</v>
      </c>
      <c r="E304" s="20" t="n">
        <f aca="false">Narxlar!E305/Narxlar!E304-1</f>
        <v>-0.0196506550218341</v>
      </c>
      <c r="F304" s="20" t="n">
        <f aca="false">Narxlar!F305/Narxlar!F304-1</f>
        <v>-0.0373880665907622</v>
      </c>
      <c r="H304" s="20" t="n">
        <f aca="false">LN(Narxlar!B305/Narxlar!B304)</f>
        <v>-0.02839239184836</v>
      </c>
      <c r="I304" s="20" t="n">
        <f aca="false">LN(Narxlar!C305/Narxlar!C304)</f>
        <v>-0.0207548804232824</v>
      </c>
      <c r="J304" s="20" t="n">
        <f aca="false">LN(Narxlar!D305/Narxlar!D304)</f>
        <v>-0.0161914618867473</v>
      </c>
      <c r="K304" s="20" t="n">
        <f aca="false">LN(Narxlar!E305/Narxlar!E304)</f>
        <v>-0.0198462963719307</v>
      </c>
      <c r="L304" s="20" t="n">
        <f aca="false">LN(Narxlar!F305/Narxlar!F304)</f>
        <v>-0.0381049251307171</v>
      </c>
    </row>
    <row r="305" customFormat="false" ht="15" hidden="false" customHeight="false" outlineLevel="0" collapsed="false">
      <c r="A305" s="19" t="n">
        <f aca="false">Narxlar!A306</f>
        <v>45719</v>
      </c>
      <c r="B305" s="20" t="n">
        <f aca="false">Narxlar!B306/Narxlar!B305-1</f>
        <v>-0.0146191216623393</v>
      </c>
      <c r="C305" s="20" t="n">
        <f aca="false">Narxlar!C306/Narxlar!C305-1</f>
        <v>-0.0279900332225914</v>
      </c>
      <c r="D305" s="20" t="n">
        <f aca="false">Narxlar!D306/Narxlar!D305-1</f>
        <v>-0.00558974816400559</v>
      </c>
      <c r="E305" s="20" t="n">
        <f aca="false">Narxlar!E306/Narxlar!E305-1</f>
        <v>0.00322939866369709</v>
      </c>
      <c r="F305" s="20" t="n">
        <f aca="false">Narxlar!F306/Narxlar!F305-1</f>
        <v>-0.0278115210024934</v>
      </c>
      <c r="H305" s="20" t="n">
        <f aca="false">LN(Narxlar!B306/Narxlar!B305)</f>
        <v>-0.0147270340355272</v>
      </c>
      <c r="I305" s="20" t="n">
        <f aca="false">LN(Narxlar!C306/Narxlar!C305)</f>
        <v>-0.0283892206880459</v>
      </c>
      <c r="J305" s="20" t="n">
        <f aca="false">LN(Narxlar!D306/Narxlar!D305)</f>
        <v>-0.00560542926919486</v>
      </c>
      <c r="K305" s="20" t="n">
        <f aca="false">LN(Narxlar!E306/Narxlar!E305)</f>
        <v>0.00322419535519467</v>
      </c>
      <c r="L305" s="20" t="n">
        <f aca="false">LN(Narxlar!F306/Narxlar!F305)</f>
        <v>-0.0282055848858595</v>
      </c>
    </row>
    <row r="306" customFormat="false" ht="15" hidden="false" customHeight="false" outlineLevel="0" collapsed="false">
      <c r="A306" s="19" t="n">
        <f aca="false">Narxlar!A307</f>
        <v>45720</v>
      </c>
      <c r="B306" s="20" t="n">
        <f aca="false">Narxlar!B307/Narxlar!B306-1</f>
        <v>0.00530774341628404</v>
      </c>
      <c r="C306" s="20" t="n">
        <f aca="false">Narxlar!C307/Narxlar!C306-1</f>
        <v>0.00585320003417933</v>
      </c>
      <c r="D306" s="20" t="n">
        <f aca="false">Narxlar!D307/Narxlar!D306-1</f>
        <v>-0.0102855434295112</v>
      </c>
      <c r="E306" s="20" t="n">
        <f aca="false">Narxlar!E307/Narxlar!E306-1</f>
        <v>-0.0137640137640138</v>
      </c>
      <c r="F306" s="20" t="n">
        <f aca="false">Narxlar!F307/Narxlar!F306-1</f>
        <v>-0.0270288044193082</v>
      </c>
      <c r="H306" s="20" t="n">
        <f aca="false">LN(Narxlar!B307/Narxlar!B306)</f>
        <v>0.0052937069921161</v>
      </c>
      <c r="I306" s="20" t="n">
        <f aca="false">LN(Narxlar!C307/Narxlar!C306)</f>
        <v>0.00583613661023867</v>
      </c>
      <c r="J306" s="20" t="n">
        <f aca="false">LN(Narxlar!D307/Narxlar!D306)</f>
        <v>-0.0103388051633492</v>
      </c>
      <c r="K306" s="20" t="n">
        <f aca="false">LN(Narxlar!E307/Narxlar!E306)</f>
        <v>-0.0138596160626883</v>
      </c>
      <c r="L306" s="20" t="n">
        <f aca="false">LN(Narxlar!F307/Narxlar!F306)</f>
        <v>-0.027400800954072</v>
      </c>
    </row>
    <row r="307" customFormat="false" ht="15" hidden="false" customHeight="false" outlineLevel="0" collapsed="false">
      <c r="A307" s="19" t="n">
        <f aca="false">Narxlar!A308</f>
        <v>45721</v>
      </c>
      <c r="B307" s="20" t="n">
        <f aca="false">Narxlar!B308/Narxlar!B307-1</f>
        <v>-0.0205330789855126</v>
      </c>
      <c r="C307" s="20" t="n">
        <f aca="false">Narxlar!C308/Narxlar!C307-1</f>
        <v>-0.0206430786220957</v>
      </c>
      <c r="D307" s="20" t="n">
        <f aca="false">Narxlar!D308/Narxlar!D307-1</f>
        <v>-0.0188816047853539</v>
      </c>
      <c r="E307" s="20" t="n">
        <f aca="false">Narxlar!E308/Narxlar!E307-1</f>
        <v>-0.00450196961170513</v>
      </c>
      <c r="F307" s="20" t="n">
        <f aca="false">Narxlar!F308/Narxlar!F307-1</f>
        <v>-0.0454545454545454</v>
      </c>
      <c r="H307" s="20" t="n">
        <f aca="false">LN(Narxlar!B308/Narxlar!B307)</f>
        <v>-0.0207468134649079</v>
      </c>
      <c r="I307" s="20" t="n">
        <f aca="false">LN(Narxlar!C308/Narxlar!C307)</f>
        <v>-0.0208591253883368</v>
      </c>
      <c r="J307" s="20" t="n">
        <f aca="false">LN(Narxlar!D308/Narxlar!D307)</f>
        <v>-0.0190621384068222</v>
      </c>
      <c r="K307" s="20" t="n">
        <f aca="false">LN(Narxlar!E308/Narxlar!E307)</f>
        <v>-0.00451213399486606</v>
      </c>
      <c r="L307" s="20" t="n">
        <f aca="false">LN(Narxlar!F308/Narxlar!F307)</f>
        <v>-0.0465200156348928</v>
      </c>
    </row>
    <row r="308" customFormat="false" ht="15" hidden="false" customHeight="false" outlineLevel="0" collapsed="false">
      <c r="A308" s="19" t="n">
        <f aca="false">Narxlar!A309</f>
        <v>45722</v>
      </c>
      <c r="B308" s="20" t="n">
        <f aca="false">Narxlar!B309/Narxlar!B308-1</f>
        <v>-0.0124830351871305</v>
      </c>
      <c r="C308" s="20" t="n">
        <f aca="false">Narxlar!C309/Narxlar!C308-1</f>
        <v>-0.0127510083705599</v>
      </c>
      <c r="D308" s="20" t="n">
        <f aca="false">Narxlar!D309/Narxlar!D308-1</f>
        <v>-0.0101613499199409</v>
      </c>
      <c r="E308" s="20" t="n">
        <f aca="false">Narxlar!E309/Narxlar!E308-1</f>
        <v>-0.00633126059920863</v>
      </c>
      <c r="F308" s="20" t="n">
        <f aca="false">Narxlar!F309/Narxlar!F308-1</f>
        <v>-0.0167109222871304</v>
      </c>
      <c r="H308" s="20" t="n">
        <f aca="false">LN(Narxlar!B309/Narxlar!B308)</f>
        <v>-0.0125616027970908</v>
      </c>
      <c r="I308" s="20" t="n">
        <f aca="false">LN(Narxlar!C309/Narxlar!C308)</f>
        <v>-0.0128330002092246</v>
      </c>
      <c r="J308" s="20" t="n">
        <f aca="false">LN(Narxlar!D309/Narxlar!D308)</f>
        <v>-0.0102133288532508</v>
      </c>
      <c r="K308" s="20" t="n">
        <f aca="false">LN(Narxlar!E309/Narxlar!E308)</f>
        <v>-0.00635138802924048</v>
      </c>
      <c r="L308" s="20" t="n">
        <f aca="false">LN(Narxlar!F309/Narxlar!F308)</f>
        <v>-0.0168521250448947</v>
      </c>
    </row>
    <row r="309" customFormat="false" ht="15" hidden="false" customHeight="false" outlineLevel="0" collapsed="false">
      <c r="A309" s="19" t="n">
        <f aca="false">Narxlar!A310</f>
        <v>45723</v>
      </c>
      <c r="B309" s="20" t="n">
        <f aca="false">Narxlar!B310/Narxlar!B309-1</f>
        <v>-0.0266171800386681</v>
      </c>
      <c r="C309" s="20" t="n">
        <f aca="false">Narxlar!C310/Narxlar!C309-1</f>
        <v>-0.0260949786934939</v>
      </c>
      <c r="D309" s="20" t="n">
        <f aca="false">Narxlar!D310/Narxlar!D309-1</f>
        <v>-0.0220245131587133</v>
      </c>
      <c r="E309" s="20" t="n">
        <f aca="false">Narxlar!E310/Narxlar!E309-1</f>
        <v>-0.0159290021617932</v>
      </c>
      <c r="F309" s="20" t="n">
        <f aca="false">Narxlar!F310/Narxlar!F309-1</f>
        <v>-0.0390667194757498</v>
      </c>
      <c r="H309" s="20" t="n">
        <f aca="false">LN(Narxlar!B310/Narxlar!B309)</f>
        <v>-0.0269778312543257</v>
      </c>
      <c r="I309" s="20" t="n">
        <f aca="false">LN(Narxlar!C310/Narxlar!C309)</f>
        <v>-0.0264414941534355</v>
      </c>
      <c r="J309" s="20" t="n">
        <f aca="false">LN(Narxlar!D310/Narxlar!D309)</f>
        <v>-0.022270673840903</v>
      </c>
      <c r="K309" s="20" t="n">
        <f aca="false">LN(Narxlar!E310/Narxlar!E309)</f>
        <v>-0.0160572322581333</v>
      </c>
      <c r="L309" s="20" t="n">
        <f aca="false">LN(Narxlar!F310/Narxlar!F309)</f>
        <v>-0.0398502995559944</v>
      </c>
    </row>
    <row r="310" customFormat="false" ht="15" hidden="false" customHeight="false" outlineLevel="0" collapsed="false">
      <c r="A310" s="19" t="n">
        <f aca="false">Narxlar!A311</f>
        <v>45726</v>
      </c>
      <c r="B310" s="20" t="n">
        <f aca="false">Narxlar!B311/Narxlar!B310-1</f>
        <v>-0.0167994830928279</v>
      </c>
      <c r="C310" s="20" t="n">
        <f aca="false">Narxlar!C311/Narxlar!C310-1</f>
        <v>-0.0286887094591547</v>
      </c>
      <c r="D310" s="20" t="n">
        <f aca="false">Narxlar!D311/Narxlar!D310-1</f>
        <v>-0.00496214771932058</v>
      </c>
      <c r="E310" s="20" t="n">
        <f aca="false">Narxlar!E311/Narxlar!E310-1</f>
        <v>-0.00936524453694065</v>
      </c>
      <c r="F310" s="20" t="n">
        <f aca="false">Narxlar!F311/Narxlar!F310-1</f>
        <v>0.00311001199040772</v>
      </c>
      <c r="H310" s="20" t="n">
        <f aca="false">LN(Narxlar!B311/Narxlar!B310)</f>
        <v>-0.0169421949908528</v>
      </c>
      <c r="I310" s="20" t="n">
        <f aca="false">LN(Narxlar!C311/Narxlar!C310)</f>
        <v>-0.0291082744873451</v>
      </c>
      <c r="J310" s="20" t="n">
        <f aca="false">LN(Narxlar!D311/Narxlar!D310)</f>
        <v>-0.00497450005399642</v>
      </c>
      <c r="K310" s="20" t="n">
        <f aca="false">LN(Narxlar!E311/Narxlar!E310)</f>
        <v>-0.00940937417892714</v>
      </c>
      <c r="L310" s="20" t="n">
        <f aca="false">LN(Narxlar!F311/Narxlar!F310)</f>
        <v>0.00310518590664742</v>
      </c>
    </row>
    <row r="311" customFormat="false" ht="15" hidden="false" customHeight="false" outlineLevel="0" collapsed="false">
      <c r="A311" s="19" t="n">
        <f aca="false">Narxlar!A312</f>
        <v>45727</v>
      </c>
      <c r="B311" s="20" t="n">
        <f aca="false">Narxlar!B312/Narxlar!B311-1</f>
        <v>-0.0158046326721025</v>
      </c>
      <c r="C311" s="20" t="n">
        <f aca="false">Narxlar!C312/Narxlar!C311-1</f>
        <v>-0.01198160962244</v>
      </c>
      <c r="D311" s="20" t="n">
        <f aca="false">Narxlar!D312/Narxlar!D311-1</f>
        <v>-0.0129467425356435</v>
      </c>
      <c r="E311" s="20" t="n">
        <f aca="false">Narxlar!E312/Narxlar!E311-1</f>
        <v>0.00233426704014939</v>
      </c>
      <c r="F311" s="20" t="n">
        <f aca="false">Narxlar!F312/Narxlar!F311-1</f>
        <v>-0.030293974823503</v>
      </c>
      <c r="H311" s="20" t="n">
        <f aca="false">LN(Narxlar!B312/Narxlar!B311)</f>
        <v>-0.0159308576047254</v>
      </c>
      <c r="I311" s="20" t="n">
        <f aca="false">LN(Narxlar!C312/Narxlar!C311)</f>
        <v>-0.0120539676650331</v>
      </c>
      <c r="J311" s="20" t="n">
        <f aca="false">LN(Narxlar!D312/Narxlar!D311)</f>
        <v>-0.0130312820739339</v>
      </c>
      <c r="K311" s="20" t="n">
        <f aca="false">LN(Narxlar!E312/Narxlar!E311)</f>
        <v>0.00233154687108694</v>
      </c>
      <c r="L311" s="20" t="n">
        <f aca="false">LN(Narxlar!F312/Narxlar!F311)</f>
        <v>-0.0307623202470944</v>
      </c>
    </row>
    <row r="312" customFormat="false" ht="15" hidden="false" customHeight="false" outlineLevel="0" collapsed="false">
      <c r="A312" s="19" t="n">
        <f aca="false">Narxlar!A313</f>
        <v>45728</v>
      </c>
      <c r="B312" s="20" t="n">
        <f aca="false">Narxlar!B313/Narxlar!B312-1</f>
        <v>0.00378378823975556</v>
      </c>
      <c r="C312" s="20" t="n">
        <f aca="false">Narxlar!C313/Narxlar!C312-1</f>
        <v>0.015840188014101</v>
      </c>
      <c r="D312" s="20" t="n">
        <f aca="false">Narxlar!D313/Narxlar!D312-1</f>
        <v>-0.00242899245393013</v>
      </c>
      <c r="E312" s="20" t="n">
        <f aca="false">Narxlar!E313/Narxlar!E312-1</f>
        <v>0.00477410340009321</v>
      </c>
      <c r="F312" s="20" t="n">
        <f aca="false">Narxlar!F313/Narxlar!F312-1</f>
        <v>0.021879815100154</v>
      </c>
      <c r="H312" s="20" t="n">
        <f aca="false">LN(Narxlar!B313/Narxlar!B312)</f>
        <v>0.00377664771951018</v>
      </c>
      <c r="I312" s="20" t="n">
        <f aca="false">LN(Narxlar!C313/Narxlar!C312)</f>
        <v>0.0157160415223815</v>
      </c>
      <c r="J312" s="20" t="n">
        <f aca="false">LN(Narxlar!D313/Narxlar!D312)</f>
        <v>-0.00243194724184222</v>
      </c>
      <c r="K312" s="20" t="n">
        <f aca="false">LN(Narxlar!E313/Narxlar!E312)</f>
        <v>0.00476274350963592</v>
      </c>
      <c r="L312" s="20" t="n">
        <f aca="false">LN(Narxlar!F313/Narxlar!F312)</f>
        <v>0.0216438871169952</v>
      </c>
    </row>
    <row r="313" customFormat="false" ht="15" hidden="false" customHeight="false" outlineLevel="0" collapsed="false">
      <c r="A313" s="19" t="n">
        <f aca="false">Narxlar!A314</f>
        <v>45729</v>
      </c>
      <c r="B313" s="20" t="n">
        <f aca="false">Narxlar!B314/Narxlar!B313-1</f>
        <v>-0.00294006537128599</v>
      </c>
      <c r="C313" s="20" t="n">
        <f aca="false">Narxlar!C314/Narxlar!C313-1</f>
        <v>0.0292892837312604</v>
      </c>
      <c r="D313" s="20" t="n">
        <f aca="false">Narxlar!D314/Narxlar!D313-1</f>
        <v>0.00321407700798648</v>
      </c>
      <c r="E313" s="20" t="n">
        <f aca="false">Narxlar!E314/Narxlar!E313-1</f>
        <v>-0.0148337003128983</v>
      </c>
      <c r="F313" s="20" t="n">
        <f aca="false">Narxlar!F314/Narxlar!F313-1</f>
        <v>0.0114972858866105</v>
      </c>
      <c r="H313" s="20" t="n">
        <f aca="false">LN(Narxlar!B314/Narxlar!B313)</f>
        <v>-0.00294439585349643</v>
      </c>
      <c r="I313" s="20" t="n">
        <f aca="false">LN(Narxlar!C314/Narxlar!C313)</f>
        <v>0.0288685482761858</v>
      </c>
      <c r="J313" s="20" t="n">
        <f aca="false">LN(Narxlar!D314/Narxlar!D313)</f>
        <v>0.00320892290331981</v>
      </c>
      <c r="K313" s="20" t="n">
        <f aca="false">LN(Narxlar!E314/Narxlar!E313)</f>
        <v>-0.0149448198909486</v>
      </c>
      <c r="L313" s="20" t="n">
        <f aca="false">LN(Narxlar!F314/Narxlar!F313)</f>
        <v>0.011431694366117</v>
      </c>
    </row>
    <row r="314" customFormat="false" ht="15" hidden="false" customHeight="false" outlineLevel="0" collapsed="false">
      <c r="A314" s="19" t="n">
        <f aca="false">Narxlar!A315</f>
        <v>45730</v>
      </c>
      <c r="B314" s="20" t="n">
        <f aca="false">Narxlar!B315/Narxlar!B314-1</f>
        <v>-0.00525500790722189</v>
      </c>
      <c r="C314" s="20" t="n">
        <f aca="false">Narxlar!C315/Narxlar!C314-1</f>
        <v>-0.0129467296021578</v>
      </c>
      <c r="D314" s="20" t="n">
        <f aca="false">Narxlar!D315/Narxlar!D314-1</f>
        <v>0.0154040322319666</v>
      </c>
      <c r="E314" s="20" t="n">
        <f aca="false">Narxlar!E315/Narxlar!E314-1</f>
        <v>0.00999882366780369</v>
      </c>
      <c r="F314" s="20" t="n">
        <f aca="false">Narxlar!F315/Narxlar!F314-1</f>
        <v>-0.0124100920508329</v>
      </c>
      <c r="H314" s="20" t="n">
        <f aca="false">LN(Narxlar!B315/Narxlar!B314)</f>
        <v>-0.00526886402526508</v>
      </c>
      <c r="I314" s="20" t="n">
        <f aca="false">LN(Narxlar!C315/Narxlar!C314)</f>
        <v>-0.0130312689708054</v>
      </c>
      <c r="J314" s="20" t="n">
        <f aca="false">LN(Narxlar!D315/Narxlar!D314)</f>
        <v>0.0152865946006472</v>
      </c>
      <c r="K314" s="20" t="n">
        <f aca="false">LN(Narxlar!E315/Narxlar!E314)</f>
        <v>0.00994916616714696</v>
      </c>
      <c r="L314" s="20" t="n">
        <f aca="false">LN(Narxlar!F315/Narxlar!F314)</f>
        <v>-0.0124877403268248</v>
      </c>
    </row>
    <row r="315" customFormat="false" ht="15" hidden="false" customHeight="false" outlineLevel="0" collapsed="false">
      <c r="A315" s="19" t="n">
        <f aca="false">Narxlar!A316</f>
        <v>45733</v>
      </c>
      <c r="B315" s="20" t="n">
        <f aca="false">Narxlar!B316/Narxlar!B315-1</f>
        <v>-0.00144075515442577</v>
      </c>
      <c r="C315" s="20" t="n">
        <f aca="false">Narxlar!C316/Narxlar!C315-1</f>
        <v>0.0197659060891744</v>
      </c>
      <c r="D315" s="20" t="n">
        <f aca="false">Narxlar!D316/Narxlar!D315-1</f>
        <v>-0.0145966790961533</v>
      </c>
      <c r="E315" s="20" t="n">
        <f aca="false">Narxlar!E316/Narxlar!E315-1</f>
        <v>-0.0107151176333566</v>
      </c>
      <c r="F315" s="20" t="n">
        <f aca="false">Narxlar!F316/Narxlar!F315-1</f>
        <v>-0.00332075471698112</v>
      </c>
      <c r="H315" s="20" t="n">
        <f aca="false">LN(Narxlar!B316/Narxlar!B315)</f>
        <v>-0.00144179404010643</v>
      </c>
      <c r="I315" s="20" t="n">
        <f aca="false">LN(Narxlar!C316/Narxlar!C315)</f>
        <v>0.0195730971220018</v>
      </c>
      <c r="J315" s="20" t="n">
        <f aca="false">LN(Narxlar!D316/Narxlar!D315)</f>
        <v>-0.0147042587705381</v>
      </c>
      <c r="K315" s="20" t="n">
        <f aca="false">LN(Narxlar!E316/Narxlar!E315)</f>
        <v>-0.0107729379112895</v>
      </c>
      <c r="L315" s="20" t="n">
        <f aca="false">LN(Narxlar!F316/Narxlar!F315)</f>
        <v>-0.00332628065985159</v>
      </c>
    </row>
    <row r="316" customFormat="false" ht="15" hidden="false" customHeight="false" outlineLevel="0" collapsed="false">
      <c r="A316" s="19" t="n">
        <f aca="false">Narxlar!A317</f>
        <v>45734</v>
      </c>
      <c r="B316" s="20" t="n">
        <f aca="false">Narxlar!B317/Narxlar!B316-1</f>
        <v>0.0184997844041261</v>
      </c>
      <c r="C316" s="20" t="n">
        <f aca="false">Narxlar!C317/Narxlar!C316-1</f>
        <v>0.0288955383859586</v>
      </c>
      <c r="D316" s="20" t="n">
        <f aca="false">Narxlar!D317/Narxlar!D316-1</f>
        <v>0.0162683139816942</v>
      </c>
      <c r="E316" s="20" t="n">
        <f aca="false">Narxlar!E317/Narxlar!E316-1</f>
        <v>0.0116552860842949</v>
      </c>
      <c r="F316" s="20" t="n">
        <f aca="false">Narxlar!F317/Narxlar!F316-1</f>
        <v>0.0188172043010753</v>
      </c>
      <c r="H316" s="20" t="n">
        <f aca="false">LN(Narxlar!B317/Narxlar!B316)</f>
        <v>0.0183307450049034</v>
      </c>
      <c r="I316" s="20" t="n">
        <f aca="false">LN(Narxlar!C317/Narxlar!C316)</f>
        <v>0.0284859340951131</v>
      </c>
      <c r="J316" s="20" t="n">
        <f aca="false">LN(Narxlar!D317/Narxlar!D316)</f>
        <v>0.016137402855703</v>
      </c>
      <c r="K316" s="20" t="n">
        <f aca="false">LN(Narxlar!E317/Narxlar!E316)</f>
        <v>0.0115878864400066</v>
      </c>
      <c r="L316" s="20" t="n">
        <f aca="false">LN(Narxlar!F317/Narxlar!F316)</f>
        <v>0.0186423508092798</v>
      </c>
    </row>
    <row r="317" customFormat="false" ht="15" hidden="false" customHeight="false" outlineLevel="0" collapsed="false">
      <c r="A317" s="19" t="n">
        <f aca="false">Narxlar!A318</f>
        <v>45735</v>
      </c>
      <c r="B317" s="20" t="n">
        <f aca="false">Narxlar!B318/Narxlar!B317-1</f>
        <v>-0.00641552753059171</v>
      </c>
      <c r="C317" s="20" t="n">
        <f aca="false">Narxlar!C318/Narxlar!C317-1</f>
        <v>0.00134560291691987</v>
      </c>
      <c r="D317" s="20" t="n">
        <f aca="false">Narxlar!D318/Narxlar!D317-1</f>
        <v>-0.0046782509070078</v>
      </c>
      <c r="E317" s="20" t="n">
        <f aca="false">Narxlar!E318/Narxlar!E317-1</f>
        <v>0.00500407308274187</v>
      </c>
      <c r="F317" s="20" t="n">
        <f aca="false">Narxlar!F318/Narxlar!F317-1</f>
        <v>0.00661488721245673</v>
      </c>
      <c r="H317" s="20" t="n">
        <f aca="false">LN(Narxlar!B318/Narxlar!B317)</f>
        <v>-0.00643619547192594</v>
      </c>
      <c r="I317" s="20" t="n">
        <f aca="false">LN(Narxlar!C318/Narxlar!C317)</f>
        <v>0.00134469840463352</v>
      </c>
      <c r="J317" s="20" t="n">
        <f aca="false">LN(Narxlar!D318/Narxlar!D317)</f>
        <v>-0.00468922817243076</v>
      </c>
      <c r="K317" s="20" t="n">
        <f aca="false">LN(Narxlar!E318/Narxlar!E317)</f>
        <v>0.00499159432147505</v>
      </c>
      <c r="L317" s="20" t="n">
        <f aca="false">LN(Narxlar!F318/Narxlar!F317)</f>
        <v>0.00659310485184704</v>
      </c>
    </row>
    <row r="318" customFormat="false" ht="15" hidden="false" customHeight="false" outlineLevel="0" collapsed="false">
      <c r="A318" s="19" t="n">
        <f aca="false">Narxlar!A319</f>
        <v>45736</v>
      </c>
      <c r="B318" s="20" t="n">
        <f aca="false">Narxlar!B319/Narxlar!B318-1</f>
        <v>0.0102999860700268</v>
      </c>
      <c r="C318" s="20" t="n">
        <f aca="false">Narxlar!C319/Narxlar!C318-1</f>
        <v>0.0179461615154537</v>
      </c>
      <c r="D318" s="20" t="n">
        <f aca="false">Narxlar!D319/Narxlar!D318-1</f>
        <v>0.0134612310151878</v>
      </c>
      <c r="E318" s="20" t="n">
        <f aca="false">Narxlar!E319/Narxlar!E318-1</f>
        <v>0.00671607225567383</v>
      </c>
      <c r="F318" s="20" t="n">
        <f aca="false">Narxlar!F319/Narxlar!F318-1</f>
        <v>0.017609923579577</v>
      </c>
      <c r="H318" s="20" t="n">
        <f aca="false">LN(Narxlar!B319/Narxlar!B318)</f>
        <v>0.0102473026635922</v>
      </c>
      <c r="I318" s="20" t="n">
        <f aca="false">LN(Narxlar!C319/Narxlar!C318)</f>
        <v>0.0177870302027301</v>
      </c>
      <c r="J318" s="20" t="n">
        <f aca="false">LN(Narxlar!D319/Narxlar!D318)</f>
        <v>0.0133714336032202</v>
      </c>
      <c r="K318" s="20" t="n">
        <f aca="false">LN(Narxlar!E319/Narxlar!E318)</f>
        <v>0.00669361991403932</v>
      </c>
      <c r="L318" s="20" t="n">
        <f aca="false">LN(Narxlar!F319/Narxlar!F318)</f>
        <v>0.0174566655015098</v>
      </c>
    </row>
    <row r="319" customFormat="false" ht="15" hidden="false" customHeight="false" outlineLevel="0" collapsed="false">
      <c r="A319" s="19" t="n">
        <f aca="false">Narxlar!A320</f>
        <v>45737</v>
      </c>
      <c r="B319" s="20" t="n">
        <f aca="false">Narxlar!B320/Narxlar!B319-1</f>
        <v>-0.0181027770568388</v>
      </c>
      <c r="C319" s="20" t="n">
        <f aca="false">Narxlar!C320/Narxlar!C319-1</f>
        <v>-0.0199718945620236</v>
      </c>
      <c r="D319" s="20" t="n">
        <f aca="false">Narxlar!D320/Narxlar!D319-1</f>
        <v>-0.0100328117112569</v>
      </c>
      <c r="E319" s="20" t="n">
        <f aca="false">Narxlar!E320/Narxlar!E319-1</f>
        <v>-0.00609615827007126</v>
      </c>
      <c r="F319" s="20" t="n">
        <f aca="false">Narxlar!F320/Narxlar!F319-1</f>
        <v>-0.0182121607894356</v>
      </c>
      <c r="H319" s="20" t="n">
        <f aca="false">LN(Narxlar!B320/Narxlar!B319)</f>
        <v>-0.018268637059022</v>
      </c>
      <c r="I319" s="20" t="n">
        <f aca="false">LN(Narxlar!C320/Narxlar!C319)</f>
        <v>-0.0201740287104114</v>
      </c>
      <c r="J319" s="20" t="n">
        <f aca="false">LN(Narxlar!D320/Narxlar!D319)</f>
        <v>-0.0100834795454313</v>
      </c>
      <c r="K319" s="20" t="n">
        <f aca="false">LN(Narxlar!E320/Narxlar!E319)</f>
        <v>-0.00611481570733804</v>
      </c>
      <c r="L319" s="20" t="n">
        <f aca="false">LN(Narxlar!F320/Narxlar!F319)</f>
        <v>-0.0183800436535091</v>
      </c>
    </row>
    <row r="320" customFormat="false" ht="15" hidden="false" customHeight="false" outlineLevel="0" collapsed="false">
      <c r="A320" s="19" t="n">
        <f aca="false">Narxlar!A321</f>
        <v>45740</v>
      </c>
      <c r="B320" s="20" t="n">
        <f aca="false">Narxlar!B321/Narxlar!B320-1</f>
        <v>-0.0335772814379172</v>
      </c>
      <c r="C320" s="20" t="n">
        <f aca="false">Narxlar!C321/Narxlar!C320-1</f>
        <v>-0.0504475536629877</v>
      </c>
      <c r="D320" s="20" t="n">
        <f aca="false">Narxlar!D321/Narxlar!D320-1</f>
        <v>-0.0297660781439225</v>
      </c>
      <c r="E320" s="20" t="n">
        <f aca="false">Narxlar!E321/Narxlar!E320-1</f>
        <v>-0.0231454692743895</v>
      </c>
      <c r="F320" s="20" t="n">
        <f aca="false">Narxlar!F321/Narxlar!F320-1</f>
        <v>-0.0267533811248245</v>
      </c>
      <c r="H320" s="20" t="n">
        <f aca="false">LN(Narxlar!B321/Narxlar!B320)</f>
        <v>-0.0341539436320419</v>
      </c>
      <c r="I320" s="20" t="n">
        <f aca="false">LN(Narxlar!C321/Narxlar!C320)</f>
        <v>-0.0517645145132515</v>
      </c>
      <c r="J320" s="20" t="n">
        <f aca="false">LN(Narxlar!D321/Narxlar!D320)</f>
        <v>-0.0302180800056187</v>
      </c>
      <c r="K320" s="20" t="n">
        <f aca="false">LN(Narxlar!E321/Narxlar!E320)</f>
        <v>-0.0234175318576793</v>
      </c>
      <c r="L320" s="20" t="n">
        <f aca="false">LN(Narxlar!F321/Narxlar!F320)</f>
        <v>-0.0271177665534241</v>
      </c>
    </row>
    <row r="321" customFormat="false" ht="15" hidden="false" customHeight="false" outlineLevel="0" collapsed="false">
      <c r="A321" s="19" t="n">
        <f aca="false">Narxlar!A322</f>
        <v>45741</v>
      </c>
      <c r="B321" s="20" t="n">
        <f aca="false">Narxlar!B322/Narxlar!B321-1</f>
        <v>-0.0163676612620621</v>
      </c>
      <c r="C321" s="20" t="n">
        <f aca="false">Narxlar!C322/Narxlar!C321-1</f>
        <v>-0.0441129364389329</v>
      </c>
      <c r="D321" s="20" t="n">
        <f aca="false">Narxlar!D322/Narxlar!D321-1</f>
        <v>-0.00266062278281431</v>
      </c>
      <c r="E321" s="20" t="n">
        <f aca="false">Narxlar!E322/Narxlar!E321-1</f>
        <v>-0.0129131619476366</v>
      </c>
      <c r="F321" s="20" t="n">
        <f aca="false">Narxlar!F322/Narxlar!F321-1</f>
        <v>-0.0500037967955046</v>
      </c>
      <c r="H321" s="20" t="n">
        <f aca="false">LN(Narxlar!B322/Narxlar!B321)</f>
        <v>-0.0165030912444773</v>
      </c>
      <c r="I321" s="20" t="n">
        <f aca="false">LN(Narxlar!C322/Narxlar!C321)</f>
        <v>-0.0451155072594959</v>
      </c>
      <c r="J321" s="20" t="n">
        <f aca="false">LN(Narxlar!D322/Narxlar!D321)</f>
        <v>-0.00266416853027127</v>
      </c>
      <c r="K321" s="20" t="n">
        <f aca="false">LN(Narxlar!E322/Narxlar!E321)</f>
        <v>-0.0129972616028574</v>
      </c>
      <c r="L321" s="20" t="n">
        <f aca="false">LN(Narxlar!F322/Narxlar!F321)</f>
        <v>-0.051297291022384</v>
      </c>
    </row>
    <row r="322" customFormat="false" ht="15" hidden="false" customHeight="false" outlineLevel="0" collapsed="false">
      <c r="A322" s="19" t="n">
        <f aca="false">Narxlar!A323</f>
        <v>45742</v>
      </c>
      <c r="B322" s="20" t="n">
        <f aca="false">Narxlar!B323/Narxlar!B322-1</f>
        <v>0.00664731848041433</v>
      </c>
      <c r="C322" s="20" t="n">
        <f aca="false">Narxlar!C323/Narxlar!C322-1</f>
        <v>0.0178084159126812</v>
      </c>
      <c r="D322" s="20" t="n">
        <f aca="false">Narxlar!D323/Narxlar!D322-1</f>
        <v>0.0223956789513553</v>
      </c>
      <c r="E322" s="20" t="n">
        <f aca="false">Narxlar!E323/Narxlar!E322-1</f>
        <v>0.0170427268362938</v>
      </c>
      <c r="F322" s="20" t="n">
        <f aca="false">Narxlar!F323/Narxlar!F322-1</f>
        <v>0.0194636505335519</v>
      </c>
      <c r="H322" s="20" t="n">
        <f aca="false">LN(Narxlar!B323/Narxlar!B322)</f>
        <v>0.00662532248139246</v>
      </c>
      <c r="I322" s="20" t="n">
        <f aca="false">LN(Narxlar!C323/Narxlar!C322)</f>
        <v>0.0176517038677092</v>
      </c>
      <c r="J322" s="20" t="n">
        <f aca="false">LN(Narxlar!D323/Narxlar!D322)</f>
        <v>0.0221485782544198</v>
      </c>
      <c r="K322" s="20" t="n">
        <f aca="false">LN(Narxlar!E323/Narxlar!E322)</f>
        <v>0.0168991288056419</v>
      </c>
      <c r="L322" s="20" t="n">
        <f aca="false">LN(Narxlar!F323/Narxlar!F322)</f>
        <v>0.0192766561873809</v>
      </c>
    </row>
    <row r="323" customFormat="false" ht="15" hidden="false" customHeight="false" outlineLevel="0" collapsed="false">
      <c r="A323" s="19" t="n">
        <f aca="false">Narxlar!A324</f>
        <v>45743</v>
      </c>
      <c r="B323" s="20" t="n">
        <f aca="false">Narxlar!B324/Narxlar!B323-1</f>
        <v>0.00907215426978225</v>
      </c>
      <c r="C323" s="20" t="n">
        <f aca="false">Narxlar!C324/Narxlar!C323-1</f>
        <v>0.0415784770236582</v>
      </c>
      <c r="D323" s="20" t="n">
        <f aca="false">Narxlar!D324/Narxlar!D323-1</f>
        <v>0.0197145894404536</v>
      </c>
      <c r="E323" s="20" t="n">
        <f aca="false">Narxlar!E324/Narxlar!E323-1</f>
        <v>0.00401227283455286</v>
      </c>
      <c r="F323" s="20" t="n">
        <f aca="false">Narxlar!F324/Narxlar!F323-1</f>
        <v>0.0305786419946683</v>
      </c>
      <c r="H323" s="20" t="n">
        <f aca="false">LN(Narxlar!B324/Narxlar!B323)</f>
        <v>0.00903124948842435</v>
      </c>
      <c r="I323" s="20" t="n">
        <f aca="false">LN(Narxlar!C324/Narxlar!C323)</f>
        <v>0.0407373288789328</v>
      </c>
      <c r="J323" s="20" t="n">
        <f aca="false">LN(Narxlar!D324/Narxlar!D323)</f>
        <v>0.0195227738667963</v>
      </c>
      <c r="K323" s="20" t="n">
        <f aca="false">LN(Narxlar!E324/Narxlar!E323)</f>
        <v>0.00400424513362339</v>
      </c>
      <c r="L323" s="20" t="n">
        <f aca="false">LN(Narxlar!F324/Narxlar!F323)</f>
        <v>0.030120432841887</v>
      </c>
    </row>
    <row r="324" customFormat="false" ht="15" hidden="false" customHeight="false" outlineLevel="0" collapsed="false">
      <c r="A324" s="19" t="n">
        <f aca="false">Narxlar!A325</f>
        <v>45744</v>
      </c>
      <c r="B324" s="20" t="n">
        <f aca="false">Narxlar!B325/Narxlar!B324-1</f>
        <v>0.0169033361847732</v>
      </c>
      <c r="C324" s="20" t="n">
        <f aca="false">Narxlar!C325/Narxlar!C324-1</f>
        <v>0.0359449085572363</v>
      </c>
      <c r="D324" s="20" t="n">
        <f aca="false">Narxlar!D325/Narxlar!D324-1</f>
        <v>0.0286210709208656</v>
      </c>
      <c r="E324" s="20" t="n">
        <f aca="false">Narxlar!E325/Narxlar!E324-1</f>
        <v>0.0145745181006112</v>
      </c>
      <c r="F324" s="20" t="n">
        <f aca="false">Narxlar!F325/Narxlar!F324-1</f>
        <v>0.0262096774193548</v>
      </c>
      <c r="H324" s="20" t="n">
        <f aca="false">LN(Narxlar!B325/Narxlar!B324)</f>
        <v>0.0167620645498359</v>
      </c>
      <c r="I324" s="20" t="n">
        <f aca="false">LN(Narxlar!C325/Narxlar!C324)</f>
        <v>0.0353139653550362</v>
      </c>
      <c r="J324" s="20" t="n">
        <f aca="false">LN(Narxlar!D325/Narxlar!D324)</f>
        <v>0.0282191391973422</v>
      </c>
      <c r="K324" s="20" t="n">
        <f aca="false">LN(Narxlar!E325/Narxlar!E324)</f>
        <v>0.0144693306178428</v>
      </c>
      <c r="L324" s="20" t="n">
        <f aca="false">LN(Narxlar!F325/Narxlar!F324)</f>
        <v>0.0258720898255952</v>
      </c>
    </row>
    <row r="325" customFormat="false" ht="15" hidden="false" customHeight="false" outlineLevel="0" collapsed="false">
      <c r="A325" s="19" t="n">
        <f aca="false">Narxlar!A326</f>
        <v>45747</v>
      </c>
      <c r="B325" s="20" t="n">
        <f aca="false">Narxlar!B326/Narxlar!B325-1</f>
        <v>0.0024395168074296</v>
      </c>
      <c r="C325" s="20" t="n">
        <f aca="false">Narxlar!C326/Narxlar!C325-1</f>
        <v>-0.000958981735756925</v>
      </c>
      <c r="D325" s="20" t="n">
        <f aca="false">Narxlar!D326/Narxlar!D325-1</f>
        <v>-0.0147108504038573</v>
      </c>
      <c r="E325" s="20" t="n">
        <f aca="false">Narxlar!E326/Narxlar!E325-1</f>
        <v>0.0128591288229842</v>
      </c>
      <c r="F325" s="20" t="n">
        <f aca="false">Narxlar!F326/Narxlar!F325-1</f>
        <v>-0.0135300441116507</v>
      </c>
      <c r="H325" s="20" t="n">
        <f aca="false">LN(Narxlar!B326/Narxlar!B325)</f>
        <v>0.00243654601685082</v>
      </c>
      <c r="I325" s="20" t="n">
        <f aca="false">LN(Narxlar!C326/Narxlar!C325)</f>
        <v>-0.000959441852927845</v>
      </c>
      <c r="J325" s="20" t="n">
        <f aca="false">LN(Narxlar!D326/Narxlar!D325)</f>
        <v>-0.0148201279987824</v>
      </c>
      <c r="K325" s="20" t="n">
        <f aca="false">LN(Narxlar!E326/Narxlar!E325)</f>
        <v>0.0127771522429204</v>
      </c>
      <c r="L325" s="20" t="n">
        <f aca="false">LN(Narxlar!F326/Narxlar!F325)</f>
        <v>-0.0136224092408665</v>
      </c>
    </row>
    <row r="326" customFormat="false" ht="15" hidden="false" customHeight="false" outlineLevel="0" collapsed="false">
      <c r="A326" s="19" t="n">
        <f aca="false">Narxlar!A327</f>
        <v>45748</v>
      </c>
      <c r="B326" s="20" t="n">
        <f aca="false">Narxlar!B327/Narxlar!B326-1</f>
        <v>0.0151301545742912</v>
      </c>
      <c r="C326" s="20" t="n">
        <f aca="false">Narxlar!C327/Narxlar!C326-1</f>
        <v>0.0344692176796544</v>
      </c>
      <c r="D326" s="20" t="n">
        <f aca="false">Narxlar!D327/Narxlar!D326-1</f>
        <v>0.00345988404712916</v>
      </c>
      <c r="E326" s="20" t="n">
        <f aca="false">Narxlar!E327/Narxlar!E326-1</f>
        <v>0.00274505318540541</v>
      </c>
      <c r="F326" s="20" t="n">
        <f aca="false">Narxlar!F327/Narxlar!F326-1</f>
        <v>0.0340072147903201</v>
      </c>
      <c r="H326" s="20" t="n">
        <f aca="false">LN(Narxlar!B327/Narxlar!B326)</f>
        <v>0.015016835380521</v>
      </c>
      <c r="I326" s="20" t="n">
        <f aca="false">LN(Narxlar!C327/Narxlar!C326)</f>
        <v>0.033888462013678</v>
      </c>
      <c r="J326" s="20" t="n">
        <f aca="false">LN(Narxlar!D327/Narxlar!D326)</f>
        <v>0.00345391241845048</v>
      </c>
      <c r="K326" s="20" t="n">
        <f aca="false">LN(Narxlar!E327/Narxlar!E326)</f>
        <v>0.00274129240769455</v>
      </c>
      <c r="L326" s="20" t="n">
        <f aca="false">LN(Narxlar!F327/Narxlar!F326)</f>
        <v>0.0334417536153954</v>
      </c>
    </row>
    <row r="327" customFormat="false" ht="15" hidden="false" customHeight="false" outlineLevel="0" collapsed="false">
      <c r="A327" s="19" t="n">
        <f aca="false">Narxlar!A328</f>
        <v>45749</v>
      </c>
      <c r="B327" s="20" t="n">
        <f aca="false">Narxlar!B328/Narxlar!B327-1</f>
        <v>0.0444411378121667</v>
      </c>
      <c r="C327" s="20" t="n">
        <f aca="false">Narxlar!C328/Narxlar!C327-1</f>
        <v>0.0541144712978194</v>
      </c>
      <c r="D327" s="20" t="n">
        <f aca="false">Narxlar!D328/Narxlar!D327-1</f>
        <v>0.040847389183984</v>
      </c>
      <c r="E327" s="20" t="n">
        <f aca="false">Narxlar!E328/Narxlar!E327-1</f>
        <v>0.0448271928824</v>
      </c>
      <c r="F327" s="20" t="n">
        <f aca="false">Narxlar!F328/Narxlar!F327-1</f>
        <v>0.0408474761056801</v>
      </c>
      <c r="H327" s="20" t="n">
        <f aca="false">LN(Narxlar!B328/Narxlar!B327)</f>
        <v>0.0434819460102061</v>
      </c>
      <c r="I327" s="20" t="n">
        <f aca="false">LN(Narxlar!C328/Narxlar!C327)</f>
        <v>0.0527010507663275</v>
      </c>
      <c r="J327" s="20" t="n">
        <f aca="false">LN(Narxlar!D328/Narxlar!D327)</f>
        <v>0.0400351786784629</v>
      </c>
      <c r="K327" s="20" t="n">
        <f aca="false">LN(Narxlar!E328/Narxlar!E327)</f>
        <v>0.0438515060795905</v>
      </c>
      <c r="L327" s="20" t="n">
        <f aca="false">LN(Narxlar!F328/Narxlar!F327)</f>
        <v>0.0400352621889692</v>
      </c>
    </row>
    <row r="328" customFormat="false" ht="15" hidden="false" customHeight="false" outlineLevel="0" collapsed="false">
      <c r="A328" s="19" t="n">
        <f aca="false">Narxlar!A329</f>
        <v>45750</v>
      </c>
      <c r="B328" s="20" t="n">
        <f aca="false">Narxlar!B329/Narxlar!B328-1</f>
        <v>0.0130911393406941</v>
      </c>
      <c r="C328" s="20" t="n">
        <f aca="false">Narxlar!C329/Narxlar!C328-1</f>
        <v>0.011963828425096</v>
      </c>
      <c r="D328" s="20" t="n">
        <f aca="false">Narxlar!D329/Narxlar!D328-1</f>
        <v>0.0115494807210219</v>
      </c>
      <c r="E328" s="20" t="n">
        <f aca="false">Narxlar!E329/Narxlar!E328-1</f>
        <v>0.000218340611353618</v>
      </c>
      <c r="F328" s="20" t="n">
        <f aca="false">Narxlar!F329/Narxlar!F328-1</f>
        <v>0.0233930379525855</v>
      </c>
      <c r="H328" s="20" t="n">
        <f aca="false">LN(Narxlar!B329/Narxlar!B328)</f>
        <v>0.0130061909536626</v>
      </c>
      <c r="I328" s="20" t="n">
        <f aca="false">LN(Narxlar!C329/Narxlar!C328)</f>
        <v>0.011892827563541</v>
      </c>
      <c r="J328" s="20" t="n">
        <f aca="false">LN(Narxlar!D329/Narxlar!D328)</f>
        <v>0.0114832945913659</v>
      </c>
      <c r="K328" s="20" t="n">
        <f aca="false">LN(Narxlar!E329/Narxlar!E328)</f>
        <v>0.00021831677851139</v>
      </c>
      <c r="L328" s="20" t="n">
        <f aca="false">LN(Narxlar!F329/Narxlar!F328)</f>
        <v>0.0231236145052356</v>
      </c>
    </row>
    <row r="329" customFormat="false" ht="15" hidden="false" customHeight="false" outlineLevel="0" collapsed="false">
      <c r="A329" s="19" t="n">
        <f aca="false">Narxlar!A330</f>
        <v>45751</v>
      </c>
      <c r="B329" s="20" t="n">
        <f aca="false">Narxlar!B330/Narxlar!B329-1</f>
        <v>0.0061484855350431</v>
      </c>
      <c r="C329" s="20" t="n">
        <f aca="false">Narxlar!C330/Narxlar!C329-1</f>
        <v>0.00976632003479505</v>
      </c>
      <c r="D329" s="20" t="n">
        <f aca="false">Narxlar!D330/Narxlar!D329-1</f>
        <v>0.00489747750405667</v>
      </c>
      <c r="E329" s="20" t="n">
        <f aca="false">Narxlar!E330/Narxlar!E329-1</f>
        <v>-0.000764025321982054</v>
      </c>
      <c r="F329" s="20" t="n">
        <f aca="false">Narxlar!F330/Narxlar!F329-1</f>
        <v>0.0112926887516631</v>
      </c>
      <c r="H329" s="20" t="n">
        <f aca="false">LN(Narxlar!B330/Narxlar!B329)</f>
        <v>0.00612966072117925</v>
      </c>
      <c r="I329" s="20" t="n">
        <f aca="false">LN(Narxlar!C330/Narxlar!C329)</f>
        <v>0.00971893778167298</v>
      </c>
      <c r="J329" s="20" t="n">
        <f aca="false">LN(Narxlar!D330/Narxlar!D329)</f>
        <v>0.0048855238736424</v>
      </c>
      <c r="K329" s="20" t="n">
        <f aca="false">LN(Narxlar!E330/Narxlar!E329)</f>
        <v>-0.000764317338076303</v>
      </c>
      <c r="L329" s="20" t="n">
        <f aca="false">LN(Narxlar!F330/Narxlar!F329)</f>
        <v>0.0112294023454819</v>
      </c>
    </row>
    <row r="330" customFormat="false" ht="15" hidden="false" customHeight="false" outlineLevel="0" collapsed="false">
      <c r="A330" s="19" t="n">
        <f aca="false">Narxlar!A331</f>
        <v>45754</v>
      </c>
      <c r="B330" s="20" t="n">
        <f aca="false">Narxlar!B331/Narxlar!B330-1</f>
        <v>0.00962837575512876</v>
      </c>
      <c r="C330" s="20" t="n">
        <f aca="false">Narxlar!C331/Narxlar!C330-1</f>
        <v>-0.0024277547184588</v>
      </c>
      <c r="D330" s="20" t="n">
        <f aca="false">Narxlar!D331/Narxlar!D330-1</f>
        <v>0.0135932591526966</v>
      </c>
      <c r="E330" s="20" t="n">
        <f aca="false">Narxlar!E331/Narxlar!E330-1</f>
        <v>0.00830147460404151</v>
      </c>
      <c r="F330" s="20" t="n">
        <f aca="false">Narxlar!F331/Narxlar!F330-1</f>
        <v>0.00958099993252826</v>
      </c>
      <c r="H330" s="20" t="n">
        <f aca="false">LN(Narxlar!B331/Narxlar!B330)</f>
        <v>0.00958231834796996</v>
      </c>
      <c r="I330" s="20" t="n">
        <f aca="false">LN(Narxlar!C331/Narxlar!C330)</f>
        <v>-0.00243070649337007</v>
      </c>
      <c r="J330" s="20" t="n">
        <f aca="false">LN(Narxlar!D331/Narxlar!D330)</f>
        <v>0.0135016996008398</v>
      </c>
      <c r="K330" s="20" t="n">
        <f aca="false">LN(Narxlar!E331/Narxlar!E330)</f>
        <v>0.00826720688154044</v>
      </c>
      <c r="L330" s="20" t="n">
        <f aca="false">LN(Narxlar!F331/Narxlar!F330)</f>
        <v>0.00953539322650448</v>
      </c>
    </row>
    <row r="331" customFormat="false" ht="15" hidden="false" customHeight="false" outlineLevel="0" collapsed="false">
      <c r="A331" s="19" t="n">
        <f aca="false">Narxlar!A332</f>
        <v>45755</v>
      </c>
      <c r="B331" s="20" t="n">
        <f aca="false">Narxlar!B332/Narxlar!B331-1</f>
        <v>-0.00497592789134482</v>
      </c>
      <c r="C331" s="20" t="n">
        <f aca="false">Narxlar!C332/Narxlar!C331-1</f>
        <v>-0.00294394724446534</v>
      </c>
      <c r="D331" s="20" t="n">
        <f aca="false">Narxlar!D332/Narxlar!D331-1</f>
        <v>-0.0139902676399026</v>
      </c>
      <c r="E331" s="20" t="n">
        <f aca="false">Narxlar!E332/Narxlar!E331-1</f>
        <v>-0.0165745856353591</v>
      </c>
      <c r="F331" s="20" t="n">
        <f aca="false">Narxlar!F332/Narxlar!F331-1</f>
        <v>-0.0178440152375861</v>
      </c>
      <c r="H331" s="20" t="n">
        <f aca="false">LN(Narxlar!B332/Narxlar!B331)</f>
        <v>-0.00498834904216667</v>
      </c>
      <c r="I331" s="20" t="n">
        <f aca="false">LN(Narxlar!C332/Narxlar!C331)</f>
        <v>-0.00294828918086947</v>
      </c>
      <c r="J331" s="20" t="n">
        <f aca="false">LN(Narxlar!D332/Narxlar!D331)</f>
        <v>-0.0140890538804491</v>
      </c>
      <c r="K331" s="20" t="n">
        <f aca="false">LN(Narxlar!E332/Narxlar!E331)</f>
        <v>-0.0167134809737406</v>
      </c>
      <c r="L331" s="20" t="n">
        <f aca="false">LN(Narxlar!F332/Narxlar!F331)</f>
        <v>-0.0180051392884578</v>
      </c>
    </row>
    <row r="332" customFormat="false" ht="15" hidden="false" customHeight="false" outlineLevel="0" collapsed="false">
      <c r="A332" s="19" t="n">
        <f aca="false">Narxlar!A333</f>
        <v>45756</v>
      </c>
      <c r="B332" s="20" t="n">
        <f aca="false">Narxlar!B333/Narxlar!B332-1</f>
        <v>0.0400296802417703</v>
      </c>
      <c r="C332" s="20" t="n">
        <f aca="false">Narxlar!C333/Narxlar!C332-1</f>
        <v>0.0648793354592339</v>
      </c>
      <c r="D332" s="20" t="n">
        <f aca="false">Narxlar!D333/Narxlar!D332-1</f>
        <v>0.0400693281630975</v>
      </c>
      <c r="E332" s="20" t="n">
        <f aca="false">Narxlar!E333/Narxlar!E332-1</f>
        <v>0.0217008151575238</v>
      </c>
      <c r="F332" s="20" t="n">
        <f aca="false">Narxlar!F333/Narxlar!F332-1</f>
        <v>0.067399292324442</v>
      </c>
      <c r="H332" s="20" t="n">
        <f aca="false">LN(Narxlar!B333/Narxlar!B332)</f>
        <v>0.0392492514400705</v>
      </c>
      <c r="I332" s="20" t="n">
        <f aca="false">LN(Narxlar!C333/Narxlar!C332)</f>
        <v>0.0628614927041762</v>
      </c>
      <c r="J332" s="20" t="n">
        <f aca="false">LN(Narxlar!D333/Narxlar!D332)</f>
        <v>0.0392873726267753</v>
      </c>
      <c r="K332" s="20" t="n">
        <f aca="false">LN(Narxlar!E333/Narxlar!E332)</f>
        <v>0.021468704459225</v>
      </c>
      <c r="L332" s="20" t="n">
        <f aca="false">LN(Narxlar!F333/Narxlar!F332)</f>
        <v>0.0652251219274576</v>
      </c>
    </row>
    <row r="333" customFormat="false" ht="15" hidden="false" customHeight="false" outlineLevel="0" collapsed="false">
      <c r="A333" s="19" t="n">
        <f aca="false">Narxlar!A334</f>
        <v>45757</v>
      </c>
      <c r="B333" s="20" t="n">
        <f aca="false">Narxlar!B334/Narxlar!B333-1</f>
        <v>0.00240045184976001</v>
      </c>
      <c r="C333" s="20" t="n">
        <f aca="false">Narxlar!C334/Narxlar!C333-1</f>
        <v>0.0247328921586749</v>
      </c>
      <c r="D333" s="20" t="n">
        <f aca="false">Narxlar!D334/Narxlar!D333-1</f>
        <v>0.0172009603163394</v>
      </c>
      <c r="E333" s="20" t="n">
        <f aca="false">Narxlar!E334/Narxlar!E333-1</f>
        <v>0.0153099730458222</v>
      </c>
      <c r="F333" s="20" t="n">
        <f aca="false">Narxlar!F334/Narxlar!F333-1</f>
        <v>-0.0105504733369458</v>
      </c>
      <c r="H333" s="20" t="n">
        <f aca="false">LN(Narxlar!B334/Narxlar!B333)</f>
        <v>0.00239757536753691</v>
      </c>
      <c r="I333" s="20" t="n">
        <f aca="false">LN(Narxlar!C334/Narxlar!C333)</f>
        <v>0.0244319856141846</v>
      </c>
      <c r="J333" s="20" t="n">
        <f aca="false">LN(Narxlar!D334/Narxlar!D333)</f>
        <v>0.0170546986435764</v>
      </c>
      <c r="K333" s="20" t="n">
        <f aca="false">LN(Narxlar!E334/Narxlar!E333)</f>
        <v>0.0151939580344274</v>
      </c>
      <c r="L333" s="20" t="n">
        <f aca="false">LN(Narxlar!F334/Narxlar!F333)</f>
        <v>-0.0106065241712347</v>
      </c>
    </row>
    <row r="334" customFormat="false" ht="15" hidden="false" customHeight="false" outlineLevel="0" collapsed="false">
      <c r="A334" s="19" t="n">
        <f aca="false">Narxlar!A335</f>
        <v>45758</v>
      </c>
      <c r="B334" s="20" t="n">
        <f aca="false">Narxlar!B335/Narxlar!B334-1</f>
        <v>-0.0189426234977499</v>
      </c>
      <c r="C334" s="20" t="n">
        <f aca="false">Narxlar!C335/Narxlar!C334-1</f>
        <v>-0.0275993938956635</v>
      </c>
      <c r="D334" s="20" t="n">
        <f aca="false">Narxlar!D335/Narxlar!D334-1</f>
        <v>-0.0196867884711501</v>
      </c>
      <c r="E334" s="20" t="n">
        <f aca="false">Narxlar!E335/Narxlar!E334-1</f>
        <v>-0.012742911755336</v>
      </c>
      <c r="F334" s="20" t="n">
        <f aca="false">Narxlar!F335/Narxlar!F334-1</f>
        <v>-0.0197796533728497</v>
      </c>
      <c r="H334" s="20" t="n">
        <f aca="false">LN(Narxlar!B335/Narxlar!B334)</f>
        <v>-0.0191243333572391</v>
      </c>
      <c r="I334" s="20" t="n">
        <f aca="false">LN(Narxlar!C335/Narxlar!C334)</f>
        <v>-0.027987413232736</v>
      </c>
      <c r="J334" s="20" t="n">
        <f aca="false">LN(Narxlar!D335/Narxlar!D334)</f>
        <v>-0.0198831547790036</v>
      </c>
      <c r="K334" s="20" t="n">
        <f aca="false">LN(Narxlar!E335/Narxlar!E334)</f>
        <v>-0.0128247990542053</v>
      </c>
      <c r="L334" s="20" t="n">
        <f aca="false">LN(Narxlar!F335/Narxlar!F334)</f>
        <v>-0.0199778890939381</v>
      </c>
    </row>
    <row r="335" customFormat="false" ht="15" hidden="false" customHeight="false" outlineLevel="0" collapsed="false">
      <c r="A335" s="19" t="n">
        <f aca="false">Narxlar!A336</f>
        <v>45761</v>
      </c>
      <c r="B335" s="20" t="n">
        <f aca="false">Narxlar!B336/Narxlar!B335-1</f>
        <v>-0.00311352266372433</v>
      </c>
      <c r="C335" s="20" t="n">
        <f aca="false">Narxlar!C336/Narxlar!C335-1</f>
        <v>0.00567654806515039</v>
      </c>
      <c r="D335" s="20" t="n">
        <f aca="false">Narxlar!D336/Narxlar!D335-1</f>
        <v>0.000198272199405158</v>
      </c>
      <c r="E335" s="20" t="n">
        <f aca="false">Narxlar!E336/Narxlar!E335-1</f>
        <v>-0.00225879315908362</v>
      </c>
      <c r="F335" s="20" t="n">
        <f aca="false">Narxlar!F336/Narxlar!F335-1</f>
        <v>-0.00926777967661363</v>
      </c>
      <c r="H335" s="20" t="n">
        <f aca="false">LN(Narxlar!B336/Narxlar!B335)</f>
        <v>-0.00311837975981912</v>
      </c>
      <c r="I335" s="20" t="n">
        <f aca="false">LN(Narxlar!C336/Narxlar!C335)</f>
        <v>0.00566049717994937</v>
      </c>
      <c r="J335" s="20" t="n">
        <f aca="false">LN(Narxlar!D336/Narxlar!D335)</f>
        <v>0.000198252546070394</v>
      </c>
      <c r="K335" s="20" t="n">
        <f aca="false">LN(Narxlar!E336/Narxlar!E335)</f>
        <v>-0.0022613480804357</v>
      </c>
      <c r="L335" s="20" t="n">
        <f aca="false">LN(Narxlar!F336/Narxlar!F335)</f>
        <v>-0.00931099274671724</v>
      </c>
    </row>
    <row r="336" customFormat="false" ht="15" hidden="false" customHeight="false" outlineLevel="0" collapsed="false">
      <c r="A336" s="19" t="n">
        <f aca="false">Narxlar!A337</f>
        <v>45762</v>
      </c>
      <c r="B336" s="20" t="n">
        <f aca="false">Narxlar!B337/Narxlar!B336-1</f>
        <v>-0.028215352426581</v>
      </c>
      <c r="C336" s="20" t="n">
        <f aca="false">Narxlar!C337/Narxlar!C336-1</f>
        <v>-0.0440492879805209</v>
      </c>
      <c r="D336" s="20" t="n">
        <f aca="false">Narxlar!D337/Narxlar!D336-1</f>
        <v>-0.0072213411871318</v>
      </c>
      <c r="E336" s="20" t="n">
        <f aca="false">Narxlar!E337/Narxlar!E336-1</f>
        <v>-0.0118585597240189</v>
      </c>
      <c r="F336" s="20" t="n">
        <f aca="false">Narxlar!F337/Narxlar!F336-1</f>
        <v>0.0383135407682611</v>
      </c>
      <c r="H336" s="20" t="n">
        <f aca="false">LN(Narxlar!B337/Narxlar!B336)</f>
        <v>-0.028621055063278</v>
      </c>
      <c r="I336" s="20" t="n">
        <f aca="false">LN(Narxlar!C337/Narxlar!C336)</f>
        <v>-0.045048923724796</v>
      </c>
      <c r="J336" s="20" t="n">
        <f aca="false">LN(Narxlar!D337/Narxlar!D336)</f>
        <v>-0.00724754128081063</v>
      </c>
      <c r="K336" s="20" t="n">
        <f aca="false">LN(Narxlar!E337/Narxlar!E336)</f>
        <v>-0.0119294333063529</v>
      </c>
      <c r="L336" s="20" t="n">
        <f aca="false">LN(Narxlar!F337/Narxlar!F336)</f>
        <v>0.0375978015292045</v>
      </c>
    </row>
    <row r="337" customFormat="false" ht="15" hidden="false" customHeight="false" outlineLevel="0" collapsed="false">
      <c r="A337" s="19" t="n">
        <f aca="false">Narxlar!A338</f>
        <v>45763</v>
      </c>
      <c r="B337" s="20" t="n">
        <f aca="false">Narxlar!B338/Narxlar!B337-1</f>
        <v>-0.0175205941088368</v>
      </c>
      <c r="C337" s="20" t="n">
        <f aca="false">Narxlar!C338/Narxlar!C337-1</f>
        <v>-0.0229237418956468</v>
      </c>
      <c r="D337" s="20" t="n">
        <f aca="false">Narxlar!D338/Narxlar!D337-1</f>
        <v>-0.028496448640785</v>
      </c>
      <c r="E337" s="20" t="n">
        <f aca="false">Narxlar!E338/Narxlar!E337-1</f>
        <v>-0.0098188959197032</v>
      </c>
      <c r="F337" s="20" t="n">
        <f aca="false">Narxlar!F338/Narxlar!F337-1</f>
        <v>-0.0174115842944315</v>
      </c>
      <c r="H337" s="20" t="n">
        <f aca="false">LN(Narxlar!B338/Narxlar!B337)</f>
        <v>-0.0176758963834287</v>
      </c>
      <c r="I337" s="20" t="n">
        <f aca="false">LN(Narxlar!C338/Narxlar!C337)</f>
        <v>-0.0231905766543917</v>
      </c>
      <c r="J337" s="20" t="n">
        <f aca="false">LN(Narxlar!D338/Narxlar!D337)</f>
        <v>-0.028910354629157</v>
      </c>
      <c r="K337" s="20" t="n">
        <f aca="false">LN(Narxlar!E338/Narxlar!E337)</f>
        <v>-0.00986741916933697</v>
      </c>
      <c r="L337" s="20" t="n">
        <f aca="false">LN(Narxlar!F338/Narxlar!F337)</f>
        <v>-0.0175649487476076</v>
      </c>
    </row>
    <row r="338" customFormat="false" ht="15" hidden="false" customHeight="false" outlineLevel="0" collapsed="false">
      <c r="A338" s="19" t="n">
        <f aca="false">Narxlar!A339</f>
        <v>45764</v>
      </c>
      <c r="B338" s="20" t="n">
        <f aca="false">Narxlar!B339/Narxlar!B338-1</f>
        <v>-0.0169517094627858</v>
      </c>
      <c r="C338" s="20" t="n">
        <f aca="false">Narxlar!C339/Narxlar!C338-1</f>
        <v>-0.00458172051504857</v>
      </c>
      <c r="D338" s="20" t="n">
        <f aca="false">Narxlar!D339/Narxlar!D338-1</f>
        <v>-0.0123906277526572</v>
      </c>
      <c r="E338" s="20" t="n">
        <f aca="false">Narxlar!E339/Narxlar!E338-1</f>
        <v>-0.0241295724988982</v>
      </c>
      <c r="F338" s="20" t="n">
        <f aca="false">Narxlar!F339/Narxlar!F338-1</f>
        <v>-0.0170373260502016</v>
      </c>
      <c r="H338" s="20" t="n">
        <f aca="false">LN(Narxlar!B339/Narxlar!B338)</f>
        <v>-0.0170970343679304</v>
      </c>
      <c r="I338" s="20" t="n">
        <f aca="false">LN(Narxlar!C339/Narxlar!C338)</f>
        <v>-0.0045922487671351</v>
      </c>
      <c r="J338" s="20" t="n">
        <f aca="false">LN(Narxlar!D339/Narxlar!D338)</f>
        <v>-0.0124680316337613</v>
      </c>
      <c r="K338" s="20" t="n">
        <f aca="false">LN(Narxlar!E339/Narxlar!E338)</f>
        <v>-0.0244254600901494</v>
      </c>
      <c r="L338" s="20" t="n">
        <f aca="false">LN(Narxlar!F339/Narxlar!F338)</f>
        <v>-0.0171841311227465</v>
      </c>
    </row>
    <row r="339" customFormat="false" ht="15" hidden="false" customHeight="false" outlineLevel="0" collapsed="false">
      <c r="A339" s="19" t="n">
        <f aca="false">Narxlar!A340</f>
        <v>45765</v>
      </c>
      <c r="B339" s="20" t="n">
        <f aca="false">Narxlar!B340/Narxlar!B339-1</f>
        <v>-0.00254420043453318</v>
      </c>
      <c r="C339" s="20" t="n">
        <f aca="false">Narxlar!C340/Narxlar!C339-1</f>
        <v>0.0208713594159193</v>
      </c>
      <c r="D339" s="20" t="n">
        <f aca="false">Narxlar!D340/Narxlar!D339-1</f>
        <v>-0.000564870971578091</v>
      </c>
      <c r="E339" s="20" t="n">
        <f aca="false">Narxlar!E340/Narxlar!E339-1</f>
        <v>-0.00982273907643672</v>
      </c>
      <c r="F339" s="20" t="n">
        <f aca="false">Narxlar!F340/Narxlar!F339-1</f>
        <v>-0.00992326012172529</v>
      </c>
      <c r="H339" s="20" t="n">
        <f aca="false">LN(Narxlar!B340/Narxlar!B339)</f>
        <v>-0.00254744241245391</v>
      </c>
      <c r="I339" s="20" t="n">
        <f aca="false">LN(Narxlar!C340/Narxlar!C339)</f>
        <v>0.0206565365490544</v>
      </c>
      <c r="J339" s="20" t="n">
        <f aca="false">LN(Narxlar!D340/Narxlar!D339)</f>
        <v>-0.00056503057129035</v>
      </c>
      <c r="K339" s="20" t="n">
        <f aca="false">LN(Narxlar!E340/Narxlar!E339)</f>
        <v>-0.00987130044335427</v>
      </c>
      <c r="L339" s="20" t="n">
        <f aca="false">LN(Narxlar!F340/Narxlar!F339)</f>
        <v>-0.00997282382907571</v>
      </c>
    </row>
    <row r="340" customFormat="false" ht="15" hidden="false" customHeight="false" outlineLevel="0" collapsed="false">
      <c r="A340" s="19" t="n">
        <f aca="false">Narxlar!A341</f>
        <v>45768</v>
      </c>
      <c r="B340" s="20" t="n">
        <f aca="false">Narxlar!B341/Narxlar!B340-1</f>
        <v>-0.00322277644620073</v>
      </c>
      <c r="C340" s="20" t="n">
        <f aca="false">Narxlar!C341/Narxlar!C340-1</f>
        <v>-0.00493625621890548</v>
      </c>
      <c r="D340" s="20" t="n">
        <f aca="false">Narxlar!D341/Narxlar!D340-1</f>
        <v>-0.00847785346699581</v>
      </c>
      <c r="E340" s="20" t="n">
        <f aca="false">Narxlar!E341/Narxlar!E340-1</f>
        <v>-0.0101482326111745</v>
      </c>
      <c r="F340" s="20" t="n">
        <f aca="false">Narxlar!F341/Narxlar!F340-1</f>
        <v>0.0177736202057999</v>
      </c>
      <c r="H340" s="20" t="n">
        <f aca="false">LN(Narxlar!B341/Narxlar!B340)</f>
        <v>-0.00322798077481175</v>
      </c>
      <c r="I340" s="20" t="n">
        <f aca="false">LN(Narxlar!C341/Narxlar!C340)</f>
        <v>-0.00494847977395866</v>
      </c>
      <c r="J340" s="20" t="n">
        <f aca="false">LN(Narxlar!D341/Narxlar!D340)</f>
        <v>-0.00851399487940081</v>
      </c>
      <c r="K340" s="20" t="n">
        <f aca="false">LN(Narxlar!E341/Narxlar!E340)</f>
        <v>-0.0102000769744208</v>
      </c>
      <c r="L340" s="20" t="n">
        <f aca="false">LN(Narxlar!F341/Narxlar!F340)</f>
        <v>0.0176175163908428</v>
      </c>
    </row>
    <row r="341" customFormat="false" ht="15" hidden="false" customHeight="false" outlineLevel="0" collapsed="false">
      <c r="A341" s="19" t="n">
        <f aca="false">Narxlar!A342</f>
        <v>45769</v>
      </c>
      <c r="B341" s="20" t="n">
        <f aca="false">Narxlar!B342/Narxlar!B341-1</f>
        <v>0.0028107686558676</v>
      </c>
      <c r="C341" s="20" t="n">
        <f aca="false">Narxlar!C342/Narxlar!C341-1</f>
        <v>0.0133979141439788</v>
      </c>
      <c r="D341" s="20" t="n">
        <f aca="false">Narxlar!D342/Narxlar!D341-1</f>
        <v>0.00783031321252858</v>
      </c>
      <c r="E341" s="20" t="n">
        <f aca="false">Narxlar!E342/Narxlar!E341-1</f>
        <v>-0.00426218177629301</v>
      </c>
      <c r="F341" s="20" t="n">
        <f aca="false">Narxlar!F342/Narxlar!F341-1</f>
        <v>0.0050223214285714</v>
      </c>
      <c r="H341" s="20" t="n">
        <f aca="false">LN(Narxlar!B342/Narxlar!B341)</f>
        <v>0.00280682583216475</v>
      </c>
      <c r="I341" s="20" t="n">
        <f aca="false">LN(Narxlar!C342/Narxlar!C341)</f>
        <v>0.0133089557824197</v>
      </c>
      <c r="J341" s="20" t="n">
        <f aca="false">LN(Narxlar!D342/Narxlar!D341)</f>
        <v>0.00779981541146151</v>
      </c>
      <c r="K341" s="20" t="n">
        <f aca="false">LN(Narxlar!E342/Narxlar!E341)</f>
        <v>-0.00427129076503134</v>
      </c>
      <c r="L341" s="20" t="n">
        <f aca="false">LN(Narxlar!F342/Narxlar!F341)</f>
        <v>0.00500975164108027</v>
      </c>
    </row>
    <row r="342" customFormat="false" ht="15" hidden="false" customHeight="false" outlineLevel="0" collapsed="false">
      <c r="A342" s="19" t="n">
        <f aca="false">Narxlar!A343</f>
        <v>45770</v>
      </c>
      <c r="B342" s="20" t="n">
        <f aca="false">Narxlar!B343/Narxlar!B342-1</f>
        <v>0.0150837626778133</v>
      </c>
      <c r="C342" s="20" t="n">
        <f aca="false">Narxlar!C343/Narxlar!C342-1</f>
        <v>0.0273666358310207</v>
      </c>
      <c r="D342" s="20" t="n">
        <f aca="false">Narxlar!D343/Narxlar!D342-1</f>
        <v>0.0201530080671568</v>
      </c>
      <c r="E342" s="20" t="n">
        <f aca="false">Narxlar!E343/Narxlar!E342-1</f>
        <v>0.00416473854696897</v>
      </c>
      <c r="F342" s="20" t="n">
        <f aca="false">Narxlar!F343/Narxlar!F342-1</f>
        <v>0.0312898063167522</v>
      </c>
      <c r="H342" s="20" t="n">
        <f aca="false">LN(Narxlar!B343/Narxlar!B342)</f>
        <v>0.0149711338944936</v>
      </c>
      <c r="I342" s="20" t="n">
        <f aca="false">LN(Narxlar!C343/Narxlar!C342)</f>
        <v>0.0269988641525185</v>
      </c>
      <c r="J342" s="20" t="n">
        <f aca="false">LN(Narxlar!D343/Narxlar!D342)</f>
        <v>0.0199526239550956</v>
      </c>
      <c r="K342" s="20" t="n">
        <f aca="false">LN(Narxlar!E343/Narxlar!E342)</f>
        <v>0.00415609002761924</v>
      </c>
      <c r="L342" s="20" t="n">
        <f aca="false">LN(Narxlar!F343/Narxlar!F342)</f>
        <v>0.0308102579865197</v>
      </c>
    </row>
    <row r="343" customFormat="false" ht="15" hidden="false" customHeight="false" outlineLevel="0" collapsed="false">
      <c r="A343" s="19" t="n">
        <f aca="false">Narxlar!A344</f>
        <v>45771</v>
      </c>
      <c r="B343" s="20" t="n">
        <f aca="false">Narxlar!B344/Narxlar!B343-1</f>
        <v>-0.0255295037747594</v>
      </c>
      <c r="C343" s="20" t="n">
        <f aca="false">Narxlar!C344/Narxlar!C343-1</f>
        <v>-0.0286636152172282</v>
      </c>
      <c r="D343" s="20" t="n">
        <f aca="false">Narxlar!D344/Narxlar!D343-1</f>
        <v>-0.017332944266122</v>
      </c>
      <c r="E343" s="20" t="n">
        <f aca="false">Narxlar!E344/Narxlar!E343-1</f>
        <v>-0.0161290322580645</v>
      </c>
      <c r="F343" s="20" t="n">
        <f aca="false">Narxlar!F344/Narxlar!F343-1</f>
        <v>-0.0122882026920031</v>
      </c>
      <c r="H343" s="20" t="n">
        <f aca="false">LN(Narxlar!B344/Narxlar!B343)</f>
        <v>-0.0258610363007029</v>
      </c>
      <c r="I343" s="20" t="n">
        <f aca="false">LN(Narxlar!C344/Narxlar!C343)</f>
        <v>-0.0290824393940889</v>
      </c>
      <c r="J343" s="20" t="n">
        <f aca="false">LN(Narxlar!D344/Narxlar!D343)</f>
        <v>-0.0174849184110999</v>
      </c>
      <c r="K343" s="20" t="n">
        <f aca="false">LN(Narxlar!E344/Narxlar!E343)</f>
        <v>-0.0162605208717803</v>
      </c>
      <c r="L343" s="20" t="n">
        <f aca="false">LN(Narxlar!F344/Narxlar!F343)</f>
        <v>-0.0123643269174605</v>
      </c>
    </row>
    <row r="344" customFormat="false" ht="15" hidden="false" customHeight="false" outlineLevel="0" collapsed="false">
      <c r="A344" s="19" t="n">
        <f aca="false">Narxlar!A345</f>
        <v>45772</v>
      </c>
      <c r="B344" s="20" t="n">
        <f aca="false">Narxlar!B345/Narxlar!B344-1</f>
        <v>-0.00630594478613022</v>
      </c>
      <c r="C344" s="20" t="n">
        <f aca="false">Narxlar!C345/Narxlar!C344-1</f>
        <v>-0.0143684820393974</v>
      </c>
      <c r="D344" s="20" t="n">
        <f aca="false">Narxlar!D345/Narxlar!D344-1</f>
        <v>0.000356336857108897</v>
      </c>
      <c r="E344" s="20" t="n">
        <f aca="false">Narxlar!E345/Narxlar!E344-1</f>
        <v>-0.0421545667447307</v>
      </c>
      <c r="F344" s="20" t="n">
        <f aca="false">Narxlar!F345/Narxlar!F344-1</f>
        <v>-0.0173790361368519</v>
      </c>
      <c r="H344" s="20" t="n">
        <f aca="false">LN(Narxlar!B345/Narxlar!B344)</f>
        <v>-0.00632591123844176</v>
      </c>
      <c r="I344" s="20" t="n">
        <f aca="false">LN(Narxlar!C345/Narxlar!C344)</f>
        <v>-0.0144727082638948</v>
      </c>
      <c r="J344" s="20" t="n">
        <f aca="false">LN(Narxlar!D345/Narxlar!D344)</f>
        <v>0.000356273384209071</v>
      </c>
      <c r="K344" s="20" t="n">
        <f aca="false">LN(Narxlar!E345/Narxlar!E344)</f>
        <v>-0.0430688571858229</v>
      </c>
      <c r="L344" s="20" t="n">
        <f aca="false">LN(Narxlar!F345/Narxlar!F344)</f>
        <v>-0.0175318243813992</v>
      </c>
    </row>
    <row r="345" customFormat="false" ht="15" hidden="false" customHeight="false" outlineLevel="0" collapsed="false">
      <c r="A345" s="19" t="n">
        <f aca="false">Narxlar!A346</f>
        <v>45775</v>
      </c>
      <c r="B345" s="20" t="n">
        <f aca="false">Narxlar!B346/Narxlar!B345-1</f>
        <v>-0.00608223377864947</v>
      </c>
      <c r="C345" s="20" t="n">
        <f aca="false">Narxlar!C346/Narxlar!C345-1</f>
        <v>-0.0105023904694725</v>
      </c>
      <c r="D345" s="20" t="n">
        <f aca="false">Narxlar!D346/Narxlar!D345-1</f>
        <v>-0.0209273331750178</v>
      </c>
      <c r="E345" s="20" t="n">
        <f aca="false">Narxlar!E346/Narxlar!E345-1</f>
        <v>-0.00220048899755498</v>
      </c>
      <c r="F345" s="20" t="n">
        <f aca="false">Narxlar!F346/Narxlar!F345-1</f>
        <v>-0.0258769782998858</v>
      </c>
      <c r="H345" s="20" t="n">
        <f aca="false">LN(Narxlar!B346/Narxlar!B345)</f>
        <v>-0.00610080590749854</v>
      </c>
      <c r="I345" s="20" t="n">
        <f aca="false">LN(Narxlar!C346/Narxlar!C345)</f>
        <v>-0.0105579297781827</v>
      </c>
      <c r="J345" s="20" t="n">
        <f aca="false">LN(Narxlar!D346/Narxlar!D345)</f>
        <v>-0.0211494136444278</v>
      </c>
      <c r="K345" s="20" t="n">
        <f aca="false">LN(Narxlar!E346/Narxlar!E345)</f>
        <v>-0.00220291363104172</v>
      </c>
      <c r="L345" s="20" t="n">
        <f aca="false">LN(Narxlar!F346/Narxlar!F345)</f>
        <v>-0.0262176776685541</v>
      </c>
    </row>
    <row r="346" customFormat="false" ht="15" hidden="false" customHeight="false" outlineLevel="0" collapsed="false">
      <c r="A346" s="19" t="n">
        <f aca="false">Narxlar!A347</f>
        <v>45776</v>
      </c>
      <c r="B346" s="20" t="n">
        <f aca="false">Narxlar!B347/Narxlar!B346-1</f>
        <v>0.00465177986550458</v>
      </c>
      <c r="C346" s="20" t="n">
        <f aca="false">Narxlar!C347/Narxlar!C346-1</f>
        <v>-0.00162376237623763</v>
      </c>
      <c r="D346" s="20" t="n">
        <f aca="false">Narxlar!D347/Narxlar!D346-1</f>
        <v>0.00803444198526515</v>
      </c>
      <c r="E346" s="20" t="n">
        <f aca="false">Narxlar!E347/Narxlar!E346-1</f>
        <v>0</v>
      </c>
      <c r="F346" s="20" t="n">
        <f aca="false">Narxlar!F347/Narxlar!F346-1</f>
        <v>0.0122604850596275</v>
      </c>
      <c r="H346" s="20" t="n">
        <f aca="false">LN(Narxlar!B347/Narxlar!B346)</f>
        <v>0.00464099377429267</v>
      </c>
      <c r="I346" s="20" t="n">
        <f aca="false">LN(Narxlar!C347/Narxlar!C346)</f>
        <v>-0.00162508210717798</v>
      </c>
      <c r="J346" s="20" t="n">
        <f aca="false">LN(Narxlar!D347/Narxlar!D346)</f>
        <v>0.00800233770161807</v>
      </c>
      <c r="K346" s="20" t="n">
        <f aca="false">LN(Narxlar!E347/Narxlar!E346)</f>
        <v>0</v>
      </c>
      <c r="L346" s="20" t="n">
        <f aca="false">LN(Narxlar!F347/Narxlar!F346)</f>
        <v>0.0121859340485082</v>
      </c>
    </row>
    <row r="347" customFormat="false" ht="15" hidden="false" customHeight="false" outlineLevel="0" collapsed="false">
      <c r="A347" s="19" t="n">
        <f aca="false">Narxlar!A348</f>
        <v>45777</v>
      </c>
      <c r="B347" s="20" t="n">
        <f aca="false">Narxlar!B348/Narxlar!B347-1</f>
        <v>-0.00490260812149213</v>
      </c>
      <c r="C347" s="20" t="n">
        <f aca="false">Narxlar!C348/Narxlar!C347-1</f>
        <v>0.00297512793050103</v>
      </c>
      <c r="D347" s="20" t="n">
        <f aca="false">Narxlar!D348/Narxlar!D347-1</f>
        <v>-0.0113089509143407</v>
      </c>
      <c r="E347" s="20" t="n">
        <f aca="false">Narxlar!E348/Narxlar!E347-1</f>
        <v>-0.00306297476108797</v>
      </c>
      <c r="F347" s="20" t="n">
        <f aca="false">Narxlar!F348/Narxlar!F347-1</f>
        <v>-0.00943146468991996</v>
      </c>
      <c r="H347" s="20" t="n">
        <f aca="false">LN(Narxlar!B348/Narxlar!B347)</f>
        <v>-0.00491466532867215</v>
      </c>
      <c r="I347" s="20" t="n">
        <f aca="false">LN(Narxlar!C348/Narxlar!C347)</f>
        <v>0.00297071099586146</v>
      </c>
      <c r="J347" s="20" t="n">
        <f aca="false">LN(Narxlar!D348/Narxlar!D347)</f>
        <v>-0.0113733833357082</v>
      </c>
      <c r="K347" s="20" t="n">
        <f aca="false">LN(Narxlar!E348/Narxlar!E347)</f>
        <v>-0.00306767526909373</v>
      </c>
      <c r="L347" s="20" t="n">
        <f aca="false">LN(Narxlar!F348/Narxlar!F347)</f>
        <v>-0.00947622259707016</v>
      </c>
    </row>
    <row r="348" customFormat="false" ht="15" hidden="false" customHeight="false" outlineLevel="0" collapsed="false">
      <c r="A348" s="19" t="n">
        <f aca="false">Narxlar!A349</f>
        <v>45778</v>
      </c>
      <c r="B348" s="20" t="n">
        <f aca="false">Narxlar!B349/Narxlar!B348-1</f>
        <v>-0.00427981354610763</v>
      </c>
      <c r="C348" s="20" t="n">
        <f aca="false">Narxlar!C349/Narxlar!C348-1</f>
        <v>0.00810789432051884</v>
      </c>
      <c r="D348" s="20" t="n">
        <f aca="false">Narxlar!D349/Narxlar!D348-1</f>
        <v>-0.0139024093453395</v>
      </c>
      <c r="E348" s="20" t="n">
        <f aca="false">Narxlar!E349/Narxlar!E348-1</f>
        <v>-0.00823399287206583</v>
      </c>
      <c r="F348" s="20" t="n">
        <f aca="false">Narxlar!F349/Narxlar!F348-1</f>
        <v>-0.0053452711054689</v>
      </c>
      <c r="H348" s="20" t="n">
        <f aca="false">LN(Narxlar!B349/Narxlar!B348)</f>
        <v>-0.00428899816310216</v>
      </c>
      <c r="I348" s="20" t="n">
        <f aca="false">LN(Narxlar!C349/Narxlar!C348)</f>
        <v>0.00807520193740488</v>
      </c>
      <c r="J348" s="20" t="n">
        <f aca="false">LN(Narxlar!D349/Narxlar!D348)</f>
        <v>-0.0139999529541496</v>
      </c>
      <c r="K348" s="20" t="n">
        <f aca="false">LN(Narxlar!E349/Narxlar!E348)</f>
        <v>-0.00826807943266274</v>
      </c>
      <c r="L348" s="20" t="n">
        <f aca="false">LN(Narxlar!F349/Narxlar!F348)</f>
        <v>-0.00535960818025486</v>
      </c>
    </row>
    <row r="349" customFormat="false" ht="15" hidden="false" customHeight="false" outlineLevel="0" collapsed="false">
      <c r="A349" s="19" t="n">
        <f aca="false">Narxlar!A350</f>
        <v>45779</v>
      </c>
      <c r="B349" s="20" t="n">
        <f aca="false">Narxlar!B350/Narxlar!B349-1</f>
        <v>-0.00473136193252821</v>
      </c>
      <c r="C349" s="20" t="n">
        <f aca="false">Narxlar!C350/Narxlar!C349-1</f>
        <v>-0.0049825414884852</v>
      </c>
      <c r="D349" s="20" t="n">
        <f aca="false">Narxlar!D350/Narxlar!D349-1</f>
        <v>-6.16998303254457E-005</v>
      </c>
      <c r="E349" s="20" t="n">
        <f aca="false">Narxlar!E350/Narxlar!E349-1</f>
        <v>0.0027261462205701</v>
      </c>
      <c r="F349" s="20" t="n">
        <f aca="false">Narxlar!F350/Narxlar!F349-1</f>
        <v>-0.0120914922916736</v>
      </c>
      <c r="H349" s="20" t="n">
        <f aca="false">LN(Narxlar!B350/Narxlar!B349)</f>
        <v>-0.00474259025623825</v>
      </c>
      <c r="I349" s="20" t="n">
        <f aca="false">LN(Narxlar!C350/Narxlar!C349)</f>
        <v>-0.00499499573474936</v>
      </c>
      <c r="J349" s="20" t="n">
        <f aca="false">LN(Narxlar!D350/Narxlar!D349)</f>
        <v>-6.17017338382748E-005</v>
      </c>
      <c r="K349" s="20" t="n">
        <f aca="false">LN(Narxlar!E350/Narxlar!E349)</f>
        <v>0.00272243702364169</v>
      </c>
      <c r="L349" s="20" t="n">
        <f aca="false">LN(Narxlar!F350/Narxlar!F349)</f>
        <v>-0.0121651890563238</v>
      </c>
    </row>
    <row r="350" customFormat="false" ht="15" hidden="false" customHeight="false" outlineLevel="0" collapsed="false">
      <c r="A350" s="19" t="n">
        <f aca="false">Narxlar!A351</f>
        <v>45782</v>
      </c>
      <c r="B350" s="20" t="n">
        <f aca="false">Narxlar!B351/Narxlar!B350-1</f>
        <v>0.0187224853952899</v>
      </c>
      <c r="C350" s="20" t="n">
        <f aca="false">Narxlar!C351/Narxlar!C350-1</f>
        <v>0.0205425439634099</v>
      </c>
      <c r="D350" s="20" t="n">
        <f aca="false">Narxlar!D351/Narxlar!D350-1</f>
        <v>0.0165982784685157</v>
      </c>
      <c r="E350" s="20" t="n">
        <f aca="false">Narxlar!E351/Narxlar!E350-1</f>
        <v>0.00803262481463163</v>
      </c>
      <c r="F350" s="20" t="n">
        <f aca="false">Narxlar!F351/Narxlar!F350-1</f>
        <v>0.0588855268078741</v>
      </c>
      <c r="H350" s="20" t="n">
        <f aca="false">LN(Narxlar!B351/Narxlar!B350)</f>
        <v>0.0185493770072649</v>
      </c>
      <c r="I350" s="20" t="n">
        <f aca="false">LN(Narxlar!C351/Narxlar!C350)</f>
        <v>0.0203343917308882</v>
      </c>
      <c r="J350" s="20" t="n">
        <f aca="false">LN(Narxlar!D351/Narxlar!D350)</f>
        <v>0.0164620326085306</v>
      </c>
      <c r="K350" s="20" t="n">
        <f aca="false">LN(Narxlar!E351/Narxlar!E350)</f>
        <v>0.00800053501294422</v>
      </c>
      <c r="L350" s="20" t="n">
        <f aca="false">LN(Narxlar!F351/Narxlar!F350)</f>
        <v>0.0572169652221085</v>
      </c>
    </row>
    <row r="351" customFormat="false" ht="15" hidden="false" customHeight="false" outlineLevel="0" collapsed="false">
      <c r="A351" s="19" t="n">
        <f aca="false">Narxlar!A352</f>
        <v>45783</v>
      </c>
      <c r="B351" s="20" t="n">
        <f aca="false">Narxlar!B352/Narxlar!B351-1</f>
        <v>-0.00746802060483587</v>
      </c>
      <c r="C351" s="20" t="n">
        <f aca="false">Narxlar!C352/Narxlar!C351-1</f>
        <v>-0.0108951821659004</v>
      </c>
      <c r="D351" s="20" t="n">
        <f aca="false">Narxlar!D352/Narxlar!D351-1</f>
        <v>-0.00306515735486024</v>
      </c>
      <c r="E351" s="20" t="n">
        <f aca="false">Narxlar!E352/Narxlar!E351-1</f>
        <v>-0.0128723795513056</v>
      </c>
      <c r="F351" s="20" t="n">
        <f aca="false">Narxlar!F352/Narxlar!F351-1</f>
        <v>6.42157649703989E-005</v>
      </c>
      <c r="H351" s="20" t="n">
        <f aca="false">LN(Narxlar!B352/Narxlar!B351)</f>
        <v>-0.00749604588681646</v>
      </c>
      <c r="I351" s="20" t="n">
        <f aca="false">LN(Narxlar!C352/Narxlar!C351)</f>
        <v>-0.0109549693209987</v>
      </c>
      <c r="J351" s="20" t="n">
        <f aca="false">LN(Narxlar!D352/Narxlar!D351)</f>
        <v>-0.00306986457103176</v>
      </c>
      <c r="K351" s="20" t="n">
        <f aca="false">LN(Narxlar!E352/Narxlar!E351)</f>
        <v>-0.0129559465408983</v>
      </c>
      <c r="L351" s="20" t="n">
        <f aca="false">LN(Narxlar!F352/Narxlar!F351)</f>
        <v>6.42137032264274E-005</v>
      </c>
    </row>
    <row r="352" customFormat="false" ht="15" hidden="false" customHeight="false" outlineLevel="0" collapsed="false">
      <c r="A352" s="19" t="n">
        <f aca="false">Narxlar!A353</f>
        <v>45784</v>
      </c>
      <c r="B352" s="20" t="n">
        <f aca="false">Narxlar!B353/Narxlar!B352-1</f>
        <v>0.0457909113483985</v>
      </c>
      <c r="C352" s="20" t="n">
        <f aca="false">Narxlar!C353/Narxlar!C352-1</f>
        <v>0.0545681809304324</v>
      </c>
      <c r="D352" s="20" t="n">
        <f aca="false">Narxlar!D353/Narxlar!D352-1</f>
        <v>0.0681582952815829</v>
      </c>
      <c r="E352" s="20" t="n">
        <f aca="false">Narxlar!E353/Narxlar!E352-1</f>
        <v>0.0314207650273224</v>
      </c>
      <c r="F352" s="20" t="n">
        <f aca="false">Narxlar!F353/Narxlar!F352-1</f>
        <v>0.0722380967669438</v>
      </c>
      <c r="H352" s="20" t="n">
        <f aca="false">LN(Narxlar!B353/Narxlar!B352)</f>
        <v>0.0447734521129768</v>
      </c>
      <c r="I352" s="20" t="n">
        <f aca="false">LN(Narxlar!C353/Narxlar!C352)</f>
        <v>0.053131375964038</v>
      </c>
      <c r="J352" s="20" t="n">
        <f aca="false">LN(Narxlar!D353/Narxlar!D352)</f>
        <v>0.0659359461108039</v>
      </c>
      <c r="K352" s="20" t="n">
        <f aca="false">LN(Narxlar!E353/Narxlar!E352)</f>
        <v>0.0309372352877131</v>
      </c>
      <c r="L352" s="20" t="n">
        <f aca="false">LN(Narxlar!F353/Narxlar!F352)</f>
        <v>0.0697481431799481</v>
      </c>
    </row>
    <row r="353" customFormat="false" ht="15" hidden="false" customHeight="false" outlineLevel="0" collapsed="false">
      <c r="A353" s="19" t="n">
        <f aca="false">Narxlar!A354</f>
        <v>45785</v>
      </c>
      <c r="B353" s="20" t="n">
        <f aca="false">Narxlar!B354/Narxlar!B353-1</f>
        <v>-0.00412372765984392</v>
      </c>
      <c r="C353" s="20" t="n">
        <f aca="false">Narxlar!C354/Narxlar!C353-1</f>
        <v>-0.00366693829172526</v>
      </c>
      <c r="D353" s="20" t="n">
        <f aca="false">Narxlar!D354/Narxlar!D353-1</f>
        <v>-0.0296959160990624</v>
      </c>
      <c r="E353" s="20" t="n">
        <f aca="false">Narxlar!E354/Narxlar!E353-1</f>
        <v>-0.00120409391932574</v>
      </c>
      <c r="F353" s="20" t="n">
        <f aca="false">Narxlar!F354/Narxlar!F353-1</f>
        <v>-0.00955175614576165</v>
      </c>
      <c r="H353" s="20" t="n">
        <f aca="false">LN(Narxlar!B354/Narxlar!B353)</f>
        <v>-0.00413225367212452</v>
      </c>
      <c r="I353" s="20" t="n">
        <f aca="false">LN(Narxlar!C354/Narxlar!C353)</f>
        <v>-0.00367367799102848</v>
      </c>
      <c r="J353" s="20" t="n">
        <f aca="false">LN(Narxlar!D354/Narxlar!D353)</f>
        <v>-0.0301457680543119</v>
      </c>
      <c r="K353" s="20" t="n">
        <f aca="false">LN(Narxlar!E354/Narxlar!E353)</f>
        <v>-0.00120481942285042</v>
      </c>
      <c r="L353" s="20" t="n">
        <f aca="false">LN(Narxlar!F354/Narxlar!F353)</f>
        <v>-0.00959766675368178</v>
      </c>
    </row>
    <row r="354" customFormat="false" ht="15" hidden="false" customHeight="false" outlineLevel="0" collapsed="false">
      <c r="A354" s="19" t="n">
        <f aca="false">Narxlar!A355</f>
        <v>45786</v>
      </c>
      <c r="B354" s="20" t="n">
        <f aca="false">Narxlar!B355/Narxlar!B354-1</f>
        <v>0.00599264033825819</v>
      </c>
      <c r="C354" s="20" t="n">
        <f aca="false">Narxlar!C355/Narxlar!C354-1</f>
        <v>0.0144615041451355</v>
      </c>
      <c r="D354" s="20" t="n">
        <f aca="false">Narxlar!D355/Narxlar!D354-1</f>
        <v>0.00296648750256989</v>
      </c>
      <c r="E354" s="20" t="n">
        <f aca="false">Narxlar!E355/Narxlar!E354-1</f>
        <v>0.00397830018083178</v>
      </c>
      <c r="F354" s="20" t="n">
        <f aca="false">Narxlar!F355/Narxlar!F354-1</f>
        <v>0.00341616784569809</v>
      </c>
      <c r="H354" s="20" t="n">
        <f aca="false">LN(Narxlar!B355/Narxlar!B354)</f>
        <v>0.00597475588364814</v>
      </c>
      <c r="I354" s="20" t="n">
        <f aca="false">LN(Narxlar!C355/Narxlar!C354)</f>
        <v>0.0143579339207378</v>
      </c>
      <c r="J354" s="20" t="n">
        <f aca="false">LN(Narxlar!D355/Narxlar!D354)</f>
        <v>0.0029620961609483</v>
      </c>
      <c r="K354" s="20" t="n">
        <f aca="false">LN(Narxlar!E355/Narxlar!E354)</f>
        <v>0.0039704076702599</v>
      </c>
      <c r="L354" s="20" t="n">
        <f aca="false">LN(Narxlar!F355/Narxlar!F354)</f>
        <v>0.00341034599949128</v>
      </c>
    </row>
    <row r="355" customFormat="false" ht="15" hidden="false" customHeight="false" outlineLevel="0" collapsed="false">
      <c r="A355" s="19" t="n">
        <f aca="false">Narxlar!A356</f>
        <v>45789</v>
      </c>
      <c r="B355" s="20" t="n">
        <f aca="false">Narxlar!B356/Narxlar!B355-1</f>
        <v>0.00356310487853051</v>
      </c>
      <c r="C355" s="20" t="n">
        <f aca="false">Narxlar!C356/Narxlar!C355-1</f>
        <v>-0.000256523013778986</v>
      </c>
      <c r="D355" s="20" t="n">
        <f aca="false">Narxlar!D356/Narxlar!D355-1</f>
        <v>0.00679395572215058</v>
      </c>
      <c r="E355" s="20" t="n">
        <f aca="false">Narxlar!E356/Narxlar!E355-1</f>
        <v>0.0111671469740633</v>
      </c>
      <c r="F355" s="20" t="n">
        <f aca="false">Narxlar!F356/Narxlar!F355-1</f>
        <v>0.0020788768039528</v>
      </c>
      <c r="H355" s="20" t="n">
        <f aca="false">LN(Narxlar!B356/Narxlar!B355)</f>
        <v>0.00355677205888501</v>
      </c>
      <c r="I355" s="20" t="n">
        <f aca="false">LN(Narxlar!C356/Narxlar!C355)</f>
        <v>-0.00025655592143512</v>
      </c>
      <c r="J355" s="20" t="n">
        <f aca="false">LN(Narxlar!D356/Narxlar!D355)</f>
        <v>0.00677098080664317</v>
      </c>
      <c r="K355" s="20" t="n">
        <f aca="false">LN(Narxlar!E356/Narxlar!E355)</f>
        <v>0.0111052547351873</v>
      </c>
      <c r="L355" s="20" t="n">
        <f aca="false">LN(Narxlar!F356/Narxlar!F355)</f>
        <v>0.00207671892968877</v>
      </c>
    </row>
    <row r="356" customFormat="false" ht="15" hidden="false" customHeight="false" outlineLevel="0" collapsed="false">
      <c r="A356" s="19" t="n">
        <f aca="false">Narxlar!A357</f>
        <v>45790</v>
      </c>
      <c r="B356" s="20" t="n">
        <f aca="false">Narxlar!B357/Narxlar!B356-1</f>
        <v>0.00527451073008689</v>
      </c>
      <c r="C356" s="20" t="n">
        <f aca="false">Narxlar!C357/Narxlar!C356-1</f>
        <v>-0.0121696418752978</v>
      </c>
      <c r="D356" s="20" t="n">
        <f aca="false">Narxlar!D357/Narxlar!D356-1</f>
        <v>0.000988947062245504</v>
      </c>
      <c r="E356" s="20" t="n">
        <f aca="false">Narxlar!E357/Narxlar!E356-1</f>
        <v>0.00308751929699569</v>
      </c>
      <c r="F356" s="20" t="n">
        <f aca="false">Narxlar!F357/Narxlar!F356-1</f>
        <v>0.0321707757065544</v>
      </c>
      <c r="H356" s="20" t="n">
        <f aca="false">LN(Narxlar!B357/Narxlar!B356)</f>
        <v>0.00526064921879532</v>
      </c>
      <c r="I356" s="20" t="n">
        <f aca="false">LN(Narxlar!C357/Narxlar!C356)</f>
        <v>-0.0122442982797302</v>
      </c>
      <c r="J356" s="20" t="n">
        <f aca="false">LN(Narxlar!D357/Narxlar!D356)</f>
        <v>0.000988458376262715</v>
      </c>
      <c r="K356" s="20" t="n">
        <f aca="false">LN(Narxlar!E357/Narxlar!E356)</f>
        <v>0.00308276269750456</v>
      </c>
      <c r="L356" s="20" t="n">
        <f aca="false">LN(Narxlar!F357/Narxlar!F356)</f>
        <v>0.031664133704819</v>
      </c>
    </row>
    <row r="357" customFormat="false" ht="15" hidden="false" customHeight="false" outlineLevel="0" collapsed="false">
      <c r="A357" s="19" t="n">
        <f aca="false">Narxlar!A358</f>
        <v>45791</v>
      </c>
      <c r="B357" s="20" t="n">
        <f aca="false">Narxlar!B358/Narxlar!B357-1</f>
        <v>-0.00200476130810667</v>
      </c>
      <c r="C357" s="20" t="n">
        <f aca="false">Narxlar!C358/Narxlar!C357-1</f>
        <v>0.000408178411072768</v>
      </c>
      <c r="D357" s="20" t="n">
        <f aca="false">Narxlar!D358/Narxlar!D357-1</f>
        <v>0.00366130063346315</v>
      </c>
      <c r="E357" s="20" t="n">
        <f aca="false">Narxlar!E358/Narxlar!E357-1</f>
        <v>0.0116017521013378</v>
      </c>
      <c r="F357" s="20" t="n">
        <f aca="false">Narxlar!F358/Narxlar!F357-1</f>
        <v>0.00343722691523451</v>
      </c>
      <c r="H357" s="20" t="n">
        <f aca="false">LN(Narxlar!B358/Narxlar!B357)</f>
        <v>-0.0020067735318599</v>
      </c>
      <c r="I357" s="20" t="n">
        <f aca="false">LN(Narxlar!C358/Narxlar!C357)</f>
        <v>0.000408095128927014</v>
      </c>
      <c r="J357" s="20" t="n">
        <f aca="false">LN(Narxlar!D358/Narxlar!D357)</f>
        <v>0.00365461438756667</v>
      </c>
      <c r="K357" s="20" t="n">
        <f aca="false">LN(Narxlar!E358/Narxlar!E357)</f>
        <v>0.0115349678221947</v>
      </c>
      <c r="L357" s="20" t="n">
        <f aca="false">LN(Narxlar!F358/Narxlar!F357)</f>
        <v>0.00343133315240655</v>
      </c>
    </row>
    <row r="358" customFormat="false" ht="15" hidden="false" customHeight="false" outlineLevel="0" collapsed="false">
      <c r="A358" s="19" t="n">
        <f aca="false">Narxlar!A359</f>
        <v>45792</v>
      </c>
      <c r="B358" s="20" t="n">
        <f aca="false">Narxlar!B359/Narxlar!B358-1</f>
        <v>-0.000659133709981274</v>
      </c>
      <c r="C358" s="20" t="n">
        <f aca="false">Narxlar!C359/Narxlar!C358-1</f>
        <v>-0.00482195845697331</v>
      </c>
      <c r="D358" s="20" t="n">
        <f aca="false">Narxlar!D359/Narxlar!D358-1</f>
        <v>-0.00373480023161554</v>
      </c>
      <c r="E358" s="20" t="n">
        <f aca="false">Narxlar!E359/Narxlar!E358-1</f>
        <v>-0.00140433001755413</v>
      </c>
      <c r="F358" s="20" t="n">
        <f aca="false">Narxlar!F359/Narxlar!F358-1</f>
        <v>-0.0123374361356247</v>
      </c>
      <c r="H358" s="20" t="n">
        <f aca="false">LN(Narxlar!B359/Narxlar!B358)</f>
        <v>-0.000659351034107444</v>
      </c>
      <c r="I358" s="20" t="n">
        <f aca="false">LN(Narxlar!C359/Narxlar!C358)</f>
        <v>-0.00483362160657353</v>
      </c>
      <c r="J358" s="20" t="n">
        <f aca="false">LN(Narxlar!D359/Narxlar!D358)</f>
        <v>-0.00374179201203161</v>
      </c>
      <c r="K358" s="20" t="n">
        <f aca="false">LN(Narxlar!E359/Narxlar!E358)</f>
        <v>-0.00140531701310644</v>
      </c>
      <c r="L358" s="20" t="n">
        <f aca="false">LN(Narxlar!F359/Narxlar!F358)</f>
        <v>-0.0124141741207041</v>
      </c>
    </row>
    <row r="359" customFormat="false" ht="15" hidden="false" customHeight="false" outlineLevel="0" collapsed="false">
      <c r="A359" s="19" t="n">
        <f aca="false">Narxlar!A360</f>
        <v>45793</v>
      </c>
      <c r="B359" s="20" t="n">
        <f aca="false">Narxlar!B360/Narxlar!B359-1</f>
        <v>-0.0159160149502183</v>
      </c>
      <c r="C359" s="20" t="n">
        <f aca="false">Narxlar!C360/Narxlar!C359-1</f>
        <v>-0.0205367126351099</v>
      </c>
      <c r="D359" s="20" t="n">
        <f aca="false">Narxlar!D360/Narxlar!D359-1</f>
        <v>-0.00819505390718089</v>
      </c>
      <c r="E359" s="20" t="n">
        <f aca="false">Narxlar!E360/Narxlar!E359-1</f>
        <v>-0.000585960389077656</v>
      </c>
      <c r="F359" s="20" t="n">
        <f aca="false">Narxlar!F360/Narxlar!F359-1</f>
        <v>-0.011933104076654</v>
      </c>
      <c r="H359" s="20" t="n">
        <f aca="false">LN(Narxlar!B360/Narxlar!B359)</f>
        <v>-0.0160440349116968</v>
      </c>
      <c r="I359" s="20" t="n">
        <f aca="false">LN(Narxlar!C360/Narxlar!C359)</f>
        <v>-0.0207505232954897</v>
      </c>
      <c r="J359" s="20" t="n">
        <f aca="false">LN(Narxlar!D360/Narxlar!D359)</f>
        <v>-0.00822881795343336</v>
      </c>
      <c r="K359" s="20" t="n">
        <f aca="false">LN(Narxlar!E360/Narxlar!E359)</f>
        <v>-0.00058613213095901</v>
      </c>
      <c r="L359" s="20" t="n">
        <f aca="false">LN(Narxlar!F360/Narxlar!F359)</f>
        <v>-0.0120048751019419</v>
      </c>
    </row>
    <row r="360" customFormat="false" ht="15" hidden="false" customHeight="false" outlineLevel="0" collapsed="false">
      <c r="A360" s="19" t="n">
        <f aca="false">Narxlar!A361</f>
        <v>45796</v>
      </c>
      <c r="B360" s="20" t="n">
        <f aca="false">Narxlar!B361/Narxlar!B360-1</f>
        <v>-0.000303201972408518</v>
      </c>
      <c r="C360" s="20" t="n">
        <f aca="false">Narxlar!C361/Narxlar!C360-1</f>
        <v>-0.00905666121237492</v>
      </c>
      <c r="D360" s="20" t="n">
        <f aca="false">Narxlar!D361/Narxlar!D360-1</f>
        <v>0.0128922617129128</v>
      </c>
      <c r="E360" s="20" t="n">
        <f aca="false">Narxlar!E361/Narxlar!E360-1</f>
        <v>-0.00164165103189495</v>
      </c>
      <c r="F360" s="20" t="n">
        <f aca="false">Narxlar!F361/Narxlar!F360-1</f>
        <v>0.0137727935270846</v>
      </c>
      <c r="H360" s="20" t="n">
        <f aca="false">LN(Narxlar!B361/Narxlar!B360)</f>
        <v>-0.000303247947419932</v>
      </c>
      <c r="I360" s="20" t="n">
        <f aca="false">LN(Narxlar!C361/Narxlar!C360)</f>
        <v>-0.00909792208127276</v>
      </c>
      <c r="J360" s="20" t="n">
        <f aca="false">LN(Narxlar!D361/Narxlar!D360)</f>
        <v>0.0128098639469195</v>
      </c>
      <c r="K360" s="20" t="n">
        <f aca="false">LN(Narxlar!E361/Narxlar!E360)</f>
        <v>-0.00164300001752814</v>
      </c>
      <c r="L360" s="20" t="n">
        <f aca="false">LN(Narxlar!F361/Narxlar!F360)</f>
        <v>0.0136788105617539</v>
      </c>
    </row>
    <row r="361" customFormat="false" ht="15" hidden="false" customHeight="false" outlineLevel="0" collapsed="false">
      <c r="A361" s="19" t="n">
        <f aca="false">Narxlar!A362</f>
        <v>45797</v>
      </c>
      <c r="B361" s="20" t="n">
        <f aca="false">Narxlar!B362/Narxlar!B361-1</f>
        <v>0.0232578557119025</v>
      </c>
      <c r="C361" s="20" t="n">
        <f aca="false">Narxlar!C362/Narxlar!C361-1</f>
        <v>0.0299143658077647</v>
      </c>
      <c r="D361" s="20" t="n">
        <f aca="false">Narxlar!D362/Narxlar!D361-1</f>
        <v>0.0281466053400445</v>
      </c>
      <c r="E361" s="20" t="n">
        <f aca="false">Narxlar!E362/Narxlar!E361-1</f>
        <v>0.0264270613107822</v>
      </c>
      <c r="F361" s="20" t="n">
        <f aca="false">Narxlar!F362/Narxlar!F361-1</f>
        <v>0.0492077464788732</v>
      </c>
      <c r="H361" s="20" t="n">
        <f aca="false">LN(Narxlar!B362/Narxlar!B361)</f>
        <v>0.0229915135775219</v>
      </c>
      <c r="I361" s="20" t="n">
        <f aca="false">LN(Narxlar!C362/Narxlar!C361)</f>
        <v>0.0294756587927622</v>
      </c>
      <c r="J361" s="20" t="n">
        <f aca="false">LN(Narxlar!D362/Narxlar!D361)</f>
        <v>0.0277577690633074</v>
      </c>
      <c r="K361" s="20" t="n">
        <f aca="false">LN(Narxlar!E362/Narxlar!E361)</f>
        <v>0.0260838992394466</v>
      </c>
      <c r="L361" s="20" t="n">
        <f aca="false">LN(Narxlar!F362/Narxlar!F361)</f>
        <v>0.0480353522075662</v>
      </c>
    </row>
    <row r="362" customFormat="false" ht="15" hidden="false" customHeight="false" outlineLevel="0" collapsed="false">
      <c r="A362" s="19" t="n">
        <f aca="false">Narxlar!A363</f>
        <v>45798</v>
      </c>
      <c r="B362" s="20" t="n">
        <f aca="false">Narxlar!B363/Narxlar!B362-1</f>
        <v>0.0192348192348193</v>
      </c>
      <c r="C362" s="20" t="n">
        <f aca="false">Narxlar!C363/Narxlar!C362-1</f>
        <v>0.0116703952274422</v>
      </c>
      <c r="D362" s="20" t="n">
        <f aca="false">Narxlar!D363/Narxlar!D362-1</f>
        <v>0.00734342468065941</v>
      </c>
      <c r="E362" s="20" t="n">
        <f aca="false">Narxlar!E363/Narxlar!E362-1</f>
        <v>0.0139604073692643</v>
      </c>
      <c r="F362" s="20" t="n">
        <f aca="false">Narxlar!F363/Narxlar!F362-1</f>
        <v>0.0227647733310961</v>
      </c>
      <c r="H362" s="20" t="n">
        <f aca="false">LN(Narxlar!B363/Narxlar!B362)</f>
        <v>0.0190521685516791</v>
      </c>
      <c r="I362" s="20" t="n">
        <f aca="false">LN(Narxlar!C363/Narxlar!C362)</f>
        <v>0.011602821399106</v>
      </c>
      <c r="J362" s="20" t="n">
        <f aca="false">LN(Narxlar!D363/Narxlar!D362)</f>
        <v>0.00731659301511131</v>
      </c>
      <c r="K362" s="20" t="n">
        <f aca="false">LN(Narxlar!E363/Narxlar!E362)</f>
        <v>0.0138638584197582</v>
      </c>
      <c r="L362" s="20" t="n">
        <f aca="false">LN(Narxlar!F363/Narxlar!F362)</f>
        <v>0.0225095224369029</v>
      </c>
    </row>
    <row r="363" customFormat="false" ht="15" hidden="false" customHeight="false" outlineLevel="0" collapsed="false">
      <c r="A363" s="19" t="n">
        <f aca="false">Narxlar!A364</f>
        <v>45799</v>
      </c>
      <c r="B363" s="20" t="n">
        <f aca="false">Narxlar!B364/Narxlar!B363-1</f>
        <v>-0.0253843622532927</v>
      </c>
      <c r="C363" s="20" t="n">
        <f aca="false">Narxlar!C364/Narxlar!C363-1</f>
        <v>-0.0397670733055688</v>
      </c>
      <c r="D363" s="20" t="n">
        <f aca="false">Narxlar!D364/Narxlar!D363-1</f>
        <v>-0.0206686590509175</v>
      </c>
      <c r="E363" s="20" t="n">
        <f aca="false">Narxlar!E364/Narxlar!E363-1</f>
        <v>-0.0195237557837716</v>
      </c>
      <c r="F363" s="20" t="n">
        <f aca="false">Narxlar!F364/Narxlar!F363-1</f>
        <v>-0.0262503076207924</v>
      </c>
      <c r="H363" s="20" t="n">
        <f aca="false">LN(Narxlar!B364/Narxlar!B363)</f>
        <v>-0.025712103404198</v>
      </c>
      <c r="I363" s="20" t="n">
        <f aca="false">LN(Narxlar!C364/Narxlar!C363)</f>
        <v>-0.0405793919772662</v>
      </c>
      <c r="J363" s="20" t="n">
        <f aca="false">LN(Narxlar!D364/Narxlar!D363)</f>
        <v>-0.0208852453476129</v>
      </c>
      <c r="K363" s="20" t="n">
        <f aca="false">LN(Narxlar!E364/Narxlar!E363)</f>
        <v>-0.0197168618735858</v>
      </c>
      <c r="L363" s="20" t="n">
        <f aca="false">LN(Narxlar!F364/Narxlar!F363)</f>
        <v>-0.0266009977107513</v>
      </c>
    </row>
    <row r="364" customFormat="false" ht="15" hidden="false" customHeight="false" outlineLevel="0" collapsed="false">
      <c r="A364" s="19" t="n">
        <f aca="false">Narxlar!A365</f>
        <v>45800</v>
      </c>
      <c r="B364" s="20" t="n">
        <f aca="false">Narxlar!B365/Narxlar!B364-1</f>
        <v>-0.00363553559369934</v>
      </c>
      <c r="C364" s="20" t="n">
        <f aca="false">Narxlar!C365/Narxlar!C364-1</f>
        <v>-0.00721578260535816</v>
      </c>
      <c r="D364" s="20" t="n">
        <f aca="false">Narxlar!D365/Narxlar!D364-1</f>
        <v>-0.0155719704531843</v>
      </c>
      <c r="E364" s="20" t="n">
        <f aca="false">Narxlar!E365/Narxlar!E364-1</f>
        <v>-0.000345303867403279</v>
      </c>
      <c r="F364" s="20" t="n">
        <f aca="false">Narxlar!F365/Narxlar!F364-1</f>
        <v>-0.0044087501053045</v>
      </c>
      <c r="H364" s="20" t="n">
        <f aca="false">LN(Narxlar!B365/Narxlar!B364)</f>
        <v>-0.00364216021412858</v>
      </c>
      <c r="I364" s="20" t="n">
        <f aca="false">LN(Narxlar!C365/Narxlar!C364)</f>
        <v>-0.00724194228231981</v>
      </c>
      <c r="J364" s="20" t="n">
        <f aca="false">LN(Narxlar!D365/Narxlar!D364)</f>
        <v>-0.0156944871334907</v>
      </c>
      <c r="K364" s="20" t="n">
        <f aca="false">LN(Narxlar!E365/Narxlar!E364)</f>
        <v>-0.000345363498511331</v>
      </c>
      <c r="L364" s="20" t="n">
        <f aca="false">LN(Narxlar!F365/Narxlar!F364)</f>
        <v>-0.00441849730324018</v>
      </c>
    </row>
    <row r="365" customFormat="false" ht="15" hidden="false" customHeight="false" outlineLevel="0" collapsed="false">
      <c r="A365" s="19" t="n">
        <f aca="false">Narxlar!A366</f>
        <v>45803</v>
      </c>
      <c r="B365" s="20" t="n">
        <f aca="false">Narxlar!B366/Narxlar!B365-1</f>
        <v>0.0189532748579488</v>
      </c>
      <c r="C365" s="20" t="n">
        <f aca="false">Narxlar!C366/Narxlar!C365-1</f>
        <v>0.0189824480012371</v>
      </c>
      <c r="D365" s="20" t="n">
        <f aca="false">Narxlar!D366/Narxlar!D365-1</f>
        <v>0.0164556595300867</v>
      </c>
      <c r="E365" s="20" t="n">
        <f aca="false">Narxlar!E366/Narxlar!E365-1</f>
        <v>0.0237190558434082</v>
      </c>
      <c r="F365" s="20" t="n">
        <f aca="false">Narxlar!F366/Narxlar!F365-1</f>
        <v>0.0423647543295538</v>
      </c>
      <c r="H365" s="20" t="n">
        <f aca="false">LN(Narxlar!B366/Narxlar!B365)</f>
        <v>0.0187758992716483</v>
      </c>
      <c r="I365" s="20" t="n">
        <f aca="false">LN(Narxlar!C366/Narxlar!C365)</f>
        <v>0.0188045293633268</v>
      </c>
      <c r="J365" s="20" t="n">
        <f aca="false">LN(Narxlar!D366/Narxlar!D365)</f>
        <v>0.0163217324069497</v>
      </c>
      <c r="K365" s="20" t="n">
        <f aca="false">LN(Narxlar!E366/Narxlar!E365)</f>
        <v>0.0234421294459337</v>
      </c>
      <c r="L365" s="20" t="n">
        <f aca="false">LN(Narxlar!F366/Narxlar!F365)</f>
        <v>0.0414919342169062</v>
      </c>
    </row>
    <row r="366" customFormat="false" ht="15" hidden="false" customHeight="false" outlineLevel="0" collapsed="false">
      <c r="A366" s="19" t="n">
        <f aca="false">Narxlar!A367</f>
        <v>45804</v>
      </c>
      <c r="B366" s="20" t="n">
        <f aca="false">Narxlar!B367/Narxlar!B366-1</f>
        <v>0.0119493255785175</v>
      </c>
      <c r="C366" s="20" t="n">
        <f aca="false">Narxlar!C367/Narxlar!C366-1</f>
        <v>0.0148727093371779</v>
      </c>
      <c r="D366" s="20" t="n">
        <f aca="false">Narxlar!D367/Narxlar!D366-1</f>
        <v>0.0171868319794783</v>
      </c>
      <c r="E366" s="20" t="n">
        <f aca="false">Narxlar!E367/Narxlar!E366-1</f>
        <v>0.00674839725565168</v>
      </c>
      <c r="F366" s="20" t="n">
        <f aca="false">Narxlar!F367/Narxlar!F366-1</f>
        <v>0.00184002597683741</v>
      </c>
      <c r="H366" s="20" t="n">
        <f aca="false">LN(Narxlar!B367/Narxlar!B366)</f>
        <v>0.0118784960725379</v>
      </c>
      <c r="I366" s="20" t="n">
        <f aca="false">LN(Narxlar!C367/Narxlar!C366)</f>
        <v>0.0147631951092975</v>
      </c>
      <c r="J366" s="20" t="n">
        <f aca="false">LN(Narxlar!D367/Narxlar!D366)</f>
        <v>0.0170408091217115</v>
      </c>
      <c r="K366" s="20" t="n">
        <f aca="false">LN(Narxlar!E367/Narxlar!E366)</f>
        <v>0.00672572874979987</v>
      </c>
      <c r="L366" s="20" t="n">
        <f aca="false">LN(Narxlar!F367/Narxlar!F366)</f>
        <v>0.00183833520276745</v>
      </c>
    </row>
    <row r="367" customFormat="false" ht="15" hidden="false" customHeight="false" outlineLevel="0" collapsed="false">
      <c r="A367" s="19" t="n">
        <f aca="false">Narxlar!A368</f>
        <v>45805</v>
      </c>
      <c r="B367" s="20" t="n">
        <f aca="false">Narxlar!B368/Narxlar!B367-1</f>
        <v>0.00852179362737959</v>
      </c>
      <c r="C367" s="20" t="n">
        <f aca="false">Narxlar!C368/Narxlar!C367-1</f>
        <v>0.0280384313432278</v>
      </c>
      <c r="D367" s="20" t="n">
        <f aca="false">Narxlar!D368/Narxlar!D367-1</f>
        <v>0.00711723828737942</v>
      </c>
      <c r="E367" s="20" t="n">
        <f aca="false">Narxlar!E368/Narxlar!E367-1</f>
        <v>0.00580940677019326</v>
      </c>
      <c r="F367" s="20" t="n">
        <f aca="false">Narxlar!F368/Narxlar!F367-1</f>
        <v>0.0215535868625756</v>
      </c>
      <c r="H367" s="20" t="n">
        <f aca="false">LN(Narxlar!B368/Narxlar!B367)</f>
        <v>0.0084856881215032</v>
      </c>
      <c r="I367" s="20" t="n">
        <f aca="false">LN(Narxlar!C368/Narxlar!C367)</f>
        <v>0.0276525509093119</v>
      </c>
      <c r="J367" s="20" t="n">
        <f aca="false">LN(Narxlar!D368/Narxlar!D367)</f>
        <v>0.00709203028386666</v>
      </c>
      <c r="K367" s="20" t="n">
        <f aca="false">LN(Narxlar!E368/Narxlar!E367)</f>
        <v>0.00579259723753784</v>
      </c>
      <c r="L367" s="20" t="n">
        <f aca="false">LN(Narxlar!F368/Narxlar!F367)</f>
        <v>0.0213245928938151</v>
      </c>
    </row>
    <row r="368" customFormat="false" ht="15" hidden="false" customHeight="false" outlineLevel="0" collapsed="false">
      <c r="A368" s="19" t="n">
        <f aca="false">Narxlar!A369</f>
        <v>45806</v>
      </c>
      <c r="B368" s="20" t="n">
        <f aca="false">Narxlar!B369/Narxlar!B368-1</f>
        <v>0.00687350328897529</v>
      </c>
      <c r="C368" s="20" t="n">
        <f aca="false">Narxlar!C369/Narxlar!C368-1</f>
        <v>-0.0103276482781192</v>
      </c>
      <c r="D368" s="20" t="n">
        <f aca="false">Narxlar!D369/Narxlar!D368-1</f>
        <v>0.0054810528073006</v>
      </c>
      <c r="E368" s="20" t="n">
        <f aca="false">Narxlar!E369/Narxlar!E368-1</f>
        <v>0.0174386315672554</v>
      </c>
      <c r="F368" s="20" t="n">
        <f aca="false">Narxlar!F369/Narxlar!F368-1</f>
        <v>-0.00727090053408075</v>
      </c>
      <c r="H368" s="20" t="n">
        <f aca="false">LN(Narxlar!B369/Narxlar!B368)</f>
        <v>0.00684998845660059</v>
      </c>
      <c r="I368" s="20" t="n">
        <f aca="false">LN(Narxlar!C369/Narxlar!C368)</f>
        <v>-0.0103813484888255</v>
      </c>
      <c r="J368" s="20" t="n">
        <f aca="false">LN(Narxlar!D369/Narxlar!D368)</f>
        <v>0.00546608649987067</v>
      </c>
      <c r="K368" s="20" t="n">
        <f aca="false">LN(Narxlar!E369/Narxlar!E368)</f>
        <v>0.0172883235596992</v>
      </c>
      <c r="L368" s="20" t="n">
        <f aca="false">LN(Narxlar!F369/Narxlar!F368)</f>
        <v>-0.00729746236195735</v>
      </c>
    </row>
    <row r="369" customFormat="false" ht="15" hidden="false" customHeight="false" outlineLevel="0" collapsed="false">
      <c r="A369" s="19" t="n">
        <f aca="false">Narxlar!A370</f>
        <v>45807</v>
      </c>
      <c r="B369" s="20" t="n">
        <f aca="false">Narxlar!B370/Narxlar!B369-1</f>
        <v>-0.000669862941526267</v>
      </c>
      <c r="C369" s="20" t="n">
        <f aca="false">Narxlar!C370/Narxlar!C369-1</f>
        <v>0.0198419988976668</v>
      </c>
      <c r="D369" s="20" t="n">
        <f aca="false">Narxlar!D370/Narxlar!D369-1</f>
        <v>0.0108746783253548</v>
      </c>
      <c r="E369" s="20" t="n">
        <f aca="false">Narxlar!E370/Narxlar!E369-1</f>
        <v>0.00360262008733625</v>
      </c>
      <c r="F369" s="20" t="n">
        <f aca="false">Narxlar!F370/Narxlar!F369-1</f>
        <v>0.00692465443311052</v>
      </c>
      <c r="H369" s="20" t="n">
        <f aca="false">LN(Narxlar!B370/Narxlar!B369)</f>
        <v>-0.000670087399949666</v>
      </c>
      <c r="I369" s="20" t="n">
        <f aca="false">LN(Narxlar!C370/Narxlar!C369)</f>
        <v>0.0196477122559613</v>
      </c>
      <c r="J369" s="20" t="n">
        <f aca="false">LN(Narxlar!D370/Narxlar!D369)</f>
        <v>0.0108159742197313</v>
      </c>
      <c r="K369" s="20" t="n">
        <f aca="false">LN(Narxlar!E370/Narxlar!E369)</f>
        <v>0.0035961461955787</v>
      </c>
      <c r="L369" s="20" t="n">
        <f aca="false">LN(Narxlar!F370/Narxlar!F369)</f>
        <v>0.00690078912294352</v>
      </c>
    </row>
    <row r="370" customFormat="false" ht="15" hidden="false" customHeight="false" outlineLevel="0" collapsed="false">
      <c r="A370" s="19" t="n">
        <f aca="false">Narxlar!A371</f>
        <v>45810</v>
      </c>
      <c r="B370" s="20" t="n">
        <f aca="false">Narxlar!B371/Narxlar!B370-1</f>
        <v>0.0143175621733171</v>
      </c>
      <c r="C370" s="20" t="n">
        <f aca="false">Narxlar!C371/Narxlar!C370-1</f>
        <v>0.0300126103404792</v>
      </c>
      <c r="D370" s="20" t="n">
        <f aca="false">Narxlar!D371/Narxlar!D370-1</f>
        <v>0.00520091974159631</v>
      </c>
      <c r="E370" s="20" t="n">
        <f aca="false">Narxlar!E371/Narxlar!E370-1</f>
        <v>0.00108778418361788</v>
      </c>
      <c r="F370" s="20" t="n">
        <f aca="false">Narxlar!F371/Narxlar!F370-1</f>
        <v>0.0149972227365303</v>
      </c>
      <c r="H370" s="20" t="n">
        <f aca="false">LN(Narxlar!B371/Narxlar!B370)</f>
        <v>0.0142160338248136</v>
      </c>
      <c r="I370" s="20" t="n">
        <f aca="false">LN(Narxlar!C371/Narxlar!C370)</f>
        <v>0.0295710452156078</v>
      </c>
      <c r="J370" s="20" t="n">
        <f aca="false">LN(Narxlar!D371/Narxlar!D370)</f>
        <v>0.00518744167056263</v>
      </c>
      <c r="K370" s="20" t="n">
        <f aca="false">LN(Narxlar!E371/Narxlar!E370)</f>
        <v>0.00108719297510215</v>
      </c>
      <c r="L370" s="20" t="n">
        <f aca="false">LN(Narxlar!F371/Narxlar!F370)</f>
        <v>0.01488587626984</v>
      </c>
    </row>
    <row r="371" customFormat="false" ht="15" hidden="false" customHeight="false" outlineLevel="0" collapsed="false">
      <c r="A371" s="19" t="n">
        <f aca="false">Narxlar!A372</f>
        <v>45811</v>
      </c>
      <c r="B371" s="20" t="n">
        <f aca="false">Narxlar!B372/Narxlar!B371-1</f>
        <v>-0.00741785780582882</v>
      </c>
      <c r="C371" s="20" t="n">
        <f aca="false">Narxlar!C372/Narxlar!C371-1</f>
        <v>-0.010598852665454</v>
      </c>
      <c r="D371" s="20" t="n">
        <f aca="false">Narxlar!D372/Narxlar!D371-1</f>
        <v>0.000217853058112283</v>
      </c>
      <c r="E371" s="20" t="n">
        <f aca="false">Narxlar!E372/Narxlar!E371-1</f>
        <v>-0.00641095295012495</v>
      </c>
      <c r="F371" s="20" t="n">
        <f aca="false">Narxlar!F372/Narxlar!F371-1</f>
        <v>0.000990253817689135</v>
      </c>
      <c r="H371" s="20" t="n">
        <f aca="false">LN(Narxlar!B372/Narxlar!B371)</f>
        <v>-0.00744550692941126</v>
      </c>
      <c r="I371" s="20" t="n">
        <f aca="false">LN(Narxlar!C372/Narxlar!C371)</f>
        <v>-0.0106554205626134</v>
      </c>
      <c r="J371" s="20" t="n">
        <f aca="false">LN(Narxlar!D372/Narxlar!D371)</f>
        <v>0.000217829331580688</v>
      </c>
      <c r="K371" s="20" t="n">
        <f aca="false">LN(Narxlar!E372/Narxlar!E371)</f>
        <v>-0.00643159136421029</v>
      </c>
      <c r="L371" s="20" t="n">
        <f aca="false">LN(Narxlar!F372/Narxlar!F371)</f>
        <v>0.000989763839819037</v>
      </c>
    </row>
    <row r="372" customFormat="false" ht="15" hidden="false" customHeight="false" outlineLevel="0" collapsed="false">
      <c r="A372" s="19" t="n">
        <f aca="false">Narxlar!A373</f>
        <v>45812</v>
      </c>
      <c r="B372" s="20" t="n">
        <f aca="false">Narxlar!B373/Narxlar!B372-1</f>
        <v>-0.0207965528591519</v>
      </c>
      <c r="C372" s="20" t="n">
        <f aca="false">Narxlar!C373/Narxlar!C372-1</f>
        <v>-0.0137882269754287</v>
      </c>
      <c r="D372" s="20" t="n">
        <f aca="false">Narxlar!D373/Narxlar!D372-1</f>
        <v>-0.0287503403212632</v>
      </c>
      <c r="E372" s="20" t="n">
        <f aca="false">Narxlar!E373/Narxlar!E372-1</f>
        <v>-0.0188101487314086</v>
      </c>
      <c r="F372" s="20" t="n">
        <f aca="false">Narxlar!F373/Narxlar!F372-1</f>
        <v>-0.0241330834114339</v>
      </c>
      <c r="H372" s="20" t="n">
        <f aca="false">LN(Narxlar!B373/Narxlar!B372)</f>
        <v>-0.0210158468658437</v>
      </c>
      <c r="I372" s="20" t="n">
        <f aca="false">LN(Narxlar!C373/Narxlar!C372)</f>
        <v>-0.0138841674976274</v>
      </c>
      <c r="J372" s="20" t="n">
        <f aca="false">LN(Narxlar!D373/Narxlar!D372)</f>
        <v>-0.0291717276954643</v>
      </c>
      <c r="K372" s="20" t="n">
        <f aca="false">LN(Narxlar!E373/Narxlar!E372)</f>
        <v>-0.0189893098345477</v>
      </c>
      <c r="L372" s="20" t="n">
        <f aca="false">LN(Narxlar!F373/Narxlar!F372)</f>
        <v>-0.0244290578207009</v>
      </c>
    </row>
    <row r="373" customFormat="false" ht="15" hidden="false" customHeight="false" outlineLevel="0" collapsed="false">
      <c r="A373" s="19" t="n">
        <f aca="false">Narxlar!A374</f>
        <v>45813</v>
      </c>
      <c r="B373" s="20" t="n">
        <f aca="false">Narxlar!B374/Narxlar!B373-1</f>
        <v>-0.00932801613494683</v>
      </c>
      <c r="C373" s="20" t="n">
        <f aca="false">Narxlar!C374/Narxlar!C373-1</f>
        <v>-0.0248073131385553</v>
      </c>
      <c r="D373" s="20" t="n">
        <f aca="false">Narxlar!D374/Narxlar!D373-1</f>
        <v>-0.00964287716544265</v>
      </c>
      <c r="E373" s="20" t="n">
        <f aca="false">Narxlar!E374/Narxlar!E373-1</f>
        <v>-0.00267498885421313</v>
      </c>
      <c r="F373" s="20" t="n">
        <f aca="false">Narxlar!F374/Narxlar!F373-1</f>
        <v>0.00552220888355337</v>
      </c>
      <c r="H373" s="20" t="n">
        <f aca="false">LN(Narxlar!B374/Narxlar!B373)</f>
        <v>-0.00937179453387851</v>
      </c>
      <c r="I373" s="20" t="n">
        <f aca="false">LN(Narxlar!C374/Narxlar!C373)</f>
        <v>-0.025120199959842</v>
      </c>
      <c r="J373" s="20" t="n">
        <f aca="false">LN(Narxlar!D374/Narxlar!D373)</f>
        <v>-0.00968967076505782</v>
      </c>
      <c r="K373" s="20" t="n">
        <f aca="false">LN(Narxlar!E374/Narxlar!E373)</f>
        <v>-0.00267857303007874</v>
      </c>
      <c r="L373" s="20" t="n">
        <f aca="false">LN(Narxlar!F374/Narxlar!F373)</f>
        <v>0.00550701738948436</v>
      </c>
    </row>
    <row r="374" customFormat="false" ht="15" hidden="false" customHeight="false" outlineLevel="0" collapsed="false">
      <c r="A374" s="19" t="n">
        <f aca="false">Narxlar!A375</f>
        <v>45814</v>
      </c>
      <c r="B374" s="20" t="n">
        <f aca="false">Narxlar!B375/Narxlar!B374-1</f>
        <v>-0.00396375554270301</v>
      </c>
      <c r="C374" s="20" t="n">
        <f aca="false">Narxlar!C375/Narxlar!C374-1</f>
        <v>-0.00385986839686803</v>
      </c>
      <c r="D374" s="20" t="n">
        <f aca="false">Narxlar!D375/Narxlar!D374-1</f>
        <v>-0.00619869799037642</v>
      </c>
      <c r="E374" s="20" t="n">
        <f aca="false">Narxlar!E375/Narxlar!E374-1</f>
        <v>0.0041350022351363</v>
      </c>
      <c r="F374" s="20" t="n">
        <f aca="false">Narxlar!F375/Narxlar!F374-1</f>
        <v>-0.00880823516926665</v>
      </c>
      <c r="H374" s="20" t="n">
        <f aca="false">LN(Narxlar!B375/Narxlar!B374)</f>
        <v>-0.00397163204227298</v>
      </c>
      <c r="I374" s="20" t="n">
        <f aca="false">LN(Narxlar!C375/Narxlar!C374)</f>
        <v>-0.00386733691341035</v>
      </c>
      <c r="J374" s="20" t="n">
        <f aca="false">LN(Narxlar!D375/Narxlar!D374)</f>
        <v>-0.00621798968233034</v>
      </c>
      <c r="K374" s="20" t="n">
        <f aca="false">LN(Narxlar!E375/Narxlar!E374)</f>
        <v>0.00412647660763914</v>
      </c>
      <c r="L374" s="20" t="n">
        <f aca="false">LN(Narxlar!F375/Narxlar!F374)</f>
        <v>-0.0088472569838679</v>
      </c>
    </row>
    <row r="375" customFormat="false" ht="15" hidden="false" customHeight="false" outlineLevel="0" collapsed="false">
      <c r="A375" s="19" t="n">
        <f aca="false">Narxlar!A376</f>
        <v>45817</v>
      </c>
      <c r="B375" s="20" t="n">
        <f aca="false">Narxlar!B376/Narxlar!B375-1</f>
        <v>-0.00456794233553459</v>
      </c>
      <c r="C375" s="20" t="n">
        <f aca="false">Narxlar!C376/Narxlar!C375-1</f>
        <v>-0.00815558343789213</v>
      </c>
      <c r="D375" s="20" t="n">
        <f aca="false">Narxlar!D376/Narxlar!D375-1</f>
        <v>-0.00259178035373531</v>
      </c>
      <c r="E375" s="20" t="n">
        <f aca="false">Narxlar!E376/Narxlar!E375-1</f>
        <v>-0.00434056761268786</v>
      </c>
      <c r="F375" s="20" t="n">
        <f aca="false">Narxlar!F376/Narxlar!F375-1</f>
        <v>-0.0100642398286938</v>
      </c>
      <c r="H375" s="20" t="n">
        <f aca="false">LN(Narxlar!B376/Narxlar!B375)</f>
        <v>-0.00457840726508233</v>
      </c>
      <c r="I375" s="20" t="n">
        <f aca="false">LN(Narxlar!C376/Narxlar!C375)</f>
        <v>-0.00818902214068837</v>
      </c>
      <c r="J375" s="20" t="n">
        <f aca="false">LN(Narxlar!D376/Narxlar!D375)</f>
        <v>-0.0025951448310177</v>
      </c>
      <c r="K375" s="20" t="n">
        <f aca="false">LN(Narxlar!E376/Narxlar!E375)</f>
        <v>-0.00435001522486605</v>
      </c>
      <c r="L375" s="20" t="n">
        <f aca="false">LN(Narxlar!F376/Narxlar!F375)</f>
        <v>-0.0101152266747175</v>
      </c>
    </row>
    <row r="376" customFormat="false" ht="15" hidden="false" customHeight="false" outlineLevel="0" collapsed="false">
      <c r="A376" s="19" t="n">
        <f aca="false">Narxlar!A377</f>
        <v>45818</v>
      </c>
      <c r="B376" s="20" t="n">
        <f aca="false">Narxlar!B377/Narxlar!B376-1</f>
        <v>-0.0017733392444641</v>
      </c>
      <c r="C376" s="20" t="n">
        <f aca="false">Narxlar!C377/Narxlar!C376-1</f>
        <v>0.00312534881125126</v>
      </c>
      <c r="D376" s="20" t="n">
        <f aca="false">Narxlar!D377/Narxlar!D376-1</f>
        <v>0.000314106225014266</v>
      </c>
      <c r="E376" s="20" t="n">
        <f aca="false">Narxlar!E377/Narxlar!E376-1</f>
        <v>-0.00324167225575678</v>
      </c>
      <c r="F376" s="20" t="n">
        <f aca="false">Narxlar!F377/Narxlar!F376-1</f>
        <v>-0.00186567164179108</v>
      </c>
      <c r="H376" s="20" t="n">
        <f aca="false">LN(Narxlar!B377/Narxlar!B376)</f>
        <v>-0.00177491347187019</v>
      </c>
      <c r="I376" s="20" t="n">
        <f aca="false">LN(Narxlar!C377/Narxlar!C376)</f>
        <v>0.00312047506079503</v>
      </c>
      <c r="J376" s="20" t="n">
        <f aca="false">LN(Narxlar!D377/Narxlar!D376)</f>
        <v>0.000314056903981728</v>
      </c>
      <c r="K376" s="20" t="n">
        <f aca="false">LN(Narxlar!E377/Narxlar!E376)</f>
        <v>-0.00324693785791399</v>
      </c>
      <c r="L376" s="20" t="n">
        <f aca="false">LN(Narxlar!F377/Narxlar!F376)</f>
        <v>-0.00186741417479547</v>
      </c>
    </row>
    <row r="377" customFormat="false" ht="15" hidden="false" customHeight="false" outlineLevel="0" collapsed="false">
      <c r="A377" s="19" t="n">
        <f aca="false">Narxlar!A378</f>
        <v>45819</v>
      </c>
      <c r="B377" s="20" t="n">
        <f aca="false">Narxlar!B378/Narxlar!B377-1</f>
        <v>0.00525155248046261</v>
      </c>
      <c r="C377" s="20" t="n">
        <f aca="false">Narxlar!C378/Narxlar!C377-1</f>
        <v>-0.00571195430436555</v>
      </c>
      <c r="D377" s="20" t="n">
        <f aca="false">Narxlar!D378/Narxlar!D377-1</f>
        <v>0.00608032885158849</v>
      </c>
      <c r="E377" s="20" t="n">
        <f aca="false">Narxlar!E378/Narxlar!E377-1</f>
        <v>-0.00168218010541665</v>
      </c>
      <c r="F377" s="20" t="n">
        <f aca="false">Narxlar!F378/Narxlar!F377-1</f>
        <v>0.007097385886496</v>
      </c>
      <c r="H377" s="20" t="n">
        <f aca="false">LN(Narxlar!B378/Narxlar!B377)</f>
        <v>0.00523781116656075</v>
      </c>
      <c r="I377" s="20" t="n">
        <f aca="false">LN(Narxlar!C378/Narxlar!C377)</f>
        <v>-0.00572832990290634</v>
      </c>
      <c r="J377" s="20" t="n">
        <f aca="false">LN(Narxlar!D378/Narxlar!D377)</f>
        <v>0.0060619182427957</v>
      </c>
      <c r="K377" s="20" t="n">
        <f aca="false">LN(Narxlar!E378/Narxlar!E377)</f>
        <v>-0.00168359655907984</v>
      </c>
      <c r="L377" s="20" t="n">
        <f aca="false">LN(Narxlar!F378/Narxlar!F377)</f>
        <v>0.00707231798444653</v>
      </c>
    </row>
    <row r="378" customFormat="false" ht="15" hidden="false" customHeight="false" outlineLevel="0" collapsed="false">
      <c r="A378" s="19" t="n">
        <f aca="false">Narxlar!A379</f>
        <v>45820</v>
      </c>
      <c r="B378" s="20" t="n">
        <f aca="false">Narxlar!B379/Narxlar!B378-1</f>
        <v>-0.0285698783881195</v>
      </c>
      <c r="C378" s="20" t="n">
        <f aca="false">Narxlar!C379/Narxlar!C378-1</f>
        <v>-0.0178684671914052</v>
      </c>
      <c r="D378" s="20" t="n">
        <f aca="false">Narxlar!D379/Narxlar!D378-1</f>
        <v>-0.0198615367154693</v>
      </c>
      <c r="E378" s="20" t="n">
        <f aca="false">Narxlar!E379/Narxlar!E378-1</f>
        <v>-0.0250505504381038</v>
      </c>
      <c r="F378" s="20" t="n">
        <f aca="false">Narxlar!F379/Narxlar!F378-1</f>
        <v>-0.0338650240740243</v>
      </c>
      <c r="H378" s="20" t="n">
        <f aca="false">LN(Narxlar!B379/Narxlar!B378)</f>
        <v>-0.0289859410975898</v>
      </c>
      <c r="I378" s="20" t="n">
        <f aca="false">LN(Narxlar!C379/Narxlar!C378)</f>
        <v>-0.0180300358004009</v>
      </c>
      <c r="J378" s="20" t="n">
        <f aca="false">LN(Narxlar!D379/Narxlar!D378)</f>
        <v>-0.0200614282320318</v>
      </c>
      <c r="K378" s="20" t="n">
        <f aca="false">LN(Narxlar!E379/Narxlar!E378)</f>
        <v>-0.0253696559315548</v>
      </c>
      <c r="L378" s="20" t="n">
        <f aca="false">LN(Narxlar!F379/Narxlar!F378)</f>
        <v>-0.0344517278990307</v>
      </c>
    </row>
    <row r="379" customFormat="false" ht="15" hidden="false" customHeight="false" outlineLevel="0" collapsed="false">
      <c r="A379" s="19" t="n">
        <f aca="false">Narxlar!A380</f>
        <v>45821</v>
      </c>
      <c r="B379" s="20" t="n">
        <f aca="false">Narxlar!B380/Narxlar!B379-1</f>
        <v>0.0270802913884036</v>
      </c>
      <c r="C379" s="20" t="n">
        <f aca="false">Narxlar!C380/Narxlar!C379-1</f>
        <v>0.0215360072926163</v>
      </c>
      <c r="D379" s="20" t="n">
        <f aca="false">Narxlar!D380/Narxlar!D379-1</f>
        <v>0.0249826308476147</v>
      </c>
      <c r="E379" s="20" t="n">
        <f aca="false">Narxlar!E380/Narxlar!E379-1</f>
        <v>0.0135960364097247</v>
      </c>
      <c r="F379" s="20" t="n">
        <f aca="false">Narxlar!F380/Narxlar!F379-1</f>
        <v>0.034773651094159</v>
      </c>
      <c r="H379" s="20" t="n">
        <f aca="false">LN(Narxlar!B380/Narxlar!B379)</f>
        <v>0.0267201084049958</v>
      </c>
      <c r="I379" s="20" t="n">
        <f aca="false">LN(Narxlar!C380/Narxlar!C379)</f>
        <v>0.0213073840841671</v>
      </c>
      <c r="J379" s="20" t="n">
        <f aca="false">LN(Narxlar!D380/Narxlar!D379)</f>
        <v>0.0246756669322724</v>
      </c>
      <c r="K379" s="20" t="n">
        <f aca="false">LN(Narxlar!E380/Narxlar!E379)</f>
        <v>0.0135044396084299</v>
      </c>
      <c r="L379" s="20" t="n">
        <f aca="false">LN(Narxlar!F380/Narxlar!F379)</f>
        <v>0.0341827082051669</v>
      </c>
    </row>
    <row r="380" customFormat="false" ht="15" hidden="false" customHeight="false" outlineLevel="0" collapsed="false">
      <c r="A380" s="19" t="n">
        <f aca="false">Narxlar!A381</f>
        <v>45824</v>
      </c>
      <c r="B380" s="20" t="n">
        <f aca="false">Narxlar!B381/Narxlar!B380-1</f>
        <v>0.0163138473489999</v>
      </c>
      <c r="C380" s="20" t="n">
        <f aca="false">Narxlar!C381/Narxlar!C380-1</f>
        <v>0.0173266406395241</v>
      </c>
      <c r="D380" s="20" t="n">
        <f aca="false">Narxlar!D381/Narxlar!D380-1</f>
        <v>0.0180755217894766</v>
      </c>
      <c r="E380" s="20" t="n">
        <f aca="false">Narxlar!E381/Narxlar!E380-1</f>
        <v>0.0171649425940661</v>
      </c>
      <c r="F380" s="20" t="n">
        <f aca="false">Narxlar!F381/Narxlar!F380-1</f>
        <v>0.0119191756127748</v>
      </c>
      <c r="H380" s="20" t="n">
        <f aca="false">LN(Narxlar!B381/Narxlar!B380)</f>
        <v>0.0161822063260665</v>
      </c>
      <c r="I380" s="20" t="n">
        <f aca="false">LN(Narxlar!C381/Narxlar!C380)</f>
        <v>0.0171782460688218</v>
      </c>
      <c r="J380" s="20" t="n">
        <f aca="false">LN(Narxlar!D381/Narxlar!D380)</f>
        <v>0.0179141018103241</v>
      </c>
      <c r="K380" s="20" t="n">
        <f aca="false">LN(Narxlar!E381/Narxlar!E380)</f>
        <v>0.0170192893573456</v>
      </c>
      <c r="L380" s="20" t="n">
        <f aca="false">LN(Narxlar!F381/Narxlar!F380)</f>
        <v>0.0118487016805335</v>
      </c>
    </row>
    <row r="381" customFormat="false" ht="15" hidden="false" customHeight="false" outlineLevel="0" collapsed="false">
      <c r="A381" s="19" t="n">
        <f aca="false">Narxlar!A382</f>
        <v>45825</v>
      </c>
      <c r="B381" s="20" t="n">
        <f aca="false">Narxlar!B382/Narxlar!B381-1</f>
        <v>-0.0204700936365373</v>
      </c>
      <c r="C381" s="20" t="n">
        <f aca="false">Narxlar!C382/Narxlar!C381-1</f>
        <v>-0.0243777639706151</v>
      </c>
      <c r="D381" s="20" t="n">
        <f aca="false">Narxlar!D382/Narxlar!D381-1</f>
        <v>-0.022137764585125</v>
      </c>
      <c r="E381" s="20" t="n">
        <f aca="false">Narxlar!E382/Narxlar!E381-1</f>
        <v>-0.0225748770675012</v>
      </c>
      <c r="F381" s="20" t="n">
        <f aca="false">Narxlar!F382/Narxlar!F381-1</f>
        <v>-0.0423823451209785</v>
      </c>
      <c r="H381" s="20" t="n">
        <f aca="false">LN(Narxlar!B382/Narxlar!B381)</f>
        <v>-0.0206825097885397</v>
      </c>
      <c r="I381" s="20" t="n">
        <f aca="false">LN(Narxlar!C382/Narxlar!C381)</f>
        <v>-0.024679820742068</v>
      </c>
      <c r="J381" s="20" t="n">
        <f aca="false">LN(Narxlar!D382/Narxlar!D381)</f>
        <v>-0.0223864824534985</v>
      </c>
      <c r="K381" s="20" t="n">
        <f aca="false">LN(Narxlar!E382/Narxlar!E381)</f>
        <v>-0.0228335906371544</v>
      </c>
      <c r="L381" s="20" t="n">
        <f aca="false">LN(Narxlar!F382/Narxlar!F381)</f>
        <v>-0.0433066883178686</v>
      </c>
    </row>
    <row r="382" customFormat="false" ht="15" hidden="false" customHeight="false" outlineLevel="0" collapsed="false">
      <c r="A382" s="19" t="n">
        <f aca="false">Narxlar!A383</f>
        <v>45826</v>
      </c>
      <c r="B382" s="20" t="n">
        <f aca="false">Narxlar!B383/Narxlar!B382-1</f>
        <v>0.0070075772355187</v>
      </c>
      <c r="C382" s="20" t="n">
        <f aca="false">Narxlar!C383/Narxlar!C382-1</f>
        <v>0.00794185959391625</v>
      </c>
      <c r="D382" s="20" t="n">
        <f aca="false">Narxlar!D383/Narxlar!D382-1</f>
        <v>0.0155181707282477</v>
      </c>
      <c r="E382" s="20" t="n">
        <f aca="false">Narxlar!E383/Narxlar!E382-1</f>
        <v>0.00651726503544481</v>
      </c>
      <c r="F382" s="20" t="n">
        <f aca="false">Narxlar!F383/Narxlar!F382-1</f>
        <v>-0.00866281652598844</v>
      </c>
      <c r="H382" s="20" t="n">
        <f aca="false">LN(Narxlar!B383/Narxlar!B382)</f>
        <v>0.00698313827168954</v>
      </c>
      <c r="I382" s="20" t="n">
        <f aca="false">LN(Narxlar!C383/Narxlar!C382)</f>
        <v>0.00791048901139143</v>
      </c>
      <c r="J382" s="20" t="n">
        <f aca="false">LN(Narxlar!D383/Narxlar!D382)</f>
        <v>0.0153989952590623</v>
      </c>
      <c r="K382" s="20" t="n">
        <f aca="false">LN(Narxlar!E383/Narxlar!E382)</f>
        <v>0.00649611948804026</v>
      </c>
      <c r="L382" s="20" t="n">
        <f aca="false">LN(Narxlar!F383/Narxlar!F382)</f>
        <v>-0.00870055683740763</v>
      </c>
    </row>
    <row r="383" customFormat="false" ht="15" hidden="false" customHeight="false" outlineLevel="0" collapsed="false">
      <c r="A383" s="19" t="n">
        <f aca="false">Narxlar!A384</f>
        <v>45827</v>
      </c>
      <c r="B383" s="20" t="n">
        <f aca="false">Narxlar!B384/Narxlar!B383-1</f>
        <v>0.00564919214227588</v>
      </c>
      <c r="C383" s="20" t="n">
        <f aca="false">Narxlar!C384/Narxlar!C383-1</f>
        <v>0.0131197502415819</v>
      </c>
      <c r="D383" s="20" t="n">
        <f aca="false">Narxlar!D384/Narxlar!D383-1</f>
        <v>0.0134372555592803</v>
      </c>
      <c r="E383" s="20" t="n">
        <f aca="false">Narxlar!E384/Narxlar!E383-1</f>
        <v>0.010905373168238</v>
      </c>
      <c r="F383" s="20" t="n">
        <f aca="false">Narxlar!F384/Narxlar!F383-1</f>
        <v>0.00764620210620648</v>
      </c>
      <c r="H383" s="20" t="n">
        <f aca="false">LN(Narxlar!B384/Narxlar!B383)</f>
        <v>0.00563329529779837</v>
      </c>
      <c r="I383" s="20" t="n">
        <f aca="false">LN(Narxlar!C384/Narxlar!C383)</f>
        <v>0.0130344317464022</v>
      </c>
      <c r="J383" s="20" t="n">
        <f aca="false">LN(Narxlar!D384/Narxlar!D383)</f>
        <v>0.0133477763198709</v>
      </c>
      <c r="K383" s="20" t="n">
        <f aca="false">LN(Narxlar!E384/Narxlar!E383)</f>
        <v>0.010846338395956</v>
      </c>
      <c r="L383" s="20" t="n">
        <f aca="false">LN(Narxlar!F384/Narxlar!F383)</f>
        <v>0.00761711806377736</v>
      </c>
    </row>
    <row r="384" customFormat="false" ht="15" hidden="false" customHeight="false" outlineLevel="0" collapsed="false">
      <c r="A384" s="19" t="n">
        <f aca="false">Narxlar!A385</f>
        <v>45828</v>
      </c>
      <c r="B384" s="20" t="n">
        <f aca="false">Narxlar!B385/Narxlar!B384-1</f>
        <v>-0.00172607764267108</v>
      </c>
      <c r="C384" s="20" t="n">
        <f aca="false">Narxlar!C385/Narxlar!C384-1</f>
        <v>-0.00429216038739499</v>
      </c>
      <c r="D384" s="20" t="n">
        <f aca="false">Narxlar!D385/Narxlar!D384-1</f>
        <v>-0.0103371282079554</v>
      </c>
      <c r="E384" s="20" t="n">
        <f aca="false">Narxlar!E385/Narxlar!E384-1</f>
        <v>-0.00280930441622651</v>
      </c>
      <c r="F384" s="20" t="n">
        <f aca="false">Narxlar!F385/Narxlar!F384-1</f>
        <v>0.0258776440503654</v>
      </c>
      <c r="H384" s="20" t="n">
        <f aca="false">LN(Narxlar!B385/Narxlar!B384)</f>
        <v>-0.00172756903110057</v>
      </c>
      <c r="I384" s="20" t="n">
        <f aca="false">LN(Narxlar!C385/Narxlar!C384)</f>
        <v>-0.00430139815057438</v>
      </c>
      <c r="J384" s="20" t="n">
        <f aca="false">LN(Narxlar!D385/Narxlar!D384)</f>
        <v>-0.0103909273916043</v>
      </c>
      <c r="K384" s="20" t="n">
        <f aca="false">LN(Narxlar!E385/Narxlar!E384)</f>
        <v>-0.0028132579180074</v>
      </c>
      <c r="L384" s="20" t="n">
        <f aca="false">LN(Narxlar!F385/Narxlar!F384)</f>
        <v>0.0255484843255631</v>
      </c>
    </row>
    <row r="385" customFormat="false" ht="15" hidden="false" customHeight="false" outlineLevel="0" collapsed="false">
      <c r="A385" s="19" t="n">
        <f aca="false">Narxlar!A386</f>
        <v>45831</v>
      </c>
      <c r="B385" s="20" t="n">
        <f aca="false">Narxlar!B386/Narxlar!B385-1</f>
        <v>-0.00730991895021227</v>
      </c>
      <c r="C385" s="20" t="n">
        <f aca="false">Narxlar!C386/Narxlar!C385-1</f>
        <v>-0.00541596050401594</v>
      </c>
      <c r="D385" s="20" t="n">
        <f aca="false">Narxlar!D386/Narxlar!D385-1</f>
        <v>0.00119770486323878</v>
      </c>
      <c r="E385" s="20" t="n">
        <f aca="false">Narxlar!E386/Narxlar!E385-1</f>
        <v>0.00371872887085867</v>
      </c>
      <c r="F385" s="20" t="n">
        <f aca="false">Narxlar!F386/Narxlar!F385-1</f>
        <v>-0.0182887178931397</v>
      </c>
      <c r="H385" s="20" t="n">
        <f aca="false">LN(Narxlar!B386/Narxlar!B385)</f>
        <v>-0.00733676732739685</v>
      </c>
      <c r="I385" s="20" t="n">
        <f aca="false">LN(Narxlar!C386/Narxlar!C385)</f>
        <v>-0.00543067998892868</v>
      </c>
      <c r="J385" s="20" t="n">
        <f aca="false">LN(Narxlar!D386/Narxlar!D385)</f>
        <v>0.00119698818695643</v>
      </c>
      <c r="K385" s="20" t="n">
        <f aca="false">LN(Narxlar!E386/Narxlar!E385)</f>
        <v>0.00371183149301467</v>
      </c>
      <c r="L385" s="20" t="n">
        <f aca="false">LN(Narxlar!F386/Narxlar!F385)</f>
        <v>-0.0184580239315869</v>
      </c>
    </row>
    <row r="386" customFormat="false" ht="15" hidden="false" customHeight="false" outlineLevel="0" collapsed="false">
      <c r="A386" s="19" t="n">
        <f aca="false">Narxlar!A387</f>
        <v>45832</v>
      </c>
      <c r="B386" s="20" t="n">
        <f aca="false">Narxlar!B387/Narxlar!B386-1</f>
        <v>0.00797026507935272</v>
      </c>
      <c r="C386" s="20" t="n">
        <f aca="false">Narxlar!C387/Narxlar!C386-1</f>
        <v>0.0253380255602889</v>
      </c>
      <c r="D386" s="20" t="n">
        <f aca="false">Narxlar!D387/Narxlar!D386-1</f>
        <v>0.0105160662122687</v>
      </c>
      <c r="E386" s="20" t="n">
        <f aca="false">Narxlar!E387/Narxlar!E386-1</f>
        <v>0.010665768496688</v>
      </c>
      <c r="F386" s="20" t="n">
        <f aca="false">Narxlar!F387/Narxlar!F386-1</f>
        <v>-0.00891452543261673</v>
      </c>
      <c r="H386" s="20" t="n">
        <f aca="false">LN(Narxlar!B387/Narxlar!B386)</f>
        <v>0.00793867028486134</v>
      </c>
      <c r="I386" s="20" t="n">
        <f aca="false">LN(Narxlar!C387/Narxlar!C386)</f>
        <v>0.0250223392589865</v>
      </c>
      <c r="J386" s="20" t="n">
        <f aca="false">LN(Narxlar!D387/Narxlar!D386)</f>
        <v>0.010461157005081</v>
      </c>
      <c r="K386" s="20" t="n">
        <f aca="false">LN(Narxlar!E387/Narxlar!E386)</f>
        <v>0.0106092904210085</v>
      </c>
      <c r="L386" s="20" t="n">
        <f aca="false">LN(Narxlar!F387/Narxlar!F386)</f>
        <v>-0.00895449754673106</v>
      </c>
    </row>
    <row r="387" customFormat="false" ht="15" hidden="false" customHeight="false" outlineLevel="0" collapsed="false">
      <c r="A387" s="19" t="n">
        <f aca="false">Narxlar!A388</f>
        <v>45833</v>
      </c>
      <c r="B387" s="20" t="n">
        <f aca="false">Narxlar!B388/Narxlar!B387-1</f>
        <v>-0.0138241737896134</v>
      </c>
      <c r="C387" s="20" t="n">
        <f aca="false">Narxlar!C388/Narxlar!C387-1</f>
        <v>-0.0279634379854764</v>
      </c>
      <c r="D387" s="20" t="n">
        <f aca="false">Narxlar!D388/Narxlar!D387-1</f>
        <v>-0.0196844974258734</v>
      </c>
      <c r="E387" s="20" t="n">
        <f aca="false">Narxlar!E388/Narxlar!E387-1</f>
        <v>-0.0176627416129749</v>
      </c>
      <c r="F387" s="20" t="n">
        <f aca="false">Narxlar!F388/Narxlar!F387-1</f>
        <v>-0.0172096908939015</v>
      </c>
      <c r="H387" s="20" t="n">
        <f aca="false">LN(Narxlar!B388/Narxlar!B387)</f>
        <v>-0.0139206175485227</v>
      </c>
      <c r="I387" s="20" t="n">
        <f aca="false">LN(Narxlar!C388/Narxlar!C387)</f>
        <v>-0.028361859987854</v>
      </c>
      <c r="J387" s="20" t="n">
        <f aca="false">LN(Narxlar!D388/Narxlar!D387)</f>
        <v>-0.0198808177273627</v>
      </c>
      <c r="K387" s="20" t="n">
        <f aca="false">LN(Narxlar!E388/Narxlar!E387)</f>
        <v>-0.0178205892771429</v>
      </c>
      <c r="L387" s="20" t="n">
        <f aca="false">LN(Narxlar!F388/Narxlar!F387)</f>
        <v>-0.0173594988781332</v>
      </c>
    </row>
    <row r="388" customFormat="false" ht="15" hidden="false" customHeight="false" outlineLevel="0" collapsed="false">
      <c r="A388" s="19" t="n">
        <f aca="false">Narxlar!A389</f>
        <v>45834</v>
      </c>
      <c r="B388" s="20" t="n">
        <f aca="false">Narxlar!B389/Narxlar!B388-1</f>
        <v>0.00522544510153633</v>
      </c>
      <c r="C388" s="20" t="n">
        <f aca="false">Narxlar!C389/Narxlar!C388-1</f>
        <v>0.00858576472774586</v>
      </c>
      <c r="D388" s="20" t="n">
        <f aca="false">Narxlar!D389/Narxlar!D388-1</f>
        <v>0.0096888339698944</v>
      </c>
      <c r="E388" s="20" t="n">
        <f aca="false">Narxlar!E389/Narxlar!E388-1</f>
        <v>0.00384484903313354</v>
      </c>
      <c r="F388" s="20" t="n">
        <f aca="false">Narxlar!F389/Narxlar!F388-1</f>
        <v>0.0183327666326647</v>
      </c>
      <c r="H388" s="20" t="n">
        <f aca="false">LN(Narxlar!B389/Narxlar!B388)</f>
        <v>0.00521183983840416</v>
      </c>
      <c r="I388" s="20" t="n">
        <f aca="false">LN(Narxlar!C389/Narxlar!C388)</f>
        <v>0.00854911666810969</v>
      </c>
      <c r="J388" s="20" t="n">
        <f aca="false">LN(Narxlar!D389/Narxlar!D388)</f>
        <v>0.00964219820685744</v>
      </c>
      <c r="K388" s="20" t="n">
        <f aca="false">LN(Narxlar!E389/Narxlar!E388)</f>
        <v>0.00383747649258421</v>
      </c>
      <c r="L388" s="20" t="n">
        <f aca="false">LN(Narxlar!F389/Narxlar!F388)</f>
        <v>0.0181667474570925</v>
      </c>
    </row>
    <row r="389" customFormat="false" ht="15" hidden="false" customHeight="false" outlineLevel="0" collapsed="false">
      <c r="A389" s="19" t="n">
        <f aca="false">Narxlar!A390</f>
        <v>45835</v>
      </c>
      <c r="B389" s="20" t="n">
        <f aca="false">Narxlar!B390/Narxlar!B389-1</f>
        <v>0.0339989416671855</v>
      </c>
      <c r="C389" s="20" t="n">
        <f aca="false">Narxlar!C390/Narxlar!C389-1</f>
        <v>0.0556824882075471</v>
      </c>
      <c r="D389" s="20" t="n">
        <f aca="false">Narxlar!D390/Narxlar!D389-1</f>
        <v>0.0293716796929324</v>
      </c>
      <c r="E389" s="20" t="n">
        <f aca="false">Narxlar!E390/Narxlar!E389-1</f>
        <v>0.0374000225301341</v>
      </c>
      <c r="F389" s="20" t="n">
        <f aca="false">Narxlar!F390/Narxlar!F389-1</f>
        <v>0.061131361473608</v>
      </c>
      <c r="H389" s="20" t="n">
        <f aca="false">LN(Narxlar!B390/Narxlar!B389)</f>
        <v>0.033433752553011</v>
      </c>
      <c r="I389" s="20" t="n">
        <f aca="false">LN(Narxlar!C390/Narxlar!C389)</f>
        <v>0.0541874660266825</v>
      </c>
      <c r="J389" s="20" t="n">
        <f aca="false">LN(Narxlar!D390/Narxlar!D389)</f>
        <v>0.0289485963882158</v>
      </c>
      <c r="K389" s="20" t="n">
        <f aca="false">LN(Narxlar!E390/Narxlar!E389)</f>
        <v>0.0367176046530477</v>
      </c>
      <c r="L389" s="20" t="n">
        <f aca="false">LN(Narxlar!F390/Narxlar!F389)</f>
        <v>0.0593356610855738</v>
      </c>
    </row>
    <row r="390" customFormat="false" ht="15" hidden="false" customHeight="false" outlineLevel="0" collapsed="false">
      <c r="A390" s="19" t="n">
        <f aca="false">Narxlar!A391</f>
        <v>45838</v>
      </c>
      <c r="B390" s="20" t="n">
        <f aca="false">Narxlar!B391/Narxlar!B390-1</f>
        <v>0.00426723262062279</v>
      </c>
      <c r="C390" s="20" t="n">
        <f aca="false">Narxlar!C391/Narxlar!C390-1</f>
        <v>0.00115195308409266</v>
      </c>
      <c r="D390" s="20" t="n">
        <f aca="false">Narxlar!D391/Narxlar!D390-1</f>
        <v>0.0065119295306546</v>
      </c>
      <c r="E390" s="20" t="n">
        <f aca="false">Narxlar!E391/Narxlar!E390-1</f>
        <v>0.00749267021392108</v>
      </c>
      <c r="F390" s="20" t="n">
        <f aca="false">Narxlar!F391/Narxlar!F390-1</f>
        <v>0.019587791063562</v>
      </c>
      <c r="H390" s="20" t="n">
        <f aca="false">LN(Narxlar!B391/Narxlar!B390)</f>
        <v>0.00425815380196077</v>
      </c>
      <c r="I390" s="20" t="n">
        <f aca="false">LN(Narxlar!C391/Narxlar!C390)</f>
        <v>0.00115129009524454</v>
      </c>
      <c r="J390" s="20" t="n">
        <f aca="false">LN(Narxlar!D391/Narxlar!D390)</f>
        <v>0.00649081851694195</v>
      </c>
      <c r="K390" s="20" t="n">
        <f aca="false">LN(Narxlar!E391/Narxlar!E390)</f>
        <v>0.00746473959032188</v>
      </c>
      <c r="L390" s="20" t="n">
        <f aca="false">LN(Narxlar!F391/Narxlar!F390)</f>
        <v>0.0193984192068232</v>
      </c>
    </row>
    <row r="391" customFormat="false" ht="15" hidden="false" customHeight="false" outlineLevel="0" collapsed="false">
      <c r="A391" s="19" t="n">
        <f aca="false">Narxlar!A392</f>
        <v>45839</v>
      </c>
      <c r="B391" s="20" t="n">
        <f aca="false">Narxlar!B392/Narxlar!B391-1</f>
        <v>0.0174910071942445</v>
      </c>
      <c r="C391" s="20" t="n">
        <f aca="false">Narxlar!C392/Narxlar!C391-1</f>
        <v>0.0218619246861924</v>
      </c>
      <c r="D391" s="20" t="n">
        <f aca="false">Narxlar!D392/Narxlar!D391-1</f>
        <v>0.00217449664429537</v>
      </c>
      <c r="E391" s="20" t="n">
        <f aca="false">Narxlar!E392/Narxlar!E391-1</f>
        <v>0.00657469282172873</v>
      </c>
      <c r="F391" s="20" t="n">
        <f aca="false">Narxlar!F392/Narxlar!F391-1</f>
        <v>0.0434122881464907</v>
      </c>
      <c r="H391" s="20" t="n">
        <f aca="false">LN(Narxlar!B392/Narxlar!B391)</f>
        <v>0.0173398001572217</v>
      </c>
      <c r="I391" s="20" t="n">
        <f aca="false">LN(Narxlar!C392/Narxlar!C391)</f>
        <v>0.0216263796074955</v>
      </c>
      <c r="J391" s="20" t="n">
        <f aca="false">LN(Narxlar!D392/Narxlar!D391)</f>
        <v>0.00217213584821001</v>
      </c>
      <c r="K391" s="20" t="n">
        <f aca="false">LN(Narxlar!E392/Narxlar!E391)</f>
        <v>0.00655317379802879</v>
      </c>
      <c r="L391" s="20" t="n">
        <f aca="false">LN(Narxlar!F392/Narxlar!F391)</f>
        <v>0.0424963885604704</v>
      </c>
    </row>
    <row r="392" customFormat="false" ht="15" hidden="false" customHeight="false" outlineLevel="0" collapsed="false">
      <c r="A392" s="19" t="n">
        <f aca="false">Narxlar!A393</f>
        <v>45840</v>
      </c>
      <c r="B392" s="20" t="n">
        <f aca="false">Narxlar!B393/Narxlar!B392-1</f>
        <v>-0.0241356960831971</v>
      </c>
      <c r="C392" s="20" t="n">
        <f aca="false">Narxlar!C393/Narxlar!C392-1</f>
        <v>-0.0373289657760945</v>
      </c>
      <c r="D392" s="20" t="n">
        <f aca="false">Narxlar!D393/Narxlar!D392-1</f>
        <v>-0.0366183600760762</v>
      </c>
      <c r="E392" s="20" t="n">
        <f aca="false">Narxlar!E393/Narxlar!E392-1</f>
        <v>-0.0322304315237177</v>
      </c>
      <c r="F392" s="20" t="n">
        <f aca="false">Narxlar!F393/Narxlar!F392-1</f>
        <v>-0.0213206477533213</v>
      </c>
      <c r="H392" s="20" t="n">
        <f aca="false">LN(Narxlar!B393/Narxlar!B392)</f>
        <v>-0.0244317351071384</v>
      </c>
      <c r="I392" s="20" t="n">
        <f aca="false">LN(Narxlar!C393/Narxlar!C392)</f>
        <v>-0.0380435307116318</v>
      </c>
      <c r="J392" s="20" t="n">
        <f aca="false">LN(Narxlar!D393/Narxlar!D392)</f>
        <v>-0.037305642551252</v>
      </c>
      <c r="K392" s="20" t="n">
        <f aca="false">LN(Narxlar!E393/Narxlar!E392)</f>
        <v>-0.0327612691384929</v>
      </c>
      <c r="L392" s="20" t="n">
        <f aca="false">LN(Narxlar!F393/Narxlar!F392)</f>
        <v>-0.021551215894931</v>
      </c>
    </row>
    <row r="393" customFormat="false" ht="15" hidden="false" customHeight="false" outlineLevel="0" collapsed="false">
      <c r="A393" s="19" t="n">
        <f aca="false">Narxlar!A394</f>
        <v>45841</v>
      </c>
      <c r="B393" s="20" t="n">
        <f aca="false">Narxlar!B394/Narxlar!B393-1</f>
        <v>-0.00378876502864212</v>
      </c>
      <c r="C393" s="20" t="n">
        <f aca="false">Narxlar!C394/Narxlar!C393-1</f>
        <v>-0.00308368482614396</v>
      </c>
      <c r="D393" s="20" t="n">
        <f aca="false">Narxlar!D394/Narxlar!D393-1</f>
        <v>0.00091758425091748</v>
      </c>
      <c r="E393" s="20" t="n">
        <f aca="false">Narxlar!E394/Narxlar!E393-1</f>
        <v>-0.00254481079884927</v>
      </c>
      <c r="F393" s="20" t="n">
        <f aca="false">Narxlar!F394/Narxlar!F393-1</f>
        <v>-0.016924394298091</v>
      </c>
      <c r="H393" s="20" t="n">
        <f aca="false">LN(Narxlar!B394/Narxlar!B393)</f>
        <v>-0.00379596057944739</v>
      </c>
      <c r="I393" s="20" t="n">
        <f aca="false">LN(Narxlar!C394/Narxlar!C393)</f>
        <v>-0.00308844917922741</v>
      </c>
      <c r="J393" s="20" t="n">
        <f aca="false">LN(Narxlar!D394/Narxlar!D393)</f>
        <v>0.000917163527834961</v>
      </c>
      <c r="K393" s="20" t="n">
        <f aca="false">LN(Narxlar!E394/Narxlar!E393)</f>
        <v>-0.00254805433380732</v>
      </c>
      <c r="L393" s="20" t="n">
        <f aca="false">LN(Narxlar!F394/Narxlar!F393)</f>
        <v>-0.0170692485658771</v>
      </c>
    </row>
    <row r="394" customFormat="false" ht="15" hidden="false" customHeight="false" outlineLevel="0" collapsed="false">
      <c r="A394" s="19" t="n">
        <f aca="false">Narxlar!A395</f>
        <v>45842</v>
      </c>
      <c r="B394" s="20" t="n">
        <f aca="false">Narxlar!B395/Narxlar!B394-1</f>
        <v>0.0181446266904051</v>
      </c>
      <c r="C394" s="20" t="n">
        <f aca="false">Narxlar!C395/Narxlar!C394-1</f>
        <v>0.0311455592690038</v>
      </c>
      <c r="D394" s="20" t="n">
        <f aca="false">Narxlar!D395/Narxlar!D394-1</f>
        <v>0.0119176598049837</v>
      </c>
      <c r="E394" s="20" t="n">
        <f aca="false">Narxlar!E395/Narxlar!E394-1</f>
        <v>0.00976150859678304</v>
      </c>
      <c r="F394" s="20" t="n">
        <f aca="false">Narxlar!F395/Narxlar!F394-1</f>
        <v>0.0274119997950504</v>
      </c>
      <c r="H394" s="20" t="n">
        <f aca="false">LN(Narxlar!B395/Narxlar!B394)</f>
        <v>0.0179819774779003</v>
      </c>
      <c r="I394" s="20" t="n">
        <f aca="false">LN(Narxlar!C395/Narxlar!C394)</f>
        <v>0.0306703776776475</v>
      </c>
      <c r="J394" s="20" t="n">
        <f aca="false">LN(Narxlar!D395/Narxlar!D394)</f>
        <v>0.0118472037259904</v>
      </c>
      <c r="K394" s="20" t="n">
        <f aca="false">LN(Narxlar!E395/Narxlar!E394)</f>
        <v>0.00971417286787105</v>
      </c>
      <c r="L394" s="20" t="n">
        <f aca="false">LN(Narxlar!F395/Narxlar!F394)</f>
        <v>0.0270430187521921</v>
      </c>
    </row>
    <row r="395" customFormat="false" ht="15" hidden="false" customHeight="false" outlineLevel="0" collapsed="false">
      <c r="A395" s="19" t="n">
        <f aca="false">Narxlar!A396</f>
        <v>45845</v>
      </c>
      <c r="B395" s="20" t="n">
        <f aca="false">Narxlar!B396/Narxlar!B395-1</f>
        <v>-0.015819629436714</v>
      </c>
      <c r="C395" s="20" t="n">
        <f aca="false">Narxlar!C396/Narxlar!C395-1</f>
        <v>-0.0132404661747466</v>
      </c>
      <c r="D395" s="20" t="n">
        <f aca="false">Narxlar!D396/Narxlar!D395-1</f>
        <v>-0.0018118926041838</v>
      </c>
      <c r="E395" s="20" t="n">
        <f aca="false">Narxlar!E396/Narxlar!E395-1</f>
        <v>-0.0123036361639021</v>
      </c>
      <c r="F395" s="20" t="n">
        <f aca="false">Narxlar!F396/Narxlar!F395-1</f>
        <v>-0.022491522042689</v>
      </c>
      <c r="H395" s="20" t="n">
        <f aca="false">LN(Narxlar!B396/Narxlar!B395)</f>
        <v>-0.0159460953099288</v>
      </c>
      <c r="I395" s="20" t="n">
        <f aca="false">LN(Narxlar!C396/Narxlar!C395)</f>
        <v>-0.0133289026411603</v>
      </c>
      <c r="J395" s="20" t="n">
        <f aca="false">LN(Narxlar!D396/Narxlar!D395)</f>
        <v>-0.00181353606707388</v>
      </c>
      <c r="K395" s="20" t="n">
        <f aca="false">LN(Narxlar!E396/Narxlar!E395)</f>
        <v>-0.0123799525205159</v>
      </c>
      <c r="L395" s="20" t="n">
        <f aca="false">LN(Narxlar!F396/Narxlar!F395)</f>
        <v>-0.0227483140581189</v>
      </c>
    </row>
    <row r="396" customFormat="false" ht="15" hidden="false" customHeight="false" outlineLevel="0" collapsed="false">
      <c r="A396" s="19" t="n">
        <f aca="false">Narxlar!A397</f>
        <v>45846</v>
      </c>
      <c r="B396" s="20" t="n">
        <f aca="false">Narxlar!B397/Narxlar!B396-1</f>
        <v>0.0222660739127805</v>
      </c>
      <c r="C396" s="20" t="n">
        <f aca="false">Narxlar!C397/Narxlar!C396-1</f>
        <v>0.0302956181424279</v>
      </c>
      <c r="D396" s="20" t="n">
        <f aca="false">Narxlar!D397/Narxlar!D396-1</f>
        <v>0.00943344334433438</v>
      </c>
      <c r="E396" s="20" t="n">
        <f aca="false">Narxlar!E397/Narxlar!E396-1</f>
        <v>0.0153486820153488</v>
      </c>
      <c r="F396" s="20" t="n">
        <f aca="false">Narxlar!F397/Narxlar!F396-1</f>
        <v>0.0326513953369727</v>
      </c>
      <c r="H396" s="20" t="n">
        <f aca="false">LN(Narxlar!B397/Narxlar!B396)</f>
        <v>0.0220218041916029</v>
      </c>
      <c r="I396" s="20" t="n">
        <f aca="false">LN(Narxlar!C397/Narxlar!C396)</f>
        <v>0.0298457689679243</v>
      </c>
      <c r="J396" s="20" t="n">
        <f aca="false">LN(Narxlar!D397/Narxlar!D396)</f>
        <v>0.00938922627960825</v>
      </c>
      <c r="K396" s="20" t="n">
        <f aca="false">LN(Narxlar!E397/Narxlar!E396)</f>
        <v>0.015232082580308</v>
      </c>
      <c r="L396" s="20" t="n">
        <f aca="false">LN(Narxlar!F397/Narxlar!F396)</f>
        <v>0.0321296649702601</v>
      </c>
    </row>
    <row r="397" customFormat="false" ht="15" hidden="false" customHeight="false" outlineLevel="0" collapsed="false">
      <c r="A397" s="19" t="n">
        <f aca="false">Narxlar!A398</f>
        <v>45847</v>
      </c>
      <c r="B397" s="20" t="n">
        <f aca="false">Narxlar!B398/Narxlar!B397-1</f>
        <v>-0.00606468504315527</v>
      </c>
      <c r="C397" s="20" t="n">
        <f aca="false">Narxlar!C398/Narxlar!C397-1</f>
        <v>-0.00797015431575376</v>
      </c>
      <c r="D397" s="20" t="n">
        <f aca="false">Narxlar!D398/Narxlar!D397-1</f>
        <v>-0.00899109064654113</v>
      </c>
      <c r="E397" s="20" t="n">
        <f aca="false">Narxlar!E398/Narxlar!E397-1</f>
        <v>0.000766787161792015</v>
      </c>
      <c r="F397" s="20" t="n">
        <f aca="false">Narxlar!F398/Narxlar!F397-1</f>
        <v>-0.00444642063139178</v>
      </c>
      <c r="H397" s="20" t="n">
        <f aca="false">LN(Narxlar!B398/Narxlar!B397)</f>
        <v>-0.00608314993919704</v>
      </c>
      <c r="I397" s="20" t="n">
        <f aca="false">LN(Narxlar!C398/Narxlar!C397)</f>
        <v>-0.00800208577460195</v>
      </c>
      <c r="J397" s="20" t="n">
        <f aca="false">LN(Narxlar!D398/Narxlar!D397)</f>
        <v>-0.00903175442670973</v>
      </c>
      <c r="K397" s="20" t="n">
        <f aca="false">LN(Narxlar!E398/Narxlar!E397)</f>
        <v>0.000766493330710611</v>
      </c>
      <c r="L397" s="20" t="n">
        <f aca="false">LN(Narxlar!F398/Narxlar!F397)</f>
        <v>-0.00445633536056091</v>
      </c>
    </row>
    <row r="398" customFormat="false" ht="15" hidden="false" customHeight="false" outlineLevel="0" collapsed="false">
      <c r="A398" s="19" t="n">
        <f aca="false">Narxlar!A399</f>
        <v>45848</v>
      </c>
      <c r="B398" s="20" t="n">
        <f aca="false">Narxlar!B399/Narxlar!B398-1</f>
        <v>0.0382695012240584</v>
      </c>
      <c r="C398" s="20" t="n">
        <f aca="false">Narxlar!C399/Narxlar!C398-1</f>
        <v>0.0505299145299145</v>
      </c>
      <c r="D398" s="20" t="n">
        <f aca="false">Narxlar!D399/Narxlar!D398-1</f>
        <v>0.0400571852747917</v>
      </c>
      <c r="E398" s="20" t="n">
        <f aca="false">Narxlar!E399/Narxlar!E398-1</f>
        <v>0.0262697022767076</v>
      </c>
      <c r="F398" s="20" t="n">
        <f aca="false">Narxlar!F399/Narxlar!F398-1</f>
        <v>0.0558036821993946</v>
      </c>
      <c r="H398" s="20" t="n">
        <f aca="false">LN(Narxlar!B399/Narxlar!B398)</f>
        <v>0.0375553861349547</v>
      </c>
      <c r="I398" s="20" t="n">
        <f aca="false">LN(Narxlar!C399/Narxlar!C398)</f>
        <v>0.0492947173657382</v>
      </c>
      <c r="J398" s="20" t="n">
        <f aca="false">LN(Narxlar!D399/Narxlar!D398)</f>
        <v>0.0392756974827613</v>
      </c>
      <c r="K398" s="20" t="n">
        <f aca="false">LN(Narxlar!E399/Narxlar!E398)</f>
        <v>0.0259305799210024</v>
      </c>
      <c r="L398" s="20" t="n">
        <f aca="false">LN(Narxlar!F399/Narxlar!F398)</f>
        <v>0.0543022609930708</v>
      </c>
    </row>
    <row r="399" customFormat="false" ht="15" hidden="false" customHeight="false" outlineLevel="0" collapsed="false">
      <c r="A399" s="19" t="n">
        <f aca="false">Narxlar!A400</f>
        <v>45849</v>
      </c>
      <c r="B399" s="20" t="n">
        <f aca="false">Narxlar!B400/Narxlar!B399-1</f>
        <v>0.0219734541180519</v>
      </c>
      <c r="C399" s="20" t="n">
        <f aca="false">Narxlar!C400/Narxlar!C399-1</f>
        <v>0.0145144493621452</v>
      </c>
      <c r="D399" s="20" t="n">
        <f aca="false">Narxlar!D400/Narxlar!D399-1</f>
        <v>0.0160983346550356</v>
      </c>
      <c r="E399" s="20" t="n">
        <f aca="false">Narxlar!E400/Narxlar!E399-1</f>
        <v>0.0230375426621161</v>
      </c>
      <c r="F399" s="20" t="n">
        <f aca="false">Narxlar!F400/Narxlar!F399-1</f>
        <v>0.0317736363422716</v>
      </c>
      <c r="H399" s="20" t="n">
        <f aca="false">LN(Narxlar!B400/Narxlar!B399)</f>
        <v>0.0217355169999947</v>
      </c>
      <c r="I399" s="20" t="n">
        <f aca="false">LN(Narxlar!C400/Narxlar!C399)</f>
        <v>0.0144101230232555</v>
      </c>
      <c r="J399" s="20" t="n">
        <f aca="false">LN(Narxlar!D400/Narxlar!D399)</f>
        <v>0.0159701305506109</v>
      </c>
      <c r="K399" s="20" t="n">
        <f aca="false">LN(Narxlar!E400/Narxlar!E399)</f>
        <v>0.0227761848905564</v>
      </c>
      <c r="L399" s="20" t="n">
        <f aca="false">LN(Narxlar!F400/Narxlar!F399)</f>
        <v>0.0312792983702377</v>
      </c>
    </row>
    <row r="400" customFormat="false" ht="15" hidden="false" customHeight="false" outlineLevel="0" collapsed="false">
      <c r="A400" s="19" t="n">
        <f aca="false">Narxlar!A401</f>
        <v>45852</v>
      </c>
      <c r="B400" s="20" t="n">
        <f aca="false">Narxlar!B401/Narxlar!B400-1</f>
        <v>-0.00270691033534842</v>
      </c>
      <c r="C400" s="20" t="n">
        <f aca="false">Narxlar!C401/Narxlar!C400-1</f>
        <v>-0.0127028934368384</v>
      </c>
      <c r="D400" s="20" t="n">
        <f aca="false">Narxlar!D401/Narxlar!D400-1</f>
        <v>-0.00215926532948307</v>
      </c>
      <c r="E400" s="20" t="n">
        <f aca="false">Narxlar!E401/Narxlar!E400-1</f>
        <v>0.00135529608006668</v>
      </c>
      <c r="F400" s="20" t="n">
        <f aca="false">Narxlar!F401/Narxlar!F400-1</f>
        <v>-0.00382661777099513</v>
      </c>
      <c r="H400" s="20" t="n">
        <f aca="false">LN(Narxlar!B401/Narxlar!B400)</f>
        <v>-0.00271058064208731</v>
      </c>
      <c r="I400" s="20" t="n">
        <f aca="false">LN(Narxlar!C401/Narxlar!C400)</f>
        <v>-0.0127842650251993</v>
      </c>
      <c r="J400" s="20" t="n">
        <f aca="false">LN(Narxlar!D401/Narxlar!D400)</f>
        <v>-0.00216159990411407</v>
      </c>
      <c r="K400" s="20" t="n">
        <f aca="false">LN(Narxlar!E401/Narxlar!E400)</f>
        <v>0.00135437849530681</v>
      </c>
      <c r="L400" s="20" t="n">
        <f aca="false">LN(Narxlar!F401/Narxlar!F400)</f>
        <v>-0.00383395800427268</v>
      </c>
    </row>
    <row r="401" customFormat="false" ht="15" hidden="false" customHeight="false" outlineLevel="0" collapsed="false">
      <c r="A401" s="19" t="n">
        <f aca="false">Narxlar!A402</f>
        <v>45853</v>
      </c>
      <c r="B401" s="20" t="n">
        <f aca="false">Narxlar!B402/Narxlar!B401-1</f>
        <v>-0.00750288301971691</v>
      </c>
      <c r="C401" s="20" t="n">
        <f aca="false">Narxlar!C402/Narxlar!C401-1</f>
        <v>-0.0153681200857756</v>
      </c>
      <c r="D401" s="20" t="n">
        <f aca="false">Narxlar!D402/Narxlar!D401-1</f>
        <v>-0.00372823026384395</v>
      </c>
      <c r="E401" s="20" t="n">
        <f aca="false">Narxlar!E402/Narxlar!E401-1</f>
        <v>0.010931806350859</v>
      </c>
      <c r="F401" s="20" t="n">
        <f aca="false">Narxlar!F402/Narxlar!F401-1</f>
        <v>-0.00926031782325365</v>
      </c>
      <c r="H401" s="20" t="n">
        <f aca="false">LN(Narxlar!B402/Narxlar!B401)</f>
        <v>-0.00753117123077064</v>
      </c>
      <c r="I401" s="20" t="n">
        <f aca="false">LN(Narxlar!C402/Narxlar!C401)</f>
        <v>-0.0154874336384117</v>
      </c>
      <c r="J401" s="20" t="n">
        <f aca="false">LN(Narxlar!D402/Narxlar!D401)</f>
        <v>-0.00373519743650085</v>
      </c>
      <c r="K401" s="20" t="n">
        <f aca="false">LN(Narxlar!E402/Narxlar!E401)</f>
        <v>0.0108724860827136</v>
      </c>
      <c r="L401" s="20" t="n">
        <f aca="false">LN(Narxlar!F402/Narxlar!F401)</f>
        <v>-0.00930346112000016</v>
      </c>
    </row>
    <row r="402" customFormat="false" ht="15" hidden="false" customHeight="false" outlineLevel="0" collapsed="false">
      <c r="A402" s="19" t="n">
        <f aca="false">Narxlar!A403</f>
        <v>45854</v>
      </c>
      <c r="B402" s="20" t="n">
        <f aca="false">Narxlar!B403/Narxlar!B402-1</f>
        <v>0.0187041694711112</v>
      </c>
      <c r="C402" s="20" t="n">
        <f aca="false">Narxlar!C403/Narxlar!C402-1</f>
        <v>0.0163669361491503</v>
      </c>
      <c r="D402" s="20" t="n">
        <f aca="false">Narxlar!D403/Narxlar!D402-1</f>
        <v>0.0231858268128646</v>
      </c>
      <c r="E402" s="20" t="n">
        <f aca="false">Narxlar!E403/Narxlar!E402-1</f>
        <v>0.0256436663233779</v>
      </c>
      <c r="F402" s="20" t="n">
        <f aca="false">Narxlar!F403/Narxlar!F402-1</f>
        <v>0.0317793676436648</v>
      </c>
      <c r="H402" s="20" t="n">
        <f aca="false">LN(Narxlar!B403/Narxlar!B402)</f>
        <v>0.0185313975387668</v>
      </c>
      <c r="I402" s="20" t="n">
        <f aca="false">LN(Narxlar!C403/Narxlar!C402)</f>
        <v>0.016234441581689</v>
      </c>
      <c r="J402" s="20" t="n">
        <f aca="false">LN(Narxlar!D403/Narxlar!D402)</f>
        <v>0.0229211193617585</v>
      </c>
      <c r="K402" s="20" t="n">
        <f aca="false">LN(Narxlar!E403/Narxlar!E402)</f>
        <v>0.0253203826462689</v>
      </c>
      <c r="L402" s="20" t="n">
        <f aca="false">LN(Narxlar!F403/Narxlar!F402)</f>
        <v>0.0312848531598478</v>
      </c>
    </row>
    <row r="403" customFormat="false" ht="15" hidden="false" customHeight="false" outlineLevel="0" collapsed="false">
      <c r="A403" s="19" t="n">
        <f aca="false">Narxlar!A404</f>
        <v>45855</v>
      </c>
      <c r="B403" s="20" t="n">
        <f aca="false">Narxlar!B404/Narxlar!B403-1</f>
        <v>0.00146051396181801</v>
      </c>
      <c r="C403" s="20" t="n">
        <f aca="false">Narxlar!C404/Narxlar!C403-1</f>
        <v>-0.00418817570858088</v>
      </c>
      <c r="D403" s="20" t="n">
        <f aca="false">Narxlar!D404/Narxlar!D403-1</f>
        <v>-0.0178265428783345</v>
      </c>
      <c r="E403" s="20" t="n">
        <f aca="false">Narxlar!E404/Narxlar!E403-1</f>
        <v>0.00753087659403562</v>
      </c>
      <c r="F403" s="20" t="n">
        <f aca="false">Narxlar!F404/Narxlar!F403-1</f>
        <v>-0.010266848591943</v>
      </c>
      <c r="H403" s="20" t="n">
        <f aca="false">LN(Narxlar!B404/Narxlar!B403)</f>
        <v>0.00145944844864009</v>
      </c>
      <c r="I403" s="20" t="n">
        <f aca="false">LN(Narxlar!C404/Narxlar!C403)</f>
        <v>-0.0041969706816487</v>
      </c>
      <c r="J403" s="20" t="n">
        <f aca="false">LN(Narxlar!D404/Narxlar!D403)</f>
        <v>-0.0179873496459677</v>
      </c>
      <c r="K403" s="20" t="n">
        <f aca="false">LN(Narxlar!E404/Narxlar!E403)</f>
        <v>0.00750266111255882</v>
      </c>
      <c r="L403" s="20" t="n">
        <f aca="false">LN(Narxlar!F404/Narxlar!F403)</f>
        <v>-0.0103199162192889</v>
      </c>
    </row>
    <row r="404" customFormat="false" ht="15" hidden="false" customHeight="false" outlineLevel="0" collapsed="false">
      <c r="A404" s="19" t="n">
        <f aca="false">Narxlar!A405</f>
        <v>45856</v>
      </c>
      <c r="B404" s="20" t="n">
        <f aca="false">Narxlar!B405/Narxlar!B404-1</f>
        <v>-0.00324316816556136</v>
      </c>
      <c r="C404" s="20" t="n">
        <f aca="false">Narxlar!C405/Narxlar!C404-1</f>
        <v>0.0113132498695878</v>
      </c>
      <c r="D404" s="20" t="n">
        <f aca="false">Narxlar!D405/Narxlar!D404-1</f>
        <v>-0.0121608249570335</v>
      </c>
      <c r="E404" s="20" t="n">
        <f aca="false">Narxlar!E405/Narxlar!E404-1</f>
        <v>-0.00189356188957546</v>
      </c>
      <c r="F404" s="20" t="n">
        <f aca="false">Narxlar!F405/Narxlar!F404-1</f>
        <v>0.0171533176640752</v>
      </c>
      <c r="H404" s="20" t="n">
        <f aca="false">LN(Narxlar!B405/Narxlar!B404)</f>
        <v>-0.00324843863386485</v>
      </c>
      <c r="I404" s="20" t="n">
        <f aca="false">LN(Narxlar!C405/Narxlar!C404)</f>
        <v>0.0112497336591923</v>
      </c>
      <c r="J404" s="20" t="n">
        <f aca="false">LN(Narxlar!D405/Narxlar!D404)</f>
        <v>-0.0122353727806867</v>
      </c>
      <c r="K404" s="20" t="n">
        <f aca="false">LN(Narxlar!E405/Narxlar!E404)</f>
        <v>-0.00189535694427967</v>
      </c>
      <c r="L404" s="20" t="n">
        <f aca="false">LN(Narxlar!F405/Narxlar!F404)</f>
        <v>0.0170078605359876</v>
      </c>
    </row>
    <row r="405" customFormat="false" ht="15" hidden="false" customHeight="false" outlineLevel="0" collapsed="false">
      <c r="A405" s="19" t="n">
        <f aca="false">Narxlar!A406</f>
        <v>45859</v>
      </c>
      <c r="B405" s="20" t="n">
        <f aca="false">Narxlar!B406/Narxlar!B405-1</f>
        <v>-0.000689760882893964</v>
      </c>
      <c r="C405" s="20" t="n">
        <f aca="false">Narxlar!C406/Narxlar!C405-1</f>
        <v>-0.00199877494438894</v>
      </c>
      <c r="D405" s="20" t="n">
        <f aca="false">Narxlar!D406/Narxlar!D405-1</f>
        <v>-0.000896269935415806</v>
      </c>
      <c r="E405" s="20" t="n">
        <f aca="false">Narxlar!E406/Narxlar!E405-1</f>
        <v>0.00269595606590123</v>
      </c>
      <c r="F405" s="20" t="n">
        <f aca="false">Narxlar!F406/Narxlar!F405-1</f>
        <v>-0.0209078587775235</v>
      </c>
      <c r="H405" s="20" t="n">
        <f aca="false">LN(Narxlar!B406/Narxlar!B405)</f>
        <v>-0.000689998877377566</v>
      </c>
      <c r="I405" s="20" t="n">
        <f aca="false">LN(Narxlar!C406/Narxlar!C405)</f>
        <v>-0.00200077516079414</v>
      </c>
      <c r="J405" s="20" t="n">
        <f aca="false">LN(Narxlar!D406/Narxlar!D405)</f>
        <v>-0.000896671825466961</v>
      </c>
      <c r="K405" s="20" t="n">
        <f aca="false">LN(Narxlar!E406/Narxlar!E405)</f>
        <v>0.00269232849473226</v>
      </c>
      <c r="L405" s="20" t="n">
        <f aca="false">LN(Narxlar!F406/Narxlar!F405)</f>
        <v>-0.0211295231863674</v>
      </c>
    </row>
    <row r="406" customFormat="false" ht="15" hidden="false" customHeight="false" outlineLevel="0" collapsed="false">
      <c r="A406" s="19" t="n">
        <f aca="false">Narxlar!A407</f>
        <v>45860</v>
      </c>
      <c r="B406" s="20" t="n">
        <f aca="false">Narxlar!B407/Narxlar!B406-1</f>
        <v>0.00374401271709357</v>
      </c>
      <c r="C406" s="20" t="n">
        <f aca="false">Narxlar!C407/Narxlar!C406-1</f>
        <v>-0.0064928772167846</v>
      </c>
      <c r="D406" s="20" t="n">
        <f aca="false">Narxlar!D407/Narxlar!D406-1</f>
        <v>0.00952481464868993</v>
      </c>
      <c r="E406" s="20" t="n">
        <f aca="false">Narxlar!E407/Narxlar!E406-1</f>
        <v>-0.0137422824138618</v>
      </c>
      <c r="F406" s="20" t="n">
        <f aca="false">Narxlar!F407/Narxlar!F406-1</f>
        <v>-0.0110742976444425</v>
      </c>
      <c r="H406" s="20" t="n">
        <f aca="false">LN(Narxlar!B407/Narxlar!B406)</f>
        <v>0.00373702134656706</v>
      </c>
      <c r="I406" s="20" t="n">
        <f aca="false">LN(Narxlar!C407/Narxlar!C406)</f>
        <v>-0.00651404763175264</v>
      </c>
      <c r="J406" s="20" t="n">
        <f aca="false">LN(Narxlar!D407/Narxlar!D406)</f>
        <v>0.00947973959661833</v>
      </c>
      <c r="K406" s="20" t="n">
        <f aca="false">LN(Narxlar!E407/Narxlar!E406)</f>
        <v>-0.0138375816702735</v>
      </c>
      <c r="L406" s="20" t="n">
        <f aca="false">LN(Narxlar!F407/Narxlar!F406)</f>
        <v>-0.011136074189911</v>
      </c>
    </row>
    <row r="407" customFormat="false" ht="15" hidden="false" customHeight="false" outlineLevel="0" collapsed="false">
      <c r="A407" s="19" t="n">
        <f aca="false">Narxlar!A408</f>
        <v>45861</v>
      </c>
      <c r="B407" s="20" t="n">
        <f aca="false">Narxlar!B408/Narxlar!B407-1</f>
        <v>0.00500812691885577</v>
      </c>
      <c r="C407" s="20" t="n">
        <f aca="false">Narxlar!C408/Narxlar!C407-1</f>
        <v>0.00367407985433732</v>
      </c>
      <c r="D407" s="20" t="n">
        <f aca="false">Narxlar!D408/Narxlar!D407-1</f>
        <v>0.00193403376718426</v>
      </c>
      <c r="E407" s="20" t="n">
        <f aca="false">Narxlar!E408/Narxlar!E407-1</f>
        <v>0.00797657512116312</v>
      </c>
      <c r="F407" s="20" t="n">
        <f aca="false">Narxlar!F408/Narxlar!F407-1</f>
        <v>-0.00743494423791824</v>
      </c>
      <c r="H407" s="20" t="n">
        <f aca="false">LN(Narxlar!B408/Narxlar!B407)</f>
        <v>0.00499562796476727</v>
      </c>
      <c r="I407" s="20" t="n">
        <f aca="false">LN(Narxlar!C408/Narxlar!C407)</f>
        <v>0.00366734690949456</v>
      </c>
      <c r="J407" s="20" t="n">
        <f aca="false">LN(Narxlar!D408/Narxlar!D407)</f>
        <v>0.00193216593179469</v>
      </c>
      <c r="K407" s="20" t="n">
        <f aca="false">LN(Narxlar!E408/Narxlar!E407)</f>
        <v>0.00794493041204782</v>
      </c>
      <c r="L407" s="20" t="n">
        <f aca="false">LN(Narxlar!F408/Narxlar!F407)</f>
        <v>-0.0074627212015896</v>
      </c>
    </row>
    <row r="408" customFormat="false" ht="15" hidden="false" customHeight="false" outlineLevel="0" collapsed="false">
      <c r="A408" s="19" t="n">
        <f aca="false">Narxlar!A409</f>
        <v>45862</v>
      </c>
      <c r="B408" s="20" t="n">
        <f aca="false">Narxlar!B409/Narxlar!B408-1</f>
        <v>0.0102566229170555</v>
      </c>
      <c r="C408" s="20" t="n">
        <f aca="false">Narxlar!C409/Narxlar!C408-1</f>
        <v>0.00563672292591266</v>
      </c>
      <c r="D408" s="20" t="n">
        <f aca="false">Narxlar!D409/Narxlar!D408-1</f>
        <v>0.015181552587646</v>
      </c>
      <c r="E408" s="20" t="n">
        <f aca="false">Narxlar!E409/Narxlar!E408-1</f>
        <v>-0.0048081738956226</v>
      </c>
      <c r="F408" s="20" t="n">
        <f aca="false">Narxlar!F409/Narxlar!F408-1</f>
        <v>0.00797614093494237</v>
      </c>
      <c r="H408" s="20" t="n">
        <f aca="false">LN(Narxlar!B409/Narxlar!B408)</f>
        <v>0.0102043806758735</v>
      </c>
      <c r="I408" s="20" t="n">
        <f aca="false">LN(Narxlar!C409/Narxlar!C408)</f>
        <v>0.00562089604986454</v>
      </c>
      <c r="J408" s="20" t="n">
        <f aca="false">LN(Narxlar!D409/Narxlar!D408)</f>
        <v>0.0150674660429798</v>
      </c>
      <c r="K408" s="20" t="n">
        <f aca="false">LN(Narxlar!E409/Narxlar!E408)</f>
        <v>-0.00481977035050802</v>
      </c>
      <c r="L408" s="20" t="n">
        <f aca="false">LN(Narxlar!F409/Narxlar!F408)</f>
        <v>0.00794449966164648</v>
      </c>
    </row>
    <row r="409" customFormat="false" ht="15" hidden="false" customHeight="false" outlineLevel="0" collapsed="false">
      <c r="A409" s="19" t="n">
        <f aca="false">Narxlar!A410</f>
        <v>45863</v>
      </c>
      <c r="B409" s="20" t="n">
        <f aca="false">Narxlar!B410/Narxlar!B409-1</f>
        <v>0.00197713636767882</v>
      </c>
      <c r="C409" s="20" t="n">
        <f aca="false">Narxlar!C410/Narxlar!C409-1</f>
        <v>0.00847211931836478</v>
      </c>
      <c r="D409" s="20" t="n">
        <f aca="false">Narxlar!D410/Narxlar!D409-1</f>
        <v>0.00439385374376888</v>
      </c>
      <c r="E409" s="20" t="n">
        <f aca="false">Narxlar!E410/Narxlar!E409-1</f>
        <v>-0.000603925515853088</v>
      </c>
      <c r="F409" s="20" t="n">
        <f aca="false">Narxlar!F410/Narxlar!F409-1</f>
        <v>0.0268584141838115</v>
      </c>
      <c r="H409" s="20" t="n">
        <f aca="false">LN(Narxlar!B410/Narxlar!B409)</f>
        <v>0.0019751844060101</v>
      </c>
      <c r="I409" s="20" t="n">
        <f aca="false">LN(Narxlar!C410/Narxlar!C409)</f>
        <v>0.00843643233673753</v>
      </c>
      <c r="J409" s="20" t="n">
        <f aca="false">LN(Narxlar!D410/Narxlar!D409)</f>
        <v>0.00438422895139576</v>
      </c>
      <c r="K409" s="20" t="n">
        <f aca="false">LN(Narxlar!E410/Narxlar!E409)</f>
        <v>-0.000604107952323161</v>
      </c>
      <c r="L409" s="20" t="n">
        <f aca="false">LN(Narxlar!F410/Narxlar!F409)</f>
        <v>0.026504057940731</v>
      </c>
    </row>
    <row r="410" customFormat="false" ht="15" hidden="false" customHeight="false" outlineLevel="0" collapsed="false">
      <c r="A410" s="19" t="n">
        <f aca="false">Narxlar!A411</f>
        <v>45866</v>
      </c>
      <c r="B410" s="20" t="n">
        <f aca="false">Narxlar!B411/Narxlar!B410-1</f>
        <v>-0.0145363921889936</v>
      </c>
      <c r="C410" s="20" t="n">
        <f aca="false">Narxlar!C411/Narxlar!C410-1</f>
        <v>-0.0306331054749889</v>
      </c>
      <c r="D410" s="20" t="n">
        <f aca="false">Narxlar!D411/Narxlar!D410-1</f>
        <v>-0.00938883061730922</v>
      </c>
      <c r="E410" s="20" t="n">
        <f aca="false">Narxlar!E411/Narxlar!E410-1</f>
        <v>-0.0120858092456441</v>
      </c>
      <c r="F410" s="20" t="n">
        <f aca="false">Narxlar!F411/Narxlar!F410-1</f>
        <v>0.00833147196783557</v>
      </c>
      <c r="H410" s="20" t="n">
        <f aca="false">LN(Narxlar!B411/Narxlar!B410)</f>
        <v>-0.0146430807109745</v>
      </c>
      <c r="I410" s="20" t="n">
        <f aca="false">LN(Narxlar!C411/Narxlar!C410)</f>
        <v>-0.031112106633669</v>
      </c>
      <c r="J410" s="20" t="n">
        <f aca="false">LN(Narxlar!D411/Narxlar!D410)</f>
        <v>-0.00943318352038637</v>
      </c>
      <c r="K410" s="20" t="n">
        <f aca="false">LN(Narxlar!E411/Narxlar!E410)</f>
        <v>-0.0121594364692785</v>
      </c>
      <c r="L410" s="20" t="n">
        <f aca="false">LN(Narxlar!F411/Narxlar!F410)</f>
        <v>0.00829695683067943</v>
      </c>
    </row>
    <row r="411" customFormat="false" ht="15" hidden="false" customHeight="false" outlineLevel="0" collapsed="false">
      <c r="A411" s="19" t="n">
        <f aca="false">Narxlar!A412</f>
        <v>45867</v>
      </c>
      <c r="B411" s="20" t="n">
        <f aca="false">Narxlar!B412/Narxlar!B411-1</f>
        <v>0.00814100920800098</v>
      </c>
      <c r="C411" s="20" t="n">
        <f aca="false">Narxlar!C412/Narxlar!C411-1</f>
        <v>0.00807328566250365</v>
      </c>
      <c r="D411" s="20" t="n">
        <f aca="false">Narxlar!D412/Narxlar!D411-1</f>
        <v>-0.02001446206291</v>
      </c>
      <c r="E411" s="20" t="n">
        <f aca="false">Narxlar!E412/Narxlar!E411-1</f>
        <v>0.00795188092568044</v>
      </c>
      <c r="F411" s="20" t="n">
        <f aca="false">Narxlar!F412/Narxlar!F411-1</f>
        <v>0.00797465830804334</v>
      </c>
      <c r="H411" s="20" t="n">
        <f aca="false">LN(Narxlar!B412/Narxlar!B411)</f>
        <v>0.00810804995277359</v>
      </c>
      <c r="I411" s="20" t="n">
        <f aca="false">LN(Narxlar!C412/Narxlar!C411)</f>
        <v>0.00804087103662852</v>
      </c>
      <c r="J411" s="20" t="n">
        <f aca="false">LN(Narxlar!D412/Narxlar!D411)</f>
        <v>-0.0202174646334591</v>
      </c>
      <c r="K411" s="20" t="n">
        <f aca="false">LN(Narxlar!E412/Narxlar!E411)</f>
        <v>0.00792043133281726</v>
      </c>
      <c r="L411" s="20" t="n">
        <f aca="false">LN(Narxlar!F412/Narxlar!F411)</f>
        <v>0.00794302876573019</v>
      </c>
    </row>
    <row r="412" customFormat="false" ht="15" hidden="false" customHeight="false" outlineLevel="0" collapsed="false">
      <c r="A412" s="19" t="n">
        <f aca="false">Narxlar!A413</f>
        <v>45868</v>
      </c>
      <c r="B412" s="20" t="n">
        <f aca="false">Narxlar!B413/Narxlar!B412-1</f>
        <v>0.000597913488103563</v>
      </c>
      <c r="C412" s="20" t="n">
        <f aca="false">Narxlar!C413/Narxlar!C412-1</f>
        <v>0.00575313807531375</v>
      </c>
      <c r="D412" s="20" t="n">
        <f aca="false">Narxlar!D413/Narxlar!D412-1</f>
        <v>-0.0161014045906133</v>
      </c>
      <c r="E412" s="20" t="n">
        <f aca="false">Narxlar!E413/Narxlar!E412-1</f>
        <v>-0.00192171538383734</v>
      </c>
      <c r="F412" s="20" t="n">
        <f aca="false">Narxlar!F413/Narxlar!F412-1</f>
        <v>-0.00837307430279322</v>
      </c>
      <c r="H412" s="20" t="n">
        <f aca="false">LN(Narxlar!B413/Narxlar!B412)</f>
        <v>0.000597734809053463</v>
      </c>
      <c r="I412" s="20" t="n">
        <f aca="false">LN(Narxlar!C413/Narxlar!C412)</f>
        <v>0.00573665197743308</v>
      </c>
      <c r="J412" s="20" t="n">
        <f aca="false">LN(Narxlar!D413/Narxlar!D412)</f>
        <v>-0.016232440686</v>
      </c>
      <c r="K412" s="20" t="n">
        <f aca="false">LN(Narxlar!E413/Narxlar!E412)</f>
        <v>-0.00192356424788562</v>
      </c>
      <c r="L412" s="20" t="n">
        <f aca="false">LN(Narxlar!F413/Narxlar!F412)</f>
        <v>-0.00840832540072439</v>
      </c>
    </row>
    <row r="413" customFormat="false" ht="15" hidden="false" customHeight="false" outlineLevel="0" collapsed="false">
      <c r="A413" s="19" t="n">
        <f aca="false">Narxlar!A414</f>
        <v>45869</v>
      </c>
      <c r="B413" s="20" t="n">
        <f aca="false">Narxlar!B414/Narxlar!B413-1</f>
        <v>0.00479418653369335</v>
      </c>
      <c r="C413" s="20" t="n">
        <f aca="false">Narxlar!C414/Narxlar!C413-1</f>
        <v>-0.000130005200208005</v>
      </c>
      <c r="D413" s="20" t="n">
        <f aca="false">Narxlar!D414/Narxlar!D413-1</f>
        <v>-0.00549067923719737</v>
      </c>
      <c r="E413" s="20" t="n">
        <f aca="false">Narxlar!E414/Narxlar!E413-1</f>
        <v>0.00324280502634777</v>
      </c>
      <c r="F413" s="20" t="n">
        <f aca="false">Narxlar!F414/Narxlar!F413-1</f>
        <v>0.00749080271264568</v>
      </c>
      <c r="H413" s="20" t="n">
        <f aca="false">LN(Narxlar!B414/Narxlar!B413)</f>
        <v>0.00478273102008919</v>
      </c>
      <c r="I413" s="20" t="n">
        <f aca="false">LN(Narxlar!C414/Narxlar!C413)</f>
        <v>-0.000130013651616539</v>
      </c>
      <c r="J413" s="20" t="n">
        <f aca="false">LN(Narxlar!D414/Narxlar!D413)</f>
        <v>-0.00550580842151955</v>
      </c>
      <c r="K413" s="20" t="n">
        <f aca="false">LN(Narxlar!E414/Narxlar!E413)</f>
        <v>0.00323755847343396</v>
      </c>
      <c r="L413" s="20" t="n">
        <f aca="false">LN(Narxlar!F414/Narxlar!F413)</f>
        <v>0.0074628859758377</v>
      </c>
    </row>
    <row r="414" customFormat="false" ht="15" hidden="false" customHeight="false" outlineLevel="0" collapsed="false">
      <c r="A414" s="19" t="n">
        <f aca="false">Narxlar!A415</f>
        <v>45870</v>
      </c>
      <c r="B414" s="20" t="n">
        <f aca="false">Narxlar!B415/Narxlar!B414-1</f>
        <v>0.00979554449692732</v>
      </c>
      <c r="C414" s="20" t="n">
        <f aca="false">Narxlar!C415/Narxlar!C414-1</f>
        <v>0.00126771551163696</v>
      </c>
      <c r="D414" s="20" t="n">
        <f aca="false">Narxlar!D415/Narxlar!D414-1</f>
        <v>0.0151086693059708</v>
      </c>
      <c r="E414" s="20" t="n">
        <f aca="false">Narxlar!E415/Narxlar!E414-1</f>
        <v>0.0289898989898989</v>
      </c>
      <c r="F414" s="20" t="n">
        <f aca="false">Narxlar!F415/Narxlar!F414-1</f>
        <v>0.0129564452265729</v>
      </c>
      <c r="H414" s="20" t="n">
        <f aca="false">LN(Narxlar!B415/Narxlar!B414)</f>
        <v>0.00974787917004792</v>
      </c>
      <c r="I414" s="20" t="n">
        <f aca="false">LN(Narxlar!C415/Narxlar!C414)</f>
        <v>0.001266912638799</v>
      </c>
      <c r="J414" s="20" t="n">
        <f aca="false">LN(Narxlar!D415/Narxlar!D414)</f>
        <v>0.0149956701185149</v>
      </c>
      <c r="K414" s="20" t="n">
        <f aca="false">LN(Narxlar!E415/Narxlar!E414)</f>
        <v>0.028577640467385</v>
      </c>
      <c r="L414" s="20" t="n">
        <f aca="false">LN(Narxlar!F415/Narxlar!F414)</f>
        <v>0.0128732285145318</v>
      </c>
    </row>
    <row r="415" customFormat="false" ht="15" hidden="false" customHeight="false" outlineLevel="0" collapsed="false">
      <c r="A415" s="19" t="n">
        <f aca="false">Narxlar!A416</f>
        <v>45873</v>
      </c>
      <c r="B415" s="20" t="n">
        <f aca="false">Narxlar!B416/Narxlar!B415-1</f>
        <v>0.0137079959925266</v>
      </c>
      <c r="C415" s="20" t="n">
        <f aca="false">Narxlar!C416/Narxlar!C415-1</f>
        <v>0.0294127195403044</v>
      </c>
      <c r="D415" s="20" t="n">
        <f aca="false">Narxlar!D416/Narxlar!D415-1</f>
        <v>0.0137695001591849</v>
      </c>
      <c r="E415" s="20" t="n">
        <f aca="false">Narxlar!E416/Narxlar!E415-1</f>
        <v>0.00755865318543236</v>
      </c>
      <c r="F415" s="20" t="n">
        <f aca="false">Narxlar!F416/Narxlar!F415-1</f>
        <v>-0.00204130382853052</v>
      </c>
      <c r="H415" s="20" t="n">
        <f aca="false">LN(Narxlar!B416/Narxlar!B415)</f>
        <v>0.0136148913030215</v>
      </c>
      <c r="I415" s="20" t="n">
        <f aca="false">LN(Narxlar!C416/Narxlar!C415)</f>
        <v>0.0289884644262607</v>
      </c>
      <c r="J415" s="20" t="n">
        <f aca="false">LN(Narxlar!D416/Narxlar!D415)</f>
        <v>0.0136755619312222</v>
      </c>
      <c r="K415" s="20" t="n">
        <f aca="false">LN(Narxlar!E416/Narxlar!E415)</f>
        <v>0.00753022970540595</v>
      </c>
      <c r="L415" s="20" t="n">
        <f aca="false">LN(Narxlar!F416/Narxlar!F415)</f>
        <v>-0.00204339012885609</v>
      </c>
    </row>
    <row r="416" customFormat="false" ht="15" hidden="false" customHeight="false" outlineLevel="0" collapsed="false">
      <c r="A416" s="19" t="n">
        <f aca="false">Narxlar!A417</f>
        <v>45874</v>
      </c>
      <c r="B416" s="20" t="n">
        <f aca="false">Narxlar!B417/Narxlar!B416-1</f>
        <v>-0.00519536023612843</v>
      </c>
      <c r="C416" s="20" t="n">
        <f aca="false">Narxlar!C417/Narxlar!C416-1</f>
        <v>-0.00498281245072374</v>
      </c>
      <c r="D416" s="20" t="n">
        <f aca="false">Narxlar!D417/Narxlar!D416-1</f>
        <v>-0.00274789981942369</v>
      </c>
      <c r="E416" s="20" t="n">
        <f aca="false">Narxlar!E417/Narxlar!E416-1</f>
        <v>-0.0111067809820733</v>
      </c>
      <c r="F416" s="20" t="n">
        <f aca="false">Narxlar!F417/Narxlar!F416-1</f>
        <v>-0.00879120879120876</v>
      </c>
      <c r="H416" s="20" t="n">
        <f aca="false">LN(Narxlar!B417/Narxlar!B416)</f>
        <v>-0.00520890304700523</v>
      </c>
      <c r="I416" s="20" t="n">
        <f aca="false">LN(Narxlar!C417/Narxlar!C416)</f>
        <v>-0.00499526805386609</v>
      </c>
      <c r="J416" s="20" t="n">
        <f aca="false">LN(Narxlar!D417/Narxlar!D416)</f>
        <v>-0.0027516822268393</v>
      </c>
      <c r="K416" s="20" t="n">
        <f aca="false">LN(Narxlar!E417/Narxlar!E416)</f>
        <v>-0.011168921825539</v>
      </c>
      <c r="L416" s="20" t="n">
        <f aca="false">LN(Narxlar!F417/Narxlar!F416)</f>
        <v>-0.00883007944827204</v>
      </c>
    </row>
    <row r="417" customFormat="false" ht="15" hidden="false" customHeight="false" outlineLevel="0" collapsed="false">
      <c r="A417" s="19" t="n">
        <f aca="false">Narxlar!A418</f>
        <v>45875</v>
      </c>
      <c r="B417" s="20" t="n">
        <f aca="false">Narxlar!B418/Narxlar!B417-1</f>
        <v>0.0127407347738822</v>
      </c>
      <c r="C417" s="20" t="n">
        <f aca="false">Narxlar!C418/Narxlar!C417-1</f>
        <v>0.0124877182973597</v>
      </c>
      <c r="D417" s="20" t="n">
        <f aca="false">Narxlar!D418/Narxlar!D417-1</f>
        <v>0.015299427911615</v>
      </c>
      <c r="E417" s="20" t="n">
        <f aca="false">Narxlar!E418/Narxlar!E417-1</f>
        <v>-0.0022660098522167</v>
      </c>
      <c r="F417" s="20" t="n">
        <f aca="false">Narxlar!F418/Narxlar!F417-1</f>
        <v>0.000175627318829363</v>
      </c>
      <c r="H417" s="20" t="n">
        <f aca="false">LN(Narxlar!B418/Narxlar!B417)</f>
        <v>0.0126602544771132</v>
      </c>
      <c r="I417" s="20" t="n">
        <f aca="false">LN(Narxlar!C418/Narxlar!C417)</f>
        <v>0.0124103898483054</v>
      </c>
      <c r="J417" s="20" t="n">
        <f aca="false">LN(Narxlar!D418/Narxlar!D417)</f>
        <v>0.0151835718575464</v>
      </c>
      <c r="K417" s="20" t="n">
        <f aca="false">LN(Narxlar!E418/Narxlar!E417)</f>
        <v>-0.00226858113764834</v>
      </c>
      <c r="L417" s="20" t="n">
        <f aca="false">LN(Narxlar!F418/Narxlar!F417)</f>
        <v>0.000175611898157305</v>
      </c>
    </row>
    <row r="418" customFormat="false" ht="15" hidden="false" customHeight="false" outlineLevel="0" collapsed="false">
      <c r="A418" s="19" t="n">
        <f aca="false">Narxlar!A419</f>
        <v>45876</v>
      </c>
      <c r="B418" s="20" t="n">
        <f aca="false">Narxlar!B419/Narxlar!B418-1</f>
        <v>0.00561414207027289</v>
      </c>
      <c r="C418" s="20" t="n">
        <f aca="false">Narxlar!C419/Narxlar!C418-1</f>
        <v>0.00622945687901089</v>
      </c>
      <c r="D418" s="20" t="n">
        <f aca="false">Narxlar!D419/Narxlar!D418-1</f>
        <v>0.0223060818320453</v>
      </c>
      <c r="E418" s="20" t="n">
        <f aca="false">Narxlar!E419/Narxlar!E418-1</f>
        <v>0.00789967413844184</v>
      </c>
      <c r="F418" s="20" t="n">
        <f aca="false">Narxlar!F419/Narxlar!F418-1</f>
        <v>-0.00193156127219651</v>
      </c>
      <c r="H418" s="20" t="n">
        <f aca="false">LN(Narxlar!B419/Narxlar!B418)</f>
        <v>0.00559844151071806</v>
      </c>
      <c r="I418" s="20" t="n">
        <f aca="false">LN(Narxlar!C419/Narxlar!C418)</f>
        <v>0.00621013401827209</v>
      </c>
      <c r="J418" s="20" t="n">
        <f aca="false">LN(Narxlar!D419/Narxlar!D418)</f>
        <v>0.0220609399287864</v>
      </c>
      <c r="K418" s="20" t="n">
        <f aca="false">LN(Narxlar!E419/Narxlar!E418)</f>
        <v>0.00786863507121345</v>
      </c>
      <c r="L418" s="20" t="n">
        <f aca="false">LN(Narxlar!F419/Narxlar!F418)</f>
        <v>-0.0019334291423286</v>
      </c>
    </row>
    <row r="419" customFormat="false" ht="15" hidden="false" customHeight="false" outlineLevel="0" collapsed="false">
      <c r="A419" s="19" t="n">
        <f aca="false">Narxlar!A420</f>
        <v>45877</v>
      </c>
      <c r="B419" s="20" t="n">
        <f aca="false">Narxlar!B420/Narxlar!B419-1</f>
        <v>0.00601782277413054</v>
      </c>
      <c r="C419" s="20" t="n">
        <f aca="false">Narxlar!C420/Narxlar!C419-1</f>
        <v>0.00995520159283236</v>
      </c>
      <c r="D419" s="20" t="n">
        <f aca="false">Narxlar!D420/Narxlar!D419-1</f>
        <v>0.00219963592233019</v>
      </c>
      <c r="E419" s="20" t="n">
        <f aca="false">Narxlar!E420/Narxlar!E419-1</f>
        <v>0.0083276183011658</v>
      </c>
      <c r="F419" s="20" t="n">
        <f aca="false">Narxlar!F420/Narxlar!F419-1</f>
        <v>0.0190451056717469</v>
      </c>
      <c r="H419" s="20" t="n">
        <f aca="false">LN(Narxlar!B420/Narxlar!B419)</f>
        <v>0.00599978799589144</v>
      </c>
      <c r="I419" s="20" t="n">
        <f aca="false">LN(Narxlar!C420/Narxlar!C419)</f>
        <v>0.00990597501088044</v>
      </c>
      <c r="J419" s="20" t="n">
        <f aca="false">LN(Narxlar!D420/Narxlar!D419)</f>
        <v>0.00219722026496403</v>
      </c>
      <c r="K419" s="20" t="n">
        <f aca="false">LN(Narxlar!E420/Narxlar!E419)</f>
        <v>0.00829313499813632</v>
      </c>
      <c r="L419" s="20" t="n">
        <f aca="false">LN(Narxlar!F420/Narxlar!F419)</f>
        <v>0.0188660179044573</v>
      </c>
    </row>
    <row r="420" customFormat="false" ht="15" hidden="false" customHeight="false" outlineLevel="0" collapsed="false">
      <c r="A420" s="19" t="n">
        <f aca="false">Narxlar!A421</f>
        <v>45880</v>
      </c>
      <c r="B420" s="20" t="n">
        <f aca="false">Narxlar!B421/Narxlar!B420-1</f>
        <v>-0.00323005457678427</v>
      </c>
      <c r="C420" s="20" t="n">
        <f aca="false">Narxlar!C421/Narxlar!C420-1</f>
        <v>-0.00274149827501236</v>
      </c>
      <c r="D420" s="20" t="n">
        <f aca="false">Narxlar!D421/Narxlar!D420-1</f>
        <v>-0.00340573677438882</v>
      </c>
      <c r="E420" s="20" t="n">
        <f aca="false">Narxlar!E421/Narxlar!E420-1</f>
        <v>-0.0104935872522347</v>
      </c>
      <c r="F420" s="20" t="n">
        <f aca="false">Narxlar!F421/Narxlar!F420-1</f>
        <v>0.0222284567408335</v>
      </c>
      <c r="H420" s="20" t="n">
        <f aca="false">LN(Narxlar!B421/Narxlar!B420)</f>
        <v>-0.00323528246367754</v>
      </c>
      <c r="I420" s="20" t="n">
        <f aca="false">LN(Narxlar!C421/Narxlar!C420)</f>
        <v>-0.00274526306375714</v>
      </c>
      <c r="J420" s="20" t="n">
        <f aca="false">LN(Narxlar!D421/Narxlar!D420)</f>
        <v>-0.00341154949736579</v>
      </c>
      <c r="K420" s="20" t="n">
        <f aca="false">LN(Narxlar!E421/Narxlar!E420)</f>
        <v>-0.0105490331643923</v>
      </c>
      <c r="L420" s="20" t="n">
        <f aca="false">LN(Narxlar!F421/Narxlar!F420)</f>
        <v>0.0219850056857745</v>
      </c>
    </row>
    <row r="421" customFormat="false" ht="15" hidden="false" customHeight="false" outlineLevel="0" collapsed="false">
      <c r="A421" s="19" t="n">
        <f aca="false">Narxlar!A422</f>
        <v>45881</v>
      </c>
      <c r="B421" s="20" t="n">
        <f aca="false">Narxlar!B422/Narxlar!B421-1</f>
        <v>0.0100896566230215</v>
      </c>
      <c r="C421" s="20" t="n">
        <f aca="false">Narxlar!C422/Narxlar!C421-1</f>
        <v>0.0138687258687258</v>
      </c>
      <c r="D421" s="20" t="n">
        <f aca="false">Narxlar!D422/Narxlar!D421-1</f>
        <v>0.0220484001620089</v>
      </c>
      <c r="E421" s="20" t="n">
        <f aca="false">Narxlar!E422/Narxlar!E421-1</f>
        <v>0.00972113118617446</v>
      </c>
      <c r="F421" s="20" t="n">
        <f aca="false">Narxlar!F422/Narxlar!F421-1</f>
        <v>0.00183672176831973</v>
      </c>
      <c r="H421" s="20" t="n">
        <f aca="false">LN(Narxlar!B422/Narxlar!B421)</f>
        <v>0.0100390958471241</v>
      </c>
      <c r="I421" s="20" t="n">
        <f aca="false">LN(Narxlar!C422/Narxlar!C421)</f>
        <v>0.0137734351201831</v>
      </c>
      <c r="J421" s="20" t="n">
        <f aca="false">LN(Narxlar!D422/Narxlar!D421)</f>
        <v>0.0218088489399969</v>
      </c>
      <c r="K421" s="20" t="n">
        <f aca="false">LN(Narxlar!E422/Narxlar!E421)</f>
        <v>0.00967418499194823</v>
      </c>
      <c r="L421" s="20" t="n">
        <f aca="false">LN(Narxlar!F422/Narxlar!F421)</f>
        <v>0.0018350370574739</v>
      </c>
    </row>
    <row r="422" customFormat="false" ht="15" hidden="false" customHeight="false" outlineLevel="0" collapsed="false">
      <c r="A422" s="19" t="n">
        <f aca="false">Narxlar!A423</f>
        <v>45882</v>
      </c>
      <c r="B422" s="20" t="n">
        <f aca="false">Narxlar!B423/Narxlar!B422-1</f>
        <v>0.0249624197148453</v>
      </c>
      <c r="C422" s="20" t="n">
        <f aca="false">Narxlar!C423/Narxlar!C422-1</f>
        <v>0.0327199610041433</v>
      </c>
      <c r="D422" s="20" t="n">
        <f aca="false">Narxlar!D423/Narxlar!D422-1</f>
        <v>0.00297213622291026</v>
      </c>
      <c r="E422" s="20" t="n">
        <f aca="false">Narxlar!E423/Narxlar!E422-1</f>
        <v>0.0110862588738696</v>
      </c>
      <c r="F422" s="20" t="n">
        <f aca="false">Narxlar!F423/Narxlar!F422-1</f>
        <v>0.0333796940194715</v>
      </c>
      <c r="H422" s="20" t="n">
        <f aca="false">LN(Narxlar!B423/Narxlar!B422)</f>
        <v>0.024655948225408</v>
      </c>
      <c r="I422" s="20" t="n">
        <f aca="false">LN(Narxlar!C423/Narxlar!C422)</f>
        <v>0.0321960604559777</v>
      </c>
      <c r="J422" s="20" t="n">
        <f aca="false">LN(Narxlar!D423/Narxlar!D422)</f>
        <v>0.00296772815813263</v>
      </c>
      <c r="K422" s="20" t="n">
        <f aca="false">LN(Narxlar!E423/Narxlar!E422)</f>
        <v>0.0110252567487797</v>
      </c>
      <c r="L422" s="20" t="n">
        <f aca="false">LN(Narxlar!F423/Narxlar!F422)</f>
        <v>0.0328346869967125</v>
      </c>
    </row>
    <row r="423" customFormat="false" ht="15" hidden="false" customHeight="false" outlineLevel="0" collapsed="false">
      <c r="A423" s="19" t="n">
        <f aca="false">Narxlar!A424</f>
        <v>45883</v>
      </c>
      <c r="B423" s="20" t="n">
        <f aca="false">Narxlar!B424/Narxlar!B423-1</f>
        <v>0.00723777355927036</v>
      </c>
      <c r="C423" s="20" t="n">
        <f aca="false">Narxlar!C424/Narxlar!C423-1</f>
        <v>0.00560505044545412</v>
      </c>
      <c r="D423" s="20" t="n">
        <f aca="false">Narxlar!D424/Narxlar!D423-1</f>
        <v>-0.0111865662427461</v>
      </c>
      <c r="E423" s="20" t="n">
        <f aca="false">Narxlar!E424/Narxlar!E423-1</f>
        <v>0.00211599499855719</v>
      </c>
      <c r="F423" s="20" t="n">
        <f aca="false">Narxlar!F424/Narxlar!F423-1</f>
        <v>-0.00487377136098532</v>
      </c>
      <c r="H423" s="20" t="n">
        <f aca="false">LN(Narxlar!B424/Narxlar!B423)</f>
        <v>0.00721170657858722</v>
      </c>
      <c r="I423" s="20" t="n">
        <f aca="false">LN(Narxlar!C424/Narxlar!C423)</f>
        <v>0.00558940060174835</v>
      </c>
      <c r="J423" s="20" t="n">
        <f aca="false">LN(Narxlar!D424/Narxlar!D423)</f>
        <v>-0.0112496064514456</v>
      </c>
      <c r="K423" s="20" t="n">
        <f aca="false">LN(Narxlar!E424/Narxlar!E423)</f>
        <v>0.00211375943421342</v>
      </c>
      <c r="L423" s="20" t="n">
        <f aca="false">LN(Narxlar!F424/Narxlar!F423)</f>
        <v>-0.00488568691618469</v>
      </c>
    </row>
    <row r="424" customFormat="false" ht="15" hidden="false" customHeight="false" outlineLevel="0" collapsed="false">
      <c r="A424" s="19" t="n">
        <f aca="false">Narxlar!A425</f>
        <v>45884</v>
      </c>
      <c r="B424" s="20" t="n">
        <f aca="false">Narxlar!B425/Narxlar!B424-1</f>
        <v>-0.00878050010400455</v>
      </c>
      <c r="C424" s="20" t="n">
        <f aca="false">Narxlar!C425/Narxlar!C424-1</f>
        <v>-0.00968082609716026</v>
      </c>
      <c r="D424" s="20" t="n">
        <f aca="false">Narxlar!D425/Narxlar!D424-1</f>
        <v>-0.00312172219169871</v>
      </c>
      <c r="E424" s="20" t="n">
        <f aca="false">Narxlar!E425/Narxlar!E424-1</f>
        <v>-0.0167002591419522</v>
      </c>
      <c r="F424" s="20" t="n">
        <f aca="false">Narxlar!F425/Narxlar!F424-1</f>
        <v>-0.00403696797065511</v>
      </c>
      <c r="H424" s="20" t="n">
        <f aca="false">LN(Narxlar!B425/Narxlar!B424)</f>
        <v>-0.00881927584215689</v>
      </c>
      <c r="I424" s="20" t="n">
        <f aca="false">LN(Narxlar!C425/Narxlar!C424)</f>
        <v>-0.00972798993087483</v>
      </c>
      <c r="J424" s="20" t="n">
        <f aca="false">LN(Narxlar!D425/Narxlar!D424)</f>
        <v>-0.00312660493077097</v>
      </c>
      <c r="K424" s="20" t="n">
        <f aca="false">LN(Narxlar!E425/Narxlar!E424)</f>
        <v>-0.0168412807391835</v>
      </c>
      <c r="L424" s="20" t="n">
        <f aca="false">LN(Narxlar!F425/Narxlar!F424)</f>
        <v>-0.00404513852277151</v>
      </c>
    </row>
    <row r="425" customFormat="false" ht="15" hidden="false" customHeight="false" outlineLevel="0" collapsed="false">
      <c r="A425" s="19" t="n">
        <f aca="false">Narxlar!A426</f>
        <v>45887</v>
      </c>
      <c r="B425" s="20" t="n">
        <f aca="false">Narxlar!B426/Narxlar!B425-1</f>
        <v>-0.00127182774365042</v>
      </c>
      <c r="C425" s="20" t="n">
        <f aca="false">Narxlar!C426/Narxlar!C425-1</f>
        <v>0.0162035665620002</v>
      </c>
      <c r="D425" s="20" t="n">
        <f aca="false">Narxlar!D426/Narxlar!D425-1</f>
        <v>-0.00698950321917979</v>
      </c>
      <c r="E425" s="20" t="n">
        <f aca="false">Narxlar!E426/Narxlar!E425-1</f>
        <v>0.0177647632991704</v>
      </c>
      <c r="F425" s="20" t="n">
        <f aca="false">Narxlar!F426/Narxlar!F425-1</f>
        <v>-0.0233529484383359</v>
      </c>
      <c r="H425" s="20" t="n">
        <f aca="false">LN(Narxlar!B426/Narxlar!B425)</f>
        <v>-0.00127263720295651</v>
      </c>
      <c r="I425" s="20" t="n">
        <f aca="false">LN(Narxlar!C426/Narxlar!C425)</f>
        <v>0.0160736898761182</v>
      </c>
      <c r="J425" s="20" t="n">
        <f aca="false">LN(Narxlar!D426/Narxlar!D425)</f>
        <v>-0.00701404421658074</v>
      </c>
      <c r="K425" s="20" t="n">
        <f aca="false">LN(Narxlar!E426/Narxlar!E425)</f>
        <v>0.0176088141165931</v>
      </c>
      <c r="L425" s="20" t="n">
        <f aca="false">LN(Narxlar!F426/Narxlar!F425)</f>
        <v>-0.0236299495660731</v>
      </c>
    </row>
    <row r="426" customFormat="false" ht="15" hidden="false" customHeight="false" outlineLevel="0" collapsed="false">
      <c r="A426" s="19" t="n">
        <f aca="false">Narxlar!A427</f>
        <v>45888</v>
      </c>
      <c r="B426" s="20" t="n">
        <f aca="false">Narxlar!B427/Narxlar!B426-1</f>
        <v>-0.0105632457626039</v>
      </c>
      <c r="C426" s="20" t="n">
        <f aca="false">Narxlar!C427/Narxlar!C426-1</f>
        <v>-0.0134091240343973</v>
      </c>
      <c r="D426" s="20" t="n">
        <f aca="false">Narxlar!D427/Narxlar!D426-1</f>
        <v>-0.0188203239315808</v>
      </c>
      <c r="E426" s="20" t="n">
        <f aca="false">Narxlar!E427/Narxlar!E426-1</f>
        <v>-0.0179342092644097</v>
      </c>
      <c r="F426" s="20" t="n">
        <f aca="false">Narxlar!F427/Narxlar!F426-1</f>
        <v>-0.0118187372279689</v>
      </c>
      <c r="H426" s="20" t="n">
        <f aca="false">LN(Narxlar!B427/Narxlar!B426)</f>
        <v>-0.0106194328722365</v>
      </c>
      <c r="I426" s="20" t="n">
        <f aca="false">LN(Narxlar!C427/Narxlar!C426)</f>
        <v>-0.0134998381822832</v>
      </c>
      <c r="J426" s="20" t="n">
        <f aca="false">LN(Narxlar!D427/Narxlar!D426)</f>
        <v>-0.0189996801547454</v>
      </c>
      <c r="K426" s="20" t="n">
        <f aca="false">LN(Narxlar!E427/Narxlar!E426)</f>
        <v>-0.0180969761960943</v>
      </c>
      <c r="L426" s="20" t="n">
        <f aca="false">LN(Narxlar!F427/Narxlar!F426)</f>
        <v>-0.0118891337176328</v>
      </c>
    </row>
    <row r="427" customFormat="false" ht="15" hidden="false" customHeight="false" outlineLevel="0" collapsed="false">
      <c r="A427" s="19" t="n">
        <f aca="false">Narxlar!A428</f>
        <v>45889</v>
      </c>
      <c r="B427" s="20" t="n">
        <f aca="false">Narxlar!B428/Narxlar!B427-1</f>
        <v>-0.00211075002413208</v>
      </c>
      <c r="C427" s="20" t="n">
        <f aca="false">Narxlar!C428/Narxlar!C427-1</f>
        <v>-0.00531836312601564</v>
      </c>
      <c r="D427" s="20" t="n">
        <f aca="false">Narxlar!D428/Narxlar!D427-1</f>
        <v>-0.0114933662449861</v>
      </c>
      <c r="E427" s="20" t="n">
        <f aca="false">Narxlar!E428/Narxlar!E427-1</f>
        <v>-0.00556640625000004</v>
      </c>
      <c r="F427" s="20" t="n">
        <f aca="false">Narxlar!F428/Narxlar!F427-1</f>
        <v>-0.0130900098068477</v>
      </c>
      <c r="H427" s="20" t="n">
        <f aca="false">LN(Narxlar!B428/Narxlar!B427)</f>
        <v>-0.00211298079658571</v>
      </c>
      <c r="I427" s="20" t="n">
        <f aca="false">LN(Narxlar!C428/Narxlar!C427)</f>
        <v>-0.00533255596332672</v>
      </c>
      <c r="J427" s="20" t="n">
        <f aca="false">LN(Narxlar!D428/Narxlar!D427)</f>
        <v>-0.0115599254632665</v>
      </c>
      <c r="K427" s="20" t="n">
        <f aca="false">LN(Narxlar!E428/Narxlar!E427)</f>
        <v>-0.00558195642183339</v>
      </c>
      <c r="L427" s="20" t="n">
        <f aca="false">LN(Narxlar!F428/Narxlar!F427)</f>
        <v>-0.0131764390535542</v>
      </c>
    </row>
    <row r="428" customFormat="false" ht="15" hidden="false" customHeight="false" outlineLevel="0" collapsed="false">
      <c r="A428" s="19" t="n">
        <f aca="false">Narxlar!A429</f>
        <v>45890</v>
      </c>
      <c r="B428" s="20" t="n">
        <f aca="false">Narxlar!B429/Narxlar!B428-1</f>
        <v>-0.00274719959759329</v>
      </c>
      <c r="C428" s="20" t="n">
        <f aca="false">Narxlar!C429/Narxlar!C428-1</f>
        <v>-0.0013664042774395</v>
      </c>
      <c r="D428" s="20" t="n">
        <f aca="false">Narxlar!D429/Narxlar!D428-1</f>
        <v>-0.00764728833398365</v>
      </c>
      <c r="E428" s="20" t="n">
        <f aca="false">Narxlar!E429/Narxlar!E428-1</f>
        <v>-0.0108023175881371</v>
      </c>
      <c r="F428" s="20" t="n">
        <f aca="false">Narxlar!F429/Narxlar!F428-1</f>
        <v>0.0074742936144474</v>
      </c>
      <c r="H428" s="20" t="n">
        <f aca="false">LN(Narxlar!B429/Narxlar!B428)</f>
        <v>-0.00275098007581405</v>
      </c>
      <c r="I428" s="20" t="n">
        <f aca="false">LN(Narxlar!C429/Narxlar!C428)</f>
        <v>-0.00136733865902319</v>
      </c>
      <c r="J428" s="20" t="n">
        <f aca="false">LN(Narxlar!D429/Narxlar!D428)</f>
        <v>-0.0076766787774247</v>
      </c>
      <c r="K428" s="20" t="n">
        <f aca="false">LN(Narxlar!E429/Narxlar!E428)</f>
        <v>-0.0108610862289843</v>
      </c>
      <c r="L428" s="20" t="n">
        <f aca="false">LN(Narxlar!F429/Narxlar!F428)</f>
        <v>0.00744649949030627</v>
      </c>
    </row>
    <row r="429" customFormat="false" ht="15" hidden="false" customHeight="false" outlineLevel="0" collapsed="false">
      <c r="A429" s="19" t="n">
        <f aca="false">Narxlar!A430</f>
        <v>45891</v>
      </c>
      <c r="B429" s="20" t="n">
        <f aca="false">Narxlar!B430/Narxlar!B429-1</f>
        <v>0.00775344184271964</v>
      </c>
      <c r="C429" s="20" t="n">
        <f aca="false">Narxlar!C430/Narxlar!C429-1</f>
        <v>0.00371813557809575</v>
      </c>
      <c r="D429" s="20" t="n">
        <f aca="false">Narxlar!D430/Narxlar!D429-1</f>
        <v>0.00592382899530808</v>
      </c>
      <c r="E429" s="20" t="n">
        <f aca="false">Narxlar!E430/Narxlar!E429-1</f>
        <v>0.00218405638836483</v>
      </c>
      <c r="F429" s="20" t="n">
        <f aca="false">Narxlar!F430/Narxlar!F429-1</f>
        <v>0.021227325357005</v>
      </c>
      <c r="H429" s="20" t="n">
        <f aca="false">LN(Narxlar!B430/Narxlar!B429)</f>
        <v>0.00772353838288018</v>
      </c>
      <c r="I429" s="20" t="n">
        <f aca="false">LN(Narxlar!C430/Narxlar!C429)</f>
        <v>0.00371124039819777</v>
      </c>
      <c r="J429" s="20" t="n">
        <f aca="false">LN(Narxlar!D430/Narxlar!D429)</f>
        <v>0.00590635210642796</v>
      </c>
      <c r="K429" s="20" t="n">
        <f aca="false">LN(Narxlar!E430/Narxlar!E429)</f>
        <v>0.00218167480425664</v>
      </c>
      <c r="L429" s="20" t="n">
        <f aca="false">LN(Narxlar!F430/Narxlar!F429)</f>
        <v>0.021005164112791</v>
      </c>
    </row>
    <row r="430" customFormat="false" ht="15" hidden="false" customHeight="false" outlineLevel="0" collapsed="false">
      <c r="A430" s="19" t="n">
        <f aca="false">Narxlar!A431</f>
        <v>45894</v>
      </c>
      <c r="B430" s="20" t="n">
        <f aca="false">Narxlar!B431/Narxlar!B430-1</f>
        <v>-0.0165169404517453</v>
      </c>
      <c r="C430" s="20" t="n">
        <f aca="false">Narxlar!C431/Narxlar!C430-1</f>
        <v>-0.030049786628734</v>
      </c>
      <c r="D430" s="20" t="n">
        <f aca="false">Narxlar!D431/Narxlar!D430-1</f>
        <v>-0.0100320504468823</v>
      </c>
      <c r="E430" s="20" t="n">
        <f aca="false">Narxlar!E431/Narxlar!E430-1</f>
        <v>-0.0109955423476968</v>
      </c>
      <c r="F430" s="20" t="n">
        <f aca="false">Narxlar!F431/Narxlar!F430-1</f>
        <v>-0.0174897119341564</v>
      </c>
      <c r="H430" s="20" t="n">
        <f aca="false">LN(Narxlar!B431/Narxlar!B430)</f>
        <v>-0.0166548659599819</v>
      </c>
      <c r="I430" s="20" t="n">
        <f aca="false">LN(Narxlar!C431/Narxlar!C430)</f>
        <v>-0.0305105352233297</v>
      </c>
      <c r="J430" s="20" t="n">
        <f aca="false">LN(Narxlar!D431/Narxlar!D430)</f>
        <v>-0.0100827105663268</v>
      </c>
      <c r="K430" s="20" t="n">
        <f aca="false">LN(Narxlar!E431/Narxlar!E430)</f>
        <v>-0.0110564401377289</v>
      </c>
      <c r="L430" s="20" t="n">
        <f aca="false">LN(Narxlar!F431/Narxlar!F430)</f>
        <v>-0.0176444639797088</v>
      </c>
    </row>
    <row r="431" customFormat="false" ht="15" hidden="false" customHeight="false" outlineLevel="0" collapsed="false">
      <c r="A431" s="19" t="n">
        <f aca="false">Narxlar!A432</f>
        <v>45895</v>
      </c>
      <c r="B431" s="20" t="n">
        <f aca="false">Narxlar!B432/Narxlar!B431-1</f>
        <v>-0.0116268448318611</v>
      </c>
      <c r="C431" s="20" t="n">
        <f aca="false">Narxlar!C432/Narxlar!C431-1</f>
        <v>-0.0216315307057745</v>
      </c>
      <c r="D431" s="20" t="n">
        <f aca="false">Narxlar!D432/Narxlar!D431-1</f>
        <v>-0.0147399452516319</v>
      </c>
      <c r="E431" s="20" t="n">
        <f aca="false">Narxlar!E432/Narxlar!E431-1</f>
        <v>0.00991586538461542</v>
      </c>
      <c r="F431" s="20" t="n">
        <f aca="false">Narxlar!F432/Narxlar!F431-1</f>
        <v>0.00867614061331334</v>
      </c>
      <c r="H431" s="20" t="n">
        <f aca="false">LN(Narxlar!B432/Narxlar!B431)</f>
        <v>-0.0116949651230634</v>
      </c>
      <c r="I431" s="20" t="n">
        <f aca="false">LN(Narxlar!C432/Narxlar!C431)</f>
        <v>-0.0218689219332263</v>
      </c>
      <c r="J431" s="20" t="n">
        <f aca="false">LN(Narxlar!D432/Narxlar!D431)</f>
        <v>-0.0148496576829055</v>
      </c>
      <c r="K431" s="20" t="n">
        <f aca="false">LN(Narxlar!E432/Narxlar!E431)</f>
        <v>0.00986702578400648</v>
      </c>
      <c r="L431" s="20" t="n">
        <f aca="false">LN(Narxlar!F432/Narxlar!F431)</f>
        <v>0.00863871919853835</v>
      </c>
    </row>
    <row r="432" customFormat="false" ht="15" hidden="false" customHeight="false" outlineLevel="0" collapsed="false">
      <c r="A432" s="19" t="n">
        <f aca="false">Narxlar!A433</f>
        <v>45896</v>
      </c>
      <c r="B432" s="20" t="n">
        <f aca="false">Narxlar!B433/Narxlar!B432-1</f>
        <v>0.0154537772966123</v>
      </c>
      <c r="C432" s="20" t="n">
        <f aca="false">Narxlar!C433/Narxlar!C432-1</f>
        <v>0.0185185185185186</v>
      </c>
      <c r="D432" s="20" t="n">
        <f aca="false">Narxlar!D433/Narxlar!D432-1</f>
        <v>0.010846334686899</v>
      </c>
      <c r="E432" s="20" t="n">
        <f aca="false">Narxlar!E433/Narxlar!E432-1</f>
        <v>0.00783496975106623</v>
      </c>
      <c r="F432" s="20" t="n">
        <f aca="false">Narxlar!F433/Narxlar!F432-1</f>
        <v>0.0212495497976737</v>
      </c>
      <c r="H432" s="20" t="n">
        <f aca="false">LN(Narxlar!B433/Narxlar!B432)</f>
        <v>0.0153355838153744</v>
      </c>
      <c r="I432" s="20" t="n">
        <f aca="false">LN(Narxlar!C433/Narxlar!C432)</f>
        <v>0.0183491386681966</v>
      </c>
      <c r="J432" s="20" t="n">
        <f aca="false">LN(Narxlar!D433/Narxlar!D432)</f>
        <v>0.0107879351003125</v>
      </c>
      <c r="K432" s="20" t="n">
        <f aca="false">LN(Narxlar!E433/Narxlar!E432)</f>
        <v>0.00780443576046193</v>
      </c>
      <c r="L432" s="20" t="n">
        <f aca="false">LN(Narxlar!F433/Narxlar!F432)</f>
        <v>0.0210269263573872</v>
      </c>
    </row>
    <row r="433" customFormat="false" ht="15" hidden="false" customHeight="false" outlineLevel="0" collapsed="false">
      <c r="A433" s="19" t="n">
        <f aca="false">Narxlar!A434</f>
        <v>45897</v>
      </c>
      <c r="B433" s="20" t="n">
        <f aca="false">Narxlar!B434/Narxlar!B433-1</f>
        <v>-0.00520071509832598</v>
      </c>
      <c r="C433" s="20" t="n">
        <f aca="false">Narxlar!C434/Narxlar!C433-1</f>
        <v>-0.00466043231641877</v>
      </c>
      <c r="D433" s="20" t="n">
        <f aca="false">Narxlar!D434/Narxlar!D433-1</f>
        <v>-0.0072413975368677</v>
      </c>
      <c r="E433" s="20" t="n">
        <f aca="false">Narxlar!E434/Narxlar!E433-1</f>
        <v>-0.00413304467624487</v>
      </c>
      <c r="F433" s="20" t="n">
        <f aca="false">Narxlar!F434/Narxlar!F433-1</f>
        <v>0.00570492075346452</v>
      </c>
      <c r="H433" s="20" t="n">
        <f aca="false">LN(Narxlar!B434/Narxlar!B433)</f>
        <v>-0.00521428588942042</v>
      </c>
      <c r="I433" s="20" t="n">
        <f aca="false">LN(Narxlar!C434/Narxlar!C433)</f>
        <v>-0.00467132599043794</v>
      </c>
      <c r="J433" s="20" t="n">
        <f aca="false">LN(Narxlar!D434/Narxlar!D433)</f>
        <v>-0.00726774372186046</v>
      </c>
      <c r="K433" s="20" t="n">
        <f aca="false">LN(Narxlar!E434/Narxlar!E433)</f>
        <v>-0.0041416093122207</v>
      </c>
      <c r="L433" s="20" t="n">
        <f aca="false">LN(Narxlar!F434/Narxlar!F433)</f>
        <v>0.00568870932046657</v>
      </c>
    </row>
    <row r="434" customFormat="false" ht="15" hidden="false" customHeight="false" outlineLevel="0" collapsed="false">
      <c r="A434" s="19" t="n">
        <f aca="false">Narxlar!A435</f>
        <v>45898</v>
      </c>
      <c r="B434" s="20" t="n">
        <f aca="false">Narxlar!B435/Narxlar!B434-1</f>
        <v>-0.00915536677013562</v>
      </c>
      <c r="C434" s="20" t="n">
        <f aca="false">Narxlar!C435/Narxlar!C434-1</f>
        <v>0.00486707944429043</v>
      </c>
      <c r="D434" s="20" t="n">
        <f aca="false">Narxlar!D435/Narxlar!D434-1</f>
        <v>-0.00489830688957516</v>
      </c>
      <c r="E434" s="20" t="n">
        <f aca="false">Narxlar!E435/Narxlar!E434-1</f>
        <v>-0.0118577075098815</v>
      </c>
      <c r="F434" s="20" t="n">
        <f aca="false">Narxlar!F435/Narxlar!F434-1</f>
        <v>0.0103137440953816</v>
      </c>
      <c r="H434" s="20" t="n">
        <f aca="false">LN(Narxlar!B435/Narxlar!B434)</f>
        <v>-0.00919753471313452</v>
      </c>
      <c r="I434" s="20" t="n">
        <f aca="false">LN(Narxlar!C435/Narxlar!C434)</f>
        <v>0.00485527350459946</v>
      </c>
      <c r="J434" s="20" t="n">
        <f aca="false">LN(Narxlar!D435/Narxlar!D434)</f>
        <v>-0.0049103429149504</v>
      </c>
      <c r="K434" s="20" t="n">
        <f aca="false">LN(Narxlar!E435/Narxlar!E434)</f>
        <v>-0.0119285708652738</v>
      </c>
      <c r="L434" s="20" t="n">
        <f aca="false">LN(Narxlar!F435/Narxlar!F434)</f>
        <v>0.0102609203334611</v>
      </c>
    </row>
    <row r="435" customFormat="false" ht="15" hidden="false" customHeight="false" outlineLevel="0" collapsed="false">
      <c r="A435" s="19" t="n">
        <f aca="false">Narxlar!A436</f>
        <v>45901</v>
      </c>
      <c r="B435" s="20" t="n">
        <f aca="false">Narxlar!B436/Narxlar!B435-1</f>
        <v>0.00307998733709702</v>
      </c>
      <c r="C435" s="20" t="n">
        <f aca="false">Narxlar!C436/Narxlar!C435-1</f>
        <v>-0.00720394837681249</v>
      </c>
      <c r="D435" s="20" t="n">
        <f aca="false">Narxlar!D436/Narxlar!D435-1</f>
        <v>0.00494917067950773</v>
      </c>
      <c r="E435" s="20" t="n">
        <f aca="false">Narxlar!E436/Narxlar!E435-1</f>
        <v>0.00819999999999999</v>
      </c>
      <c r="F435" s="20" t="n">
        <f aca="false">Narxlar!F436/Narxlar!F435-1</f>
        <v>-0.000224586047081421</v>
      </c>
      <c r="H435" s="20" t="n">
        <f aca="false">LN(Narxlar!B436/Narxlar!B435)</f>
        <v>0.00307525389290694</v>
      </c>
      <c r="I435" s="20" t="n">
        <f aca="false">LN(Narxlar!C436/Narxlar!C435)</f>
        <v>-0.00723002211094173</v>
      </c>
      <c r="J435" s="20" t="n">
        <f aca="false">LN(Narxlar!D436/Narxlar!D435)</f>
        <v>0.00493696379370713</v>
      </c>
      <c r="K435" s="20" t="n">
        <f aca="false">LN(Narxlar!E436/Narxlar!E435)</f>
        <v>0.0081665626663934</v>
      </c>
      <c r="L435" s="20" t="n">
        <f aca="false">LN(Narxlar!F436/Narxlar!F435)</f>
        <v>-0.000224611270304286</v>
      </c>
    </row>
    <row r="436" customFormat="false" ht="15" hidden="false" customHeight="false" outlineLevel="0" collapsed="false">
      <c r="A436" s="19" t="n">
        <f aca="false">Narxlar!A437</f>
        <v>45902</v>
      </c>
      <c r="B436" s="20" t="n">
        <f aca="false">Narxlar!B437/Narxlar!B436-1</f>
        <v>0.00795576332590353</v>
      </c>
      <c r="C436" s="20" t="n">
        <f aca="false">Narxlar!C437/Narxlar!C436-1</f>
        <v>0.0091706292842586</v>
      </c>
      <c r="D436" s="20" t="n">
        <f aca="false">Narxlar!D437/Narxlar!D436-1</f>
        <v>0.00955676826833485</v>
      </c>
      <c r="E436" s="20" t="n">
        <f aca="false">Narxlar!E437/Narxlar!E436-1</f>
        <v>0.00436421344971238</v>
      </c>
      <c r="F436" s="20" t="n">
        <f aca="false">Narxlar!F437/Narxlar!F436-1</f>
        <v>0.009475575886293</v>
      </c>
      <c r="H436" s="20" t="n">
        <f aca="false">LN(Narxlar!B437/Narxlar!B436)</f>
        <v>0.0079242830967948</v>
      </c>
      <c r="I436" s="20" t="n">
        <f aca="false">LN(Narxlar!C437/Narxlar!C436)</f>
        <v>0.0091288343928342</v>
      </c>
      <c r="J436" s="20" t="n">
        <f aca="false">LN(Narxlar!D437/Narxlar!D436)</f>
        <v>0.00951139123458872</v>
      </c>
      <c r="K436" s="20" t="n">
        <f aca="false">LN(Narxlar!E437/Narxlar!E436)</f>
        <v>0.00435471788727836</v>
      </c>
      <c r="L436" s="20" t="n">
        <f aca="false">LN(Narxlar!F437/Narxlar!F436)</f>
        <v>0.00943096420990962</v>
      </c>
    </row>
    <row r="437" customFormat="false" ht="15" hidden="false" customHeight="false" outlineLevel="0" collapsed="false">
      <c r="A437" s="19" t="n">
        <f aca="false">Narxlar!A438</f>
        <v>45903</v>
      </c>
      <c r="B437" s="20" t="n">
        <f aca="false">Narxlar!B438/Narxlar!B437-1</f>
        <v>0.00493799779518711</v>
      </c>
      <c r="C437" s="20" t="n">
        <f aca="false">Narxlar!C438/Narxlar!C437-1</f>
        <v>0.016552948015788</v>
      </c>
      <c r="D437" s="20" t="n">
        <f aca="false">Narxlar!D438/Narxlar!D437-1</f>
        <v>0.00121295222022999</v>
      </c>
      <c r="E437" s="20" t="n">
        <f aca="false">Narxlar!E438/Narxlar!E437-1</f>
        <v>0.00503653960102701</v>
      </c>
      <c r="F437" s="20" t="n">
        <f aca="false">Narxlar!F438/Narxlar!F437-1</f>
        <v>-0.00119355882828942</v>
      </c>
      <c r="H437" s="20" t="n">
        <f aca="false">LN(Narxlar!B438/Narxlar!B437)</f>
        <v>0.00492584587177003</v>
      </c>
      <c r="I437" s="20" t="n">
        <f aca="false">LN(Narxlar!C438/Narxlar!C437)</f>
        <v>0.0164174412843391</v>
      </c>
      <c r="J437" s="20" t="n">
        <f aca="false">LN(Narxlar!D438/Narxlar!D437)</f>
        <v>0.00121221718799832</v>
      </c>
      <c r="K437" s="20" t="n">
        <f aca="false">LN(Narxlar!E438/Narxlar!E437)</f>
        <v>0.00502389866207703</v>
      </c>
      <c r="L437" s="20" t="n">
        <f aca="false">LN(Narxlar!F438/Narxlar!F437)</f>
        <v>-0.00119427168690997</v>
      </c>
    </row>
    <row r="438" customFormat="false" ht="15" hidden="false" customHeight="false" outlineLevel="0" collapsed="false">
      <c r="A438" s="19" t="n">
        <f aca="false">Narxlar!A439</f>
        <v>45904</v>
      </c>
      <c r="B438" s="20" t="n">
        <f aca="false">Narxlar!B439/Narxlar!B438-1</f>
        <v>0.00418673486608934</v>
      </c>
      <c r="C438" s="20" t="n">
        <f aca="false">Narxlar!C439/Narxlar!C438-1</f>
        <v>-0.0001805923428847</v>
      </c>
      <c r="D438" s="20" t="n">
        <f aca="false">Narxlar!D439/Narxlar!D438-1</f>
        <v>0.0138003687121411</v>
      </c>
      <c r="E438" s="20" t="n">
        <f aca="false">Narxlar!E439/Narxlar!E438-1</f>
        <v>0.00137565097769476</v>
      </c>
      <c r="F438" s="20" t="n">
        <f aca="false">Narxlar!F439/Narxlar!F438-1</f>
        <v>0.00783829218398724</v>
      </c>
      <c r="H438" s="20" t="n">
        <f aca="false">LN(Narxlar!B439/Narxlar!B438)</f>
        <v>0.00417799487785331</v>
      </c>
      <c r="I438" s="20" t="n">
        <f aca="false">LN(Narxlar!C439/Narxlar!C438)</f>
        <v>-0.000180608651645375</v>
      </c>
      <c r="J438" s="20" t="n">
        <f aca="false">LN(Narxlar!D439/Narxlar!D438)</f>
        <v>0.0137060107492211</v>
      </c>
      <c r="K438" s="20" t="n">
        <f aca="false">LN(Narxlar!E439/Narxlar!E438)</f>
        <v>0.00137470563676202</v>
      </c>
      <c r="L438" s="20" t="n">
        <f aca="false">LN(Narxlar!F439/Narxlar!F438)</f>
        <v>0.00780773235915553</v>
      </c>
    </row>
    <row r="439" customFormat="false" ht="15" hidden="false" customHeight="false" outlineLevel="0" collapsed="false">
      <c r="A439" s="19" t="n">
        <f aca="false">Narxlar!A440</f>
        <v>45905</v>
      </c>
      <c r="B439" s="20" t="n">
        <f aca="false">Narxlar!B440/Narxlar!B439-1</f>
        <v>-0.00533926297486154</v>
      </c>
      <c r="C439" s="20" t="n">
        <f aca="false">Narxlar!C440/Narxlar!C439-1</f>
        <v>-0.0151724968390632</v>
      </c>
      <c r="D439" s="20" t="n">
        <f aca="false">Narxlar!D440/Narxlar!D439-1</f>
        <v>-0.0274328466774043</v>
      </c>
      <c r="E439" s="20" t="n">
        <f aca="false">Narxlar!E440/Narxlar!E439-1</f>
        <v>0.00618192522814254</v>
      </c>
      <c r="F439" s="20" t="n">
        <f aca="false">Narxlar!F440/Narxlar!F439-1</f>
        <v>0.00882234726688114</v>
      </c>
      <c r="H439" s="20" t="n">
        <f aca="false">LN(Narxlar!B440/Narxlar!B439)</f>
        <v>-0.00535356778021745</v>
      </c>
      <c r="I439" s="20" t="n">
        <f aca="false">LN(Narxlar!C440/Narxlar!C439)</f>
        <v>-0.0152887768404732</v>
      </c>
      <c r="J439" s="20" t="n">
        <f aca="false">LN(Narxlar!D440/Narxlar!D439)</f>
        <v>-0.0278161536137947</v>
      </c>
      <c r="K439" s="20" t="n">
        <f aca="false">LN(Narxlar!E440/Narxlar!E439)</f>
        <v>0.00616289551495234</v>
      </c>
      <c r="L439" s="20" t="n">
        <f aca="false">LN(Narxlar!F440/Narxlar!F439)</f>
        <v>0.00878365774962233</v>
      </c>
    </row>
    <row r="440" customFormat="false" ht="15" hidden="false" customHeight="false" outlineLevel="0" collapsed="false">
      <c r="A440" s="19" t="n">
        <f aca="false">Narxlar!A441</f>
        <v>45908</v>
      </c>
      <c r="B440" s="20" t="n">
        <f aca="false">Narxlar!B441/Narxlar!B440-1</f>
        <v>0.00212507392267858</v>
      </c>
      <c r="C440" s="20" t="n">
        <f aca="false">Narxlar!C441/Narxlar!C440-1</f>
        <v>0.00602188665403181</v>
      </c>
      <c r="D440" s="20" t="n">
        <f aca="false">Narxlar!D441/Narxlar!D440-1</f>
        <v>-0.00168278219990381</v>
      </c>
      <c r="E440" s="20" t="n">
        <f aca="false">Narxlar!E441/Narxlar!E440-1</f>
        <v>-0.00965476887068462</v>
      </c>
      <c r="F440" s="20" t="n">
        <f aca="false">Narxlar!F441/Narxlar!F440-1</f>
        <v>-0.00326699735054481</v>
      </c>
      <c r="H440" s="20" t="n">
        <f aca="false">LN(Narxlar!B441/Narxlar!B440)</f>
        <v>0.00212281914690191</v>
      </c>
      <c r="I440" s="20" t="n">
        <f aca="false">LN(Narxlar!C441/Narxlar!C440)</f>
        <v>0.00600382755821441</v>
      </c>
      <c r="J440" s="20" t="n">
        <f aca="false">LN(Narxlar!D441/Narxlar!D440)</f>
        <v>-0.00168419966828687</v>
      </c>
      <c r="K440" s="20" t="n">
        <f aca="false">LN(Narxlar!E441/Narxlar!E440)</f>
        <v>-0.00970167832916084</v>
      </c>
      <c r="L440" s="20" t="n">
        <f aca="false">LN(Narxlar!F441/Narxlar!F440)</f>
        <v>-0.0032723456381268</v>
      </c>
    </row>
    <row r="441" customFormat="false" ht="15" hidden="false" customHeight="false" outlineLevel="0" collapsed="false">
      <c r="A441" s="19" t="n">
        <f aca="false">Narxlar!A442</f>
        <v>45909</v>
      </c>
      <c r="B441" s="20" t="n">
        <f aca="false">Narxlar!B442/Narxlar!B441-1</f>
        <v>-0.0400119322455967</v>
      </c>
      <c r="C441" s="20" t="n">
        <f aca="false">Narxlar!C442/Narxlar!C441-1</f>
        <v>-0.0411716447388412</v>
      </c>
      <c r="D441" s="20" t="n">
        <f aca="false">Narxlar!D442/Narxlar!D441-1</f>
        <v>-0.0356387959866221</v>
      </c>
      <c r="E441" s="20" t="n">
        <f aca="false">Narxlar!E442/Narxlar!E441-1</f>
        <v>-0.0260955194485475</v>
      </c>
      <c r="F441" s="20" t="n">
        <f aca="false">Narxlar!F442/Narxlar!F441-1</f>
        <v>-0.0515639052663136</v>
      </c>
      <c r="H441" s="20" t="n">
        <f aca="false">LN(Narxlar!B442/Narxlar!B441)</f>
        <v>-0.0408344240199976</v>
      </c>
      <c r="I441" s="20" t="n">
        <f aca="false">LN(Narxlar!C442/Narxlar!C441)</f>
        <v>-0.0420432031617053</v>
      </c>
      <c r="J441" s="20" t="n">
        <f aca="false">LN(Narxlar!D442/Narxlar!D441)</f>
        <v>-0.0362893615915329</v>
      </c>
      <c r="K441" s="20" t="n">
        <f aca="false">LN(Narxlar!E442/Narxlar!E441)</f>
        <v>-0.0264420493977272</v>
      </c>
      <c r="L441" s="20" t="n">
        <f aca="false">LN(Narxlar!F442/Narxlar!F441)</f>
        <v>-0.0529408669599639</v>
      </c>
    </row>
    <row r="442" customFormat="false" ht="15" hidden="false" customHeight="false" outlineLevel="0" collapsed="false">
      <c r="A442" s="19" t="n">
        <f aca="false">Narxlar!A443</f>
        <v>45910</v>
      </c>
      <c r="B442" s="20" t="n">
        <f aca="false">Narxlar!B443/Narxlar!B442-1</f>
        <v>0.0139562532931625</v>
      </c>
      <c r="C442" s="20" t="n">
        <f aca="false">Narxlar!C443/Narxlar!C442-1</f>
        <v>0.0155913296995818</v>
      </c>
      <c r="D442" s="20" t="n">
        <f aca="false">Narxlar!D443/Narxlar!D442-1</f>
        <v>0.0113753017229421</v>
      </c>
      <c r="E442" s="20" t="n">
        <f aca="false">Narxlar!E443/Narxlar!E442-1</f>
        <v>0.0150657229524773</v>
      </c>
      <c r="F442" s="20" t="n">
        <f aca="false">Narxlar!F443/Narxlar!F442-1</f>
        <v>0.0275840269729217</v>
      </c>
      <c r="H442" s="20" t="n">
        <f aca="false">LN(Narxlar!B443/Narxlar!B442)</f>
        <v>0.0138597615294053</v>
      </c>
      <c r="I442" s="20" t="n">
        <f aca="false">LN(Narxlar!C443/Narxlar!C442)</f>
        <v>0.0154710336906193</v>
      </c>
      <c r="J442" s="20" t="n">
        <f aca="false">LN(Narxlar!D443/Narxlar!D442)</f>
        <v>0.0113110894752668</v>
      </c>
      <c r="K442" s="20" t="n">
        <f aca="false">LN(Narxlar!E443/Narxlar!E442)</f>
        <v>0.0149533620747688</v>
      </c>
      <c r="L442" s="20" t="n">
        <f aca="false">LN(Narxlar!F443/Narxlar!F442)</f>
        <v>0.0272104421204443</v>
      </c>
    </row>
    <row r="443" customFormat="false" ht="15" hidden="false" customHeight="false" outlineLevel="0" collapsed="false">
      <c r="A443" s="19" t="n">
        <f aca="false">Narxlar!A444</f>
        <v>45911</v>
      </c>
      <c r="B443" s="20" t="n">
        <f aca="false">Narxlar!B444/Narxlar!B443-1</f>
        <v>-0.0145636242504996</v>
      </c>
      <c r="C443" s="20" t="n">
        <f aca="false">Narxlar!C444/Narxlar!C443-1</f>
        <v>-0.01731777333999</v>
      </c>
      <c r="D443" s="20" t="n">
        <f aca="false">Narxlar!D444/Narxlar!D443-1</f>
        <v>-0.00362110114393877</v>
      </c>
      <c r="E443" s="20" t="n">
        <f aca="false">Narxlar!E444/Narxlar!E443-1</f>
        <v>-0.00727164060165353</v>
      </c>
      <c r="F443" s="20" t="n">
        <f aca="false">Narxlar!F444/Narxlar!F443-1</f>
        <v>-0.019399557050283</v>
      </c>
      <c r="H443" s="20" t="n">
        <f aca="false">LN(Narxlar!B444/Narxlar!B443)</f>
        <v>-0.0146707148494238</v>
      </c>
      <c r="I443" s="20" t="n">
        <f aca="false">LN(Narxlar!C444/Narxlar!C443)</f>
        <v>-0.0174694800091138</v>
      </c>
      <c r="J443" s="20" t="n">
        <f aca="false">LN(Narxlar!D444/Narxlar!D443)</f>
        <v>-0.00362767320087145</v>
      </c>
      <c r="K443" s="20" t="n">
        <f aca="false">LN(Narxlar!E444/Narxlar!E443)</f>
        <v>-0.00729820785017668</v>
      </c>
      <c r="L443" s="20" t="n">
        <f aca="false">LN(Narxlar!F444/Narxlar!F443)</f>
        <v>-0.019590198052158</v>
      </c>
    </row>
    <row r="444" customFormat="false" ht="15" hidden="false" customHeight="false" outlineLevel="0" collapsed="false">
      <c r="A444" s="19" t="n">
        <f aca="false">Narxlar!A445</f>
        <v>45912</v>
      </c>
      <c r="B444" s="20" t="n">
        <f aca="false">Narxlar!B445/Narxlar!B444-1</f>
        <v>0.0187811836607759</v>
      </c>
      <c r="C444" s="20" t="n">
        <f aca="false">Narxlar!C445/Narxlar!C444-1</f>
        <v>0.00374686438256111</v>
      </c>
      <c r="D444" s="20" t="n">
        <f aca="false">Narxlar!D445/Narxlar!D444-1</f>
        <v>0.0183364995457174</v>
      </c>
      <c r="E444" s="20" t="n">
        <f aca="false">Narxlar!E445/Narxlar!E444-1</f>
        <v>0.0139474212321895</v>
      </c>
      <c r="F444" s="20" t="n">
        <f aca="false">Narxlar!F445/Narxlar!F444-1</f>
        <v>0.0163954996026601</v>
      </c>
      <c r="H444" s="20" t="n">
        <f aca="false">LN(Narxlar!B445/Narxlar!B444)</f>
        <v>0.0186069948328362</v>
      </c>
      <c r="I444" s="20" t="n">
        <f aca="false">LN(Narxlar!C445/Narxlar!C444)</f>
        <v>0.00373986237115161</v>
      </c>
      <c r="J444" s="20" t="n">
        <f aca="false">LN(Narxlar!D445/Narxlar!D444)</f>
        <v>0.0181704131608125</v>
      </c>
      <c r="K444" s="20" t="n">
        <f aca="false">LN(Narxlar!E445/Narxlar!E444)</f>
        <v>0.0138510509963716</v>
      </c>
      <c r="L444" s="20" t="n">
        <f aca="false">LN(Narxlar!F445/Narxlar!F444)</f>
        <v>0.0162625446723496</v>
      </c>
    </row>
    <row r="445" customFormat="false" ht="15" hidden="false" customHeight="false" outlineLevel="0" collapsed="false">
      <c r="A445" s="19" t="n">
        <f aca="false">Narxlar!A446</f>
        <v>45915</v>
      </c>
      <c r="B445" s="20" t="n">
        <f aca="false">Narxlar!B446/Narxlar!B445-1</f>
        <v>0.0105911395429088</v>
      </c>
      <c r="C445" s="20" t="n">
        <f aca="false">Narxlar!C446/Narxlar!C445-1</f>
        <v>0.00806681218563154</v>
      </c>
      <c r="D445" s="20" t="n">
        <f aca="false">Narxlar!D446/Narxlar!D445-1</f>
        <v>0.00824614053586403</v>
      </c>
      <c r="E445" s="20" t="n">
        <f aca="false">Narxlar!E446/Narxlar!E445-1</f>
        <v>-0.00752102919346853</v>
      </c>
      <c r="F445" s="20" t="n">
        <f aca="false">Narxlar!F446/Narxlar!F445-1</f>
        <v>0.0425291140282293</v>
      </c>
      <c r="H445" s="20" t="n">
        <f aca="false">LN(Narxlar!B446/Narxlar!B445)</f>
        <v>0.0105354463158715</v>
      </c>
      <c r="I445" s="20" t="n">
        <f aca="false">LN(Narxlar!C446/Narxlar!C445)</f>
        <v>0.00803444938281682</v>
      </c>
      <c r="J445" s="20" t="n">
        <f aca="false">LN(Narxlar!D446/Narxlar!D445)</f>
        <v>0.0082123268799219</v>
      </c>
      <c r="K445" s="20" t="n">
        <f aca="false">LN(Narxlar!E446/Narxlar!E445)</f>
        <v>-0.00754945474951304</v>
      </c>
      <c r="L445" s="20" t="n">
        <f aca="false">LN(Narxlar!F446/Narxlar!F445)</f>
        <v>0.0416496014262644</v>
      </c>
    </row>
    <row r="446" customFormat="false" ht="15" hidden="false" customHeight="false" outlineLevel="0" collapsed="false">
      <c r="A446" s="19" t="n">
        <f aca="false">Narxlar!A447</f>
        <v>45916</v>
      </c>
      <c r="B446" s="20" t="n">
        <f aca="false">Narxlar!B447/Narxlar!B446-1</f>
        <v>-0.00908804370666116</v>
      </c>
      <c r="C446" s="20" t="n">
        <f aca="false">Narxlar!C447/Narxlar!C446-1</f>
        <v>0.00395405761626821</v>
      </c>
      <c r="D446" s="20" t="n">
        <f aca="false">Narxlar!D447/Narxlar!D446-1</f>
        <v>-0.00431727984554331</v>
      </c>
      <c r="E446" s="20" t="n">
        <f aca="false">Narxlar!E447/Narxlar!E446-1</f>
        <v>-0.00468640941270315</v>
      </c>
      <c r="F446" s="20" t="n">
        <f aca="false">Narxlar!F447/Narxlar!F446-1</f>
        <v>-0.0210187688724861</v>
      </c>
      <c r="H446" s="20" t="n">
        <f aca="false">LN(Narxlar!B447/Narxlar!B446)</f>
        <v>-0.0091295918952766</v>
      </c>
      <c r="I446" s="20" t="n">
        <f aca="false">LN(Narxlar!C447/Narxlar!C446)</f>
        <v>0.00394626087620022</v>
      </c>
      <c r="J446" s="20" t="n">
        <f aca="false">LN(Narxlar!D447/Narxlar!D446)</f>
        <v>-0.00432662620845228</v>
      </c>
      <c r="K446" s="20" t="n">
        <f aca="false">LN(Narxlar!E447/Narxlar!E446)</f>
        <v>-0.00469742505865374</v>
      </c>
      <c r="L446" s="20" t="n">
        <f aca="false">LN(Narxlar!F447/Narxlar!F446)</f>
        <v>-0.0212428081088298</v>
      </c>
    </row>
    <row r="447" customFormat="false" ht="15" hidden="false" customHeight="false" outlineLevel="0" collapsed="false">
      <c r="A447" s="19" t="n">
        <f aca="false">Narxlar!A448</f>
        <v>45917</v>
      </c>
      <c r="B447" s="20" t="n">
        <f aca="false">Narxlar!B448/Narxlar!B447-1</f>
        <v>0.0121136616656947</v>
      </c>
      <c r="C447" s="20" t="n">
        <f aca="false">Narxlar!C448/Narxlar!C447-1</f>
        <v>0.0138472118029507</v>
      </c>
      <c r="D447" s="20" t="n">
        <f aca="false">Narxlar!D448/Narxlar!D447-1</f>
        <v>0.0188791037138778</v>
      </c>
      <c r="E447" s="20" t="n">
        <f aca="false">Narxlar!E448/Narxlar!E447-1</f>
        <v>0.00821478661590858</v>
      </c>
      <c r="F447" s="20" t="n">
        <f aca="false">Narxlar!F448/Narxlar!F447-1</f>
        <v>0.0226796226110797</v>
      </c>
      <c r="H447" s="20" t="n">
        <f aca="false">LN(Narxlar!B448/Narxlar!B447)</f>
        <v>0.0120408784574479</v>
      </c>
      <c r="I447" s="20" t="n">
        <f aca="false">LN(Narxlar!C448/Narxlar!C447)</f>
        <v>0.0137522151205014</v>
      </c>
      <c r="J447" s="20" t="n">
        <f aca="false">LN(Narxlar!D448/Narxlar!D447)</f>
        <v>0.0187031051155796</v>
      </c>
      <c r="K447" s="20" t="n">
        <f aca="false">LN(Narxlar!E448/Narxlar!E447)</f>
        <v>0.00818122891066715</v>
      </c>
      <c r="L447" s="20" t="n">
        <f aca="false">LN(Narxlar!F448/Narxlar!F447)</f>
        <v>0.0224262635419317</v>
      </c>
    </row>
    <row r="448" customFormat="false" ht="15" hidden="false" customHeight="false" outlineLevel="0" collapsed="false">
      <c r="A448" s="19" t="n">
        <f aca="false">Narxlar!A449</f>
        <v>45918</v>
      </c>
      <c r="B448" s="20" t="n">
        <f aca="false">Narxlar!B449/Narxlar!B448-1</f>
        <v>-0.00129638844511959</v>
      </c>
      <c r="C448" s="20" t="n">
        <f aca="false">Narxlar!C449/Narxlar!C448-1</f>
        <v>-0.00286727300755352</v>
      </c>
      <c r="D448" s="20" t="n">
        <f aca="false">Narxlar!D449/Narxlar!D448-1</f>
        <v>-0.00692535419750473</v>
      </c>
      <c r="E448" s="20" t="n">
        <f aca="false">Narxlar!E449/Narxlar!E448-1</f>
        <v>-0.00377583465818765</v>
      </c>
      <c r="F448" s="20" t="n">
        <f aca="false">Narxlar!F449/Narxlar!F448-1</f>
        <v>-0.0116501409450216</v>
      </c>
      <c r="H448" s="20" t="n">
        <f aca="false">LN(Narxlar!B449/Narxlar!B448)</f>
        <v>-0.00129722948357351</v>
      </c>
      <c r="I448" s="20" t="n">
        <f aca="false">LN(Narxlar!C449/Narxlar!C448)</f>
        <v>-0.00287139150926659</v>
      </c>
      <c r="J448" s="20" t="n">
        <f aca="false">LN(Narxlar!D449/Narxlar!D448)</f>
        <v>-0.0069494457556971</v>
      </c>
      <c r="K448" s="20" t="n">
        <f aca="false">LN(Narxlar!E449/Narxlar!E448)</f>
        <v>-0.0037829811167731</v>
      </c>
      <c r="L448" s="20" t="n">
        <f aca="false">LN(Narxlar!F449/Narxlar!F448)</f>
        <v>-0.0117185355605946</v>
      </c>
    </row>
    <row r="449" customFormat="false" ht="15" hidden="false" customHeight="false" outlineLevel="0" collapsed="false">
      <c r="A449" s="19" t="n">
        <f aca="false">Narxlar!A450</f>
        <v>45919</v>
      </c>
      <c r="B449" s="20" t="n">
        <f aca="false">Narxlar!B450/Narxlar!B449-1</f>
        <v>-0.0137870900913895</v>
      </c>
      <c r="C449" s="20" t="n">
        <f aca="false">Narxlar!C450/Narxlar!C449-1</f>
        <v>-0.00667862222497062</v>
      </c>
      <c r="D449" s="20" t="n">
        <f aca="false">Narxlar!D450/Narxlar!D449-1</f>
        <v>-0.0120574926803301</v>
      </c>
      <c r="E449" s="20" t="n">
        <f aca="false">Narxlar!E450/Narxlar!E449-1</f>
        <v>-0.00558547775782969</v>
      </c>
      <c r="F449" s="20" t="n">
        <f aca="false">Narxlar!F450/Narxlar!F449-1</f>
        <v>-0.0229167497706331</v>
      </c>
      <c r="H449" s="20" t="n">
        <f aca="false">LN(Narxlar!B450/Narxlar!B449)</f>
        <v>-0.0138830147194766</v>
      </c>
      <c r="I449" s="20" t="n">
        <f aca="false">LN(Narxlar!C450/Narxlar!C449)</f>
        <v>-0.00670102402017768</v>
      </c>
      <c r="J449" s="20" t="n">
        <f aca="false">LN(Narxlar!D450/Narxlar!D449)</f>
        <v>-0.0121307738994235</v>
      </c>
      <c r="K449" s="20" t="n">
        <f aca="false">LN(Narxlar!E450/Narxlar!E449)</f>
        <v>-0.00560113486756475</v>
      </c>
      <c r="L449" s="20" t="n">
        <f aca="false">LN(Narxlar!F450/Narxlar!F449)</f>
        <v>-0.0231834205087608</v>
      </c>
    </row>
    <row r="450" customFormat="false" ht="15" hidden="false" customHeight="false" outlineLevel="0" collapsed="false">
      <c r="A450" s="19" t="n">
        <f aca="false">Narxlar!A451</f>
        <v>45922</v>
      </c>
      <c r="B450" s="20" t="n">
        <f aca="false">Narxlar!B451/Narxlar!B450-1</f>
        <v>0.00210727842000646</v>
      </c>
      <c r="C450" s="20" t="n">
        <f aca="false">Narxlar!C451/Narxlar!C450-1</f>
        <v>0.000933823071655349</v>
      </c>
      <c r="D450" s="20" t="n">
        <f aca="false">Narxlar!D451/Narxlar!D450-1</f>
        <v>0.0123393593232211</v>
      </c>
      <c r="E450" s="20" t="n">
        <f aca="false">Narxlar!E451/Narxlar!E450-1</f>
        <v>0.0104312938816449</v>
      </c>
      <c r="F450" s="20" t="n">
        <f aca="false">Narxlar!F451/Narxlar!F450-1</f>
        <v>-0.0338035069097145</v>
      </c>
      <c r="H450" s="20" t="n">
        <f aca="false">LN(Narxlar!B451/Narxlar!B450)</f>
        <v>0.00210506122312448</v>
      </c>
      <c r="I450" s="20" t="n">
        <f aca="false">LN(Narxlar!C451/Narxlar!C450)</f>
        <v>0.000933387330139992</v>
      </c>
      <c r="J450" s="20" t="n">
        <f aca="false">LN(Narxlar!D451/Narxlar!D450)</f>
        <v>0.0122638499525841</v>
      </c>
      <c r="K450" s="20" t="n">
        <f aca="false">LN(Narxlar!E451/Narxlar!E450)</f>
        <v>0.0103772633497117</v>
      </c>
      <c r="L450" s="20" t="n">
        <f aca="false">LN(Narxlar!F451/Narxlar!F450)</f>
        <v>-0.0343880564582692</v>
      </c>
    </row>
    <row r="451" customFormat="false" ht="15" hidden="false" customHeight="false" outlineLevel="0" collapsed="false">
      <c r="A451" s="19" t="n">
        <f aca="false">Narxlar!A452</f>
        <v>45923</v>
      </c>
      <c r="B451" s="20" t="n">
        <f aca="false">Narxlar!B452/Narxlar!B451-1</f>
        <v>-0.00369490805848172</v>
      </c>
      <c r="C451" s="20" t="n">
        <f aca="false">Narxlar!C452/Narxlar!C451-1</f>
        <v>0.00323423311357129</v>
      </c>
      <c r="D451" s="20" t="n">
        <f aca="false">Narxlar!D452/Narxlar!D451-1</f>
        <v>-0.0274118429807052</v>
      </c>
      <c r="E451" s="20" t="n">
        <f aca="false">Narxlar!E452/Narxlar!E451-1</f>
        <v>0.0214413341274569</v>
      </c>
      <c r="F451" s="20" t="n">
        <f aca="false">Narxlar!F452/Narxlar!F451-1</f>
        <v>-0.00424650877823085</v>
      </c>
      <c r="H451" s="20" t="n">
        <f aca="false">LN(Narxlar!B452/Narxlar!B451)</f>
        <v>-0.00370175109271737</v>
      </c>
      <c r="I451" s="20" t="n">
        <f aca="false">LN(Narxlar!C452/Narxlar!C451)</f>
        <v>0.00322901423134836</v>
      </c>
      <c r="J451" s="20" t="n">
        <f aca="false">LN(Narxlar!D452/Narxlar!D451)</f>
        <v>-0.0277945577066831</v>
      </c>
      <c r="K451" s="20" t="n">
        <f aca="false">LN(Narxlar!E452/Narxlar!E451)</f>
        <v>0.0212147025224995</v>
      </c>
      <c r="L451" s="20" t="n">
        <f aca="false">LN(Narxlar!F452/Narxlar!F451)</f>
        <v>-0.00425555080373887</v>
      </c>
    </row>
    <row r="452" customFormat="false" ht="15" hidden="false" customHeight="false" outlineLevel="0" collapsed="false">
      <c r="A452" s="19" t="n">
        <f aca="false">Narxlar!A453</f>
        <v>45924</v>
      </c>
      <c r="B452" s="20" t="n">
        <f aca="false">Narxlar!B453/Narxlar!B452-1</f>
        <v>0.00244355520637041</v>
      </c>
      <c r="C452" s="20" t="n">
        <f aca="false">Narxlar!C453/Narxlar!C452-1</f>
        <v>-0.00889646621202733</v>
      </c>
      <c r="D452" s="20" t="n">
        <f aca="false">Narxlar!D453/Narxlar!D452-1</f>
        <v>-0.000793542208236464</v>
      </c>
      <c r="E452" s="20" t="n">
        <f aca="false">Narxlar!E453/Narxlar!E452-1</f>
        <v>-0.00204081632653064</v>
      </c>
      <c r="F452" s="20" t="n">
        <f aca="false">Narxlar!F453/Narxlar!F452-1</f>
        <v>0.013663752864296</v>
      </c>
      <c r="H452" s="20" t="n">
        <f aca="false">LN(Narxlar!B453/Narxlar!B452)</f>
        <v>0.00244057457990987</v>
      </c>
      <c r="I452" s="20" t="n">
        <f aca="false">LN(Narxlar!C453/Narxlar!C452)</f>
        <v>-0.00893627605472018</v>
      </c>
      <c r="J452" s="20" t="n">
        <f aca="false">LN(Narxlar!D453/Narxlar!D452)</f>
        <v>-0.00079385722952074</v>
      </c>
      <c r="K452" s="20" t="n">
        <f aca="false">LN(Narxlar!E453/Narxlar!E452)</f>
        <v>-0.00204290162980029</v>
      </c>
      <c r="L452" s="20" t="n">
        <f aca="false">LN(Narxlar!F453/Narxlar!F452)</f>
        <v>0.0135712455056856</v>
      </c>
    </row>
    <row r="453" customFormat="false" ht="15" hidden="false" customHeight="false" outlineLevel="0" collapsed="false">
      <c r="A453" s="19" t="n">
        <f aca="false">Narxlar!A454</f>
        <v>45925</v>
      </c>
      <c r="B453" s="20" t="n">
        <f aca="false">Narxlar!B454/Narxlar!B453-1</f>
        <v>0.00737921598320912</v>
      </c>
      <c r="C453" s="20" t="n">
        <f aca="false">Narxlar!C454/Narxlar!C453-1</f>
        <v>-0.00078190973634007</v>
      </c>
      <c r="D453" s="20" t="n">
        <f aca="false">Narxlar!D454/Narxlar!D453-1</f>
        <v>0.0174444079307701</v>
      </c>
      <c r="E453" s="20" t="n">
        <f aca="false">Narxlar!E454/Narxlar!E453-1</f>
        <v>0.00681663258350373</v>
      </c>
      <c r="F453" s="20" t="n">
        <f aca="false">Narxlar!F454/Narxlar!F453-1</f>
        <v>0.00343268586738121</v>
      </c>
      <c r="H453" s="20" t="n">
        <f aca="false">LN(Narxlar!B454/Narxlar!B453)</f>
        <v>0.00735212277174489</v>
      </c>
      <c r="I453" s="20" t="n">
        <f aca="false">LN(Narxlar!C454/Narxlar!C453)</f>
        <v>-0.000782215587200198</v>
      </c>
      <c r="J453" s="20" t="n">
        <f aca="false">LN(Narxlar!D454/Narxlar!D453)</f>
        <v>0.0172940009017405</v>
      </c>
      <c r="K453" s="20" t="n">
        <f aca="false">LN(Narxlar!E454/Narxlar!E453)</f>
        <v>0.00679350438839807</v>
      </c>
      <c r="L453" s="20" t="n">
        <f aca="false">LN(Narxlar!F454/Narxlar!F453)</f>
        <v>0.00342680764945852</v>
      </c>
    </row>
    <row r="454" customFormat="false" ht="15" hidden="false" customHeight="false" outlineLevel="0" collapsed="false">
      <c r="A454" s="19" t="n">
        <f aca="false">Narxlar!A455</f>
        <v>45926</v>
      </c>
      <c r="B454" s="20" t="n">
        <f aca="false">Narxlar!B455/Narxlar!B454-1</f>
        <v>-0.00121316814906158</v>
      </c>
      <c r="C454" s="20" t="n">
        <f aca="false">Narxlar!C455/Narxlar!C454-1</f>
        <v>0.00823212720671096</v>
      </c>
      <c r="D454" s="20" t="n">
        <f aca="false">Narxlar!D455/Narxlar!D454-1</f>
        <v>0.00331063440368218</v>
      </c>
      <c r="E454" s="20" t="n">
        <f aca="false">Narxlar!E455/Narxlar!E454-1</f>
        <v>0.00154753844665834</v>
      </c>
      <c r="F454" s="20" t="n">
        <f aca="false">Narxlar!F455/Narxlar!F454-1</f>
        <v>-0.00871923237380057</v>
      </c>
      <c r="H454" s="20" t="n">
        <f aca="false">LN(Narxlar!B455/Narxlar!B454)</f>
        <v>-0.00121390463325357</v>
      </c>
      <c r="I454" s="20" t="n">
        <f aca="false">LN(Narxlar!C455/Narxlar!C454)</f>
        <v>0.00819842806496568</v>
      </c>
      <c r="J454" s="20" t="n">
        <f aca="false">LN(Narxlar!D455/Narxlar!D454)</f>
        <v>0.00330516631883429</v>
      </c>
      <c r="K454" s="20" t="n">
        <f aca="false">LN(Narxlar!E455/Narxlar!E454)</f>
        <v>0.00154634224299148</v>
      </c>
      <c r="L454" s="20" t="n">
        <f aca="false">LN(Narxlar!F455/Narxlar!F454)</f>
        <v>-0.008757467295417</v>
      </c>
    </row>
    <row r="455" customFormat="false" ht="15" hidden="false" customHeight="false" outlineLevel="0" collapsed="false">
      <c r="A455" s="19" t="n">
        <f aca="false">Narxlar!A456</f>
        <v>45929</v>
      </c>
      <c r="B455" s="20" t="n">
        <f aca="false">Narxlar!B456/Narxlar!B455-1</f>
        <v>-0.00545268508433172</v>
      </c>
      <c r="C455" s="20" t="n">
        <f aca="false">Narxlar!C456/Narxlar!C455-1</f>
        <v>-0.00484306603334261</v>
      </c>
      <c r="D455" s="20" t="n">
        <f aca="false">Narxlar!D456/Narxlar!D455-1</f>
        <v>-0.00796759308938733</v>
      </c>
      <c r="E455" s="20" t="n">
        <f aca="false">Narxlar!E456/Narxlar!E455-1</f>
        <v>0.00347658136166107</v>
      </c>
      <c r="F455" s="20" t="n">
        <f aca="false">Narxlar!F456/Narxlar!F455-1</f>
        <v>-0.0104162282732209</v>
      </c>
      <c r="H455" s="20" t="n">
        <f aca="false">LN(Narxlar!B456/Narxlar!B455)</f>
        <v>-0.00546760523294387</v>
      </c>
      <c r="I455" s="20" t="n">
        <f aca="false">LN(Narxlar!C456/Narxlar!C455)</f>
        <v>-0.00485483168088747</v>
      </c>
      <c r="J455" s="20" t="n">
        <f aca="false">LN(Narxlar!D456/Narxlar!D455)</f>
        <v>-0.00799950397419413</v>
      </c>
      <c r="K455" s="20" t="n">
        <f aca="false">LN(Narxlar!E456/Narxlar!E455)</f>
        <v>0.00347055202296222</v>
      </c>
      <c r="L455" s="20" t="n">
        <f aca="false">LN(Narxlar!F456/Narxlar!F455)</f>
        <v>-0.0104708568592799</v>
      </c>
    </row>
    <row r="456" customFormat="false" ht="15" hidden="false" customHeight="false" outlineLevel="0" collapsed="false">
      <c r="A456" s="19" t="n">
        <f aca="false">Narxlar!A457</f>
        <v>45930</v>
      </c>
      <c r="B456" s="20" t="n">
        <f aca="false">Narxlar!B457/Narxlar!B456-1</f>
        <v>-0.00380329087542064</v>
      </c>
      <c r="C456" s="20" t="n">
        <f aca="false">Narxlar!C457/Narxlar!C456-1</f>
        <v>-0.00889096864763683</v>
      </c>
      <c r="D456" s="20" t="n">
        <f aca="false">Narxlar!D457/Narxlar!D456-1</f>
        <v>-0.0103301874036615</v>
      </c>
      <c r="E456" s="20" t="n">
        <f aca="false">Narxlar!E457/Narxlar!E456-1</f>
        <v>0.00635165046675001</v>
      </c>
      <c r="F456" s="20" t="n">
        <f aca="false">Narxlar!F457/Narxlar!F456-1</f>
        <v>0.00212643800370005</v>
      </c>
      <c r="H456" s="20" t="n">
        <f aca="false">LN(Narxlar!B457/Narxlar!B456)</f>
        <v>-0.00381054177685912</v>
      </c>
      <c r="I456" s="20" t="n">
        <f aca="false">LN(Narxlar!C457/Narxlar!C456)</f>
        <v>-0.00893072915779581</v>
      </c>
      <c r="J456" s="20" t="n">
        <f aca="false">LN(Narxlar!D457/Narxlar!D456)</f>
        <v>-0.0103839141145048</v>
      </c>
      <c r="K456" s="20" t="n">
        <f aca="false">LN(Narxlar!E457/Narxlar!E456)</f>
        <v>0.00633156374594198</v>
      </c>
      <c r="L456" s="20" t="n">
        <f aca="false">LN(Narxlar!F457/Narxlar!F456)</f>
        <v>0.002124180334371</v>
      </c>
    </row>
    <row r="457" customFormat="false" ht="15" hidden="false" customHeight="false" outlineLevel="0" collapsed="false">
      <c r="A457" s="19" t="n">
        <f aca="false">Narxlar!A458</f>
        <v>45931</v>
      </c>
      <c r="B457" s="20" t="n">
        <f aca="false">Narxlar!B458/Narxlar!B457-1</f>
        <v>0.00271844142691524</v>
      </c>
      <c r="C457" s="20" t="n">
        <f aca="false">Narxlar!C458/Narxlar!C457-1</f>
        <v>0.0290840415486309</v>
      </c>
      <c r="D457" s="20" t="n">
        <f aca="false">Narxlar!D458/Narxlar!D457-1</f>
        <v>0.000191272508675677</v>
      </c>
      <c r="E457" s="20" t="n">
        <f aca="false">Narxlar!E458/Narxlar!E457-1</f>
        <v>-0.00191259443435021</v>
      </c>
      <c r="F457" s="20" t="n">
        <f aca="false">Narxlar!F458/Narxlar!F457-1</f>
        <v>0.0110764529887326</v>
      </c>
      <c r="H457" s="20" t="n">
        <f aca="false">LN(Narxlar!B458/Narxlar!B457)</f>
        <v>0.00271475314775466</v>
      </c>
      <c r="I457" s="20" t="n">
        <f aca="false">LN(Narxlar!C458/Narxlar!C457)</f>
        <v>0.0286691265475916</v>
      </c>
      <c r="J457" s="20" t="n">
        <f aca="false">LN(Narxlar!D458/Narxlar!D457)</f>
        <v>0.000191254218421634</v>
      </c>
      <c r="K457" s="20" t="n">
        <f aca="false">LN(Narxlar!E458/Narxlar!E457)</f>
        <v>-0.00191442577853705</v>
      </c>
      <c r="L457" s="20" t="n">
        <f aca="false">LN(Narxlar!F458/Narxlar!F457)</f>
        <v>0.0110155583352153</v>
      </c>
    </row>
    <row r="458" customFormat="false" ht="15" hidden="false" customHeight="false" outlineLevel="0" collapsed="false">
      <c r="A458" s="19" t="n">
        <f aca="false">Narxlar!A459</f>
        <v>45932</v>
      </c>
      <c r="B458" s="20" t="n">
        <f aca="false">Narxlar!B459/Narxlar!B458-1</f>
        <v>-0.0129440376360519</v>
      </c>
      <c r="C458" s="20" t="n">
        <f aca="false">Narxlar!C459/Narxlar!C458-1</f>
        <v>-0.00841132929589528</v>
      </c>
      <c r="D458" s="20" t="n">
        <f aca="false">Narxlar!D459/Narxlar!D458-1</f>
        <v>-0.00775871489454705</v>
      </c>
      <c r="E458" s="20" t="n">
        <f aca="false">Narxlar!E459/Narxlar!E458-1</f>
        <v>-0.00747341189997131</v>
      </c>
      <c r="F458" s="20" t="n">
        <f aca="false">Narxlar!F459/Narxlar!F458-1</f>
        <v>-0.0252051459631891</v>
      </c>
      <c r="H458" s="20" t="n">
        <f aca="false">LN(Narxlar!B459/Narxlar!B458)</f>
        <v>-0.0130285416991213</v>
      </c>
      <c r="I458" s="20" t="n">
        <f aca="false">LN(Narxlar!C459/Narxlar!C458)</f>
        <v>-0.0084469041545182</v>
      </c>
      <c r="J458" s="20" t="n">
        <f aca="false">LN(Narxlar!D459/Narxlar!D458)</f>
        <v>-0.00778897032003921</v>
      </c>
      <c r="K458" s="20" t="n">
        <f aca="false">LN(Narxlar!E459/Narxlar!E458)</f>
        <v>-0.00750147776194975</v>
      </c>
      <c r="L458" s="20" t="n">
        <f aca="false">LN(Narxlar!F459/Narxlar!F458)</f>
        <v>-0.0255282362388536</v>
      </c>
    </row>
    <row r="459" customFormat="false" ht="15" hidden="false" customHeight="false" outlineLevel="0" collapsed="false">
      <c r="A459" s="19" t="n">
        <f aca="false">Narxlar!A460</f>
        <v>45933</v>
      </c>
      <c r="B459" s="20" t="n">
        <f aca="false">Narxlar!B460/Narxlar!B459-1</f>
        <v>0.000134638428500367</v>
      </c>
      <c r="C459" s="20" t="n">
        <f aca="false">Narxlar!C460/Narxlar!C459-1</f>
        <v>-0.00897621765014345</v>
      </c>
      <c r="D459" s="20" t="n">
        <f aca="false">Narxlar!D460/Narxlar!D459-1</f>
        <v>0.00187224669603525</v>
      </c>
      <c r="E459" s="20" t="n">
        <f aca="false">Narxlar!E460/Narxlar!E459-1</f>
        <v>-0.00482672072593882</v>
      </c>
      <c r="F459" s="20" t="n">
        <f aca="false">Narxlar!F460/Narxlar!F459-1</f>
        <v>0.0193765070616603</v>
      </c>
      <c r="H459" s="20" t="n">
        <f aca="false">LN(Narxlar!B460/Narxlar!B459)</f>
        <v>0.000134629365560623</v>
      </c>
      <c r="I459" s="20" t="n">
        <f aca="false">LN(Narxlar!C460/Narxlar!C459)</f>
        <v>-0.00901674660523411</v>
      </c>
      <c r="J459" s="20" t="n">
        <f aca="false">LN(Narxlar!D460/Narxlar!D459)</f>
        <v>0.00187049622672289</v>
      </c>
      <c r="K459" s="20" t="n">
        <f aca="false">LN(Narxlar!E460/Narxlar!E459)</f>
        <v>-0.00483840696171733</v>
      </c>
      <c r="L459" s="20" t="n">
        <f aca="false">LN(Narxlar!F460/Narxlar!F459)</f>
        <v>0.019191172809373</v>
      </c>
    </row>
    <row r="460" customFormat="false" ht="15" hidden="false" customHeight="false" outlineLevel="0" collapsed="false">
      <c r="A460" s="19" t="n">
        <f aca="false">Narxlar!A461</f>
        <v>45936</v>
      </c>
      <c r="B460" s="20" t="n">
        <f aca="false">Narxlar!B461/Narxlar!B460-1</f>
        <v>0.00854165825289766</v>
      </c>
      <c r="C460" s="20" t="n">
        <f aca="false">Narxlar!C461/Narxlar!C460-1</f>
        <v>0.00460657370517925</v>
      </c>
      <c r="D460" s="20" t="n">
        <f aca="false">Narxlar!D461/Narxlar!D460-1</f>
        <v>0.00153896889084315</v>
      </c>
      <c r="E460" s="20" t="n">
        <f aca="false">Narxlar!E461/Narxlar!E460-1</f>
        <v>0.00446212047725281</v>
      </c>
      <c r="F460" s="20" t="n">
        <f aca="false">Narxlar!F461/Narxlar!F460-1</f>
        <v>-0.0118695615443102</v>
      </c>
      <c r="H460" s="20" t="n">
        <f aca="false">LN(Narxlar!B461/Narxlar!B460)</f>
        <v>0.00850538470120195</v>
      </c>
      <c r="I460" s="20" t="n">
        <f aca="false">LN(Narxlar!C461/Narxlar!C460)</f>
        <v>0.0045959959169961</v>
      </c>
      <c r="J460" s="20" t="n">
        <f aca="false">LN(Narxlar!D461/Narxlar!D460)</f>
        <v>0.00153778589179662</v>
      </c>
      <c r="K460" s="20" t="n">
        <f aca="false">LN(Narxlar!E461/Narxlar!E460)</f>
        <v>0.00445219473329974</v>
      </c>
      <c r="L460" s="20" t="n">
        <f aca="false">LN(Narxlar!F461/Narxlar!F460)</f>
        <v>-0.0119405672200717</v>
      </c>
    </row>
    <row r="461" customFormat="false" ht="15" hidden="false" customHeight="false" outlineLevel="0" collapsed="false">
      <c r="A461" s="19" t="n">
        <f aca="false">Narxlar!A462</f>
        <v>45937</v>
      </c>
      <c r="B461" s="20" t="n">
        <f aca="false">Narxlar!B462/Narxlar!B461-1</f>
        <v>-0.0154703507191243</v>
      </c>
      <c r="C461" s="20" t="n">
        <f aca="false">Narxlar!C462/Narxlar!C461-1</f>
        <v>-0.0259325814846945</v>
      </c>
      <c r="D461" s="20" t="n">
        <f aca="false">Narxlar!D462/Narxlar!D461-1</f>
        <v>-0.0248051805509824</v>
      </c>
      <c r="E461" s="20" t="n">
        <f aca="false">Narxlar!E462/Narxlar!E461-1</f>
        <v>-0.0112023177209077</v>
      </c>
      <c r="F461" s="20" t="n">
        <f aca="false">Narxlar!F462/Narxlar!F461-1</f>
        <v>0.0003419826443809</v>
      </c>
      <c r="H461" s="20" t="n">
        <f aca="false">LN(Narxlar!B462/Narxlar!B461)</f>
        <v>-0.0155912652763193</v>
      </c>
      <c r="I461" s="20" t="n">
        <f aca="false">LN(Narxlar!C462/Narxlar!C461)</f>
        <v>-0.0262747595468715</v>
      </c>
      <c r="J461" s="20" t="n">
        <f aca="false">LN(Narxlar!D462/Narxlar!D461)</f>
        <v>-0.0251180131251068</v>
      </c>
      <c r="K461" s="20" t="n">
        <f aca="false">LN(Narxlar!E462/Narxlar!E461)</f>
        <v>-0.0112655362548678</v>
      </c>
      <c r="L461" s="20" t="n">
        <f aca="false">LN(Narxlar!F462/Narxlar!F461)</f>
        <v>0.000341924181644819</v>
      </c>
    </row>
    <row r="462" customFormat="false" ht="15" hidden="false" customHeight="false" outlineLevel="0" collapsed="false">
      <c r="A462" s="19" t="n">
        <f aca="false">Narxlar!A463</f>
        <v>45938</v>
      </c>
      <c r="B462" s="20" t="n">
        <f aca="false">Narxlar!B463/Narxlar!B462-1</f>
        <v>-0.00890744795515097</v>
      </c>
      <c r="C462" s="20" t="n">
        <f aca="false">Narxlar!C463/Narxlar!C462-1</f>
        <v>-0.00979674926047269</v>
      </c>
      <c r="D462" s="20" t="n">
        <f aca="false">Narxlar!D463/Narxlar!D462-1</f>
        <v>-0.00593697242543612</v>
      </c>
      <c r="E462" s="20" t="n">
        <f aca="false">Narxlar!E463/Narxlar!E462-1</f>
        <v>-0.0145522023635121</v>
      </c>
      <c r="F462" s="20" t="n">
        <f aca="false">Narxlar!F463/Narxlar!F462-1</f>
        <v>-0.0227768044100679</v>
      </c>
      <c r="H462" s="20" t="n">
        <f aca="false">LN(Narxlar!B463/Narxlar!B462)</f>
        <v>-0.00894735643491288</v>
      </c>
      <c r="I462" s="20" t="n">
        <f aca="false">LN(Narxlar!C463/Narxlar!C462)</f>
        <v>-0.00984505314813757</v>
      </c>
      <c r="J462" s="20" t="n">
        <f aca="false">LN(Narxlar!D463/Narxlar!D462)</f>
        <v>-0.00595466631306663</v>
      </c>
      <c r="K462" s="20" t="n">
        <f aca="false">LN(Narxlar!E463/Narxlar!E462)</f>
        <v>-0.0146591242271621</v>
      </c>
      <c r="L462" s="20" t="n">
        <f aca="false">LN(Narxlar!F463/Narxlar!F462)</f>
        <v>-0.02304020309155</v>
      </c>
    </row>
    <row r="463" customFormat="false" ht="15" hidden="false" customHeight="false" outlineLevel="0" collapsed="false">
      <c r="A463" s="19" t="n">
        <f aca="false">Narxlar!A464</f>
        <v>45939</v>
      </c>
      <c r="B463" s="20" t="n">
        <f aca="false">Narxlar!B464/Narxlar!B463-1</f>
        <v>0.0107316539332298</v>
      </c>
      <c r="C463" s="20" t="n">
        <f aca="false">Narxlar!C464/Narxlar!C463-1</f>
        <v>0.0234171725932351</v>
      </c>
      <c r="D463" s="20" t="n">
        <f aca="false">Narxlar!D464/Narxlar!D463-1</f>
        <v>0.00441563587987215</v>
      </c>
      <c r="E463" s="20" t="n">
        <f aca="false">Narxlar!E464/Narxlar!E463-1</f>
        <v>0.00941526263627357</v>
      </c>
      <c r="F463" s="20" t="n">
        <f aca="false">Narxlar!F464/Narxlar!F463-1</f>
        <v>0.0315506384467379</v>
      </c>
      <c r="H463" s="20" t="n">
        <f aca="false">LN(Narxlar!B464/Narxlar!B463)</f>
        <v>0.010674478429892</v>
      </c>
      <c r="I463" s="20" t="n">
        <f aca="false">LN(Narxlar!C464/Narxlar!C463)</f>
        <v>0.0231471971906514</v>
      </c>
      <c r="J463" s="20" t="n">
        <f aca="false">LN(Narxlar!D464/Narxlar!D463)</f>
        <v>0.00440591556350769</v>
      </c>
      <c r="K463" s="20" t="n">
        <f aca="false">LN(Narxlar!E464/Narxlar!E463)</f>
        <v>0.00937121531325158</v>
      </c>
      <c r="L463" s="20" t="n">
        <f aca="false">LN(Narxlar!F464/Narxlar!F463)</f>
        <v>0.0310631443714439</v>
      </c>
    </row>
    <row r="464" customFormat="false" ht="15" hidden="false" customHeight="false" outlineLevel="0" collapsed="false">
      <c r="A464" s="19" t="n">
        <f aca="false">Narxlar!A465</f>
        <v>45940</v>
      </c>
      <c r="B464" s="20" t="n">
        <f aca="false">Narxlar!B465/Narxlar!B464-1</f>
        <v>-0.00247002138429475</v>
      </c>
      <c r="C464" s="20" t="n">
        <f aca="false">Narxlar!C465/Narxlar!C464-1</f>
        <v>0.0145951035781544</v>
      </c>
      <c r="D464" s="20" t="n">
        <f aca="false">Narxlar!D465/Narxlar!D464-1</f>
        <v>-0.00332534873890378</v>
      </c>
      <c r="E464" s="20" t="n">
        <f aca="false">Narxlar!E465/Narxlar!E464-1</f>
        <v>0.0107020127638684</v>
      </c>
      <c r="F464" s="20" t="n">
        <f aca="false">Narxlar!F465/Narxlar!F464-1</f>
        <v>0.0197545518133069</v>
      </c>
      <c r="H464" s="20" t="n">
        <f aca="false">LN(Narxlar!B465/Narxlar!B464)</f>
        <v>-0.00247307691964298</v>
      </c>
      <c r="I464" s="20" t="n">
        <f aca="false">LN(Narxlar!C465/Narxlar!C464)</f>
        <v>0.0144896201760187</v>
      </c>
      <c r="J464" s="20" t="n">
        <f aca="false">LN(Narxlar!D465/Narxlar!D464)</f>
        <v>-0.00333088999884616</v>
      </c>
      <c r="K464" s="20" t="n">
        <f aca="false">LN(Narxlar!E465/Narxlar!E464)</f>
        <v>0.0106451515517936</v>
      </c>
      <c r="L464" s="20" t="n">
        <f aca="false">LN(Narxlar!F465/Narxlar!F464)</f>
        <v>0.0195619628616676</v>
      </c>
    </row>
    <row r="465" customFormat="false" ht="15" hidden="false" customHeight="false" outlineLevel="0" collapsed="false">
      <c r="A465" s="19" t="n">
        <f aca="false">Narxlar!A466</f>
        <v>45943</v>
      </c>
      <c r="B465" s="20" t="n">
        <f aca="false">Narxlar!B466/Narxlar!B465-1</f>
        <v>0.0104608329319504</v>
      </c>
      <c r="C465" s="20" t="n">
        <f aca="false">Narxlar!C466/Narxlar!C465-1</f>
        <v>0.0020417633410672</v>
      </c>
      <c r="D465" s="20" t="n">
        <f aca="false">Narxlar!D466/Narxlar!D465-1</f>
        <v>0.00754941046738478</v>
      </c>
      <c r="E465" s="20" t="n">
        <f aca="false">Narxlar!E466/Narxlar!E465-1</f>
        <v>0.0130172916261899</v>
      </c>
      <c r="F465" s="20" t="n">
        <f aca="false">Narxlar!F466/Narxlar!F465-1</f>
        <v>0.017334913013656</v>
      </c>
      <c r="H465" s="20" t="n">
        <f aca="false">LN(Narxlar!B466/Narxlar!B465)</f>
        <v>0.0104064970232124</v>
      </c>
      <c r="I465" s="20" t="n">
        <f aca="false">LN(Narxlar!C466/Narxlar!C465)</f>
        <v>0.00203968177519177</v>
      </c>
      <c r="J465" s="20" t="n">
        <f aca="false">LN(Narxlar!D466/Narxlar!D465)</f>
        <v>0.00752105628367799</v>
      </c>
      <c r="K465" s="20" t="n">
        <f aca="false">LN(Narxlar!E466/Narxlar!E465)</f>
        <v>0.0129332948406924</v>
      </c>
      <c r="L465" s="20" t="n">
        <f aca="false">LN(Narxlar!F466/Narxlar!F465)</f>
        <v>0.0171863775186122</v>
      </c>
    </row>
    <row r="466" customFormat="false" ht="15" hidden="false" customHeight="false" outlineLevel="0" collapsed="false">
      <c r="A466" s="19" t="n">
        <f aca="false">Narxlar!A467</f>
        <v>45944</v>
      </c>
      <c r="B466" s="20" t="n">
        <f aca="false">Narxlar!B467/Narxlar!B466-1</f>
        <v>0.00779461426394268</v>
      </c>
      <c r="C466" s="20" t="n">
        <f aca="false">Narxlar!C467/Narxlar!C466-1</f>
        <v>0.00632891852675122</v>
      </c>
      <c r="D466" s="20" t="n">
        <f aca="false">Narxlar!D467/Narxlar!D466-1</f>
        <v>0.0170904192625021</v>
      </c>
      <c r="E466" s="20" t="n">
        <f aca="false">Narxlar!E467/Narxlar!E466-1</f>
        <v>-0.0215765247410817</v>
      </c>
      <c r="F466" s="20" t="n">
        <f aca="false">Narxlar!F467/Narxlar!F466-1</f>
        <v>0.0171825518439064</v>
      </c>
      <c r="H466" s="20" t="n">
        <f aca="false">LN(Narxlar!B467/Narxlar!B466)</f>
        <v>0.00776439319763294</v>
      </c>
      <c r="I466" s="20" t="n">
        <f aca="false">LN(Narxlar!C467/Narxlar!C466)</f>
        <v>0.00630897502486029</v>
      </c>
      <c r="J466" s="20" t="n">
        <f aca="false">LN(Narxlar!D467/Narxlar!D466)</f>
        <v>0.0169460209437583</v>
      </c>
      <c r="K466" s="20" t="n">
        <f aca="false">LN(Narxlar!E467/Narxlar!E466)</f>
        <v>-0.0218127013780872</v>
      </c>
      <c r="L466" s="20" t="n">
        <f aca="false">LN(Narxlar!F467/Narxlar!F466)</f>
        <v>0.0170366012963225</v>
      </c>
    </row>
    <row r="467" customFormat="false" ht="15" hidden="false" customHeight="false" outlineLevel="0" collapsed="false">
      <c r="A467" s="19" t="n">
        <f aca="false">Narxlar!A468</f>
        <v>45945</v>
      </c>
      <c r="B467" s="20" t="n">
        <f aca="false">Narxlar!B468/Narxlar!B467-1</f>
        <v>-0.00722137099460385</v>
      </c>
      <c r="C467" s="20" t="n">
        <f aca="false">Narxlar!C468/Narxlar!C467-1</f>
        <v>-0.0106147993618849</v>
      </c>
      <c r="D467" s="20" t="n">
        <f aca="false">Narxlar!D468/Narxlar!D467-1</f>
        <v>-0.0179620892310239</v>
      </c>
      <c r="E467" s="20" t="n">
        <f aca="false">Narxlar!E468/Narxlar!E467-1</f>
        <v>-0.0113692051357444</v>
      </c>
      <c r="F467" s="20" t="n">
        <f aca="false">Narxlar!F468/Narxlar!F467-1</f>
        <v>-0.0382637689310248</v>
      </c>
      <c r="H467" s="20" t="n">
        <f aca="false">LN(Narxlar!B468/Narxlar!B467)</f>
        <v>-0.00724757130509875</v>
      </c>
      <c r="I467" s="20" t="n">
        <f aca="false">LN(Narxlar!C468/Narxlar!C467)</f>
        <v>-0.0106715382161919</v>
      </c>
      <c r="J467" s="20" t="n">
        <f aca="false">LN(Narxlar!D468/Narxlar!D467)</f>
        <v>-0.0181253657017958</v>
      </c>
      <c r="K467" s="20" t="n">
        <f aca="false">LN(Narxlar!E468/Narxlar!E467)</f>
        <v>-0.0114343286204697</v>
      </c>
      <c r="L467" s="20" t="n">
        <f aca="false">LN(Narxlar!F468/Narxlar!F467)</f>
        <v>-0.0390150539908425</v>
      </c>
    </row>
    <row r="468" customFormat="false" ht="15" hidden="false" customHeight="false" outlineLevel="0" collapsed="false">
      <c r="A468" s="19" t="n">
        <f aca="false">Narxlar!A469</f>
        <v>45946</v>
      </c>
      <c r="B468" s="20" t="n">
        <f aca="false">Narxlar!B469/Narxlar!B468-1</f>
        <v>0.00133533745789327</v>
      </c>
      <c r="C468" s="20" t="n">
        <f aca="false">Narxlar!C469/Narxlar!C468-1</f>
        <v>0.00982945736434115</v>
      </c>
      <c r="D468" s="20" t="n">
        <f aca="false">Narxlar!D469/Narxlar!D468-1</f>
        <v>0.0106484603281636</v>
      </c>
      <c r="E468" s="20" t="n">
        <f aca="false">Narxlar!E469/Narxlar!E468-1</f>
        <v>-0.0137801130167542</v>
      </c>
      <c r="F468" s="20" t="n">
        <f aca="false">Narxlar!F469/Narxlar!F468-1</f>
        <v>-0.0139930243729245</v>
      </c>
      <c r="H468" s="20" t="n">
        <f aca="false">LN(Narxlar!B469/Narxlar!B468)</f>
        <v>0.00133444668772771</v>
      </c>
      <c r="I468" s="20" t="n">
        <f aca="false">LN(Narxlar!C469/Narxlar!C468)</f>
        <v>0.00978146250099873</v>
      </c>
      <c r="J468" s="20" t="n">
        <f aca="false">LN(Narxlar!D469/Narxlar!D468)</f>
        <v>0.0105921647625849</v>
      </c>
      <c r="K468" s="20" t="n">
        <f aca="false">LN(Narxlar!E469/Narxlar!E468)</f>
        <v>-0.0138759401315401</v>
      </c>
      <c r="L468" s="20" t="n">
        <f aca="false">LN(Narxlar!F469/Narxlar!F468)</f>
        <v>-0.0140918497320366</v>
      </c>
    </row>
    <row r="469" customFormat="false" ht="15" hidden="false" customHeight="false" outlineLevel="0" collapsed="false">
      <c r="A469" s="19" t="n">
        <f aca="false">Narxlar!A470</f>
        <v>45947</v>
      </c>
      <c r="B469" s="20" t="n">
        <f aca="false">Narxlar!B470/Narxlar!B469-1</f>
        <v>0.000737141899815663</v>
      </c>
      <c r="C469" s="20" t="n">
        <f aca="false">Narxlar!C470/Narxlar!C469-1</f>
        <v>-0.00451377160929778</v>
      </c>
      <c r="D469" s="20" t="n">
        <f aca="false">Narxlar!D470/Narxlar!D469-1</f>
        <v>-0.0122042756665092</v>
      </c>
      <c r="E469" s="20" t="n">
        <f aca="false">Narxlar!E470/Narxlar!E469-1</f>
        <v>-0.00371934057096901</v>
      </c>
      <c r="F469" s="20" t="n">
        <f aca="false">Narxlar!F470/Narxlar!F469-1</f>
        <v>0.0184702717587002</v>
      </c>
      <c r="H469" s="20" t="n">
        <f aca="false">LN(Narxlar!B470/Narxlar!B469)</f>
        <v>0.000736870344167268</v>
      </c>
      <c r="I469" s="20" t="n">
        <f aca="false">LN(Narxlar!C470/Narxlar!C469)</f>
        <v>-0.00452398943525014</v>
      </c>
      <c r="J469" s="20" t="n">
        <f aca="false">LN(Narxlar!D470/Narxlar!D469)</f>
        <v>-0.0122793593588711</v>
      </c>
      <c r="K469" s="20" t="n">
        <f aca="false">LN(Narxlar!E470/Narxlar!E469)</f>
        <v>-0.0037262745165868</v>
      </c>
      <c r="L469" s="20" t="n">
        <f aca="false">LN(Narxlar!F470/Narxlar!F469)</f>
        <v>0.0183017680002207</v>
      </c>
    </row>
    <row r="470" customFormat="false" ht="15" hidden="false" customHeight="false" outlineLevel="0" collapsed="false">
      <c r="A470" s="19" t="n">
        <f aca="false">Narxlar!A471</f>
        <v>45950</v>
      </c>
      <c r="B470" s="20" t="n">
        <f aca="false">Narxlar!B471/Narxlar!B470-1</f>
        <v>0.00181471188937632</v>
      </c>
      <c r="C470" s="20" t="n">
        <f aca="false">Narxlar!C471/Narxlar!C470-1</f>
        <v>-0.00996298581122768</v>
      </c>
      <c r="D470" s="20" t="n">
        <f aca="false">Narxlar!D471/Narxlar!D470-1</f>
        <v>0.0198694134864348</v>
      </c>
      <c r="E470" s="20" t="n">
        <f aca="false">Narxlar!E471/Narxlar!E470-1</f>
        <v>0.0029260417717687</v>
      </c>
      <c r="F470" s="20" t="n">
        <f aca="false">Narxlar!F471/Narxlar!F470-1</f>
        <v>-0.0148077283031425</v>
      </c>
      <c r="H470" s="20" t="n">
        <f aca="false">LN(Narxlar!B471/Narxlar!B470)</f>
        <v>0.00181306728910544</v>
      </c>
      <c r="I470" s="20" t="n">
        <f aca="false">LN(Narxlar!C471/Narxlar!C470)</f>
        <v>-0.0100129484829509</v>
      </c>
      <c r="J470" s="20" t="n">
        <f aca="false">LN(Narxlar!D471/Narxlar!D470)</f>
        <v>0.0196745931064613</v>
      </c>
      <c r="K470" s="20" t="n">
        <f aca="false">LN(Narxlar!E471/Narxlar!E470)</f>
        <v>0.00292176924391121</v>
      </c>
      <c r="L470" s="20" t="n">
        <f aca="false">LN(Narxlar!F471/Narxlar!F470)</f>
        <v>-0.0149184571667881</v>
      </c>
    </row>
    <row r="471" customFormat="false" ht="15" hidden="false" customHeight="false" outlineLevel="0" collapsed="false">
      <c r="A471" s="19" t="n">
        <f aca="false">Narxlar!A472</f>
        <v>45951</v>
      </c>
      <c r="B471" s="20" t="n">
        <f aca="false">Narxlar!B472/Narxlar!B471-1</f>
        <v>0.00385679718727849</v>
      </c>
      <c r="C471" s="20" t="n">
        <f aca="false">Narxlar!C472/Narxlar!C471-1</f>
        <v>0.0136772907125275</v>
      </c>
      <c r="D471" s="20" t="n">
        <f aca="false">Narxlar!D472/Narxlar!D471-1</f>
        <v>0.0006898835476572</v>
      </c>
      <c r="E471" s="20" t="n">
        <f aca="false">Narxlar!E472/Narxlar!E471-1</f>
        <v>0.0101609657947686</v>
      </c>
      <c r="F471" s="20" t="n">
        <f aca="false">Narxlar!F472/Narxlar!F471-1</f>
        <v>-0.0162968905026282</v>
      </c>
      <c r="H471" s="20" t="n">
        <f aca="false">LN(Narxlar!B472/Narxlar!B471)</f>
        <v>0.0038493788129988</v>
      </c>
      <c r="I471" s="20" t="n">
        <f aca="false">LN(Narxlar!C472/Narxlar!C471)</f>
        <v>0.0135846007803441</v>
      </c>
      <c r="J471" s="20" t="n">
        <f aca="false">LN(Narxlar!D472/Narxlar!D471)</f>
        <v>0.000689645687393504</v>
      </c>
      <c r="K471" s="20" t="n">
        <f aca="false">LN(Narxlar!E472/Narxlar!E471)</f>
        <v>0.0101096902288165</v>
      </c>
      <c r="L471" s="20" t="n">
        <f aca="false">LN(Narxlar!F472/Narxlar!F471)</f>
        <v>-0.0164311454463899</v>
      </c>
    </row>
    <row r="472" customFormat="false" ht="15" hidden="false" customHeight="false" outlineLevel="0" collapsed="false">
      <c r="A472" s="19" t="n">
        <f aca="false">Narxlar!A473</f>
        <v>45952</v>
      </c>
      <c r="B472" s="20" t="n">
        <f aca="false">Narxlar!B473/Narxlar!B472-1</f>
        <v>0.0107069375362059</v>
      </c>
      <c r="C472" s="20" t="n">
        <f aca="false">Narxlar!C473/Narxlar!C472-1</f>
        <v>0.0186562576837963</v>
      </c>
      <c r="D472" s="20" t="n">
        <f aca="false">Narxlar!D473/Narxlar!D472-1</f>
        <v>0.00162700273005534</v>
      </c>
      <c r="E472" s="20" t="n">
        <f aca="false">Narxlar!E473/Narxlar!E472-1</f>
        <v>0.0088636589981077</v>
      </c>
      <c r="F472" s="20" t="n">
        <f aca="false">Narxlar!F473/Narxlar!F472-1</f>
        <v>-0.00598725294534219</v>
      </c>
      <c r="H472" s="20" t="n">
        <f aca="false">LN(Narxlar!B473/Narxlar!B472)</f>
        <v>0.0106500241653603</v>
      </c>
      <c r="I472" s="20" t="n">
        <f aca="false">LN(Narxlar!C473/Narxlar!C472)</f>
        <v>0.0184843643416112</v>
      </c>
      <c r="J472" s="20" t="n">
        <f aca="false">LN(Narxlar!D473/Narxlar!D472)</f>
        <v>0.0016256805949975</v>
      </c>
      <c r="K472" s="20" t="n">
        <f aca="false">LN(Narxlar!E473/Narxlar!E472)</f>
        <v>0.00882460736329271</v>
      </c>
      <c r="L472" s="20" t="n">
        <f aca="false">LN(Narxlar!F473/Narxlar!F472)</f>
        <v>-0.00600524840914008</v>
      </c>
    </row>
    <row r="473" customFormat="false" ht="15" hidden="false" customHeight="false" outlineLevel="0" collapsed="false">
      <c r="A473" s="19" t="n">
        <f aca="false">Narxlar!A474</f>
        <v>45953</v>
      </c>
      <c r="B473" s="20" t="n">
        <f aca="false">Narxlar!B474/Narxlar!B473-1</f>
        <v>-0.00319518285010323</v>
      </c>
      <c r="C473" s="20" t="n">
        <f aca="false">Narxlar!C474/Narxlar!C473-1</f>
        <v>-0.00561204477566912</v>
      </c>
      <c r="D473" s="20" t="n">
        <f aca="false">Narxlar!D474/Narxlar!D473-1</f>
        <v>-0.0123616540939375</v>
      </c>
      <c r="E473" s="20" t="n">
        <f aca="false">Narxlar!E474/Narxlar!E473-1</f>
        <v>-0.0117472852912142</v>
      </c>
      <c r="F473" s="20" t="n">
        <f aca="false">Narxlar!F474/Narxlar!F473-1</f>
        <v>-0.0116580310880829</v>
      </c>
      <c r="H473" s="20" t="n">
        <f aca="false">LN(Narxlar!B474/Narxlar!B473)</f>
        <v>-0.00320029834636299</v>
      </c>
      <c r="I473" s="20" t="n">
        <f aca="false">LN(Narxlar!C474/Narxlar!C473)</f>
        <v>-0.00562785146525811</v>
      </c>
      <c r="J473" s="20" t="n">
        <f aca="false">LN(Narxlar!D474/Narxlar!D473)</f>
        <v>-0.0124386948994819</v>
      </c>
      <c r="K473" s="20" t="n">
        <f aca="false">LN(Narxlar!E474/Narxlar!E473)</f>
        <v>-0.0118168298232453</v>
      </c>
      <c r="L473" s="20" t="n">
        <f aca="false">LN(Narxlar!F474/Narxlar!F473)</f>
        <v>-0.0117265187403192</v>
      </c>
    </row>
    <row r="474" customFormat="false" ht="15" hidden="false" customHeight="false" outlineLevel="0" collapsed="false">
      <c r="A474" s="19" t="n">
        <f aca="false">Narxlar!A475</f>
        <v>45954</v>
      </c>
      <c r="B474" s="20" t="n">
        <f aca="false">Narxlar!B475/Narxlar!B474-1</f>
        <v>0.00688670640952771</v>
      </c>
      <c r="C474" s="20" t="n">
        <f aca="false">Narxlar!C475/Narxlar!C474-1</f>
        <v>0.00640228176108271</v>
      </c>
      <c r="D474" s="20" t="n">
        <f aca="false">Narxlar!D475/Narxlar!D474-1</f>
        <v>0.0302177124857135</v>
      </c>
      <c r="E474" s="20" t="n">
        <f aca="false">Narxlar!E475/Narxlar!E474-1</f>
        <v>-0.00169813205473979</v>
      </c>
      <c r="F474" s="20" t="n">
        <f aca="false">Narxlar!F475/Narxlar!F474-1</f>
        <v>-0.00762341633901265</v>
      </c>
      <c r="H474" s="20" t="n">
        <f aca="false">LN(Narxlar!B475/Narxlar!B474)</f>
        <v>0.00686310135900974</v>
      </c>
      <c r="I474" s="20" t="n">
        <f aca="false">LN(Narxlar!C475/Narxlar!C474)</f>
        <v>0.00638187421214718</v>
      </c>
      <c r="J474" s="20" t="n">
        <f aca="false">LN(Narxlar!D475/Narxlar!D474)</f>
        <v>0.0297701512511218</v>
      </c>
      <c r="K474" s="20" t="n">
        <f aca="false">LN(Narxlar!E475/Narxlar!E474)</f>
        <v>-0.00169957551533338</v>
      </c>
      <c r="L474" s="20" t="n">
        <f aca="false">LN(Narxlar!F475/Narxlar!F474)</f>
        <v>-0.00765262310894803</v>
      </c>
    </row>
    <row r="475" customFormat="false" ht="15" hidden="false" customHeight="false" outlineLevel="0" collapsed="false">
      <c r="A475" s="19" t="n">
        <f aca="false">Narxlar!A476</f>
        <v>45957</v>
      </c>
      <c r="B475" s="20" t="n">
        <f aca="false">Narxlar!B476/Narxlar!B475-1</f>
        <v>0.00127996429227828</v>
      </c>
      <c r="C475" s="20" t="n">
        <f aca="false">Narxlar!C476/Narxlar!C475-1</f>
        <v>-0.00217076700434149</v>
      </c>
      <c r="D475" s="20" t="n">
        <f aca="false">Narxlar!D476/Narxlar!D475-1</f>
        <v>0.00692696918039881</v>
      </c>
      <c r="E475" s="20" t="n">
        <f aca="false">Narxlar!E476/Narxlar!E475-1</f>
        <v>-0.00480288172903742</v>
      </c>
      <c r="F475" s="20" t="n">
        <f aca="false">Narxlar!F476/Narxlar!F475-1</f>
        <v>0.00143074112390229</v>
      </c>
      <c r="H475" s="20" t="n">
        <f aca="false">LN(Narxlar!B476/Narxlar!B475)</f>
        <v>0.00127914583630536</v>
      </c>
      <c r="I475" s="20" t="n">
        <f aca="false">LN(Narxlar!C476/Narxlar!C475)</f>
        <v>-0.00217312653431335</v>
      </c>
      <c r="J475" s="20" t="n">
        <f aca="false">LN(Narxlar!D476/Narxlar!D475)</f>
        <v>0.0069030879489952</v>
      </c>
      <c r="K475" s="20" t="n">
        <f aca="false">LN(Narxlar!E476/Narxlar!E475)</f>
        <v>-0.00481445262946647</v>
      </c>
      <c r="L475" s="20" t="n">
        <f aca="false">LN(Narxlar!F476/Narxlar!F475)</f>
        <v>0.00142971858902608</v>
      </c>
    </row>
    <row r="476" customFormat="false" ht="15" hidden="false" customHeight="false" outlineLevel="0" collapsed="false">
      <c r="A476" s="19" t="n">
        <f aca="false">Narxlar!A477</f>
        <v>45958</v>
      </c>
      <c r="B476" s="20" t="n">
        <f aca="false">Narxlar!B477/Narxlar!B476-1</f>
        <v>-0.014153386258301</v>
      </c>
      <c r="C476" s="20" t="n">
        <f aca="false">Narxlar!C477/Narxlar!C476-1</f>
        <v>-0.021301667875272</v>
      </c>
      <c r="D476" s="20" t="n">
        <f aca="false">Narxlar!D477/Narxlar!D476-1</f>
        <v>-0.0174670142154624</v>
      </c>
      <c r="E476" s="20" t="n">
        <f aca="false">Narxlar!E477/Narxlar!E476-1</f>
        <v>-0.00904886386487025</v>
      </c>
      <c r="F476" s="20" t="n">
        <f aca="false">Narxlar!F477/Narxlar!F476-1</f>
        <v>-0.0201995779848778</v>
      </c>
      <c r="H476" s="20" t="n">
        <f aca="false">LN(Narxlar!B477/Narxlar!B476)</f>
        <v>-0.0142545006373519</v>
      </c>
      <c r="I476" s="20" t="n">
        <f aca="false">LN(Narxlar!C477/Narxlar!C476)</f>
        <v>-0.0215318227259974</v>
      </c>
      <c r="J476" s="20" t="n">
        <f aca="false">LN(Narxlar!D477/Narxlar!D476)</f>
        <v>-0.0176213624846964</v>
      </c>
      <c r="K476" s="20" t="n">
        <f aca="false">LN(Narxlar!E477/Narxlar!E476)</f>
        <v>-0.00909005350138279</v>
      </c>
      <c r="L476" s="20" t="n">
        <f aca="false">LN(Narxlar!F477/Narxlar!F476)</f>
        <v>-0.0204063790621785</v>
      </c>
    </row>
    <row r="477" customFormat="false" ht="15" hidden="false" customHeight="false" outlineLevel="0" collapsed="false">
      <c r="A477" s="19" t="n">
        <f aca="false">Narxlar!A478</f>
        <v>45959</v>
      </c>
      <c r="B477" s="20" t="n">
        <f aca="false">Narxlar!B478/Narxlar!B477-1</f>
        <v>0.00123683370571337</v>
      </c>
      <c r="C477" s="20" t="n">
        <f aca="false">Narxlar!C478/Narxlar!C477-1</f>
        <v>0.00182149362477224</v>
      </c>
      <c r="D477" s="20" t="n">
        <f aca="false">Narxlar!D478/Narxlar!D477-1</f>
        <v>0.01712113338621</v>
      </c>
      <c r="E477" s="20" t="n">
        <f aca="false">Narxlar!E478/Narxlar!E477-1</f>
        <v>0.00811688311688319</v>
      </c>
      <c r="F477" s="20" t="n">
        <f aca="false">Narxlar!F478/Narxlar!F477-1</f>
        <v>0.00114408775826091</v>
      </c>
      <c r="H477" s="20" t="n">
        <f aca="false">LN(Narxlar!B478/Narxlar!B477)</f>
        <v>0.00123606945700637</v>
      </c>
      <c r="I477" s="20" t="n">
        <f aca="false">LN(Narxlar!C478/Narxlar!C477)</f>
        <v>0.0018198367169859</v>
      </c>
      <c r="J477" s="20" t="n">
        <f aca="false">LN(Narxlar!D478/Narxlar!D477)</f>
        <v>0.0169762185145766</v>
      </c>
      <c r="K477" s="20" t="n">
        <f aca="false">LN(Narxlar!E478/Narxlar!E477)</f>
        <v>0.00808411839995906</v>
      </c>
      <c r="L477" s="20" t="n">
        <f aca="false">LN(Narxlar!F478/Narxlar!F477)</f>
        <v>0.0011434337886132</v>
      </c>
    </row>
    <row r="478" customFormat="false" ht="15" hidden="false" customHeight="false" outlineLevel="0" collapsed="false">
      <c r="A478" s="19" t="n">
        <f aca="false">Narxlar!A479</f>
        <v>45960</v>
      </c>
      <c r="B478" s="20" t="n">
        <f aca="false">Narxlar!B479/Narxlar!B478-1</f>
        <v>-0.0190077704722057</v>
      </c>
      <c r="C478" s="20" t="n">
        <f aca="false">Narxlar!C479/Narxlar!C478-1</f>
        <v>-0.0285362095531587</v>
      </c>
      <c r="D478" s="20" t="n">
        <f aca="false">Narxlar!D479/Narxlar!D478-1</f>
        <v>-0.00613084514238083</v>
      </c>
      <c r="E478" s="20" t="n">
        <f aca="false">Narxlar!E479/Narxlar!E478-1</f>
        <v>-0.00664251207729472</v>
      </c>
      <c r="F478" s="20" t="n">
        <f aca="false">Narxlar!F479/Narxlar!F478-1</f>
        <v>-0.00107555794568437</v>
      </c>
      <c r="H478" s="20" t="n">
        <f aca="false">LN(Narxlar!B479/Narxlar!B478)</f>
        <v>-0.019190740418793</v>
      </c>
      <c r="I478" s="20" t="n">
        <f aca="false">LN(Narxlar!C479/Narxlar!C478)</f>
        <v>-0.0289512826586959</v>
      </c>
      <c r="J478" s="20" t="n">
        <f aca="false">LN(Narxlar!D479/Narxlar!D478)</f>
        <v>-0.0061497159422971</v>
      </c>
      <c r="K478" s="20" t="n">
        <f aca="false">LN(Narxlar!E479/Narxlar!E478)</f>
        <v>-0.00666467174573277</v>
      </c>
      <c r="L478" s="20" t="n">
        <f aca="false">LN(Narxlar!F479/Narxlar!F478)</f>
        <v>-0.00107613677321055</v>
      </c>
    </row>
    <row r="479" customFormat="false" ht="15" hidden="false" customHeight="false" outlineLevel="0" collapsed="false">
      <c r="A479" s="19" t="n">
        <f aca="false">Narxlar!A480</f>
        <v>45961</v>
      </c>
      <c r="B479" s="20" t="n">
        <f aca="false">Narxlar!B480/Narxlar!B479-1</f>
        <v>-0.00295176970780187</v>
      </c>
      <c r="C479" s="20" t="n">
        <f aca="false">Narxlar!C480/Narxlar!C479-1</f>
        <v>-0.0115467580256312</v>
      </c>
      <c r="D479" s="20" t="n">
        <f aca="false">Narxlar!D480/Narxlar!D479-1</f>
        <v>-0.00278672113849732</v>
      </c>
      <c r="E479" s="20" t="n">
        <f aca="false">Narxlar!E480/Narxlar!E479-1</f>
        <v>-0.0059777102330294</v>
      </c>
      <c r="F479" s="20" t="n">
        <f aca="false">Narxlar!F480/Narxlar!F479-1</f>
        <v>4.48631673395372E-005</v>
      </c>
      <c r="H479" s="20" t="n">
        <f aca="false">LN(Narxlar!B480/Narxlar!B479)</f>
        <v>-0.00295613477189805</v>
      </c>
      <c r="I479" s="20" t="n">
        <f aca="false">LN(Narxlar!C480/Narxlar!C479)</f>
        <v>-0.0116139394888556</v>
      </c>
      <c r="J479" s="20" t="n">
        <f aca="false">LN(Narxlar!D480/Narxlar!D479)</f>
        <v>-0.00279061127467985</v>
      </c>
      <c r="K479" s="20" t="n">
        <f aca="false">LN(Narxlar!E480/Narxlar!E479)</f>
        <v>-0.00599564826413647</v>
      </c>
      <c r="L479" s="20" t="n">
        <f aca="false">LN(Narxlar!F480/Narxlar!F479)</f>
        <v>4.48621610177431E-005</v>
      </c>
    </row>
    <row r="480" customFormat="false" ht="15" hidden="false" customHeight="false" outlineLevel="0" collapsed="false">
      <c r="A480" s="19" t="n">
        <f aca="false">Narxlar!A481</f>
        <v>45964</v>
      </c>
      <c r="B480" s="20" t="n">
        <f aca="false">Narxlar!B481/Narxlar!B480-1</f>
        <v>-0.0167241566625022</v>
      </c>
      <c r="C480" s="20" t="n">
        <f aca="false">Narxlar!C481/Narxlar!C480-1</f>
        <v>-0.0297496790757381</v>
      </c>
      <c r="D480" s="20" t="n">
        <f aca="false">Narxlar!D481/Narxlar!D480-1</f>
        <v>-0.00849205057246727</v>
      </c>
      <c r="E480" s="20" t="n">
        <f aca="false">Narxlar!E481/Narxlar!E480-1</f>
        <v>-0.0136581388237692</v>
      </c>
      <c r="F480" s="20" t="n">
        <f aca="false">Narxlar!F481/Narxlar!F480-1</f>
        <v>-0.0432461531559822</v>
      </c>
      <c r="H480" s="20" t="n">
        <f aca="false">LN(Narxlar!B481/Narxlar!B480)</f>
        <v>-0.0168655844280356</v>
      </c>
      <c r="I480" s="20" t="n">
        <f aca="false">LN(Narxlar!C481/Narxlar!C480)</f>
        <v>-0.0302011779686701</v>
      </c>
      <c r="J480" s="20" t="n">
        <f aca="false">LN(Narxlar!D481/Narxlar!D480)</f>
        <v>-0.00852831347749029</v>
      </c>
      <c r="K480" s="20" t="n">
        <f aca="false">LN(Narxlar!E481/Narxlar!E480)</f>
        <v>-0.0137522692824483</v>
      </c>
      <c r="L480" s="20" t="n">
        <f aca="false">LN(Narxlar!F481/Narxlar!F480)</f>
        <v>-0.0442091339433396</v>
      </c>
    </row>
    <row r="481" customFormat="false" ht="15" hidden="false" customHeight="false" outlineLevel="0" collapsed="false">
      <c r="A481" s="19" t="n">
        <f aca="false">Narxlar!A482</f>
        <v>45965</v>
      </c>
      <c r="B481" s="20" t="n">
        <f aca="false">Narxlar!B482/Narxlar!B481-1</f>
        <v>-0.00602172516901578</v>
      </c>
      <c r="C481" s="20" t="n">
        <f aca="false">Narxlar!C482/Narxlar!C481-1</f>
        <v>-0.00618529421493075</v>
      </c>
      <c r="D481" s="20" t="n">
        <f aca="false">Narxlar!D482/Narxlar!D481-1</f>
        <v>-0.00240799014913118</v>
      </c>
      <c r="E481" s="20" t="n">
        <f aca="false">Narxlar!E482/Narxlar!E481-1</f>
        <v>-0.0079570114704971</v>
      </c>
      <c r="F481" s="20" t="n">
        <f aca="false">Narxlar!F482/Narxlar!F481-1</f>
        <v>-0.0123317859989684</v>
      </c>
      <c r="H481" s="20" t="n">
        <f aca="false">LN(Narxlar!B482/Narxlar!B481)</f>
        <v>-0.00603992887127249</v>
      </c>
      <c r="I481" s="20" t="n">
        <f aca="false">LN(Narxlar!C482/Narxlar!C481)</f>
        <v>-0.00620450239364549</v>
      </c>
      <c r="J481" s="20" t="n">
        <f aca="false">LN(Narxlar!D482/Narxlar!D481)</f>
        <v>-0.00241089402000862</v>
      </c>
      <c r="K481" s="20" t="n">
        <f aca="false">LN(Narxlar!E482/Narxlar!E481)</f>
        <v>-0.00798883742501496</v>
      </c>
      <c r="L481" s="20" t="n">
        <f aca="false">LN(Narxlar!F482/Narxlar!F481)</f>
        <v>-0.0124084534214475</v>
      </c>
    </row>
    <row r="482" customFormat="false" ht="15" hidden="false" customHeight="false" outlineLevel="0" collapsed="false">
      <c r="A482" s="19" t="n">
        <f aca="false">Narxlar!A483</f>
        <v>45966</v>
      </c>
      <c r="B482" s="20" t="n">
        <f aca="false">Narxlar!B483/Narxlar!B482-1</f>
        <v>-0.00635694783134277</v>
      </c>
      <c r="C482" s="20" t="n">
        <f aca="false">Narxlar!C483/Narxlar!C482-1</f>
        <v>-0.00432669906143912</v>
      </c>
      <c r="D482" s="20" t="n">
        <f aca="false">Narxlar!D483/Narxlar!D482-1</f>
        <v>-0.00499218257124834</v>
      </c>
      <c r="E482" s="20" t="n">
        <f aca="false">Narxlar!E483/Narxlar!E482-1</f>
        <v>-0.00760416666666663</v>
      </c>
      <c r="F482" s="20" t="n">
        <f aca="false">Narxlar!F483/Narxlar!F482-1</f>
        <v>-0.00344189137865547</v>
      </c>
      <c r="H482" s="20" t="n">
        <f aca="false">LN(Narxlar!B483/Narxlar!B482)</f>
        <v>-0.0063772392643054</v>
      </c>
      <c r="I482" s="20" t="n">
        <f aca="false">LN(Narxlar!C483/Narxlar!C482)</f>
        <v>-0.00433608631081078</v>
      </c>
      <c r="J482" s="20" t="n">
        <f aca="false">LN(Narxlar!D483/Narxlar!D482)</f>
        <v>-0.00500468514209486</v>
      </c>
      <c r="K482" s="20" t="n">
        <f aca="false">LN(Narxlar!E483/Narxlar!E482)</f>
        <v>-0.0076332257491482</v>
      </c>
      <c r="L482" s="20" t="n">
        <f aca="false">LN(Narxlar!F483/Narxlar!F482)</f>
        <v>-0.00344782831355796</v>
      </c>
    </row>
    <row r="483" customFormat="false" ht="15" hidden="false" customHeight="false" outlineLevel="0" collapsed="false">
      <c r="A483" s="19" t="n">
        <f aca="false">Narxlar!A484</f>
        <v>45967</v>
      </c>
      <c r="B483" s="20" t="n">
        <f aca="false">Narxlar!B484/Narxlar!B483-1</f>
        <v>-0.030869376739243</v>
      </c>
      <c r="C483" s="20" t="n">
        <f aca="false">Narxlar!C484/Narxlar!C483-1</f>
        <v>-0.0327249632303784</v>
      </c>
      <c r="D483" s="20" t="n">
        <f aca="false">Narxlar!D484/Narxlar!D483-1</f>
        <v>-0.0371330117160579</v>
      </c>
      <c r="E483" s="20" t="n">
        <f aca="false">Narxlar!E484/Narxlar!E483-1</f>
        <v>-0.0256114201742417</v>
      </c>
      <c r="F483" s="20" t="n">
        <f aca="false">Narxlar!F484/Narxlar!F483-1</f>
        <v>-0.0460186265869519</v>
      </c>
      <c r="H483" s="20" t="n">
        <f aca="false">LN(Narxlar!B484/Narxlar!B483)</f>
        <v>-0.0313558740496768</v>
      </c>
      <c r="I483" s="20" t="n">
        <f aca="false">LN(Narxlar!C484/Narxlar!C483)</f>
        <v>-0.033272401249956</v>
      </c>
      <c r="J483" s="20" t="n">
        <f aca="false">LN(Narxlar!D484/Narxlar!D483)</f>
        <v>-0.0378399989626634</v>
      </c>
      <c r="K483" s="20" t="n">
        <f aca="false">LN(Narxlar!E484/Narxlar!E483)</f>
        <v>-0.0259451023068469</v>
      </c>
      <c r="L483" s="20" t="n">
        <f aca="false">LN(Narxlar!F484/Narxlar!F483)</f>
        <v>-0.0471111324487287</v>
      </c>
    </row>
    <row r="484" customFormat="false" ht="15" hidden="false" customHeight="false" outlineLevel="0" collapsed="false">
      <c r="A484" s="19" t="n">
        <f aca="false">Narxlar!A485</f>
        <v>45968</v>
      </c>
      <c r="B484" s="20" t="n">
        <f aca="false">Narxlar!B485/Narxlar!B484-1</f>
        <v>-0.0159948631742984</v>
      </c>
      <c r="C484" s="20" t="n">
        <f aca="false">Narxlar!C485/Narxlar!C484-1</f>
        <v>-0.0167259909458479</v>
      </c>
      <c r="D484" s="20" t="n">
        <f aca="false">Narxlar!D485/Narxlar!D484-1</f>
        <v>-0.0126832340815392</v>
      </c>
      <c r="E484" s="20" t="n">
        <f aca="false">Narxlar!E485/Narxlar!E484-1</f>
        <v>-0.0149736076699343</v>
      </c>
      <c r="F484" s="20" t="n">
        <f aca="false">Narxlar!F485/Narxlar!F484-1</f>
        <v>0.00127337644503256</v>
      </c>
      <c r="H484" s="20" t="n">
        <f aca="false">LN(Narxlar!B485/Narxlar!B484)</f>
        <v>-0.0161241615921869</v>
      </c>
      <c r="I484" s="20" t="n">
        <f aca="false">LN(Narxlar!C485/Narxlar!C484)</f>
        <v>-0.0168674499117339</v>
      </c>
      <c r="J484" s="20" t="n">
        <f aca="false">LN(Narxlar!D485/Narxlar!D484)</f>
        <v>-0.0127643529243335</v>
      </c>
      <c r="K484" s="20" t="n">
        <f aca="false">LN(Narxlar!E485/Narxlar!E484)</f>
        <v>-0.015086843925286</v>
      </c>
      <c r="L484" s="20" t="n">
        <f aca="false">LN(Narxlar!F485/Narxlar!F484)</f>
        <v>0.00127256638884523</v>
      </c>
    </row>
    <row r="485" customFormat="false" ht="15" hidden="false" customHeight="false" outlineLevel="0" collapsed="false">
      <c r="A485" s="19" t="n">
        <f aca="false">Narxlar!A486</f>
        <v>45971</v>
      </c>
      <c r="B485" s="20" t="n">
        <f aca="false">Narxlar!B486/Narxlar!B485-1</f>
        <v>-0.0157269594545055</v>
      </c>
      <c r="C485" s="20" t="n">
        <f aca="false">Narxlar!C486/Narxlar!C485-1</f>
        <v>-0.0183811900326855</v>
      </c>
      <c r="D485" s="20" t="n">
        <f aca="false">Narxlar!D486/Narxlar!D485-1</f>
        <v>0.00693054951428151</v>
      </c>
      <c r="E485" s="20" t="n">
        <f aca="false">Narxlar!E486/Narxlar!E485-1</f>
        <v>-0.000765529308836443</v>
      </c>
      <c r="F485" s="20" t="n">
        <f aca="false">Narxlar!F486/Narxlar!F485-1</f>
        <v>-0.0194753378883846</v>
      </c>
      <c r="H485" s="20" t="n">
        <f aca="false">LN(Narxlar!B486/Narxlar!B485)</f>
        <v>-0.0158519401912413</v>
      </c>
      <c r="I485" s="20" t="n">
        <f aca="false">LN(Narxlar!C486/Narxlar!C485)</f>
        <v>-0.0185522232106459</v>
      </c>
      <c r="J485" s="20" t="n">
        <f aca="false">LN(Narxlar!D486/Narxlar!D485)</f>
        <v>0.00690664364630692</v>
      </c>
      <c r="K485" s="20" t="n">
        <f aca="false">LN(Narxlar!E486/Narxlar!E485)</f>
        <v>-0.000765822476026053</v>
      </c>
      <c r="L485" s="20" t="n">
        <f aca="false">LN(Narxlar!F486/Narxlar!F485)</f>
        <v>-0.019667481074994</v>
      </c>
    </row>
    <row r="486" customFormat="false" ht="15" hidden="false" customHeight="false" outlineLevel="0" collapsed="false">
      <c r="A486" s="19" t="n">
        <f aca="false">Narxlar!A487</f>
        <v>45972</v>
      </c>
      <c r="B486" s="20" t="n">
        <f aca="false">Narxlar!B487/Narxlar!B486-1</f>
        <v>-0.00372453350217883</v>
      </c>
      <c r="C486" s="20" t="n">
        <f aca="false">Narxlar!C487/Narxlar!C486-1</f>
        <v>-0.0113139992839241</v>
      </c>
      <c r="D486" s="20" t="n">
        <f aca="false">Narxlar!D487/Narxlar!D486-1</f>
        <v>-0.013650501094344</v>
      </c>
      <c r="E486" s="20" t="n">
        <f aca="false">Narxlar!E487/Narxlar!E486-1</f>
        <v>-0.00328335339827079</v>
      </c>
      <c r="F486" s="20" t="n">
        <f aca="false">Narxlar!F487/Narxlar!F486-1</f>
        <v>-0.0168103557895273</v>
      </c>
      <c r="H486" s="20" t="n">
        <f aca="false">LN(Narxlar!B487/Narxlar!B486)</f>
        <v>-0.00373148684776509</v>
      </c>
      <c r="I486" s="20" t="n">
        <f aca="false">LN(Narxlar!C487/Narxlar!C486)</f>
        <v>-0.0113784894631248</v>
      </c>
      <c r="J486" s="20" t="n">
        <f aca="false">LN(Narxlar!D487/Narxlar!D486)</f>
        <v>-0.0137445258213272</v>
      </c>
      <c r="K486" s="20" t="n">
        <f aca="false">LN(Narxlar!E487/Narxlar!E486)</f>
        <v>-0.00328875543080203</v>
      </c>
      <c r="L486" s="20" t="n">
        <f aca="false">LN(Narxlar!F487/Narxlar!F486)</f>
        <v>-0.0169532535253334</v>
      </c>
    </row>
    <row r="487" customFormat="false" ht="15" hidden="false" customHeight="false" outlineLevel="0" collapsed="false">
      <c r="A487" s="19" t="n">
        <f aca="false">Narxlar!A488</f>
        <v>45973</v>
      </c>
      <c r="B487" s="20" t="n">
        <f aca="false">Narxlar!B488/Narxlar!B487-1</f>
        <v>-0.00703577703839398</v>
      </c>
      <c r="C487" s="20" t="n">
        <f aca="false">Narxlar!C488/Narxlar!C487-1</f>
        <v>-0.0145940464981531</v>
      </c>
      <c r="D487" s="20" t="n">
        <f aca="false">Narxlar!D488/Narxlar!D487-1</f>
        <v>-0.00665693430656933</v>
      </c>
      <c r="E487" s="20" t="n">
        <f aca="false">Narxlar!E488/Narxlar!E487-1</f>
        <v>-0.00417261447238393</v>
      </c>
      <c r="F487" s="20" t="n">
        <f aca="false">Narxlar!F488/Narxlar!F487-1</f>
        <v>0.0102690118986033</v>
      </c>
      <c r="H487" s="20" t="n">
        <f aca="false">LN(Narxlar!B488/Narxlar!B487)</f>
        <v>-0.00706064482912887</v>
      </c>
      <c r="I487" s="20" t="n">
        <f aca="false">LN(Narxlar!C488/Narxlar!C487)</f>
        <v>-0.0147015871797005</v>
      </c>
      <c r="J487" s="20" t="n">
        <f aca="false">LN(Narxlar!D488/Narxlar!D487)</f>
        <v>-0.0066791905208432</v>
      </c>
      <c r="K487" s="20" t="n">
        <f aca="false">LN(Narxlar!E488/Narxlar!E487)</f>
        <v>-0.00418134412025089</v>
      </c>
      <c r="L487" s="20" t="n">
        <f aca="false">LN(Narxlar!F488/Narxlar!F487)</f>
        <v>0.010216643803185</v>
      </c>
    </row>
    <row r="488" customFormat="false" ht="15" hidden="false" customHeight="false" outlineLevel="0" collapsed="false">
      <c r="A488" s="19" t="n">
        <f aca="false">Narxlar!A489</f>
        <v>45974</v>
      </c>
      <c r="B488" s="20" t="n">
        <f aca="false">Narxlar!B489/Narxlar!B488-1</f>
        <v>-0.00741694527273273</v>
      </c>
      <c r="C488" s="20" t="n">
        <f aca="false">Narxlar!C489/Narxlar!C488-1</f>
        <v>-0.0270478850464886</v>
      </c>
      <c r="D488" s="20" t="n">
        <f aca="false">Narxlar!D489/Narxlar!D488-1</f>
        <v>-0.026894362471342</v>
      </c>
      <c r="E488" s="20" t="n">
        <f aca="false">Narxlar!E489/Narxlar!E488-1</f>
        <v>-0.0147756092182159</v>
      </c>
      <c r="F488" s="20" t="n">
        <f aca="false">Narxlar!F489/Narxlar!F488-1</f>
        <v>0.00115216222444126</v>
      </c>
      <c r="H488" s="20" t="n">
        <f aca="false">LN(Narxlar!B489/Narxlar!B488)</f>
        <v>-0.00744458757711</v>
      </c>
      <c r="I488" s="20" t="n">
        <f aca="false">LN(Narxlar!C489/Narxlar!C488)</f>
        <v>-0.02742041182679</v>
      </c>
      <c r="J488" s="20" t="n">
        <f aca="false">LN(Narxlar!D489/Narxlar!D488)</f>
        <v>-0.0272626338006557</v>
      </c>
      <c r="K488" s="20" t="n">
        <f aca="false">LN(Narxlar!E489/Narxlar!E488)</f>
        <v>-0.0148858558540393</v>
      </c>
      <c r="L488" s="20" t="n">
        <f aca="false">LN(Narxlar!F489/Narxlar!F488)</f>
        <v>0.00115149899492865</v>
      </c>
    </row>
    <row r="489" customFormat="false" ht="15" hidden="false" customHeight="false" outlineLevel="0" collapsed="false">
      <c r="A489" s="19" t="n">
        <f aca="false">Narxlar!A490</f>
        <v>45975</v>
      </c>
      <c r="B489" s="20" t="n">
        <f aca="false">Narxlar!B490/Narxlar!B489-1</f>
        <v>-0.0200426342181325</v>
      </c>
      <c r="C489" s="20" t="n">
        <f aca="false">Narxlar!C490/Narxlar!C489-1</f>
        <v>-0.0216052880075543</v>
      </c>
      <c r="D489" s="20" t="n">
        <f aca="false">Narxlar!D490/Narxlar!D489-1</f>
        <v>-0.0195426948983599</v>
      </c>
      <c r="E489" s="20" t="n">
        <f aca="false">Narxlar!E490/Narxlar!E489-1</f>
        <v>-0.0155567991046447</v>
      </c>
      <c r="F489" s="20" t="n">
        <f aca="false">Narxlar!F490/Narxlar!F489-1</f>
        <v>-0.015728095749578</v>
      </c>
      <c r="H489" s="20" t="n">
        <f aca="false">LN(Narxlar!B490/Narxlar!B489)</f>
        <v>-0.0202462125680759</v>
      </c>
      <c r="I489" s="20" t="n">
        <f aca="false">LN(Narxlar!C490/Narxlar!C489)</f>
        <v>-0.0218420993739379</v>
      </c>
      <c r="J489" s="20" t="n">
        <f aca="false">LN(Narxlar!D490/Narxlar!D489)</f>
        <v>-0.0197361783002903</v>
      </c>
      <c r="K489" s="20" t="n">
        <f aca="false">LN(Narxlar!E490/Narxlar!E489)</f>
        <v>-0.0156790759188767</v>
      </c>
      <c r="L489" s="20" t="n">
        <f aca="false">LN(Narxlar!F490/Narxlar!F489)</f>
        <v>-0.0158530946429854</v>
      </c>
    </row>
    <row r="490" customFormat="false" ht="15" hidden="false" customHeight="false" outlineLevel="0" collapsed="false">
      <c r="A490" s="19" t="n">
        <f aca="false">Narxlar!A491</f>
        <v>45978</v>
      </c>
      <c r="B490" s="20" t="n">
        <f aca="false">Narxlar!B491/Narxlar!B490-1</f>
        <v>-0.00546536922207508</v>
      </c>
      <c r="C490" s="20" t="n">
        <f aca="false">Narxlar!C491/Narxlar!C490-1</f>
        <v>-0.000424661236150259</v>
      </c>
      <c r="D490" s="20" t="n">
        <f aca="false">Narxlar!D491/Narxlar!D490-1</f>
        <v>0.0100431300061614</v>
      </c>
      <c r="E490" s="20" t="n">
        <f aca="false">Narxlar!E491/Narxlar!E490-1</f>
        <v>-0.00295588904047295</v>
      </c>
      <c r="F490" s="20" t="n">
        <f aca="false">Narxlar!F491/Narxlar!F490-1</f>
        <v>-0.0124197781068932</v>
      </c>
      <c r="H490" s="20" t="n">
        <f aca="false">LN(Narxlar!B491/Narxlar!B490)</f>
        <v>-0.0054803589938143</v>
      </c>
      <c r="I490" s="20" t="n">
        <f aca="false">LN(Narxlar!C491/Narxlar!C490)</f>
        <v>-0.000424751430268538</v>
      </c>
      <c r="J490" s="20" t="n">
        <f aca="false">LN(Narxlar!D491/Narxlar!D490)</f>
        <v>0.00999303291781938</v>
      </c>
      <c r="K490" s="20" t="n">
        <f aca="false">LN(Narxlar!E491/Narxlar!E490)</f>
        <v>-0.00296026630842308</v>
      </c>
      <c r="L490" s="20" t="n">
        <f aca="false">LN(Narxlar!F491/Narxlar!F490)</f>
        <v>-0.0124975481463276</v>
      </c>
    </row>
    <row r="491" customFormat="false" ht="15" hidden="false" customHeight="false" outlineLevel="0" collapsed="false">
      <c r="A491" s="19" t="n">
        <f aca="false">Narxlar!A492</f>
        <v>45979</v>
      </c>
      <c r="B491" s="20" t="n">
        <f aca="false">Narxlar!B492/Narxlar!B491-1</f>
        <v>-0.00575227094052366</v>
      </c>
      <c r="C491" s="20" t="n">
        <f aca="false">Narxlar!C492/Narxlar!C491-1</f>
        <v>-0.0136335547659509</v>
      </c>
      <c r="D491" s="20" t="n">
        <f aca="false">Narxlar!D492/Narxlar!D491-1</f>
        <v>0.015311413408162</v>
      </c>
      <c r="E491" s="20" t="n">
        <f aca="false">Narxlar!E492/Narxlar!E491-1</f>
        <v>-0.00638540478905358</v>
      </c>
      <c r="F491" s="20" t="n">
        <f aca="false">Narxlar!F492/Narxlar!F491-1</f>
        <v>-0.0202057407456129</v>
      </c>
      <c r="H491" s="20" t="n">
        <f aca="false">LN(Narxlar!B492/Narxlar!B491)</f>
        <v>-0.00576887897089441</v>
      </c>
      <c r="I491" s="20" t="n">
        <f aca="false">LN(Narxlar!C492/Narxlar!C491)</f>
        <v>-0.013727345113234</v>
      </c>
      <c r="J491" s="20" t="n">
        <f aca="false">LN(Narxlar!D492/Narxlar!D491)</f>
        <v>0.0151953766763756</v>
      </c>
      <c r="K491" s="20" t="n">
        <f aca="false">LN(Narxlar!E492/Narxlar!E491)</f>
        <v>-0.00640587868884129</v>
      </c>
      <c r="L491" s="20" t="n">
        <f aca="false">LN(Narxlar!F492/Narxlar!F491)</f>
        <v>-0.0204126688942484</v>
      </c>
    </row>
    <row r="492" customFormat="false" ht="15" hidden="false" customHeight="false" outlineLevel="0" collapsed="false">
      <c r="A492" s="19" t="n">
        <f aca="false">Narxlar!A493</f>
        <v>45980</v>
      </c>
      <c r="B492" s="20" t="n">
        <f aca="false">Narxlar!B493/Narxlar!B492-1</f>
        <v>-0.0136770738734225</v>
      </c>
      <c r="C492" s="20" t="n">
        <f aca="false">Narxlar!C493/Narxlar!C492-1</f>
        <v>-0.0201260816790008</v>
      </c>
      <c r="D492" s="20" t="n">
        <f aca="false">Narxlar!D493/Narxlar!D492-1</f>
        <v>-0.0174236962268686</v>
      </c>
      <c r="E492" s="20" t="n">
        <f aca="false">Narxlar!E493/Narxlar!E492-1</f>
        <v>-0.0113610282304338</v>
      </c>
      <c r="F492" s="20" t="n">
        <f aca="false">Narxlar!F493/Narxlar!F492-1</f>
        <v>-0.0160307188313955</v>
      </c>
      <c r="H492" s="20" t="n">
        <f aca="false">LN(Narxlar!B493/Narxlar!B492)</f>
        <v>-0.0137714667150539</v>
      </c>
      <c r="I492" s="20" t="n">
        <f aca="false">LN(Narxlar!C493/Narxlar!C492)</f>
        <v>-0.0203313703687454</v>
      </c>
      <c r="J492" s="20" t="n">
        <f aca="false">LN(Narxlar!D493/Narxlar!D492)</f>
        <v>-0.0175772753809094</v>
      </c>
      <c r="K492" s="20" t="n">
        <f aca="false">LN(Narxlar!E493/Narxlar!E492)</f>
        <v>-0.0114260577153575</v>
      </c>
      <c r="L492" s="20" t="n">
        <f aca="false">LN(Narxlar!F493/Narxlar!F492)</f>
        <v>-0.0161606007417746</v>
      </c>
    </row>
    <row r="493" customFormat="false" ht="15" hidden="false" customHeight="false" outlineLevel="0" collapsed="false">
      <c r="A493" s="19" t="n">
        <f aca="false">Narxlar!A494</f>
        <v>45981</v>
      </c>
      <c r="B493" s="20" t="n">
        <f aca="false">Narxlar!B494/Narxlar!B493-1</f>
        <v>-0.0158272810255188</v>
      </c>
      <c r="C493" s="20" t="n">
        <f aca="false">Narxlar!C494/Narxlar!C493-1</f>
        <v>-0.0176623376623377</v>
      </c>
      <c r="D493" s="20" t="n">
        <f aca="false">Narxlar!D494/Narxlar!D493-1</f>
        <v>0.0179466797113856</v>
      </c>
      <c r="E493" s="20" t="n">
        <f aca="false">Narxlar!E494/Narxlar!E493-1</f>
        <v>-0.00661636680208932</v>
      </c>
      <c r="F493" s="20" t="n">
        <f aca="false">Narxlar!F494/Narxlar!F493-1</f>
        <v>-0.00663137212094744</v>
      </c>
      <c r="H493" s="20" t="n">
        <f aca="false">LN(Narxlar!B494/Narxlar!B493)</f>
        <v>-0.0159538699199269</v>
      </c>
      <c r="I493" s="20" t="n">
        <f aca="false">LN(Narxlar!C494/Narxlar!C493)</f>
        <v>-0.0178201780634272</v>
      </c>
      <c r="J493" s="20" t="n">
        <f aca="false">LN(Narxlar!D494/Narxlar!D493)</f>
        <v>0.0177875392628549</v>
      </c>
      <c r="K493" s="20" t="n">
        <f aca="false">LN(Narxlar!E494/Narxlar!E493)</f>
        <v>-0.00663835198526779</v>
      </c>
      <c r="L493" s="20" t="n">
        <f aca="false">LN(Narxlar!F494/Narxlar!F493)</f>
        <v>-0.00665345736015764</v>
      </c>
    </row>
    <row r="494" customFormat="false" ht="15" hidden="false" customHeight="false" outlineLevel="0" collapsed="false">
      <c r="A494" s="19" t="n">
        <f aca="false">Narxlar!A495</f>
        <v>45982</v>
      </c>
      <c r="B494" s="20" t="n">
        <f aca="false">Narxlar!B495/Narxlar!B494-1</f>
        <v>-0.0100733117726287</v>
      </c>
      <c r="C494" s="20" t="n">
        <f aca="false">Narxlar!C495/Narxlar!C494-1</f>
        <v>-0.0440548346418257</v>
      </c>
      <c r="D494" s="20" t="n">
        <f aca="false">Narxlar!D495/Narxlar!D494-1</f>
        <v>-0.037873554587776</v>
      </c>
      <c r="E494" s="20" t="n">
        <f aca="false">Narxlar!E495/Narxlar!E494-1</f>
        <v>-0.0107501752745969</v>
      </c>
      <c r="F494" s="20" t="n">
        <f aca="false">Narxlar!F495/Narxlar!F494-1</f>
        <v>-0.00810417296228128</v>
      </c>
      <c r="H494" s="20" t="n">
        <f aca="false">LN(Narxlar!B495/Narxlar!B494)</f>
        <v>-0.0101243908910926</v>
      </c>
      <c r="I494" s="20" t="n">
        <f aca="false">LN(Narxlar!C495/Narxlar!C494)</f>
        <v>-0.0450547259877439</v>
      </c>
      <c r="J494" s="20" t="n">
        <f aca="false">LN(Narxlar!D495/Narxlar!D494)</f>
        <v>-0.0386093968164815</v>
      </c>
      <c r="K494" s="20" t="n">
        <f aca="false">LN(Narxlar!E495/Narxlar!E494)</f>
        <v>-0.0108083758958931</v>
      </c>
      <c r="L494" s="20" t="n">
        <f aca="false">LN(Narxlar!F495/Narxlar!F494)</f>
        <v>-0.00813719027833821</v>
      </c>
    </row>
    <row r="495" customFormat="false" ht="15" hidden="false" customHeight="false" outlineLevel="0" collapsed="false">
      <c r="A495" s="19" t="n">
        <f aca="false">Narxlar!A496</f>
        <v>45985</v>
      </c>
      <c r="B495" s="20" t="n">
        <f aca="false">Narxlar!B496/Narxlar!B495-1</f>
        <v>0.00854638184158651</v>
      </c>
      <c r="C495" s="20" t="n">
        <f aca="false">Narxlar!C496/Narxlar!C495-1</f>
        <v>0.00582978723404248</v>
      </c>
      <c r="D495" s="20" t="n">
        <f aca="false">Narxlar!D496/Narxlar!D495-1</f>
        <v>0.00861584566398199</v>
      </c>
      <c r="E495" s="20" t="n">
        <f aca="false">Narxlar!E496/Narxlar!E495-1</f>
        <v>0.00637845499645651</v>
      </c>
      <c r="F495" s="20" t="n">
        <f aca="false">Narxlar!F496/Narxlar!F495-1</f>
        <v>-0.00825347587658565</v>
      </c>
      <c r="H495" s="20" t="n">
        <f aca="false">LN(Narxlar!B496/Narxlar!B495)</f>
        <v>0.00851006827335644</v>
      </c>
      <c r="I495" s="20" t="n">
        <f aca="false">LN(Narxlar!C496/Narxlar!C495)</f>
        <v>0.00581285978154738</v>
      </c>
      <c r="J495" s="20" t="n">
        <f aca="false">LN(Narxlar!D496/Narxlar!D495)</f>
        <v>0.00857894109030269</v>
      </c>
      <c r="K495" s="20" t="n">
        <f aca="false">LN(Narxlar!E496/Narxlar!E495)</f>
        <v>0.0063581987424925</v>
      </c>
      <c r="L495" s="20" t="n">
        <f aca="false">LN(Narxlar!F496/Narxlar!F495)</f>
        <v>-0.00828772438495165</v>
      </c>
    </row>
    <row r="496" customFormat="false" ht="15" hidden="false" customHeight="false" outlineLevel="0" collapsed="false">
      <c r="A496" s="19" t="n">
        <f aca="false">Narxlar!A497</f>
        <v>45986</v>
      </c>
      <c r="B496" s="20" t="n">
        <f aca="false">Narxlar!B497/Narxlar!B496-1</f>
        <v>-0.00596166118700081</v>
      </c>
      <c r="C496" s="20" t="n">
        <f aca="false">Narxlar!C497/Narxlar!C496-1</f>
        <v>0.000338452426280833</v>
      </c>
      <c r="D496" s="20" t="n">
        <f aca="false">Narxlar!D497/Narxlar!D496-1</f>
        <v>-0.0070256886412875</v>
      </c>
      <c r="E496" s="20" t="n">
        <f aca="false">Narxlar!E497/Narxlar!E496-1</f>
        <v>-0.00457746478873244</v>
      </c>
      <c r="F496" s="20" t="n">
        <f aca="false">Narxlar!F497/Narxlar!F496-1</f>
        <v>-0.0195766309204647</v>
      </c>
      <c r="H496" s="20" t="n">
        <f aca="false">LN(Narxlar!B497/Narxlar!B496)</f>
        <v>-0.00597950283496976</v>
      </c>
      <c r="I496" s="20" t="n">
        <f aca="false">LN(Narxlar!C497/Narxlar!C496)</f>
        <v>0.000338395164178373</v>
      </c>
      <c r="J496" s="20" t="n">
        <f aca="false">LN(Narxlar!D497/Narxlar!D496)</f>
        <v>-0.00705048500098493</v>
      </c>
      <c r="K496" s="20" t="n">
        <f aca="false">LN(Narxlar!E497/Narxlar!E496)</f>
        <v>-0.00458797346166143</v>
      </c>
      <c r="L496" s="20" t="n">
        <f aca="false">LN(Narxlar!F497/Narxlar!F496)</f>
        <v>-0.0197707913418231</v>
      </c>
    </row>
    <row r="497" customFormat="false" ht="15" hidden="false" customHeight="false" outlineLevel="0" collapsed="false">
      <c r="A497" s="19" t="n">
        <f aca="false">Narxlar!A498</f>
        <v>45987</v>
      </c>
      <c r="B497" s="20" t="n">
        <f aca="false">Narxlar!B498/Narxlar!B497-1</f>
        <v>-0.00169032855761331</v>
      </c>
      <c r="C497" s="20" t="n">
        <f aca="false">Narxlar!C498/Narxlar!C497-1</f>
        <v>0</v>
      </c>
      <c r="D497" s="20" t="n">
        <f aca="false">Narxlar!D498/Narxlar!D497-1</f>
        <v>-0.00604681607081636</v>
      </c>
      <c r="E497" s="20" t="n">
        <f aca="false">Narxlar!E498/Narxlar!E497-1</f>
        <v>0.00282985496993282</v>
      </c>
      <c r="F497" s="20" t="n">
        <f aca="false">Narxlar!F498/Narxlar!F497-1</f>
        <v>0.0248953200216482</v>
      </c>
      <c r="H497" s="20" t="n">
        <f aca="false">LN(Narxlar!B498/Narxlar!B497)</f>
        <v>-0.00169175877484824</v>
      </c>
      <c r="I497" s="20" t="n">
        <f aca="false">LN(Narxlar!C498/Narxlar!C497)</f>
        <v>0</v>
      </c>
      <c r="J497" s="20" t="n">
        <f aca="false">LN(Narxlar!D498/Narxlar!D497)</f>
        <v>-0.00606517209753298</v>
      </c>
      <c r="K497" s="20" t="n">
        <f aca="false">LN(Narxlar!E498/Narxlar!E497)</f>
        <v>0.00282585846826213</v>
      </c>
      <c r="L497" s="20" t="n">
        <f aca="false">LN(Narxlar!F498/Narxlar!F497)</f>
        <v>0.0245904805669258</v>
      </c>
    </row>
    <row r="498" customFormat="false" ht="15" hidden="false" customHeight="false" outlineLevel="0" collapsed="false">
      <c r="A498" s="19" t="n">
        <f aca="false">Narxlar!A499</f>
        <v>45988</v>
      </c>
      <c r="B498" s="20" t="n">
        <f aca="false">Narxlar!B499/Narxlar!B498-1</f>
        <v>0.00571451829541281</v>
      </c>
      <c r="C498" s="20" t="n">
        <f aca="false">Narxlar!C499/Narxlar!C498-1</f>
        <v>-0.00173398181433704</v>
      </c>
      <c r="D498" s="20" t="n">
        <f aca="false">Narxlar!D499/Narxlar!D498-1</f>
        <v>0.00376305309040736</v>
      </c>
      <c r="E498" s="20" t="n">
        <f aca="false">Narxlar!E499/Narxlar!E498-1</f>
        <v>-0.000587889476778347</v>
      </c>
      <c r="F498" s="20" t="n">
        <f aca="false">Narxlar!F499/Narxlar!F498-1</f>
        <v>0.0116728273255329</v>
      </c>
      <c r="H498" s="20" t="n">
        <f aca="false">LN(Narxlar!B499/Narxlar!B498)</f>
        <v>0.0056982523742544</v>
      </c>
      <c r="I498" s="20" t="n">
        <f aca="false">LN(Narxlar!C499/Narxlar!C498)</f>
        <v>-0.00173548690091674</v>
      </c>
      <c r="J498" s="20" t="n">
        <f aca="false">LN(Narxlar!D499/Narxlar!D498)</f>
        <v>0.00375599051847053</v>
      </c>
      <c r="K498" s="20" t="n">
        <f aca="false">LN(Narxlar!E499/Narxlar!E498)</f>
        <v>-0.000588062351554295</v>
      </c>
      <c r="L498" s="20" t="n">
        <f aca="false">LN(Narxlar!F499/Narxlar!F498)</f>
        <v>0.0116052254381871</v>
      </c>
    </row>
    <row r="499" customFormat="false" ht="15" hidden="false" customHeight="false" outlineLevel="0" collapsed="false">
      <c r="A499" s="19" t="n">
        <f aca="false">Narxlar!A500</f>
        <v>45989</v>
      </c>
      <c r="B499" s="20" t="n">
        <f aca="false">Narxlar!B500/Narxlar!B499-1</f>
        <v>0.0080212388807499</v>
      </c>
      <c r="C499" s="20" t="n">
        <f aca="false">Narxlar!C500/Narxlar!C499-1</f>
        <v>0.0151669208608711</v>
      </c>
      <c r="D499" s="20" t="n">
        <f aca="false">Narxlar!D500/Narxlar!D499-1</f>
        <v>0.0049673529319878</v>
      </c>
      <c r="E499" s="20" t="n">
        <f aca="false">Narxlar!E500/Narxlar!E499-1</f>
        <v>-0.00258823529411767</v>
      </c>
      <c r="F499" s="20" t="n">
        <f aca="false">Narxlar!F500/Narxlar!F499-1</f>
        <v>0.00554929809620619</v>
      </c>
      <c r="H499" s="20" t="n">
        <f aca="false">LN(Narxlar!B500/Narxlar!B499)</f>
        <v>0.00798923974540511</v>
      </c>
      <c r="I499" s="20" t="n">
        <f aca="false">LN(Narxlar!C500/Narxlar!C499)</f>
        <v>0.0150530530227851</v>
      </c>
      <c r="J499" s="20" t="n">
        <f aca="false">LN(Narxlar!D500/Narxlar!D499)</f>
        <v>0.00495505633861332</v>
      </c>
      <c r="K499" s="20" t="n">
        <f aca="false">LN(Narxlar!E500/Narxlar!E499)</f>
        <v>-0.0025915905658254</v>
      </c>
      <c r="L499" s="20" t="n">
        <f aca="false">LN(Narxlar!F500/Narxlar!F499)</f>
        <v>0.00553395746850237</v>
      </c>
    </row>
    <row r="500" customFormat="false" ht="15" hidden="false" customHeight="false" outlineLevel="0" collapsed="false">
      <c r="A500" s="19" t="n">
        <f aca="false">Narxlar!A501</f>
        <v>45992</v>
      </c>
      <c r="B500" s="20" t="n">
        <f aca="false">Narxlar!B501/Narxlar!B500-1</f>
        <v>-0.000313157429860822</v>
      </c>
      <c r="C500" s="20" t="n">
        <f aca="false">Narxlar!C501/Narxlar!C500-1</f>
        <v>0.00826308321509051</v>
      </c>
      <c r="D500" s="20" t="n">
        <f aca="false">Narxlar!D501/Narxlar!D500-1</f>
        <v>-0.00982342700820693</v>
      </c>
      <c r="E500" s="20" t="n">
        <f aca="false">Narxlar!E501/Narxlar!E500-1</f>
        <v>0.00790280726586468</v>
      </c>
      <c r="F500" s="20" t="n">
        <f aca="false">Narxlar!F501/Narxlar!F500-1</f>
        <v>-0.00453514739229022</v>
      </c>
      <c r="H500" s="20" t="n">
        <f aca="false">LN(Narxlar!B501/Narxlar!B500)</f>
        <v>-0.000313206473888029</v>
      </c>
      <c r="I500" s="20" t="n">
        <f aca="false">LN(Narxlar!C501/Narxlar!C500)</f>
        <v>0.00822913084890683</v>
      </c>
      <c r="J500" s="20" t="n">
        <f aca="false">LN(Narxlar!D501/Narxlar!D500)</f>
        <v>-0.0098719951997745</v>
      </c>
      <c r="K500" s="20" t="n">
        <f aca="false">LN(Narxlar!E501/Narxlar!E500)</f>
        <v>0.00787174363710891</v>
      </c>
      <c r="L500" s="20" t="n">
        <f aca="false">LN(Narxlar!F501/Narxlar!F500)</f>
        <v>-0.00454546237167461</v>
      </c>
    </row>
    <row r="501" customFormat="false" ht="15" hidden="false" customHeight="false" outlineLevel="0" collapsed="false">
      <c r="A501" s="19" t="n">
        <f aca="false">Narxlar!A502</f>
        <v>45993</v>
      </c>
      <c r="B501" s="20" t="n">
        <f aca="false">Narxlar!B502/Narxlar!B501-1</f>
        <v>0.00567072827894188</v>
      </c>
      <c r="C501" s="20" t="n">
        <f aca="false">Narxlar!C502/Narxlar!C501-1</f>
        <v>0.0101407284768211</v>
      </c>
      <c r="D501" s="20" t="n">
        <f aca="false">Narxlar!D502/Narxlar!D501-1</f>
        <v>-0.0145359789024238</v>
      </c>
      <c r="E501" s="20" t="n">
        <f aca="false">Narxlar!E502/Narxlar!E501-1</f>
        <v>0.00655354008191922</v>
      </c>
      <c r="F501" s="20" t="n">
        <f aca="false">Narxlar!F502/Narxlar!F501-1</f>
        <v>0.0294480884814885</v>
      </c>
      <c r="H501" s="20" t="n">
        <f aca="false">LN(Narxlar!B502/Narxlar!B501)</f>
        <v>0.00565471022681903</v>
      </c>
      <c r="I501" s="20" t="n">
        <f aca="false">LN(Narxlar!C502/Narxlar!C501)</f>
        <v>0.0100896562724965</v>
      </c>
      <c r="J501" s="20" t="n">
        <f aca="false">LN(Narxlar!D502/Narxlar!D501)</f>
        <v>-0.0146426613281785</v>
      </c>
      <c r="K501" s="20" t="n">
        <f aca="false">LN(Narxlar!E502/Narxlar!E501)</f>
        <v>0.00653215900178823</v>
      </c>
      <c r="L501" s="20" t="n">
        <f aca="false">LN(Narxlar!F502/Narxlar!F501)</f>
        <v>0.0290228222041637</v>
      </c>
    </row>
    <row r="502" customFormat="false" ht="15" hidden="false" customHeight="false" outlineLevel="0" collapsed="false">
      <c r="A502" s="19" t="n">
        <f aca="false">Narxlar!A503</f>
        <v>45994</v>
      </c>
      <c r="B502" s="20" t="n">
        <f aca="false">Narxlar!B503/Narxlar!B502-1</f>
        <v>-0.00257976917854719</v>
      </c>
      <c r="C502" s="20" t="n">
        <f aca="false">Narxlar!C503/Narxlar!C502-1</f>
        <v>-0.0111452571194427</v>
      </c>
      <c r="D502" s="20" t="n">
        <f aca="false">Narxlar!D503/Narxlar!D502-1</f>
        <v>0.00242123036732611</v>
      </c>
      <c r="E502" s="20" t="n">
        <f aca="false">Narxlar!E503/Narxlar!E502-1</f>
        <v>0.00255784211138232</v>
      </c>
      <c r="F502" s="20" t="n">
        <f aca="false">Narxlar!F503/Narxlar!F502-1</f>
        <v>-0.0168221807517995</v>
      </c>
      <c r="H502" s="20" t="n">
        <f aca="false">LN(Narxlar!B503/Narxlar!B502)</f>
        <v>-0.00258310251711803</v>
      </c>
      <c r="I502" s="20" t="n">
        <f aca="false">LN(Narxlar!C503/Narxlar!C502)</f>
        <v>-0.0112078308656346</v>
      </c>
      <c r="J502" s="20" t="n">
        <f aca="false">LN(Narxlar!D503/Narxlar!D502)</f>
        <v>0.00241830391187694</v>
      </c>
      <c r="K502" s="20" t="n">
        <f aca="false">LN(Narxlar!E503/Narxlar!E502)</f>
        <v>0.00255457640084485</v>
      </c>
      <c r="L502" s="20" t="n">
        <f aca="false">LN(Narxlar!F503/Narxlar!F502)</f>
        <v>-0.0169652807404823</v>
      </c>
    </row>
    <row r="503" customFormat="false" ht="15" hidden="false" customHeight="false" outlineLevel="0" collapsed="false">
      <c r="A503" s="19" t="n">
        <f aca="false">Narxlar!A504</f>
        <v>45995</v>
      </c>
      <c r="B503" s="20" t="n">
        <f aca="false">Narxlar!B504/Narxlar!B503-1</f>
        <v>-0.00687849329767298</v>
      </c>
      <c r="C503" s="20" t="n">
        <f aca="false">Narxlar!C504/Narxlar!C503-1</f>
        <v>-0.0128869183276012</v>
      </c>
      <c r="D503" s="20" t="n">
        <f aca="false">Narxlar!D504/Narxlar!D503-1</f>
        <v>-0.00638805021452404</v>
      </c>
      <c r="E503" s="20" t="n">
        <f aca="false">Narxlar!E504/Narxlar!E503-1</f>
        <v>-0.00347906760988059</v>
      </c>
      <c r="F503" s="20" t="n">
        <f aca="false">Narxlar!F504/Narxlar!F503-1</f>
        <v>0.00517909921635629</v>
      </c>
      <c r="H503" s="20" t="n">
        <f aca="false">LN(Narxlar!B504/Narxlar!B503)</f>
        <v>-0.00690225917769337</v>
      </c>
      <c r="I503" s="20" t="n">
        <f aca="false">LN(Narxlar!C504/Narxlar!C503)</f>
        <v>-0.012970675014767</v>
      </c>
      <c r="J503" s="20" t="n">
        <f aca="false">LN(Narxlar!D504/Narxlar!D503)</f>
        <v>-0.00640854111852464</v>
      </c>
      <c r="K503" s="20" t="n">
        <f aca="false">LN(Narxlar!E504/Narxlar!E503)</f>
        <v>-0.00348513363910147</v>
      </c>
      <c r="L503" s="20" t="n">
        <f aca="false">LN(Narxlar!F504/Narxlar!F503)</f>
        <v>0.00516573380932733</v>
      </c>
    </row>
    <row r="504" customFormat="false" ht="15" hidden="false" customHeight="false" outlineLevel="0" collapsed="false">
      <c r="A504" s="19" t="n">
        <f aca="false">Narxlar!A505</f>
        <v>45996</v>
      </c>
      <c r="B504" s="20" t="n">
        <f aca="false">Narxlar!B505/Narxlar!B504-1</f>
        <v>-0.000322520822750638</v>
      </c>
      <c r="C504" s="20" t="n">
        <f aca="false">Narxlar!C505/Narxlar!C504-1</f>
        <v>0.00356813029972303</v>
      </c>
      <c r="D504" s="20" t="n">
        <f aca="false">Narxlar!D505/Narxlar!D504-1</f>
        <v>0.00188715455475941</v>
      </c>
      <c r="E504" s="20" t="n">
        <f aca="false">Narxlar!E505/Narxlar!E504-1</f>
        <v>-0.00814616548353309</v>
      </c>
      <c r="F504" s="20" t="n">
        <f aca="false">Narxlar!F505/Narxlar!F504-1</f>
        <v>-0.0148367952522255</v>
      </c>
      <c r="H504" s="20" t="n">
        <f aca="false">LN(Narxlar!B505/Narxlar!B504)</f>
        <v>-0.000322572843776736</v>
      </c>
      <c r="I504" s="20" t="n">
        <f aca="false">LN(Narxlar!C505/Narxlar!C504)</f>
        <v>0.00356177962501168</v>
      </c>
      <c r="J504" s="20" t="n">
        <f aca="false">LN(Narxlar!D505/Narxlar!D504)</f>
        <v>0.00188537611571068</v>
      </c>
      <c r="K504" s="20" t="n">
        <f aca="false">LN(Narxlar!E505/Narxlar!E504)</f>
        <v>-0.00817952679092537</v>
      </c>
      <c r="L504" s="20" t="n">
        <f aca="false">LN(Narxlar!F505/Narxlar!F504)</f>
        <v>-0.0149479614358731</v>
      </c>
    </row>
    <row r="505" customFormat="false" ht="15" hidden="false" customHeight="false" outlineLevel="0" collapsed="false">
      <c r="A505" s="19" t="n">
        <f aca="false">Narxlar!A506</f>
        <v>45999</v>
      </c>
      <c r="B505" s="20" t="n">
        <f aca="false">Narxlar!B506/Narxlar!B505-1</f>
        <v>-0.0183896179314905</v>
      </c>
      <c r="C505" s="20" t="n">
        <f aca="false">Narxlar!C506/Narxlar!C505-1</f>
        <v>-0.0190320826536161</v>
      </c>
      <c r="D505" s="20" t="n">
        <f aca="false">Narxlar!D506/Narxlar!D505-1</f>
        <v>-0.0179420872841043</v>
      </c>
      <c r="E505" s="20" t="n">
        <f aca="false">Narxlar!E506/Narxlar!E505-1</f>
        <v>-0.0347295553208964</v>
      </c>
      <c r="F505" s="20" t="n">
        <f aca="false">Narxlar!F506/Narxlar!F505-1</f>
        <v>-0.0291347207009858</v>
      </c>
      <c r="H505" s="20" t="n">
        <f aca="false">LN(Narxlar!B506/Narxlar!B505)</f>
        <v>-0.0185608089619574</v>
      </c>
      <c r="I505" s="20" t="n">
        <f aca="false">LN(Narxlar!C506/Narxlar!C505)</f>
        <v>-0.0192155239817521</v>
      </c>
      <c r="J505" s="20" t="n">
        <f aca="false">LN(Narxlar!D506/Narxlar!D505)</f>
        <v>-0.0181049981141444</v>
      </c>
      <c r="K505" s="20" t="n">
        <f aca="false">LN(Narxlar!E506/Narxlar!E505)</f>
        <v>-0.0353469633533673</v>
      </c>
      <c r="L505" s="20" t="n">
        <f aca="false">LN(Narxlar!F506/Narxlar!F505)</f>
        <v>-0.0295675646019491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9" min="9" style="0" width="32"/>
    <col collapsed="false" customWidth="true" hidden="false" outlineLevel="0" max="10" min="10" style="0" width="12"/>
  </cols>
  <sheetData>
    <row r="1" customFormat="false" ht="16.15" hidden="false" customHeight="false" outlineLevel="0" collapsed="false">
      <c r="A1" s="1" t="s">
        <v>84</v>
      </c>
    </row>
    <row r="2" customFormat="false" ht="15" hidden="false" customHeight="false" outlineLevel="0" collapsed="false">
      <c r="A2" s="6" t="s">
        <v>85</v>
      </c>
    </row>
    <row r="4" customFormat="false" ht="15" hidden="false" customHeight="false" outlineLevel="0" collapsed="false">
      <c r="A4" s="8" t="s">
        <v>86</v>
      </c>
      <c r="B4" s="27" t="n">
        <f aca="false">Parametrlar!$B$10</f>
        <v>0.94</v>
      </c>
    </row>
    <row r="6" customFormat="false" ht="23.85" hidden="false" customHeight="false" outlineLevel="0" collapsed="false">
      <c r="A6" s="7" t="s">
        <v>53</v>
      </c>
      <c r="B6" s="7" t="s">
        <v>87</v>
      </c>
      <c r="C6" s="7" t="s">
        <v>88</v>
      </c>
      <c r="D6" s="7" t="s">
        <v>89</v>
      </c>
      <c r="E6" s="7" t="s">
        <v>90</v>
      </c>
      <c r="F6" s="7" t="s">
        <v>91</v>
      </c>
      <c r="G6" s="7" t="s">
        <v>92</v>
      </c>
      <c r="I6" s="7" t="s">
        <v>93</v>
      </c>
      <c r="J6" s="7" t="s">
        <v>27</v>
      </c>
    </row>
    <row r="7" customFormat="false" ht="15" hidden="false" customHeight="false" outlineLevel="0" collapsed="false">
      <c r="A7" s="19" t="n">
        <f aca="false">Daromadlilik!A2</f>
        <v>45294</v>
      </c>
      <c r="B7" s="28" t="n">
        <f aca="false">Daromadlilik!H2</f>
        <v>0.0057235889695956</v>
      </c>
      <c r="C7" s="29" t="n">
        <f aca="false">B7^2</f>
        <v>3.27594706928764E-005</v>
      </c>
      <c r="D7" s="29" t="n">
        <f aca="false">VAR(B7:B26)</f>
        <v>6.23015551157185E-005</v>
      </c>
      <c r="E7" s="30" t="n">
        <f aca="false">SQRT(D7)</f>
        <v>0.00789313341555294</v>
      </c>
      <c r="F7" s="31" t="n">
        <f aca="false">E7*SQRT(Parametrlar!$B$6)</f>
        <v>0.125299608495642</v>
      </c>
      <c r="I7" s="8" t="s">
        <v>94</v>
      </c>
      <c r="J7" s="23" t="n">
        <f aca="false">STDEV(B7:B510)*SQRT(Parametrlar!$B$6)</f>
        <v>0.190032945822805</v>
      </c>
    </row>
    <row r="8" customFormat="false" ht="15" hidden="false" customHeight="false" outlineLevel="0" collapsed="false">
      <c r="A8" s="19" t="n">
        <f aca="false">Daromadlilik!A3</f>
        <v>45295</v>
      </c>
      <c r="B8" s="28" t="n">
        <f aca="false">Daromadlilik!H3</f>
        <v>-0.0134533870315369</v>
      </c>
      <c r="C8" s="29" t="n">
        <f aca="false">B8^2</f>
        <v>0.000180993622620324</v>
      </c>
      <c r="D8" s="29" t="n">
        <f aca="false">$B$4*D7+(1-$B$4)*C7</f>
        <v>6.05290300503479E-005</v>
      </c>
      <c r="E8" s="30" t="n">
        <f aca="false">SQRT(D8)</f>
        <v>0.00778004049156223</v>
      </c>
      <c r="F8" s="31" t="n">
        <f aca="false">E8*SQRT(Parametrlar!$B$6)</f>
        <v>0.123504313984118</v>
      </c>
      <c r="I8" s="8" t="s">
        <v>95</v>
      </c>
      <c r="J8" s="24" t="n">
        <f aca="false">SQRT($B$4*D510+(1-$B$4)*C510)*SQRT(Parametrlar!$B$6)</f>
        <v>0.164330543787482</v>
      </c>
    </row>
    <row r="9" customFormat="false" ht="15" hidden="false" customHeight="false" outlineLevel="0" collapsed="false">
      <c r="A9" s="19" t="n">
        <f aca="false">Daromadlilik!A4</f>
        <v>45296</v>
      </c>
      <c r="B9" s="28" t="n">
        <f aca="false">Daromadlilik!H4</f>
        <v>0.00653908944971972</v>
      </c>
      <c r="C9" s="29" t="n">
        <f aca="false">B9^2</f>
        <v>4.27596908314357E-005</v>
      </c>
      <c r="D9" s="29" t="n">
        <f aca="false">$B$4*D8+(1-$B$4)*C8</f>
        <v>6.77569056045465E-005</v>
      </c>
      <c r="E9" s="30" t="n">
        <f aca="false">SQRT(D9)</f>
        <v>0.00823145829149043</v>
      </c>
      <c r="F9" s="31" t="n">
        <f aca="false">E9*SQRT(Parametrlar!$B$6)</f>
        <v>0.130670349400106</v>
      </c>
      <c r="I9" s="8" t="s">
        <v>96</v>
      </c>
      <c r="J9" s="23" t="n">
        <f aca="false">MAX(F7:F510)</f>
        <v>0.357655249719381</v>
      </c>
    </row>
    <row r="10" customFormat="false" ht="15" hidden="false" customHeight="false" outlineLevel="0" collapsed="false">
      <c r="A10" s="19" t="n">
        <f aca="false">Daromadlilik!A5</f>
        <v>45299</v>
      </c>
      <c r="B10" s="28" t="n">
        <f aca="false">Daromadlilik!H5</f>
        <v>0.00541178731144148</v>
      </c>
      <c r="C10" s="29" t="n">
        <f aca="false">B10^2</f>
        <v>2.9287441904279E-005</v>
      </c>
      <c r="D10" s="29" t="n">
        <f aca="false">$B$4*D9+(1-$B$4)*C9</f>
        <v>6.62570727181599E-005</v>
      </c>
      <c r="E10" s="30" t="n">
        <f aca="false">SQRT(D10)</f>
        <v>0.00813984476007742</v>
      </c>
      <c r="F10" s="31" t="n">
        <f aca="false">E10*SQRT(Parametrlar!$B$6)</f>
        <v>0.129216029675022</v>
      </c>
      <c r="I10" s="8" t="s">
        <v>97</v>
      </c>
      <c r="J10" s="23" t="n">
        <f aca="false">MIN(F7:F510)</f>
        <v>0.0571777509548213</v>
      </c>
    </row>
    <row r="11" customFormat="false" ht="15" hidden="false" customHeight="false" outlineLevel="0" collapsed="false">
      <c r="A11" s="19" t="n">
        <f aca="false">Daromadlilik!A6</f>
        <v>45300</v>
      </c>
      <c r="B11" s="28" t="n">
        <f aca="false">Daromadlilik!H6</f>
        <v>-0.005271630335399</v>
      </c>
      <c r="C11" s="29" t="n">
        <f aca="false">B11^2</f>
        <v>2.7790086393099E-005</v>
      </c>
      <c r="D11" s="29" t="n">
        <f aca="false">$B$4*D10+(1-$B$4)*C10</f>
        <v>6.4038894869327E-005</v>
      </c>
      <c r="E11" s="30" t="n">
        <f aca="false">SQRT(D11)</f>
        <v>0.00800243056010654</v>
      </c>
      <c r="F11" s="31" t="n">
        <f aca="false">E11*SQRT(Parametrlar!$B$6)</f>
        <v>0.127034646876631</v>
      </c>
      <c r="I11" s="8" t="s">
        <v>98</v>
      </c>
      <c r="J11" s="23" t="n">
        <f aca="false">MAX(G26:G510)</f>
        <v>0.385194593568835</v>
      </c>
    </row>
    <row r="12" customFormat="false" ht="15" hidden="false" customHeight="false" outlineLevel="0" collapsed="false">
      <c r="A12" s="19" t="n">
        <f aca="false">Daromadlilik!A7</f>
        <v>45301</v>
      </c>
      <c r="B12" s="28" t="n">
        <f aca="false">Daromadlilik!H7</f>
        <v>0.0113077660888273</v>
      </c>
      <c r="C12" s="29" t="n">
        <f aca="false">B12^2</f>
        <v>0.000127865573919632</v>
      </c>
      <c r="D12" s="29" t="n">
        <f aca="false">$B$4*D11+(1-$B$4)*C11</f>
        <v>6.18639663607533E-005</v>
      </c>
      <c r="E12" s="30" t="n">
        <f aca="false">SQRT(D12)</f>
        <v>0.00786536498585751</v>
      </c>
      <c r="F12" s="31" t="n">
        <f aca="false">E12*SQRT(Parametrlar!$B$6)</f>
        <v>0.124858798340004</v>
      </c>
      <c r="I12" s="8" t="s">
        <v>99</v>
      </c>
      <c r="J12" s="23" t="n">
        <f aca="false">MIN(G26:G510)</f>
        <v>0.0480728294874099</v>
      </c>
    </row>
    <row r="13" customFormat="false" ht="15" hidden="false" customHeight="false" outlineLevel="0" collapsed="false">
      <c r="A13" s="19" t="n">
        <f aca="false">Daromadlilik!A8</f>
        <v>45302</v>
      </c>
      <c r="B13" s="28" t="n">
        <f aca="false">Daromadlilik!H8</f>
        <v>-0.013161427600038</v>
      </c>
      <c r="C13" s="29" t="n">
        <f aca="false">B13^2</f>
        <v>0.000173223176471042</v>
      </c>
      <c r="D13" s="29" t="n">
        <f aca="false">$B$4*D12+(1-$B$4)*C12</f>
        <v>6.5824062814286E-005</v>
      </c>
      <c r="E13" s="30" t="n">
        <f aca="false">SQRT(D13)</f>
        <v>0.00811320299353381</v>
      </c>
      <c r="F13" s="31" t="n">
        <f aca="false">E13*SQRT(Parametrlar!$B$6)</f>
        <v>0.128793104742452</v>
      </c>
    </row>
    <row r="14" customFormat="false" ht="15" hidden="false" customHeight="false" outlineLevel="0" collapsed="false">
      <c r="A14" s="19" t="n">
        <f aca="false">Daromadlilik!A9</f>
        <v>45303</v>
      </c>
      <c r="B14" s="28" t="n">
        <f aca="false">Daromadlilik!H9</f>
        <v>-0.0143233325192364</v>
      </c>
      <c r="C14" s="29" t="n">
        <f aca="false">B14^2</f>
        <v>0.000205157854456614</v>
      </c>
      <c r="D14" s="29" t="n">
        <f aca="false">$B$4*D13+(1-$B$4)*C13</f>
        <v>7.22680096336914E-005</v>
      </c>
      <c r="E14" s="30" t="n">
        <f aca="false">SQRT(D14)</f>
        <v>0.00850105932420727</v>
      </c>
      <c r="F14" s="31" t="n">
        <f aca="false">E14*SQRT(Parametrlar!$B$6)</f>
        <v>0.134950133114756</v>
      </c>
    </row>
    <row r="15" customFormat="false" ht="15" hidden="false" customHeight="false" outlineLevel="0" collapsed="false">
      <c r="A15" s="19" t="n">
        <f aca="false">Daromadlilik!A10</f>
        <v>45306</v>
      </c>
      <c r="B15" s="28" t="n">
        <f aca="false">Daromadlilik!H10</f>
        <v>-0.00467047543458994</v>
      </c>
      <c r="C15" s="29" t="n">
        <f aca="false">B15^2</f>
        <v>2.18133407851081E-005</v>
      </c>
      <c r="D15" s="29" t="n">
        <f aca="false">$B$4*D14+(1-$B$4)*C14</f>
        <v>8.02414003230668E-005</v>
      </c>
      <c r="E15" s="30" t="n">
        <f aca="false">SQRT(D15)</f>
        <v>0.00895775643356453</v>
      </c>
      <c r="F15" s="31" t="n">
        <f aca="false">E15*SQRT(Parametrlar!$B$6)</f>
        <v>0.142199974969804</v>
      </c>
    </row>
    <row r="16" customFormat="false" ht="15" hidden="false" customHeight="false" outlineLevel="0" collapsed="false">
      <c r="A16" s="19" t="n">
        <f aca="false">Daromadlilik!A11</f>
        <v>45307</v>
      </c>
      <c r="B16" s="28" t="n">
        <f aca="false">Daromadlilik!H11</f>
        <v>-0.00185178606989151</v>
      </c>
      <c r="C16" s="29" t="n">
        <f aca="false">B16^2</f>
        <v>3.42911164864423E-006</v>
      </c>
      <c r="D16" s="29" t="n">
        <f aca="false">$B$4*D15+(1-$B$4)*C15</f>
        <v>7.67357167507893E-005</v>
      </c>
      <c r="E16" s="30" t="n">
        <f aca="false">SQRT(D16)</f>
        <v>0.00875989250794719</v>
      </c>
      <c r="F16" s="31" t="n">
        <f aca="false">E16*SQRT(Parametrlar!$B$6)</f>
        <v>0.139058982526117</v>
      </c>
    </row>
    <row r="17" customFormat="false" ht="15" hidden="false" customHeight="false" outlineLevel="0" collapsed="false">
      <c r="A17" s="19" t="n">
        <f aca="false">Daromadlilik!A12</f>
        <v>45308</v>
      </c>
      <c r="B17" s="28" t="n">
        <f aca="false">Daromadlilik!H12</f>
        <v>-0.00272764730231029</v>
      </c>
      <c r="C17" s="29" t="n">
        <f aca="false">B17^2</f>
        <v>7.44005980580061E-006</v>
      </c>
      <c r="D17" s="29" t="n">
        <f aca="false">$B$4*D16+(1-$B$4)*C16</f>
        <v>7.23373204446606E-005</v>
      </c>
      <c r="E17" s="30" t="n">
        <f aca="false">SQRT(D17)</f>
        <v>0.00850513494570548</v>
      </c>
      <c r="F17" s="31" t="n">
        <f aca="false">E17*SQRT(Parametrlar!$B$6)</f>
        <v>0.135014831600289</v>
      </c>
    </row>
    <row r="18" customFormat="false" ht="15" hidden="false" customHeight="false" outlineLevel="0" collapsed="false">
      <c r="A18" s="19" t="n">
        <f aca="false">Daromadlilik!A13</f>
        <v>45309</v>
      </c>
      <c r="B18" s="28" t="n">
        <f aca="false">Daromadlilik!H13</f>
        <v>0.00339304802604386</v>
      </c>
      <c r="C18" s="29" t="n">
        <f aca="false">B18^2</f>
        <v>1.15127749070401E-005</v>
      </c>
      <c r="D18" s="29" t="n">
        <f aca="false">$B$4*D17+(1-$B$4)*C17</f>
        <v>6.8443484806329E-005</v>
      </c>
      <c r="E18" s="30" t="n">
        <f aca="false">SQRT(D18)</f>
        <v>0.00827305776640832</v>
      </c>
      <c r="F18" s="31" t="n">
        <f aca="false">E18*SQRT(Parametrlar!$B$6)</f>
        <v>0.131330720591927</v>
      </c>
    </row>
    <row r="19" customFormat="false" ht="15" hidden="false" customHeight="false" outlineLevel="0" collapsed="false">
      <c r="A19" s="19" t="n">
        <f aca="false">Daromadlilik!A14</f>
        <v>45310</v>
      </c>
      <c r="B19" s="28" t="n">
        <f aca="false">Daromadlilik!H14</f>
        <v>-0.00298239991490081</v>
      </c>
      <c r="C19" s="29" t="n">
        <f aca="false">B19^2</f>
        <v>8.89470925240036E-006</v>
      </c>
      <c r="D19" s="29" t="n">
        <f aca="false">$B$4*D18+(1-$B$4)*C18</f>
        <v>6.50276422123716E-005</v>
      </c>
      <c r="E19" s="30" t="n">
        <f aca="false">SQRT(D19)</f>
        <v>0.00806397186331721</v>
      </c>
      <c r="F19" s="31" t="n">
        <f aca="false">E19*SQRT(Parametrlar!$B$6)</f>
        <v>0.128011584778557</v>
      </c>
    </row>
    <row r="20" customFormat="false" ht="15" hidden="false" customHeight="false" outlineLevel="0" collapsed="false">
      <c r="A20" s="19" t="n">
        <f aca="false">Daromadlilik!A15</f>
        <v>45313</v>
      </c>
      <c r="B20" s="28" t="n">
        <f aca="false">Daromadlilik!H15</f>
        <v>-0.00427900549010576</v>
      </c>
      <c r="C20" s="29" t="n">
        <f aca="false">B20^2</f>
        <v>1.83098879843552E-005</v>
      </c>
      <c r="D20" s="29" t="n">
        <f aca="false">$B$4*D19+(1-$B$4)*C19</f>
        <v>6.16596662347734E-005</v>
      </c>
      <c r="E20" s="30" t="n">
        <f aca="false">SQRT(D20)</f>
        <v>0.00785236691926539</v>
      </c>
      <c r="F20" s="31" t="n">
        <f aca="false">E20*SQRT(Parametrlar!$B$6)</f>
        <v>0.12465246042964</v>
      </c>
    </row>
    <row r="21" customFormat="false" ht="15" hidden="false" customHeight="false" outlineLevel="0" collapsed="false">
      <c r="A21" s="19" t="n">
        <f aca="false">Daromadlilik!A16</f>
        <v>45314</v>
      </c>
      <c r="B21" s="28" t="n">
        <f aca="false">Daromadlilik!H16</f>
        <v>-0.00425598493769413</v>
      </c>
      <c r="C21" s="29" t="n">
        <f aca="false">B21^2</f>
        <v>1.81134077898793E-005</v>
      </c>
      <c r="D21" s="29" t="n">
        <f aca="false">$B$4*D20+(1-$B$4)*C20</f>
        <v>5.90586795397483E-005</v>
      </c>
      <c r="E21" s="30" t="n">
        <f aca="false">SQRT(D21)</f>
        <v>0.0076849645112875</v>
      </c>
      <c r="F21" s="31" t="n">
        <f aca="false">E21*SQRT(Parametrlar!$B$6)</f>
        <v>0.121995029587342</v>
      </c>
    </row>
    <row r="22" customFormat="false" ht="15" hidden="false" customHeight="false" outlineLevel="0" collapsed="false">
      <c r="A22" s="19" t="n">
        <f aca="false">Daromadlilik!A17</f>
        <v>45315</v>
      </c>
      <c r="B22" s="28" t="n">
        <f aca="false">Daromadlilik!H17</f>
        <v>0.00705586736012333</v>
      </c>
      <c r="C22" s="29" t="n">
        <f aca="false">B22^2</f>
        <v>4.97852642036538E-005</v>
      </c>
      <c r="D22" s="29" t="n">
        <f aca="false">$B$4*D21+(1-$B$4)*C21</f>
        <v>5.66019632347561E-005</v>
      </c>
      <c r="E22" s="30" t="n">
        <f aca="false">SQRT(D22)</f>
        <v>0.00752342762540826</v>
      </c>
      <c r="F22" s="31" t="n">
        <f aca="false">E22*SQRT(Parametrlar!$B$6)</f>
        <v>0.119430711021741</v>
      </c>
    </row>
    <row r="23" customFormat="false" ht="15" hidden="false" customHeight="false" outlineLevel="0" collapsed="false">
      <c r="A23" s="19" t="n">
        <f aca="false">Daromadlilik!A18</f>
        <v>45316</v>
      </c>
      <c r="B23" s="28" t="n">
        <f aca="false">Daromadlilik!H18</f>
        <v>0.0130818268191291</v>
      </c>
      <c r="C23" s="29" t="n">
        <f aca="false">B23^2</f>
        <v>0.000171134192925686</v>
      </c>
      <c r="D23" s="29" t="n">
        <f aca="false">$B$4*D22+(1-$B$4)*C22</f>
        <v>5.619296129289E-005</v>
      </c>
      <c r="E23" s="30" t="n">
        <f aca="false">SQRT(D23)</f>
        <v>0.00749619645506239</v>
      </c>
      <c r="F23" s="31" t="n">
        <f aca="false">E23*SQRT(Parametrlar!$B$6)</f>
        <v>0.118998429593874</v>
      </c>
    </row>
    <row r="24" customFormat="false" ht="15" hidden="false" customHeight="false" outlineLevel="0" collapsed="false">
      <c r="A24" s="19" t="n">
        <f aca="false">Daromadlilik!A19</f>
        <v>45317</v>
      </c>
      <c r="B24" s="28" t="n">
        <f aca="false">Daromadlilik!H19</f>
        <v>0.00261416865358597</v>
      </c>
      <c r="C24" s="29" t="n">
        <f aca="false">B24^2</f>
        <v>6.83387774939147E-006</v>
      </c>
      <c r="D24" s="29" t="n">
        <f aca="false">$B$4*D23+(1-$B$4)*C23</f>
        <v>6.30894351908578E-005</v>
      </c>
      <c r="E24" s="30" t="n">
        <f aca="false">SQRT(D24)</f>
        <v>0.00794288582259986</v>
      </c>
      <c r="F24" s="31" t="n">
        <f aca="false">E24*SQRT(Parametrlar!$B$6)</f>
        <v>0.12608940347268</v>
      </c>
    </row>
    <row r="25" customFormat="false" ht="15" hidden="false" customHeight="false" outlineLevel="0" collapsed="false">
      <c r="A25" s="19" t="n">
        <f aca="false">Daromadlilik!A20</f>
        <v>45320</v>
      </c>
      <c r="B25" s="28" t="n">
        <f aca="false">Daromadlilik!H20</f>
        <v>0.000485603878186642</v>
      </c>
      <c r="C25" s="29" t="n">
        <f aca="false">B25^2</f>
        <v>2.35811126509907E-007</v>
      </c>
      <c r="D25" s="29" t="n">
        <f aca="false">$B$4*D24+(1-$B$4)*C24</f>
        <v>5.97141017443698E-005</v>
      </c>
      <c r="E25" s="30" t="n">
        <f aca="false">SQRT(D25)</f>
        <v>0.00772749000286444</v>
      </c>
      <c r="F25" s="31" t="n">
        <f aca="false">E25*SQRT(Parametrlar!$B$6)</f>
        <v>0.122670100837903</v>
      </c>
    </row>
    <row r="26" customFormat="false" ht="15" hidden="false" customHeight="false" outlineLevel="0" collapsed="false">
      <c r="A26" s="19" t="n">
        <f aca="false">Daromadlilik!A21</f>
        <v>45321</v>
      </c>
      <c r="B26" s="28" t="n">
        <f aca="false">Daromadlilik!H21</f>
        <v>0.00688430975734131</v>
      </c>
      <c r="C26" s="29" t="n">
        <f aca="false">B26^2</f>
        <v>4.73937208350248E-005</v>
      </c>
      <c r="D26" s="29" t="n">
        <f aca="false">$B$4*D25+(1-$B$4)*C25</f>
        <v>5.61454043072982E-005</v>
      </c>
      <c r="E26" s="30" t="n">
        <f aca="false">SQRT(D26)</f>
        <v>0.00749302370924437</v>
      </c>
      <c r="F26" s="31" t="n">
        <f aca="false">E26*SQRT(Parametrlar!$B$6)</f>
        <v>0.118948063815428</v>
      </c>
      <c r="G26" s="31" t="n">
        <f aca="false">STDEV(B7:B26)*SQRT(Parametrlar!$B$6)</f>
        <v>0.125299608495642</v>
      </c>
    </row>
    <row r="27" customFormat="false" ht="15" hidden="false" customHeight="false" outlineLevel="0" collapsed="false">
      <c r="A27" s="19" t="n">
        <f aca="false">Daromadlilik!A22</f>
        <v>45322</v>
      </c>
      <c r="B27" s="28" t="n">
        <f aca="false">Daromadlilik!H22</f>
        <v>0.00464000752307353</v>
      </c>
      <c r="C27" s="29" t="n">
        <f aca="false">B27^2</f>
        <v>2.1529669814179E-005</v>
      </c>
      <c r="D27" s="29" t="n">
        <f aca="false">$B$4*D26+(1-$B$4)*C26</f>
        <v>5.56203032989618E-005</v>
      </c>
      <c r="E27" s="30" t="n">
        <f aca="false">SQRT(D27)</f>
        <v>0.00745790207088842</v>
      </c>
      <c r="F27" s="31" t="n">
        <f aca="false">E27*SQRT(Parametrlar!$B$6)</f>
        <v>0.118390525091066</v>
      </c>
      <c r="G27" s="31" t="n">
        <f aca="false">STDEV(B8:B27)*SQRT(Parametrlar!$B$6)</f>
        <v>0.124674905513767</v>
      </c>
    </row>
    <row r="28" customFormat="false" ht="15" hidden="false" customHeight="false" outlineLevel="0" collapsed="false">
      <c r="A28" s="19" t="n">
        <f aca="false">Daromadlilik!A23</f>
        <v>45323</v>
      </c>
      <c r="B28" s="28" t="n">
        <f aca="false">Daromadlilik!H23</f>
        <v>-0.00576566972219922</v>
      </c>
      <c r="C28" s="29" t="n">
        <f aca="false">B28^2</f>
        <v>3.32429473454848E-005</v>
      </c>
      <c r="D28" s="29" t="n">
        <f aca="false">$B$4*D27+(1-$B$4)*C27</f>
        <v>5.35748652898748E-005</v>
      </c>
      <c r="E28" s="30" t="n">
        <f aca="false">SQRT(D28)</f>
        <v>0.0073194853159136</v>
      </c>
      <c r="F28" s="31" t="n">
        <f aca="false">E28*SQRT(Parametrlar!$B$6)</f>
        <v>0.116193227225379</v>
      </c>
      <c r="G28" s="31" t="n">
        <f aca="false">STDEV(B9:B28)*SQRT(Parametrlar!$B$6)</f>
        <v>0.11662644046959</v>
      </c>
    </row>
    <row r="29" customFormat="false" ht="15" hidden="false" customHeight="false" outlineLevel="0" collapsed="false">
      <c r="A29" s="19" t="n">
        <f aca="false">Daromadlilik!A24</f>
        <v>45324</v>
      </c>
      <c r="B29" s="28" t="n">
        <f aca="false">Daromadlilik!H24</f>
        <v>-0.0016102900994735</v>
      </c>
      <c r="C29" s="29" t="n">
        <f aca="false">B29^2</f>
        <v>2.59303420446238E-006</v>
      </c>
      <c r="D29" s="29" t="n">
        <f aca="false">$B$4*D28+(1-$B$4)*C28</f>
        <v>5.23549502132114E-005</v>
      </c>
      <c r="E29" s="30" t="n">
        <f aca="false">SQRT(D29)</f>
        <v>0.00723567206368637</v>
      </c>
      <c r="F29" s="31" t="n">
        <f aca="false">E29*SQRT(Parametrlar!$B$6)</f>
        <v>0.11486273309359</v>
      </c>
      <c r="G29" s="31" t="n">
        <f aca="false">STDEV(B10:B29)*SQRT(Parametrlar!$B$6)</f>
        <v>0.114227434672971</v>
      </c>
    </row>
    <row r="30" customFormat="false" ht="15" hidden="false" customHeight="false" outlineLevel="0" collapsed="false">
      <c r="A30" s="19" t="n">
        <f aca="false">Daromadlilik!A25</f>
        <v>45327</v>
      </c>
      <c r="B30" s="28" t="n">
        <f aca="false">Daromadlilik!H25</f>
        <v>0.00510374343403366</v>
      </c>
      <c r="C30" s="29" t="n">
        <f aca="false">B30^2</f>
        <v>2.60481970404417E-005</v>
      </c>
      <c r="D30" s="29" t="n">
        <f aca="false">$B$4*D29+(1-$B$4)*C29</f>
        <v>4.93692352526865E-005</v>
      </c>
      <c r="E30" s="30" t="n">
        <f aca="false">SQRT(D30)</f>
        <v>0.00702632444829347</v>
      </c>
      <c r="F30" s="31" t="n">
        <f aca="false">E30*SQRT(Parametrlar!$B$6)</f>
        <v>0.111539442726226</v>
      </c>
      <c r="G30" s="31" t="n">
        <f aca="false">STDEV(B11:B30)*SQRT(Parametrlar!$B$6)</f>
        <v>0.11402815260032</v>
      </c>
    </row>
    <row r="31" customFormat="false" ht="15" hidden="false" customHeight="false" outlineLevel="0" collapsed="false">
      <c r="A31" s="19" t="n">
        <f aca="false">Daromadlilik!A26</f>
        <v>45328</v>
      </c>
      <c r="B31" s="28" t="n">
        <f aca="false">Daromadlilik!H26</f>
        <v>-0.00543618857105563</v>
      </c>
      <c r="C31" s="29" t="n">
        <f aca="false">B31^2</f>
        <v>2.95521461800758E-005</v>
      </c>
      <c r="D31" s="29" t="n">
        <f aca="false">$B$4*D30+(1-$B$4)*C30</f>
        <v>4.79699729599518E-005</v>
      </c>
      <c r="E31" s="30" t="n">
        <f aca="false">SQRT(D31)</f>
        <v>0.00692603587631134</v>
      </c>
      <c r="F31" s="31" t="n">
        <f aca="false">E31*SQRT(Parametrlar!$B$6)</f>
        <v>0.109947411001387</v>
      </c>
      <c r="G31" s="31" t="n">
        <f aca="false">STDEV(B12:B31)*SQRT(Parametrlar!$B$6)</f>
        <v>0.114124448831373</v>
      </c>
    </row>
    <row r="32" customFormat="false" ht="15" hidden="false" customHeight="false" outlineLevel="0" collapsed="false">
      <c r="A32" s="19" t="n">
        <f aca="false">Daromadlilik!A27</f>
        <v>45329</v>
      </c>
      <c r="B32" s="28" t="n">
        <f aca="false">Daromadlilik!H27</f>
        <v>0.000896341676951953</v>
      </c>
      <c r="C32" s="29" t="n">
        <f aca="false">B32^2</f>
        <v>8.0342840184104E-007</v>
      </c>
      <c r="D32" s="29" t="n">
        <f aca="false">$B$4*D31+(1-$B$4)*C31</f>
        <v>4.68649033531592E-005</v>
      </c>
      <c r="E32" s="30" t="n">
        <f aca="false">SQRT(D32)</f>
        <v>0.00684579457427399</v>
      </c>
      <c r="F32" s="31" t="n">
        <f aca="false">E32*SQRT(Parametrlar!$B$6)</f>
        <v>0.108673619820986</v>
      </c>
      <c r="G32" s="31" t="n">
        <f aca="false">STDEV(B13:B32)*SQRT(Parametrlar!$B$6)</f>
        <v>0.105723846515345</v>
      </c>
    </row>
    <row r="33" customFormat="false" ht="15" hidden="false" customHeight="false" outlineLevel="0" collapsed="false">
      <c r="A33" s="19" t="n">
        <f aca="false">Daromadlilik!A28</f>
        <v>45330</v>
      </c>
      <c r="B33" s="28" t="n">
        <f aca="false">Daromadlilik!H28</f>
        <v>0.00696202804030554</v>
      </c>
      <c r="C33" s="29" t="n">
        <f aca="false">B33^2</f>
        <v>4.84698344340006E-005</v>
      </c>
      <c r="D33" s="29" t="n">
        <f aca="false">$B$4*D32+(1-$B$4)*C32</f>
        <v>4.41012148560801E-005</v>
      </c>
      <c r="E33" s="30" t="n">
        <f aca="false">SQRT(D33)</f>
        <v>0.00664087455506277</v>
      </c>
      <c r="F33" s="31" t="n">
        <f aca="false">E33*SQRT(Parametrlar!$B$6)</f>
        <v>0.105420615364037</v>
      </c>
      <c r="G33" s="31" t="n">
        <f aca="false">STDEV(B14:B33)*SQRT(Parametrlar!$B$6)</f>
        <v>0.0985173603354898</v>
      </c>
    </row>
    <row r="34" customFormat="false" ht="15" hidden="false" customHeight="false" outlineLevel="0" collapsed="false">
      <c r="A34" s="19" t="n">
        <f aca="false">Daromadlilik!A29</f>
        <v>45331</v>
      </c>
      <c r="B34" s="28" t="n">
        <f aca="false">Daromadlilik!H29</f>
        <v>1.99936020480206E-005</v>
      </c>
      <c r="C34" s="29" t="n">
        <f aca="false">B34^2</f>
        <v>3.99744122854614E-010</v>
      </c>
      <c r="D34" s="29" t="n">
        <f aca="false">$B$4*D33+(1-$B$4)*C33</f>
        <v>4.43633320307554E-005</v>
      </c>
      <c r="E34" s="30" t="n">
        <f aca="false">SQRT(D34)</f>
        <v>0.00666058045749433</v>
      </c>
      <c r="F34" s="31" t="n">
        <f aca="false">E34*SQRT(Parametrlar!$B$6)</f>
        <v>0.105733436867201</v>
      </c>
      <c r="G34" s="31" t="n">
        <f aca="false">STDEV(B15:B34)*SQRT(Parametrlar!$B$6)</f>
        <v>0.0823835958374402</v>
      </c>
    </row>
    <row r="35" customFormat="false" ht="15" hidden="false" customHeight="false" outlineLevel="0" collapsed="false">
      <c r="A35" s="19" t="n">
        <f aca="false">Daromadlilik!A30</f>
        <v>45334</v>
      </c>
      <c r="B35" s="28" t="n">
        <f aca="false">Daromadlilik!H30</f>
        <v>0.00137859405262637</v>
      </c>
      <c r="C35" s="29" t="n">
        <f aca="false">B35^2</f>
        <v>1.90052156193679E-006</v>
      </c>
      <c r="D35" s="29" t="n">
        <f aca="false">$B$4*D34+(1-$B$4)*C34</f>
        <v>4.17015560935574E-005</v>
      </c>
      <c r="E35" s="30" t="n">
        <f aca="false">SQRT(D35)</f>
        <v>0.00645767420156494</v>
      </c>
      <c r="F35" s="31" t="n">
        <f aca="false">E35*SQRT(Parametrlar!$B$6)</f>
        <v>0.102512399911311</v>
      </c>
      <c r="G35" s="31" t="n">
        <f aca="false">STDEV(B16:B35)*SQRT(Parametrlar!$B$6)</f>
        <v>0.079735944777414</v>
      </c>
    </row>
    <row r="36" customFormat="false" ht="15" hidden="false" customHeight="false" outlineLevel="0" collapsed="false">
      <c r="A36" s="19" t="n">
        <f aca="false">Daromadlilik!A31</f>
        <v>45335</v>
      </c>
      <c r="B36" s="28" t="n">
        <f aca="false">Daromadlilik!H31</f>
        <v>0.00849918385281872</v>
      </c>
      <c r="C36" s="29" t="n">
        <f aca="false">B36^2</f>
        <v>7.22361261640144E-005</v>
      </c>
      <c r="D36" s="29" t="n">
        <f aca="false">$B$4*D35+(1-$B$4)*C35</f>
        <v>3.93134940216602E-005</v>
      </c>
      <c r="E36" s="30" t="n">
        <f aca="false">SQRT(D36)</f>
        <v>0.0062700473699694</v>
      </c>
      <c r="F36" s="31" t="n">
        <f aca="false">E36*SQRT(Parametrlar!$B$6)</f>
        <v>0.0995339162972017</v>
      </c>
      <c r="G36" s="31" t="n">
        <f aca="false">STDEV(B17:B36)*SQRT(Parametrlar!$B$6)</f>
        <v>0.0829173107167542</v>
      </c>
    </row>
    <row r="37" customFormat="false" ht="15" hidden="false" customHeight="false" outlineLevel="0" collapsed="false">
      <c r="A37" s="19" t="n">
        <f aca="false">Daromadlilik!A32</f>
        <v>45336</v>
      </c>
      <c r="B37" s="28" t="n">
        <f aca="false">Daromadlilik!H32</f>
        <v>0.00559672567752236</v>
      </c>
      <c r="C37" s="29" t="n">
        <f aca="false">B37^2</f>
        <v>3.13233383094382E-005</v>
      </c>
      <c r="D37" s="29" t="n">
        <f aca="false">$B$4*D36+(1-$B$4)*C36</f>
        <v>4.12888519502014E-005</v>
      </c>
      <c r="E37" s="30" t="n">
        <f aca="false">SQRT(D37)</f>
        <v>0.00642564019769248</v>
      </c>
      <c r="F37" s="31" t="n">
        <f aca="false">E37*SQRT(Parametrlar!$B$6)</f>
        <v>0.102003875864845</v>
      </c>
      <c r="G37" s="31" t="n">
        <f aca="false">STDEV(B18:B37)*SQRT(Parametrlar!$B$6)</f>
        <v>0.082287167563283</v>
      </c>
    </row>
    <row r="38" customFormat="false" ht="15" hidden="false" customHeight="false" outlineLevel="0" collapsed="false">
      <c r="A38" s="19" t="n">
        <f aca="false">Daromadlilik!A33</f>
        <v>45337</v>
      </c>
      <c r="B38" s="28" t="n">
        <f aca="false">Daromadlilik!H33</f>
        <v>-0.00367826934710292</v>
      </c>
      <c r="C38" s="29" t="n">
        <f aca="false">B38^2</f>
        <v>1.35296653898369E-005</v>
      </c>
      <c r="D38" s="29" t="n">
        <f aca="false">$B$4*D37+(1-$B$4)*C37</f>
        <v>4.06909211317556E-005</v>
      </c>
      <c r="E38" s="30" t="n">
        <f aca="false">SQRT(D38)</f>
        <v>0.00637894357489981</v>
      </c>
      <c r="F38" s="31" t="n">
        <f aca="false">E38*SQRT(Parametrlar!$B$6)</f>
        <v>0.101262589958989</v>
      </c>
      <c r="G38" s="31" t="n">
        <f aca="false">STDEV(B19:B38)*SQRT(Parametrlar!$B$6)</f>
        <v>0.0846245919340478</v>
      </c>
    </row>
    <row r="39" customFormat="false" ht="15" hidden="false" customHeight="false" outlineLevel="0" collapsed="false">
      <c r="A39" s="19" t="n">
        <f aca="false">Daromadlilik!A34</f>
        <v>45338</v>
      </c>
      <c r="B39" s="28" t="n">
        <f aca="false">Daromadlilik!H34</f>
        <v>-0.00908082161188045</v>
      </c>
      <c r="C39" s="29" t="n">
        <f aca="false">B39^2</f>
        <v>8.24613211467951E-005</v>
      </c>
      <c r="D39" s="29" t="n">
        <f aca="false">$B$4*D38+(1-$B$4)*C38</f>
        <v>3.90612457872405E-005</v>
      </c>
      <c r="E39" s="30" t="n">
        <f aca="false">SQRT(D39)</f>
        <v>0.00624989966217383</v>
      </c>
      <c r="F39" s="31" t="n">
        <f aca="false">E39*SQRT(Parametrlar!$B$6)</f>
        <v>0.0992140813513113</v>
      </c>
      <c r="G39" s="31" t="n">
        <f aca="false">STDEV(B20:B39)*SQRT(Parametrlar!$B$6)</f>
        <v>0.0916361406816376</v>
      </c>
    </row>
    <row r="40" customFormat="false" ht="15" hidden="false" customHeight="false" outlineLevel="0" collapsed="false">
      <c r="A40" s="19" t="n">
        <f aca="false">Daromadlilik!A35</f>
        <v>45341</v>
      </c>
      <c r="B40" s="28" t="n">
        <f aca="false">Daromadlilik!H35</f>
        <v>0.0116363363500221</v>
      </c>
      <c r="C40" s="29" t="n">
        <f aca="false">B40^2</f>
        <v>0.000135404323650846</v>
      </c>
      <c r="D40" s="29" t="n">
        <f aca="false">$B$4*D39+(1-$B$4)*C39</f>
        <v>4.16652503088138E-005</v>
      </c>
      <c r="E40" s="30" t="n">
        <f aca="false">SQRT(D40)</f>
        <v>0.00645486253213915</v>
      </c>
      <c r="F40" s="31" t="n">
        <f aca="false">E40*SQRT(Parametrlar!$B$6)</f>
        <v>0.102467766042893</v>
      </c>
      <c r="G40" s="31" t="n">
        <f aca="false">STDEV(B21:B40)*SQRT(Parametrlar!$B$6)</f>
        <v>0.0957482410674939</v>
      </c>
    </row>
    <row r="41" customFormat="false" ht="15" hidden="false" customHeight="false" outlineLevel="0" collapsed="false">
      <c r="A41" s="19" t="n">
        <f aca="false">Daromadlilik!A36</f>
        <v>45342</v>
      </c>
      <c r="B41" s="28" t="n">
        <f aca="false">Daromadlilik!H36</f>
        <v>-0.00429581498356472</v>
      </c>
      <c r="C41" s="29" t="n">
        <f aca="false">B41^2</f>
        <v>1.84540263730192E-005</v>
      </c>
      <c r="D41" s="29" t="n">
        <f aca="false">$B$4*D40+(1-$B$4)*C40</f>
        <v>4.72895947093357E-005</v>
      </c>
      <c r="E41" s="30" t="n">
        <f aca="false">SQRT(D41)</f>
        <v>0.00687674303063127</v>
      </c>
      <c r="F41" s="31" t="n">
        <f aca="false">E41*SQRT(Parametrlar!$B$6)</f>
        <v>0.109164911334882</v>
      </c>
      <c r="G41" s="31" t="n">
        <f aca="false">STDEV(B22:B41)*SQRT(Parametrlar!$B$6)</f>
        <v>0.0957842417699421</v>
      </c>
    </row>
    <row r="42" customFormat="false" ht="15" hidden="false" customHeight="false" outlineLevel="0" collapsed="false">
      <c r="A42" s="19" t="n">
        <f aca="false">Daromadlilik!A37</f>
        <v>45343</v>
      </c>
      <c r="B42" s="28" t="n">
        <f aca="false">Daromadlilik!H37</f>
        <v>5.93783091211754E-005</v>
      </c>
      <c r="C42" s="29" t="n">
        <f aca="false">B42^2</f>
        <v>3.52578359408986E-009</v>
      </c>
      <c r="D42" s="29" t="n">
        <f aca="false">$B$4*D41+(1-$B$4)*C41</f>
        <v>4.55594606091567E-005</v>
      </c>
      <c r="E42" s="30" t="n">
        <f aca="false">SQRT(D42)</f>
        <v>0.00674977485618274</v>
      </c>
      <c r="F42" s="31" t="n">
        <f aca="false">E42*SQRT(Parametrlar!$B$6)</f>
        <v>0.107149354050818</v>
      </c>
      <c r="G42" s="31" t="n">
        <f aca="false">STDEV(B23:B42)*SQRT(Parametrlar!$B$6)</f>
        <v>0.0943364263330816</v>
      </c>
    </row>
    <row r="43" customFormat="false" ht="15" hidden="false" customHeight="false" outlineLevel="0" collapsed="false">
      <c r="A43" s="19" t="n">
        <f aca="false">Daromadlilik!A38</f>
        <v>45344</v>
      </c>
      <c r="B43" s="28" t="n">
        <f aca="false">Daromadlilik!H38</f>
        <v>0.0475877733890708</v>
      </c>
      <c r="C43" s="29" t="n">
        <f aca="false">B43^2</f>
        <v>0.00226459617612956</v>
      </c>
      <c r="D43" s="29" t="n">
        <f aca="false">$B$4*D42+(1-$B$4)*C42</f>
        <v>4.2826104519623E-005</v>
      </c>
      <c r="E43" s="30" t="n">
        <f aca="false">SQRT(D43)</f>
        <v>0.00654416568552653</v>
      </c>
      <c r="F43" s="31" t="n">
        <f aca="false">E43*SQRT(Parametrlar!$B$6)</f>
        <v>0.103885409653834</v>
      </c>
      <c r="G43" s="31" t="n">
        <f aca="false">STDEV(B24:B43)*SQRT(Parametrlar!$B$6)</f>
        <v>0.184761971104299</v>
      </c>
    </row>
    <row r="44" customFormat="false" ht="15" hidden="false" customHeight="false" outlineLevel="0" collapsed="false">
      <c r="A44" s="19" t="n">
        <f aca="false">Daromadlilik!A39</f>
        <v>45345</v>
      </c>
      <c r="B44" s="28" t="n">
        <f aca="false">Daromadlilik!H39</f>
        <v>0.00117882838123667</v>
      </c>
      <c r="C44" s="29" t="n">
        <f aca="false">B44^2</f>
        <v>1.38963635240907E-006</v>
      </c>
      <c r="D44" s="29" t="n">
        <f aca="false">$B$4*D43+(1-$B$4)*C43</f>
        <v>0.000176132308816219</v>
      </c>
      <c r="E44" s="30" t="n">
        <f aca="false">SQRT(D44)</f>
        <v>0.013271484800738</v>
      </c>
      <c r="F44" s="31" t="n">
        <f aca="false">E44*SQRT(Parametrlar!$B$6)</f>
        <v>0.210678289867958</v>
      </c>
      <c r="G44" s="31" t="n">
        <f aca="false">STDEV(B25:B44)*SQRT(Parametrlar!$B$6)</f>
        <v>0.184936274799107</v>
      </c>
    </row>
    <row r="45" customFormat="false" ht="15" hidden="false" customHeight="false" outlineLevel="0" collapsed="false">
      <c r="A45" s="19" t="n">
        <f aca="false">Daromadlilik!A40</f>
        <v>45348</v>
      </c>
      <c r="B45" s="28" t="n">
        <f aca="false">Daromadlilik!H40</f>
        <v>-0.0104407432628699</v>
      </c>
      <c r="C45" s="29" t="n">
        <f aca="false">B45^2</f>
        <v>0.000109009119881163</v>
      </c>
      <c r="D45" s="29" t="n">
        <f aca="false">$B$4*D44+(1-$B$4)*C44</f>
        <v>0.000165647748468391</v>
      </c>
      <c r="E45" s="30" t="n">
        <f aca="false">SQRT(D45)</f>
        <v>0.0128704214565177</v>
      </c>
      <c r="F45" s="31" t="n">
        <f aca="false">E45*SQRT(Parametrlar!$B$6)</f>
        <v>0.204311606655213</v>
      </c>
      <c r="G45" s="31" t="n">
        <f aca="false">STDEV(B26:B45)*SQRT(Parametrlar!$B$6)</f>
        <v>0.191297528778341</v>
      </c>
    </row>
    <row r="46" customFormat="false" ht="15" hidden="false" customHeight="false" outlineLevel="0" collapsed="false">
      <c r="A46" s="19" t="n">
        <f aca="false">Daromadlilik!A41</f>
        <v>45349</v>
      </c>
      <c r="B46" s="28" t="n">
        <f aca="false">Daromadlilik!H41</f>
        <v>0.00264417057717956</v>
      </c>
      <c r="C46" s="29" t="n">
        <f aca="false">B46^2</f>
        <v>6.99163804122206E-006</v>
      </c>
      <c r="D46" s="29" t="n">
        <f aca="false">$B$4*D45+(1-$B$4)*C45</f>
        <v>0.000162249430753157</v>
      </c>
      <c r="E46" s="30" t="n">
        <f aca="false">SQRT(D46)</f>
        <v>0.0127377168579442</v>
      </c>
      <c r="F46" s="31" t="n">
        <f aca="false">E46*SQRT(Parametrlar!$B$6)</f>
        <v>0.202204986461253</v>
      </c>
      <c r="G46" s="31" t="n">
        <f aca="false">STDEV(B27:B46)*SQRT(Parametrlar!$B$6)</f>
        <v>0.19074891893457</v>
      </c>
    </row>
    <row r="47" customFormat="false" ht="15" hidden="false" customHeight="false" outlineLevel="0" collapsed="false">
      <c r="A47" s="19" t="n">
        <f aca="false">Daromadlilik!A42</f>
        <v>45350</v>
      </c>
      <c r="B47" s="28" t="n">
        <f aca="false">Daromadlilik!H42</f>
        <v>0.00241927568224959</v>
      </c>
      <c r="C47" s="29" t="n">
        <f aca="false">B47^2</f>
        <v>5.85289482672423E-006</v>
      </c>
      <c r="D47" s="29" t="n">
        <f aca="false">$B$4*D46+(1-$B$4)*C46</f>
        <v>0.000152933963190441</v>
      </c>
      <c r="E47" s="30" t="n">
        <f aca="false">SQRT(D47)</f>
        <v>0.0123666472089423</v>
      </c>
      <c r="F47" s="31" t="n">
        <f aca="false">E47*SQRT(Parametrlar!$B$6)</f>
        <v>0.196314438399194</v>
      </c>
      <c r="G47" s="31" t="n">
        <f aca="false">STDEV(B28:B47)*SQRT(Parametrlar!$B$6)</f>
        <v>0.190626833485095</v>
      </c>
    </row>
    <row r="48" customFormat="false" ht="15" hidden="false" customHeight="false" outlineLevel="0" collapsed="false">
      <c r="A48" s="19" t="n">
        <f aca="false">Daromadlilik!A43</f>
        <v>45351</v>
      </c>
      <c r="B48" s="28" t="n">
        <f aca="false">Daromadlilik!H43</f>
        <v>0.00100394007522991</v>
      </c>
      <c r="C48" s="29" t="n">
        <f aca="false">B48^2</f>
        <v>1.00789567465264E-006</v>
      </c>
      <c r="D48" s="29" t="n">
        <f aca="false">$B$4*D47+(1-$B$4)*C47</f>
        <v>0.000144109099088618</v>
      </c>
      <c r="E48" s="30" t="n">
        <f aca="false">SQRT(D48)</f>
        <v>0.0120045449346744</v>
      </c>
      <c r="F48" s="31" t="n">
        <f aca="false">E48*SQRT(Parametrlar!$B$6)</f>
        <v>0.190566242997892</v>
      </c>
      <c r="G48" s="31" t="n">
        <f aca="false">STDEV(B29:B48)*SQRT(Parametrlar!$B$6)</f>
        <v>0.188145516580182</v>
      </c>
    </row>
    <row r="49" customFormat="false" ht="15" hidden="false" customHeight="false" outlineLevel="0" collapsed="false">
      <c r="A49" s="19" t="n">
        <f aca="false">Daromadlilik!A44</f>
        <v>45352</v>
      </c>
      <c r="B49" s="28" t="n">
        <f aca="false">Daromadlilik!H44</f>
        <v>0.00548489727946981</v>
      </c>
      <c r="C49" s="29" t="n">
        <f aca="false">B49^2</f>
        <v>3.00840981663354E-005</v>
      </c>
      <c r="D49" s="29" t="n">
        <f aca="false">$B$4*D48+(1-$B$4)*C48</f>
        <v>0.00013552302688378</v>
      </c>
      <c r="E49" s="30" t="n">
        <f aca="false">SQRT(D49)</f>
        <v>0.0116414357741552</v>
      </c>
      <c r="F49" s="31" t="n">
        <f aca="false">E49*SQRT(Parametrlar!$B$6)</f>
        <v>0.184802063772872</v>
      </c>
      <c r="G49" s="31" t="n">
        <f aca="false">STDEV(B30:B49)*SQRT(Parametrlar!$B$6)</f>
        <v>0.187513097452525</v>
      </c>
    </row>
    <row r="50" customFormat="false" ht="15" hidden="false" customHeight="false" outlineLevel="0" collapsed="false">
      <c r="A50" s="19" t="n">
        <f aca="false">Daromadlilik!A45</f>
        <v>45355</v>
      </c>
      <c r="B50" s="28" t="n">
        <f aca="false">Daromadlilik!H45</f>
        <v>0.00154280369266198</v>
      </c>
      <c r="C50" s="29" t="n">
        <f aca="false">B50^2</f>
        <v>2.38024323409144E-006</v>
      </c>
      <c r="D50" s="29" t="n">
        <f aca="false">$B$4*D49+(1-$B$4)*C49</f>
        <v>0.000129196691160733</v>
      </c>
      <c r="E50" s="30" t="n">
        <f aca="false">SQRT(D50)</f>
        <v>0.0113664722390341</v>
      </c>
      <c r="F50" s="31" t="n">
        <f aca="false">E50*SQRT(Parametrlar!$B$6)</f>
        <v>0.180437152971623</v>
      </c>
      <c r="G50" s="31" t="n">
        <f aca="false">STDEV(B31:B50)*SQRT(Parametrlar!$B$6)</f>
        <v>0.187504198998544</v>
      </c>
    </row>
    <row r="51" customFormat="false" ht="15" hidden="false" customHeight="false" outlineLevel="0" collapsed="false">
      <c r="A51" s="19" t="n">
        <f aca="false">Daromadlilik!A46</f>
        <v>45356</v>
      </c>
      <c r="B51" s="28" t="n">
        <f aca="false">Daromadlilik!H46</f>
        <v>0.0060821224635893</v>
      </c>
      <c r="C51" s="29" t="n">
        <f aca="false">B51^2</f>
        <v>3.69922136620976E-005</v>
      </c>
      <c r="D51" s="29" t="n">
        <f aca="false">$B$4*D50+(1-$B$4)*C50</f>
        <v>0.000121587704285135</v>
      </c>
      <c r="E51" s="30" t="n">
        <f aca="false">SQRT(D51)</f>
        <v>0.0110266814720085</v>
      </c>
      <c r="F51" s="31" t="n">
        <f aca="false">E51*SQRT(Parametrlar!$B$6)</f>
        <v>0.175043141767548</v>
      </c>
      <c r="G51" s="31" t="n">
        <f aca="false">STDEV(B32:B51)*SQRT(Parametrlar!$B$6)</f>
        <v>0.184908431465608</v>
      </c>
    </row>
    <row r="52" customFormat="false" ht="15" hidden="false" customHeight="false" outlineLevel="0" collapsed="false">
      <c r="A52" s="19" t="n">
        <f aca="false">Daromadlilik!A47</f>
        <v>45357</v>
      </c>
      <c r="B52" s="28" t="n">
        <f aca="false">Daromadlilik!H47</f>
        <v>-0.0349004720931562</v>
      </c>
      <c r="C52" s="29" t="n">
        <f aca="false">B52^2</f>
        <v>0.00121804295232518</v>
      </c>
      <c r="D52" s="29" t="n">
        <f aca="false">$B$4*D51+(1-$B$4)*C51</f>
        <v>0.000116511974847752</v>
      </c>
      <c r="E52" s="30" t="n">
        <f aca="false">SQRT(D52)</f>
        <v>0.0107940712823176</v>
      </c>
      <c r="F52" s="31" t="n">
        <f aca="false">E52*SQRT(Parametrlar!$B$6)</f>
        <v>0.171350569481498</v>
      </c>
      <c r="G52" s="31" t="n">
        <f aca="false">STDEV(B33:B52)*SQRT(Parametrlar!$B$6)</f>
        <v>0.230369735256239</v>
      </c>
    </row>
    <row r="53" customFormat="false" ht="15" hidden="false" customHeight="false" outlineLevel="0" collapsed="false">
      <c r="A53" s="19" t="n">
        <f aca="false">Daromadlilik!A48</f>
        <v>45358</v>
      </c>
      <c r="B53" s="28" t="n">
        <f aca="false">Daromadlilik!H48</f>
        <v>-0.0325679692093495</v>
      </c>
      <c r="C53" s="29" t="n">
        <f aca="false">B53^2</f>
        <v>0.00106067261842114</v>
      </c>
      <c r="D53" s="29" t="n">
        <f aca="false">$B$4*D52+(1-$B$4)*C52</f>
        <v>0.000182603833496398</v>
      </c>
      <c r="E53" s="30" t="n">
        <f aca="false">SQRT(D53)</f>
        <v>0.0135130985897535</v>
      </c>
      <c r="F53" s="31" t="n">
        <f aca="false">E53*SQRT(Parametrlar!$B$6)</f>
        <v>0.214513789862312</v>
      </c>
      <c r="G53" s="31" t="n">
        <f aca="false">STDEV(B34:B53)*SQRT(Parametrlar!$B$6)</f>
        <v>0.259885347729656</v>
      </c>
    </row>
    <row r="54" customFormat="false" ht="15" hidden="false" customHeight="false" outlineLevel="0" collapsed="false">
      <c r="A54" s="19" t="n">
        <f aca="false">Daromadlilik!A49</f>
        <v>45359</v>
      </c>
      <c r="B54" s="28" t="n">
        <f aca="false">Daromadlilik!H49</f>
        <v>0.0133243961395462</v>
      </c>
      <c r="C54" s="29" t="n">
        <f aca="false">B54^2</f>
        <v>0.000177539532483554</v>
      </c>
      <c r="D54" s="29" t="n">
        <f aca="false">$B$4*D53+(1-$B$4)*C53</f>
        <v>0.000235287960591882</v>
      </c>
      <c r="E54" s="30" t="n">
        <f aca="false">SQRT(D54)</f>
        <v>0.0153390990801899</v>
      </c>
      <c r="F54" s="31" t="n">
        <f aca="false">E54*SQRT(Parametrlar!$B$6)</f>
        <v>0.243500649011772</v>
      </c>
      <c r="G54" s="31" t="n">
        <f aca="false">STDEV(B35:B54)*SQRT(Parametrlar!$B$6)</f>
        <v>0.264149089025031</v>
      </c>
    </row>
    <row r="55" customFormat="false" ht="15" hidden="false" customHeight="false" outlineLevel="0" collapsed="false">
      <c r="A55" s="19" t="n">
        <f aca="false">Daromadlilik!A50</f>
        <v>45362</v>
      </c>
      <c r="B55" s="28" t="n">
        <f aca="false">Daromadlilik!H50</f>
        <v>0.0428406677295555</v>
      </c>
      <c r="C55" s="29" t="n">
        <f aca="false">B55^2</f>
        <v>0.00183532281151418</v>
      </c>
      <c r="D55" s="29" t="n">
        <f aca="false">$B$4*D54+(1-$B$4)*C54</f>
        <v>0.000231823054905383</v>
      </c>
      <c r="E55" s="30" t="n">
        <f aca="false">SQRT(D55)</f>
        <v>0.0152257365964798</v>
      </c>
      <c r="F55" s="31" t="n">
        <f aca="false">E55*SQRT(Parametrlar!$B$6)</f>
        <v>0.241701075372363</v>
      </c>
      <c r="G55" s="31" t="n">
        <f aca="false">STDEV(B36:B55)*SQRT(Parametrlar!$B$6)</f>
        <v>0.303662140314301</v>
      </c>
    </row>
    <row r="56" customFormat="false" ht="15" hidden="false" customHeight="false" outlineLevel="0" collapsed="false">
      <c r="A56" s="19" t="n">
        <f aca="false">Daromadlilik!A51</f>
        <v>45363</v>
      </c>
      <c r="B56" s="28" t="n">
        <f aca="false">Daromadlilik!H51</f>
        <v>-0.00216623316369049</v>
      </c>
      <c r="C56" s="29" t="n">
        <f aca="false">B56^2</f>
        <v>4.69256611947249E-006</v>
      </c>
      <c r="D56" s="29" t="n">
        <f aca="false">$B$4*D55+(1-$B$4)*C55</f>
        <v>0.000328033040301911</v>
      </c>
      <c r="E56" s="30" t="n">
        <f aca="false">SQRT(D56)</f>
        <v>0.0181116824260451</v>
      </c>
      <c r="F56" s="31" t="n">
        <f aca="false">E56*SQRT(Parametrlar!$B$6)</f>
        <v>0.287514045145766</v>
      </c>
      <c r="G56" s="31" t="n">
        <f aca="false">STDEV(B37:B56)*SQRT(Parametrlar!$B$6)</f>
        <v>0.303342272311522</v>
      </c>
    </row>
    <row r="57" customFormat="false" ht="15" hidden="false" customHeight="false" outlineLevel="0" collapsed="false">
      <c r="A57" s="19" t="n">
        <f aca="false">Daromadlilik!A52</f>
        <v>45364</v>
      </c>
      <c r="B57" s="28" t="n">
        <f aca="false">Daromadlilik!H52</f>
        <v>0.00815799830571284</v>
      </c>
      <c r="C57" s="29" t="n">
        <f aca="false">B57^2</f>
        <v>6.65529363560136E-005</v>
      </c>
      <c r="D57" s="29" t="n">
        <f aca="false">$B$4*D56+(1-$B$4)*C56</f>
        <v>0.000308632611850964</v>
      </c>
      <c r="E57" s="30" t="n">
        <f aca="false">SQRT(D57)</f>
        <v>0.0175679427324592</v>
      </c>
      <c r="F57" s="31" t="n">
        <f aca="false">E57*SQRT(Parametrlar!$B$6)</f>
        <v>0.278882445102669</v>
      </c>
      <c r="G57" s="31" t="n">
        <f aca="false">STDEV(B38:B57)*SQRT(Parametrlar!$B$6)</f>
        <v>0.303856953919294</v>
      </c>
    </row>
    <row r="58" customFormat="false" ht="15" hidden="false" customHeight="false" outlineLevel="0" collapsed="false">
      <c r="A58" s="19" t="n">
        <f aca="false">Daromadlilik!A53</f>
        <v>45365</v>
      </c>
      <c r="B58" s="28" t="n">
        <f aca="false">Daromadlilik!H53</f>
        <v>0.0187681426026164</v>
      </c>
      <c r="C58" s="29" t="n">
        <f aca="false">B58^2</f>
        <v>0.000352243176752144</v>
      </c>
      <c r="D58" s="29" t="n">
        <f aca="false">$B$4*D57+(1-$B$4)*C57</f>
        <v>0.000294107831321267</v>
      </c>
      <c r="E58" s="30" t="n">
        <f aca="false">SQRT(D58)</f>
        <v>0.0171495723363957</v>
      </c>
      <c r="F58" s="31" t="n">
        <f aca="false">E58*SQRT(Parametrlar!$B$6)</f>
        <v>0.272241020959295</v>
      </c>
      <c r="G58" s="31" t="n">
        <f aca="false">STDEV(B39:B58)*SQRT(Parametrlar!$B$6)</f>
        <v>0.308371671906092</v>
      </c>
    </row>
    <row r="59" customFormat="false" ht="15" hidden="false" customHeight="false" outlineLevel="0" collapsed="false">
      <c r="A59" s="19" t="n">
        <f aca="false">Daromadlilik!A54</f>
        <v>45366</v>
      </c>
      <c r="B59" s="28" t="n">
        <f aca="false">Daromadlilik!H54</f>
        <v>0.00939516787584744</v>
      </c>
      <c r="C59" s="29" t="n">
        <f aca="false">B59^2</f>
        <v>8.82691794153556E-005</v>
      </c>
      <c r="D59" s="29" t="n">
        <f aca="false">$B$4*D58+(1-$B$4)*C58</f>
        <v>0.00029759595204712</v>
      </c>
      <c r="E59" s="30" t="n">
        <f aca="false">SQRT(D59)</f>
        <v>0.0172509695973044</v>
      </c>
      <c r="F59" s="31" t="n">
        <f aca="false">E59*SQRT(Parametrlar!$B$6)</f>
        <v>0.273850652575221</v>
      </c>
      <c r="G59" s="31" t="n">
        <f aca="false">STDEV(B40:B59)*SQRT(Parametrlar!$B$6)</f>
        <v>0.305362191194432</v>
      </c>
    </row>
    <row r="60" customFormat="false" ht="15" hidden="false" customHeight="false" outlineLevel="0" collapsed="false">
      <c r="A60" s="19" t="n">
        <f aca="false">Daromadlilik!A55</f>
        <v>45369</v>
      </c>
      <c r="B60" s="28" t="n">
        <f aca="false">Daromadlilik!H55</f>
        <v>0.013271661146459</v>
      </c>
      <c r="C60" s="29" t="n">
        <f aca="false">B60^2</f>
        <v>0.00017613698958643</v>
      </c>
      <c r="D60" s="29" t="n">
        <f aca="false">$B$4*D59+(1-$B$4)*C59</f>
        <v>0.000285036345689214</v>
      </c>
      <c r="E60" s="30" t="n">
        <f aca="false">SQRT(D60)</f>
        <v>0.0168830194482271</v>
      </c>
      <c r="F60" s="31" t="n">
        <f aca="false">E60*SQRT(Parametrlar!$B$6)</f>
        <v>0.268009625039255</v>
      </c>
      <c r="G60" s="31" t="n">
        <f aca="false">STDEV(B41:B60)*SQRT(Parametrlar!$B$6)</f>
        <v>0.305931695007454</v>
      </c>
    </row>
    <row r="61" customFormat="false" ht="15" hidden="false" customHeight="false" outlineLevel="0" collapsed="false">
      <c r="A61" s="19" t="n">
        <f aca="false">Daromadlilik!A56</f>
        <v>45370</v>
      </c>
      <c r="B61" s="28" t="n">
        <f aca="false">Daromadlilik!H56</f>
        <v>0.0230278168208345</v>
      </c>
      <c r="C61" s="29" t="n">
        <f aca="false">B61^2</f>
        <v>0.000530280347533909</v>
      </c>
      <c r="D61" s="29" t="n">
        <f aca="false">$B$4*D60+(1-$B$4)*C60</f>
        <v>0.000278502384323047</v>
      </c>
      <c r="E61" s="30" t="n">
        <f aca="false">SQRT(D61)</f>
        <v>0.0166883907050095</v>
      </c>
      <c r="F61" s="31" t="n">
        <f aca="false">E61*SQRT(Parametrlar!$B$6)</f>
        <v>0.264919989524022</v>
      </c>
      <c r="G61" s="31" t="n">
        <f aca="false">STDEV(B42:B61)*SQRT(Parametrlar!$B$6)</f>
        <v>0.310882714432753</v>
      </c>
    </row>
    <row r="62" customFormat="false" ht="15" hidden="false" customHeight="false" outlineLevel="0" collapsed="false">
      <c r="A62" s="19" t="n">
        <f aca="false">Daromadlilik!A57</f>
        <v>45371</v>
      </c>
      <c r="B62" s="28" t="n">
        <f aca="false">Daromadlilik!H57</f>
        <v>0.00303362275463622</v>
      </c>
      <c r="C62" s="29" t="n">
        <f aca="false">B62^2</f>
        <v>9.20286701744663E-006</v>
      </c>
      <c r="D62" s="29" t="n">
        <f aca="false">$B$4*D61+(1-$B$4)*C61</f>
        <v>0.000293609062115699</v>
      </c>
      <c r="E62" s="30" t="n">
        <f aca="false">SQRT(D62)</f>
        <v>0.0171350244270529</v>
      </c>
      <c r="F62" s="31" t="n">
        <f aca="false">E62*SQRT(Parametrlar!$B$6)</f>
        <v>0.272010080057994</v>
      </c>
      <c r="G62" s="31" t="n">
        <f aca="false">STDEV(B43:B62)*SQRT(Parametrlar!$B$6)</f>
        <v>0.310328531789375</v>
      </c>
    </row>
    <row r="63" customFormat="false" ht="15" hidden="false" customHeight="false" outlineLevel="0" collapsed="false">
      <c r="A63" s="19" t="n">
        <f aca="false">Daromadlilik!A58</f>
        <v>45372</v>
      </c>
      <c r="B63" s="28" t="n">
        <f aca="false">Daromadlilik!H58</f>
        <v>-0.0157068280518135</v>
      </c>
      <c r="C63" s="29" t="n">
        <f aca="false">B63^2</f>
        <v>0.000246704447449237</v>
      </c>
      <c r="D63" s="29" t="n">
        <f aca="false">$B$4*D62+(1-$B$4)*C62</f>
        <v>0.000276544690409804</v>
      </c>
      <c r="E63" s="30" t="n">
        <f aca="false">SQRT(D63)</f>
        <v>0.0166296329006326</v>
      </c>
      <c r="F63" s="31" t="n">
        <f aca="false">E63*SQRT(Parametrlar!$B$6)</f>
        <v>0.26398723829623</v>
      </c>
      <c r="G63" s="31" t="n">
        <f aca="false">STDEV(B44:B63)*SQRT(Parametrlar!$B$6)</f>
        <v>0.277364500083232</v>
      </c>
    </row>
    <row r="64" customFormat="false" ht="15" hidden="false" customHeight="false" outlineLevel="0" collapsed="false">
      <c r="A64" s="19" t="n">
        <f aca="false">Daromadlilik!A59</f>
        <v>45373</v>
      </c>
      <c r="B64" s="28" t="n">
        <f aca="false">Daromadlilik!H59</f>
        <v>-0.0230693755766942</v>
      </c>
      <c r="C64" s="29" t="n">
        <f aca="false">B64^2</f>
        <v>0.000532196089498574</v>
      </c>
      <c r="D64" s="29" t="n">
        <f aca="false">$B$4*D63+(1-$B$4)*C63</f>
        <v>0.00027475427583217</v>
      </c>
      <c r="E64" s="30" t="n">
        <f aca="false">SQRT(D64)</f>
        <v>0.0165757134335802</v>
      </c>
      <c r="F64" s="31" t="n">
        <f aca="false">E64*SQRT(Parametrlar!$B$6)</f>
        <v>0.263131293292354</v>
      </c>
      <c r="G64" s="31" t="n">
        <f aca="false">STDEV(B45:B64)*SQRT(Parametrlar!$B$6)</f>
        <v>0.2922241714091</v>
      </c>
    </row>
    <row r="65" customFormat="false" ht="15" hidden="false" customHeight="false" outlineLevel="0" collapsed="false">
      <c r="A65" s="19" t="n">
        <f aca="false">Daromadlilik!A60</f>
        <v>45376</v>
      </c>
      <c r="B65" s="28" t="n">
        <f aca="false">Daromadlilik!H60</f>
        <v>0.0032166234992313</v>
      </c>
      <c r="C65" s="29" t="n">
        <f aca="false">B65^2</f>
        <v>1.0346666735807E-005</v>
      </c>
      <c r="D65" s="29" t="n">
        <f aca="false">$B$4*D64+(1-$B$4)*C64</f>
        <v>0.000290200784652154</v>
      </c>
      <c r="E65" s="30" t="n">
        <f aca="false">SQRT(D65)</f>
        <v>0.0170352805862467</v>
      </c>
      <c r="F65" s="31" t="n">
        <f aca="false">E65*SQRT(Parametrlar!$B$6)</f>
        <v>0.270426695672492</v>
      </c>
      <c r="G65" s="31" t="n">
        <f aca="false">STDEV(B46:B65)*SQRT(Parametrlar!$B$6)</f>
        <v>0.288756681264539</v>
      </c>
    </row>
    <row r="66" customFormat="false" ht="15" hidden="false" customHeight="false" outlineLevel="0" collapsed="false">
      <c r="A66" s="19" t="n">
        <f aca="false">Daromadlilik!A61</f>
        <v>45377</v>
      </c>
      <c r="B66" s="28" t="n">
        <f aca="false">Daromadlilik!H61</f>
        <v>-0.0209142448322017</v>
      </c>
      <c r="C66" s="29" t="n">
        <f aca="false">B66^2</f>
        <v>0.000437405636901274</v>
      </c>
      <c r="D66" s="29" t="n">
        <f aca="false">$B$4*D65+(1-$B$4)*C65</f>
        <v>0.000273409537577173</v>
      </c>
      <c r="E66" s="30" t="n">
        <f aca="false">SQRT(D66)</f>
        <v>0.0165351001683441</v>
      </c>
      <c r="F66" s="31" t="n">
        <f aca="false">E66*SQRT(Parametrlar!$B$6)</f>
        <v>0.262486577693884</v>
      </c>
      <c r="G66" s="31" t="n">
        <f aca="false">STDEV(B47:B66)*SQRT(Parametrlar!$B$6)</f>
        <v>0.300253486076973</v>
      </c>
    </row>
    <row r="67" customFormat="false" ht="15" hidden="false" customHeight="false" outlineLevel="0" collapsed="false">
      <c r="A67" s="19" t="n">
        <f aca="false">Daromadlilik!A62</f>
        <v>45378</v>
      </c>
      <c r="B67" s="28" t="n">
        <f aca="false">Daromadlilik!H62</f>
        <v>-0.0208771146479209</v>
      </c>
      <c r="C67" s="29" t="n">
        <f aca="false">B67^2</f>
        <v>0.000435853916022435</v>
      </c>
      <c r="D67" s="29" t="n">
        <f aca="false">$B$4*D66+(1-$B$4)*C66</f>
        <v>0.000283249303536619</v>
      </c>
      <c r="E67" s="30" t="n">
        <f aca="false">SQRT(D67)</f>
        <v>0.0168300119886059</v>
      </c>
      <c r="F67" s="31" t="n">
        <f aca="false">E67*SQRT(Parametrlar!$B$6)</f>
        <v>0.267168157704521</v>
      </c>
      <c r="G67" s="31" t="n">
        <f aca="false">STDEV(B48:B67)*SQRT(Parametrlar!$B$6)</f>
        <v>0.310133392023788</v>
      </c>
    </row>
    <row r="68" customFormat="false" ht="15" hidden="false" customHeight="false" outlineLevel="0" collapsed="false">
      <c r="A68" s="19" t="n">
        <f aca="false">Daromadlilik!A63</f>
        <v>45379</v>
      </c>
      <c r="B68" s="28" t="n">
        <f aca="false">Daromadlilik!H63</f>
        <v>0.00972301991242752</v>
      </c>
      <c r="C68" s="29" t="n">
        <f aca="false">B68^2</f>
        <v>9.4537116217462E-005</v>
      </c>
      <c r="D68" s="29" t="n">
        <f aca="false">$B$4*D67+(1-$B$4)*C67</f>
        <v>0.000292405580285768</v>
      </c>
      <c r="E68" s="30" t="n">
        <f aca="false">SQRT(D68)</f>
        <v>0.0170998707681014</v>
      </c>
      <c r="F68" s="31" t="n">
        <f aca="false">E68*SQRT(Parametrlar!$B$6)</f>
        <v>0.271452033022436</v>
      </c>
      <c r="G68" s="31" t="n">
        <f aca="false">STDEV(B49:B68)*SQRT(Parametrlar!$B$6)</f>
        <v>0.312065648222689</v>
      </c>
    </row>
    <row r="69" customFormat="false" ht="15" hidden="false" customHeight="false" outlineLevel="0" collapsed="false">
      <c r="A69" s="19" t="n">
        <f aca="false">Daromadlilik!A64</f>
        <v>45380</v>
      </c>
      <c r="B69" s="28" t="n">
        <f aca="false">Daromadlilik!H64</f>
        <v>0.00831665917425762</v>
      </c>
      <c r="C69" s="29" t="n">
        <f aca="false">B69^2</f>
        <v>6.91668198207635E-005</v>
      </c>
      <c r="D69" s="29" t="n">
        <f aca="false">$B$4*D68+(1-$B$4)*C68</f>
        <v>0.00028053347244167</v>
      </c>
      <c r="E69" s="30" t="n">
        <f aca="false">SQRT(D69)</f>
        <v>0.016749133483308</v>
      </c>
      <c r="F69" s="31" t="n">
        <f aca="false">E69*SQRT(Parametrlar!$B$6)</f>
        <v>0.265884251235948</v>
      </c>
      <c r="G69" s="31" t="n">
        <f aca="false">STDEV(B50:B69)*SQRT(Parametrlar!$B$6)</f>
        <v>0.312840561062585</v>
      </c>
    </row>
    <row r="70" customFormat="false" ht="15" hidden="false" customHeight="false" outlineLevel="0" collapsed="false">
      <c r="A70" s="19" t="n">
        <f aca="false">Daromadlilik!A65</f>
        <v>45383</v>
      </c>
      <c r="B70" s="28" t="n">
        <f aca="false">Daromadlilik!H65</f>
        <v>0.0615125620207073</v>
      </c>
      <c r="C70" s="29" t="n">
        <f aca="false">B70^2</f>
        <v>0.00378379528635137</v>
      </c>
      <c r="D70" s="29" t="n">
        <f aca="false">$B$4*D69+(1-$B$4)*C69</f>
        <v>0.000267851473284415</v>
      </c>
      <c r="E70" s="30" t="n">
        <f aca="false">SQRT(D70)</f>
        <v>0.016366168558475</v>
      </c>
      <c r="F70" s="31" t="n">
        <f aca="false">E70*SQRT(Parametrlar!$B$6)</f>
        <v>0.259804871524136</v>
      </c>
      <c r="G70" s="31" t="n">
        <f aca="false">STDEV(B51:B70)*SQRT(Parametrlar!$B$6)</f>
        <v>0.380529530177919</v>
      </c>
    </row>
    <row r="71" customFormat="false" ht="15" hidden="false" customHeight="false" outlineLevel="0" collapsed="false">
      <c r="A71" s="19" t="n">
        <f aca="false">Daromadlilik!A66</f>
        <v>45384</v>
      </c>
      <c r="B71" s="28" t="n">
        <f aca="false">Daromadlilik!H66</f>
        <v>-0.0136628968288635</v>
      </c>
      <c r="C71" s="29" t="n">
        <f aca="false">B71^2</f>
        <v>0.000186674749756168</v>
      </c>
      <c r="D71" s="29" t="n">
        <f aca="false">$B$4*D70+(1-$B$4)*C70</f>
        <v>0.000478808102068433</v>
      </c>
      <c r="E71" s="30" t="n">
        <f aca="false">SQRT(D71)</f>
        <v>0.0218816841689216</v>
      </c>
      <c r="F71" s="31" t="n">
        <f aca="false">E71*SQRT(Parametrlar!$B$6)</f>
        <v>0.347360967469353</v>
      </c>
      <c r="G71" s="31" t="n">
        <f aca="false">STDEV(B52:B71)*SQRT(Parametrlar!$B$6)</f>
        <v>0.385194593568835</v>
      </c>
    </row>
    <row r="72" customFormat="false" ht="15" hidden="false" customHeight="false" outlineLevel="0" collapsed="false">
      <c r="A72" s="19" t="n">
        <f aca="false">Daromadlilik!A67</f>
        <v>45385</v>
      </c>
      <c r="B72" s="28" t="n">
        <f aca="false">Daromadlilik!H67</f>
        <v>-0.0302120350898602</v>
      </c>
      <c r="C72" s="29" t="n">
        <f aca="false">B72^2</f>
        <v>0.000912767064270941</v>
      </c>
      <c r="D72" s="29" t="n">
        <f aca="false">$B$4*D71+(1-$B$4)*C71</f>
        <v>0.000461280100929697</v>
      </c>
      <c r="E72" s="30" t="n">
        <f aca="false">SQRT(D72)</f>
        <v>0.0214774323635228</v>
      </c>
      <c r="F72" s="31" t="n">
        <f aca="false">E72*SQRT(Parametrlar!$B$6)</f>
        <v>0.340943669004549</v>
      </c>
      <c r="G72" s="31" t="n">
        <f aca="false">STDEV(B53:B72)*SQRT(Parametrlar!$B$6)</f>
        <v>0.37946799721536</v>
      </c>
    </row>
    <row r="73" customFormat="false" ht="15" hidden="false" customHeight="false" outlineLevel="0" collapsed="false">
      <c r="A73" s="19" t="n">
        <f aca="false">Daromadlilik!A68</f>
        <v>45386</v>
      </c>
      <c r="B73" s="28" t="n">
        <f aca="false">Daromadlilik!H68</f>
        <v>-0.0100735432325614</v>
      </c>
      <c r="C73" s="29" t="n">
        <f aca="false">B73^2</f>
        <v>0.000101476273258284</v>
      </c>
      <c r="D73" s="29" t="n">
        <f aca="false">$B$4*D72+(1-$B$4)*C72</f>
        <v>0.000488369318730172</v>
      </c>
      <c r="E73" s="30" t="n">
        <f aca="false">SQRT(D73)</f>
        <v>0.0220990795901135</v>
      </c>
      <c r="F73" s="31" t="n">
        <f aca="false">E73*SQRT(Parametrlar!$B$6)</f>
        <v>0.350812012793181</v>
      </c>
      <c r="G73" s="31" t="n">
        <f aca="false">STDEV(B54:B73)*SQRT(Parametrlar!$B$6)</f>
        <v>0.359562568423039</v>
      </c>
    </row>
    <row r="74" customFormat="false" ht="15" hidden="false" customHeight="false" outlineLevel="0" collapsed="false">
      <c r="A74" s="19" t="n">
        <f aca="false">Daromadlilik!A69</f>
        <v>45387</v>
      </c>
      <c r="B74" s="28" t="n">
        <f aca="false">Daromadlilik!H69</f>
        <v>-0.0342446718017034</v>
      </c>
      <c r="C74" s="29" t="n">
        <f aca="false">B74^2</f>
        <v>0.00117269754680638</v>
      </c>
      <c r="D74" s="29" t="n">
        <f aca="false">$B$4*D73+(1-$B$4)*C73</f>
        <v>0.000465155736001858</v>
      </c>
      <c r="E74" s="30" t="n">
        <f aca="false">SQRT(D74)</f>
        <v>0.021567469392626</v>
      </c>
      <c r="F74" s="31" t="n">
        <f aca="false">E74*SQRT(Parametrlar!$B$6)</f>
        <v>0.342372962531314</v>
      </c>
      <c r="G74" s="31" t="n">
        <f aca="false">STDEV(B55:B74)*SQRT(Parametrlar!$B$6)</f>
        <v>0.381967004975464</v>
      </c>
    </row>
    <row r="75" customFormat="false" ht="15" hidden="false" customHeight="false" outlineLevel="0" collapsed="false">
      <c r="A75" s="19" t="n">
        <f aca="false">Daromadlilik!A70</f>
        <v>45390</v>
      </c>
      <c r="B75" s="28" t="n">
        <f aca="false">Daromadlilik!H70</f>
        <v>0.0189180230397493</v>
      </c>
      <c r="C75" s="29" t="n">
        <f aca="false">B75^2</f>
        <v>0.000357891595732486</v>
      </c>
      <c r="D75" s="29" t="n">
        <f aca="false">$B$4*D74+(1-$B$4)*C74</f>
        <v>0.00050760824465013</v>
      </c>
      <c r="E75" s="30" t="n">
        <f aca="false">SQRT(D75)</f>
        <v>0.0225301629965282</v>
      </c>
      <c r="F75" s="31" t="n">
        <f aca="false">E75*SQRT(Parametrlar!$B$6)</f>
        <v>0.357655249719381</v>
      </c>
      <c r="G75" s="31" t="n">
        <f aca="false">STDEV(B56:B75)*SQRT(Parametrlar!$B$6)</f>
        <v>0.356211216677193</v>
      </c>
    </row>
    <row r="76" customFormat="false" ht="15" hidden="false" customHeight="false" outlineLevel="0" collapsed="false">
      <c r="A76" s="19" t="n">
        <f aca="false">Daromadlilik!A71</f>
        <v>45391</v>
      </c>
      <c r="B76" s="28" t="n">
        <f aca="false">Daromadlilik!H71</f>
        <v>0.0254276518230763</v>
      </c>
      <c r="C76" s="29" t="n">
        <f aca="false">B76^2</f>
        <v>0.000646565477235597</v>
      </c>
      <c r="D76" s="29" t="n">
        <f aca="false">$B$4*D75+(1-$B$4)*C75</f>
        <v>0.000498625245715071</v>
      </c>
      <c r="E76" s="30" t="n">
        <f aca="false">SQRT(D76)</f>
        <v>0.0223299181752883</v>
      </c>
      <c r="F76" s="31" t="n">
        <f aca="false">E76*SQRT(Parametrlar!$B$6)</f>
        <v>0.354476461729404</v>
      </c>
      <c r="G76" s="31" t="n">
        <f aca="false">STDEV(B57:B76)*SQRT(Parametrlar!$B$6)</f>
        <v>0.366960482175298</v>
      </c>
    </row>
    <row r="77" customFormat="false" ht="15" hidden="false" customHeight="false" outlineLevel="0" collapsed="false">
      <c r="A77" s="19" t="n">
        <f aca="false">Daromadlilik!A72</f>
        <v>45392</v>
      </c>
      <c r="B77" s="28" t="n">
        <f aca="false">Daromadlilik!H72</f>
        <v>-0.0126098338831087</v>
      </c>
      <c r="C77" s="29" t="n">
        <f aca="false">B77^2</f>
        <v>0.000159007910559595</v>
      </c>
      <c r="D77" s="29" t="n">
        <f aca="false">$B$4*D76+(1-$B$4)*C76</f>
        <v>0.000507501659606303</v>
      </c>
      <c r="E77" s="30" t="n">
        <f aca="false">SQRT(D77)</f>
        <v>0.0225277974868007</v>
      </c>
      <c r="F77" s="31" t="n">
        <f aca="false">E77*SQRT(Parametrlar!$B$6)</f>
        <v>0.357617698416603</v>
      </c>
      <c r="G77" s="31" t="n">
        <f aca="false">STDEV(B58:B77)*SQRT(Parametrlar!$B$6)</f>
        <v>0.369509086995959</v>
      </c>
    </row>
    <row r="78" customFormat="false" ht="15" hidden="false" customHeight="false" outlineLevel="0" collapsed="false">
      <c r="A78" s="19" t="n">
        <f aca="false">Daromadlilik!A73</f>
        <v>45393</v>
      </c>
      <c r="B78" s="28" t="n">
        <f aca="false">Daromadlilik!H73</f>
        <v>0.0113917232691043</v>
      </c>
      <c r="C78" s="29" t="n">
        <f aca="false">B78^2</f>
        <v>0.000129771359039851</v>
      </c>
      <c r="D78" s="29" t="n">
        <f aca="false">$B$4*D77+(1-$B$4)*C77</f>
        <v>0.0004865920346635</v>
      </c>
      <c r="E78" s="30" t="n">
        <f aca="false">SQRT(D78)</f>
        <v>0.0220588312170772</v>
      </c>
      <c r="F78" s="31" t="n">
        <f aca="false">E78*SQRT(Parametrlar!$B$6)</f>
        <v>0.350173089678807</v>
      </c>
      <c r="G78" s="31" t="n">
        <f aca="false">STDEV(B59:B78)*SQRT(Parametrlar!$B$6)</f>
        <v>0.365622400953018</v>
      </c>
    </row>
    <row r="79" customFormat="false" ht="15" hidden="false" customHeight="false" outlineLevel="0" collapsed="false">
      <c r="A79" s="19" t="n">
        <f aca="false">Daromadlilik!A74</f>
        <v>45394</v>
      </c>
      <c r="B79" s="28" t="n">
        <f aca="false">Daromadlilik!H74</f>
        <v>0.0119428062287531</v>
      </c>
      <c r="C79" s="29" t="n">
        <f aca="false">B79^2</f>
        <v>0.000142630620617544</v>
      </c>
      <c r="D79" s="29" t="n">
        <f aca="false">$B$4*D78+(1-$B$4)*C78</f>
        <v>0.000465182794126081</v>
      </c>
      <c r="E79" s="30" t="n">
        <f aca="false">SQRT(D79)</f>
        <v>0.0215680966737003</v>
      </c>
      <c r="F79" s="31" t="n">
        <f aca="false">E79*SQRT(Parametrlar!$B$6)</f>
        <v>0.342382920309662</v>
      </c>
      <c r="G79" s="31" t="n">
        <f aca="false">STDEV(B60:B79)*SQRT(Parametrlar!$B$6)</f>
        <v>0.366574175305922</v>
      </c>
    </row>
    <row r="80" customFormat="false" ht="15" hidden="false" customHeight="false" outlineLevel="0" collapsed="false">
      <c r="A80" s="19" t="n">
        <f aca="false">Daromadlilik!A75</f>
        <v>45397</v>
      </c>
      <c r="B80" s="28" t="n">
        <f aca="false">Daromadlilik!H75</f>
        <v>-0.00637725977852954</v>
      </c>
      <c r="C80" s="29" t="n">
        <f aca="false">B80^2</f>
        <v>4.06694422828506E-005</v>
      </c>
      <c r="D80" s="29" t="n">
        <f aca="false">$B$4*D79+(1-$B$4)*C79</f>
        <v>0.000445829663715569</v>
      </c>
      <c r="E80" s="30" t="n">
        <f aca="false">SQRT(D80)</f>
        <v>0.0211146788683979</v>
      </c>
      <c r="F80" s="31" t="n">
        <f aca="false">E80*SQRT(Parametrlar!$B$6)</f>
        <v>0.335185135792629</v>
      </c>
      <c r="G80" s="31" t="n">
        <f aca="false">STDEV(B61:B80)*SQRT(Parametrlar!$B$6)</f>
        <v>0.364064663358885</v>
      </c>
    </row>
    <row r="81" customFormat="false" ht="15" hidden="false" customHeight="false" outlineLevel="0" collapsed="false">
      <c r="A81" s="19" t="n">
        <f aca="false">Daromadlilik!A76</f>
        <v>45398</v>
      </c>
      <c r="B81" s="28" t="n">
        <f aca="false">Daromadlilik!H76</f>
        <v>0.00658551482833538</v>
      </c>
      <c r="C81" s="29" t="n">
        <f aca="false">B81^2</f>
        <v>4.33690055542251E-005</v>
      </c>
      <c r="D81" s="29" t="n">
        <f aca="false">$B$4*D80+(1-$B$4)*C80</f>
        <v>0.000421520050429606</v>
      </c>
      <c r="E81" s="30" t="n">
        <f aca="false">SQRT(D81)</f>
        <v>0.0205309534710302</v>
      </c>
      <c r="F81" s="31" t="n">
        <f aca="false">E81*SQRT(Parametrlar!$B$6)</f>
        <v>0.325918782380305</v>
      </c>
      <c r="G81" s="31" t="n">
        <f aca="false">STDEV(B62:B81)*SQRT(Parametrlar!$B$6)</f>
        <v>0.354486605441301</v>
      </c>
    </row>
    <row r="82" customFormat="false" ht="15" hidden="false" customHeight="false" outlineLevel="0" collapsed="false">
      <c r="A82" s="19" t="n">
        <f aca="false">Daromadlilik!A77</f>
        <v>45399</v>
      </c>
      <c r="B82" s="28" t="n">
        <f aca="false">Daromadlilik!H77</f>
        <v>0.00289297119851051</v>
      </c>
      <c r="C82" s="29" t="n">
        <f aca="false">B82^2</f>
        <v>8.36928235541135E-006</v>
      </c>
      <c r="D82" s="29" t="n">
        <f aca="false">$B$4*D81+(1-$B$4)*C81</f>
        <v>0.000398830987737083</v>
      </c>
      <c r="E82" s="30" t="n">
        <f aca="false">SQRT(D82)</f>
        <v>0.019970753309204</v>
      </c>
      <c r="F82" s="31" t="n">
        <f aca="false">E82*SQRT(Parametrlar!$B$6)</f>
        <v>0.317025880504644</v>
      </c>
      <c r="G82" s="31" t="n">
        <f aca="false">STDEV(B63:B82)*SQRT(Parametrlar!$B$6)</f>
        <v>0.354463708677125</v>
      </c>
    </row>
    <row r="83" customFormat="false" ht="15" hidden="false" customHeight="false" outlineLevel="0" collapsed="false">
      <c r="A83" s="19" t="n">
        <f aca="false">Daromadlilik!A78</f>
        <v>45400</v>
      </c>
      <c r="B83" s="28" t="n">
        <f aca="false">Daromadlilik!H78</f>
        <v>-0.00606677099353694</v>
      </c>
      <c r="C83" s="29" t="n">
        <f aca="false">B83^2</f>
        <v>3.68057102880211E-005</v>
      </c>
      <c r="D83" s="29" t="n">
        <f aca="false">$B$4*D82+(1-$B$4)*C82</f>
        <v>0.000375403285414183</v>
      </c>
      <c r="E83" s="30" t="n">
        <f aca="false">SQRT(D83)</f>
        <v>0.0193753267176113</v>
      </c>
      <c r="F83" s="31" t="n">
        <f aca="false">E83*SQRT(Parametrlar!$B$6)</f>
        <v>0.307573776392549</v>
      </c>
      <c r="G83" s="31" t="n">
        <f aca="false">STDEV(B64:B83)*SQRT(Parametrlar!$B$6)</f>
        <v>0.350934005147849</v>
      </c>
    </row>
    <row r="84" customFormat="false" ht="15" hidden="false" customHeight="false" outlineLevel="0" collapsed="false">
      <c r="A84" s="19" t="n">
        <f aca="false">Daromadlilik!A79</f>
        <v>45401</v>
      </c>
      <c r="B84" s="28" t="n">
        <f aca="false">Daromadlilik!H79</f>
        <v>0.0023948848022898</v>
      </c>
      <c r="C84" s="29" t="n">
        <f aca="false">B84^2</f>
        <v>5.73547321623864E-006</v>
      </c>
      <c r="D84" s="29" t="n">
        <f aca="false">$B$4*D83+(1-$B$4)*C83</f>
        <v>0.000355087430906613</v>
      </c>
      <c r="E84" s="30" t="n">
        <f aca="false">SQRT(D84)</f>
        <v>0.018843763713935</v>
      </c>
      <c r="F84" s="31" t="n">
        <f aca="false">E84*SQRT(Parametrlar!$B$6)</f>
        <v>0.299135475309209</v>
      </c>
      <c r="G84" s="31" t="n">
        <f aca="false">STDEV(B65:B84)*SQRT(Parametrlar!$B$6)</f>
        <v>0.341110167856308</v>
      </c>
    </row>
    <row r="85" customFormat="false" ht="15" hidden="false" customHeight="false" outlineLevel="0" collapsed="false">
      <c r="A85" s="19" t="n">
        <f aca="false">Daromadlilik!A80</f>
        <v>45404</v>
      </c>
      <c r="B85" s="28" t="n">
        <f aca="false">Daromadlilik!H80</f>
        <v>0.0226470070791828</v>
      </c>
      <c r="C85" s="29" t="n">
        <f aca="false">B85^2</f>
        <v>0.000512886929644556</v>
      </c>
      <c r="D85" s="29" t="n">
        <f aca="false">$B$4*D84+(1-$B$4)*C84</f>
        <v>0.00033412631344519</v>
      </c>
      <c r="E85" s="30" t="n">
        <f aca="false">SQRT(D85)</f>
        <v>0.0182791223379349</v>
      </c>
      <c r="F85" s="31" t="n">
        <f aca="false">E85*SQRT(Parametrlar!$B$6)</f>
        <v>0.290172071344208</v>
      </c>
      <c r="G85" s="31" t="n">
        <f aca="false">STDEV(B66:B85)*SQRT(Parametrlar!$B$6)</f>
        <v>0.350119026205108</v>
      </c>
    </row>
    <row r="86" customFormat="false" ht="15" hidden="false" customHeight="false" outlineLevel="0" collapsed="false">
      <c r="A86" s="19" t="n">
        <f aca="false">Daromadlilik!A81</f>
        <v>45405</v>
      </c>
      <c r="B86" s="28" t="n">
        <f aca="false">Daromadlilik!H81</f>
        <v>0.0115106270081168</v>
      </c>
      <c r="C86" s="29" t="n">
        <f aca="false">B86^2</f>
        <v>0.000132494534119987</v>
      </c>
      <c r="D86" s="29" t="n">
        <f aca="false">$B$4*D85+(1-$B$4)*C85</f>
        <v>0.000344851950417152</v>
      </c>
      <c r="E86" s="30" t="n">
        <f aca="false">SQRT(D86)</f>
        <v>0.0185701898325556</v>
      </c>
      <c r="F86" s="31" t="n">
        <f aca="false">E86*SQRT(Parametrlar!$B$6)</f>
        <v>0.294792624577214</v>
      </c>
      <c r="G86" s="31" t="n">
        <f aca="false">STDEV(B67:B86)*SQRT(Parametrlar!$B$6)</f>
        <v>0.341603792412267</v>
      </c>
    </row>
    <row r="87" customFormat="false" ht="15" hidden="false" customHeight="false" outlineLevel="0" collapsed="false">
      <c r="A87" s="19" t="n">
        <f aca="false">Daromadlilik!A82</f>
        <v>45406</v>
      </c>
      <c r="B87" s="28" t="n">
        <f aca="false">Daromadlilik!H82</f>
        <v>0.00552750526497032</v>
      </c>
      <c r="C87" s="29" t="n">
        <f aca="false">B87^2</f>
        <v>3.05533144542747E-005</v>
      </c>
      <c r="D87" s="29" t="n">
        <f aca="false">$B$4*D86+(1-$B$4)*C86</f>
        <v>0.000332110505439322</v>
      </c>
      <c r="E87" s="30" t="n">
        <f aca="false">SQRT(D87)</f>
        <v>0.0182238992929428</v>
      </c>
      <c r="F87" s="31" t="n">
        <f aca="false">E87*SQRT(Parametrlar!$B$6)</f>
        <v>0.289295432682075</v>
      </c>
      <c r="G87" s="31" t="n">
        <f aca="false">STDEV(B68:B87)*SQRT(Parametrlar!$B$6)</f>
        <v>0.329824375336461</v>
      </c>
    </row>
    <row r="88" customFormat="false" ht="15" hidden="false" customHeight="false" outlineLevel="0" collapsed="false">
      <c r="A88" s="19" t="n">
        <f aca="false">Daromadlilik!A83</f>
        <v>45407</v>
      </c>
      <c r="B88" s="28" t="n">
        <f aca="false">Daromadlilik!H83</f>
        <v>-0.00897471078729674</v>
      </c>
      <c r="C88" s="29" t="n">
        <f aca="false">B88^2</f>
        <v>8.05454337156204E-005</v>
      </c>
      <c r="D88" s="29" t="n">
        <f aca="false">$B$4*D87+(1-$B$4)*C87</f>
        <v>0.00031401707398022</v>
      </c>
      <c r="E88" s="30" t="n">
        <f aca="false">SQRT(D88)</f>
        <v>0.0177205269103438</v>
      </c>
      <c r="F88" s="31" t="n">
        <f aca="false">E88*SQRT(Parametrlar!$B$6)</f>
        <v>0.281304643834785</v>
      </c>
      <c r="G88" s="31" t="n">
        <f aca="false">STDEV(B69:B88)*SQRT(Parametrlar!$B$6)</f>
        <v>0.332397523609119</v>
      </c>
    </row>
    <row r="89" customFormat="false" ht="15" hidden="false" customHeight="false" outlineLevel="0" collapsed="false">
      <c r="A89" s="19" t="n">
        <f aca="false">Daromadlilik!A84</f>
        <v>45408</v>
      </c>
      <c r="B89" s="28" t="n">
        <f aca="false">Daromadlilik!H84</f>
        <v>0.0192409853568368</v>
      </c>
      <c r="C89" s="29" t="n">
        <f aca="false">B89^2</f>
        <v>0.000370215517502008</v>
      </c>
      <c r="D89" s="29" t="n">
        <f aca="false">$B$4*D88+(1-$B$4)*C88</f>
        <v>0.000300008775564344</v>
      </c>
      <c r="E89" s="30" t="n">
        <f aca="false">SQRT(D89)</f>
        <v>0.017320761402558</v>
      </c>
      <c r="F89" s="31" t="n">
        <f aca="false">E89*SQRT(Parametrlar!$B$6)</f>
        <v>0.274958563136729</v>
      </c>
      <c r="G89" s="31" t="n">
        <f aca="false">STDEV(B70:B89)*SQRT(Parametrlar!$B$6)</f>
        <v>0.336798584260571</v>
      </c>
    </row>
    <row r="90" customFormat="false" ht="15" hidden="false" customHeight="false" outlineLevel="0" collapsed="false">
      <c r="A90" s="19" t="n">
        <f aca="false">Daromadlilik!A85</f>
        <v>45411</v>
      </c>
      <c r="B90" s="28" t="n">
        <f aca="false">Daromadlilik!H85</f>
        <v>0.00218688473424909</v>
      </c>
      <c r="C90" s="29" t="n">
        <f aca="false">B90^2</f>
        <v>4.78246484089172E-006</v>
      </c>
      <c r="D90" s="29" t="n">
        <f aca="false">$B$4*D89+(1-$B$4)*C89</f>
        <v>0.000304221180080603</v>
      </c>
      <c r="E90" s="30" t="n">
        <f aca="false">SQRT(D90)</f>
        <v>0.0174419373946991</v>
      </c>
      <c r="F90" s="31" t="n">
        <f aca="false">E90*SQRT(Parametrlar!$B$6)</f>
        <v>0.27688217237719</v>
      </c>
      <c r="G90" s="31" t="n">
        <f aca="false">STDEV(B71:B90)*SQRT(Parametrlar!$B$6)</f>
        <v>0.259030841756632</v>
      </c>
    </row>
    <row r="91" customFormat="false" ht="15" hidden="false" customHeight="false" outlineLevel="0" collapsed="false">
      <c r="A91" s="19" t="n">
        <f aca="false">Daromadlilik!A86</f>
        <v>45412</v>
      </c>
      <c r="B91" s="28" t="n">
        <f aca="false">Daromadlilik!H86</f>
        <v>-0.00516493997910413</v>
      </c>
      <c r="C91" s="29" t="n">
        <f aca="false">B91^2</f>
        <v>2.66766049877481E-005</v>
      </c>
      <c r="D91" s="29" t="n">
        <f aca="false">$B$4*D90+(1-$B$4)*C90</f>
        <v>0.000286254857166221</v>
      </c>
      <c r="E91" s="30" t="n">
        <f aca="false">SQRT(D91)</f>
        <v>0.0169190678574861</v>
      </c>
      <c r="F91" s="31" t="n">
        <f aca="false">E91*SQRT(Parametrlar!$B$6)</f>
        <v>0.268581875795608</v>
      </c>
      <c r="G91" s="31" t="n">
        <f aca="false">STDEV(B72:B91)*SQRT(Parametrlar!$B$6)</f>
        <v>0.25439951774375</v>
      </c>
    </row>
    <row r="92" customFormat="false" ht="15" hidden="false" customHeight="false" outlineLevel="0" collapsed="false">
      <c r="A92" s="19" t="n">
        <f aca="false">Daromadlilik!A87</f>
        <v>45413</v>
      </c>
      <c r="B92" s="28" t="n">
        <f aca="false">Daromadlilik!H87</f>
        <v>-0.00548725571414669</v>
      </c>
      <c r="C92" s="29" t="n">
        <f aca="false">B92^2</f>
        <v>3.01099752724355E-005</v>
      </c>
      <c r="D92" s="29" t="n">
        <f aca="false">$B$4*D91+(1-$B$4)*C91</f>
        <v>0.000270680162035512</v>
      </c>
      <c r="E92" s="30" t="n">
        <f aca="false">SQRT(D92)</f>
        <v>0.0164523603788488</v>
      </c>
      <c r="F92" s="31" t="n">
        <f aca="false">E92*SQRT(Parametrlar!$B$6)</f>
        <v>0.261173124254677</v>
      </c>
      <c r="G92" s="31" t="n">
        <f aca="false">STDEV(B73:B92)*SQRT(Parametrlar!$B$6)</f>
        <v>0.22742771131481</v>
      </c>
    </row>
    <row r="93" customFormat="false" ht="15" hidden="false" customHeight="false" outlineLevel="0" collapsed="false">
      <c r="A93" s="19" t="n">
        <f aca="false">Daromadlilik!A88</f>
        <v>45414</v>
      </c>
      <c r="B93" s="28" t="n">
        <f aca="false">Daromadlilik!H88</f>
        <v>0.0119156523172001</v>
      </c>
      <c r="C93" s="29" t="n">
        <f aca="false">B93^2</f>
        <v>0.000141982770144397</v>
      </c>
      <c r="D93" s="29" t="n">
        <f aca="false">$B$4*D92+(1-$B$4)*C92</f>
        <v>0.000256245950829728</v>
      </c>
      <c r="E93" s="30" t="n">
        <f aca="false">SQRT(D93)</f>
        <v>0.0160076841182517</v>
      </c>
      <c r="F93" s="31" t="n">
        <f aca="false">E93*SQRT(Parametrlar!$B$6)</f>
        <v>0.254114107457834</v>
      </c>
      <c r="G93" s="31" t="n">
        <f aca="false">STDEV(B74:B93)*SQRT(Parametrlar!$B$6)</f>
        <v>0.224573126104138</v>
      </c>
    </row>
    <row r="94" customFormat="false" ht="15" hidden="false" customHeight="false" outlineLevel="0" collapsed="false">
      <c r="A94" s="19" t="n">
        <f aca="false">Daromadlilik!A89</f>
        <v>45415</v>
      </c>
      <c r="B94" s="28" t="n">
        <f aca="false">Daromadlilik!H89</f>
        <v>-0.0117331269478401</v>
      </c>
      <c r="C94" s="29" t="n">
        <f aca="false">B94^2</f>
        <v>0.000137666267974132</v>
      </c>
      <c r="D94" s="29" t="n">
        <f aca="false">$B$4*D93+(1-$B$4)*C93</f>
        <v>0.000249390159988608</v>
      </c>
      <c r="E94" s="30" t="n">
        <f aca="false">SQRT(D94)</f>
        <v>0.0157920916913691</v>
      </c>
      <c r="F94" s="31" t="n">
        <f aca="false">E94*SQRT(Parametrlar!$B$6)</f>
        <v>0.250691683781352</v>
      </c>
      <c r="G94" s="31" t="n">
        <f aca="false">STDEV(B75:B94)*SQRT(Parametrlar!$B$6)</f>
        <v>0.184851388292336</v>
      </c>
    </row>
    <row r="95" customFormat="false" ht="15" hidden="false" customHeight="false" outlineLevel="0" collapsed="false">
      <c r="A95" s="19" t="n">
        <f aca="false">Daromadlilik!A90</f>
        <v>45418</v>
      </c>
      <c r="B95" s="28" t="n">
        <f aca="false">Daromadlilik!H90</f>
        <v>0.00518369427589033</v>
      </c>
      <c r="C95" s="29" t="n">
        <f aca="false">B95^2</f>
        <v>2.68706863458981E-005</v>
      </c>
      <c r="D95" s="29" t="n">
        <f aca="false">$B$4*D94+(1-$B$4)*C94</f>
        <v>0.000242686726467739</v>
      </c>
      <c r="E95" s="30" t="n">
        <f aca="false">SQRT(D95)</f>
        <v>0.0155784057742678</v>
      </c>
      <c r="F95" s="31" t="n">
        <f aca="false">E95*SQRT(Parametrlar!$B$6)</f>
        <v>0.247299525009391</v>
      </c>
      <c r="G95" s="31" t="n">
        <f aca="false">STDEV(B76:B95)*SQRT(Parametrlar!$B$6)</f>
        <v>0.177218420202939</v>
      </c>
    </row>
    <row r="96" customFormat="false" ht="15" hidden="false" customHeight="false" outlineLevel="0" collapsed="false">
      <c r="A96" s="19" t="n">
        <f aca="false">Daromadlilik!A91</f>
        <v>45419</v>
      </c>
      <c r="B96" s="28" t="n">
        <f aca="false">Daromadlilik!H91</f>
        <v>0.0134913786934409</v>
      </c>
      <c r="C96" s="29" t="n">
        <f aca="false">B96^2</f>
        <v>0.000182017299049832</v>
      </c>
      <c r="D96" s="29" t="n">
        <f aca="false">$B$4*D95+(1-$B$4)*C95</f>
        <v>0.000229737764060429</v>
      </c>
      <c r="E96" s="30" t="n">
        <f aca="false">SQRT(D96)</f>
        <v>0.0151571027594468</v>
      </c>
      <c r="F96" s="31" t="n">
        <f aca="false">E96*SQRT(Parametrlar!$B$6)</f>
        <v>0.240611546986482</v>
      </c>
      <c r="G96" s="31" t="n">
        <f aca="false">STDEV(B77:B96)*SQRT(Parametrlar!$B$6)</f>
        <v>0.162651604118481</v>
      </c>
    </row>
    <row r="97" customFormat="false" ht="15" hidden="false" customHeight="false" outlineLevel="0" collapsed="false">
      <c r="A97" s="19" t="n">
        <f aca="false">Daromadlilik!A92</f>
        <v>45420</v>
      </c>
      <c r="B97" s="28" t="n">
        <f aca="false">Daromadlilik!H92</f>
        <v>-0.0056715050591645</v>
      </c>
      <c r="C97" s="29" t="n">
        <f aca="false">B97^2</f>
        <v>3.21659696361285E-005</v>
      </c>
      <c r="D97" s="29" t="n">
        <f aca="false">$B$4*D96+(1-$B$4)*C96</f>
        <v>0.000226874536159793</v>
      </c>
      <c r="E97" s="30" t="n">
        <f aca="false">SQRT(D97)</f>
        <v>0.0150623549340664</v>
      </c>
      <c r="F97" s="31" t="n">
        <f aca="false">E97*SQRT(Parametrlar!$B$6)</f>
        <v>0.239107471887158</v>
      </c>
      <c r="G97" s="31" t="n">
        <f aca="false">STDEV(B78:B97)*SQRT(Parametrlar!$B$6)</f>
        <v>0.155217735790898</v>
      </c>
    </row>
    <row r="98" customFormat="false" ht="15" hidden="false" customHeight="false" outlineLevel="0" collapsed="false">
      <c r="A98" s="19" t="n">
        <f aca="false">Daromadlilik!A93</f>
        <v>45421</v>
      </c>
      <c r="B98" s="28" t="n">
        <f aca="false">Daromadlilik!H93</f>
        <v>-0.00178594474980798</v>
      </c>
      <c r="C98" s="29" t="n">
        <f aca="false">B98^2</f>
        <v>3.1895986493667E-006</v>
      </c>
      <c r="D98" s="29" t="n">
        <f aca="false">$B$4*D97+(1-$B$4)*C97</f>
        <v>0.000215192022168373</v>
      </c>
      <c r="E98" s="30" t="n">
        <f aca="false">SQRT(D98)</f>
        <v>0.014669424738836</v>
      </c>
      <c r="F98" s="31" t="n">
        <f aca="false">E98*SQRT(Parametrlar!$B$6)</f>
        <v>0.232869898412032</v>
      </c>
      <c r="G98" s="31" t="n">
        <f aca="false">STDEV(B79:B98)*SQRT(Parametrlar!$B$6)</f>
        <v>0.153791813096161</v>
      </c>
    </row>
    <row r="99" customFormat="false" ht="15" hidden="false" customHeight="false" outlineLevel="0" collapsed="false">
      <c r="A99" s="19" t="n">
        <f aca="false">Daromadlilik!A94</f>
        <v>45422</v>
      </c>
      <c r="B99" s="28" t="n">
        <f aca="false">Daromadlilik!H94</f>
        <v>0.0208113171200084</v>
      </c>
      <c r="C99" s="29" t="n">
        <f aca="false">B99^2</f>
        <v>0.000433110920269555</v>
      </c>
      <c r="D99" s="29" t="n">
        <f aca="false">$B$4*D98+(1-$B$4)*C98</f>
        <v>0.000202471876757233</v>
      </c>
      <c r="E99" s="30" t="n">
        <f aca="false">SQRT(D99)</f>
        <v>0.0142292612864208</v>
      </c>
      <c r="F99" s="31" t="n">
        <f aca="false">E99*SQRT(Parametrlar!$B$6)</f>
        <v>0.22588252022417</v>
      </c>
      <c r="G99" s="31" t="n">
        <f aca="false">STDEV(B80:B99)*SQRT(Parametrlar!$B$6)</f>
        <v>0.163390985764803</v>
      </c>
    </row>
    <row r="100" customFormat="false" ht="15" hidden="false" customHeight="false" outlineLevel="0" collapsed="false">
      <c r="A100" s="19" t="n">
        <f aca="false">Daromadlilik!A95</f>
        <v>45425</v>
      </c>
      <c r="B100" s="28" t="n">
        <f aca="false">Daromadlilik!H95</f>
        <v>0.00444267878888791</v>
      </c>
      <c r="C100" s="29" t="n">
        <f aca="false">B100^2</f>
        <v>1.97373948212346E-005</v>
      </c>
      <c r="D100" s="29" t="n">
        <f aca="false">$B$4*D99+(1-$B$4)*C99</f>
        <v>0.000216310219367972</v>
      </c>
      <c r="E100" s="30" t="n">
        <f aca="false">SQRT(D100)</f>
        <v>0.0147074885472664</v>
      </c>
      <c r="F100" s="31" t="n">
        <f aca="false">E100*SQRT(Parametrlar!$B$6)</f>
        <v>0.233474142638385</v>
      </c>
      <c r="G100" s="31" t="n">
        <f aca="false">STDEV(B81:B100)*SQRT(Parametrlar!$B$6)</f>
        <v>0.159034378389858</v>
      </c>
    </row>
    <row r="101" customFormat="false" ht="15" hidden="false" customHeight="false" outlineLevel="0" collapsed="false">
      <c r="A101" s="19" t="n">
        <f aca="false">Daromadlilik!A96</f>
        <v>45426</v>
      </c>
      <c r="B101" s="28" t="n">
        <f aca="false">Daromadlilik!H96</f>
        <v>0.00041889379141713</v>
      </c>
      <c r="C101" s="29" t="n">
        <f aca="false">B101^2</f>
        <v>1.75472008487818E-007</v>
      </c>
      <c r="D101" s="29" t="n">
        <f aca="false">$B$4*D100+(1-$B$4)*C100</f>
        <v>0.000204515849895168</v>
      </c>
      <c r="E101" s="30" t="n">
        <f aca="false">SQRT(D101)</f>
        <v>0.0143009038139262</v>
      </c>
      <c r="F101" s="31" t="n">
        <f aca="false">E101*SQRT(Parametrlar!$B$6)</f>
        <v>0.227019810090622</v>
      </c>
      <c r="G101" s="31" t="n">
        <f aca="false">STDEV(B82:B101)*SQRT(Parametrlar!$B$6)</f>
        <v>0.159312349086403</v>
      </c>
    </row>
    <row r="102" customFormat="false" ht="15" hidden="false" customHeight="false" outlineLevel="0" collapsed="false">
      <c r="A102" s="19" t="n">
        <f aca="false">Daromadlilik!A97</f>
        <v>45427</v>
      </c>
      <c r="B102" s="28" t="n">
        <f aca="false">Daromadlilik!H97</f>
        <v>0.0174863306432274</v>
      </c>
      <c r="C102" s="29" t="n">
        <f aca="false">B102^2</f>
        <v>0.000305771759364272</v>
      </c>
      <c r="D102" s="29" t="n">
        <f aca="false">$B$4*D101+(1-$B$4)*C101</f>
        <v>0.000192255427221967</v>
      </c>
      <c r="E102" s="30" t="n">
        <f aca="false">SQRT(D102)</f>
        <v>0.0138656203331105</v>
      </c>
      <c r="F102" s="31" t="n">
        <f aca="false">E102*SQRT(Parametrlar!$B$6)</f>
        <v>0.220109899050306</v>
      </c>
      <c r="G102" s="31" t="n">
        <f aca="false">STDEV(B83:B102)*SQRT(Parametrlar!$B$6)</f>
        <v>0.166367733583323</v>
      </c>
    </row>
    <row r="103" customFormat="false" ht="15" hidden="false" customHeight="false" outlineLevel="0" collapsed="false">
      <c r="A103" s="19" t="n">
        <f aca="false">Daromadlilik!A98</f>
        <v>45428</v>
      </c>
      <c r="B103" s="28" t="n">
        <f aca="false">Daromadlilik!H98</f>
        <v>-0.007435408461403</v>
      </c>
      <c r="C103" s="29" t="n">
        <f aca="false">B103^2</f>
        <v>5.52852989879033E-005</v>
      </c>
      <c r="D103" s="29" t="n">
        <f aca="false">$B$4*D102+(1-$B$4)*C102</f>
        <v>0.000199066407150505</v>
      </c>
      <c r="E103" s="30" t="n">
        <f aca="false">SQRT(D103)</f>
        <v>0.014109089522379</v>
      </c>
      <c r="F103" s="31" t="n">
        <f aca="false">E103*SQRT(Parametrlar!$B$6)</f>
        <v>0.223974852610572</v>
      </c>
      <c r="G103" s="31" t="n">
        <f aca="false">STDEV(B84:B103)*SQRT(Parametrlar!$B$6)</f>
        <v>0.167599997040786</v>
      </c>
    </row>
    <row r="104" customFormat="false" ht="15" hidden="false" customHeight="false" outlineLevel="0" collapsed="false">
      <c r="A104" s="19" t="n">
        <f aca="false">Daromadlilik!A99</f>
        <v>45429</v>
      </c>
      <c r="B104" s="28" t="n">
        <f aca="false">Daromadlilik!H99</f>
        <v>0.00823348981755345</v>
      </c>
      <c r="C104" s="29" t="n">
        <f aca="false">B104^2</f>
        <v>6.77903545757563E-005</v>
      </c>
      <c r="D104" s="29" t="n">
        <f aca="false">$B$4*D103+(1-$B$4)*C103</f>
        <v>0.000190439540660749</v>
      </c>
      <c r="E104" s="30" t="n">
        <f aca="false">SQRT(D104)</f>
        <v>0.0137999833572635</v>
      </c>
      <c r="F104" s="31" t="n">
        <f aca="false">E104*SQRT(Parametrlar!$B$6)</f>
        <v>0.219067944360896</v>
      </c>
      <c r="G104" s="31" t="n">
        <f aca="false">STDEV(B85:B104)*SQRT(Parametrlar!$B$6)</f>
        <v>0.167885284911765</v>
      </c>
    </row>
    <row r="105" customFormat="false" ht="15" hidden="false" customHeight="false" outlineLevel="0" collapsed="false">
      <c r="A105" s="19" t="n">
        <f aca="false">Daromadlilik!A100</f>
        <v>45432</v>
      </c>
      <c r="B105" s="28" t="n">
        <f aca="false">Daromadlilik!H100</f>
        <v>0.00177488583792608</v>
      </c>
      <c r="C105" s="29" t="n">
        <f aca="false">B105^2</f>
        <v>3.15021973767055E-006</v>
      </c>
      <c r="D105" s="29" t="n">
        <f aca="false">$B$4*D104+(1-$B$4)*C104</f>
        <v>0.00018308058949565</v>
      </c>
      <c r="E105" s="30" t="n">
        <f aca="false">SQRT(D105)</f>
        <v>0.013530727604074</v>
      </c>
      <c r="F105" s="31" t="n">
        <f aca="false">E105*SQRT(Parametrlar!$B$6)</f>
        <v>0.21479364178882</v>
      </c>
      <c r="G105" s="31" t="n">
        <f aca="false">STDEV(B86:B105)*SQRT(Parametrlar!$B$6)</f>
        <v>0.154326832109744</v>
      </c>
    </row>
    <row r="106" customFormat="false" ht="15" hidden="false" customHeight="false" outlineLevel="0" collapsed="false">
      <c r="A106" s="19" t="n">
        <f aca="false">Daromadlilik!A101</f>
        <v>45433</v>
      </c>
      <c r="B106" s="28" t="n">
        <f aca="false">Daromadlilik!H101</f>
        <v>0.00351580629403967</v>
      </c>
      <c r="C106" s="29" t="n">
        <f aca="false">B106^2</f>
        <v>1.2360893897209E-005</v>
      </c>
      <c r="D106" s="29" t="n">
        <f aca="false">$B$4*D105+(1-$B$4)*C105</f>
        <v>0.000172284767310171</v>
      </c>
      <c r="E106" s="30" t="n">
        <f aca="false">SQRT(D106)</f>
        <v>0.0131257292106066</v>
      </c>
      <c r="F106" s="31" t="n">
        <f aca="false">E106*SQRT(Parametrlar!$B$6)</f>
        <v>0.208364491605847</v>
      </c>
      <c r="G106" s="31" t="n">
        <f aca="false">STDEV(B87:B106)*SQRT(Parametrlar!$B$6)</f>
        <v>0.151613348701127</v>
      </c>
    </row>
    <row r="107" customFormat="false" ht="15" hidden="false" customHeight="false" outlineLevel="0" collapsed="false">
      <c r="A107" s="19" t="n">
        <f aca="false">Daromadlilik!A102</f>
        <v>45434</v>
      </c>
      <c r="B107" s="28" t="n">
        <f aca="false">Daromadlilik!H102</f>
        <v>-0.00712640843257143</v>
      </c>
      <c r="C107" s="29" t="n">
        <f aca="false">B107^2</f>
        <v>5.07856971478252E-005</v>
      </c>
      <c r="D107" s="29" t="n">
        <f aca="false">$B$4*D106+(1-$B$4)*C106</f>
        <v>0.000162689334905393</v>
      </c>
      <c r="E107" s="30" t="n">
        <f aca="false">SQRT(D107)</f>
        <v>0.0127549729480463</v>
      </c>
      <c r="F107" s="31" t="n">
        <f aca="false">E107*SQRT(Parametrlar!$B$6)</f>
        <v>0.202478918399321</v>
      </c>
      <c r="G107" s="31" t="n">
        <f aca="false">STDEV(B88:B107)*SQRT(Parametrlar!$B$6)</f>
        <v>0.155851288777032</v>
      </c>
    </row>
    <row r="108" customFormat="false" ht="15" hidden="false" customHeight="false" outlineLevel="0" collapsed="false">
      <c r="A108" s="19" t="n">
        <f aca="false">Daromadlilik!A103</f>
        <v>45435</v>
      </c>
      <c r="B108" s="28" t="n">
        <f aca="false">Daromadlilik!H103</f>
        <v>0.0123322886231749</v>
      </c>
      <c r="C108" s="29" t="n">
        <f aca="false">B108^2</f>
        <v>0.000152085342685289</v>
      </c>
      <c r="D108" s="29" t="n">
        <f aca="false">$B$4*D107+(1-$B$4)*C107</f>
        <v>0.000155975116639939</v>
      </c>
      <c r="E108" s="30" t="n">
        <f aca="false">SQRT(D108)</f>
        <v>0.012488999825444</v>
      </c>
      <c r="F108" s="31" t="n">
        <f aca="false">E108*SQRT(Parametrlar!$B$6)</f>
        <v>0.198256725972323</v>
      </c>
      <c r="G108" s="31" t="n">
        <f aca="false">STDEV(B89:B108)*SQRT(Parametrlar!$B$6)</f>
        <v>0.152885560273395</v>
      </c>
    </row>
    <row r="109" customFormat="false" ht="15" hidden="false" customHeight="false" outlineLevel="0" collapsed="false">
      <c r="A109" s="19" t="n">
        <f aca="false">Daromadlilik!A104</f>
        <v>45436</v>
      </c>
      <c r="B109" s="28" t="n">
        <f aca="false">Daromadlilik!H104</f>
        <v>-0.00457614437258375</v>
      </c>
      <c r="C109" s="29" t="n">
        <f aca="false">B109^2</f>
        <v>2.09410973187299E-005</v>
      </c>
      <c r="D109" s="29" t="n">
        <f aca="false">$B$4*D108+(1-$B$4)*C108</f>
        <v>0.00015574173020266</v>
      </c>
      <c r="E109" s="30" t="n">
        <f aca="false">SQRT(D109)</f>
        <v>0.0124796526475163</v>
      </c>
      <c r="F109" s="31" t="n">
        <f aca="false">E109*SQRT(Parametrlar!$B$6)</f>
        <v>0.198108344122781</v>
      </c>
      <c r="G109" s="31" t="n">
        <f aca="false">STDEV(B90:B109)*SQRT(Parametrlar!$B$6)</f>
        <v>0.144173474944408</v>
      </c>
    </row>
    <row r="110" customFormat="false" ht="15" hidden="false" customHeight="false" outlineLevel="0" collapsed="false">
      <c r="A110" s="19" t="n">
        <f aca="false">Daromadlilik!A105</f>
        <v>45439</v>
      </c>
      <c r="B110" s="28" t="n">
        <f aca="false">Daromadlilik!H105</f>
        <v>-0.000204416208464127</v>
      </c>
      <c r="C110" s="29" t="n">
        <f aca="false">B110^2</f>
        <v>4.17859862828492E-008</v>
      </c>
      <c r="D110" s="29" t="n">
        <f aca="false">$B$4*D109+(1-$B$4)*C109</f>
        <v>0.000147653692229624</v>
      </c>
      <c r="E110" s="30" t="n">
        <f aca="false">SQRT(D110)</f>
        <v>0.012151283563049</v>
      </c>
      <c r="F110" s="31" t="n">
        <f aca="false">E110*SQRT(Parametrlar!$B$6)</f>
        <v>0.192895646508327</v>
      </c>
      <c r="G110" s="31" t="n">
        <f aca="false">STDEV(B91:B110)*SQRT(Parametrlar!$B$6)</f>
        <v>0.144522744788055</v>
      </c>
    </row>
    <row r="111" customFormat="false" ht="15" hidden="false" customHeight="false" outlineLevel="0" collapsed="false">
      <c r="A111" s="19" t="n">
        <f aca="false">Daromadlilik!A106</f>
        <v>45440</v>
      </c>
      <c r="B111" s="28" t="n">
        <f aca="false">Daromadlilik!H106</f>
        <v>-0.000613499460957944</v>
      </c>
      <c r="C111" s="29" t="n">
        <f aca="false">B111^2</f>
        <v>3.76381588595688E-007</v>
      </c>
      <c r="D111" s="29" t="n">
        <f aca="false">$B$4*D110+(1-$B$4)*C110</f>
        <v>0.000138796977855024</v>
      </c>
      <c r="E111" s="30" t="n">
        <f aca="false">SQRT(D111)</f>
        <v>0.0117812129195183</v>
      </c>
      <c r="F111" s="31" t="n">
        <f aca="false">E111*SQRT(Parametrlar!$B$6)</f>
        <v>0.187020957166479</v>
      </c>
      <c r="G111" s="31" t="n">
        <f aca="false">STDEV(B92:B111)*SQRT(Parametrlar!$B$6)</f>
        <v>0.142196647701099</v>
      </c>
    </row>
    <row r="112" customFormat="false" ht="15" hidden="false" customHeight="false" outlineLevel="0" collapsed="false">
      <c r="A112" s="19" t="n">
        <f aca="false">Daromadlilik!A107</f>
        <v>45441</v>
      </c>
      <c r="B112" s="28" t="n">
        <f aca="false">Daromadlilik!H107</f>
        <v>-0.00373819952630701</v>
      </c>
      <c r="C112" s="29" t="n">
        <f aca="false">B112^2</f>
        <v>1.39741356984819E-005</v>
      </c>
      <c r="D112" s="29" t="n">
        <f aca="false">$B$4*D111+(1-$B$4)*C111</f>
        <v>0.000130491742079038</v>
      </c>
      <c r="E112" s="30" t="n">
        <f aca="false">SQRT(D112)</f>
        <v>0.0114232982136963</v>
      </c>
      <c r="F112" s="31" t="n">
        <f aca="false">E112*SQRT(Parametrlar!$B$6)</f>
        <v>0.181339237353413</v>
      </c>
      <c r="G112" s="31" t="n">
        <f aca="false">STDEV(B93:B112)*SQRT(Parametrlar!$B$6)</f>
        <v>0.14098340316174</v>
      </c>
    </row>
    <row r="113" customFormat="false" ht="15" hidden="false" customHeight="false" outlineLevel="0" collapsed="false">
      <c r="A113" s="19" t="n">
        <f aca="false">Daromadlilik!A108</f>
        <v>45442</v>
      </c>
      <c r="B113" s="28" t="n">
        <f aca="false">Daromadlilik!H108</f>
        <v>-0.00315059344473434</v>
      </c>
      <c r="C113" s="29" t="n">
        <f aca="false">B113^2</f>
        <v>9.92623905400299E-006</v>
      </c>
      <c r="D113" s="29" t="n">
        <f aca="false">$B$4*D112+(1-$B$4)*C112</f>
        <v>0.000123500685696205</v>
      </c>
      <c r="E113" s="30" t="n">
        <f aca="false">SQRT(D113)</f>
        <v>0.0111130862363344</v>
      </c>
      <c r="F113" s="31" t="n">
        <f aca="false">E113*SQRT(Parametrlar!$B$6)</f>
        <v>0.176414774878533</v>
      </c>
      <c r="G113" s="31" t="n">
        <f aca="false">STDEV(B94:B113)*SQRT(Parametrlar!$B$6)</f>
        <v>0.138230786174052</v>
      </c>
    </row>
    <row r="114" customFormat="false" ht="15" hidden="false" customHeight="false" outlineLevel="0" collapsed="false">
      <c r="A114" s="19" t="n">
        <f aca="false">Daromadlilik!A109</f>
        <v>45443</v>
      </c>
      <c r="B114" s="28" t="n">
        <f aca="false">Daromadlilik!H109</f>
        <v>-0.00832303969040228</v>
      </c>
      <c r="C114" s="29" t="n">
        <f aca="false">B114^2</f>
        <v>6.92729896880117E-005</v>
      </c>
      <c r="D114" s="29" t="n">
        <f aca="false">$B$4*D113+(1-$B$4)*C113</f>
        <v>0.000116686218897673</v>
      </c>
      <c r="E114" s="30" t="n">
        <f aca="false">SQRT(D114)</f>
        <v>0.0108021395518514</v>
      </c>
      <c r="F114" s="31" t="n">
        <f aca="false">E114*SQRT(Parametrlar!$B$6)</f>
        <v>0.171478649289681</v>
      </c>
      <c r="G114" s="31" t="n">
        <f aca="false">STDEV(B95:B114)*SQRT(Parametrlar!$B$6)</f>
        <v>0.134180944896206</v>
      </c>
    </row>
    <row r="115" customFormat="false" ht="15" hidden="false" customHeight="false" outlineLevel="0" collapsed="false">
      <c r="A115" s="19" t="n">
        <f aca="false">Daromadlilik!A110</f>
        <v>45446</v>
      </c>
      <c r="B115" s="28" t="n">
        <f aca="false">Daromadlilik!H110</f>
        <v>0.00111264272401498</v>
      </c>
      <c r="C115" s="29" t="n">
        <f aca="false">B115^2</f>
        <v>1.23797383130348E-006</v>
      </c>
      <c r="D115" s="29" t="n">
        <f aca="false">$B$4*D114+(1-$B$4)*C114</f>
        <v>0.000113841425145093</v>
      </c>
      <c r="E115" s="30" t="n">
        <f aca="false">SQRT(D115)</f>
        <v>0.0106696497198874</v>
      </c>
      <c r="F115" s="31" t="n">
        <f aca="false">E115*SQRT(Parametrlar!$B$6)</f>
        <v>0.169375438409952</v>
      </c>
      <c r="G115" s="31" t="n">
        <f aca="false">STDEV(B96:B115)*SQRT(Parametrlar!$B$6)</f>
        <v>0.133779281534263</v>
      </c>
    </row>
    <row r="116" customFormat="false" ht="15" hidden="false" customHeight="false" outlineLevel="0" collapsed="false">
      <c r="A116" s="19" t="n">
        <f aca="false">Daromadlilik!A111</f>
        <v>45447</v>
      </c>
      <c r="B116" s="28" t="n">
        <f aca="false">Daromadlilik!H111</f>
        <v>-0.00474981240783229</v>
      </c>
      <c r="C116" s="29" t="n">
        <f aca="false">B116^2</f>
        <v>2.25607179095975E-005</v>
      </c>
      <c r="D116" s="29" t="n">
        <f aca="false">$B$4*D115+(1-$B$4)*C115</f>
        <v>0.000107085218066266</v>
      </c>
      <c r="E116" s="30" t="n">
        <f aca="false">SQRT(D116)</f>
        <v>0.010348198783666</v>
      </c>
      <c r="F116" s="31" t="n">
        <f aca="false">E116*SQRT(Parametrlar!$B$6)</f>
        <v>0.164272562994247</v>
      </c>
      <c r="G116" s="31" t="n">
        <f aca="false">STDEV(B97:B116)*SQRT(Parametrlar!$B$6)</f>
        <v>0.12865902022551</v>
      </c>
    </row>
    <row r="117" customFormat="false" ht="15" hidden="false" customHeight="false" outlineLevel="0" collapsed="false">
      <c r="A117" s="19" t="n">
        <f aca="false">Daromadlilik!A112</f>
        <v>45448</v>
      </c>
      <c r="B117" s="28" t="n">
        <f aca="false">Daromadlilik!H112</f>
        <v>-0.00777634280606379</v>
      </c>
      <c r="C117" s="29" t="n">
        <f aca="false">B117^2</f>
        <v>6.047150743742E-005</v>
      </c>
      <c r="D117" s="29" t="n">
        <f aca="false">$B$4*D116+(1-$B$4)*C116</f>
        <v>0.000102013748056865</v>
      </c>
      <c r="E117" s="30" t="n">
        <f aca="false">SQRT(D117)</f>
        <v>0.0101001855456653</v>
      </c>
      <c r="F117" s="31" t="n">
        <f aca="false">E117*SQRT(Parametrlar!$B$6)</f>
        <v>0.160335474896637</v>
      </c>
      <c r="G117" s="31" t="n">
        <f aca="false">STDEV(B98:B117)*SQRT(Parametrlar!$B$6)</f>
        <v>0.130342419729488</v>
      </c>
    </row>
    <row r="118" customFormat="false" ht="15" hidden="false" customHeight="false" outlineLevel="0" collapsed="false">
      <c r="A118" s="19" t="n">
        <f aca="false">Daromadlilik!A113</f>
        <v>45449</v>
      </c>
      <c r="B118" s="28" t="n">
        <f aca="false">Daromadlilik!H113</f>
        <v>0.0129410034683563</v>
      </c>
      <c r="C118" s="29" t="n">
        <f aca="false">B118^2</f>
        <v>0.000167469570768009</v>
      </c>
      <c r="D118" s="29" t="n">
        <f aca="false">$B$4*D117+(1-$B$4)*C117</f>
        <v>9.95212136196987E-005</v>
      </c>
      <c r="E118" s="30" t="n">
        <f aca="false">SQRT(D118)</f>
        <v>0.00997603195763219</v>
      </c>
      <c r="F118" s="31" t="n">
        <f aca="false">E118*SQRT(Parametrlar!$B$6)</f>
        <v>0.158364597786766</v>
      </c>
      <c r="G118" s="31" t="n">
        <f aca="false">STDEV(B99:B118)*SQRT(Parametrlar!$B$6)</f>
        <v>0.136458311889756</v>
      </c>
    </row>
    <row r="119" customFormat="false" ht="15" hidden="false" customHeight="false" outlineLevel="0" collapsed="false">
      <c r="A119" s="19" t="n">
        <f aca="false">Daromadlilik!A114</f>
        <v>45450</v>
      </c>
      <c r="B119" s="28" t="n">
        <f aca="false">Daromadlilik!H114</f>
        <v>-0.00956019867104015</v>
      </c>
      <c r="C119" s="29" t="n">
        <f aca="false">B119^2</f>
        <v>9.13973986297578E-005</v>
      </c>
      <c r="D119" s="29" t="n">
        <f aca="false">$B$4*D118+(1-$B$4)*C118</f>
        <v>0.000103598115048597</v>
      </c>
      <c r="E119" s="30" t="n">
        <f aca="false">SQRT(D119)</f>
        <v>0.0101783159239924</v>
      </c>
      <c r="F119" s="31" t="n">
        <f aca="false">E119*SQRT(Parametrlar!$B$6)</f>
        <v>0.161575756201995</v>
      </c>
      <c r="G119" s="31" t="n">
        <f aca="false">STDEV(B100:B119)*SQRT(Parametrlar!$B$6)</f>
        <v>0.122073572192563</v>
      </c>
    </row>
    <row r="120" customFormat="false" ht="15" hidden="false" customHeight="false" outlineLevel="0" collapsed="false">
      <c r="A120" s="19" t="n">
        <f aca="false">Daromadlilik!A115</f>
        <v>45453</v>
      </c>
      <c r="B120" s="28" t="n">
        <f aca="false">Daromadlilik!H115</f>
        <v>-0.00879877144618003</v>
      </c>
      <c r="C120" s="29" t="n">
        <f aca="false">B120^2</f>
        <v>7.7418378962113E-005</v>
      </c>
      <c r="D120" s="29" t="n">
        <f aca="false">$B$4*D119+(1-$B$4)*C119</f>
        <v>0.000102866072063467</v>
      </c>
      <c r="E120" s="30" t="n">
        <f aca="false">SQRT(D120)</f>
        <v>0.0101422912629971</v>
      </c>
      <c r="F120" s="31" t="n">
        <f aca="false">E120*SQRT(Parametrlar!$B$6)</f>
        <v>0.161003882437641</v>
      </c>
      <c r="G120" s="31" t="n">
        <f aca="false">STDEV(B101:B120)*SQRT(Parametrlar!$B$6)</f>
        <v>0.125054367299478</v>
      </c>
    </row>
    <row r="121" customFormat="false" ht="15" hidden="false" customHeight="false" outlineLevel="0" collapsed="false">
      <c r="A121" s="19" t="n">
        <f aca="false">Daromadlilik!A116</f>
        <v>45454</v>
      </c>
      <c r="B121" s="28" t="n">
        <f aca="false">Daromadlilik!H116</f>
        <v>-0.0304963138405002</v>
      </c>
      <c r="C121" s="29" t="n">
        <f aca="false">B121^2</f>
        <v>0.000930025157858284</v>
      </c>
      <c r="D121" s="29" t="n">
        <f aca="false">$B$4*D120+(1-$B$4)*C120</f>
        <v>0.000101339210477386</v>
      </c>
      <c r="E121" s="30" t="n">
        <f aca="false">SQRT(D121)</f>
        <v>0.0100667378269917</v>
      </c>
      <c r="F121" s="31" t="n">
        <f aca="false">E121*SQRT(Parametrlar!$B$6)</f>
        <v>0.159804508823441</v>
      </c>
      <c r="G121" s="31" t="n">
        <f aca="false">STDEV(B102:B121)*SQRT(Parametrlar!$B$6)</f>
        <v>0.164316037334901</v>
      </c>
    </row>
    <row r="122" customFormat="false" ht="15" hidden="false" customHeight="false" outlineLevel="0" collapsed="false">
      <c r="A122" s="19" t="n">
        <f aca="false">Daromadlilik!A117</f>
        <v>45455</v>
      </c>
      <c r="B122" s="28" t="n">
        <f aca="false">Daromadlilik!H117</f>
        <v>-0.0187544237721273</v>
      </c>
      <c r="C122" s="29" t="n">
        <f aca="false">B122^2</f>
        <v>0.000351728411024533</v>
      </c>
      <c r="D122" s="29" t="n">
        <f aca="false">$B$4*D121+(1-$B$4)*C121</f>
        <v>0.00015106036732024</v>
      </c>
      <c r="E122" s="30" t="n">
        <f aca="false">SQRT(D122)</f>
        <v>0.0122906617934202</v>
      </c>
      <c r="F122" s="31" t="n">
        <f aca="false">E122*SQRT(Parametrlar!$B$6)</f>
        <v>0.195108207322758</v>
      </c>
      <c r="G122" s="31" t="n">
        <f aca="false">STDEV(B103:B122)*SQRT(Parametrlar!$B$6)</f>
        <v>0.157659010010377</v>
      </c>
    </row>
    <row r="123" customFormat="false" ht="15" hidden="false" customHeight="false" outlineLevel="0" collapsed="false">
      <c r="A123" s="19" t="n">
        <f aca="false">Daromadlilik!A118</f>
        <v>45456</v>
      </c>
      <c r="B123" s="28" t="n">
        <f aca="false">Daromadlilik!H118</f>
        <v>0.000248482483263471</v>
      </c>
      <c r="C123" s="29" t="n">
        <f aca="false">B123^2</f>
        <v>6.1743544488781E-008</v>
      </c>
      <c r="D123" s="29" t="n">
        <f aca="false">$B$4*D122+(1-$B$4)*C122</f>
        <v>0.000163100449942497</v>
      </c>
      <c r="E123" s="30" t="n">
        <f aca="false">SQRT(D123)</f>
        <v>0.0127710786522712</v>
      </c>
      <c r="F123" s="31" t="n">
        <f aca="false">E123*SQRT(Parametrlar!$B$6)</f>
        <v>0.202734588527733</v>
      </c>
      <c r="G123" s="31" t="n">
        <f aca="false">STDEV(B104:B123)*SQRT(Parametrlar!$B$6)</f>
        <v>0.157648739823828</v>
      </c>
    </row>
    <row r="124" customFormat="false" ht="15" hidden="false" customHeight="false" outlineLevel="0" collapsed="false">
      <c r="A124" s="19" t="n">
        <f aca="false">Daromadlilik!A119</f>
        <v>45457</v>
      </c>
      <c r="B124" s="28" t="n">
        <f aca="false">Daromadlilik!H119</f>
        <v>-0.00440194396028079</v>
      </c>
      <c r="C124" s="29" t="n">
        <f aca="false">B124^2</f>
        <v>1.93771106294525E-005</v>
      </c>
      <c r="D124" s="29" t="n">
        <f aca="false">$B$4*D123+(1-$B$4)*C123</f>
        <v>0.000153318127558617</v>
      </c>
      <c r="E124" s="30" t="n">
        <f aca="false">SQRT(D124)</f>
        <v>0.0123821697435715</v>
      </c>
      <c r="F124" s="31" t="n">
        <f aca="false">E124*SQRT(Parametrlar!$B$6)</f>
        <v>0.196560850997271</v>
      </c>
      <c r="G124" s="31" t="n">
        <f aca="false">STDEV(B105:B124)*SQRT(Parametrlar!$B$6)</f>
        <v>0.151559958077542</v>
      </c>
    </row>
    <row r="125" customFormat="false" ht="15" hidden="false" customHeight="false" outlineLevel="0" collapsed="false">
      <c r="A125" s="19" t="n">
        <f aca="false">Daromadlilik!A120</f>
        <v>45460</v>
      </c>
      <c r="B125" s="28" t="n">
        <f aca="false">Daromadlilik!H120</f>
        <v>-0.0102571433315578</v>
      </c>
      <c r="C125" s="29" t="n">
        <f aca="false">B125^2</f>
        <v>0.000105208989324121</v>
      </c>
      <c r="D125" s="29" t="n">
        <f aca="false">$B$4*D124+(1-$B$4)*C124</f>
        <v>0.000145281666542867</v>
      </c>
      <c r="E125" s="30" t="n">
        <f aca="false">SQRT(D125)</f>
        <v>0.0120532844711666</v>
      </c>
      <c r="F125" s="31" t="n">
        <f aca="false">E125*SQRT(Parametrlar!$B$6)</f>
        <v>0.191339959153342</v>
      </c>
      <c r="G125" s="31" t="n">
        <f aca="false">STDEV(B106:B125)*SQRT(Parametrlar!$B$6)</f>
        <v>0.151478942691587</v>
      </c>
    </row>
    <row r="126" customFormat="false" ht="15" hidden="false" customHeight="false" outlineLevel="0" collapsed="false">
      <c r="A126" s="19" t="n">
        <f aca="false">Daromadlilik!A121</f>
        <v>45461</v>
      </c>
      <c r="B126" s="28" t="n">
        <f aca="false">Daromadlilik!H121</f>
        <v>-0.0113374149762992</v>
      </c>
      <c r="C126" s="29" t="n">
        <f aca="false">B126^2</f>
        <v>0.000128536978344813</v>
      </c>
      <c r="D126" s="29" t="n">
        <f aca="false">$B$4*D125+(1-$B$4)*C125</f>
        <v>0.000142877305909742</v>
      </c>
      <c r="E126" s="30" t="n">
        <f aca="false">SQRT(D126)</f>
        <v>0.0119531295445897</v>
      </c>
      <c r="F126" s="31" t="n">
        <f aca="false">E126*SQRT(Parametrlar!$B$6)</f>
        <v>0.189750048983538</v>
      </c>
      <c r="G126" s="31" t="n">
        <f aca="false">STDEV(B107:B126)*SQRT(Parametrlar!$B$6)</f>
        <v>0.150068630887477</v>
      </c>
    </row>
    <row r="127" customFormat="false" ht="15" hidden="false" customHeight="false" outlineLevel="0" collapsed="false">
      <c r="A127" s="19" t="n">
        <f aca="false">Daromadlilik!A122</f>
        <v>45462</v>
      </c>
      <c r="B127" s="28" t="n">
        <f aca="false">Daromadlilik!H122</f>
        <v>0.01433136189216</v>
      </c>
      <c r="C127" s="29" t="n">
        <f aca="false">B127^2</f>
        <v>0.000205387933684057</v>
      </c>
      <c r="D127" s="29" t="n">
        <f aca="false">$B$4*D126+(1-$B$4)*C126</f>
        <v>0.000142016886255846</v>
      </c>
      <c r="E127" s="30" t="n">
        <f aca="false">SQRT(D127)</f>
        <v>0.011917083798306</v>
      </c>
      <c r="F127" s="31" t="n">
        <f aca="false">E127*SQRT(Parametrlar!$B$6)</f>
        <v>0.189177840500608</v>
      </c>
      <c r="G127" s="31" t="n">
        <f aca="false">STDEV(B108:B127)*SQRT(Parametrlar!$B$6)</f>
        <v>0.165280111921296</v>
      </c>
    </row>
    <row r="128" customFormat="false" ht="15" hidden="false" customHeight="false" outlineLevel="0" collapsed="false">
      <c r="A128" s="19" t="n">
        <f aca="false">Daromadlilik!A123</f>
        <v>45463</v>
      </c>
      <c r="B128" s="28" t="n">
        <f aca="false">Daromadlilik!H123</f>
        <v>-0.00476034968228941</v>
      </c>
      <c r="C128" s="29" t="n">
        <f aca="false">B128^2</f>
        <v>2.26609290976729E-005</v>
      </c>
      <c r="D128" s="29" t="n">
        <f aca="false">$B$4*D127+(1-$B$4)*C127</f>
        <v>0.000145819149101539</v>
      </c>
      <c r="E128" s="30" t="n">
        <f aca="false">SQRT(D128)</f>
        <v>0.0120755599912194</v>
      </c>
      <c r="F128" s="31" t="n">
        <f aca="false">E128*SQRT(Parametrlar!$B$6)</f>
        <v>0.191693572071647</v>
      </c>
      <c r="G128" s="31" t="n">
        <f aca="false">STDEV(B109:B128)*SQRT(Parametrlar!$B$6)</f>
        <v>0.153175420842633</v>
      </c>
    </row>
    <row r="129" customFormat="false" ht="15" hidden="false" customHeight="false" outlineLevel="0" collapsed="false">
      <c r="A129" s="19" t="n">
        <f aca="false">Daromadlilik!A124</f>
        <v>45464</v>
      </c>
      <c r="B129" s="28" t="n">
        <f aca="false">Daromadlilik!H124</f>
        <v>-0.0138604749385715</v>
      </c>
      <c r="C129" s="29" t="n">
        <f aca="false">B129^2</f>
        <v>0.00019211276552277</v>
      </c>
      <c r="D129" s="29" t="n">
        <f aca="false">$B$4*D128+(1-$B$4)*C128</f>
        <v>0.000138429655901307</v>
      </c>
      <c r="E129" s="30" t="n">
        <f aca="false">SQRT(D129)</f>
        <v>0.0117656132819886</v>
      </c>
      <c r="F129" s="31" t="n">
        <f aca="false">E129*SQRT(Parametrlar!$B$6)</f>
        <v>0.186773320597802</v>
      </c>
      <c r="G129" s="31" t="n">
        <f aca="false">STDEV(B110:B129)*SQRT(Parametrlar!$B$6)</f>
        <v>0.156234268518875</v>
      </c>
    </row>
    <row r="130" customFormat="false" ht="15" hidden="false" customHeight="false" outlineLevel="0" collapsed="false">
      <c r="A130" s="19" t="n">
        <f aca="false">Daromadlilik!A125</f>
        <v>45467</v>
      </c>
      <c r="B130" s="28" t="n">
        <f aca="false">Daromadlilik!H125</f>
        <v>0.00138011108491849</v>
      </c>
      <c r="C130" s="29" t="n">
        <f aca="false">B130^2</f>
        <v>1.9047066067149E-006</v>
      </c>
      <c r="D130" s="29" t="n">
        <f aca="false">$B$4*D129+(1-$B$4)*C129</f>
        <v>0.000141650642478595</v>
      </c>
      <c r="E130" s="30" t="n">
        <f aca="false">SQRT(D130)</f>
        <v>0.0119017075446591</v>
      </c>
      <c r="F130" s="31" t="n">
        <f aca="false">E130*SQRT(Parametrlar!$B$6)</f>
        <v>0.188933750041135</v>
      </c>
      <c r="G130" s="31" t="n">
        <f aca="false">STDEV(B111:B130)*SQRT(Parametrlar!$B$6)</f>
        <v>0.157060120011209</v>
      </c>
    </row>
    <row r="131" customFormat="false" ht="15" hidden="false" customHeight="false" outlineLevel="0" collapsed="false">
      <c r="A131" s="19" t="n">
        <f aca="false">Daromadlilik!A126</f>
        <v>45468</v>
      </c>
      <c r="B131" s="28" t="n">
        <f aca="false">Daromadlilik!H126</f>
        <v>0.0155965009273738</v>
      </c>
      <c r="C131" s="29" t="n">
        <f aca="false">B131^2</f>
        <v>0.000243250841177573</v>
      </c>
      <c r="D131" s="29" t="n">
        <f aca="false">$B$4*D130+(1-$B$4)*C130</f>
        <v>0.000133265886326282</v>
      </c>
      <c r="E131" s="30" t="n">
        <f aca="false">SQRT(D131)</f>
        <v>0.0115440844732825</v>
      </c>
      <c r="F131" s="31" t="n">
        <f aca="false">E131*SQRT(Parametrlar!$B$6)</f>
        <v>0.183256659781365</v>
      </c>
      <c r="G131" s="31" t="n">
        <f aca="false">STDEV(B112:B131)*SQRT(Parametrlar!$B$6)</f>
        <v>0.173470483939325</v>
      </c>
    </row>
    <row r="132" customFormat="false" ht="15" hidden="false" customHeight="false" outlineLevel="0" collapsed="false">
      <c r="A132" s="19" t="n">
        <f aca="false">Daromadlilik!A127</f>
        <v>45469</v>
      </c>
      <c r="B132" s="28" t="n">
        <f aca="false">Daromadlilik!H127</f>
        <v>0.00102458104500782</v>
      </c>
      <c r="C132" s="29" t="n">
        <f aca="false">B132^2</f>
        <v>1.04976631778931E-006</v>
      </c>
      <c r="D132" s="29" t="n">
        <f aca="false">$B$4*D131+(1-$B$4)*C131</f>
        <v>0.000139864983617359</v>
      </c>
      <c r="E132" s="30" t="n">
        <f aca="false">SQRT(D132)</f>
        <v>0.0118264527064272</v>
      </c>
      <c r="F132" s="31" t="n">
        <f aca="false">E132*SQRT(Parametrlar!$B$6)</f>
        <v>0.187739116519639</v>
      </c>
      <c r="G132" s="31" t="n">
        <f aca="false">STDEV(B113:B132)*SQRT(Parametrlar!$B$6)</f>
        <v>0.174647024403741</v>
      </c>
    </row>
    <row r="133" customFormat="false" ht="15" hidden="false" customHeight="false" outlineLevel="0" collapsed="false">
      <c r="A133" s="19" t="n">
        <f aca="false">Daromadlilik!A128</f>
        <v>45470</v>
      </c>
      <c r="B133" s="28" t="n">
        <f aca="false">Daromadlilik!H128</f>
        <v>-0.00398738607789414</v>
      </c>
      <c r="C133" s="29" t="n">
        <f aca="false">B133^2</f>
        <v>1.5899247734184E-005</v>
      </c>
      <c r="D133" s="29" t="n">
        <f aca="false">$B$4*D132+(1-$B$4)*C132</f>
        <v>0.000131536070579385</v>
      </c>
      <c r="E133" s="30" t="n">
        <f aca="false">SQRT(D133)</f>
        <v>0.0114689175853428</v>
      </c>
      <c r="F133" s="31" t="n">
        <f aca="false">E133*SQRT(Parametrlar!$B$6)</f>
        <v>0.182063422427475</v>
      </c>
      <c r="G133" s="31" t="n">
        <f aca="false">STDEV(B114:B133)*SQRT(Parametrlar!$B$6)</f>
        <v>0.174587816819871</v>
      </c>
    </row>
    <row r="134" customFormat="false" ht="15" hidden="false" customHeight="false" outlineLevel="0" collapsed="false">
      <c r="A134" s="19" t="n">
        <f aca="false">Daromadlilik!A129</f>
        <v>45471</v>
      </c>
      <c r="B134" s="28" t="n">
        <f aca="false">Daromadlilik!H129</f>
        <v>-0.00341494595129082</v>
      </c>
      <c r="C134" s="29" t="n">
        <f aca="false">B134^2</f>
        <v>1.16618558502375E-005</v>
      </c>
      <c r="D134" s="29" t="n">
        <f aca="false">$B$4*D133+(1-$B$4)*C133</f>
        <v>0.000124597861208673</v>
      </c>
      <c r="E134" s="30" t="n">
        <f aca="false">SQRT(D134)</f>
        <v>0.0111623412064259</v>
      </c>
      <c r="F134" s="31" t="n">
        <f aca="false">E134*SQRT(Parametrlar!$B$6)</f>
        <v>0.177196673288709</v>
      </c>
      <c r="G134" s="31" t="n">
        <f aca="false">STDEV(B115:B134)*SQRT(Parametrlar!$B$6)</f>
        <v>0.17403875649676</v>
      </c>
    </row>
    <row r="135" customFormat="false" ht="15" hidden="false" customHeight="false" outlineLevel="0" collapsed="false">
      <c r="A135" s="19" t="n">
        <f aca="false">Daromadlilik!A130</f>
        <v>45474</v>
      </c>
      <c r="B135" s="28" t="n">
        <f aca="false">Daromadlilik!H130</f>
        <v>-0.00211080438386592</v>
      </c>
      <c r="C135" s="29" t="n">
        <f aca="false">B135^2</f>
        <v>4.4554951469476E-006</v>
      </c>
      <c r="D135" s="29" t="n">
        <f aca="false">$B$4*D134+(1-$B$4)*C134</f>
        <v>0.000117821700887167</v>
      </c>
      <c r="E135" s="30" t="n">
        <f aca="false">SQRT(D135)</f>
        <v>0.0108545705068034</v>
      </c>
      <c r="F135" s="31" t="n">
        <f aca="false">E135*SQRT(Parametrlar!$B$6)</f>
        <v>0.172310964896509</v>
      </c>
      <c r="G135" s="31" t="n">
        <f aca="false">STDEV(B116:B135)*SQRT(Parametrlar!$B$6)</f>
        <v>0.173088545687923</v>
      </c>
    </row>
    <row r="136" customFormat="false" ht="15" hidden="false" customHeight="false" outlineLevel="0" collapsed="false">
      <c r="A136" s="19" t="n">
        <f aca="false">Daromadlilik!A131</f>
        <v>45475</v>
      </c>
      <c r="B136" s="28" t="n">
        <f aca="false">Daromadlilik!H131</f>
        <v>0.0151832385365536</v>
      </c>
      <c r="C136" s="29" t="n">
        <f aca="false">B136^2</f>
        <v>0.000230530732457887</v>
      </c>
      <c r="D136" s="29" t="n">
        <f aca="false">$B$4*D135+(1-$B$4)*C135</f>
        <v>0.000111019728542754</v>
      </c>
      <c r="E136" s="30" t="n">
        <f aca="false">SQRT(D136)</f>
        <v>0.0105365899864593</v>
      </c>
      <c r="F136" s="31" t="n">
        <f aca="false">E136*SQRT(Parametrlar!$B$6)</f>
        <v>0.167263180624948</v>
      </c>
      <c r="G136" s="31" t="n">
        <f aca="false">STDEV(B117:B136)*SQRT(Parametrlar!$B$6)</f>
        <v>0.186549383291983</v>
      </c>
    </row>
    <row r="137" customFormat="false" ht="15" hidden="false" customHeight="false" outlineLevel="0" collapsed="false">
      <c r="A137" s="19" t="n">
        <f aca="false">Daromadlilik!A132</f>
        <v>45476</v>
      </c>
      <c r="B137" s="28" t="n">
        <f aca="false">Daromadlilik!H132</f>
        <v>0.00198097614440527</v>
      </c>
      <c r="C137" s="29" t="n">
        <f aca="false">B137^2</f>
        <v>3.92426648470276E-006</v>
      </c>
      <c r="D137" s="29" t="n">
        <f aca="false">$B$4*D136+(1-$B$4)*C136</f>
        <v>0.000118190388777662</v>
      </c>
      <c r="E137" s="30" t="n">
        <f aca="false">SQRT(D137)</f>
        <v>0.010871540313022</v>
      </c>
      <c r="F137" s="31" t="n">
        <f aca="false">E137*SQRT(Parametrlar!$B$6)</f>
        <v>0.172580352218817</v>
      </c>
      <c r="G137" s="31" t="n">
        <f aca="false">STDEV(B118:B137)*SQRT(Parametrlar!$B$6)</f>
        <v>0.186756652278105</v>
      </c>
    </row>
    <row r="138" customFormat="false" ht="15" hidden="false" customHeight="false" outlineLevel="0" collapsed="false">
      <c r="A138" s="19" t="n">
        <f aca="false">Daromadlilik!A133</f>
        <v>45477</v>
      </c>
      <c r="B138" s="28" t="n">
        <f aca="false">Daromadlilik!H133</f>
        <v>-0.000856156800328554</v>
      </c>
      <c r="C138" s="29" t="n">
        <f aca="false">B138^2</f>
        <v>7.33004466748827E-007</v>
      </c>
      <c r="D138" s="29" t="n">
        <f aca="false">$B$4*D137+(1-$B$4)*C137</f>
        <v>0.000111334421440084</v>
      </c>
      <c r="E138" s="30" t="n">
        <f aca="false">SQRT(D138)</f>
        <v>0.0105515127560025</v>
      </c>
      <c r="F138" s="31" t="n">
        <f aca="false">E138*SQRT(Parametrlar!$B$6)</f>
        <v>0.167500072247451</v>
      </c>
      <c r="G138" s="31" t="n">
        <f aca="false">STDEV(B119:B138)*SQRT(Parametrlar!$B$6)</f>
        <v>0.177368833864373</v>
      </c>
    </row>
    <row r="139" customFormat="false" ht="15" hidden="false" customHeight="false" outlineLevel="0" collapsed="false">
      <c r="A139" s="19" t="n">
        <f aca="false">Daromadlilik!A134</f>
        <v>45478</v>
      </c>
      <c r="B139" s="28" t="n">
        <f aca="false">Daromadlilik!H134</f>
        <v>0.0166344604126037</v>
      </c>
      <c r="C139" s="29" t="n">
        <f aca="false">B139^2</f>
        <v>0.000276705273218478</v>
      </c>
      <c r="D139" s="29" t="n">
        <f aca="false">$B$4*D138+(1-$B$4)*C138</f>
        <v>0.000104698336421684</v>
      </c>
      <c r="E139" s="30" t="n">
        <f aca="false">SQRT(D139)</f>
        <v>0.0102322205029839</v>
      </c>
      <c r="F139" s="31" t="n">
        <f aca="false">E139*SQRT(Parametrlar!$B$6)</f>
        <v>0.16243146486523</v>
      </c>
      <c r="G139" s="31" t="n">
        <f aca="false">STDEV(B120:B139)*SQRT(Parametrlar!$B$6)</f>
        <v>0.189719421189328</v>
      </c>
    </row>
    <row r="140" customFormat="false" ht="15" hidden="false" customHeight="false" outlineLevel="0" collapsed="false">
      <c r="A140" s="19" t="n">
        <f aca="false">Daromadlilik!A135</f>
        <v>45481</v>
      </c>
      <c r="B140" s="28" t="n">
        <f aca="false">Daromadlilik!H135</f>
        <v>-0.0098233656508075</v>
      </c>
      <c r="C140" s="29" t="n">
        <f aca="false">B140^2</f>
        <v>9.64985127094646E-005</v>
      </c>
      <c r="D140" s="29" t="n">
        <f aca="false">$B$4*D139+(1-$B$4)*C139</f>
        <v>0.000115018752629492</v>
      </c>
      <c r="E140" s="30" t="n">
        <f aca="false">SQRT(D140)</f>
        <v>0.0107246796049808</v>
      </c>
      <c r="F140" s="31" t="n">
        <f aca="false">E140*SQRT(Parametrlar!$B$6)</f>
        <v>0.170249010753754</v>
      </c>
      <c r="G140" s="31" t="n">
        <f aca="false">STDEV(B121:B140)*SQRT(Parametrlar!$B$6)</f>
        <v>0.190216777295589</v>
      </c>
    </row>
    <row r="141" customFormat="false" ht="15" hidden="false" customHeight="false" outlineLevel="0" collapsed="false">
      <c r="A141" s="19" t="n">
        <f aca="false">Daromadlilik!A136</f>
        <v>45482</v>
      </c>
      <c r="B141" s="28" t="n">
        <f aca="false">Daromadlilik!H136</f>
        <v>-0.0031597005048706</v>
      </c>
      <c r="C141" s="29" t="n">
        <f aca="false">B141^2</f>
        <v>9.98370728047953E-006</v>
      </c>
      <c r="D141" s="29" t="n">
        <f aca="false">$B$4*D140+(1-$B$4)*C140</f>
        <v>0.00011390753823429</v>
      </c>
      <c r="E141" s="30" t="n">
        <f aca="false">SQRT(D141)</f>
        <v>0.0106727474548164</v>
      </c>
      <c r="F141" s="31" t="n">
        <f aca="false">E141*SQRT(Parametrlar!$B$6)</f>
        <v>0.169424613427451</v>
      </c>
      <c r="G141" s="31" t="n">
        <f aca="false">STDEV(B122:B141)*SQRT(Parametrlar!$B$6)</f>
        <v>0.158785910380777</v>
      </c>
    </row>
    <row r="142" customFormat="false" ht="15" hidden="false" customHeight="false" outlineLevel="0" collapsed="false">
      <c r="A142" s="19" t="n">
        <f aca="false">Daromadlilik!A137</f>
        <v>45483</v>
      </c>
      <c r="B142" s="28" t="n">
        <f aca="false">Daromadlilik!H137</f>
        <v>-0.000240048010754646</v>
      </c>
      <c r="C142" s="29" t="n">
        <f aca="false">B142^2</f>
        <v>5.76230474672626E-008</v>
      </c>
      <c r="D142" s="29" t="n">
        <f aca="false">$B$4*D141+(1-$B$4)*C141</f>
        <v>0.000107672108377062</v>
      </c>
      <c r="E142" s="30" t="n">
        <f aca="false">SQRT(D142)</f>
        <v>0.0103765171602548</v>
      </c>
      <c r="F142" s="31" t="n">
        <f aca="false">E142*SQRT(Parametrlar!$B$6)</f>
        <v>0.16472210328617</v>
      </c>
      <c r="G142" s="31" t="n">
        <f aca="false">STDEV(B123:B142)*SQRT(Parametrlar!$B$6)</f>
        <v>0.144294686863581</v>
      </c>
    </row>
    <row r="143" customFormat="false" ht="15" hidden="false" customHeight="false" outlineLevel="0" collapsed="false">
      <c r="A143" s="19" t="n">
        <f aca="false">Daromadlilik!A138</f>
        <v>45484</v>
      </c>
      <c r="B143" s="28" t="n">
        <f aca="false">Daromadlilik!H138</f>
        <v>-0.00785549994030899</v>
      </c>
      <c r="C143" s="29" t="n">
        <f aca="false">B143^2</f>
        <v>6.17088793121946E-005</v>
      </c>
      <c r="D143" s="29" t="n">
        <f aca="false">$B$4*D142+(1-$B$4)*C142</f>
        <v>0.000101215239257286</v>
      </c>
      <c r="E143" s="30" t="n">
        <f aca="false">SQRT(D143)</f>
        <v>0.0100605784752809</v>
      </c>
      <c r="F143" s="31" t="n">
        <f aca="false">E143*SQRT(Parametrlar!$B$6)</f>
        <v>0.159706732146256</v>
      </c>
      <c r="G143" s="31" t="n">
        <f aca="false">STDEV(B124:B143)*SQRT(Parametrlar!$B$6)</f>
        <v>0.146885567330802</v>
      </c>
    </row>
    <row r="144" customFormat="false" ht="15" hidden="false" customHeight="false" outlineLevel="0" collapsed="false">
      <c r="A144" s="19" t="n">
        <f aca="false">Daromadlilik!A139</f>
        <v>45485</v>
      </c>
      <c r="B144" s="28" t="n">
        <f aca="false">Daromadlilik!H139</f>
        <v>-0.00162341338061568</v>
      </c>
      <c r="C144" s="29" t="n">
        <f aca="false">B144^2</f>
        <v>2.63547100436203E-006</v>
      </c>
      <c r="D144" s="29" t="n">
        <f aca="false">$B$4*D143+(1-$B$4)*C143</f>
        <v>9.88448576605804E-005</v>
      </c>
      <c r="E144" s="30" t="n">
        <f aca="false">SQRT(D144)</f>
        <v>0.0099420751184338</v>
      </c>
      <c r="F144" s="31" t="n">
        <f aca="false">E144*SQRT(Parametrlar!$B$6)</f>
        <v>0.157825549675793</v>
      </c>
      <c r="G144" s="31" t="n">
        <f aca="false">STDEV(B125:B144)*SQRT(Parametrlar!$B$6)</f>
        <v>0.146235467752389</v>
      </c>
    </row>
    <row r="145" customFormat="false" ht="15" hidden="false" customHeight="false" outlineLevel="0" collapsed="false">
      <c r="A145" s="19" t="n">
        <f aca="false">Daromadlilik!A140</f>
        <v>45488</v>
      </c>
      <c r="B145" s="28" t="n">
        <f aca="false">Daromadlilik!H140</f>
        <v>0.00355730360837395</v>
      </c>
      <c r="C145" s="29" t="n">
        <f aca="false">B145^2</f>
        <v>1.26544089621503E-005</v>
      </c>
      <c r="D145" s="29" t="n">
        <f aca="false">$B$4*D144+(1-$B$4)*C144</f>
        <v>9.30722944612073E-005</v>
      </c>
      <c r="E145" s="30" t="n">
        <f aca="false">SQRT(D145)</f>
        <v>0.00964739832603626</v>
      </c>
      <c r="F145" s="31" t="n">
        <f aca="false">E145*SQRT(Parametrlar!$B$6)</f>
        <v>0.153147700616837</v>
      </c>
      <c r="G145" s="31" t="n">
        <f aca="false">STDEV(B126:B145)*SQRT(Parametrlar!$B$6)</f>
        <v>0.141992234060136</v>
      </c>
    </row>
    <row r="146" customFormat="false" ht="15" hidden="false" customHeight="false" outlineLevel="0" collapsed="false">
      <c r="A146" s="19" t="n">
        <f aca="false">Daromadlilik!A141</f>
        <v>45489</v>
      </c>
      <c r="B146" s="28" t="n">
        <f aca="false">Daromadlilik!H141</f>
        <v>0.0126742606540148</v>
      </c>
      <c r="C146" s="29" t="n">
        <f aca="false">B146^2</f>
        <v>0.000160636883125906</v>
      </c>
      <c r="D146" s="29" t="n">
        <f aca="false">$B$4*D145+(1-$B$4)*C145</f>
        <v>8.82472213312639E-005</v>
      </c>
      <c r="E146" s="30" t="n">
        <f aca="false">SQRT(D146)</f>
        <v>0.00939399921924969</v>
      </c>
      <c r="F146" s="31" t="n">
        <f aca="false">E146*SQRT(Parametrlar!$B$6)</f>
        <v>0.149125114502818</v>
      </c>
      <c r="G146" s="31" t="n">
        <f aca="false">STDEV(B127:B146)*SQRT(Parametrlar!$B$6)</f>
        <v>0.141397033891665</v>
      </c>
    </row>
    <row r="147" customFormat="false" ht="15" hidden="false" customHeight="false" outlineLevel="0" collapsed="false">
      <c r="A147" s="19" t="n">
        <f aca="false">Daromadlilik!A142</f>
        <v>45490</v>
      </c>
      <c r="B147" s="28" t="n">
        <f aca="false">Daromadlilik!H142</f>
        <v>0.0069091135925728</v>
      </c>
      <c r="C147" s="29" t="n">
        <f aca="false">B147^2</f>
        <v>4.77358506350742E-005</v>
      </c>
      <c r="D147" s="29" t="n">
        <f aca="false">$B$4*D146+(1-$B$4)*C146</f>
        <v>9.25906010389424E-005</v>
      </c>
      <c r="E147" s="30" t="n">
        <f aca="false">SQRT(D147)</f>
        <v>0.00962240100177406</v>
      </c>
      <c r="F147" s="31" t="n">
        <f aca="false">E147*SQRT(Parametrlar!$B$6)</f>
        <v>0.152750880396198</v>
      </c>
      <c r="G147" s="31" t="n">
        <f aca="false">STDEV(B128:B147)*SQRT(Parametrlar!$B$6)</f>
        <v>0.134787065010139</v>
      </c>
    </row>
    <row r="148" customFormat="false" ht="15" hidden="false" customHeight="false" outlineLevel="0" collapsed="false">
      <c r="A148" s="19" t="n">
        <f aca="false">Daromadlilik!A143</f>
        <v>45491</v>
      </c>
      <c r="B148" s="28" t="n">
        <f aca="false">Daromadlilik!H143</f>
        <v>0.00822841420465946</v>
      </c>
      <c r="C148" s="29" t="n">
        <f aca="false">B148^2</f>
        <v>6.77068003234416E-005</v>
      </c>
      <c r="D148" s="29" t="n">
        <f aca="false">$B$4*D147+(1-$B$4)*C147</f>
        <v>8.98993160147103E-005</v>
      </c>
      <c r="E148" s="30" t="n">
        <f aca="false">SQRT(D148)</f>
        <v>0.00948152498360418</v>
      </c>
      <c r="F148" s="31" t="n">
        <f aca="false">E148*SQRT(Parametrlar!$B$6)</f>
        <v>0.150514542937575</v>
      </c>
      <c r="G148" s="31" t="n">
        <f aca="false">STDEV(B129:B148)*SQRT(Parametrlar!$B$6)</f>
        <v>0.135102251844827</v>
      </c>
    </row>
    <row r="149" customFormat="false" ht="15" hidden="false" customHeight="false" outlineLevel="0" collapsed="false">
      <c r="A149" s="19" t="n">
        <f aca="false">Daromadlilik!A144</f>
        <v>45492</v>
      </c>
      <c r="B149" s="28" t="n">
        <f aca="false">Daromadlilik!H144</f>
        <v>-0.00340718801174283</v>
      </c>
      <c r="C149" s="29" t="n">
        <f aca="false">B149^2</f>
        <v>1.1608930147364E-005</v>
      </c>
      <c r="D149" s="29" t="n">
        <f aca="false">$B$4*D148+(1-$B$4)*C148</f>
        <v>8.85677650732342E-005</v>
      </c>
      <c r="E149" s="30" t="n">
        <f aca="false">SQRT(D149)</f>
        <v>0.00941104484492738</v>
      </c>
      <c r="F149" s="31" t="n">
        <f aca="false">E149*SQRT(Parametrlar!$B$6)</f>
        <v>0.149395705421726</v>
      </c>
      <c r="G149" s="31" t="n">
        <f aca="false">STDEV(B130:B149)*SQRT(Parametrlar!$B$6)</f>
        <v>0.123627256070012</v>
      </c>
    </row>
    <row r="150" customFormat="false" ht="15" hidden="false" customHeight="false" outlineLevel="0" collapsed="false">
      <c r="A150" s="19" t="n">
        <f aca="false">Daromadlilik!A145</f>
        <v>45495</v>
      </c>
      <c r="B150" s="28" t="n">
        <f aca="false">Daromadlilik!H145</f>
        <v>0.0069155064901353</v>
      </c>
      <c r="C150" s="29" t="n">
        <f aca="false">B150^2</f>
        <v>4.78242300151034E-005</v>
      </c>
      <c r="D150" s="29" t="n">
        <f aca="false">$B$4*D149+(1-$B$4)*C149</f>
        <v>8.3950234977682E-005</v>
      </c>
      <c r="E150" s="30" t="n">
        <f aca="false">SQRT(D150)</f>
        <v>0.00916243608314306</v>
      </c>
      <c r="F150" s="31" t="n">
        <f aca="false">E150*SQRT(Parametrlar!$B$6)</f>
        <v>0.145449163677128</v>
      </c>
      <c r="G150" s="31" t="n">
        <f aca="false">STDEV(B131:B150)*SQRT(Parametrlar!$B$6)</f>
        <v>0.124617937364204</v>
      </c>
    </row>
    <row r="151" customFormat="false" ht="15" hidden="false" customHeight="false" outlineLevel="0" collapsed="false">
      <c r="A151" s="19" t="n">
        <f aca="false">Daromadlilik!A146</f>
        <v>45496</v>
      </c>
      <c r="B151" s="28" t="n">
        <f aca="false">Daromadlilik!H146</f>
        <v>0.0198354319951074</v>
      </c>
      <c r="C151" s="29" t="n">
        <f aca="false">B151^2</f>
        <v>0.000393444362432531</v>
      </c>
      <c r="D151" s="29" t="n">
        <f aca="false">$B$4*D150+(1-$B$4)*C150</f>
        <v>8.17826746799273E-005</v>
      </c>
      <c r="E151" s="30" t="n">
        <f aca="false">SQRT(D151)</f>
        <v>0.00904337739342594</v>
      </c>
      <c r="F151" s="31" t="n">
        <f aca="false">E151*SQRT(Parametrlar!$B$6)</f>
        <v>0.143559165570651</v>
      </c>
      <c r="G151" s="31" t="n">
        <f aca="false">STDEV(B132:B151)*SQRT(Parametrlar!$B$6)</f>
        <v>0.131210261004192</v>
      </c>
    </row>
    <row r="152" customFormat="false" ht="15" hidden="false" customHeight="false" outlineLevel="0" collapsed="false">
      <c r="A152" s="19" t="n">
        <f aca="false">Daromadlilik!A147</f>
        <v>45497</v>
      </c>
      <c r="B152" s="28" t="n">
        <f aca="false">Daromadlilik!H147</f>
        <v>-0.0154500101471907</v>
      </c>
      <c r="C152" s="29" t="n">
        <f aca="false">B152^2</f>
        <v>0.000238702813548296</v>
      </c>
      <c r="D152" s="29" t="n">
        <f aca="false">$B$4*D151+(1-$B$4)*C151</f>
        <v>0.000100482375945084</v>
      </c>
      <c r="E152" s="30" t="n">
        <f aca="false">SQRT(D152)</f>
        <v>0.0100240897813758</v>
      </c>
      <c r="F152" s="31" t="n">
        <f aca="false">E152*SQRT(Parametrlar!$B$6)</f>
        <v>0.159127492087826</v>
      </c>
      <c r="G152" s="31" t="n">
        <f aca="false">STDEV(B133:B152)*SQRT(Parametrlar!$B$6)</f>
        <v>0.146362418635027</v>
      </c>
    </row>
    <row r="153" customFormat="false" ht="15" hidden="false" customHeight="false" outlineLevel="0" collapsed="false">
      <c r="A153" s="19" t="n">
        <f aca="false">Daromadlilik!A148</f>
        <v>45498</v>
      </c>
      <c r="B153" s="28" t="n">
        <f aca="false">Daromadlilik!H148</f>
        <v>-0.000310757387304924</v>
      </c>
      <c r="C153" s="29" t="n">
        <f aca="false">B153^2</f>
        <v>9.65701537645825E-008</v>
      </c>
      <c r="D153" s="29" t="n">
        <f aca="false">$B$4*D152+(1-$B$4)*C152</f>
        <v>0.000108775602201276</v>
      </c>
      <c r="E153" s="30" t="n">
        <f aca="false">SQRT(D153)</f>
        <v>0.0104295542666634</v>
      </c>
      <c r="F153" s="31" t="n">
        <f aca="false">E153*SQRT(Parametrlar!$B$6)</f>
        <v>0.165564041249064</v>
      </c>
      <c r="G153" s="31" t="n">
        <f aca="false">STDEV(B134:B153)*SQRT(Parametrlar!$B$6)</f>
        <v>0.144942722839521</v>
      </c>
    </row>
    <row r="154" customFormat="false" ht="15" hidden="false" customHeight="false" outlineLevel="0" collapsed="false">
      <c r="A154" s="19" t="n">
        <f aca="false">Daromadlilik!A149</f>
        <v>45499</v>
      </c>
      <c r="B154" s="28" t="n">
        <f aca="false">Daromadlilik!H149</f>
        <v>-0.0096119552599401</v>
      </c>
      <c r="C154" s="29" t="n">
        <f aca="false">B154^2</f>
        <v>9.23896839190901E-005</v>
      </c>
      <c r="D154" s="29" t="n">
        <f aca="false">$B$4*D153+(1-$B$4)*C153</f>
        <v>0.000102254860278426</v>
      </c>
      <c r="E154" s="30" t="n">
        <f aca="false">SQRT(D154)</f>
        <v>0.0101121145305236</v>
      </c>
      <c r="F154" s="31" t="n">
        <f aca="false">E154*SQRT(Parametrlar!$B$6)</f>
        <v>0.160524841660608</v>
      </c>
      <c r="G154" s="31" t="n">
        <f aca="false">STDEV(B135:B154)*SQRT(Parametrlar!$B$6)</f>
        <v>0.149708174597637</v>
      </c>
    </row>
    <row r="155" customFormat="false" ht="15" hidden="false" customHeight="false" outlineLevel="0" collapsed="false">
      <c r="A155" s="19" t="n">
        <f aca="false">Daromadlilik!A150</f>
        <v>45502</v>
      </c>
      <c r="B155" s="28" t="n">
        <f aca="false">Daromadlilik!H150</f>
        <v>0.0136012936083448</v>
      </c>
      <c r="C155" s="29" t="n">
        <f aca="false">B155^2</f>
        <v>0.000184995187820401</v>
      </c>
      <c r="D155" s="29" t="n">
        <f aca="false">$B$4*D154+(1-$B$4)*C154</f>
        <v>0.000101662949696865</v>
      </c>
      <c r="E155" s="30" t="n">
        <f aca="false">SQRT(D155)</f>
        <v>0.0100828046543045</v>
      </c>
      <c r="F155" s="31" t="n">
        <f aca="false">E155*SQRT(Parametrlar!$B$6)</f>
        <v>0.160059561800007</v>
      </c>
      <c r="G155" s="31" t="n">
        <f aca="false">STDEV(B136:B155)*SQRT(Parametrlar!$B$6)</f>
        <v>0.154474947047088</v>
      </c>
    </row>
    <row r="156" customFormat="false" ht="15" hidden="false" customHeight="false" outlineLevel="0" collapsed="false">
      <c r="A156" s="19" t="n">
        <f aca="false">Daromadlilik!A151</f>
        <v>45503</v>
      </c>
      <c r="B156" s="28" t="n">
        <f aca="false">Daromadlilik!H151</f>
        <v>0.00939753578132247</v>
      </c>
      <c r="C156" s="29" t="n">
        <f aca="false">B156^2</f>
        <v>8.83136787612361E-005</v>
      </c>
      <c r="D156" s="29" t="n">
        <f aca="false">$B$4*D155+(1-$B$4)*C155</f>
        <v>0.000106662883984278</v>
      </c>
      <c r="E156" s="30" t="n">
        <f aca="false">SQRT(D156)</f>
        <v>0.0103277724599392</v>
      </c>
      <c r="F156" s="31" t="n">
        <f aca="false">E156*SQRT(Parametrlar!$B$6)</f>
        <v>0.163948305157565</v>
      </c>
      <c r="G156" s="31" t="n">
        <f aca="false">STDEV(B137:B156)*SQRT(Parametrlar!$B$6)</f>
        <v>0.149539839400302</v>
      </c>
    </row>
    <row r="157" customFormat="false" ht="15" hidden="false" customHeight="false" outlineLevel="0" collapsed="false">
      <c r="A157" s="19" t="n">
        <f aca="false">Daromadlilik!A152</f>
        <v>45504</v>
      </c>
      <c r="B157" s="28" t="n">
        <f aca="false">Daromadlilik!H152</f>
        <v>-0.00367831024891467</v>
      </c>
      <c r="C157" s="29" t="n">
        <f aca="false">B157^2</f>
        <v>1.35299662872707E-005</v>
      </c>
      <c r="D157" s="29" t="n">
        <f aca="false">$B$4*D156+(1-$B$4)*C156</f>
        <v>0.000105561931670895</v>
      </c>
      <c r="E157" s="30" t="n">
        <f aca="false">SQRT(D157)</f>
        <v>0.0102743336363433</v>
      </c>
      <c r="F157" s="31" t="n">
        <f aca="false">E157*SQRT(Parametrlar!$B$6)</f>
        <v>0.163099990132022</v>
      </c>
      <c r="G157" s="31" t="n">
        <f aca="false">STDEV(B138:B157)*SQRT(Parametrlar!$B$6)</f>
        <v>0.151076411484497</v>
      </c>
    </row>
    <row r="158" customFormat="false" ht="15" hidden="false" customHeight="false" outlineLevel="0" collapsed="false">
      <c r="A158" s="19" t="n">
        <f aca="false">Daromadlilik!A153</f>
        <v>45505</v>
      </c>
      <c r="B158" s="28" t="n">
        <f aca="false">Daromadlilik!H153</f>
        <v>-0.00167722099903143</v>
      </c>
      <c r="C158" s="29" t="n">
        <f aca="false">B158^2</f>
        <v>2.81307027959198E-006</v>
      </c>
      <c r="D158" s="29" t="n">
        <f aca="false">$B$4*D157+(1-$B$4)*C157</f>
        <v>0.000100040013747878</v>
      </c>
      <c r="E158" s="30" t="n">
        <f aca="false">SQRT(D158)</f>
        <v>0.0100020004872964</v>
      </c>
      <c r="F158" s="31" t="n">
        <f aca="false">E158*SQRT(Parametrlar!$B$6)</f>
        <v>0.158776835415199</v>
      </c>
      <c r="G158" s="31" t="n">
        <f aca="false">STDEV(B139:B158)*SQRT(Parametrlar!$B$6)</f>
        <v>0.151316470957532</v>
      </c>
    </row>
    <row r="159" customFormat="false" ht="15" hidden="false" customHeight="false" outlineLevel="0" collapsed="false">
      <c r="A159" s="19" t="n">
        <f aca="false">Daromadlilik!A154</f>
        <v>45506</v>
      </c>
      <c r="B159" s="28" t="n">
        <f aca="false">Daromadlilik!H154</f>
        <v>-0.0264423568166545</v>
      </c>
      <c r="C159" s="29" t="n">
        <f aca="false">B159^2</f>
        <v>0.000699198234019272</v>
      </c>
      <c r="D159" s="29" t="n">
        <f aca="false">$B$4*D158+(1-$B$4)*C158</f>
        <v>9.42063971397805E-005</v>
      </c>
      <c r="E159" s="30" t="n">
        <f aca="false">SQRT(D159)</f>
        <v>0.00970599799813396</v>
      </c>
      <c r="F159" s="31" t="n">
        <f aca="false">E159*SQRT(Parametrlar!$B$6)</f>
        <v>0.154077941572519</v>
      </c>
      <c r="G159" s="31" t="n">
        <f aca="false">STDEV(B140:B159)*SQRT(Parametrlar!$B$6)</f>
        <v>0.172067909864489</v>
      </c>
    </row>
    <row r="160" customFormat="false" ht="15" hidden="false" customHeight="false" outlineLevel="0" collapsed="false">
      <c r="A160" s="19" t="n">
        <f aca="false">Daromadlilik!A155</f>
        <v>45509</v>
      </c>
      <c r="B160" s="28" t="n">
        <f aca="false">Daromadlilik!H155</f>
        <v>0.0155752117854712</v>
      </c>
      <c r="C160" s="29" t="n">
        <f aca="false">B160^2</f>
        <v>0.00024258722216228</v>
      </c>
      <c r="D160" s="29" t="n">
        <f aca="false">$B$4*D159+(1-$B$4)*C159</f>
        <v>0.00013050590735255</v>
      </c>
      <c r="E160" s="30" t="n">
        <f aca="false">SQRT(D160)</f>
        <v>0.0114239182136669</v>
      </c>
      <c r="F160" s="31" t="n">
        <f aca="false">E160*SQRT(Parametrlar!$B$6)</f>
        <v>0.181349079547823</v>
      </c>
      <c r="G160" s="31" t="n">
        <f aca="false">STDEV(B141:B160)*SQRT(Parametrlar!$B$6)</f>
        <v>0.176606805276511</v>
      </c>
    </row>
    <row r="161" customFormat="false" ht="15" hidden="false" customHeight="false" outlineLevel="0" collapsed="false">
      <c r="A161" s="19" t="n">
        <f aca="false">Daromadlilik!A156</f>
        <v>45510</v>
      </c>
      <c r="B161" s="28" t="n">
        <f aca="false">Daromadlilik!H156</f>
        <v>0.0188854765134553</v>
      </c>
      <c r="C161" s="29" t="n">
        <f aca="false">B161^2</f>
        <v>0.000356661223140272</v>
      </c>
      <c r="D161" s="29" t="n">
        <f aca="false">$B$4*D160+(1-$B$4)*C160</f>
        <v>0.000137230786241134</v>
      </c>
      <c r="E161" s="30" t="n">
        <f aca="false">SQRT(D161)</f>
        <v>0.0117145544619133</v>
      </c>
      <c r="F161" s="31" t="n">
        <f aca="false">E161*SQRT(Parametrlar!$B$6)</f>
        <v>0.185962786956869</v>
      </c>
      <c r="G161" s="31" t="n">
        <f aca="false">STDEV(B142:B161)*SQRT(Parametrlar!$B$6)</f>
        <v>0.186510784959084</v>
      </c>
    </row>
    <row r="162" customFormat="false" ht="15" hidden="false" customHeight="false" outlineLevel="0" collapsed="false">
      <c r="A162" s="19" t="n">
        <f aca="false">Daromadlilik!A157</f>
        <v>45511</v>
      </c>
      <c r="B162" s="28" t="n">
        <f aca="false">Daromadlilik!H157</f>
        <v>-0.0107111850455543</v>
      </c>
      <c r="C162" s="29" t="n">
        <f aca="false">B162^2</f>
        <v>0.000114729485080105</v>
      </c>
      <c r="D162" s="29" t="n">
        <f aca="false">$B$4*D161+(1-$B$4)*C161</f>
        <v>0.000150396612455082</v>
      </c>
      <c r="E162" s="30" t="n">
        <f aca="false">SQRT(D162)</f>
        <v>0.0122636296607115</v>
      </c>
      <c r="F162" s="31" t="n">
        <f aca="false">E162*SQRT(Parametrlar!$B$6)</f>
        <v>0.194679085519428</v>
      </c>
      <c r="G162" s="31" t="n">
        <f aca="false">STDEV(B143:B162)*SQRT(Parametrlar!$B$6)</f>
        <v>0.191998336138167</v>
      </c>
    </row>
    <row r="163" customFormat="false" ht="15" hidden="false" customHeight="false" outlineLevel="0" collapsed="false">
      <c r="A163" s="19" t="n">
        <f aca="false">Daromadlilik!A158</f>
        <v>45512</v>
      </c>
      <c r="B163" s="28" t="n">
        <f aca="false">Daromadlilik!H158</f>
        <v>0.00550658883339332</v>
      </c>
      <c r="C163" s="29" t="n">
        <f aca="false">B163^2</f>
        <v>3.0322520580052E-005</v>
      </c>
      <c r="D163" s="29" t="n">
        <f aca="false">$B$4*D162+(1-$B$4)*C162</f>
        <v>0.000148256584812583</v>
      </c>
      <c r="E163" s="30" t="n">
        <f aca="false">SQRT(D163)</f>
        <v>0.0121760660647265</v>
      </c>
      <c r="F163" s="31" t="n">
        <f aca="false">E163*SQRT(Parametrlar!$B$6)</f>
        <v>0.193289056526155</v>
      </c>
      <c r="G163" s="31" t="n">
        <f aca="false">STDEV(B144:B163)*SQRT(Parametrlar!$B$6)</f>
        <v>0.188975476732762</v>
      </c>
    </row>
    <row r="164" customFormat="false" ht="15" hidden="false" customHeight="false" outlineLevel="0" collapsed="false">
      <c r="A164" s="19" t="n">
        <f aca="false">Daromadlilik!A159</f>
        <v>45513</v>
      </c>
      <c r="B164" s="28" t="n">
        <f aca="false">Daromadlilik!H159</f>
        <v>-0.0111991139477453</v>
      </c>
      <c r="C164" s="29" t="n">
        <f aca="false">B164^2</f>
        <v>0.000125420153214584</v>
      </c>
      <c r="D164" s="29" t="n">
        <f aca="false">$B$4*D163+(1-$B$4)*C163</f>
        <v>0.000141180540958632</v>
      </c>
      <c r="E164" s="30" t="n">
        <f aca="false">SQRT(D164)</f>
        <v>0.0118819418008435</v>
      </c>
      <c r="F164" s="31" t="n">
        <f aca="false">E164*SQRT(Parametrlar!$B$6)</f>
        <v>0.188619978585449</v>
      </c>
      <c r="G164" s="31" t="n">
        <f aca="false">STDEV(B145:B164)*SQRT(Parametrlar!$B$6)</f>
        <v>0.194656779251043</v>
      </c>
    </row>
    <row r="165" customFormat="false" ht="15" hidden="false" customHeight="false" outlineLevel="0" collapsed="false">
      <c r="A165" s="19" t="n">
        <f aca="false">Daromadlilik!A160</f>
        <v>45516</v>
      </c>
      <c r="B165" s="28" t="n">
        <f aca="false">Daromadlilik!H160</f>
        <v>0.000613006991071252</v>
      </c>
      <c r="C165" s="29" t="n">
        <f aca="false">B165^2</f>
        <v>3.75777571102229E-007</v>
      </c>
      <c r="D165" s="29" t="n">
        <f aca="false">$B$4*D164+(1-$B$4)*C164</f>
        <v>0.000140234917693989</v>
      </c>
      <c r="E165" s="30" t="n">
        <f aca="false">SQRT(D165)</f>
        <v>0.0118420824897477</v>
      </c>
      <c r="F165" s="31" t="n">
        <f aca="false">E165*SQRT(Parametrlar!$B$6)</f>
        <v>0.18798723163791</v>
      </c>
      <c r="G165" s="31" t="n">
        <f aca="false">STDEV(B146:B165)*SQRT(Parametrlar!$B$6)</f>
        <v>0.194610861403793</v>
      </c>
    </row>
    <row r="166" customFormat="false" ht="15" hidden="false" customHeight="false" outlineLevel="0" collapsed="false">
      <c r="A166" s="19" t="n">
        <f aca="false">Daromadlilik!A161</f>
        <v>45517</v>
      </c>
      <c r="B166" s="28" t="n">
        <f aca="false">Daromadlilik!H161</f>
        <v>-0.00550460105532909</v>
      </c>
      <c r="C166" s="29" t="n">
        <f aca="false">B166^2</f>
        <v>3.03006327783301E-005</v>
      </c>
      <c r="D166" s="29" t="n">
        <f aca="false">$B$4*D165+(1-$B$4)*C165</f>
        <v>0.000131843369286615</v>
      </c>
      <c r="E166" s="30" t="n">
        <f aca="false">SQRT(D166)</f>
        <v>0.0114823067929147</v>
      </c>
      <c r="F166" s="31" t="n">
        <f aca="false">E166*SQRT(Parametrlar!$B$6)</f>
        <v>0.1822759695084</v>
      </c>
      <c r="G166" s="31" t="n">
        <f aca="false">STDEV(B147:B166)*SQRT(Parametrlar!$B$6)</f>
        <v>0.191794699804166</v>
      </c>
    </row>
    <row r="167" customFormat="false" ht="15" hidden="false" customHeight="false" outlineLevel="0" collapsed="false">
      <c r="A167" s="19" t="n">
        <f aca="false">Daromadlilik!A162</f>
        <v>45518</v>
      </c>
      <c r="B167" s="28" t="n">
        <f aca="false">Daromadlilik!H162</f>
        <v>0.00755673280147715</v>
      </c>
      <c r="C167" s="29" t="n">
        <f aca="false">B167^2</f>
        <v>5.71042106329207E-005</v>
      </c>
      <c r="D167" s="29" t="n">
        <f aca="false">$B$4*D166+(1-$B$4)*C166</f>
        <v>0.000125750805096118</v>
      </c>
      <c r="E167" s="30" t="n">
        <f aca="false">SQRT(D167)</f>
        <v>0.0112138666434071</v>
      </c>
      <c r="F167" s="31" t="n">
        <f aca="false">E167*SQRT(Parametrlar!$B$6)</f>
        <v>0.178014614243387</v>
      </c>
      <c r="G167" s="31" t="n">
        <f aca="false">STDEV(B148:B167)*SQRT(Parametrlar!$B$6)</f>
        <v>0.192078558846841</v>
      </c>
    </row>
    <row r="168" customFormat="false" ht="15" hidden="false" customHeight="false" outlineLevel="0" collapsed="false">
      <c r="A168" s="19" t="n">
        <f aca="false">Daromadlilik!A163</f>
        <v>45519</v>
      </c>
      <c r="B168" s="28" t="n">
        <f aca="false">Daromadlilik!H163</f>
        <v>0.00972038203112014</v>
      </c>
      <c r="C168" s="29" t="n">
        <f aca="false">B168^2</f>
        <v>9.44858268309232E-005</v>
      </c>
      <c r="D168" s="29" t="n">
        <f aca="false">$B$4*D167+(1-$B$4)*C167</f>
        <v>0.000121632009428326</v>
      </c>
      <c r="E168" s="30" t="n">
        <f aca="false">SQRT(D168)</f>
        <v>0.011028690286173</v>
      </c>
      <c r="F168" s="31" t="n">
        <f aca="false">E168*SQRT(Parametrlar!$B$6)</f>
        <v>0.175075030703805</v>
      </c>
      <c r="G168" s="31" t="n">
        <f aca="false">STDEV(B149:B168)*SQRT(Parametrlar!$B$6)</f>
        <v>0.192904146878305</v>
      </c>
    </row>
    <row r="169" customFormat="false" ht="15" hidden="false" customHeight="false" outlineLevel="0" collapsed="false">
      <c r="A169" s="19" t="n">
        <f aca="false">Daromadlilik!A164</f>
        <v>45520</v>
      </c>
      <c r="B169" s="28" t="n">
        <f aca="false">Daromadlilik!H164</f>
        <v>0.0103699981400144</v>
      </c>
      <c r="C169" s="29" t="n">
        <f aca="false">B169^2</f>
        <v>0.000107536861423903</v>
      </c>
      <c r="D169" s="29" t="n">
        <f aca="false">$B$4*D168+(1-$B$4)*C168</f>
        <v>0.000120003238472482</v>
      </c>
      <c r="E169" s="30" t="n">
        <f aca="false">SQRT(D169)</f>
        <v>0.0109545989644753</v>
      </c>
      <c r="F169" s="31" t="n">
        <f aca="false">E169*SQRT(Parametrlar!$B$6)</f>
        <v>0.173898867434683</v>
      </c>
      <c r="G169" s="31" t="n">
        <f aca="false">STDEV(B150:B169)*SQRT(Parametrlar!$B$6)</f>
        <v>0.194935962334525</v>
      </c>
    </row>
    <row r="170" customFormat="false" ht="15" hidden="false" customHeight="false" outlineLevel="0" collapsed="false">
      <c r="A170" s="19" t="n">
        <f aca="false">Daromadlilik!A165</f>
        <v>45523</v>
      </c>
      <c r="B170" s="28" t="n">
        <f aca="false">Daromadlilik!H165</f>
        <v>-0.0031285168456529</v>
      </c>
      <c r="C170" s="29" t="n">
        <f aca="false">B170^2</f>
        <v>9.78761765353399E-006</v>
      </c>
      <c r="D170" s="29" t="n">
        <f aca="false">$B$4*D169+(1-$B$4)*C169</f>
        <v>0.000119255255849568</v>
      </c>
      <c r="E170" s="30" t="n">
        <f aca="false">SQRT(D170)</f>
        <v>0.0109204054800894</v>
      </c>
      <c r="F170" s="31" t="n">
        <f aca="false">E170*SQRT(Parametrlar!$B$6)</f>
        <v>0.173356062697822</v>
      </c>
      <c r="G170" s="31" t="n">
        <f aca="false">STDEV(B151:B170)*SQRT(Parametrlar!$B$6)</f>
        <v>0.194611077107456</v>
      </c>
    </row>
    <row r="171" customFormat="false" ht="15" hidden="false" customHeight="false" outlineLevel="0" collapsed="false">
      <c r="A171" s="19" t="n">
        <f aca="false">Daromadlilik!A166</f>
        <v>45524</v>
      </c>
      <c r="B171" s="28" t="n">
        <f aca="false">Daromadlilik!H166</f>
        <v>0.0168704903478411</v>
      </c>
      <c r="C171" s="29" t="n">
        <f aca="false">B171^2</f>
        <v>0.000284613444576598</v>
      </c>
      <c r="D171" s="29" t="n">
        <f aca="false">$B$4*D170+(1-$B$4)*C170</f>
        <v>0.000112687197557806</v>
      </c>
      <c r="E171" s="30" t="n">
        <f aca="false">SQRT(D171)</f>
        <v>0.010615422627376</v>
      </c>
      <c r="F171" s="31" t="n">
        <f aca="false">E171*SQRT(Parametrlar!$B$6)</f>
        <v>0.168514610003308</v>
      </c>
      <c r="G171" s="31" t="n">
        <f aca="false">STDEV(B152:B171)*SQRT(Parametrlar!$B$6)</f>
        <v>0.191091635897695</v>
      </c>
    </row>
    <row r="172" customFormat="false" ht="15" hidden="false" customHeight="false" outlineLevel="0" collapsed="false">
      <c r="A172" s="19" t="n">
        <f aca="false">Daromadlilik!A167</f>
        <v>45525</v>
      </c>
      <c r="B172" s="28" t="n">
        <f aca="false">Daromadlilik!H167</f>
        <v>0.00894472951749198</v>
      </c>
      <c r="C172" s="29" t="n">
        <f aca="false">B172^2</f>
        <v>8.00081861410922E-005</v>
      </c>
      <c r="D172" s="29" t="n">
        <f aca="false">$B$4*D171+(1-$B$4)*C171</f>
        <v>0.000123002772378933</v>
      </c>
      <c r="E172" s="30" t="n">
        <f aca="false">SQRT(D172)</f>
        <v>0.0110906614942001</v>
      </c>
      <c r="F172" s="31" t="n">
        <f aca="false">E172*SQRT(Parametrlar!$B$6)</f>
        <v>0.176058793133121</v>
      </c>
      <c r="G172" s="31" t="n">
        <f aca="false">STDEV(B153:B172)*SQRT(Parametrlar!$B$6)</f>
        <v>0.182639232971451</v>
      </c>
    </row>
    <row r="173" customFormat="false" ht="15" hidden="false" customHeight="false" outlineLevel="0" collapsed="false">
      <c r="A173" s="19" t="n">
        <f aca="false">Daromadlilik!A168</f>
        <v>45526</v>
      </c>
      <c r="B173" s="28" t="n">
        <f aca="false">Daromadlilik!H168</f>
        <v>0.000148540588989037</v>
      </c>
      <c r="C173" s="29" t="n">
        <f aca="false">B173^2</f>
        <v>2.20643065772099E-008</v>
      </c>
      <c r="D173" s="29" t="n">
        <f aca="false">$B$4*D172+(1-$B$4)*C172</f>
        <v>0.000120423097204663</v>
      </c>
      <c r="E173" s="30" t="n">
        <f aca="false">SQRT(D173)</f>
        <v>0.0109737458146552</v>
      </c>
      <c r="F173" s="31" t="n">
        <f aca="false">E173*SQRT(Parametrlar!$B$6)</f>
        <v>0.174202814258481</v>
      </c>
      <c r="G173" s="31" t="n">
        <f aca="false">STDEV(B154:B173)*SQRT(Parametrlar!$B$6)</f>
        <v>0.182561452910797</v>
      </c>
    </row>
    <row r="174" customFormat="false" ht="15" hidden="false" customHeight="false" outlineLevel="0" collapsed="false">
      <c r="A174" s="19" t="n">
        <f aca="false">Daromadlilik!A169</f>
        <v>45527</v>
      </c>
      <c r="B174" s="28" t="n">
        <f aca="false">Daromadlilik!H169</f>
        <v>0.00580875577074597</v>
      </c>
      <c r="C174" s="29" t="n">
        <f aca="false">B174^2</f>
        <v>3.37416436041746E-005</v>
      </c>
      <c r="D174" s="29" t="n">
        <f aca="false">$B$4*D173+(1-$B$4)*C173</f>
        <v>0.000113199035230777</v>
      </c>
      <c r="E174" s="30" t="n">
        <f aca="false">SQRT(D174)</f>
        <v>0.0106395035236978</v>
      </c>
      <c r="F174" s="31" t="n">
        <f aca="false">E174*SQRT(Parametrlar!$B$6)</f>
        <v>0.168896882381398</v>
      </c>
      <c r="G174" s="31" t="n">
        <f aca="false">STDEV(B155:B174)*SQRT(Parametrlar!$B$6)</f>
        <v>0.177391976591474</v>
      </c>
    </row>
    <row r="175" customFormat="false" ht="15" hidden="false" customHeight="false" outlineLevel="0" collapsed="false">
      <c r="A175" s="19" t="n">
        <f aca="false">Daromadlilik!A170</f>
        <v>45530</v>
      </c>
      <c r="B175" s="28" t="n">
        <f aca="false">Daromadlilik!H170</f>
        <v>0.00166399618707465</v>
      </c>
      <c r="C175" s="29" t="n">
        <f aca="false">B175^2</f>
        <v>2.76888331059898E-006</v>
      </c>
      <c r="D175" s="29" t="n">
        <f aca="false">$B$4*D174+(1-$B$4)*C174</f>
        <v>0.000108431591733181</v>
      </c>
      <c r="E175" s="30" t="n">
        <f aca="false">SQRT(D175)</f>
        <v>0.0104130491083631</v>
      </c>
      <c r="F175" s="31" t="n">
        <f aca="false">E175*SQRT(Parametrlar!$B$6)</f>
        <v>0.16530202998379</v>
      </c>
      <c r="G175" s="31" t="n">
        <f aca="false">STDEV(B156:B175)*SQRT(Parametrlar!$B$6)</f>
        <v>0.172964979854157</v>
      </c>
    </row>
    <row r="176" customFormat="false" ht="15" hidden="false" customHeight="false" outlineLevel="0" collapsed="false">
      <c r="A176" s="19" t="n">
        <f aca="false">Daromadlilik!A171</f>
        <v>45531</v>
      </c>
      <c r="B176" s="28" t="n">
        <f aca="false">Daromadlilik!H171</f>
        <v>-0.00435025966776596</v>
      </c>
      <c r="C176" s="29" t="n">
        <f aca="false">B176^2</f>
        <v>1.89247591769912E-005</v>
      </c>
      <c r="D176" s="29" t="n">
        <f aca="false">$B$4*D175+(1-$B$4)*C175</f>
        <v>0.000102091829227826</v>
      </c>
      <c r="E176" s="30" t="n">
        <f aca="false">SQRT(D176)</f>
        <v>0.0101040501398116</v>
      </c>
      <c r="F176" s="31" t="n">
        <f aca="false">E176*SQRT(Parametrlar!$B$6)</f>
        <v>0.160396823426813</v>
      </c>
      <c r="G176" s="31" t="n">
        <f aca="false">STDEV(B157:B176)*SQRT(Parametrlar!$B$6)</f>
        <v>0.1725096780559</v>
      </c>
    </row>
    <row r="177" customFormat="false" ht="15" hidden="false" customHeight="false" outlineLevel="0" collapsed="false">
      <c r="A177" s="19" t="n">
        <f aca="false">Daromadlilik!A172</f>
        <v>45532</v>
      </c>
      <c r="B177" s="28" t="n">
        <f aca="false">Daromadlilik!H172</f>
        <v>0.00123312687235915</v>
      </c>
      <c r="C177" s="29" t="n">
        <f aca="false">B177^2</f>
        <v>1.52060188333425E-006</v>
      </c>
      <c r="D177" s="29" t="n">
        <f aca="false">$B$4*D176+(1-$B$4)*C176</f>
        <v>9.71018050247762E-005</v>
      </c>
      <c r="E177" s="30" t="n">
        <f aca="false">SQRT(D177)</f>
        <v>0.00985402481348491</v>
      </c>
      <c r="F177" s="31" t="n">
        <f aca="false">E177*SQRT(Parametrlar!$B$6)</f>
        <v>0.156427794417244</v>
      </c>
      <c r="G177" s="31" t="n">
        <f aca="false">STDEV(B158:B177)*SQRT(Parametrlar!$B$6)</f>
        <v>0.171337375248836</v>
      </c>
    </row>
    <row r="178" customFormat="false" ht="15" hidden="false" customHeight="false" outlineLevel="0" collapsed="false">
      <c r="A178" s="19" t="n">
        <f aca="false">Daromadlilik!A173</f>
        <v>45533</v>
      </c>
      <c r="B178" s="28" t="n">
        <f aca="false">Daromadlilik!H173</f>
        <v>0.0105344566756587</v>
      </c>
      <c r="C178" s="29" t="n">
        <f aca="false">B178^2</f>
        <v>0.000110974777451331</v>
      </c>
      <c r="D178" s="29" t="n">
        <f aca="false">$B$4*D177+(1-$B$4)*C177</f>
        <v>9.13669328362897E-005</v>
      </c>
      <c r="E178" s="30" t="n">
        <f aca="false">SQRT(D178)</f>
        <v>0.00955860517211009</v>
      </c>
      <c r="F178" s="31" t="n">
        <f aca="false">E178*SQRT(Parametrlar!$B$6)</f>
        <v>0.151738152996354</v>
      </c>
      <c r="G178" s="31" t="n">
        <f aca="false">STDEV(B159:B178)*SQRT(Parametrlar!$B$6)</f>
        <v>0.173338366156774</v>
      </c>
    </row>
    <row r="179" customFormat="false" ht="15" hidden="false" customHeight="false" outlineLevel="0" collapsed="false">
      <c r="A179" s="19" t="n">
        <f aca="false">Daromadlilik!A174</f>
        <v>45534</v>
      </c>
      <c r="B179" s="28" t="n">
        <f aca="false">Daromadlilik!H174</f>
        <v>0.00212771221357494</v>
      </c>
      <c r="C179" s="29" t="n">
        <f aca="false">B179^2</f>
        <v>4.52715926379598E-006</v>
      </c>
      <c r="D179" s="29" t="n">
        <f aca="false">$B$4*D178+(1-$B$4)*C178</f>
        <v>9.25434035131922E-005</v>
      </c>
      <c r="E179" s="30" t="n">
        <f aca="false">SQRT(D179)</f>
        <v>0.00961994820740695</v>
      </c>
      <c r="F179" s="31" t="n">
        <f aca="false">E179*SQRT(Parametrlar!$B$6)</f>
        <v>0.152711943492722</v>
      </c>
      <c r="G179" s="31" t="n">
        <f aca="false">STDEV(B160:B179)*SQRT(Parametrlar!$B$6)</f>
        <v>0.135341439957161</v>
      </c>
    </row>
    <row r="180" customFormat="false" ht="15" hidden="false" customHeight="false" outlineLevel="0" collapsed="false">
      <c r="A180" s="19" t="n">
        <f aca="false">Daromadlilik!A175</f>
        <v>45537</v>
      </c>
      <c r="B180" s="28" t="n">
        <f aca="false">Daromadlilik!H175</f>
        <v>-0.00108765361652964</v>
      </c>
      <c r="C180" s="29" t="n">
        <f aca="false">B180^2</f>
        <v>1.18299038955001E-006</v>
      </c>
      <c r="D180" s="29" t="n">
        <f aca="false">$B$4*D179+(1-$B$4)*C179</f>
        <v>8.72624288582284E-005</v>
      </c>
      <c r="E180" s="30" t="n">
        <f aca="false">SQRT(D180)</f>
        <v>0.0093414361239709</v>
      </c>
      <c r="F180" s="31" t="n">
        <f aca="false">E180*SQRT(Parametrlar!$B$6)</f>
        <v>0.148290701233333</v>
      </c>
      <c r="G180" s="31" t="n">
        <f aca="false">STDEV(B161:B180)*SQRT(Parametrlar!$B$6)</f>
        <v>0.129283109761336</v>
      </c>
    </row>
    <row r="181" customFormat="false" ht="15" hidden="false" customHeight="false" outlineLevel="0" collapsed="false">
      <c r="A181" s="19" t="n">
        <f aca="false">Daromadlilik!A176</f>
        <v>45538</v>
      </c>
      <c r="B181" s="28" t="n">
        <f aca="false">Daromadlilik!H176</f>
        <v>0.00228756944210023</v>
      </c>
      <c r="C181" s="29" t="n">
        <f aca="false">B181^2</f>
        <v>5.23297395243075E-006</v>
      </c>
      <c r="D181" s="29" t="n">
        <f aca="false">$B$4*D180+(1-$B$4)*C180</f>
        <v>8.20976625501077E-005</v>
      </c>
      <c r="E181" s="30" t="n">
        <f aca="false">SQRT(D181)</f>
        <v>0.00906077604568768</v>
      </c>
      <c r="F181" s="31" t="n">
        <f aca="false">E181*SQRT(Parametrlar!$B$6)</f>
        <v>0.143835360612845</v>
      </c>
      <c r="G181" s="31" t="n">
        <f aca="false">STDEV(B162:B181)*SQRT(Parametrlar!$B$6)</f>
        <v>0.115236015496642</v>
      </c>
    </row>
    <row r="182" customFormat="false" ht="15" hidden="false" customHeight="false" outlineLevel="0" collapsed="false">
      <c r="A182" s="19" t="n">
        <f aca="false">Daromadlilik!A177</f>
        <v>45539</v>
      </c>
      <c r="B182" s="28" t="n">
        <f aca="false">Daromadlilik!H177</f>
        <v>0.00265415271524825</v>
      </c>
      <c r="C182" s="29" t="n">
        <f aca="false">B182^2</f>
        <v>7.04452663585967E-006</v>
      </c>
      <c r="D182" s="29" t="n">
        <f aca="false">$B$4*D181+(1-$B$4)*C181</f>
        <v>7.74857812342471E-005</v>
      </c>
      <c r="E182" s="30" t="n">
        <f aca="false">SQRT(D182)</f>
        <v>0.00880260082215745</v>
      </c>
      <c r="F182" s="31" t="n">
        <f aca="false">E182*SQRT(Parametrlar!$B$6)</f>
        <v>0.139736955996008</v>
      </c>
      <c r="G182" s="31" t="n">
        <f aca="false">STDEV(B163:B182)*SQRT(Parametrlar!$B$6)</f>
        <v>0.104366217457802</v>
      </c>
    </row>
    <row r="183" customFormat="false" ht="15" hidden="false" customHeight="false" outlineLevel="0" collapsed="false">
      <c r="A183" s="19" t="n">
        <f aca="false">Daromadlilik!A178</f>
        <v>45540</v>
      </c>
      <c r="B183" s="28" t="n">
        <f aca="false">Daromadlilik!H178</f>
        <v>0.00486112908115151</v>
      </c>
      <c r="C183" s="29" t="n">
        <f aca="false">B183^2</f>
        <v>2.36305759436169E-005</v>
      </c>
      <c r="D183" s="29" t="n">
        <f aca="false">$B$4*D182+(1-$B$4)*C182</f>
        <v>7.32593059583438E-005</v>
      </c>
      <c r="E183" s="30" t="n">
        <f aca="false">SQRT(D183)</f>
        <v>0.00855916502693714</v>
      </c>
      <c r="F183" s="31" t="n">
        <f aca="false">E183*SQRT(Parametrlar!$B$6)</f>
        <v>0.135872532549823</v>
      </c>
      <c r="G183" s="31" t="n">
        <f aca="false">STDEV(B164:B183)*SQRT(Parametrlar!$B$6)</f>
        <v>0.104188766269635</v>
      </c>
    </row>
    <row r="184" customFormat="false" ht="15" hidden="false" customHeight="false" outlineLevel="0" collapsed="false">
      <c r="A184" s="19" t="n">
        <f aca="false">Daromadlilik!A179</f>
        <v>45541</v>
      </c>
      <c r="B184" s="28" t="n">
        <f aca="false">Daromadlilik!H179</f>
        <v>-0.00970540118157661</v>
      </c>
      <c r="C184" s="29" t="n">
        <f aca="false">B184^2</f>
        <v>9.41948120953487E-005</v>
      </c>
      <c r="D184" s="29" t="n">
        <f aca="false">$B$4*D183+(1-$B$4)*C183</f>
        <v>7.02815821574602E-005</v>
      </c>
      <c r="E184" s="30" t="n">
        <f aca="false">SQRT(D184)</f>
        <v>0.00838341112897728</v>
      </c>
      <c r="F184" s="31" t="n">
        <f aca="false">E184*SQRT(Parametrlar!$B$6)</f>
        <v>0.133082525914111</v>
      </c>
      <c r="G184" s="31" t="n">
        <f aca="false">STDEV(B165:B184)*SQRT(Parametrlar!$B$6)</f>
        <v>0.101590145964924</v>
      </c>
    </row>
    <row r="185" customFormat="false" ht="15" hidden="false" customHeight="false" outlineLevel="0" collapsed="false">
      <c r="A185" s="19" t="n">
        <f aca="false">Daromadlilik!A180</f>
        <v>45544</v>
      </c>
      <c r="B185" s="28" t="n">
        <f aca="false">Daromadlilik!H180</f>
        <v>0.0083212176689528</v>
      </c>
      <c r="C185" s="29" t="n">
        <f aca="false">B185^2</f>
        <v>6.92426634940922E-005</v>
      </c>
      <c r="D185" s="29" t="n">
        <f aca="false">$B$4*D184+(1-$B$4)*C184</f>
        <v>7.17163759537335E-005</v>
      </c>
      <c r="E185" s="30" t="n">
        <f aca="false">SQRT(D185)</f>
        <v>0.00846855217576969</v>
      </c>
      <c r="F185" s="31" t="n">
        <f aca="false">E185*SQRT(Parametrlar!$B$6)</f>
        <v>0.134434098131169</v>
      </c>
      <c r="G185" s="31" t="n">
        <f aca="false">STDEV(B166:B185)*SQRT(Parametrlar!$B$6)</f>
        <v>0.102784196804007</v>
      </c>
    </row>
    <row r="186" customFormat="false" ht="15" hidden="false" customHeight="false" outlineLevel="0" collapsed="false">
      <c r="A186" s="19" t="n">
        <f aca="false">Daromadlilik!A181</f>
        <v>45545</v>
      </c>
      <c r="B186" s="28" t="n">
        <f aca="false">Daromadlilik!H181</f>
        <v>0.00785311801963132</v>
      </c>
      <c r="C186" s="29" t="n">
        <f aca="false">B186^2</f>
        <v>6.16714626302581E-005</v>
      </c>
      <c r="D186" s="29" t="n">
        <f aca="false">$B$4*D185+(1-$B$4)*C185</f>
        <v>7.1567953206155E-005</v>
      </c>
      <c r="E186" s="30" t="n">
        <f aca="false">SQRT(D186)</f>
        <v>0.00845978446570331</v>
      </c>
      <c r="F186" s="31" t="n">
        <f aca="false">E186*SQRT(Parametrlar!$B$6)</f>
        <v>0.13429491504875</v>
      </c>
      <c r="G186" s="31" t="n">
        <f aca="false">STDEV(B167:B186)*SQRT(Parametrlar!$B$6)</f>
        <v>0.0981535191674565</v>
      </c>
    </row>
    <row r="187" customFormat="false" ht="15" hidden="false" customHeight="false" outlineLevel="0" collapsed="false">
      <c r="A187" s="19" t="n">
        <f aca="false">Daromadlilik!A182</f>
        <v>45546</v>
      </c>
      <c r="B187" s="28" t="n">
        <f aca="false">Daromadlilik!H182</f>
        <v>0.00586353076512259</v>
      </c>
      <c r="C187" s="29" t="n">
        <f aca="false">B187^2</f>
        <v>3.43809930335391E-005</v>
      </c>
      <c r="D187" s="29" t="n">
        <f aca="false">$B$4*D186+(1-$B$4)*C186</f>
        <v>7.09741637716012E-005</v>
      </c>
      <c r="E187" s="30" t="n">
        <f aca="false">SQRT(D187)</f>
        <v>0.00842461653558197</v>
      </c>
      <c r="F187" s="31" t="n">
        <f aca="false">E187*SQRT(Parametrlar!$B$6)</f>
        <v>0.133736641465395</v>
      </c>
      <c r="G187" s="31" t="n">
        <f aca="false">STDEV(B168:B187)*SQRT(Parametrlar!$B$6)</f>
        <v>0.09755263326006</v>
      </c>
    </row>
    <row r="188" customFormat="false" ht="15" hidden="false" customHeight="false" outlineLevel="0" collapsed="false">
      <c r="A188" s="19" t="n">
        <f aca="false">Daromadlilik!A183</f>
        <v>45547</v>
      </c>
      <c r="B188" s="28" t="n">
        <f aca="false">Daromadlilik!H183</f>
        <v>-0.00426677503282011</v>
      </c>
      <c r="C188" s="29" t="n">
        <f aca="false">B188^2</f>
        <v>1.8205369180697E-005</v>
      </c>
      <c r="D188" s="29" t="n">
        <f aca="false">$B$4*D187+(1-$B$4)*C187</f>
        <v>6.87785735273175E-005</v>
      </c>
      <c r="E188" s="30" t="n">
        <f aca="false">SQRT(D188)</f>
        <v>0.00829328484542268</v>
      </c>
      <c r="F188" s="31" t="n">
        <f aca="false">E188*SQRT(Parametrlar!$B$6)</f>
        <v>0.131651815516855</v>
      </c>
      <c r="G188" s="31" t="n">
        <f aca="false">STDEV(B169:B188)*SQRT(Parametrlar!$B$6)</f>
        <v>0.0993858778212941</v>
      </c>
    </row>
    <row r="189" customFormat="false" ht="15" hidden="false" customHeight="false" outlineLevel="0" collapsed="false">
      <c r="A189" s="19" t="n">
        <f aca="false">Daromadlilik!A184</f>
        <v>45548</v>
      </c>
      <c r="B189" s="28" t="n">
        <f aca="false">Daromadlilik!H184</f>
        <v>-0.0032440839950514</v>
      </c>
      <c r="C189" s="29" t="n">
        <f aca="false">B189^2</f>
        <v>1.05240809669486E-005</v>
      </c>
      <c r="D189" s="29" t="n">
        <f aca="false">$B$4*D188+(1-$B$4)*C188</f>
        <v>6.57441812665202E-005</v>
      </c>
      <c r="E189" s="30" t="n">
        <f aca="false">SQRT(D189)</f>
        <v>0.00810827856369774</v>
      </c>
      <c r="F189" s="31" t="n">
        <f aca="false">E189*SQRT(Parametrlar!$B$6)</f>
        <v>0.128714931842281</v>
      </c>
      <c r="G189" s="31" t="n">
        <f aca="false">STDEV(B170:B189)*SQRT(Parametrlar!$B$6)</f>
        <v>0.0983758411776577</v>
      </c>
    </row>
    <row r="190" customFormat="false" ht="15" hidden="false" customHeight="false" outlineLevel="0" collapsed="false">
      <c r="A190" s="19" t="n">
        <f aca="false">Daromadlilik!A185</f>
        <v>45551</v>
      </c>
      <c r="B190" s="28" t="n">
        <f aca="false">Daromadlilik!H185</f>
        <v>0.00440013966230628</v>
      </c>
      <c r="C190" s="29" t="n">
        <f aca="false">B190^2</f>
        <v>1.93612290478008E-005</v>
      </c>
      <c r="D190" s="29" t="n">
        <f aca="false">$B$4*D189+(1-$B$4)*C189</f>
        <v>6.24309752485459E-005</v>
      </c>
      <c r="E190" s="30" t="n">
        <f aca="false">SQRT(D190)</f>
        <v>0.0079013274358519</v>
      </c>
      <c r="F190" s="31" t="n">
        <f aca="false">E190*SQRT(Parametrlar!$B$6)</f>
        <v>0.125429684535335</v>
      </c>
      <c r="G190" s="31" t="n">
        <f aca="false">STDEV(B171:B190)*SQRT(Parametrlar!$B$6)</f>
        <v>0.0960941030013856</v>
      </c>
    </row>
    <row r="191" customFormat="false" ht="15" hidden="false" customHeight="false" outlineLevel="0" collapsed="false">
      <c r="A191" s="19" t="n">
        <f aca="false">Daromadlilik!A186</f>
        <v>45552</v>
      </c>
      <c r="B191" s="28" t="n">
        <f aca="false">Daromadlilik!H186</f>
        <v>-0.00092473759190663</v>
      </c>
      <c r="C191" s="29" t="n">
        <f aca="false">B191^2</f>
        <v>8.55139613885273E-007</v>
      </c>
      <c r="D191" s="29" t="n">
        <f aca="false">$B$4*D190+(1-$B$4)*C190</f>
        <v>5.98467904765012E-005</v>
      </c>
      <c r="E191" s="30" t="n">
        <f aca="false">SQRT(D191)</f>
        <v>0.00773607073885065</v>
      </c>
      <c r="F191" s="31" t="n">
        <f aca="false">E191*SQRT(Parametrlar!$B$6)</f>
        <v>0.122806315798815</v>
      </c>
      <c r="G191" s="31" t="n">
        <f aca="false">STDEV(B172:B191)*SQRT(Parametrlar!$B$6)</f>
        <v>0.0818434295973202</v>
      </c>
    </row>
    <row r="192" customFormat="false" ht="15" hidden="false" customHeight="false" outlineLevel="0" collapsed="false">
      <c r="A192" s="19" t="n">
        <f aca="false">Daromadlilik!A187</f>
        <v>45553</v>
      </c>
      <c r="B192" s="28" t="n">
        <f aca="false">Daromadlilik!H187</f>
        <v>-0.00828092442106889</v>
      </c>
      <c r="C192" s="29" t="n">
        <f aca="false">B192^2</f>
        <v>6.85737092674552E-005</v>
      </c>
      <c r="D192" s="29" t="n">
        <f aca="false">$B$4*D191+(1-$B$4)*C191</f>
        <v>5.63072914247443E-005</v>
      </c>
      <c r="E192" s="30" t="n">
        <f aca="false">SQRT(D192)</f>
        <v>0.00750381845627573</v>
      </c>
      <c r="F192" s="31" t="n">
        <f aca="false">E192*SQRT(Parametrlar!$B$6)</f>
        <v>0.119119425112093</v>
      </c>
      <c r="G192" s="31" t="n">
        <f aca="false">STDEV(B173:B192)*SQRT(Parametrlar!$B$6)</f>
        <v>0.0856454190786084</v>
      </c>
    </row>
    <row r="193" customFormat="false" ht="15" hidden="false" customHeight="false" outlineLevel="0" collapsed="false">
      <c r="A193" s="19" t="n">
        <f aca="false">Daromadlilik!A188</f>
        <v>45554</v>
      </c>
      <c r="B193" s="28" t="n">
        <f aca="false">Daromadlilik!H188</f>
        <v>-0.00156939787466474</v>
      </c>
      <c r="C193" s="29" t="n">
        <f aca="false">B193^2</f>
        <v>2.46300968900219E-006</v>
      </c>
      <c r="D193" s="29" t="n">
        <f aca="false">$B$4*D192+(1-$B$4)*C192</f>
        <v>5.70432764953069E-005</v>
      </c>
      <c r="E193" s="30" t="n">
        <f aca="false">SQRT(D193)</f>
        <v>0.00755269994739013</v>
      </c>
      <c r="F193" s="31" t="n">
        <f aca="false">E193*SQRT(Parametrlar!$B$6)</f>
        <v>0.119895394727309</v>
      </c>
      <c r="G193" s="31" t="n">
        <f aca="false">STDEV(B174:B193)*SQRT(Parametrlar!$B$6)</f>
        <v>0.086165908109736</v>
      </c>
    </row>
    <row r="194" customFormat="false" ht="15" hidden="false" customHeight="false" outlineLevel="0" collapsed="false">
      <c r="A194" s="19" t="n">
        <f aca="false">Daromadlilik!A189</f>
        <v>45555</v>
      </c>
      <c r="B194" s="28" t="n">
        <f aca="false">Daromadlilik!H189</f>
        <v>0.00226076069080684</v>
      </c>
      <c r="C194" s="29" t="n">
        <f aca="false">B194^2</f>
        <v>5.11103890109744E-006</v>
      </c>
      <c r="D194" s="29" t="n">
        <f aca="false">$B$4*D193+(1-$B$4)*C193</f>
        <v>5.37684604869286E-005</v>
      </c>
      <c r="E194" s="30" t="n">
        <f aca="false">SQRT(D194)</f>
        <v>0.00733269803598434</v>
      </c>
      <c r="F194" s="31" t="n">
        <f aca="false">E194*SQRT(Parametrlar!$B$6)</f>
        <v>0.116402972654078</v>
      </c>
      <c r="G194" s="31" t="n">
        <f aca="false">STDEV(B175:B194)*SQRT(Parametrlar!$B$6)</f>
        <v>0.0845592529369015</v>
      </c>
    </row>
    <row r="195" customFormat="false" ht="15" hidden="false" customHeight="false" outlineLevel="0" collapsed="false">
      <c r="A195" s="19" t="n">
        <f aca="false">Daromadlilik!A190</f>
        <v>45558</v>
      </c>
      <c r="B195" s="28" t="n">
        <f aca="false">Daromadlilik!H190</f>
        <v>0.00304914980473363</v>
      </c>
      <c r="C195" s="29" t="n">
        <f aca="false">B195^2</f>
        <v>9.29731453170712E-006</v>
      </c>
      <c r="D195" s="29" t="n">
        <f aca="false">$B$4*D194+(1-$B$4)*C194</f>
        <v>5.08490151917788E-005</v>
      </c>
      <c r="E195" s="30" t="n">
        <f aca="false">SQRT(D195)</f>
        <v>0.00713084954207973</v>
      </c>
      <c r="F195" s="31" t="n">
        <f aca="false">E195*SQRT(Parametrlar!$B$6)</f>
        <v>0.113198727149771</v>
      </c>
      <c r="G195" s="31" t="n">
        <f aca="false">STDEV(B176:B195)*SQRT(Parametrlar!$B$6)</f>
        <v>0.084839135989295</v>
      </c>
    </row>
    <row r="196" customFormat="false" ht="15" hidden="false" customHeight="false" outlineLevel="0" collapsed="false">
      <c r="A196" s="19" t="n">
        <f aca="false">Daromadlilik!A191</f>
        <v>45559</v>
      </c>
      <c r="B196" s="28" t="n">
        <f aca="false">Daromadlilik!H191</f>
        <v>0.000824881019651758</v>
      </c>
      <c r="C196" s="29" t="n">
        <f aca="false">B196^2</f>
        <v>6.80428696581724E-007</v>
      </c>
      <c r="D196" s="29" t="n">
        <f aca="false">$B$4*D195+(1-$B$4)*C195</f>
        <v>4.83559131521745E-005</v>
      </c>
      <c r="E196" s="30" t="n">
        <f aca="false">SQRT(D196)</f>
        <v>0.00695384161109343</v>
      </c>
      <c r="F196" s="31" t="n">
        <f aca="false">E196*SQRT(Parametrlar!$B$6)</f>
        <v>0.110388813356916</v>
      </c>
      <c r="G196" s="31" t="n">
        <f aca="false">STDEV(B177:B196)*SQRT(Parametrlar!$B$6)</f>
        <v>0.0823821590682976</v>
      </c>
    </row>
    <row r="197" customFormat="false" ht="15" hidden="false" customHeight="false" outlineLevel="0" collapsed="false">
      <c r="A197" s="19" t="n">
        <f aca="false">Daromadlilik!A192</f>
        <v>45560</v>
      </c>
      <c r="B197" s="28" t="n">
        <f aca="false">Daromadlilik!H192</f>
        <v>-0.00308678101668804</v>
      </c>
      <c r="C197" s="29" t="n">
        <f aca="false">B197^2</f>
        <v>9.52821704498567E-006</v>
      </c>
      <c r="D197" s="29" t="n">
        <f aca="false">$B$4*D196+(1-$B$4)*C196</f>
        <v>4.54953840848389E-005</v>
      </c>
      <c r="E197" s="30" t="n">
        <f aca="false">SQRT(D197)</f>
        <v>0.00674502661854191</v>
      </c>
      <c r="F197" s="31" t="n">
        <f aca="false">E197*SQRT(Parametrlar!$B$6)</f>
        <v>0.107073978115037</v>
      </c>
      <c r="G197" s="31" t="n">
        <f aca="false">STDEV(B178:B197)*SQRT(Parametrlar!$B$6)</f>
        <v>0.0838835436262414</v>
      </c>
    </row>
    <row r="198" customFormat="false" ht="15" hidden="false" customHeight="false" outlineLevel="0" collapsed="false">
      <c r="A198" s="19" t="n">
        <f aca="false">Daromadlilik!A193</f>
        <v>45561</v>
      </c>
      <c r="B198" s="28" t="n">
        <f aca="false">Daromadlilik!H193</f>
        <v>-0.00676805174682955</v>
      </c>
      <c r="C198" s="29" t="n">
        <f aca="false">B198^2</f>
        <v>4.58065244477625E-005</v>
      </c>
      <c r="D198" s="29" t="n">
        <f aca="false">$B$4*D197+(1-$B$4)*C197</f>
        <v>4.33373540624477E-005</v>
      </c>
      <c r="E198" s="30" t="n">
        <f aca="false">SQRT(D198)</f>
        <v>0.00658311127525942</v>
      </c>
      <c r="F198" s="31" t="n">
        <f aca="false">E198*SQRT(Parametrlar!$B$6)</f>
        <v>0.10450365172441</v>
      </c>
      <c r="G198" s="31" t="n">
        <f aca="false">STDEV(B179:B198)*SQRT(Parametrlar!$B$6)</f>
        <v>0.0806130236046588</v>
      </c>
    </row>
    <row r="199" customFormat="false" ht="15" hidden="false" customHeight="false" outlineLevel="0" collapsed="false">
      <c r="A199" s="19" t="n">
        <f aca="false">Daromadlilik!A194</f>
        <v>45562</v>
      </c>
      <c r="B199" s="28" t="n">
        <f aca="false">Daromadlilik!H194</f>
        <v>-0.00174778537027614</v>
      </c>
      <c r="C199" s="29" t="n">
        <f aca="false">B199^2</f>
        <v>3.05475370055131E-006</v>
      </c>
      <c r="D199" s="29" t="n">
        <f aca="false">$B$4*D198+(1-$B$4)*C198</f>
        <v>4.34855042855666E-005</v>
      </c>
      <c r="E199" s="30" t="n">
        <f aca="false">SQRT(D199)</f>
        <v>0.0065943539702966</v>
      </c>
      <c r="F199" s="31" t="n">
        <f aca="false">E199*SQRT(Parametrlar!$B$6)</f>
        <v>0.104682123975217</v>
      </c>
      <c r="G199" s="31" t="n">
        <f aca="false">STDEV(B180:B199)*SQRT(Parametrlar!$B$6)</f>
        <v>0.0806076844627453</v>
      </c>
    </row>
    <row r="200" customFormat="false" ht="15" hidden="false" customHeight="false" outlineLevel="0" collapsed="false">
      <c r="A200" s="19" t="n">
        <f aca="false">Daromadlilik!A195</f>
        <v>45565</v>
      </c>
      <c r="B200" s="28" t="n">
        <f aca="false">Daromadlilik!H195</f>
        <v>0.00265284325070508</v>
      </c>
      <c r="C200" s="29" t="n">
        <f aca="false">B200^2</f>
        <v>7.03757731281151E-006</v>
      </c>
      <c r="D200" s="29" t="n">
        <f aca="false">$B$4*D199+(1-$B$4)*C199</f>
        <v>4.10596592504657E-005</v>
      </c>
      <c r="E200" s="30" t="n">
        <f aca="false">SQRT(D200)</f>
        <v>0.00640778114876481</v>
      </c>
      <c r="F200" s="31" t="n">
        <f aca="false">E200*SQRT(Parametrlar!$B$6)</f>
        <v>0.101720372252157</v>
      </c>
      <c r="G200" s="31" t="n">
        <f aca="false">STDEV(B181:B200)*SQRT(Parametrlar!$B$6)</f>
        <v>0.0809788015502094</v>
      </c>
    </row>
    <row r="201" customFormat="false" ht="15" hidden="false" customHeight="false" outlineLevel="0" collapsed="false">
      <c r="A201" s="19" t="n">
        <f aca="false">Daromadlilik!A196</f>
        <v>45566</v>
      </c>
      <c r="B201" s="28" t="n">
        <f aca="false">Daromadlilik!H196</f>
        <v>0.00467384709967248</v>
      </c>
      <c r="C201" s="29" t="n">
        <f aca="false">B201^2</f>
        <v>2.18448467111169E-005</v>
      </c>
      <c r="D201" s="29" t="n">
        <f aca="false">$B$4*D200+(1-$B$4)*C200</f>
        <v>3.90183343342064E-005</v>
      </c>
      <c r="E201" s="30" t="n">
        <f aca="false">SQRT(D201)</f>
        <v>0.00624646574746123</v>
      </c>
      <c r="F201" s="31" t="n">
        <f aca="false">E201*SQRT(Parametrlar!$B$6)</f>
        <v>0.0991595696451937</v>
      </c>
      <c r="G201" s="31" t="n">
        <f aca="false">STDEV(B182:B201)*SQRT(Parametrlar!$B$6)</f>
        <v>0.0822004612182795</v>
      </c>
    </row>
    <row r="202" customFormat="false" ht="15" hidden="false" customHeight="false" outlineLevel="0" collapsed="false">
      <c r="A202" s="19" t="n">
        <f aca="false">Daromadlilik!A197</f>
        <v>45567</v>
      </c>
      <c r="B202" s="28" t="n">
        <f aca="false">Daromadlilik!H197</f>
        <v>-0.00187497288741507</v>
      </c>
      <c r="C202" s="29" t="n">
        <f aca="false">B202^2</f>
        <v>3.51552332854161E-006</v>
      </c>
      <c r="D202" s="29" t="n">
        <f aca="false">$B$4*D201+(1-$B$4)*C201</f>
        <v>3.7987925076821E-005</v>
      </c>
      <c r="E202" s="30" t="n">
        <f aca="false">SQRT(D202)</f>
        <v>0.00616343451955329</v>
      </c>
      <c r="F202" s="31" t="n">
        <f aca="false">E202*SQRT(Parametrlar!$B$6)</f>
        <v>0.0978414897646132</v>
      </c>
      <c r="G202" s="31" t="n">
        <f aca="false">STDEV(B183:B202)*SQRT(Parametrlar!$B$6)</f>
        <v>0.0821187365041156</v>
      </c>
    </row>
    <row r="203" customFormat="false" ht="15" hidden="false" customHeight="false" outlineLevel="0" collapsed="false">
      <c r="A203" s="19" t="n">
        <f aca="false">Daromadlilik!A198</f>
        <v>45568</v>
      </c>
      <c r="B203" s="28" t="n">
        <f aca="false">Daromadlilik!H198</f>
        <v>3.22180517771665E-005</v>
      </c>
      <c r="C203" s="29" t="n">
        <f aca="false">B203^2</f>
        <v>1.03800286031618E-009</v>
      </c>
      <c r="D203" s="29" t="n">
        <f aca="false">$B$4*D202+(1-$B$4)*C202</f>
        <v>3.59195809719243E-005</v>
      </c>
      <c r="E203" s="30" t="n">
        <f aca="false">SQRT(D203)</f>
        <v>0.00599329466753674</v>
      </c>
      <c r="F203" s="31" t="n">
        <f aca="false">E203*SQRT(Parametrlar!$B$6)</f>
        <v>0.0951406033453904</v>
      </c>
      <c r="G203" s="31" t="n">
        <f aca="false">STDEV(B184:B203)*SQRT(Parametrlar!$B$6)</f>
        <v>0.0802228339309337</v>
      </c>
    </row>
    <row r="204" customFormat="false" ht="15" hidden="false" customHeight="false" outlineLevel="0" collapsed="false">
      <c r="A204" s="19" t="n">
        <f aca="false">Daromadlilik!A199</f>
        <v>45569</v>
      </c>
      <c r="B204" s="28" t="n">
        <f aca="false">Daromadlilik!H199</f>
        <v>0.00287931996085374</v>
      </c>
      <c r="C204" s="29" t="n">
        <f aca="false">B204^2</f>
        <v>8.29048343697078E-006</v>
      </c>
      <c r="D204" s="29" t="n">
        <f aca="false">$B$4*D203+(1-$B$4)*C203</f>
        <v>3.37644683937804E-005</v>
      </c>
      <c r="E204" s="30" t="n">
        <f aca="false">SQRT(D204)</f>
        <v>0.00581072012695332</v>
      </c>
      <c r="F204" s="31" t="n">
        <f aca="false">E204*SQRT(Parametrlar!$B$6)</f>
        <v>0.0922423223646969</v>
      </c>
      <c r="G204" s="31" t="n">
        <f aca="false">STDEV(B185:B204)*SQRT(Parametrlar!$B$6)</f>
        <v>0.0722285996959189</v>
      </c>
    </row>
    <row r="205" customFormat="false" ht="15" hidden="false" customHeight="false" outlineLevel="0" collapsed="false">
      <c r="A205" s="19" t="n">
        <f aca="false">Daromadlilik!A200</f>
        <v>45572</v>
      </c>
      <c r="B205" s="28" t="n">
        <f aca="false">Daromadlilik!H200</f>
        <v>-0.00179256895732714</v>
      </c>
      <c r="C205" s="29" t="n">
        <f aca="false">B205^2</f>
        <v>3.21330346677291E-006</v>
      </c>
      <c r="D205" s="29" t="n">
        <f aca="false">$B$4*D204+(1-$B$4)*C204</f>
        <v>3.22360292963719E-005</v>
      </c>
      <c r="E205" s="30" t="n">
        <f aca="false">SQRT(D205)</f>
        <v>0.00567767816068962</v>
      </c>
      <c r="F205" s="31" t="n">
        <f aca="false">E205*SQRT(Parametrlar!$B$6)</f>
        <v>0.0901303466246841</v>
      </c>
      <c r="G205" s="31" t="n">
        <f aca="false">STDEV(B186:B205)*SQRT(Parametrlar!$B$6)</f>
        <v>0.0664948979129662</v>
      </c>
    </row>
    <row r="206" customFormat="false" ht="15" hidden="false" customHeight="false" outlineLevel="0" collapsed="false">
      <c r="A206" s="19" t="n">
        <f aca="false">Daromadlilik!A201</f>
        <v>45573</v>
      </c>
      <c r="B206" s="28" t="n">
        <f aca="false">Daromadlilik!H201</f>
        <v>0.00200135901967874</v>
      </c>
      <c r="C206" s="29" t="n">
        <f aca="false">B206^2</f>
        <v>4.00543792564943E-006</v>
      </c>
      <c r="D206" s="29" t="n">
        <f aca="false">$B$4*D205+(1-$B$4)*C205</f>
        <v>3.04946657465959E-005</v>
      </c>
      <c r="E206" s="30" t="n">
        <f aca="false">SQRT(D206)</f>
        <v>0.00552219754686447</v>
      </c>
      <c r="F206" s="31" t="n">
        <f aca="false">E206*SQRT(Parametrlar!$B$6)</f>
        <v>0.087662168397446</v>
      </c>
      <c r="G206" s="31" t="n">
        <f aca="false">STDEV(B187:B206)*SQRT(Parametrlar!$B$6)</f>
        <v>0.0603429881795577</v>
      </c>
    </row>
    <row r="207" customFormat="false" ht="15" hidden="false" customHeight="false" outlineLevel="0" collapsed="false">
      <c r="A207" s="19" t="n">
        <f aca="false">Daromadlilik!A202</f>
        <v>45574</v>
      </c>
      <c r="B207" s="28" t="n">
        <f aca="false">Daromadlilik!H202</f>
        <v>0.00236591589057921</v>
      </c>
      <c r="C207" s="29" t="n">
        <f aca="false">B207^2</f>
        <v>5.59755800129523E-006</v>
      </c>
      <c r="D207" s="29" t="n">
        <f aca="false">$B$4*D206+(1-$B$4)*C206</f>
        <v>2.89053120773391E-005</v>
      </c>
      <c r="E207" s="30" t="n">
        <f aca="false">SQRT(D207)</f>
        <v>0.00537636606615836</v>
      </c>
      <c r="F207" s="31" t="n">
        <f aca="false">E207*SQRT(Parametrlar!$B$6)</f>
        <v>0.08534716540981</v>
      </c>
      <c r="G207" s="31" t="n">
        <f aca="false">STDEV(B188:B207)*SQRT(Parametrlar!$B$6)</f>
        <v>0.0568206820600358</v>
      </c>
    </row>
    <row r="208" customFormat="false" ht="15" hidden="false" customHeight="false" outlineLevel="0" collapsed="false">
      <c r="A208" s="19" t="n">
        <f aca="false">Daromadlilik!A203</f>
        <v>45575</v>
      </c>
      <c r="B208" s="28" t="n">
        <f aca="false">Daromadlilik!H203</f>
        <v>0.00566342940153433</v>
      </c>
      <c r="C208" s="29" t="n">
        <f aca="false">B208^2</f>
        <v>3.20744325861635E-005</v>
      </c>
      <c r="D208" s="29" t="n">
        <f aca="false">$B$4*D207+(1-$B$4)*C207</f>
        <v>2.75068468327765E-005</v>
      </c>
      <c r="E208" s="30" t="n">
        <f aca="false">SQRT(D208)</f>
        <v>0.00524469702011246</v>
      </c>
      <c r="F208" s="31" t="n">
        <f aca="false">E208*SQRT(Parametrlar!$B$6)</f>
        <v>0.0832569841025945</v>
      </c>
      <c r="G208" s="31" t="n">
        <f aca="false">STDEV(B189:B208)*SQRT(Parametrlar!$B$6)</f>
        <v>0.058804618474443</v>
      </c>
    </row>
    <row r="209" customFormat="false" ht="15" hidden="false" customHeight="false" outlineLevel="0" collapsed="false">
      <c r="A209" s="19" t="n">
        <f aca="false">Daromadlilik!A204</f>
        <v>45576</v>
      </c>
      <c r="B209" s="28" t="n">
        <f aca="false">Daromadlilik!H204</f>
        <v>-0.00410258622951141</v>
      </c>
      <c r="C209" s="29" t="n">
        <f aca="false">B209^2</f>
        <v>1.68312137705766E-005</v>
      </c>
      <c r="D209" s="29" t="n">
        <f aca="false">$B$4*D208+(1-$B$4)*C208</f>
        <v>2.77809019779797E-005</v>
      </c>
      <c r="E209" s="30" t="n">
        <f aca="false">SQRT(D209)</f>
        <v>0.00527075914626913</v>
      </c>
      <c r="F209" s="31" t="n">
        <f aca="false">E209*SQRT(Parametrlar!$B$6)</f>
        <v>0.0836707075292834</v>
      </c>
      <c r="G209" s="31" t="n">
        <f aca="false">STDEV(B190:B209)*SQRT(Parametrlar!$B$6)</f>
        <v>0.0595220247787304</v>
      </c>
    </row>
    <row r="210" customFormat="false" ht="15" hidden="false" customHeight="false" outlineLevel="0" collapsed="false">
      <c r="A210" s="19" t="n">
        <f aca="false">Daromadlilik!A205</f>
        <v>45579</v>
      </c>
      <c r="B210" s="28" t="n">
        <f aca="false">Daromadlilik!H205</f>
        <v>0.00339342002781359</v>
      </c>
      <c r="C210" s="29" t="n">
        <f aca="false">B210^2</f>
        <v>1.15152994851664E-005</v>
      </c>
      <c r="D210" s="29" t="n">
        <f aca="false">$B$4*D209+(1-$B$4)*C209</f>
        <v>2.71239206855355E-005</v>
      </c>
      <c r="E210" s="30" t="n">
        <f aca="false">SQRT(D210)</f>
        <v>0.00520806304546475</v>
      </c>
      <c r="F210" s="31" t="n">
        <f aca="false">E210*SQRT(Parametrlar!$B$6)</f>
        <v>0.0826754377838724</v>
      </c>
      <c r="G210" s="31" t="n">
        <f aca="false">STDEV(B191:B210)*SQRT(Parametrlar!$B$6)</f>
        <v>0.0586431028998823</v>
      </c>
    </row>
    <row r="211" customFormat="false" ht="15" hidden="false" customHeight="false" outlineLevel="0" collapsed="false">
      <c r="A211" s="19" t="n">
        <f aca="false">Daromadlilik!A206</f>
        <v>45580</v>
      </c>
      <c r="B211" s="28" t="n">
        <f aca="false">Daromadlilik!H206</f>
        <v>0.0039934503296819</v>
      </c>
      <c r="C211" s="29" t="n">
        <f aca="false">B211^2</f>
        <v>1.59476455356365E-005</v>
      </c>
      <c r="D211" s="29" t="n">
        <f aca="false">$B$4*D210+(1-$B$4)*C210</f>
        <v>2.61874034135134E-005</v>
      </c>
      <c r="E211" s="30" t="n">
        <f aca="false">SQRT(D211)</f>
        <v>0.00511736293548869</v>
      </c>
      <c r="F211" s="31" t="n">
        <f aca="false">E211*SQRT(Parametrlar!$B$6)</f>
        <v>0.0812356181745752</v>
      </c>
      <c r="G211" s="31" t="n">
        <f aca="false">STDEV(B192:B211)*SQRT(Parametrlar!$B$6)</f>
        <v>0.0602115799170096</v>
      </c>
    </row>
    <row r="212" customFormat="false" ht="15" hidden="false" customHeight="false" outlineLevel="0" collapsed="false">
      <c r="A212" s="19" t="n">
        <f aca="false">Daromadlilik!A207</f>
        <v>45581</v>
      </c>
      <c r="B212" s="28" t="n">
        <f aca="false">Daromadlilik!H207</f>
        <v>0.00040481813503041</v>
      </c>
      <c r="C212" s="29" t="n">
        <f aca="false">B212^2</f>
        <v>1.638777224495E-007</v>
      </c>
      <c r="D212" s="29" t="n">
        <f aca="false">$B$4*D211+(1-$B$4)*C211</f>
        <v>2.55730179408408E-005</v>
      </c>
      <c r="E212" s="30" t="n">
        <f aca="false">SQRT(D212)</f>
        <v>0.00505697715447092</v>
      </c>
      <c r="F212" s="31" t="n">
        <f aca="false">E212*SQRT(Parametrlar!$B$6)</f>
        <v>0.0802770236187907</v>
      </c>
      <c r="G212" s="31" t="n">
        <f aca="false">STDEV(B193:B212)*SQRT(Parametrlar!$B$6)</f>
        <v>0.0511415276221058</v>
      </c>
    </row>
    <row r="213" customFormat="false" ht="15" hidden="false" customHeight="false" outlineLevel="0" collapsed="false">
      <c r="A213" s="19" t="n">
        <f aca="false">Daromadlilik!A208</f>
        <v>45582</v>
      </c>
      <c r="B213" s="28" t="n">
        <f aca="false">Daromadlilik!H208</f>
        <v>0.0128527352185901</v>
      </c>
      <c r="C213" s="29" t="n">
        <f aca="false">B213^2</f>
        <v>0.000165192802599187</v>
      </c>
      <c r="D213" s="29" t="n">
        <f aca="false">$B$4*D212+(1-$B$4)*C212</f>
        <v>2.40484695277373E-005</v>
      </c>
      <c r="E213" s="30" t="n">
        <f aca="false">SQRT(D213)</f>
        <v>0.00490392389089974</v>
      </c>
      <c r="F213" s="31" t="n">
        <f aca="false">E213*SQRT(Parametrlar!$B$6)</f>
        <v>0.0778473783822538</v>
      </c>
      <c r="G213" s="31" t="n">
        <f aca="false">STDEV(B194:B213)*SQRT(Parametrlar!$B$6)</f>
        <v>0.0661990844723604</v>
      </c>
    </row>
    <row r="214" customFormat="false" ht="15" hidden="false" customHeight="false" outlineLevel="0" collapsed="false">
      <c r="A214" s="19" t="n">
        <f aca="false">Daromadlilik!A209</f>
        <v>45583</v>
      </c>
      <c r="B214" s="28" t="n">
        <f aca="false">Daromadlilik!H209</f>
        <v>-0.00302090142678639</v>
      </c>
      <c r="C214" s="29" t="n">
        <f aca="false">B214^2</f>
        <v>9.12584543036005E-006</v>
      </c>
      <c r="D214" s="29" t="n">
        <f aca="false">$B$4*D213+(1-$B$4)*C213</f>
        <v>3.25171295120243E-005</v>
      </c>
      <c r="E214" s="30" t="n">
        <f aca="false">SQRT(D214)</f>
        <v>0.00570237928517775</v>
      </c>
      <c r="F214" s="31" t="n">
        <f aca="false">E214*SQRT(Parametrlar!$B$6)</f>
        <v>0.0905224648196795</v>
      </c>
      <c r="G214" s="31" t="n">
        <f aca="false">STDEV(B195:B214)*SQRT(Parametrlar!$B$6)</f>
        <v>0.0679038936068237</v>
      </c>
    </row>
    <row r="215" customFormat="false" ht="15" hidden="false" customHeight="false" outlineLevel="0" collapsed="false">
      <c r="A215" s="19" t="n">
        <f aca="false">Daromadlilik!A210</f>
        <v>45586</v>
      </c>
      <c r="B215" s="28" t="n">
        <f aca="false">Daromadlilik!H210</f>
        <v>0.00549359353770863</v>
      </c>
      <c r="C215" s="29" t="n">
        <f aca="false">B215^2</f>
        <v>3.01795699575541E-005</v>
      </c>
      <c r="D215" s="29" t="n">
        <f aca="false">$B$4*D214+(1-$B$4)*C214</f>
        <v>3.11136524671244E-005</v>
      </c>
      <c r="E215" s="30" t="n">
        <f aca="false">SQRT(D215)</f>
        <v>0.00557796131818108</v>
      </c>
      <c r="F215" s="31" t="n">
        <f aca="false">E215*SQRT(Parametrlar!$B$6)</f>
        <v>0.088547390823871</v>
      </c>
      <c r="G215" s="31" t="n">
        <f aca="false">STDEV(B196:B215)*SQRT(Parametrlar!$B$6)</f>
        <v>0.0693638090597493</v>
      </c>
    </row>
    <row r="216" customFormat="false" ht="15" hidden="false" customHeight="false" outlineLevel="0" collapsed="false">
      <c r="A216" s="19" t="n">
        <f aca="false">Daromadlilik!A211</f>
        <v>45587</v>
      </c>
      <c r="B216" s="28" t="n">
        <f aca="false">Daromadlilik!H211</f>
        <v>-0.00177565059306726</v>
      </c>
      <c r="C216" s="29" t="n">
        <f aca="false">B216^2</f>
        <v>3.1529350286601E-006</v>
      </c>
      <c r="D216" s="29" t="n">
        <f aca="false">$B$4*D215+(1-$B$4)*C215</f>
        <v>3.10576075165502E-005</v>
      </c>
      <c r="E216" s="30" t="n">
        <f aca="false">SQRT(D216)</f>
        <v>0.0055729352693666</v>
      </c>
      <c r="F216" s="31" t="n">
        <f aca="false">E216*SQRT(Parametrlar!$B$6)</f>
        <v>0.0884676047724287</v>
      </c>
      <c r="G216" s="31" t="n">
        <f aca="false">STDEV(B197:B216)*SQRT(Parametrlar!$B$6)</f>
        <v>0.0701805991401393</v>
      </c>
    </row>
    <row r="217" customFormat="false" ht="15" hidden="false" customHeight="false" outlineLevel="0" collapsed="false">
      <c r="A217" s="19" t="n">
        <f aca="false">Daromadlilik!A212</f>
        <v>45588</v>
      </c>
      <c r="B217" s="28" t="n">
        <f aca="false">Daromadlilik!H212</f>
        <v>0.000258330170877592</v>
      </c>
      <c r="C217" s="29" t="n">
        <f aca="false">B217^2</f>
        <v>6.67344771856461E-008</v>
      </c>
      <c r="D217" s="29" t="n">
        <f aca="false">$B$4*D216+(1-$B$4)*C216</f>
        <v>2.93833271672768E-005</v>
      </c>
      <c r="E217" s="30" t="n">
        <f aca="false">SQRT(D217)</f>
        <v>0.00542063899990368</v>
      </c>
      <c r="F217" s="31" t="n">
        <f aca="false">E217*SQRT(Parametrlar!$B$6)</f>
        <v>0.0860499764448181</v>
      </c>
      <c r="G217" s="31" t="n">
        <f aca="false">STDEV(B198:B217)*SQRT(Parametrlar!$B$6)</f>
        <v>0.0685109156891364</v>
      </c>
    </row>
    <row r="218" customFormat="false" ht="15" hidden="false" customHeight="false" outlineLevel="0" collapsed="false">
      <c r="A218" s="19" t="n">
        <f aca="false">Daromadlilik!A213</f>
        <v>45589</v>
      </c>
      <c r="B218" s="28" t="n">
        <f aca="false">Daromadlilik!H213</f>
        <v>-0.000759524433297466</v>
      </c>
      <c r="C218" s="29" t="n">
        <f aca="false">B218^2</f>
        <v>5.76877364775837E-007</v>
      </c>
      <c r="D218" s="29" t="n">
        <f aca="false">$B$4*D217+(1-$B$4)*C217</f>
        <v>2.76243316058713E-005</v>
      </c>
      <c r="E218" s="30" t="n">
        <f aca="false">SQRT(D218)</f>
        <v>0.00525588542548934</v>
      </c>
      <c r="F218" s="31" t="n">
        <f aca="false">E218*SQRT(Parametrlar!$B$6)</f>
        <v>0.0834345945317623</v>
      </c>
      <c r="G218" s="31" t="n">
        <f aca="false">STDEV(B199:B218)*SQRT(Parametrlar!$B$6)</f>
        <v>0.0621775019844003</v>
      </c>
    </row>
    <row r="219" customFormat="false" ht="15" hidden="false" customHeight="false" outlineLevel="0" collapsed="false">
      <c r="A219" s="19" t="n">
        <f aca="false">Daromadlilik!A214</f>
        <v>45590</v>
      </c>
      <c r="B219" s="28" t="n">
        <f aca="false">Daromadlilik!H214</f>
        <v>0.00181563530574602</v>
      </c>
      <c r="C219" s="29" t="n">
        <f aca="false">B219^2</f>
        <v>3.29653156347144E-006</v>
      </c>
      <c r="D219" s="29" t="n">
        <f aca="false">$B$4*D218+(1-$B$4)*C218</f>
        <v>2.60014843514056E-005</v>
      </c>
      <c r="E219" s="30" t="n">
        <f aca="false">SQRT(D219)</f>
        <v>0.00509916506414585</v>
      </c>
      <c r="F219" s="31" t="n">
        <f aca="false">E219*SQRT(Parametrlar!$B$6)</f>
        <v>0.0809467359227919</v>
      </c>
      <c r="G219" s="31" t="n">
        <f aca="false">STDEV(B200:B219)*SQRT(Parametrlar!$B$6)</f>
        <v>0.0609222480827404</v>
      </c>
    </row>
    <row r="220" customFormat="false" ht="15" hidden="false" customHeight="false" outlineLevel="0" collapsed="false">
      <c r="A220" s="19" t="n">
        <f aca="false">Daromadlilik!A215</f>
        <v>45593</v>
      </c>
      <c r="B220" s="28" t="n">
        <f aca="false">Daromadlilik!H215</f>
        <v>0.00394856460832146</v>
      </c>
      <c r="C220" s="29" t="n">
        <f aca="false">B220^2</f>
        <v>1.55911624660888E-005</v>
      </c>
      <c r="D220" s="29" t="n">
        <f aca="false">$B$4*D219+(1-$B$4)*C219</f>
        <v>2.46391871841295E-005</v>
      </c>
      <c r="E220" s="30" t="n">
        <f aca="false">SQRT(D220)</f>
        <v>0.00496378758450939</v>
      </c>
      <c r="F220" s="31" t="n">
        <f aca="false">E220*SQRT(Parametrlar!$B$6)</f>
        <v>0.0787976850573711</v>
      </c>
      <c r="G220" s="31" t="n">
        <f aca="false">STDEV(B201:B220)*SQRT(Parametrlar!$B$6)</f>
        <v>0.061346881458731</v>
      </c>
    </row>
    <row r="221" customFormat="false" ht="15" hidden="false" customHeight="false" outlineLevel="0" collapsed="false">
      <c r="A221" s="19" t="n">
        <f aca="false">Daromadlilik!A216</f>
        <v>45594</v>
      </c>
      <c r="B221" s="28" t="n">
        <f aca="false">Daromadlilik!H216</f>
        <v>0.00701577540287637</v>
      </c>
      <c r="C221" s="29" t="n">
        <f aca="false">B221^2</f>
        <v>4.92211045036051E-005</v>
      </c>
      <c r="D221" s="29" t="n">
        <f aca="false">$B$4*D220+(1-$B$4)*C220</f>
        <v>2.40963057010471E-005</v>
      </c>
      <c r="E221" s="30" t="n">
        <f aca="false">SQRT(D221)</f>
        <v>0.0049087988042949</v>
      </c>
      <c r="F221" s="31" t="n">
        <f aca="false">E221*SQRT(Parametrlar!$B$6)</f>
        <v>0.0779247652332932</v>
      </c>
      <c r="G221" s="31" t="n">
        <f aca="false">STDEV(B202:B221)*SQRT(Parametrlar!$B$6)</f>
        <v>0.0633220206753579</v>
      </c>
    </row>
    <row r="222" customFormat="false" ht="15" hidden="false" customHeight="false" outlineLevel="0" collapsed="false">
      <c r="A222" s="19" t="n">
        <f aca="false">Daromadlilik!A217</f>
        <v>45595</v>
      </c>
      <c r="B222" s="28" t="n">
        <f aca="false">Daromadlilik!H217</f>
        <v>0.011785961917643</v>
      </c>
      <c r="C222" s="29" t="n">
        <f aca="false">B222^2</f>
        <v>0.00013890889832413</v>
      </c>
      <c r="D222" s="29" t="n">
        <f aca="false">$B$4*D221+(1-$B$4)*C221</f>
        <v>2.56037936292006E-005</v>
      </c>
      <c r="E222" s="30" t="n">
        <f aca="false">SQRT(D222)</f>
        <v>0.00506001913328404</v>
      </c>
      <c r="F222" s="31" t="n">
        <f aca="false">E222*SQRT(Parametrlar!$B$6)</f>
        <v>0.080325313535389</v>
      </c>
      <c r="G222" s="31" t="n">
        <f aca="false">STDEV(B203:B222)*SQRT(Parametrlar!$B$6)</f>
        <v>0.0705605772583526</v>
      </c>
    </row>
    <row r="223" customFormat="false" ht="15" hidden="false" customHeight="false" outlineLevel="0" collapsed="false">
      <c r="A223" s="19" t="n">
        <f aca="false">Daromadlilik!A218</f>
        <v>45596</v>
      </c>
      <c r="B223" s="28" t="n">
        <f aca="false">Daromadlilik!H218</f>
        <v>0.00300683250160245</v>
      </c>
      <c r="C223" s="29" t="n">
        <f aca="false">B223^2</f>
        <v>9.04104169269285E-006</v>
      </c>
      <c r="D223" s="29" t="n">
        <f aca="false">$B$4*D222+(1-$B$4)*C222</f>
        <v>3.24020999108964E-005</v>
      </c>
      <c r="E223" s="30" t="n">
        <f aca="false">SQRT(D223)</f>
        <v>0.00569228424368428</v>
      </c>
      <c r="F223" s="31" t="n">
        <f aca="false">E223*SQRT(Parametrlar!$B$6)</f>
        <v>0.09036221100408</v>
      </c>
      <c r="G223" s="31" t="n">
        <f aca="false">STDEV(B204:B223)*SQRT(Parametrlar!$B$6)</f>
        <v>0.0698990942765014</v>
      </c>
    </row>
    <row r="224" customFormat="false" ht="15" hidden="false" customHeight="false" outlineLevel="0" collapsed="false">
      <c r="A224" s="19" t="n">
        <f aca="false">Daromadlilik!A219</f>
        <v>45597</v>
      </c>
      <c r="B224" s="28" t="n">
        <f aca="false">Daromadlilik!H219</f>
        <v>-0.000907202410273196</v>
      </c>
      <c r="C224" s="29" t="n">
        <f aca="false">B224^2</f>
        <v>8.23016213205496E-007</v>
      </c>
      <c r="D224" s="29" t="n">
        <f aca="false">$B$4*D223+(1-$B$4)*C223</f>
        <v>3.10004364178041E-005</v>
      </c>
      <c r="E224" s="30" t="n">
        <f aca="false">SQRT(D224)</f>
        <v>0.00556780355416785</v>
      </c>
      <c r="F224" s="31" t="n">
        <f aca="false">E224*SQRT(Parametrlar!$B$6)</f>
        <v>0.0883861413191381</v>
      </c>
      <c r="G224" s="31" t="n">
        <f aca="false">STDEV(B205:B224)*SQRT(Parametrlar!$B$6)</f>
        <v>0.0711034376752386</v>
      </c>
    </row>
    <row r="225" customFormat="false" ht="15" hidden="false" customHeight="false" outlineLevel="0" collapsed="false">
      <c r="A225" s="19" t="n">
        <f aca="false">Daromadlilik!A220</f>
        <v>45600</v>
      </c>
      <c r="B225" s="28" t="n">
        <f aca="false">Daromadlilik!H220</f>
        <v>-0.00109889282354985</v>
      </c>
      <c r="C225" s="29" t="n">
        <f aca="false">B225^2</f>
        <v>1.20756543764937E-006</v>
      </c>
      <c r="D225" s="29" t="n">
        <f aca="false">$B$4*D224+(1-$B$4)*C224</f>
        <v>2.91897912055282E-005</v>
      </c>
      <c r="E225" s="30" t="n">
        <f aca="false">SQRT(D225)</f>
        <v>0.00540275774077722</v>
      </c>
      <c r="F225" s="31" t="n">
        <f aca="false">E225*SQRT(Parametrlar!$B$6)</f>
        <v>0.0857661202561543</v>
      </c>
      <c r="G225" s="31" t="n">
        <f aca="false">STDEV(B206:B225)*SQRT(Parametrlar!$B$6)</f>
        <v>0.0705780809766208</v>
      </c>
    </row>
    <row r="226" customFormat="false" ht="15" hidden="false" customHeight="false" outlineLevel="0" collapsed="false">
      <c r="A226" s="19" t="n">
        <f aca="false">Daromadlilik!A221</f>
        <v>45601</v>
      </c>
      <c r="B226" s="28" t="n">
        <f aca="false">Daromadlilik!H221</f>
        <v>0.000129793285288282</v>
      </c>
      <c r="C226" s="29" t="n">
        <f aca="false">B226^2</f>
        <v>1.68462969059253E-008</v>
      </c>
      <c r="D226" s="29" t="n">
        <f aca="false">$B$4*D225+(1-$B$4)*C225</f>
        <v>2.75108576594555E-005</v>
      </c>
      <c r="E226" s="30" t="n">
        <f aca="false">SQRT(D226)</f>
        <v>0.00524507937589656</v>
      </c>
      <c r="F226" s="31" t="n">
        <f aca="false">E226*SQRT(Parametrlar!$B$6)</f>
        <v>0.0832630538124971</v>
      </c>
      <c r="G226" s="31" t="n">
        <f aca="false">STDEV(B207:B226)*SQRT(Parametrlar!$B$6)</f>
        <v>0.0711052175970955</v>
      </c>
    </row>
    <row r="227" customFormat="false" ht="15" hidden="false" customHeight="false" outlineLevel="0" collapsed="false">
      <c r="A227" s="19" t="n">
        <f aca="false">Daromadlilik!A222</f>
        <v>45602</v>
      </c>
      <c r="B227" s="28" t="n">
        <f aca="false">Daromadlilik!H222</f>
        <v>0.00275984226041088</v>
      </c>
      <c r="C227" s="29" t="n">
        <f aca="false">B227^2</f>
        <v>7.61672930234985E-006</v>
      </c>
      <c r="D227" s="29" t="n">
        <f aca="false">$B$4*D226+(1-$B$4)*C226</f>
        <v>2.58612169777025E-005</v>
      </c>
      <c r="E227" s="30" t="n">
        <f aca="false">SQRT(D227)</f>
        <v>0.00508539250969898</v>
      </c>
      <c r="F227" s="31" t="n">
        <f aca="false">E227*SQRT(Parametrlar!$B$6)</f>
        <v>0.0807281033988848</v>
      </c>
      <c r="G227" s="31" t="n">
        <f aca="false">STDEV(B208:B227)*SQRT(Parametrlar!$B$6)</f>
        <v>0.0711074113404399</v>
      </c>
    </row>
    <row r="228" customFormat="false" ht="15" hidden="false" customHeight="false" outlineLevel="0" collapsed="false">
      <c r="A228" s="19" t="n">
        <f aca="false">Daromadlilik!A223</f>
        <v>45603</v>
      </c>
      <c r="B228" s="28" t="n">
        <f aca="false">Daromadlilik!H223</f>
        <v>0.00361741005170919</v>
      </c>
      <c r="C228" s="29" t="n">
        <f aca="false">B228^2</f>
        <v>1.30856554822067E-005</v>
      </c>
      <c r="D228" s="29" t="n">
        <f aca="false">$B$4*D227+(1-$B$4)*C227</f>
        <v>2.47665477171814E-005</v>
      </c>
      <c r="E228" s="30" t="n">
        <f aca="false">SQRT(D228)</f>
        <v>0.00497660001579204</v>
      </c>
      <c r="F228" s="31" t="n">
        <f aca="false">E228*SQRT(Parametrlar!$B$6)</f>
        <v>0.0790010760985551</v>
      </c>
      <c r="G228" s="31" t="n">
        <f aca="false">STDEV(B209:B228)*SQRT(Parametrlar!$B$6)</f>
        <v>0.0702826212021172</v>
      </c>
    </row>
    <row r="229" customFormat="false" ht="15" hidden="false" customHeight="false" outlineLevel="0" collapsed="false">
      <c r="A229" s="19" t="n">
        <f aca="false">Daromadlilik!A224</f>
        <v>45604</v>
      </c>
      <c r="B229" s="28" t="n">
        <f aca="false">Daromadlilik!H224</f>
        <v>-0.000584282809493912</v>
      </c>
      <c r="C229" s="29" t="n">
        <f aca="false">B229^2</f>
        <v>3.413864014701E-007</v>
      </c>
      <c r="D229" s="29" t="n">
        <f aca="false">$B$4*D228+(1-$B$4)*C228</f>
        <v>2.40656941830829E-005</v>
      </c>
      <c r="E229" s="30" t="n">
        <f aca="false">SQRT(D229)</f>
        <v>0.00490567978807044</v>
      </c>
      <c r="F229" s="31" t="n">
        <f aca="false">E229*SQRT(Parametrlar!$B$6)</f>
        <v>0.0778752523857026</v>
      </c>
      <c r="G229" s="31" t="n">
        <f aca="false">STDEV(B210:B229)*SQRT(Parametrlar!$B$6)</f>
        <v>0.0669698301896846</v>
      </c>
    </row>
    <row r="230" customFormat="false" ht="15" hidden="false" customHeight="false" outlineLevel="0" collapsed="false">
      <c r="A230" s="19" t="n">
        <f aca="false">Daromadlilik!A225</f>
        <v>45607</v>
      </c>
      <c r="B230" s="28" t="n">
        <f aca="false">Daromadlilik!H225</f>
        <v>0.00200183568393456</v>
      </c>
      <c r="C230" s="29" t="n">
        <f aca="false">B230^2</f>
        <v>4.00734610547373E-006</v>
      </c>
      <c r="D230" s="29" t="n">
        <f aca="false">$B$4*D229+(1-$B$4)*C229</f>
        <v>2.26422357161861E-005</v>
      </c>
      <c r="E230" s="30" t="n">
        <f aca="false">SQRT(D230)</f>
        <v>0.00475838583095004</v>
      </c>
      <c r="F230" s="31" t="n">
        <f aca="false">E230*SQRT(Parametrlar!$B$6)</f>
        <v>0.0755370333047234</v>
      </c>
      <c r="G230" s="31" t="n">
        <f aca="false">STDEV(B211:B230)*SQRT(Parametrlar!$B$6)</f>
        <v>0.0669378718334184</v>
      </c>
    </row>
    <row r="231" customFormat="false" ht="15" hidden="false" customHeight="false" outlineLevel="0" collapsed="false">
      <c r="A231" s="19" t="n">
        <f aca="false">Daromadlilik!A226</f>
        <v>45608</v>
      </c>
      <c r="B231" s="28" t="n">
        <f aca="false">Daromadlilik!H226</f>
        <v>0.00365210893442737</v>
      </c>
      <c r="C231" s="29" t="n">
        <f aca="false">B231^2</f>
        <v>1.33378996689242E-005</v>
      </c>
      <c r="D231" s="29" t="n">
        <f aca="false">$B$4*D230+(1-$B$4)*C230</f>
        <v>2.15241423395434E-005</v>
      </c>
      <c r="E231" s="30" t="n">
        <f aca="false">SQRT(D231)</f>
        <v>0.00463941185276144</v>
      </c>
      <c r="F231" s="31" t="n">
        <f aca="false">E231*SQRT(Parametrlar!$B$6)</f>
        <v>0.0736483799520731</v>
      </c>
      <c r="G231" s="31" t="n">
        <f aca="false">STDEV(B212:B231)*SQRT(Parametrlar!$B$6)</f>
        <v>0.0668509460261598</v>
      </c>
    </row>
    <row r="232" customFormat="false" ht="15" hidden="false" customHeight="false" outlineLevel="0" collapsed="false">
      <c r="A232" s="19" t="n">
        <f aca="false">Daromadlilik!A227</f>
        <v>45609</v>
      </c>
      <c r="B232" s="28" t="n">
        <f aca="false">Daromadlilik!H227</f>
        <v>-0.00607149859327906</v>
      </c>
      <c r="C232" s="29" t="n">
        <f aca="false">B232^2</f>
        <v>3.68630951681896E-005</v>
      </c>
      <c r="D232" s="29" t="n">
        <f aca="false">$B$4*D231+(1-$B$4)*C231</f>
        <v>2.10329677793062E-005</v>
      </c>
      <c r="E232" s="30" t="n">
        <f aca="false">SQRT(D232)</f>
        <v>0.00458617136392724</v>
      </c>
      <c r="F232" s="31" t="n">
        <f aca="false">E232*SQRT(Parametrlar!$B$6)</f>
        <v>0.0728032133932642</v>
      </c>
      <c r="G232" s="31" t="n">
        <f aca="false">STDEV(B213:B232)*SQRT(Parametrlar!$B$6)</f>
        <v>0.0732297076758199</v>
      </c>
    </row>
    <row r="233" customFormat="false" ht="15" hidden="false" customHeight="false" outlineLevel="0" collapsed="false">
      <c r="A233" s="19" t="n">
        <f aca="false">Daromadlilik!A228</f>
        <v>45610</v>
      </c>
      <c r="B233" s="28" t="n">
        <f aca="false">Daromadlilik!H228</f>
        <v>-0.00510061475653755</v>
      </c>
      <c r="C233" s="29" t="n">
        <f aca="false">B233^2</f>
        <v>2.60162708946086E-005</v>
      </c>
      <c r="D233" s="29" t="n">
        <f aca="false">$B$4*D232+(1-$B$4)*C232</f>
        <v>2.19827754226392E-005</v>
      </c>
      <c r="E233" s="30" t="n">
        <f aca="false">SQRT(D233)</f>
        <v>0.00468857925417063</v>
      </c>
      <c r="F233" s="31" t="n">
        <f aca="false">E233*SQRT(Parametrlar!$B$6)</f>
        <v>0.0744288882525131</v>
      </c>
      <c r="G233" s="31" t="n">
        <f aca="false">STDEV(B214:B233)*SQRT(Parametrlar!$B$6)</f>
        <v>0.0659811116504566</v>
      </c>
    </row>
    <row r="234" customFormat="false" ht="15" hidden="false" customHeight="false" outlineLevel="0" collapsed="false">
      <c r="A234" s="19" t="n">
        <f aca="false">Daromadlilik!A229</f>
        <v>45611</v>
      </c>
      <c r="B234" s="28" t="n">
        <f aca="false">Daromadlilik!H229</f>
        <v>-0.000732969935238817</v>
      </c>
      <c r="C234" s="29" t="n">
        <f aca="false">B234^2</f>
        <v>5.37244925963996E-007</v>
      </c>
      <c r="D234" s="29" t="n">
        <f aca="false">$B$4*D233+(1-$B$4)*C233</f>
        <v>2.22247851509574E-005</v>
      </c>
      <c r="E234" s="30" t="n">
        <f aca="false">SQRT(D234)</f>
        <v>0.00471431703971608</v>
      </c>
      <c r="F234" s="31" t="n">
        <f aca="false">E234*SQRT(Parametrlar!$B$6)</f>
        <v>0.0748374629316178</v>
      </c>
      <c r="G234" s="31" t="n">
        <f aca="false">STDEV(B215:B234)*SQRT(Parametrlar!$B$6)</f>
        <v>0.064472622996494</v>
      </c>
    </row>
    <row r="235" customFormat="false" ht="15" hidden="false" customHeight="false" outlineLevel="0" collapsed="false">
      <c r="A235" s="19" t="n">
        <f aca="false">Daromadlilik!A230</f>
        <v>45614</v>
      </c>
      <c r="B235" s="28" t="n">
        <f aca="false">Daromadlilik!H230</f>
        <v>-0.00273045543354726</v>
      </c>
      <c r="C235" s="29" t="n">
        <f aca="false">B235^2</f>
        <v>7.45538687458773E-006</v>
      </c>
      <c r="D235" s="29" t="n">
        <f aca="false">$B$4*D234+(1-$B$4)*C234</f>
        <v>2.09235327374578E-005</v>
      </c>
      <c r="E235" s="30" t="n">
        <f aca="false">SQRT(D235)</f>
        <v>0.0045742248236677</v>
      </c>
      <c r="F235" s="31" t="n">
        <f aca="false">E235*SQRT(Parametrlar!$B$6)</f>
        <v>0.072613567945938</v>
      </c>
      <c r="G235" s="31" t="n">
        <f aca="false">STDEV(B216:B235)*SQRT(Parametrlar!$B$6)</f>
        <v>0.0641938527983797</v>
      </c>
    </row>
    <row r="236" customFormat="false" ht="15" hidden="false" customHeight="false" outlineLevel="0" collapsed="false">
      <c r="A236" s="19" t="n">
        <f aca="false">Daromadlilik!A231</f>
        <v>45615</v>
      </c>
      <c r="B236" s="28" t="n">
        <f aca="false">Daromadlilik!H231</f>
        <v>-0.00636937487859007</v>
      </c>
      <c r="C236" s="29" t="n">
        <f aca="false">B236^2</f>
        <v>4.05689363440142E-005</v>
      </c>
      <c r="D236" s="29" t="n">
        <f aca="false">$B$4*D235+(1-$B$4)*C235</f>
        <v>2.01154439856856E-005</v>
      </c>
      <c r="E236" s="30" t="n">
        <f aca="false">SQRT(D236)</f>
        <v>0.00448502441305346</v>
      </c>
      <c r="F236" s="31" t="n">
        <f aca="false">E236*SQRT(Parametrlar!$B$6)</f>
        <v>0.0711975553259574</v>
      </c>
      <c r="G236" s="31" t="n">
        <f aca="false">STDEV(B217:B236)*SQRT(Parametrlar!$B$6)</f>
        <v>0.0687486210984649</v>
      </c>
    </row>
    <row r="237" customFormat="false" ht="15" hidden="false" customHeight="false" outlineLevel="0" collapsed="false">
      <c r="A237" s="19" t="n">
        <f aca="false">Daromadlilik!A232</f>
        <v>45616</v>
      </c>
      <c r="B237" s="28" t="n">
        <f aca="false">Daromadlilik!H232</f>
        <v>-0.00296415445362914</v>
      </c>
      <c r="C237" s="29" t="n">
        <f aca="false">B237^2</f>
        <v>8.78621162496948E-006</v>
      </c>
      <c r="D237" s="29" t="n">
        <f aca="false">$B$4*D236+(1-$B$4)*C236</f>
        <v>2.13426535271853E-005</v>
      </c>
      <c r="E237" s="30" t="n">
        <f aca="false">SQRT(D237)</f>
        <v>0.00461981098392405</v>
      </c>
      <c r="F237" s="31" t="n">
        <f aca="false">E237*SQRT(Parametrlar!$B$6)</f>
        <v>0.0733372258055259</v>
      </c>
      <c r="G237" s="31" t="n">
        <f aca="false">STDEV(B218:B237)*SQRT(Parametrlar!$B$6)</f>
        <v>0.0700140587092092</v>
      </c>
    </row>
    <row r="238" customFormat="false" ht="15" hidden="false" customHeight="false" outlineLevel="0" collapsed="false">
      <c r="A238" s="19" t="n">
        <f aca="false">Daromadlilik!A233</f>
        <v>45617</v>
      </c>
      <c r="B238" s="28" t="n">
        <f aca="false">Daromadlilik!H233</f>
        <v>0.00111258780831217</v>
      </c>
      <c r="C238" s="29" t="n">
        <f aca="false">B238^2</f>
        <v>1.23785163120489E-006</v>
      </c>
      <c r="D238" s="29" t="n">
        <f aca="false">$B$4*D237+(1-$B$4)*C237</f>
        <v>2.05892670130523E-005</v>
      </c>
      <c r="E238" s="30" t="n">
        <f aca="false">SQRT(D238)</f>
        <v>0.00453753975333025</v>
      </c>
      <c r="F238" s="31" t="n">
        <f aca="false">E238*SQRT(Parametrlar!$B$6)</f>
        <v>0.0720312105082872</v>
      </c>
      <c r="G238" s="31" t="n">
        <f aca="false">STDEV(B219:B238)*SQRT(Parametrlar!$B$6)</f>
        <v>0.0698397072799858</v>
      </c>
    </row>
    <row r="239" customFormat="false" ht="15" hidden="false" customHeight="false" outlineLevel="0" collapsed="false">
      <c r="A239" s="19" t="n">
        <f aca="false">Daromadlilik!A234</f>
        <v>45618</v>
      </c>
      <c r="B239" s="28" t="n">
        <f aca="false">Daromadlilik!H234</f>
        <v>-0.000409350181620882</v>
      </c>
      <c r="C239" s="29" t="n">
        <f aca="false">B239^2</f>
        <v>1.67567571193049E-007</v>
      </c>
      <c r="D239" s="29" t="n">
        <f aca="false">$B$4*D238+(1-$B$4)*C238</f>
        <v>1.94281820901415E-005</v>
      </c>
      <c r="E239" s="30" t="n">
        <f aca="false">SQRT(D239)</f>
        <v>0.00440774115507495</v>
      </c>
      <c r="F239" s="31" t="n">
        <f aca="false">E239*SQRT(Parametrlar!$B$6)</f>
        <v>0.0699707216392375</v>
      </c>
      <c r="G239" s="31" t="n">
        <f aca="false">STDEV(B220:B239)*SQRT(Parametrlar!$B$6)</f>
        <v>0.0698209344681968</v>
      </c>
    </row>
    <row r="240" customFormat="false" ht="15" hidden="false" customHeight="false" outlineLevel="0" collapsed="false">
      <c r="A240" s="19" t="n">
        <f aca="false">Daromadlilik!A235</f>
        <v>45621</v>
      </c>
      <c r="B240" s="28" t="n">
        <f aca="false">Daromadlilik!H235</f>
        <v>-0.000216328139726293</v>
      </c>
      <c r="C240" s="29" t="n">
        <f aca="false">B240^2</f>
        <v>4.67978640374386E-008</v>
      </c>
      <c r="D240" s="29" t="n">
        <f aca="false">$B$4*D239+(1-$B$4)*C239</f>
        <v>1.82725452190046E-005</v>
      </c>
      <c r="E240" s="30" t="n">
        <f aca="false">SQRT(D240)</f>
        <v>0.00427463977651972</v>
      </c>
      <c r="F240" s="31" t="n">
        <f aca="false">E240*SQRT(Parametrlar!$B$6)</f>
        <v>0.0678578027583354</v>
      </c>
      <c r="G240" s="31" t="n">
        <f aca="false">STDEV(B221:B240)*SQRT(Parametrlar!$B$6)</f>
        <v>0.0687307918622694</v>
      </c>
    </row>
    <row r="241" customFormat="false" ht="15" hidden="false" customHeight="false" outlineLevel="0" collapsed="false">
      <c r="A241" s="19" t="n">
        <f aca="false">Daromadlilik!A236</f>
        <v>45622</v>
      </c>
      <c r="B241" s="28" t="n">
        <f aca="false">Daromadlilik!H236</f>
        <v>0.00214575793594954</v>
      </c>
      <c r="C241" s="29" t="n">
        <f aca="false">B241^2</f>
        <v>4.60427711969044E-006</v>
      </c>
      <c r="D241" s="29" t="n">
        <f aca="false">$B$4*D240+(1-$B$4)*C240</f>
        <v>1.71790003777066E-005</v>
      </c>
      <c r="E241" s="30" t="n">
        <f aca="false">SQRT(D241)</f>
        <v>0.00414475576816132</v>
      </c>
      <c r="F241" s="31" t="n">
        <f aca="false">E241*SQRT(Parametrlar!$B$6)</f>
        <v>0.0657959580459321</v>
      </c>
      <c r="G241" s="31" t="n">
        <f aca="false">STDEV(B222:B241)*SQRT(Parametrlar!$B$6)</f>
        <v>0.0645557268222511</v>
      </c>
    </row>
    <row r="242" customFormat="false" ht="15" hidden="false" customHeight="false" outlineLevel="0" collapsed="false">
      <c r="A242" s="19" t="n">
        <f aca="false">Daromadlilik!A237</f>
        <v>45623</v>
      </c>
      <c r="B242" s="28" t="n">
        <f aca="false">Daromadlilik!H237</f>
        <v>0.00334067462801378</v>
      </c>
      <c r="C242" s="29" t="n">
        <f aca="false">B242^2</f>
        <v>1.1160106970255E-005</v>
      </c>
      <c r="D242" s="29" t="n">
        <f aca="false">$B$4*D241+(1-$B$4)*C241</f>
        <v>1.64245169822256E-005</v>
      </c>
      <c r="E242" s="30" t="n">
        <f aca="false">SQRT(D242)</f>
        <v>0.00405271723442749</v>
      </c>
      <c r="F242" s="31" t="n">
        <f aca="false">E242*SQRT(Parametrlar!$B$6)</f>
        <v>0.0643348916181635</v>
      </c>
      <c r="G242" s="31" t="n">
        <f aca="false">STDEV(B223:B242)*SQRT(Parametrlar!$B$6)</f>
        <v>0.049595332404928</v>
      </c>
    </row>
    <row r="243" customFormat="false" ht="15" hidden="false" customHeight="false" outlineLevel="0" collapsed="false">
      <c r="A243" s="19" t="n">
        <f aca="false">Daromadlilik!A238</f>
        <v>45624</v>
      </c>
      <c r="B243" s="28" t="n">
        <f aca="false">Daromadlilik!H238</f>
        <v>-0.000122960583602743</v>
      </c>
      <c r="C243" s="29" t="n">
        <f aca="false">B243^2</f>
        <v>1.51193051199271E-008</v>
      </c>
      <c r="D243" s="29" t="n">
        <f aca="false">$B$4*D242+(1-$B$4)*C242</f>
        <v>1.61086523815074E-005</v>
      </c>
      <c r="E243" s="30" t="n">
        <f aca="false">SQRT(D243)</f>
        <v>0.00401355856834149</v>
      </c>
      <c r="F243" s="31" t="n">
        <f aca="false">E243*SQRT(Parametrlar!$B$6)</f>
        <v>0.063713267065344</v>
      </c>
      <c r="G243" s="31" t="n">
        <f aca="false">STDEV(B224:B243)*SQRT(Parametrlar!$B$6)</f>
        <v>0.0480728294874099</v>
      </c>
    </row>
    <row r="244" customFormat="false" ht="15" hidden="false" customHeight="false" outlineLevel="0" collapsed="false">
      <c r="A244" s="19" t="n">
        <f aca="false">Daromadlilik!A239</f>
        <v>45625</v>
      </c>
      <c r="B244" s="28" t="n">
        <f aca="false">Daromadlilik!H239</f>
        <v>0.0022723269644148</v>
      </c>
      <c r="C244" s="29" t="n">
        <f aca="false">B244^2</f>
        <v>5.16346983320656E-006</v>
      </c>
      <c r="D244" s="29" t="n">
        <f aca="false">$B$4*D243+(1-$B$4)*C243</f>
        <v>1.51430403969241E-005</v>
      </c>
      <c r="E244" s="30" t="n">
        <f aca="false">SQRT(D244)</f>
        <v>0.00389140596660437</v>
      </c>
      <c r="F244" s="31" t="n">
        <f aca="false">E244*SQRT(Parametrlar!$B$6)</f>
        <v>0.0617741546281685</v>
      </c>
      <c r="G244" s="31" t="n">
        <f aca="false">STDEV(B225:B244)*SQRT(Parametrlar!$B$6)</f>
        <v>0.0489684456187303</v>
      </c>
    </row>
    <row r="245" customFormat="false" ht="15" hidden="false" customHeight="false" outlineLevel="0" collapsed="false">
      <c r="A245" s="19" t="n">
        <f aca="false">Daromadlilik!A240</f>
        <v>45628</v>
      </c>
      <c r="B245" s="28" t="n">
        <f aca="false">Daromadlilik!H240</f>
        <v>-0.000575270297018547</v>
      </c>
      <c r="C245" s="29" t="n">
        <f aca="false">B245^2</f>
        <v>3.30935914631807E-007</v>
      </c>
      <c r="D245" s="29" t="n">
        <f aca="false">$B$4*D244+(1-$B$4)*C244</f>
        <v>1.45442661631011E-005</v>
      </c>
      <c r="E245" s="30" t="n">
        <f aca="false">SQRT(D245)</f>
        <v>0.00381369455555909</v>
      </c>
      <c r="F245" s="31" t="n">
        <f aca="false">E245*SQRT(Parametrlar!$B$6)</f>
        <v>0.0605405242222221</v>
      </c>
      <c r="G245" s="31" t="n">
        <f aca="false">STDEV(B226:B245)*SQRT(Parametrlar!$B$6)</f>
        <v>0.0488858707611055</v>
      </c>
    </row>
    <row r="246" customFormat="false" ht="15" hidden="false" customHeight="false" outlineLevel="0" collapsed="false">
      <c r="A246" s="19" t="n">
        <f aca="false">Daromadlilik!A241</f>
        <v>45629</v>
      </c>
      <c r="B246" s="28" t="n">
        <f aca="false">Daromadlilik!H241</f>
        <v>-0.0013128550336552</v>
      </c>
      <c r="C246" s="29" t="n">
        <f aca="false">B246^2</f>
        <v>1.72358833939381E-006</v>
      </c>
      <c r="D246" s="29" t="n">
        <f aca="false">$B$4*D245+(1-$B$4)*C245</f>
        <v>1.36914663481929E-005</v>
      </c>
      <c r="E246" s="30" t="n">
        <f aca="false">SQRT(D246)</f>
        <v>0.00370019814985534</v>
      </c>
      <c r="F246" s="31" t="n">
        <f aca="false">E246*SQRT(Parametrlar!$B$6)</f>
        <v>0.0587388246370713</v>
      </c>
      <c r="G246" s="31" t="n">
        <f aca="false">STDEV(B227:B246)*SQRT(Parametrlar!$B$6)</f>
        <v>0.0490083120762926</v>
      </c>
    </row>
    <row r="247" customFormat="false" ht="15" hidden="false" customHeight="false" outlineLevel="0" collapsed="false">
      <c r="A247" s="19" t="n">
        <f aca="false">Daromadlilik!A242</f>
        <v>45630</v>
      </c>
      <c r="B247" s="28" t="n">
        <f aca="false">Daromadlilik!H242</f>
        <v>0.0121716198514673</v>
      </c>
      <c r="C247" s="29" t="n">
        <f aca="false">B247^2</f>
        <v>0.000148148329808633</v>
      </c>
      <c r="D247" s="29" t="n">
        <f aca="false">$B$4*D246+(1-$B$4)*C246</f>
        <v>1.2973393667665E-005</v>
      </c>
      <c r="E247" s="30" t="n">
        <f aca="false">SQRT(D247)</f>
        <v>0.00360185975124865</v>
      </c>
      <c r="F247" s="31" t="n">
        <f aca="false">E247*SQRT(Parametrlar!$B$6)</f>
        <v>0.0571777509548213</v>
      </c>
      <c r="G247" s="31" t="n">
        <f aca="false">STDEV(B228:B247)*SQRT(Parametrlar!$B$6)</f>
        <v>0.0654633605848503</v>
      </c>
    </row>
    <row r="248" customFormat="false" ht="15" hidden="false" customHeight="false" outlineLevel="0" collapsed="false">
      <c r="A248" s="19" t="n">
        <f aca="false">Daromadlilik!A243</f>
        <v>45631</v>
      </c>
      <c r="B248" s="28" t="n">
        <f aca="false">Daromadlilik!H243</f>
        <v>0.000515960646685045</v>
      </c>
      <c r="C248" s="29" t="n">
        <f aca="false">B248^2</f>
        <v>2.6621538892765E-007</v>
      </c>
      <c r="D248" s="29" t="n">
        <f aca="false">$B$4*D247+(1-$B$4)*C247</f>
        <v>2.1083889836123E-005</v>
      </c>
      <c r="E248" s="30" t="n">
        <f aca="false">SQRT(D248)</f>
        <v>0.00459171970356674</v>
      </c>
      <c r="F248" s="31" t="n">
        <f aca="false">E248*SQRT(Parametrlar!$B$6)</f>
        <v>0.0728912905545169</v>
      </c>
      <c r="G248" s="31" t="n">
        <f aca="false">STDEV(B229:B248)*SQRT(Parametrlar!$B$6)</f>
        <v>0.0642020080800178</v>
      </c>
    </row>
    <row r="249" customFormat="false" ht="15" hidden="false" customHeight="false" outlineLevel="0" collapsed="false">
      <c r="A249" s="19" t="n">
        <f aca="false">Daromadlilik!A244</f>
        <v>45632</v>
      </c>
      <c r="B249" s="28" t="n">
        <f aca="false">Daromadlilik!H244</f>
        <v>-0.00195902809847149</v>
      </c>
      <c r="C249" s="29" t="n">
        <f aca="false">B249^2</f>
        <v>3.83779109060084E-006</v>
      </c>
      <c r="D249" s="29" t="n">
        <f aca="false">$B$4*D248+(1-$B$4)*C248</f>
        <v>1.98348293692913E-005</v>
      </c>
      <c r="E249" s="30" t="n">
        <f aca="false">SQRT(D249)</f>
        <v>0.004453631032011</v>
      </c>
      <c r="F249" s="31" t="n">
        <f aca="false">E249*SQRT(Parametrlar!$B$6)</f>
        <v>0.0706992008516462</v>
      </c>
      <c r="G249" s="31" t="n">
        <f aca="false">STDEV(B230:B249)*SQRT(Parametrlar!$B$6)</f>
        <v>0.0645527643488819</v>
      </c>
    </row>
    <row r="250" customFormat="false" ht="15" hidden="false" customHeight="false" outlineLevel="0" collapsed="false">
      <c r="A250" s="19" t="n">
        <f aca="false">Daromadlilik!A245</f>
        <v>45635</v>
      </c>
      <c r="B250" s="28" t="n">
        <f aca="false">Daromadlilik!H245</f>
        <v>-0.00448678904212019</v>
      </c>
      <c r="C250" s="29" t="n">
        <f aca="false">B250^2</f>
        <v>2.01312759084898E-005</v>
      </c>
      <c r="D250" s="29" t="n">
        <f aca="false">$B$4*D249+(1-$B$4)*C249</f>
        <v>1.88750070725699E-005</v>
      </c>
      <c r="E250" s="30" t="n">
        <f aca="false">SQRT(D250)</f>
        <v>0.00434453761320694</v>
      </c>
      <c r="F250" s="31" t="n">
        <f aca="false">E250*SQRT(Parametrlar!$B$6)</f>
        <v>0.0689673965166702</v>
      </c>
      <c r="G250" s="31" t="n">
        <f aca="false">STDEV(B231:B250)*SQRT(Parametrlar!$B$6)</f>
        <v>0.0658889824668636</v>
      </c>
    </row>
    <row r="251" customFormat="false" ht="15" hidden="false" customHeight="false" outlineLevel="0" collapsed="false">
      <c r="A251" s="19" t="n">
        <f aca="false">Daromadlilik!A246</f>
        <v>45636</v>
      </c>
      <c r="B251" s="28" t="n">
        <f aca="false">Daromadlilik!H246</f>
        <v>-0.00680274732275241</v>
      </c>
      <c r="C251" s="29" t="n">
        <f aca="false">B251^2</f>
        <v>4.62773711372151E-005</v>
      </c>
      <c r="D251" s="29" t="n">
        <f aca="false">$B$4*D250+(1-$B$4)*C250</f>
        <v>1.89503832027251E-005</v>
      </c>
      <c r="E251" s="30" t="n">
        <f aca="false">SQRT(D251)</f>
        <v>0.0043532037860322</v>
      </c>
      <c r="F251" s="31" t="n">
        <f aca="false">E251*SQRT(Parametrlar!$B$6)</f>
        <v>0.0691049677453562</v>
      </c>
      <c r="G251" s="31" t="n">
        <f aca="false">STDEV(B232:B251)*SQRT(Parametrlar!$B$6)</f>
        <v>0.0678014174330406</v>
      </c>
    </row>
    <row r="252" customFormat="false" ht="15" hidden="false" customHeight="false" outlineLevel="0" collapsed="false">
      <c r="A252" s="19" t="n">
        <f aca="false">Daromadlilik!A247</f>
        <v>45637</v>
      </c>
      <c r="B252" s="28" t="n">
        <f aca="false">Daromadlilik!H247</f>
        <v>0.00850384963507242</v>
      </c>
      <c r="C252" s="29" t="n">
        <f aca="false">B252^2</f>
        <v>7.23154586159214E-005</v>
      </c>
      <c r="D252" s="29" t="n">
        <f aca="false">$B$4*D251+(1-$B$4)*C251</f>
        <v>2.05900024787945E-005</v>
      </c>
      <c r="E252" s="30" t="n">
        <f aca="false">SQRT(D252)</f>
        <v>0.00453762079495351</v>
      </c>
      <c r="F252" s="31" t="n">
        <f aca="false">E252*SQRT(Parametrlar!$B$6)</f>
        <v>0.0720324970041731</v>
      </c>
      <c r="G252" s="31" t="n">
        <f aca="false">STDEV(B233:B252)*SQRT(Parametrlar!$B$6)</f>
        <v>0.0726638826708159</v>
      </c>
    </row>
    <row r="253" customFormat="false" ht="15" hidden="false" customHeight="false" outlineLevel="0" collapsed="false">
      <c r="A253" s="19" t="n">
        <f aca="false">Daromadlilik!A248</f>
        <v>45638</v>
      </c>
      <c r="B253" s="28" t="n">
        <f aca="false">Daromadlilik!H248</f>
        <v>-0.00270939791999575</v>
      </c>
      <c r="C253" s="29" t="n">
        <f aca="false">B253^2</f>
        <v>7.34083708887728E-006</v>
      </c>
      <c r="D253" s="29" t="n">
        <f aca="false">$B$4*D252+(1-$B$4)*C252</f>
        <v>2.36935298470221E-005</v>
      </c>
      <c r="E253" s="30" t="n">
        <f aca="false">SQRT(D253)</f>
        <v>0.00486760000893891</v>
      </c>
      <c r="F253" s="31" t="n">
        <f aca="false">E253*SQRT(Parametrlar!$B$6)</f>
        <v>0.0772707546323289</v>
      </c>
      <c r="G253" s="31" t="n">
        <f aca="false">STDEV(B234:B253)*SQRT(Parametrlar!$B$6)</f>
        <v>0.0709954303456695</v>
      </c>
    </row>
    <row r="254" customFormat="false" ht="15" hidden="false" customHeight="false" outlineLevel="0" collapsed="false">
      <c r="A254" s="19" t="n">
        <f aca="false">Daromadlilik!A249</f>
        <v>45639</v>
      </c>
      <c r="B254" s="28" t="n">
        <f aca="false">Daromadlilik!H249</f>
        <v>-0.000359259928419531</v>
      </c>
      <c r="C254" s="29" t="n">
        <f aca="false">B254^2</f>
        <v>1.29067696168007E-007</v>
      </c>
      <c r="D254" s="29" t="n">
        <f aca="false">$B$4*D253+(1-$B$4)*C253</f>
        <v>2.27123682815334E-005</v>
      </c>
      <c r="E254" s="30" t="n">
        <f aca="false">SQRT(D254)</f>
        <v>0.00476574949840352</v>
      </c>
      <c r="F254" s="31" t="n">
        <f aca="false">E254*SQRT(Parametrlar!$B$6)</f>
        <v>0.0756539279016392</v>
      </c>
      <c r="G254" s="31" t="n">
        <f aca="false">STDEV(B235:B254)*SQRT(Parametrlar!$B$6)</f>
        <v>0.0709612815271502</v>
      </c>
    </row>
    <row r="255" customFormat="false" ht="15" hidden="false" customHeight="false" outlineLevel="0" collapsed="false">
      <c r="A255" s="19" t="n">
        <f aca="false">Daromadlilik!A250</f>
        <v>45642</v>
      </c>
      <c r="B255" s="28" t="n">
        <f aca="false">Daromadlilik!H250</f>
        <v>0.000450965187780215</v>
      </c>
      <c r="C255" s="29" t="n">
        <f aca="false">B255^2</f>
        <v>2.03369600589645E-007</v>
      </c>
      <c r="D255" s="29" t="n">
        <f aca="false">$B$4*D254+(1-$B$4)*C254</f>
        <v>2.13573702464115E-005</v>
      </c>
      <c r="E255" s="30" t="n">
        <f aca="false">SQRT(D255)</f>
        <v>0.00462140349314053</v>
      </c>
      <c r="F255" s="31" t="n">
        <f aca="false">E255*SQRT(Parametrlar!$B$6)</f>
        <v>0.0733625061056102</v>
      </c>
      <c r="G255" s="31" t="n">
        <f aca="false">STDEV(B236:B255)*SQRT(Parametrlar!$B$6)</f>
        <v>0.0702612070819276</v>
      </c>
    </row>
    <row r="256" customFormat="false" ht="15" hidden="false" customHeight="false" outlineLevel="0" collapsed="false">
      <c r="A256" s="19" t="n">
        <f aca="false">Daromadlilik!A251</f>
        <v>45643</v>
      </c>
      <c r="B256" s="28" t="n">
        <f aca="false">Daromadlilik!H251</f>
        <v>0.00741550597523279</v>
      </c>
      <c r="C256" s="29" t="n">
        <f aca="false">B256^2</f>
        <v>5.49897288687133E-005</v>
      </c>
      <c r="D256" s="29" t="n">
        <f aca="false">$B$4*D255+(1-$B$4)*C255</f>
        <v>2.00881302076622E-005</v>
      </c>
      <c r="E256" s="30" t="n">
        <f aca="false">SQRT(D256)</f>
        <v>0.00448197838099005</v>
      </c>
      <c r="F256" s="31" t="n">
        <f aca="false">E256*SQRT(Parametrlar!$B$6)</f>
        <v>0.0711492010660054</v>
      </c>
      <c r="G256" s="31" t="n">
        <f aca="false">STDEV(B237:B256)*SQRT(Parametrlar!$B$6)</f>
        <v>0.0704356792943393</v>
      </c>
    </row>
    <row r="257" customFormat="false" ht="15" hidden="false" customHeight="false" outlineLevel="0" collapsed="false">
      <c r="A257" s="19" t="n">
        <f aca="false">Daromadlilik!A252</f>
        <v>45644</v>
      </c>
      <c r="B257" s="28" t="n">
        <f aca="false">Daromadlilik!H252</f>
        <v>-0.00568995906039941</v>
      </c>
      <c r="C257" s="29" t="n">
        <f aca="false">B257^2</f>
        <v>3.23756341090213E-005</v>
      </c>
      <c r="D257" s="29" t="n">
        <f aca="false">$B$4*D256+(1-$B$4)*C256</f>
        <v>2.21822261273252E-005</v>
      </c>
      <c r="E257" s="30" t="n">
        <f aca="false">SQRT(D257)</f>
        <v>0.00470980107088667</v>
      </c>
      <c r="F257" s="31" t="n">
        <f aca="false">E257*SQRT(Parametrlar!$B$6)</f>
        <v>0.074765774148911</v>
      </c>
      <c r="G257" s="31" t="n">
        <f aca="false">STDEV(B238:B257)*SQRT(Parametrlar!$B$6)</f>
        <v>0.0729863855976886</v>
      </c>
    </row>
    <row r="258" customFormat="false" ht="15" hidden="false" customHeight="false" outlineLevel="0" collapsed="false">
      <c r="A258" s="19" t="n">
        <f aca="false">Daromadlilik!A253</f>
        <v>45645</v>
      </c>
      <c r="B258" s="28" t="n">
        <f aca="false">Daromadlilik!H253</f>
        <v>-0.00813454755555118</v>
      </c>
      <c r="C258" s="29" t="n">
        <f aca="false">B258^2</f>
        <v>6.61708639335236E-005</v>
      </c>
      <c r="D258" s="29" t="n">
        <f aca="false">$B$4*D257+(1-$B$4)*C257</f>
        <v>2.2793830606227E-005</v>
      </c>
      <c r="E258" s="30" t="n">
        <f aca="false">SQRT(D258)</f>
        <v>0.00477428849214488</v>
      </c>
      <c r="F258" s="31" t="n">
        <f aca="false">E258*SQRT(Parametrlar!$B$6)</f>
        <v>0.0757894802249574</v>
      </c>
      <c r="G258" s="31" t="n">
        <f aca="false">STDEV(B239:B258)*SQRT(Parametrlar!$B$6)</f>
        <v>0.0793376467012705</v>
      </c>
    </row>
    <row r="259" customFormat="false" ht="15" hidden="false" customHeight="false" outlineLevel="0" collapsed="false">
      <c r="A259" s="19" t="n">
        <f aca="false">Daromadlilik!A254</f>
        <v>45646</v>
      </c>
      <c r="B259" s="28" t="n">
        <f aca="false">Daromadlilik!H254</f>
        <v>0.00960578064542842</v>
      </c>
      <c r="C259" s="29" t="n">
        <f aca="false">B259^2</f>
        <v>9.22710218080872E-005</v>
      </c>
      <c r="D259" s="29" t="n">
        <f aca="false">$B$4*D258+(1-$B$4)*C258</f>
        <v>2.53964526058648E-005</v>
      </c>
      <c r="E259" s="30" t="n">
        <f aca="false">SQRT(D259)</f>
        <v>0.00503948931994749</v>
      </c>
      <c r="F259" s="31" t="n">
        <f aca="false">E259*SQRT(Parametrlar!$B$6)</f>
        <v>0.0799994128520824</v>
      </c>
      <c r="G259" s="31" t="n">
        <f aca="false">STDEV(B240:B259)*SQRT(Parametrlar!$B$6)</f>
        <v>0.0859993507078339</v>
      </c>
    </row>
    <row r="260" customFormat="false" ht="15" hidden="false" customHeight="false" outlineLevel="0" collapsed="false">
      <c r="A260" s="19" t="n">
        <f aca="false">Daromadlilik!A255</f>
        <v>45649</v>
      </c>
      <c r="B260" s="28" t="n">
        <f aca="false">Daromadlilik!H255</f>
        <v>0.00425665173463632</v>
      </c>
      <c r="C260" s="29" t="n">
        <f aca="false">B260^2</f>
        <v>1.81190839899824E-005</v>
      </c>
      <c r="D260" s="29" t="n">
        <f aca="false">$B$4*D259+(1-$B$4)*C259</f>
        <v>2.94089267579982E-005</v>
      </c>
      <c r="E260" s="30" t="n">
        <f aca="false">SQRT(D260)</f>
        <v>0.00542299979328767</v>
      </c>
      <c r="F260" s="31" t="n">
        <f aca="false">E260*SQRT(Parametrlar!$B$6)</f>
        <v>0.0860874528779632</v>
      </c>
      <c r="G260" s="31" t="n">
        <f aca="false">STDEV(B241:B260)*SQRT(Parametrlar!$B$6)</f>
        <v>0.0868270889245639</v>
      </c>
    </row>
    <row r="261" customFormat="false" ht="15" hidden="false" customHeight="false" outlineLevel="0" collapsed="false">
      <c r="A261" s="19" t="n">
        <f aca="false">Daromadlilik!A256</f>
        <v>45650</v>
      </c>
      <c r="B261" s="28" t="n">
        <f aca="false">Daromadlilik!H256</f>
        <v>0.00476717460774629</v>
      </c>
      <c r="C261" s="29" t="n">
        <f aca="false">B261^2</f>
        <v>2.2725953740741E-005</v>
      </c>
      <c r="D261" s="29" t="n">
        <f aca="false">$B$4*D260+(1-$B$4)*C260</f>
        <v>2.87315361919172E-005</v>
      </c>
      <c r="E261" s="30" t="n">
        <f aca="false">SQRT(D261)</f>
        <v>0.00536018061187468</v>
      </c>
      <c r="F261" s="31" t="n">
        <f aca="false">E261*SQRT(Parametrlar!$B$6)</f>
        <v>0.0850902292884626</v>
      </c>
      <c r="G261" s="31" t="n">
        <f aca="false">STDEV(B242:B261)*SQRT(Parametrlar!$B$6)</f>
        <v>0.0878084521668722</v>
      </c>
    </row>
    <row r="262" customFormat="false" ht="15" hidden="false" customHeight="false" outlineLevel="0" collapsed="false">
      <c r="A262" s="19" t="n">
        <f aca="false">Daromadlilik!A257</f>
        <v>45651</v>
      </c>
      <c r="B262" s="28" t="n">
        <f aca="false">Daromadlilik!H257</f>
        <v>0.00444398309023129</v>
      </c>
      <c r="C262" s="29" t="n">
        <f aca="false">B262^2</f>
        <v>1.97489857062617E-005</v>
      </c>
      <c r="D262" s="29" t="n">
        <f aca="false">$B$4*D261+(1-$B$4)*C261</f>
        <v>2.83712012448466E-005</v>
      </c>
      <c r="E262" s="30" t="n">
        <f aca="false">SQRT(D262)</f>
        <v>0.00532646235740446</v>
      </c>
      <c r="F262" s="31" t="n">
        <f aca="false">E262*SQRT(Parametrlar!$B$6)</f>
        <v>0.0845549685926342</v>
      </c>
      <c r="G262" s="31" t="n">
        <f aca="false">STDEV(B243:B262)*SQRT(Parametrlar!$B$6)</f>
        <v>0.0882750615977075</v>
      </c>
    </row>
    <row r="263" customFormat="false" ht="15" hidden="false" customHeight="false" outlineLevel="0" collapsed="false">
      <c r="A263" s="19" t="n">
        <f aca="false">Daromadlilik!A258</f>
        <v>45652</v>
      </c>
      <c r="B263" s="28" t="n">
        <f aca="false">Daromadlilik!H258</f>
        <v>0.0108682097673463</v>
      </c>
      <c r="C263" s="29" t="n">
        <f aca="false">B263^2</f>
        <v>0.000118117983547041</v>
      </c>
      <c r="D263" s="29" t="n">
        <f aca="false">$B$4*D262+(1-$B$4)*C262</f>
        <v>2.78538683125315E-005</v>
      </c>
      <c r="E263" s="30" t="n">
        <f aca="false">SQRT(D263)</f>
        <v>0.00527767641226056</v>
      </c>
      <c r="F263" s="31" t="n">
        <f aca="false">E263*SQRT(Parametrlar!$B$6)</f>
        <v>0.0837805157226783</v>
      </c>
      <c r="G263" s="31" t="n">
        <f aca="false">STDEV(B244:B263)*SQRT(Parametrlar!$B$6)</f>
        <v>0.0946277984985812</v>
      </c>
    </row>
    <row r="264" customFormat="false" ht="15" hidden="false" customHeight="false" outlineLevel="0" collapsed="false">
      <c r="A264" s="19" t="n">
        <f aca="false">Daromadlilik!A259</f>
        <v>45653</v>
      </c>
      <c r="B264" s="28" t="n">
        <f aca="false">Daromadlilik!H259</f>
        <v>0.0113983671020972</v>
      </c>
      <c r="C264" s="29" t="n">
        <f aca="false">B264^2</f>
        <v>0.000129922772594172</v>
      </c>
      <c r="D264" s="29" t="n">
        <f aca="false">$B$4*D263+(1-$B$4)*C263</f>
        <v>3.32697152266021E-005</v>
      </c>
      <c r="E264" s="30" t="n">
        <f aca="false">SQRT(D264)</f>
        <v>0.00576799057095295</v>
      </c>
      <c r="F264" s="31" t="n">
        <f aca="false">E264*SQRT(Parametrlar!$B$6)</f>
        <v>0.0915640116918418</v>
      </c>
      <c r="G264" s="31" t="n">
        <f aca="false">STDEV(B245:B264)*SQRT(Parametrlar!$B$6)</f>
        <v>0.100754791906429</v>
      </c>
    </row>
    <row r="265" customFormat="false" ht="15" hidden="false" customHeight="false" outlineLevel="0" collapsed="false">
      <c r="A265" s="19" t="n">
        <f aca="false">Daromadlilik!A260</f>
        <v>45656</v>
      </c>
      <c r="B265" s="28" t="n">
        <f aca="false">Daromadlilik!H260</f>
        <v>-0.00312125280084376</v>
      </c>
      <c r="C265" s="29" t="n">
        <f aca="false">B265^2</f>
        <v>9.74221904677502E-006</v>
      </c>
      <c r="D265" s="29" t="n">
        <f aca="false">$B$4*D264+(1-$B$4)*C264</f>
        <v>3.90688986686563E-005</v>
      </c>
      <c r="E265" s="30" t="n">
        <f aca="false">SQRT(D265)</f>
        <v>0.00625051187253143</v>
      </c>
      <c r="F265" s="31" t="n">
        <f aca="false">E265*SQRT(Parametrlar!$B$6)</f>
        <v>0.0992237998894489</v>
      </c>
      <c r="G265" s="31" t="n">
        <f aca="false">STDEV(B246:B265)*SQRT(Parametrlar!$B$6)</f>
        <v>0.102054499267668</v>
      </c>
    </row>
    <row r="266" customFormat="false" ht="15" hidden="false" customHeight="false" outlineLevel="0" collapsed="false">
      <c r="A266" s="19" t="n">
        <f aca="false">Daromadlilik!A261</f>
        <v>45657</v>
      </c>
      <c r="B266" s="28" t="n">
        <f aca="false">Daromadlilik!H261</f>
        <v>0.000420169622021252</v>
      </c>
      <c r="C266" s="29" t="n">
        <f aca="false">B266^2</f>
        <v>1.76542511269482E-007</v>
      </c>
      <c r="D266" s="29" t="n">
        <f aca="false">$B$4*D265+(1-$B$4)*C265</f>
        <v>3.73092978913434E-005</v>
      </c>
      <c r="E266" s="30" t="n">
        <f aca="false">SQRT(D266)</f>
        <v>0.00610813374864561</v>
      </c>
      <c r="F266" s="31" t="n">
        <f aca="false">E266*SQRT(Parametrlar!$B$6)</f>
        <v>0.0969636172418219</v>
      </c>
      <c r="G266" s="31" t="n">
        <f aca="false">STDEV(B247:B266)*SQRT(Parametrlar!$B$6)</f>
        <v>0.101494223901251</v>
      </c>
    </row>
    <row r="267" customFormat="false" ht="15" hidden="false" customHeight="false" outlineLevel="0" collapsed="false">
      <c r="A267" s="19" t="n">
        <f aca="false">Daromadlilik!A262</f>
        <v>45658</v>
      </c>
      <c r="B267" s="28" t="n">
        <f aca="false">Daromadlilik!H262</f>
        <v>-0.00161530071226517</v>
      </c>
      <c r="C267" s="29" t="n">
        <f aca="false">B267^2</f>
        <v>2.60919639104435E-006</v>
      </c>
      <c r="D267" s="29" t="n">
        <f aca="false">$B$4*D266+(1-$B$4)*C266</f>
        <v>3.5081332568539E-005</v>
      </c>
      <c r="E267" s="30" t="n">
        <f aca="false">SQRT(D267)</f>
        <v>0.00592294965102178</v>
      </c>
      <c r="F267" s="31" t="n">
        <f aca="false">E267*SQRT(Parametrlar!$B$6)</f>
        <v>0.0940239108273626</v>
      </c>
      <c r="G267" s="31" t="n">
        <f aca="false">STDEV(B248:B267)*SQRT(Parametrlar!$B$6)</f>
        <v>0.0948925076451044</v>
      </c>
    </row>
    <row r="268" customFormat="false" ht="15" hidden="false" customHeight="false" outlineLevel="0" collapsed="false">
      <c r="A268" s="19" t="n">
        <f aca="false">Daromadlilik!A263</f>
        <v>45659</v>
      </c>
      <c r="B268" s="28" t="n">
        <f aca="false">Daromadlilik!H263</f>
        <v>0.0102887383659021</v>
      </c>
      <c r="C268" s="29" t="n">
        <f aca="false">B268^2</f>
        <v>0.000105858137161987</v>
      </c>
      <c r="D268" s="29" t="n">
        <f aca="false">$B$4*D267+(1-$B$4)*C267</f>
        <v>3.31330043978893E-005</v>
      </c>
      <c r="E268" s="30" t="n">
        <f aca="false">SQRT(D268)</f>
        <v>0.00575612755226023</v>
      </c>
      <c r="F268" s="31" t="n">
        <f aca="false">E268*SQRT(Parametrlar!$B$6)</f>
        <v>0.0913756921082851</v>
      </c>
      <c r="G268" s="31" t="n">
        <f aca="false">STDEV(B249:B268)*SQRT(Parametrlar!$B$6)</f>
        <v>0.0999089919735691</v>
      </c>
    </row>
    <row r="269" customFormat="false" ht="15" hidden="false" customHeight="false" outlineLevel="0" collapsed="false">
      <c r="A269" s="19" t="n">
        <f aca="false">Daromadlilik!A264</f>
        <v>45660</v>
      </c>
      <c r="B269" s="28" t="n">
        <f aca="false">Daromadlilik!H264</f>
        <v>0.00961968859747637</v>
      </c>
      <c r="C269" s="29" t="n">
        <f aca="false">B269^2</f>
        <v>9.25384087124169E-005</v>
      </c>
      <c r="D269" s="29" t="n">
        <f aca="false">$B$4*D268+(1-$B$4)*C268</f>
        <v>3.74965123637352E-005</v>
      </c>
      <c r="E269" s="30" t="n">
        <f aca="false">SQRT(D269)</f>
        <v>0.00612343958602803</v>
      </c>
      <c r="F269" s="31" t="n">
        <f aca="false">E269*SQRT(Parametrlar!$B$6)</f>
        <v>0.0972065898777509</v>
      </c>
      <c r="G269" s="31" t="n">
        <f aca="false">STDEV(B250:B269)*SQRT(Parametrlar!$B$6)</f>
        <v>0.102434512808045</v>
      </c>
    </row>
    <row r="270" customFormat="false" ht="15" hidden="false" customHeight="false" outlineLevel="0" collapsed="false">
      <c r="A270" s="19" t="n">
        <f aca="false">Daromadlilik!A265</f>
        <v>45663</v>
      </c>
      <c r="B270" s="28" t="n">
        <f aca="false">Daromadlilik!H265</f>
        <v>-0.00815221906155027</v>
      </c>
      <c r="C270" s="29" t="n">
        <f aca="false">B270^2</f>
        <v>6.64586756275036E-005</v>
      </c>
      <c r="D270" s="29" t="n">
        <f aca="false">$B$4*D269+(1-$B$4)*C269</f>
        <v>4.07990261446561E-005</v>
      </c>
      <c r="E270" s="30" t="n">
        <f aca="false">SQRT(D270)</f>
        <v>0.00638741153712958</v>
      </c>
      <c r="F270" s="31" t="n">
        <f aca="false">E270*SQRT(Parametrlar!$B$6)</f>
        <v>0.101397014692018</v>
      </c>
      <c r="G270" s="31" t="n">
        <f aca="false">STDEV(B251:B270)*SQRT(Parametrlar!$B$6)</f>
        <v>0.106476120226421</v>
      </c>
    </row>
    <row r="271" customFormat="false" ht="15" hidden="false" customHeight="false" outlineLevel="0" collapsed="false">
      <c r="A271" s="19" t="n">
        <f aca="false">Daromadlilik!A266</f>
        <v>45664</v>
      </c>
      <c r="B271" s="28" t="n">
        <f aca="false">Daromadlilik!H266</f>
        <v>-0.0110256803029927</v>
      </c>
      <c r="C271" s="29" t="n">
        <f aca="false">B271^2</f>
        <v>0.000121565626143802</v>
      </c>
      <c r="D271" s="29" t="n">
        <f aca="false">$B$4*D270+(1-$B$4)*C270</f>
        <v>4.23386051136269E-005</v>
      </c>
      <c r="E271" s="30" t="n">
        <f aca="false">SQRT(D271)</f>
        <v>0.00650681220826504</v>
      </c>
      <c r="F271" s="31" t="n">
        <f aca="false">E271*SQRT(Parametrlar!$B$6)</f>
        <v>0.10329244158521</v>
      </c>
      <c r="G271" s="31" t="n">
        <f aca="false">STDEV(B252:B271)*SQRT(Parametrlar!$B$6)</f>
        <v>0.112153847364491</v>
      </c>
    </row>
    <row r="272" customFormat="false" ht="15" hidden="false" customHeight="false" outlineLevel="0" collapsed="false">
      <c r="A272" s="19" t="n">
        <f aca="false">Daromadlilik!A267</f>
        <v>45665</v>
      </c>
      <c r="B272" s="28" t="n">
        <f aca="false">Daromadlilik!H267</f>
        <v>-0.0029327158964452</v>
      </c>
      <c r="C272" s="29" t="n">
        <f aca="false">B272^2</f>
        <v>8.60082252926237E-006</v>
      </c>
      <c r="D272" s="29" t="n">
        <f aca="false">$B$4*D271+(1-$B$4)*C271</f>
        <v>4.70922263754374E-005</v>
      </c>
      <c r="E272" s="30" t="n">
        <f aca="false">SQRT(D272)</f>
        <v>0.00686237760367625</v>
      </c>
      <c r="F272" s="31" t="n">
        <f aca="false">E272*SQRT(Parametrlar!$B$6)</f>
        <v>0.10893686725168</v>
      </c>
      <c r="G272" s="31" t="n">
        <f aca="false">STDEV(B253:B272)*SQRT(Parametrlar!$B$6)</f>
        <v>0.110779555171856</v>
      </c>
    </row>
    <row r="273" customFormat="false" ht="15" hidden="false" customHeight="false" outlineLevel="0" collapsed="false">
      <c r="A273" s="19" t="n">
        <f aca="false">Daromadlilik!A268</f>
        <v>45666</v>
      </c>
      <c r="B273" s="28" t="n">
        <f aca="false">Daromadlilik!H268</f>
        <v>-0.00559373537432042</v>
      </c>
      <c r="C273" s="29" t="n">
        <f aca="false">B273^2</f>
        <v>3.12898754379236E-005</v>
      </c>
      <c r="D273" s="29" t="n">
        <f aca="false">$B$4*D272+(1-$B$4)*C272</f>
        <v>4.47827421446669E-005</v>
      </c>
      <c r="E273" s="30" t="n">
        <f aca="false">SQRT(D273)</f>
        <v>0.00669199089544113</v>
      </c>
      <c r="F273" s="31" t="n">
        <f aca="false">E273*SQRT(Parametrlar!$B$6)</f>
        <v>0.106232062111474</v>
      </c>
      <c r="G273" s="31" t="n">
        <f aca="false">STDEV(B254:B273)*SQRT(Parametrlar!$B$6)</f>
        <v>0.112686353653525</v>
      </c>
    </row>
    <row r="274" customFormat="false" ht="15" hidden="false" customHeight="false" outlineLevel="0" collapsed="false">
      <c r="A274" s="19" t="n">
        <f aca="false">Daromadlilik!A269</f>
        <v>45667</v>
      </c>
      <c r="B274" s="28" t="n">
        <f aca="false">Daromadlilik!H269</f>
        <v>-0.000587896056075951</v>
      </c>
      <c r="C274" s="29" t="n">
        <f aca="false">B274^2</f>
        <v>3.45621772749658E-007</v>
      </c>
      <c r="D274" s="29" t="n">
        <f aca="false">$B$4*D273+(1-$B$4)*C273</f>
        <v>4.39731701422623E-005</v>
      </c>
      <c r="E274" s="30" t="n">
        <f aca="false">SQRT(D274)</f>
        <v>0.00663122689570055</v>
      </c>
      <c r="F274" s="31" t="n">
        <f aca="false">E274*SQRT(Parametrlar!$B$6)</f>
        <v>0.105267463519599</v>
      </c>
      <c r="G274" s="31" t="n">
        <f aca="false">STDEV(B255:B274)*SQRT(Parametrlar!$B$6)</f>
        <v>0.112735142185422</v>
      </c>
    </row>
    <row r="275" customFormat="false" ht="15" hidden="false" customHeight="false" outlineLevel="0" collapsed="false">
      <c r="A275" s="19" t="n">
        <f aca="false">Daromadlilik!A270</f>
        <v>45670</v>
      </c>
      <c r="B275" s="28" t="n">
        <f aca="false">Daromadlilik!H270</f>
        <v>0.00625560905959502</v>
      </c>
      <c r="C275" s="29" t="n">
        <f aca="false">B275^2</f>
        <v>3.91326447064873E-005</v>
      </c>
      <c r="D275" s="29" t="n">
        <f aca="false">$B$4*D274+(1-$B$4)*C274</f>
        <v>4.13555172400916E-005</v>
      </c>
      <c r="E275" s="30" t="n">
        <f aca="false">SQRT(D275)</f>
        <v>0.00643082554887719</v>
      </c>
      <c r="F275" s="31" t="n">
        <f aca="false">E275*SQRT(Parametrlar!$B$6)</f>
        <v>0.102086190763017</v>
      </c>
      <c r="G275" s="31" t="n">
        <f aca="false">STDEV(B256:B275)*SQRT(Parametrlar!$B$6)</f>
        <v>0.1140077824325</v>
      </c>
    </row>
    <row r="276" customFormat="false" ht="15" hidden="false" customHeight="false" outlineLevel="0" collapsed="false">
      <c r="A276" s="19" t="n">
        <f aca="false">Daromadlilik!A271</f>
        <v>45671</v>
      </c>
      <c r="B276" s="28" t="n">
        <f aca="false">Daromadlilik!H271</f>
        <v>-0.00395808216460305</v>
      </c>
      <c r="C276" s="29" t="n">
        <f aca="false">B276^2</f>
        <v>1.56664144217487E-005</v>
      </c>
      <c r="D276" s="29" t="n">
        <f aca="false">$B$4*D275+(1-$B$4)*C275</f>
        <v>4.12221448880753E-005</v>
      </c>
      <c r="E276" s="30" t="n">
        <f aca="false">SQRT(D276)</f>
        <v>0.00642044740559996</v>
      </c>
      <c r="F276" s="31" t="n">
        <f aca="false">E276*SQRT(Parametrlar!$B$6)</f>
        <v>0.101921442845924</v>
      </c>
      <c r="G276" s="31" t="n">
        <f aca="false">STDEV(B257:B276)*SQRT(Parametrlar!$B$6)</f>
        <v>0.113492277078537</v>
      </c>
    </row>
    <row r="277" customFormat="false" ht="15" hidden="false" customHeight="false" outlineLevel="0" collapsed="false">
      <c r="A277" s="19" t="n">
        <f aca="false">Daromadlilik!A272</f>
        <v>45672</v>
      </c>
      <c r="B277" s="28" t="n">
        <f aca="false">Daromadlilik!H272</f>
        <v>0.011203502572594</v>
      </c>
      <c r="C277" s="29" t="n">
        <f aca="false">B277^2</f>
        <v>0.00012551846989412</v>
      </c>
      <c r="D277" s="29" t="n">
        <f aca="false">$B$4*D276+(1-$B$4)*C276</f>
        <v>3.96888010600957E-005</v>
      </c>
      <c r="E277" s="30" t="n">
        <f aca="false">SQRT(D277)</f>
        <v>0.00629990484532074</v>
      </c>
      <c r="F277" s="31" t="n">
        <f aca="false">E277*SQRT(Parametrlar!$B$6)</f>
        <v>0.100007889024537</v>
      </c>
      <c r="G277" s="31" t="n">
        <f aca="false">STDEV(B258:B277)*SQRT(Parametrlar!$B$6)</f>
        <v>0.11598943147703</v>
      </c>
    </row>
    <row r="278" customFormat="false" ht="15" hidden="false" customHeight="false" outlineLevel="0" collapsed="false">
      <c r="A278" s="19" t="n">
        <f aca="false">Daromadlilik!A273</f>
        <v>45673</v>
      </c>
      <c r="B278" s="28" t="n">
        <f aca="false">Daromadlilik!H273</f>
        <v>-0.00975631894704321</v>
      </c>
      <c r="C278" s="29" t="n">
        <f aca="false">B278^2</f>
        <v>9.51857593964344E-005</v>
      </c>
      <c r="D278" s="29" t="n">
        <f aca="false">$B$4*D277+(1-$B$4)*C277</f>
        <v>4.48385811901371E-005</v>
      </c>
      <c r="E278" s="30" t="n">
        <f aca="false">SQRT(D278)</f>
        <v>0.00669616167592578</v>
      </c>
      <c r="F278" s="31" t="n">
        <f aca="false">E278*SQRT(Parametrlar!$B$6)</f>
        <v>0.106298271199087</v>
      </c>
      <c r="G278" s="31" t="n">
        <f aca="false">STDEV(B259:B278)*SQRT(Parametrlar!$B$6)</f>
        <v>0.117976202245122</v>
      </c>
    </row>
    <row r="279" customFormat="false" ht="15" hidden="false" customHeight="false" outlineLevel="0" collapsed="false">
      <c r="A279" s="19" t="n">
        <f aca="false">Daromadlilik!A274</f>
        <v>45674</v>
      </c>
      <c r="B279" s="28" t="n">
        <f aca="false">Daromadlilik!H274</f>
        <v>0.00472030529976137</v>
      </c>
      <c r="C279" s="29" t="n">
        <f aca="false">B279^2</f>
        <v>2.22812821229552E-005</v>
      </c>
      <c r="D279" s="29" t="n">
        <f aca="false">$B$4*D278+(1-$B$4)*C278</f>
        <v>4.7859411882515E-005</v>
      </c>
      <c r="E279" s="30" t="n">
        <f aca="false">SQRT(D279)</f>
        <v>0.00691804971668425</v>
      </c>
      <c r="F279" s="31" t="n">
        <f aca="false">E279*SQRT(Parametrlar!$B$6)</f>
        <v>0.109820634647564</v>
      </c>
      <c r="G279" s="31" t="n">
        <f aca="false">STDEV(B260:B279)*SQRT(Parametrlar!$B$6)</f>
        <v>0.114934904696572</v>
      </c>
    </row>
    <row r="280" customFormat="false" ht="15" hidden="false" customHeight="false" outlineLevel="0" collapsed="false">
      <c r="A280" s="19" t="n">
        <f aca="false">Daromadlilik!A275</f>
        <v>45677</v>
      </c>
      <c r="B280" s="28" t="n">
        <f aca="false">Daromadlilik!H275</f>
        <v>-0.00261635146254091</v>
      </c>
      <c r="C280" s="29" t="n">
        <f aca="false">B280^2</f>
        <v>6.84529497553998E-006</v>
      </c>
      <c r="D280" s="29" t="n">
        <f aca="false">$B$4*D279+(1-$B$4)*C279</f>
        <v>4.63247240969414E-005</v>
      </c>
      <c r="E280" s="30" t="n">
        <f aca="false">SQRT(D280)</f>
        <v>0.00680622686199493</v>
      </c>
      <c r="F280" s="31" t="n">
        <f aca="false">E280*SQRT(Parametrlar!$B$6)</f>
        <v>0.108045501861157</v>
      </c>
      <c r="G280" s="31" t="n">
        <f aca="false">STDEV(B261:B280)*SQRT(Parametrlar!$B$6)</f>
        <v>0.11539635799752</v>
      </c>
    </row>
    <row r="281" customFormat="false" ht="15" hidden="false" customHeight="false" outlineLevel="0" collapsed="false">
      <c r="A281" s="19" t="n">
        <f aca="false">Daromadlilik!A276</f>
        <v>45678</v>
      </c>
      <c r="B281" s="28" t="n">
        <f aca="false">Daromadlilik!H276</f>
        <v>0.00754219776551533</v>
      </c>
      <c r="C281" s="29" t="n">
        <f aca="false">B281^2</f>
        <v>5.68847471341444E-005</v>
      </c>
      <c r="D281" s="29" t="n">
        <f aca="false">$B$4*D280+(1-$B$4)*C280</f>
        <v>4.39559583496573E-005</v>
      </c>
      <c r="E281" s="30" t="n">
        <f aca="false">SQRT(D281)</f>
        <v>0.00662992898526502</v>
      </c>
      <c r="F281" s="31" t="n">
        <f aca="false">E281*SQRT(Parametrlar!$B$6)</f>
        <v>0.10524685983018</v>
      </c>
      <c r="G281" s="31" t="n">
        <f aca="false">STDEV(B262:B281)*SQRT(Parametrlar!$B$6)</f>
        <v>0.116934289143956</v>
      </c>
    </row>
    <row r="282" customFormat="false" ht="15" hidden="false" customHeight="false" outlineLevel="0" collapsed="false">
      <c r="A282" s="19" t="n">
        <f aca="false">Daromadlilik!A277</f>
        <v>45679</v>
      </c>
      <c r="B282" s="28" t="n">
        <f aca="false">Daromadlilik!H277</f>
        <v>0.00583681328993635</v>
      </c>
      <c r="C282" s="29" t="n">
        <f aca="false">B282^2</f>
        <v>3.40683893815776E-005</v>
      </c>
      <c r="D282" s="29" t="n">
        <f aca="false">$B$4*D281+(1-$B$4)*C281</f>
        <v>4.47316856767265E-005</v>
      </c>
      <c r="E282" s="30" t="n">
        <f aca="false">SQRT(D282)</f>
        <v>0.00668817506325354</v>
      </c>
      <c r="F282" s="31" t="n">
        <f aca="false">E282*SQRT(Parametrlar!$B$6)</f>
        <v>0.106171487653395</v>
      </c>
      <c r="G282" s="31" t="n">
        <f aca="false">STDEV(B263:B282)*SQRT(Parametrlar!$B$6)</f>
        <v>0.117522945898353</v>
      </c>
    </row>
    <row r="283" customFormat="false" ht="15" hidden="false" customHeight="false" outlineLevel="0" collapsed="false">
      <c r="A283" s="19" t="n">
        <f aca="false">Daromadlilik!A278</f>
        <v>45680</v>
      </c>
      <c r="B283" s="28" t="n">
        <f aca="false">Daromadlilik!H278</f>
        <v>-0.024639125784577</v>
      </c>
      <c r="C283" s="29" t="n">
        <f aca="false">B283^2</f>
        <v>0.00060708651942821</v>
      </c>
      <c r="D283" s="29" t="n">
        <f aca="false">$B$4*D282+(1-$B$4)*C282</f>
        <v>4.40918878990176E-005</v>
      </c>
      <c r="E283" s="30" t="n">
        <f aca="false">SQRT(D283)</f>
        <v>0.00664017227931758</v>
      </c>
      <c r="F283" s="31" t="n">
        <f aca="false">E283*SQRT(Parametrlar!$B$6)</f>
        <v>0.105409467082195</v>
      </c>
      <c r="G283" s="31" t="n">
        <f aca="false">STDEV(B264:B283)*SQRT(Parametrlar!$B$6)</f>
        <v>0.14428043783652</v>
      </c>
    </row>
    <row r="284" customFormat="false" ht="15" hidden="false" customHeight="false" outlineLevel="0" collapsed="false">
      <c r="A284" s="19" t="n">
        <f aca="false">Daromadlilik!A279</f>
        <v>45681</v>
      </c>
      <c r="B284" s="28" t="n">
        <f aca="false">Daromadlilik!H279</f>
        <v>0.00890398214033647</v>
      </c>
      <c r="C284" s="29" t="n">
        <f aca="false">B284^2</f>
        <v>7.92808979554308E-005</v>
      </c>
      <c r="D284" s="29" t="n">
        <f aca="false">$B$4*D283+(1-$B$4)*C283</f>
        <v>7.78715657907691E-005</v>
      </c>
      <c r="E284" s="30" t="n">
        <f aca="false">SQRT(D284)</f>
        <v>0.00882448671542822</v>
      </c>
      <c r="F284" s="31" t="n">
        <f aca="false">E284*SQRT(Parametrlar!$B$6)</f>
        <v>0.140084383780898</v>
      </c>
      <c r="G284" s="31" t="n">
        <f aca="false">STDEV(B265:B284)*SQRT(Parametrlar!$B$6)</f>
        <v>0.141840888228216</v>
      </c>
    </row>
    <row r="285" customFormat="false" ht="15" hidden="false" customHeight="false" outlineLevel="0" collapsed="false">
      <c r="A285" s="19" t="n">
        <f aca="false">Daromadlilik!A280</f>
        <v>45684</v>
      </c>
      <c r="B285" s="28" t="n">
        <f aca="false">Daromadlilik!H280</f>
        <v>0.000363413869351181</v>
      </c>
      <c r="C285" s="29" t="n">
        <f aca="false">B285^2</f>
        <v>1.32069640436797E-007</v>
      </c>
      <c r="D285" s="29" t="n">
        <f aca="false">$B$4*D284+(1-$B$4)*C284</f>
        <v>7.79561257206488E-005</v>
      </c>
      <c r="E285" s="30" t="n">
        <f aca="false">SQRT(D285)</f>
        <v>0.00882927662499306</v>
      </c>
      <c r="F285" s="31" t="n">
        <f aca="false">E285*SQRT(Parametrlar!$B$6)</f>
        <v>0.140160421237964</v>
      </c>
      <c r="G285" s="31" t="n">
        <f aca="false">STDEV(B266:B285)*SQRT(Parametrlar!$B$6)</f>
        <v>0.14151282525</v>
      </c>
    </row>
    <row r="286" customFormat="false" ht="15" hidden="false" customHeight="false" outlineLevel="0" collapsed="false">
      <c r="A286" s="19" t="n">
        <f aca="false">Daromadlilik!A281</f>
        <v>45685</v>
      </c>
      <c r="B286" s="28" t="n">
        <f aca="false">Daromadlilik!H281</f>
        <v>-0.00429523280889772</v>
      </c>
      <c r="C286" s="29" t="n">
        <f aca="false">B286^2</f>
        <v>1.84490248826314E-005</v>
      </c>
      <c r="D286" s="29" t="n">
        <f aca="false">$B$4*D285+(1-$B$4)*C285</f>
        <v>7.32866823558361E-005</v>
      </c>
      <c r="E286" s="30" t="n">
        <f aca="false">SQRT(D286)</f>
        <v>0.00856076412219354</v>
      </c>
      <c r="F286" s="31" t="n">
        <f aca="false">E286*SQRT(Parametrlar!$B$6)</f>
        <v>0.13589791740005</v>
      </c>
      <c r="G286" s="31" t="n">
        <f aca="false">STDEV(B267:B286)*SQRT(Parametrlar!$B$6)</f>
        <v>0.142188933748665</v>
      </c>
    </row>
    <row r="287" customFormat="false" ht="15" hidden="false" customHeight="false" outlineLevel="0" collapsed="false">
      <c r="A287" s="19" t="n">
        <f aca="false">Daromadlilik!A282</f>
        <v>45686</v>
      </c>
      <c r="B287" s="28" t="n">
        <f aca="false">Daromadlilik!H282</f>
        <v>-0.000871699981810924</v>
      </c>
      <c r="C287" s="29" t="n">
        <f aca="false">B287^2</f>
        <v>7.59860858289166E-007</v>
      </c>
      <c r="D287" s="29" t="n">
        <f aca="false">$B$4*D286+(1-$B$4)*C286</f>
        <v>6.99964229074438E-005</v>
      </c>
      <c r="E287" s="30" t="n">
        <f aca="false">SQRT(D287)</f>
        <v>0.00836638649044161</v>
      </c>
      <c r="F287" s="31" t="n">
        <f aca="false">E287*SQRT(Parametrlar!$B$6)</f>
        <v>0.132812268155754</v>
      </c>
      <c r="G287" s="31" t="n">
        <f aca="false">STDEV(B268:B287)*SQRT(Parametrlar!$B$6)</f>
        <v>0.14213758488403</v>
      </c>
    </row>
    <row r="288" customFormat="false" ht="15" hidden="false" customHeight="false" outlineLevel="0" collapsed="false">
      <c r="A288" s="19" t="n">
        <f aca="false">Daromadlilik!A283</f>
        <v>45687</v>
      </c>
      <c r="B288" s="28" t="n">
        <f aca="false">Daromadlilik!H283</f>
        <v>-0.00578585056404466</v>
      </c>
      <c r="C288" s="29" t="n">
        <f aca="false">B288^2</f>
        <v>3.34760667494559E-005</v>
      </c>
      <c r="D288" s="29" t="n">
        <f aca="false">$B$4*D287+(1-$B$4)*C287</f>
        <v>6.58422291844945E-005</v>
      </c>
      <c r="E288" s="30" t="n">
        <f aca="false">SQRT(D288)</f>
        <v>0.00811432247230134</v>
      </c>
      <c r="F288" s="31" t="n">
        <f aca="false">E288*SQRT(Parametrlar!$B$6)</f>
        <v>0.128810875916953</v>
      </c>
      <c r="G288" s="31" t="n">
        <f aca="false">STDEV(B269:B288)*SQRT(Parametrlar!$B$6)</f>
        <v>0.13735002782076</v>
      </c>
    </row>
    <row r="289" customFormat="false" ht="15" hidden="false" customHeight="false" outlineLevel="0" collapsed="false">
      <c r="A289" s="19" t="n">
        <f aca="false">Daromadlilik!A284</f>
        <v>45688</v>
      </c>
      <c r="B289" s="28" t="n">
        <f aca="false">Daromadlilik!H284</f>
        <v>-0.0129178146161766</v>
      </c>
      <c r="C289" s="29" t="n">
        <f aca="false">B289^2</f>
        <v>0.000166869934457907</v>
      </c>
      <c r="D289" s="29" t="n">
        <f aca="false">$B$4*D288+(1-$B$4)*C288</f>
        <v>6.39002594383922E-005</v>
      </c>
      <c r="E289" s="30" t="n">
        <f aca="false">SQRT(D289)</f>
        <v>0.00799376378425033</v>
      </c>
      <c r="F289" s="31" t="n">
        <f aca="false">E289*SQRT(Parametrlar!$B$6)</f>
        <v>0.126897066075126</v>
      </c>
      <c r="G289" s="31" t="n">
        <f aca="false">STDEV(B270:B289)*SQRT(Parametrlar!$B$6)</f>
        <v>0.136907860594449</v>
      </c>
    </row>
    <row r="290" customFormat="false" ht="15" hidden="false" customHeight="false" outlineLevel="0" collapsed="false">
      <c r="A290" s="19" t="n">
        <f aca="false">Daromadlilik!A285</f>
        <v>45691</v>
      </c>
      <c r="B290" s="28" t="n">
        <f aca="false">Daromadlilik!H285</f>
        <v>0.00472771132424772</v>
      </c>
      <c r="C290" s="29" t="n">
        <f aca="false">B290^2</f>
        <v>2.23512543654201E-005</v>
      </c>
      <c r="D290" s="29" t="n">
        <f aca="false">$B$4*D289+(1-$B$4)*C289</f>
        <v>7.00784399395631E-005</v>
      </c>
      <c r="E290" s="30" t="n">
        <f aca="false">SQRT(D290)</f>
        <v>0.00837128663585014</v>
      </c>
      <c r="F290" s="31" t="n">
        <f aca="false">E290*SQRT(Parametrlar!$B$6)</f>
        <v>0.132890055552588</v>
      </c>
      <c r="G290" s="31" t="n">
        <f aca="false">STDEV(B271:B290)*SQRT(Parametrlar!$B$6)</f>
        <v>0.137382551153859</v>
      </c>
    </row>
    <row r="291" customFormat="false" ht="15" hidden="false" customHeight="false" outlineLevel="0" collapsed="false">
      <c r="A291" s="19" t="n">
        <f aca="false">Daromadlilik!A286</f>
        <v>45692</v>
      </c>
      <c r="B291" s="28" t="n">
        <f aca="false">Daromadlilik!H286</f>
        <v>0.00856487936761308</v>
      </c>
      <c r="C291" s="29" t="n">
        <f aca="false">B291^2</f>
        <v>7.33571585817643E-005</v>
      </c>
      <c r="D291" s="29" t="n">
        <f aca="false">$B$4*D290+(1-$B$4)*C290</f>
        <v>6.72148088051145E-005</v>
      </c>
      <c r="E291" s="30" t="n">
        <f aca="false">SQRT(D291)</f>
        <v>0.00819846380763583</v>
      </c>
      <c r="F291" s="31" t="n">
        <f aca="false">E291*SQRT(Parametrlar!$B$6)</f>
        <v>0.130146578206609</v>
      </c>
      <c r="G291" s="31" t="n">
        <f aca="false">STDEV(B272:B291)*SQRT(Parametrlar!$B$6)</f>
        <v>0.137479321716558</v>
      </c>
    </row>
    <row r="292" customFormat="false" ht="15" hidden="false" customHeight="false" outlineLevel="0" collapsed="false">
      <c r="A292" s="19" t="n">
        <f aca="false">Daromadlilik!A287</f>
        <v>45693</v>
      </c>
      <c r="B292" s="28" t="n">
        <f aca="false">Daromadlilik!H287</f>
        <v>-0.00263390078168974</v>
      </c>
      <c r="C292" s="29" t="n">
        <f aca="false">B292^2</f>
        <v>6.9374333277858E-006</v>
      </c>
      <c r="D292" s="29" t="n">
        <f aca="false">$B$4*D291+(1-$B$4)*C291</f>
        <v>6.75833497917135E-005</v>
      </c>
      <c r="E292" s="30" t="n">
        <f aca="false">SQRT(D292)</f>
        <v>0.00822090930443303</v>
      </c>
      <c r="F292" s="31" t="n">
        <f aca="false">E292*SQRT(Parametrlar!$B$6)</f>
        <v>0.130502889422081</v>
      </c>
      <c r="G292" s="31" t="n">
        <f aca="false">STDEV(B273:B292)*SQRT(Parametrlar!$B$6)</f>
        <v>0.137421683982908</v>
      </c>
    </row>
    <row r="293" customFormat="false" ht="15" hidden="false" customHeight="false" outlineLevel="0" collapsed="false">
      <c r="A293" s="19" t="n">
        <f aca="false">Daromadlilik!A288</f>
        <v>45694</v>
      </c>
      <c r="B293" s="28" t="n">
        <f aca="false">Daromadlilik!H288</f>
        <v>-0.00590830310605255</v>
      </c>
      <c r="C293" s="29" t="n">
        <f aca="false">B293^2</f>
        <v>3.49080455929902E-005</v>
      </c>
      <c r="D293" s="29" t="n">
        <f aca="false">$B$4*D292+(1-$B$4)*C292</f>
        <v>6.39445948038778E-005</v>
      </c>
      <c r="E293" s="30" t="n">
        <f aca="false">SQRT(D293)</f>
        <v>0.00799653642547058</v>
      </c>
      <c r="F293" s="31" t="n">
        <f aca="false">E293*SQRT(Parametrlar!$B$6)</f>
        <v>0.126941080389987</v>
      </c>
      <c r="G293" s="31" t="n">
        <f aca="false">STDEV(B274:B293)*SQRT(Parametrlar!$B$6)</f>
        <v>0.137572378893101</v>
      </c>
    </row>
    <row r="294" customFormat="false" ht="15" hidden="false" customHeight="false" outlineLevel="0" collapsed="false">
      <c r="A294" s="19" t="n">
        <f aca="false">Daromadlilik!A289</f>
        <v>45695</v>
      </c>
      <c r="B294" s="28" t="n">
        <f aca="false">Daromadlilik!H289</f>
        <v>0.0150483688304944</v>
      </c>
      <c r="C294" s="29" t="n">
        <f aca="false">B294^2</f>
        <v>0.000226453404458595</v>
      </c>
      <c r="D294" s="29" t="n">
        <f aca="false">$B$4*D293+(1-$B$4)*C293</f>
        <v>6.22024018512246E-005</v>
      </c>
      <c r="E294" s="30" t="n">
        <f aca="false">SQRT(D294)</f>
        <v>0.00788684993208471</v>
      </c>
      <c r="F294" s="31" t="n">
        <f aca="false">E294*SQRT(Parametrlar!$B$6)</f>
        <v>0.125199861287897</v>
      </c>
      <c r="G294" s="31" t="n">
        <f aca="false">STDEV(B275:B294)*SQRT(Parametrlar!$B$6)</f>
        <v>0.148632692820113</v>
      </c>
    </row>
    <row r="295" customFormat="false" ht="15" hidden="false" customHeight="false" outlineLevel="0" collapsed="false">
      <c r="A295" s="19" t="n">
        <f aca="false">Daromadlilik!A290</f>
        <v>45698</v>
      </c>
      <c r="B295" s="28" t="n">
        <f aca="false">Daromadlilik!H290</f>
        <v>0.00475381385337485</v>
      </c>
      <c r="C295" s="29" t="n">
        <f aca="false">B295^2</f>
        <v>2.25987461525386E-005</v>
      </c>
      <c r="D295" s="29" t="n">
        <f aca="false">$B$4*D294+(1-$B$4)*C294</f>
        <v>7.20574620076668E-005</v>
      </c>
      <c r="E295" s="30" t="n">
        <f aca="false">SQRT(D295)</f>
        <v>0.0084886666802076</v>
      </c>
      <c r="F295" s="31" t="n">
        <f aca="false">E295*SQRT(Parametrlar!$B$6)</f>
        <v>0.134753405990097</v>
      </c>
      <c r="G295" s="31" t="n">
        <f aca="false">STDEV(B276:B295)*SQRT(Parametrlar!$B$6)</f>
        <v>0.147886645624459</v>
      </c>
    </row>
    <row r="296" customFormat="false" ht="15" hidden="false" customHeight="false" outlineLevel="0" collapsed="false">
      <c r="A296" s="19" t="n">
        <f aca="false">Daromadlilik!A291</f>
        <v>45699</v>
      </c>
      <c r="B296" s="28" t="n">
        <f aca="false">Daromadlilik!H291</f>
        <v>0.00557911390877153</v>
      </c>
      <c r="C296" s="29" t="n">
        <f aca="false">B296^2</f>
        <v>3.11265120070479E-005</v>
      </c>
      <c r="D296" s="29" t="n">
        <f aca="false">$B$4*D295+(1-$B$4)*C295</f>
        <v>6.90899390563591E-005</v>
      </c>
      <c r="E296" s="30" t="n">
        <f aca="false">SQRT(D296)</f>
        <v>0.00831203579493972</v>
      </c>
      <c r="F296" s="31" t="n">
        <f aca="false">E296*SQRT(Parametrlar!$B$6)</f>
        <v>0.131949477612465</v>
      </c>
      <c r="G296" s="31" t="n">
        <f aca="false">STDEV(B277:B296)*SQRT(Parametrlar!$B$6)</f>
        <v>0.148448367251104</v>
      </c>
    </row>
    <row r="297" customFormat="false" ht="15" hidden="false" customHeight="false" outlineLevel="0" collapsed="false">
      <c r="A297" s="19" t="n">
        <f aca="false">Daromadlilik!A292</f>
        <v>45700</v>
      </c>
      <c r="B297" s="28" t="n">
        <f aca="false">Daromadlilik!H292</f>
        <v>0.00452168417992649</v>
      </c>
      <c r="C297" s="29" t="n">
        <f aca="false">B297^2</f>
        <v>2.04456278229975E-005</v>
      </c>
      <c r="D297" s="29" t="n">
        <f aca="false">$B$4*D296+(1-$B$4)*C296</f>
        <v>6.68121334334005E-005</v>
      </c>
      <c r="E297" s="30" t="n">
        <f aca="false">SQRT(D297)</f>
        <v>0.00817386893908879</v>
      </c>
      <c r="F297" s="31" t="n">
        <f aca="false">E297*SQRT(Parametrlar!$B$6)</f>
        <v>0.129756146772386</v>
      </c>
      <c r="G297" s="31" t="n">
        <f aca="false">STDEV(B278:B297)*SQRT(Parametrlar!$B$6)</f>
        <v>0.143815890132443</v>
      </c>
    </row>
    <row r="298" customFormat="false" ht="15" hidden="false" customHeight="false" outlineLevel="0" collapsed="false">
      <c r="A298" s="19" t="n">
        <f aca="false">Daromadlilik!A293</f>
        <v>45701</v>
      </c>
      <c r="B298" s="28" t="n">
        <f aca="false">Daromadlilik!H293</f>
        <v>0.0104862768798736</v>
      </c>
      <c r="C298" s="29" t="n">
        <f aca="false">B298^2</f>
        <v>0.000109962002801372</v>
      </c>
      <c r="D298" s="29" t="n">
        <f aca="false">$B$4*D297+(1-$B$4)*C297</f>
        <v>6.40301430967763E-005</v>
      </c>
      <c r="E298" s="30" t="n">
        <f aca="false">SQRT(D298)</f>
        <v>0.00800188372177304</v>
      </c>
      <c r="F298" s="31" t="n">
        <f aca="false">E298*SQRT(Parametrlar!$B$6)</f>
        <v>0.127025966087204</v>
      </c>
      <c r="G298" s="31" t="n">
        <f aca="false">STDEV(B279:B298)*SQRT(Parametrlar!$B$6)</f>
        <v>0.143445836019899</v>
      </c>
    </row>
    <row r="299" customFormat="false" ht="15" hidden="false" customHeight="false" outlineLevel="0" collapsed="false">
      <c r="A299" s="19" t="n">
        <f aca="false">Daromadlilik!A294</f>
        <v>45702</v>
      </c>
      <c r="B299" s="28" t="n">
        <f aca="false">Daromadlilik!H294</f>
        <v>-0.00997290725714629</v>
      </c>
      <c r="C299" s="29" t="n">
        <f aca="false">B299^2</f>
        <v>9.94588791596411E-005</v>
      </c>
      <c r="D299" s="29" t="n">
        <f aca="false">$B$4*D298+(1-$B$4)*C298</f>
        <v>6.6786054679052E-005</v>
      </c>
      <c r="E299" s="30" t="n">
        <f aca="false">SQRT(D299)</f>
        <v>0.00817227353183017</v>
      </c>
      <c r="F299" s="31" t="n">
        <f aca="false">E299*SQRT(Parametrlar!$B$6)</f>
        <v>0.129730820467309</v>
      </c>
      <c r="G299" s="31" t="n">
        <f aca="false">STDEV(B280:B299)*SQRT(Parametrlar!$B$6)</f>
        <v>0.14789798018767</v>
      </c>
    </row>
    <row r="300" customFormat="false" ht="15" hidden="false" customHeight="false" outlineLevel="0" collapsed="false">
      <c r="A300" s="19" t="n">
        <f aca="false">Daromadlilik!A295</f>
        <v>45705</v>
      </c>
      <c r="B300" s="28" t="n">
        <f aca="false">Daromadlilik!H295</f>
        <v>0.00799644970341353</v>
      </c>
      <c r="C300" s="29" t="n">
        <f aca="false">B300^2</f>
        <v>6.39432078592223E-005</v>
      </c>
      <c r="D300" s="29" t="n">
        <f aca="false">$B$4*D299+(1-$B$4)*C299</f>
        <v>6.87464241478874E-005</v>
      </c>
      <c r="E300" s="30" t="n">
        <f aca="false">SQRT(D300)</f>
        <v>0.00829134634108884</v>
      </c>
      <c r="F300" s="31" t="n">
        <f aca="false">E300*SQRT(Parametrlar!$B$6)</f>
        <v>0.131621042714558</v>
      </c>
      <c r="G300" s="31" t="n">
        <f aca="false">STDEV(B281:B300)*SQRT(Parametrlar!$B$6)</f>
        <v>0.149874253924935</v>
      </c>
    </row>
    <row r="301" customFormat="false" ht="15" hidden="false" customHeight="false" outlineLevel="0" collapsed="false">
      <c r="A301" s="19" t="n">
        <f aca="false">Daromadlilik!A296</f>
        <v>45706</v>
      </c>
      <c r="B301" s="28" t="n">
        <f aca="false">Daromadlilik!H296</f>
        <v>0.0199831667674328</v>
      </c>
      <c r="C301" s="29" t="n">
        <f aca="false">B301^2</f>
        <v>0.00039932695405503</v>
      </c>
      <c r="D301" s="29" t="n">
        <f aca="false">$B$4*D300+(1-$B$4)*C300</f>
        <v>6.84582311705674E-005</v>
      </c>
      <c r="E301" s="30" t="n">
        <f aca="false">SQRT(D301)</f>
        <v>0.00827394894657729</v>
      </c>
      <c r="F301" s="31" t="n">
        <f aca="false">E301*SQRT(Parametrlar!$B$6)</f>
        <v>0.13134486763853</v>
      </c>
      <c r="G301" s="31" t="n">
        <f aca="false">STDEV(B282:B301)*SQRT(Parametrlar!$B$6)</f>
        <v>0.163144279162769</v>
      </c>
    </row>
    <row r="302" customFormat="false" ht="15" hidden="false" customHeight="false" outlineLevel="0" collapsed="false">
      <c r="A302" s="19" t="n">
        <f aca="false">Daromadlilik!A297</f>
        <v>45707</v>
      </c>
      <c r="B302" s="28" t="n">
        <f aca="false">Daromadlilik!H297</f>
        <v>-0.0094989109309983</v>
      </c>
      <c r="C302" s="29" t="n">
        <f aca="false">B302^2</f>
        <v>9.0229308875039E-005</v>
      </c>
      <c r="D302" s="29" t="n">
        <f aca="false">$B$4*D301+(1-$B$4)*C301</f>
        <v>8.83103545436352E-005</v>
      </c>
      <c r="E302" s="30" t="n">
        <f aca="false">SQRT(D302)</f>
        <v>0.00939735891320722</v>
      </c>
      <c r="F302" s="31" t="n">
        <f aca="false">E302*SQRT(Parametrlar!$B$6)</f>
        <v>0.149178447990975</v>
      </c>
      <c r="G302" s="31" t="n">
        <f aca="false">STDEV(B283:B302)*SQRT(Parametrlar!$B$6)</f>
        <v>0.166762980338711</v>
      </c>
    </row>
    <row r="303" customFormat="false" ht="15" hidden="false" customHeight="false" outlineLevel="0" collapsed="false">
      <c r="A303" s="19" t="n">
        <f aca="false">Daromadlilik!A298</f>
        <v>45708</v>
      </c>
      <c r="B303" s="28" t="n">
        <f aca="false">Daromadlilik!H298</f>
        <v>0.00381470090499054</v>
      </c>
      <c r="C303" s="29" t="n">
        <f aca="false">B303^2</f>
        <v>1.45519429945357E-005</v>
      </c>
      <c r="D303" s="29" t="n">
        <f aca="false">$B$4*D302+(1-$B$4)*C302</f>
        <v>8.84254918035194E-005</v>
      </c>
      <c r="E303" s="30" t="n">
        <f aca="false">SQRT(D303)</f>
        <v>0.00940348296130319</v>
      </c>
      <c r="F303" s="31" t="n">
        <f aca="false">E303*SQRT(Parametrlar!$B$6)</f>
        <v>0.149275664240649</v>
      </c>
      <c r="G303" s="31" t="n">
        <f aca="false">STDEV(B284:B303)*SQRT(Parametrlar!$B$6)</f>
        <v>0.137369846514928</v>
      </c>
    </row>
    <row r="304" customFormat="false" ht="15" hidden="false" customHeight="false" outlineLevel="0" collapsed="false">
      <c r="A304" s="19" t="n">
        <f aca="false">Daromadlilik!A299</f>
        <v>45709</v>
      </c>
      <c r="B304" s="28" t="n">
        <f aca="false">Daromadlilik!H299</f>
        <v>-0.00165771467148452</v>
      </c>
      <c r="C304" s="29" t="n">
        <f aca="false">B304^2</f>
        <v>2.74801793205503E-006</v>
      </c>
      <c r="D304" s="29" t="n">
        <f aca="false">$B$4*D303+(1-$B$4)*C303</f>
        <v>8.39930788749804E-005</v>
      </c>
      <c r="E304" s="30" t="n">
        <f aca="false">SQRT(D304)</f>
        <v>0.00916477380380882</v>
      </c>
      <c r="F304" s="31" t="n">
        <f aca="false">E304*SQRT(Parametrlar!$B$6)</f>
        <v>0.145486273842226</v>
      </c>
      <c r="G304" s="31" t="n">
        <f aca="false">STDEV(B285:B304)*SQRT(Parametrlar!$B$6)</f>
        <v>0.135579520755561</v>
      </c>
    </row>
    <row r="305" customFormat="false" ht="15" hidden="false" customHeight="false" outlineLevel="0" collapsed="false">
      <c r="A305" s="19" t="n">
        <f aca="false">Daromadlilik!A300</f>
        <v>45712</v>
      </c>
      <c r="B305" s="28" t="n">
        <f aca="false">Daromadlilik!H300</f>
        <v>-0.00403735637744057</v>
      </c>
      <c r="C305" s="29" t="n">
        <f aca="false">B305^2</f>
        <v>1.63002465184601E-005</v>
      </c>
      <c r="D305" s="29" t="n">
        <f aca="false">$B$4*D304+(1-$B$4)*C304</f>
        <v>7.91183752184049E-005</v>
      </c>
      <c r="E305" s="30" t="n">
        <f aca="false">SQRT(D305)</f>
        <v>0.0088948510509398</v>
      </c>
      <c r="F305" s="31" t="n">
        <f aca="false">E305*SQRT(Parametrlar!$B$6)</f>
        <v>0.141201382978489</v>
      </c>
      <c r="G305" s="31" t="n">
        <f aca="false">STDEV(B286:B305)*SQRT(Parametrlar!$B$6)</f>
        <v>0.137010646356709</v>
      </c>
    </row>
    <row r="306" customFormat="false" ht="15" hidden="false" customHeight="false" outlineLevel="0" collapsed="false">
      <c r="A306" s="19" t="n">
        <f aca="false">Daromadlilik!A301</f>
        <v>45713</v>
      </c>
      <c r="B306" s="28" t="n">
        <f aca="false">Daromadlilik!H301</f>
        <v>0.0053723550684562</v>
      </c>
      <c r="C306" s="29" t="n">
        <f aca="false">B306^2</f>
        <v>2.8862198981567E-005</v>
      </c>
      <c r="D306" s="29" t="n">
        <f aca="false">$B$4*D305+(1-$B$4)*C305</f>
        <v>7.53492874964082E-005</v>
      </c>
      <c r="E306" s="30" t="n">
        <f aca="false">SQRT(D306)</f>
        <v>0.00868039673611801</v>
      </c>
      <c r="F306" s="31" t="n">
        <f aca="false">E306*SQRT(Parametrlar!$B$6)</f>
        <v>0.13779702627087</v>
      </c>
      <c r="G306" s="31" t="n">
        <f aca="false">STDEV(B287:B306)*SQRT(Parametrlar!$B$6)</f>
        <v>0.135979234815743</v>
      </c>
    </row>
    <row r="307" customFormat="false" ht="15" hidden="false" customHeight="false" outlineLevel="0" collapsed="false">
      <c r="A307" s="19" t="n">
        <f aca="false">Daromadlilik!A302</f>
        <v>45714</v>
      </c>
      <c r="B307" s="28" t="n">
        <f aca="false">Daromadlilik!H302</f>
        <v>-0.00847801491676181</v>
      </c>
      <c r="C307" s="29" t="n">
        <f aca="false">B307^2</f>
        <v>7.18767369288358E-005</v>
      </c>
      <c r="D307" s="29" t="n">
        <f aca="false">$B$4*D306+(1-$B$4)*C306</f>
        <v>7.25600621855177E-005</v>
      </c>
      <c r="E307" s="30" t="n">
        <f aca="false">SQRT(D307)</f>
        <v>0.0085182194257672</v>
      </c>
      <c r="F307" s="31" t="n">
        <f aca="false">E307*SQRT(Parametrlar!$B$6)</f>
        <v>0.135222541281957</v>
      </c>
      <c r="G307" s="31" t="n">
        <f aca="false">STDEV(B288:B307)*SQRT(Parametrlar!$B$6)</f>
        <v>0.140620693170995</v>
      </c>
    </row>
    <row r="308" customFormat="false" ht="15" hidden="false" customHeight="false" outlineLevel="0" collapsed="false">
      <c r="A308" s="19" t="n">
        <f aca="false">Daromadlilik!A303</f>
        <v>45715</v>
      </c>
      <c r="B308" s="28" t="n">
        <f aca="false">Daromadlilik!H303</f>
        <v>0.000303768906525653</v>
      </c>
      <c r="C308" s="29" t="n">
        <f aca="false">B308^2</f>
        <v>9.22755485717907E-008</v>
      </c>
      <c r="D308" s="29" t="n">
        <f aca="false">$B$4*D307+(1-$B$4)*C307</f>
        <v>7.25190626701168E-005</v>
      </c>
      <c r="E308" s="30" t="n">
        <f aca="false">SQRT(D308)</f>
        <v>0.00851581250792411</v>
      </c>
      <c r="F308" s="31" t="n">
        <f aca="false">E308*SQRT(Parametrlar!$B$6)</f>
        <v>0.135184332645723</v>
      </c>
      <c r="G308" s="31" t="n">
        <f aca="false">STDEV(B289:B308)*SQRT(Parametrlar!$B$6)</f>
        <v>0.138075527050667</v>
      </c>
    </row>
    <row r="309" customFormat="false" ht="15" hidden="false" customHeight="false" outlineLevel="0" collapsed="false">
      <c r="A309" s="19" t="n">
        <f aca="false">Daromadlilik!A304</f>
        <v>45716</v>
      </c>
      <c r="B309" s="28" t="n">
        <f aca="false">Daromadlilik!H304</f>
        <v>-0.02839239184836</v>
      </c>
      <c r="C309" s="29" t="n">
        <f aca="false">B309^2</f>
        <v>0.000806127914870818</v>
      </c>
      <c r="D309" s="29" t="n">
        <f aca="false">$B$4*D308+(1-$B$4)*C308</f>
        <v>6.81734554428241E-005</v>
      </c>
      <c r="E309" s="30" t="n">
        <f aca="false">SQRT(D309)</f>
        <v>0.00825672183392562</v>
      </c>
      <c r="F309" s="31" t="n">
        <f aca="false">E309*SQRT(Parametrlar!$B$6)</f>
        <v>0.131071395703226</v>
      </c>
      <c r="G309" s="31" t="n">
        <f aca="false">STDEV(B290:B309)*SQRT(Parametrlar!$B$6)</f>
        <v>0.167703523324504</v>
      </c>
    </row>
    <row r="310" customFormat="false" ht="15" hidden="false" customHeight="false" outlineLevel="0" collapsed="false">
      <c r="A310" s="19" t="n">
        <f aca="false">Daromadlilik!A305</f>
        <v>45719</v>
      </c>
      <c r="B310" s="28" t="n">
        <f aca="false">Daromadlilik!H305</f>
        <v>-0.0147270340355272</v>
      </c>
      <c r="C310" s="29" t="n">
        <f aca="false">B310^2</f>
        <v>0.000216885531483576</v>
      </c>
      <c r="D310" s="29" t="n">
        <f aca="false">$B$4*D309+(1-$B$4)*C309</f>
        <v>0.000112450723008504</v>
      </c>
      <c r="E310" s="30" t="n">
        <f aca="false">SQRT(D310)</f>
        <v>0.0106042785237141</v>
      </c>
      <c r="F310" s="31" t="n">
        <f aca="false">E310*SQRT(Parametrlar!$B$6)</f>
        <v>0.168337702842064</v>
      </c>
      <c r="G310" s="31" t="n">
        <f aca="false">STDEV(B291:B310)*SQRT(Parametrlar!$B$6)</f>
        <v>0.176024022057607</v>
      </c>
    </row>
    <row r="311" customFormat="false" ht="15" hidden="false" customHeight="false" outlineLevel="0" collapsed="false">
      <c r="A311" s="19" t="n">
        <f aca="false">Daromadlilik!A306</f>
        <v>45720</v>
      </c>
      <c r="B311" s="28" t="n">
        <f aca="false">Daromadlilik!H306</f>
        <v>0.0052937069921161</v>
      </c>
      <c r="C311" s="29" t="n">
        <f aca="false">B311^2</f>
        <v>2.80233337183789E-005</v>
      </c>
      <c r="D311" s="29" t="n">
        <f aca="false">$B$4*D310+(1-$B$4)*C310</f>
        <v>0.000118716811517008</v>
      </c>
      <c r="E311" s="30" t="n">
        <f aca="false">SQRT(D311)</f>
        <v>0.0108957244604023</v>
      </c>
      <c r="F311" s="31" t="n">
        <f aca="false">E311*SQRT(Parametrlar!$B$6)</f>
        <v>0.172964263656647</v>
      </c>
      <c r="G311" s="31" t="n">
        <f aca="false">STDEV(B292:B311)*SQRT(Parametrlar!$B$6)</f>
        <v>0.174301294469317</v>
      </c>
    </row>
    <row r="312" customFormat="false" ht="15" hidden="false" customHeight="false" outlineLevel="0" collapsed="false">
      <c r="A312" s="19" t="n">
        <f aca="false">Daromadlilik!A307</f>
        <v>45721</v>
      </c>
      <c r="B312" s="28" t="n">
        <f aca="false">Daromadlilik!H307</f>
        <v>-0.0207468134649079</v>
      </c>
      <c r="C312" s="29" t="n">
        <f aca="false">B312^2</f>
        <v>0.000430430268947685</v>
      </c>
      <c r="D312" s="29" t="n">
        <f aca="false">$B$4*D311+(1-$B$4)*C311</f>
        <v>0.00011327520284909</v>
      </c>
      <c r="E312" s="30" t="n">
        <f aca="false">SQRT(D312)</f>
        <v>0.01064308239417</v>
      </c>
      <c r="F312" s="31" t="n">
        <f aca="false">E312*SQRT(Parametrlar!$B$6)</f>
        <v>0.168953695188862</v>
      </c>
      <c r="G312" s="31" t="n">
        <f aca="false">STDEV(B293:B312)*SQRT(Parametrlar!$B$6)</f>
        <v>0.189019842347958</v>
      </c>
    </row>
    <row r="313" customFormat="false" ht="15" hidden="false" customHeight="false" outlineLevel="0" collapsed="false">
      <c r="A313" s="19" t="n">
        <f aca="false">Daromadlilik!A308</f>
        <v>45722</v>
      </c>
      <c r="B313" s="28" t="n">
        <f aca="false">Daromadlilik!H308</f>
        <v>-0.0125616027970908</v>
      </c>
      <c r="C313" s="29" t="n">
        <f aca="false">B313^2</f>
        <v>0.000157793864831879</v>
      </c>
      <c r="D313" s="29" t="n">
        <f aca="false">$B$4*D312+(1-$B$4)*C312</f>
        <v>0.000132304506815006</v>
      </c>
      <c r="E313" s="30" t="n">
        <f aca="false">SQRT(D313)</f>
        <v>0.0115023696173878</v>
      </c>
      <c r="F313" s="31" t="n">
        <f aca="false">E313*SQRT(Parametrlar!$B$6)</f>
        <v>0.18259445697332</v>
      </c>
      <c r="G313" s="31" t="n">
        <f aca="false">STDEV(B294:B313)*SQRT(Parametrlar!$B$6)</f>
        <v>0.192743778221702</v>
      </c>
    </row>
    <row r="314" customFormat="false" ht="15" hidden="false" customHeight="false" outlineLevel="0" collapsed="false">
      <c r="A314" s="19" t="n">
        <f aca="false">Daromadlilik!A309</f>
        <v>45723</v>
      </c>
      <c r="B314" s="28" t="n">
        <f aca="false">Daromadlilik!H309</f>
        <v>-0.0269778312543257</v>
      </c>
      <c r="C314" s="29" t="n">
        <f aca="false">B314^2</f>
        <v>0.000727803379186873</v>
      </c>
      <c r="D314" s="29" t="n">
        <f aca="false">$B$4*D313+(1-$B$4)*C313</f>
        <v>0.000133833868296018</v>
      </c>
      <c r="E314" s="30" t="n">
        <f aca="false">SQRT(D314)</f>
        <v>0.0115686588806144</v>
      </c>
      <c r="F314" s="31" t="n">
        <f aca="false">E314*SQRT(Parametrlar!$B$6)</f>
        <v>0.183646766403867</v>
      </c>
      <c r="G314" s="31" t="n">
        <f aca="false">STDEV(B295:B314)*SQRT(Parametrlar!$B$6)</f>
        <v>0.202800130874557</v>
      </c>
    </row>
    <row r="315" customFormat="false" ht="15" hidden="false" customHeight="false" outlineLevel="0" collapsed="false">
      <c r="A315" s="19" t="n">
        <f aca="false">Daromadlilik!A310</f>
        <v>45726</v>
      </c>
      <c r="B315" s="28" t="n">
        <f aca="false">Daromadlilik!H310</f>
        <v>-0.0169421949908528</v>
      </c>
      <c r="C315" s="29" t="n">
        <f aca="false">B315^2</f>
        <v>0.000287037971108078</v>
      </c>
      <c r="D315" s="29" t="n">
        <f aca="false">$B$4*D314+(1-$B$4)*C314</f>
        <v>0.00016947203894947</v>
      </c>
      <c r="E315" s="30" t="n">
        <f aca="false">SQRT(D315)</f>
        <v>0.013018142684326</v>
      </c>
      <c r="F315" s="31" t="n">
        <f aca="false">E315*SQRT(Parametrlar!$B$6)</f>
        <v>0.206656608448088</v>
      </c>
      <c r="G315" s="31" t="n">
        <f aca="false">STDEV(B296:B315)*SQRT(Parametrlar!$B$6)</f>
        <v>0.205764604472604</v>
      </c>
    </row>
    <row r="316" customFormat="false" ht="15" hidden="false" customHeight="false" outlineLevel="0" collapsed="false">
      <c r="A316" s="19" t="n">
        <f aca="false">Daromadlilik!A311</f>
        <v>45727</v>
      </c>
      <c r="B316" s="28" t="n">
        <f aca="false">Daromadlilik!H311</f>
        <v>-0.0159308576047254</v>
      </c>
      <c r="C316" s="29" t="n">
        <f aca="false">B316^2</f>
        <v>0.000253792224022038</v>
      </c>
      <c r="D316" s="29" t="n">
        <f aca="false">$B$4*D315+(1-$B$4)*C315</f>
        <v>0.000176525994878986</v>
      </c>
      <c r="E316" s="30" t="n">
        <f aca="false">SQRT(D316)</f>
        <v>0.0132863085497435</v>
      </c>
      <c r="F316" s="31" t="n">
        <f aca="false">E316*SQRT(Parametrlar!$B$6)</f>
        <v>0.210913609588155</v>
      </c>
      <c r="G316" s="31" t="n">
        <f aca="false">STDEV(B297:B316)*SQRT(Parametrlar!$B$6)</f>
        <v>0.205911582232633</v>
      </c>
    </row>
    <row r="317" customFormat="false" ht="15" hidden="false" customHeight="false" outlineLevel="0" collapsed="false">
      <c r="A317" s="19" t="n">
        <f aca="false">Daromadlilik!A312</f>
        <v>45728</v>
      </c>
      <c r="B317" s="28" t="n">
        <f aca="false">Daromadlilik!H312</f>
        <v>0.00377664771951018</v>
      </c>
      <c r="C317" s="29" t="n">
        <f aca="false">B317^2</f>
        <v>1.42630679972814E-005</v>
      </c>
      <c r="D317" s="29" t="n">
        <f aca="false">$B$4*D316+(1-$B$4)*C316</f>
        <v>0.000181161968627569</v>
      </c>
      <c r="E317" s="30" t="n">
        <f aca="false">SQRT(D317)</f>
        <v>0.0134596422176657</v>
      </c>
      <c r="F317" s="31" t="n">
        <f aca="false">E317*SQRT(Parametrlar!$B$6)</f>
        <v>0.213665196263096</v>
      </c>
      <c r="G317" s="31" t="n">
        <f aca="false">STDEV(B298:B317)*SQRT(Parametrlar!$B$6)</f>
        <v>0.205441934360536</v>
      </c>
    </row>
    <row r="318" customFormat="false" ht="15" hidden="false" customHeight="false" outlineLevel="0" collapsed="false">
      <c r="A318" s="19" t="n">
        <f aca="false">Daromadlilik!A313</f>
        <v>45729</v>
      </c>
      <c r="B318" s="28" t="n">
        <f aca="false">Daromadlilik!H313</f>
        <v>-0.00294439585349643</v>
      </c>
      <c r="C318" s="29" t="n">
        <f aca="false">B318^2</f>
        <v>8.66946694208695E-006</v>
      </c>
      <c r="D318" s="29" t="n">
        <f aca="false">$B$4*D317+(1-$B$4)*C317</f>
        <v>0.000171148034589752</v>
      </c>
      <c r="E318" s="30" t="n">
        <f aca="false">SQRT(D318)</f>
        <v>0.0130823558501423</v>
      </c>
      <c r="F318" s="31" t="n">
        <f aca="false">E318*SQRT(Parametrlar!$B$6)</f>
        <v>0.207675960853965</v>
      </c>
      <c r="G318" s="31" t="n">
        <f aca="false">STDEV(B299:B318)*SQRT(Parametrlar!$B$6)</f>
        <v>0.196805094856206</v>
      </c>
    </row>
    <row r="319" customFormat="false" ht="15" hidden="false" customHeight="false" outlineLevel="0" collapsed="false">
      <c r="A319" s="19" t="n">
        <f aca="false">Daromadlilik!A314</f>
        <v>45730</v>
      </c>
      <c r="B319" s="28" t="n">
        <f aca="false">Daromadlilik!H314</f>
        <v>-0.00526886402526508</v>
      </c>
      <c r="C319" s="29" t="n">
        <f aca="false">B319^2</f>
        <v>2.77609281167326E-005</v>
      </c>
      <c r="D319" s="29" t="n">
        <f aca="false">$B$4*D318+(1-$B$4)*C318</f>
        <v>0.000161399320530892</v>
      </c>
      <c r="E319" s="30" t="n">
        <f aca="false">SQRT(D319)</f>
        <v>0.0127043032288627</v>
      </c>
      <c r="F319" s="31" t="n">
        <f aca="false">E319*SQRT(Parametrlar!$B$6)</f>
        <v>0.201674561543554</v>
      </c>
      <c r="G319" s="31" t="n">
        <f aca="false">STDEV(B300:B319)*SQRT(Parametrlar!$B$6)</f>
        <v>0.196353740082319</v>
      </c>
    </row>
    <row r="320" customFormat="false" ht="15" hidden="false" customHeight="false" outlineLevel="0" collapsed="false">
      <c r="A320" s="19" t="n">
        <f aca="false">Daromadlilik!A315</f>
        <v>45733</v>
      </c>
      <c r="B320" s="28" t="n">
        <f aca="false">Daromadlilik!H315</f>
        <v>-0.00144179404010643</v>
      </c>
      <c r="C320" s="29" t="n">
        <f aca="false">B320^2</f>
        <v>2.07877005408643E-006</v>
      </c>
      <c r="D320" s="29" t="n">
        <f aca="false">$B$4*D319+(1-$B$4)*C319</f>
        <v>0.000153381016986043</v>
      </c>
      <c r="E320" s="30" t="n">
        <f aca="false">SQRT(D320)</f>
        <v>0.0123847089988438</v>
      </c>
      <c r="F320" s="31" t="n">
        <f aca="false">E320*SQRT(Parametrlar!$B$6)</f>
        <v>0.196601160425066</v>
      </c>
      <c r="G320" s="31" t="n">
        <f aca="false">STDEV(B301:B320)*SQRT(Parametrlar!$B$6)</f>
        <v>0.190138656861226</v>
      </c>
    </row>
    <row r="321" customFormat="false" ht="15" hidden="false" customHeight="false" outlineLevel="0" collapsed="false">
      <c r="A321" s="19" t="n">
        <f aca="false">Daromadlilik!A316</f>
        <v>45734</v>
      </c>
      <c r="B321" s="28" t="n">
        <f aca="false">Daromadlilik!H316</f>
        <v>0.0183307450049034</v>
      </c>
      <c r="C321" s="29" t="n">
        <f aca="false">B321^2</f>
        <v>0.000336016212434793</v>
      </c>
      <c r="D321" s="29" t="n">
        <f aca="false">$B$4*D320+(1-$B$4)*C320</f>
        <v>0.000144302882170125</v>
      </c>
      <c r="E321" s="30" t="n">
        <f aca="false">SQRT(D321)</f>
        <v>0.01201261346128</v>
      </c>
      <c r="F321" s="31" t="n">
        <f aca="false">E321*SQRT(Parametrlar!$B$6)</f>
        <v>0.190694326886962</v>
      </c>
      <c r="G321" s="31" t="n">
        <f aca="false">STDEV(B302:B321)*SQRT(Parametrlar!$B$6)</f>
        <v>0.187146891915369</v>
      </c>
    </row>
    <row r="322" customFormat="false" ht="15" hidden="false" customHeight="false" outlineLevel="0" collapsed="false">
      <c r="A322" s="19" t="n">
        <f aca="false">Daromadlilik!A317</f>
        <v>45735</v>
      </c>
      <c r="B322" s="28" t="n">
        <f aca="false">Daromadlilik!H317</f>
        <v>-0.00643619547192594</v>
      </c>
      <c r="C322" s="29" t="n">
        <f aca="false">B322^2</f>
        <v>4.142461215284E-005</v>
      </c>
      <c r="D322" s="29" t="n">
        <f aca="false">$B$4*D321+(1-$B$4)*C321</f>
        <v>0.000155805681986005</v>
      </c>
      <c r="E322" s="30" t="n">
        <f aca="false">SQRT(D322)</f>
        <v>0.01248221462666</v>
      </c>
      <c r="F322" s="31" t="n">
        <f aca="false">E322*SQRT(Parametrlar!$B$6)</f>
        <v>0.198149014280852</v>
      </c>
      <c r="G322" s="31" t="n">
        <f aca="false">STDEV(B303:B322)*SQRT(Parametrlar!$B$6)</f>
        <v>0.186840934546269</v>
      </c>
    </row>
    <row r="323" customFormat="false" ht="15" hidden="false" customHeight="false" outlineLevel="0" collapsed="false">
      <c r="A323" s="19" t="n">
        <f aca="false">Daromadlilik!A318</f>
        <v>45736</v>
      </c>
      <c r="B323" s="28" t="n">
        <f aca="false">Daromadlilik!H318</f>
        <v>0.0102473026635922</v>
      </c>
      <c r="C323" s="29" t="n">
        <f aca="false">B323^2</f>
        <v>0.000105007211879264</v>
      </c>
      <c r="D323" s="29" t="n">
        <f aca="false">$B$4*D322+(1-$B$4)*C322</f>
        <v>0.000148942817796015</v>
      </c>
      <c r="E323" s="30" t="n">
        <f aca="false">SQRT(D323)</f>
        <v>0.0122042131166256</v>
      </c>
      <c r="F323" s="31" t="n">
        <f aca="false">E323*SQRT(Parametrlar!$B$6)</f>
        <v>0.193735877122942</v>
      </c>
      <c r="G323" s="31" t="n">
        <f aca="false">STDEV(B304:B323)*SQRT(Parametrlar!$B$6)</f>
        <v>0.192841791449419</v>
      </c>
    </row>
    <row r="324" customFormat="false" ht="15" hidden="false" customHeight="false" outlineLevel="0" collapsed="false">
      <c r="A324" s="19" t="n">
        <f aca="false">Daromadlilik!A319</f>
        <v>45737</v>
      </c>
      <c r="B324" s="28" t="n">
        <f aca="false">Daromadlilik!H319</f>
        <v>-0.018268637059022</v>
      </c>
      <c r="C324" s="29" t="n">
        <f aca="false">B324^2</f>
        <v>0.000333743099994272</v>
      </c>
      <c r="D324" s="29" t="n">
        <f aca="false">$B$4*D323+(1-$B$4)*C323</f>
        <v>0.00014630668144101</v>
      </c>
      <c r="E324" s="30" t="n">
        <f aca="false">SQRT(D324)</f>
        <v>0.0120957298845919</v>
      </c>
      <c r="F324" s="31" t="n">
        <f aca="false">E324*SQRT(Parametrlar!$B$6)</f>
        <v>0.192013759202653</v>
      </c>
      <c r="G324" s="31" t="n">
        <f aca="false">STDEV(B305:B324)*SQRT(Parametrlar!$B$6)</f>
        <v>0.196673201481605</v>
      </c>
    </row>
    <row r="325" customFormat="false" ht="15" hidden="false" customHeight="false" outlineLevel="0" collapsed="false">
      <c r="A325" s="19" t="n">
        <f aca="false">Daromadlilik!A320</f>
        <v>45740</v>
      </c>
      <c r="B325" s="28" t="n">
        <f aca="false">Daromadlilik!H320</f>
        <v>-0.0341539436320419</v>
      </c>
      <c r="C325" s="29" t="n">
        <f aca="false">B325^2</f>
        <v>0.00116649186562069</v>
      </c>
      <c r="D325" s="29" t="n">
        <f aca="false">$B$4*D324+(1-$B$4)*C324</f>
        <v>0.000157552866554206</v>
      </c>
      <c r="E325" s="30" t="n">
        <f aca="false">SQRT(D325)</f>
        <v>0.0125520064752296</v>
      </c>
      <c r="F325" s="31" t="n">
        <f aca="false">E325*SQRT(Parametrlar!$B$6)</f>
        <v>0.19925692552998</v>
      </c>
      <c r="G325" s="31" t="n">
        <f aca="false">STDEV(B306:B325)*SQRT(Parametrlar!$B$6)</f>
        <v>0.218514687409416</v>
      </c>
    </row>
    <row r="326" customFormat="false" ht="15" hidden="false" customHeight="false" outlineLevel="0" collapsed="false">
      <c r="A326" s="19" t="n">
        <f aca="false">Daromadlilik!A321</f>
        <v>45741</v>
      </c>
      <c r="B326" s="28" t="n">
        <f aca="false">Daromadlilik!H321</f>
        <v>-0.0165030912444773</v>
      </c>
      <c r="C326" s="29" t="n">
        <f aca="false">B326^2</f>
        <v>0.000272352020623543</v>
      </c>
      <c r="D326" s="29" t="n">
        <f aca="false">$B$4*D325+(1-$B$4)*C325</f>
        <v>0.000218089206498195</v>
      </c>
      <c r="E326" s="30" t="n">
        <f aca="false">SQRT(D326)</f>
        <v>0.0147678436644689</v>
      </c>
      <c r="F326" s="31" t="n">
        <f aca="false">E326*SQRT(Parametrlar!$B$6)</f>
        <v>0.234432250421194</v>
      </c>
      <c r="G326" s="31" t="n">
        <f aca="false">STDEV(B307:B326)*SQRT(Parametrlar!$B$6)</f>
        <v>0.213845729846756</v>
      </c>
    </row>
    <row r="327" customFormat="false" ht="15" hidden="false" customHeight="false" outlineLevel="0" collapsed="false">
      <c r="A327" s="19" t="n">
        <f aca="false">Daromadlilik!A322</f>
        <v>45742</v>
      </c>
      <c r="B327" s="28" t="n">
        <f aca="false">Daromadlilik!H322</f>
        <v>0.00662532248139246</v>
      </c>
      <c r="C327" s="29" t="n">
        <f aca="false">B327^2</f>
        <v>4.38948979824443E-005</v>
      </c>
      <c r="D327" s="29" t="n">
        <f aca="false">$B$4*D326+(1-$B$4)*C326</f>
        <v>0.000221344975345716</v>
      </c>
      <c r="E327" s="30" t="n">
        <f aca="false">SQRT(D327)</f>
        <v>0.0148776669994229</v>
      </c>
      <c r="F327" s="31" t="n">
        <f aca="false">E327*SQRT(Parametrlar!$B$6)</f>
        <v>0.236175641815833</v>
      </c>
      <c r="G327" s="31" t="n">
        <f aca="false">STDEV(B308:B327)*SQRT(Parametrlar!$B$6)</f>
        <v>0.221472625632902</v>
      </c>
    </row>
    <row r="328" customFormat="false" ht="15" hidden="false" customHeight="false" outlineLevel="0" collapsed="false">
      <c r="A328" s="19" t="n">
        <f aca="false">Daromadlilik!A323</f>
        <v>45743</v>
      </c>
      <c r="B328" s="28" t="n">
        <f aca="false">Daromadlilik!H323</f>
        <v>0.00903124948842435</v>
      </c>
      <c r="C328" s="29" t="n">
        <f aca="false">B328^2</f>
        <v>8.15634673221651E-005</v>
      </c>
      <c r="D328" s="29" t="n">
        <f aca="false">$B$4*D327+(1-$B$4)*C327</f>
        <v>0.00021069797070392</v>
      </c>
      <c r="E328" s="30" t="n">
        <f aca="false">SQRT(D328)</f>
        <v>0.014515439046199</v>
      </c>
      <c r="F328" s="31" t="n">
        <f aca="false">E328*SQRT(Parametrlar!$B$6)</f>
        <v>0.230425451322956</v>
      </c>
      <c r="G328" s="31" t="n">
        <f aca="false">STDEV(B309:B328)*SQRT(Parametrlar!$B$6)</f>
        <v>0.228310664774971</v>
      </c>
    </row>
    <row r="329" customFormat="false" ht="15" hidden="false" customHeight="false" outlineLevel="0" collapsed="false">
      <c r="A329" s="19" t="n">
        <f aca="false">Daromadlilik!A324</f>
        <v>45744</v>
      </c>
      <c r="B329" s="28" t="n">
        <f aca="false">Daromadlilik!H324</f>
        <v>0.0167620645498359</v>
      </c>
      <c r="C329" s="29" t="n">
        <f aca="false">B329^2</f>
        <v>0.000280966807972865</v>
      </c>
      <c r="D329" s="29" t="n">
        <f aca="false">$B$4*D328+(1-$B$4)*C328</f>
        <v>0.000202949900501015</v>
      </c>
      <c r="E329" s="30" t="n">
        <f aca="false">SQRT(D329)</f>
        <v>0.0142460485925401</v>
      </c>
      <c r="F329" s="31" t="n">
        <f aca="false">E329*SQRT(Parametrlar!$B$6)</f>
        <v>0.226149010447217</v>
      </c>
      <c r="G329" s="31" t="n">
        <f aca="false">STDEV(B310:B329)*SQRT(Parametrlar!$B$6)</f>
        <v>0.232097265649192</v>
      </c>
    </row>
    <row r="330" customFormat="false" ht="15" hidden="false" customHeight="false" outlineLevel="0" collapsed="false">
      <c r="A330" s="19" t="n">
        <f aca="false">Daromadlilik!A325</f>
        <v>45747</v>
      </c>
      <c r="B330" s="28" t="n">
        <f aca="false">Daromadlilik!H325</f>
        <v>0.00243654601685082</v>
      </c>
      <c r="C330" s="29" t="n">
        <f aca="false">B330^2</f>
        <v>5.93675649223162E-006</v>
      </c>
      <c r="D330" s="29" t="n">
        <f aca="false">$B$4*D329+(1-$B$4)*C329</f>
        <v>0.000207630914949326</v>
      </c>
      <c r="E330" s="30" t="n">
        <f aca="false">SQRT(D330)</f>
        <v>0.0144094036986034</v>
      </c>
      <c r="F330" s="31" t="n">
        <f aca="false">E330*SQRT(Parametrlar!$B$6)</f>
        <v>0.228742192363434</v>
      </c>
      <c r="G330" s="31" t="n">
        <f aca="false">STDEV(B311:B330)*SQRT(Parametrlar!$B$6)</f>
        <v>0.231672654762122</v>
      </c>
    </row>
    <row r="331" customFormat="false" ht="15" hidden="false" customHeight="false" outlineLevel="0" collapsed="false">
      <c r="A331" s="19" t="n">
        <f aca="false">Daromadlilik!A326</f>
        <v>45748</v>
      </c>
      <c r="B331" s="28" t="n">
        <f aca="false">Daromadlilik!H326</f>
        <v>0.015016835380521</v>
      </c>
      <c r="C331" s="29" t="n">
        <f aca="false">B331^2</f>
        <v>0.000225505344845668</v>
      </c>
      <c r="D331" s="29" t="n">
        <f aca="false">$B$4*D330+(1-$B$4)*C330</f>
        <v>0.0001955292654419</v>
      </c>
      <c r="E331" s="30" t="n">
        <f aca="false">SQRT(D331)</f>
        <v>0.0139831779450131</v>
      </c>
      <c r="F331" s="31" t="n">
        <f aca="false">E331*SQRT(Parametrlar!$B$6)</f>
        <v>0.221976068285207</v>
      </c>
      <c r="G331" s="31" t="n">
        <f aca="false">STDEV(B312:B331)*SQRT(Parametrlar!$B$6)</f>
        <v>0.239982306574802</v>
      </c>
    </row>
    <row r="332" customFormat="false" ht="15" hidden="false" customHeight="false" outlineLevel="0" collapsed="false">
      <c r="A332" s="19" t="n">
        <f aca="false">Daromadlilik!A327</f>
        <v>45749</v>
      </c>
      <c r="B332" s="28" t="n">
        <f aca="false">Daromadlilik!H327</f>
        <v>0.0434819460102061</v>
      </c>
      <c r="C332" s="29" t="n">
        <f aca="false">B332^2</f>
        <v>0.00189067962883448</v>
      </c>
      <c r="D332" s="29" t="n">
        <f aca="false">$B$4*D331+(1-$B$4)*C331</f>
        <v>0.000197327830206126</v>
      </c>
      <c r="E332" s="30" t="n">
        <f aca="false">SQRT(D332)</f>
        <v>0.0140473424606267</v>
      </c>
      <c r="F332" s="31" t="n">
        <f aca="false">E332*SQRT(Parametrlar!$B$6)</f>
        <v>0.222994648393058</v>
      </c>
      <c r="G332" s="31" t="n">
        <f aca="false">STDEV(B313:B332)*SQRT(Parametrlar!$B$6)</f>
        <v>0.287048755121384</v>
      </c>
    </row>
    <row r="333" customFormat="false" ht="15" hidden="false" customHeight="false" outlineLevel="0" collapsed="false">
      <c r="A333" s="19" t="n">
        <f aca="false">Daromadlilik!A328</f>
        <v>45750</v>
      </c>
      <c r="B333" s="28" t="n">
        <f aca="false">Daromadlilik!H328</f>
        <v>0.0130061909536626</v>
      </c>
      <c r="C333" s="29" t="n">
        <f aca="false">B333^2</f>
        <v>0.000169161003123136</v>
      </c>
      <c r="D333" s="29" t="n">
        <f aca="false">$B$4*D332+(1-$B$4)*C332</f>
        <v>0.000298928938123827</v>
      </c>
      <c r="E333" s="30" t="n">
        <f aca="false">SQRT(D333)</f>
        <v>0.0172895615364828</v>
      </c>
      <c r="F333" s="31" t="n">
        <f aca="false">E333*SQRT(Parametrlar!$B$6)</f>
        <v>0.274463280617289</v>
      </c>
      <c r="G333" s="31" t="n">
        <f aca="false">STDEV(B314:B333)*SQRT(Parametrlar!$B$6)</f>
        <v>0.288426626634943</v>
      </c>
    </row>
    <row r="334" customFormat="false" ht="15" hidden="false" customHeight="false" outlineLevel="0" collapsed="false">
      <c r="A334" s="19" t="n">
        <f aca="false">Daromadlilik!A329</f>
        <v>45751</v>
      </c>
      <c r="B334" s="28" t="n">
        <f aca="false">Daromadlilik!H329</f>
        <v>0.00612966072117925</v>
      </c>
      <c r="C334" s="29" t="n">
        <f aca="false">B334^2</f>
        <v>3.75727405567678E-005</v>
      </c>
      <c r="D334" s="29" t="n">
        <f aca="false">$B$4*D333+(1-$B$4)*C333</f>
        <v>0.000291142862023786</v>
      </c>
      <c r="E334" s="30" t="n">
        <f aca="false">SQRT(D334)</f>
        <v>0.017062908955503</v>
      </c>
      <c r="F334" s="31" t="n">
        <f aca="false">E334*SQRT(Parametrlar!$B$6)</f>
        <v>0.270865282437587</v>
      </c>
      <c r="G334" s="31" t="n">
        <f aca="false">STDEV(B315:B334)*SQRT(Parametrlar!$B$6)</f>
        <v>0.271253704088333</v>
      </c>
    </row>
    <row r="335" customFormat="false" ht="15" hidden="false" customHeight="false" outlineLevel="0" collapsed="false">
      <c r="A335" s="19" t="n">
        <f aca="false">Daromadlilik!A330</f>
        <v>45754</v>
      </c>
      <c r="B335" s="28" t="n">
        <f aca="false">Daromadlilik!H330</f>
        <v>0.00958231834796996</v>
      </c>
      <c r="C335" s="29" t="n">
        <f aca="false">B335^2</f>
        <v>9.18208249218418E-005</v>
      </c>
      <c r="D335" s="29" t="n">
        <f aca="false">$B$4*D334+(1-$B$4)*C334</f>
        <v>0.000275928654735765</v>
      </c>
      <c r="E335" s="30" t="n">
        <f aca="false">SQRT(D335)</f>
        <v>0.0166111003469296</v>
      </c>
      <c r="F335" s="31" t="n">
        <f aca="false">E335*SQRT(Parametrlar!$B$6)</f>
        <v>0.263693043126687</v>
      </c>
      <c r="G335" s="31" t="n">
        <f aca="false">STDEV(B316:B335)*SQRT(Parametrlar!$B$6)</f>
        <v>0.263769888607817</v>
      </c>
    </row>
    <row r="336" customFormat="false" ht="15" hidden="false" customHeight="false" outlineLevel="0" collapsed="false">
      <c r="A336" s="19" t="n">
        <f aca="false">Daromadlilik!A331</f>
        <v>45755</v>
      </c>
      <c r="B336" s="28" t="n">
        <f aca="false">Daromadlilik!H331</f>
        <v>-0.00498834904216667</v>
      </c>
      <c r="C336" s="29" t="n">
        <f aca="false">B336^2</f>
        <v>2.48836261664852E-005</v>
      </c>
      <c r="D336" s="29" t="n">
        <f aca="false">$B$4*D335+(1-$B$4)*C335</f>
        <v>0.000264882184946929</v>
      </c>
      <c r="E336" s="30" t="n">
        <f aca="false">SQRT(D336)</f>
        <v>0.0162752015332201</v>
      </c>
      <c r="F336" s="31" t="n">
        <f aca="false">E336*SQRT(Parametrlar!$B$6)</f>
        <v>0.258360814766145</v>
      </c>
      <c r="G336" s="31" t="n">
        <f aca="false">STDEV(B317:B336)*SQRT(Parametrlar!$B$6)</f>
        <v>0.256286840097867</v>
      </c>
    </row>
    <row r="337" customFormat="false" ht="15" hidden="false" customHeight="false" outlineLevel="0" collapsed="false">
      <c r="A337" s="19" t="n">
        <f aca="false">Daromadlilik!A332</f>
        <v>45756</v>
      </c>
      <c r="B337" s="28" t="n">
        <f aca="false">Daromadlilik!H332</f>
        <v>0.0392492514400705</v>
      </c>
      <c r="C337" s="29" t="n">
        <f aca="false">B337^2</f>
        <v>0.00154050373860587</v>
      </c>
      <c r="D337" s="29" t="n">
        <f aca="false">$B$4*D336+(1-$B$4)*C336</f>
        <v>0.000250482271420103</v>
      </c>
      <c r="E337" s="30" t="n">
        <f aca="false">SQRT(D337)</f>
        <v>0.0158266317143005</v>
      </c>
      <c r="F337" s="31" t="n">
        <f aca="false">E337*SQRT(Parametrlar!$B$6)</f>
        <v>0.251239989647082</v>
      </c>
      <c r="G337" s="31" t="n">
        <f aca="false">STDEV(B318:B337)*SQRT(Parametrlar!$B$6)</f>
        <v>0.286461799702897</v>
      </c>
    </row>
    <row r="338" customFormat="false" ht="15" hidden="false" customHeight="false" outlineLevel="0" collapsed="false">
      <c r="A338" s="19" t="n">
        <f aca="false">Daromadlilik!A333</f>
        <v>45757</v>
      </c>
      <c r="B338" s="28" t="n">
        <f aca="false">Daromadlilik!H333</f>
        <v>0.00239757536753691</v>
      </c>
      <c r="C338" s="29" t="n">
        <f aca="false">B338^2</f>
        <v>5.74836764301973E-006</v>
      </c>
      <c r="D338" s="29" t="n">
        <f aca="false">$B$4*D337+(1-$B$4)*C337</f>
        <v>0.000327883559451249</v>
      </c>
      <c r="E338" s="30" t="n">
        <f aca="false">SQRT(D338)</f>
        <v>0.0181075553140464</v>
      </c>
      <c r="F338" s="31" t="n">
        <f aca="false">E338*SQRT(Parametrlar!$B$6)</f>
        <v>0.287448529273877</v>
      </c>
      <c r="G338" s="31" t="n">
        <f aca="false">STDEV(B319:B338)*SQRT(Parametrlar!$B$6)</f>
        <v>0.285122659873309</v>
      </c>
    </row>
    <row r="339" customFormat="false" ht="15" hidden="false" customHeight="false" outlineLevel="0" collapsed="false">
      <c r="A339" s="19" t="n">
        <f aca="false">Daromadlilik!A334</f>
        <v>45758</v>
      </c>
      <c r="B339" s="28" t="n">
        <f aca="false">Daromadlilik!H334</f>
        <v>-0.0191243333572391</v>
      </c>
      <c r="C339" s="29" t="n">
        <f aca="false">B339^2</f>
        <v>0.000365740126358808</v>
      </c>
      <c r="D339" s="29" t="n">
        <f aca="false">$B$4*D338+(1-$B$4)*C338</f>
        <v>0.000308555447942755</v>
      </c>
      <c r="E339" s="30" t="n">
        <f aca="false">SQRT(D339)</f>
        <v>0.0175657464385307</v>
      </c>
      <c r="F339" s="31" t="n">
        <f aca="false">E339*SQRT(Parametrlar!$B$6)</f>
        <v>0.278847580017425</v>
      </c>
      <c r="G339" s="31" t="n">
        <f aca="false">STDEV(B320:B339)*SQRT(Parametrlar!$B$6)</f>
        <v>0.29594626088647</v>
      </c>
    </row>
    <row r="340" customFormat="false" ht="15" hidden="false" customHeight="false" outlineLevel="0" collapsed="false">
      <c r="A340" s="19" t="n">
        <f aca="false">Daromadlilik!A335</f>
        <v>45761</v>
      </c>
      <c r="B340" s="28" t="n">
        <f aca="false">Daromadlilik!H335</f>
        <v>-0.00311837975981912</v>
      </c>
      <c r="C340" s="29" t="n">
        <f aca="false">B340^2</f>
        <v>9.72429232644954E-006</v>
      </c>
      <c r="D340" s="29" t="n">
        <f aca="false">$B$4*D339+(1-$B$4)*C339</f>
        <v>0.000311986528647718</v>
      </c>
      <c r="E340" s="30" t="n">
        <f aca="false">SQRT(D340)</f>
        <v>0.0176631403959692</v>
      </c>
      <c r="F340" s="31" t="n">
        <f aca="false">E340*SQRT(Parametrlar!$B$6)</f>
        <v>0.28039366116092</v>
      </c>
      <c r="G340" s="31" t="n">
        <f aca="false">STDEV(B321:B340)*SQRT(Parametrlar!$B$6)</f>
        <v>0.296457299714783</v>
      </c>
    </row>
    <row r="341" customFormat="false" ht="15" hidden="false" customHeight="false" outlineLevel="0" collapsed="false">
      <c r="A341" s="19" t="n">
        <f aca="false">Daromadlilik!A336</f>
        <v>45762</v>
      </c>
      <c r="B341" s="28" t="n">
        <f aca="false">Daromadlilik!H336</f>
        <v>-0.028621055063278</v>
      </c>
      <c r="C341" s="29" t="n">
        <f aca="false">B341^2</f>
        <v>0.000819164792935192</v>
      </c>
      <c r="D341" s="29" t="n">
        <f aca="false">$B$4*D340+(1-$B$4)*C340</f>
        <v>0.000293850794468442</v>
      </c>
      <c r="E341" s="30" t="n">
        <f aca="false">SQRT(D341)</f>
        <v>0.0171420767256608</v>
      </c>
      <c r="F341" s="31" t="n">
        <f aca="false">E341*SQRT(Parametrlar!$B$6)</f>
        <v>0.272122031827721</v>
      </c>
      <c r="G341" s="31" t="n">
        <f aca="false">STDEV(B322:B341)*SQRT(Parametrlar!$B$6)</f>
        <v>0.313718389855327</v>
      </c>
    </row>
    <row r="342" customFormat="false" ht="15" hidden="false" customHeight="false" outlineLevel="0" collapsed="false">
      <c r="A342" s="19" t="n">
        <f aca="false">Daromadlilik!A337</f>
        <v>45763</v>
      </c>
      <c r="B342" s="28" t="n">
        <f aca="false">Daromadlilik!H337</f>
        <v>-0.0176758963834287</v>
      </c>
      <c r="C342" s="29" t="n">
        <f aca="false">B342^2</f>
        <v>0.000312437312957708</v>
      </c>
      <c r="D342" s="29" t="n">
        <f aca="false">$B$4*D341+(1-$B$4)*C341</f>
        <v>0.000325369634376447</v>
      </c>
      <c r="E342" s="30" t="n">
        <f aca="false">SQRT(D342)</f>
        <v>0.0180380052770933</v>
      </c>
      <c r="F342" s="31" t="n">
        <f aca="false">E342*SQRT(Parametrlar!$B$6)</f>
        <v>0.286344456665158</v>
      </c>
      <c r="G342" s="31" t="n">
        <f aca="false">STDEV(B323:B342)*SQRT(Parametrlar!$B$6)</f>
        <v>0.320261237226797</v>
      </c>
    </row>
    <row r="343" customFormat="false" ht="15" hidden="false" customHeight="false" outlineLevel="0" collapsed="false">
      <c r="A343" s="19" t="n">
        <f aca="false">Daromadlilik!A338</f>
        <v>45764</v>
      </c>
      <c r="B343" s="28" t="n">
        <f aca="false">Daromadlilik!H338</f>
        <v>-0.0170970343679304</v>
      </c>
      <c r="C343" s="29" t="n">
        <f aca="false">B343^2</f>
        <v>0.000292308584178192</v>
      </c>
      <c r="D343" s="29" t="n">
        <f aca="false">$B$4*D342+(1-$B$4)*C342</f>
        <v>0.000324593695091323</v>
      </c>
      <c r="E343" s="30" t="n">
        <f aca="false">SQRT(D343)</f>
        <v>0.0180164839824901</v>
      </c>
      <c r="F343" s="31" t="n">
        <f aca="false">E343*SQRT(Parametrlar!$B$6)</f>
        <v>0.286002816704684</v>
      </c>
      <c r="G343" s="31" t="n">
        <f aca="false">STDEV(B324:B343)*SQRT(Parametrlar!$B$6)</f>
        <v>0.325113041729059</v>
      </c>
    </row>
    <row r="344" customFormat="false" ht="15" hidden="false" customHeight="false" outlineLevel="0" collapsed="false">
      <c r="A344" s="19" t="n">
        <f aca="false">Daromadlilik!A339</f>
        <v>45765</v>
      </c>
      <c r="B344" s="28" t="n">
        <f aca="false">Daromadlilik!H339</f>
        <v>-0.00254744241245391</v>
      </c>
      <c r="C344" s="29" t="n">
        <f aca="false">B344^2</f>
        <v>6.48946284476898E-006</v>
      </c>
      <c r="D344" s="29" t="n">
        <f aca="false">$B$4*D343+(1-$B$4)*C343</f>
        <v>0.000322656588436535</v>
      </c>
      <c r="E344" s="30" t="n">
        <f aca="false">SQRT(D344)</f>
        <v>0.0179626442495679</v>
      </c>
      <c r="F344" s="31" t="n">
        <f aca="false">E344*SQRT(Parametrlar!$B$6)</f>
        <v>0.285148137440887</v>
      </c>
      <c r="G344" s="31" t="n">
        <f aca="false">STDEV(B325:B344)*SQRT(Parametrlar!$B$6)</f>
        <v>0.317973672973797</v>
      </c>
    </row>
    <row r="345" customFormat="false" ht="15" hidden="false" customHeight="false" outlineLevel="0" collapsed="false">
      <c r="A345" s="19" t="n">
        <f aca="false">Daromadlilik!A340</f>
        <v>45768</v>
      </c>
      <c r="B345" s="28" t="n">
        <f aca="false">Daromadlilik!H340</f>
        <v>-0.00322798077481175</v>
      </c>
      <c r="C345" s="29" t="n">
        <f aca="false">B345^2</f>
        <v>1.04198598825543E-005</v>
      </c>
      <c r="D345" s="29" t="n">
        <f aca="false">$B$4*D344+(1-$B$4)*C344</f>
        <v>0.000303686560901029</v>
      </c>
      <c r="E345" s="30" t="n">
        <f aca="false">SQRT(D345)</f>
        <v>0.0174266049734602</v>
      </c>
      <c r="F345" s="31" t="n">
        <f aca="false">E345*SQRT(Parametrlar!$B$6)</f>
        <v>0.276638777735623</v>
      </c>
      <c r="G345" s="31" t="n">
        <f aca="false">STDEV(B326:B345)*SQRT(Parametrlar!$B$6)</f>
        <v>0.290385984701919</v>
      </c>
    </row>
    <row r="346" customFormat="false" ht="15" hidden="false" customHeight="false" outlineLevel="0" collapsed="false">
      <c r="A346" s="19" t="n">
        <f aca="false">Daromadlilik!A341</f>
        <v>45769</v>
      </c>
      <c r="B346" s="28" t="n">
        <f aca="false">Daromadlilik!H341</f>
        <v>0.00280682583216475</v>
      </c>
      <c r="C346" s="29" t="n">
        <f aca="false">B346^2</f>
        <v>7.87827125210736E-006</v>
      </c>
      <c r="D346" s="29" t="n">
        <f aca="false">$B$4*D345+(1-$B$4)*C345</f>
        <v>0.00028609055883992</v>
      </c>
      <c r="E346" s="30" t="n">
        <f aca="false">SQRT(D346)</f>
        <v>0.0169142117416071</v>
      </c>
      <c r="F346" s="31" t="n">
        <f aca="false">E346*SQRT(Parametrlar!$B$6)</f>
        <v>0.268504787345887</v>
      </c>
      <c r="G346" s="31" t="n">
        <f aca="false">STDEV(B327:B346)*SQRT(Parametrlar!$B$6)</f>
        <v>0.281544941007278</v>
      </c>
    </row>
    <row r="347" customFormat="false" ht="15" hidden="false" customHeight="false" outlineLevel="0" collapsed="false">
      <c r="A347" s="19" t="n">
        <f aca="false">Daromadlilik!A342</f>
        <v>45770</v>
      </c>
      <c r="B347" s="28" t="n">
        <f aca="false">Daromadlilik!H342</f>
        <v>0.0149711338944936</v>
      </c>
      <c r="C347" s="29" t="n">
        <f aca="false">B347^2</f>
        <v>0.000224134850086855</v>
      </c>
      <c r="D347" s="29" t="n">
        <f aca="false">$B$4*D346+(1-$B$4)*C346</f>
        <v>0.000269397821584652</v>
      </c>
      <c r="E347" s="30" t="n">
        <f aca="false">SQRT(D347)</f>
        <v>0.0164133427912979</v>
      </c>
      <c r="F347" s="31" t="n">
        <f aca="false">E347*SQRT(Parametrlar!$B$6)</f>
        <v>0.260553739254174</v>
      </c>
      <c r="G347" s="31" t="n">
        <f aca="false">STDEV(B328:B347)*SQRT(Parametrlar!$B$6)</f>
        <v>0.284316169535077</v>
      </c>
    </row>
    <row r="348" customFormat="false" ht="15" hidden="false" customHeight="false" outlineLevel="0" collapsed="false">
      <c r="A348" s="19" t="n">
        <f aca="false">Daromadlilik!A343</f>
        <v>45771</v>
      </c>
      <c r="B348" s="28" t="n">
        <f aca="false">Daromadlilik!H343</f>
        <v>-0.0258610363007029</v>
      </c>
      <c r="C348" s="29" t="n">
        <f aca="false">B348^2</f>
        <v>0.000668793198546272</v>
      </c>
      <c r="D348" s="29" t="n">
        <f aca="false">$B$4*D347+(1-$B$4)*C347</f>
        <v>0.000266682043294784</v>
      </c>
      <c r="E348" s="30" t="n">
        <f aca="false">SQRT(D348)</f>
        <v>0.0163304024229283</v>
      </c>
      <c r="F348" s="31" t="n">
        <f aca="false">E348*SQRT(Parametrlar!$B$6)</f>
        <v>0.25923710172405</v>
      </c>
      <c r="G348" s="31" t="n">
        <f aca="false">STDEV(B329:B348)*SQRT(Parametrlar!$B$6)</f>
        <v>0.30240425043409</v>
      </c>
    </row>
    <row r="349" customFormat="false" ht="15" hidden="false" customHeight="false" outlineLevel="0" collapsed="false">
      <c r="A349" s="19" t="n">
        <f aca="false">Daromadlilik!A344</f>
        <v>45772</v>
      </c>
      <c r="B349" s="28" t="n">
        <f aca="false">Daromadlilik!H344</f>
        <v>-0.00632591123844176</v>
      </c>
      <c r="C349" s="29" t="n">
        <f aca="false">B349^2</f>
        <v>4.00171529966438E-005</v>
      </c>
      <c r="D349" s="29" t="n">
        <f aca="false">$B$4*D348+(1-$B$4)*C348</f>
        <v>0.000290808712609873</v>
      </c>
      <c r="E349" s="30" t="n">
        <f aca="false">SQRT(D349)</f>
        <v>0.01705311445484</v>
      </c>
      <c r="F349" s="31" t="n">
        <f aca="false">E349*SQRT(Parametrlar!$B$6)</f>
        <v>0.270709799559765</v>
      </c>
      <c r="G349" s="31" t="n">
        <f aca="false">STDEV(B330:B349)*SQRT(Parametrlar!$B$6)</f>
        <v>0.2987198469005</v>
      </c>
    </row>
    <row r="350" customFormat="false" ht="15" hidden="false" customHeight="false" outlineLevel="0" collapsed="false">
      <c r="A350" s="19" t="n">
        <f aca="false">Daromadlilik!A345</f>
        <v>45775</v>
      </c>
      <c r="B350" s="28" t="n">
        <f aca="false">Daromadlilik!H345</f>
        <v>-0.00610080590749854</v>
      </c>
      <c r="C350" s="29" t="n">
        <f aca="false">B350^2</f>
        <v>3.72198327209691E-005</v>
      </c>
      <c r="D350" s="29" t="n">
        <f aca="false">$B$4*D349+(1-$B$4)*C349</f>
        <v>0.000275761219033079</v>
      </c>
      <c r="E350" s="30" t="n">
        <f aca="false">SQRT(D350)</f>
        <v>0.0166060597082234</v>
      </c>
      <c r="F350" s="31" t="n">
        <f aca="false">E350*SQRT(Parametrlar!$B$6)</f>
        <v>0.263613025467893</v>
      </c>
      <c r="G350" s="31" t="n">
        <f aca="false">STDEV(B331:B350)*SQRT(Parametrlar!$B$6)</f>
        <v>0.299720114115852</v>
      </c>
    </row>
    <row r="351" customFormat="false" ht="15" hidden="false" customHeight="false" outlineLevel="0" collapsed="false">
      <c r="A351" s="19" t="n">
        <f aca="false">Daromadlilik!A346</f>
        <v>45776</v>
      </c>
      <c r="B351" s="28" t="n">
        <f aca="false">Daromadlilik!H346</f>
        <v>0.00464099377429267</v>
      </c>
      <c r="C351" s="29" t="n">
        <f aca="false">B351^2</f>
        <v>2.15388232130233E-005</v>
      </c>
      <c r="D351" s="29" t="n">
        <f aca="false">$B$4*D350+(1-$B$4)*C350</f>
        <v>0.000261448735854353</v>
      </c>
      <c r="E351" s="30" t="n">
        <f aca="false">SQRT(D351)</f>
        <v>0.0161693764831657</v>
      </c>
      <c r="F351" s="31" t="n">
        <f aca="false">E351*SQRT(Parametrlar!$B$6)</f>
        <v>0.256680894176596</v>
      </c>
      <c r="G351" s="31" t="n">
        <f aca="false">STDEV(B332:B351)*SQRT(Parametrlar!$B$6)</f>
        <v>0.295330344343596</v>
      </c>
    </row>
    <row r="352" customFormat="false" ht="15" hidden="false" customHeight="false" outlineLevel="0" collapsed="false">
      <c r="A352" s="19" t="n">
        <f aca="false">Daromadlilik!A347</f>
        <v>45777</v>
      </c>
      <c r="B352" s="28" t="n">
        <f aca="false">Daromadlilik!H347</f>
        <v>-0.00491466532867215</v>
      </c>
      <c r="C352" s="29" t="n">
        <f aca="false">B352^2</f>
        <v>2.41539352928521E-005</v>
      </c>
      <c r="D352" s="29" t="n">
        <f aca="false">$B$4*D351+(1-$B$4)*C351</f>
        <v>0.000247054141095873</v>
      </c>
      <c r="E352" s="30" t="n">
        <f aca="false">SQRT(D352)</f>
        <v>0.0157179560088414</v>
      </c>
      <c r="F352" s="31" t="n">
        <f aca="false">E352*SQRT(Parametrlar!$B$6)</f>
        <v>0.249514816305886</v>
      </c>
      <c r="G352" s="31" t="n">
        <f aca="false">STDEV(B333:B352)*SQRT(Parametrlar!$B$6)</f>
        <v>0.247006046763108</v>
      </c>
    </row>
    <row r="353" customFormat="false" ht="15" hidden="false" customHeight="false" outlineLevel="0" collapsed="false">
      <c r="A353" s="19" t="n">
        <f aca="false">Daromadlilik!A348</f>
        <v>45778</v>
      </c>
      <c r="B353" s="28" t="n">
        <f aca="false">Daromadlilik!H348</f>
        <v>-0.00428899816310216</v>
      </c>
      <c r="C353" s="29" t="n">
        <f aca="false">B353^2</f>
        <v>1.83955052430937E-005</v>
      </c>
      <c r="D353" s="29" t="n">
        <f aca="false">$B$4*D352+(1-$B$4)*C352</f>
        <v>0.000233680128747692</v>
      </c>
      <c r="E353" s="30" t="n">
        <f aca="false">SQRT(D353)</f>
        <v>0.0152865996463469</v>
      </c>
      <c r="F353" s="31" t="n">
        <f aca="false">E353*SQRT(Parametrlar!$B$6)</f>
        <v>0.24266724633625</v>
      </c>
      <c r="G353" s="31" t="n">
        <f aca="false">STDEV(B334:B353)*SQRT(Parametrlar!$B$6)</f>
        <v>0.240291531747063</v>
      </c>
    </row>
    <row r="354" customFormat="false" ht="15" hidden="false" customHeight="false" outlineLevel="0" collapsed="false">
      <c r="A354" s="19" t="n">
        <f aca="false">Daromadlilik!A349</f>
        <v>45779</v>
      </c>
      <c r="B354" s="28" t="n">
        <f aca="false">Daromadlilik!H349</f>
        <v>-0.00474259025623825</v>
      </c>
      <c r="C354" s="29" t="n">
        <f aca="false">B354^2</f>
        <v>2.2492162338566E-005</v>
      </c>
      <c r="D354" s="29" t="n">
        <f aca="false">$B$4*D353+(1-$B$4)*C353</f>
        <v>0.000220763051337416</v>
      </c>
      <c r="E354" s="30" t="n">
        <f aca="false">SQRT(D354)</f>
        <v>0.0148580971640858</v>
      </c>
      <c r="F354" s="31" t="n">
        <f aca="false">E354*SQRT(Parametrlar!$B$6)</f>
        <v>0.235864980310831</v>
      </c>
      <c r="G354" s="31" t="n">
        <f aca="false">STDEV(B335:B354)*SQRT(Parametrlar!$B$6)</f>
        <v>0.237775286396719</v>
      </c>
    </row>
    <row r="355" customFormat="false" ht="15" hidden="false" customHeight="false" outlineLevel="0" collapsed="false">
      <c r="A355" s="19" t="n">
        <f aca="false">Daromadlilik!A350</f>
        <v>45782</v>
      </c>
      <c r="B355" s="28" t="n">
        <f aca="false">Daromadlilik!H350</f>
        <v>0.0185493770072649</v>
      </c>
      <c r="C355" s="29" t="n">
        <f aca="false">B355^2</f>
        <v>0.000344079387357649</v>
      </c>
      <c r="D355" s="29" t="n">
        <f aca="false">$B$4*D354+(1-$B$4)*C354</f>
        <v>0.000208866797997485</v>
      </c>
      <c r="E355" s="30" t="n">
        <f aca="false">SQRT(D355)</f>
        <v>0.0144522246729521</v>
      </c>
      <c r="F355" s="31" t="n">
        <f aca="false">E355*SQRT(Parametrlar!$B$6)</f>
        <v>0.229421954257578</v>
      </c>
      <c r="G355" s="31" t="n">
        <f aca="false">STDEV(B336:B355)*SQRT(Parametrlar!$B$6)</f>
        <v>0.246416990170106</v>
      </c>
    </row>
    <row r="356" customFormat="false" ht="15" hidden="false" customHeight="false" outlineLevel="0" collapsed="false">
      <c r="A356" s="19" t="n">
        <f aca="false">Daromadlilik!A351</f>
        <v>45783</v>
      </c>
      <c r="B356" s="28" t="n">
        <f aca="false">Daromadlilik!H351</f>
        <v>-0.00749604588681646</v>
      </c>
      <c r="C356" s="29" t="n">
        <f aca="false">B356^2</f>
        <v>5.61907039372579E-005</v>
      </c>
      <c r="D356" s="29" t="n">
        <f aca="false">$B$4*D355+(1-$B$4)*C355</f>
        <v>0.000216979553359095</v>
      </c>
      <c r="E356" s="30" t="n">
        <f aca="false">SQRT(D356)</f>
        <v>0.014730225842094</v>
      </c>
      <c r="F356" s="31" t="n">
        <f aca="false">E356*SQRT(Parametrlar!$B$6)</f>
        <v>0.233835086003987</v>
      </c>
      <c r="G356" s="31" t="n">
        <f aca="false">STDEV(B337:B356)*SQRT(Parametrlar!$B$6)</f>
        <v>0.246805213353505</v>
      </c>
    </row>
    <row r="357" customFormat="false" ht="15" hidden="false" customHeight="false" outlineLevel="0" collapsed="false">
      <c r="A357" s="19" t="n">
        <f aca="false">Daromadlilik!A352</f>
        <v>45784</v>
      </c>
      <c r="B357" s="28" t="n">
        <f aca="false">Daromadlilik!H352</f>
        <v>0.0447734521129768</v>
      </c>
      <c r="C357" s="29" t="n">
        <f aca="false">B357^2</f>
        <v>0.00200466201411303</v>
      </c>
      <c r="D357" s="29" t="n">
        <f aca="false">$B$4*D356+(1-$B$4)*C356</f>
        <v>0.000207332222393784</v>
      </c>
      <c r="E357" s="30" t="n">
        <f aca="false">SQRT(D357)</f>
        <v>0.0143990354674813</v>
      </c>
      <c r="F357" s="31" t="n">
        <f aca="false">E357*SQRT(Parametrlar!$B$6)</f>
        <v>0.228577601796925</v>
      </c>
      <c r="G357" s="31" t="n">
        <f aca="false">STDEV(B338:B357)*SQRT(Parametrlar!$B$6)</f>
        <v>0.259905495337237</v>
      </c>
    </row>
    <row r="358" customFormat="false" ht="15" hidden="false" customHeight="false" outlineLevel="0" collapsed="false">
      <c r="A358" s="19" t="n">
        <f aca="false">Daromadlilik!A353</f>
        <v>45785</v>
      </c>
      <c r="B358" s="28" t="n">
        <f aca="false">Daromadlilik!H353</f>
        <v>-0.00413225367212452</v>
      </c>
      <c r="C358" s="29" t="n">
        <f aca="false">B358^2</f>
        <v>1.70755204107866E-005</v>
      </c>
      <c r="D358" s="29" t="n">
        <f aca="false">$B$4*D357+(1-$B$4)*C357</f>
        <v>0.000315172009896939</v>
      </c>
      <c r="E358" s="30" t="n">
        <f aca="false">SQRT(D358)</f>
        <v>0.0177530845178222</v>
      </c>
      <c r="F358" s="31" t="n">
        <f aca="false">E358*SQRT(Parametrlar!$B$6)</f>
        <v>0.281821479830812</v>
      </c>
      <c r="G358" s="31" t="n">
        <f aca="false">STDEV(B339:B358)*SQRT(Parametrlar!$B$6)</f>
        <v>0.25908913714586</v>
      </c>
    </row>
    <row r="359" customFormat="false" ht="15" hidden="false" customHeight="false" outlineLevel="0" collapsed="false">
      <c r="A359" s="19" t="n">
        <f aca="false">Daromadlilik!A354</f>
        <v>45786</v>
      </c>
      <c r="B359" s="28" t="n">
        <f aca="false">Daromadlilik!H354</f>
        <v>0.00597475588364814</v>
      </c>
      <c r="C359" s="29" t="n">
        <f aca="false">B359^2</f>
        <v>3.5697707869188E-005</v>
      </c>
      <c r="D359" s="29" t="n">
        <f aca="false">$B$4*D358+(1-$B$4)*C358</f>
        <v>0.00029728622052777</v>
      </c>
      <c r="E359" s="30" t="n">
        <f aca="false">SQRT(D359)</f>
        <v>0.017241990039661</v>
      </c>
      <c r="F359" s="31" t="n">
        <f aca="false">E359*SQRT(Parametrlar!$B$6)</f>
        <v>0.273708106516775</v>
      </c>
      <c r="G359" s="31" t="n">
        <f aca="false">STDEV(B340:B359)*SQRT(Parametrlar!$B$6)</f>
        <v>0.254257162907991</v>
      </c>
    </row>
    <row r="360" customFormat="false" ht="15" hidden="false" customHeight="false" outlineLevel="0" collapsed="false">
      <c r="A360" s="19" t="n">
        <f aca="false">Daromadlilik!A355</f>
        <v>45789</v>
      </c>
      <c r="B360" s="28" t="n">
        <f aca="false">Daromadlilik!H355</f>
        <v>0.00355677205888501</v>
      </c>
      <c r="C360" s="29" t="n">
        <f aca="false">B360^2</f>
        <v>1.26506274788651E-005</v>
      </c>
      <c r="D360" s="29" t="n">
        <f aca="false">$B$4*D359+(1-$B$4)*C359</f>
        <v>0.000281590909768255</v>
      </c>
      <c r="E360" s="30" t="n">
        <f aca="false">SQRT(D360)</f>
        <v>0.0167806707186648</v>
      </c>
      <c r="F360" s="31" t="n">
        <f aca="false">E360*SQRT(Parametrlar!$B$6)</f>
        <v>0.266384889326704</v>
      </c>
      <c r="G360" s="31" t="n">
        <f aca="false">STDEV(B341:B360)*SQRT(Parametrlar!$B$6)</f>
        <v>0.255047750077893</v>
      </c>
    </row>
    <row r="361" customFormat="false" ht="15" hidden="false" customHeight="false" outlineLevel="0" collapsed="false">
      <c r="A361" s="19" t="n">
        <f aca="false">Daromadlilik!A356</f>
        <v>45790</v>
      </c>
      <c r="B361" s="28" t="n">
        <f aca="false">Daromadlilik!H356</f>
        <v>0.00526064921879532</v>
      </c>
      <c r="C361" s="29" t="n">
        <f aca="false">B361^2</f>
        <v>2.76744302032118E-005</v>
      </c>
      <c r="D361" s="29" t="n">
        <f aca="false">$B$4*D360+(1-$B$4)*C360</f>
        <v>0.000265454492830892</v>
      </c>
      <c r="E361" s="30" t="n">
        <f aca="false">SQRT(D361)</f>
        <v>0.0162927742521307</v>
      </c>
      <c r="F361" s="31" t="n">
        <f aca="false">E361*SQRT(Parametrlar!$B$6)</f>
        <v>0.258639773030725</v>
      </c>
      <c r="G361" s="31" t="n">
        <f aca="false">STDEV(B342:B361)*SQRT(Parametrlar!$B$6)</f>
        <v>0.235557188431293</v>
      </c>
    </row>
    <row r="362" customFormat="false" ht="15" hidden="false" customHeight="false" outlineLevel="0" collapsed="false">
      <c r="A362" s="19" t="n">
        <f aca="false">Daromadlilik!A357</f>
        <v>45791</v>
      </c>
      <c r="B362" s="28" t="n">
        <f aca="false">Daromadlilik!H357</f>
        <v>-0.0020067735318599</v>
      </c>
      <c r="C362" s="29" t="n">
        <f aca="false">B362^2</f>
        <v>4.02714000817347E-006</v>
      </c>
      <c r="D362" s="29" t="n">
        <f aca="false">$B$4*D361+(1-$B$4)*C361</f>
        <v>0.000251187689073231</v>
      </c>
      <c r="E362" s="30" t="n">
        <f aca="false">SQRT(D362)</f>
        <v>0.0158489018254651</v>
      </c>
      <c r="F362" s="31" t="n">
        <f aca="false">E362*SQRT(Parametrlar!$B$6)</f>
        <v>0.25159351670195</v>
      </c>
      <c r="G362" s="31" t="n">
        <f aca="false">STDEV(B343:B362)*SQRT(Parametrlar!$B$6)</f>
        <v>0.226526914808588</v>
      </c>
    </row>
    <row r="363" customFormat="false" ht="15" hidden="false" customHeight="false" outlineLevel="0" collapsed="false">
      <c r="A363" s="19" t="n">
        <f aca="false">Daromadlilik!A358</f>
        <v>45792</v>
      </c>
      <c r="B363" s="28" t="n">
        <f aca="false">Daromadlilik!H358</f>
        <v>-0.000659351034107444</v>
      </c>
      <c r="C363" s="29" t="n">
        <f aca="false">B363^2</f>
        <v>4.34743786178555E-007</v>
      </c>
      <c r="D363" s="29" t="n">
        <f aca="false">$B$4*D362+(1-$B$4)*C362</f>
        <v>0.000236358056129327</v>
      </c>
      <c r="E363" s="30" t="n">
        <f aca="false">SQRT(D363)</f>
        <v>0.0153739408132504</v>
      </c>
      <c r="F363" s="31" t="n">
        <f aca="false">E363*SQRT(Parametrlar!$B$6)</f>
        <v>0.244053744377321</v>
      </c>
      <c r="G363" s="31" t="n">
        <f aca="false">STDEV(B344:B363)*SQRT(Parametrlar!$B$6)</f>
        <v>0.216810971952629</v>
      </c>
    </row>
    <row r="364" customFormat="false" ht="15" hidden="false" customHeight="false" outlineLevel="0" collapsed="false">
      <c r="A364" s="19" t="n">
        <f aca="false">Daromadlilik!A359</f>
        <v>45793</v>
      </c>
      <c r="B364" s="28" t="n">
        <f aca="false">Daromadlilik!H359</f>
        <v>-0.0160440349116968</v>
      </c>
      <c r="C364" s="29" t="n">
        <f aca="false">B364^2</f>
        <v>0.000257411056247745</v>
      </c>
      <c r="D364" s="29" t="n">
        <f aca="false">$B$4*D363+(1-$B$4)*C363</f>
        <v>0.000222202657388739</v>
      </c>
      <c r="E364" s="30" t="n">
        <f aca="false">SQRT(D364)</f>
        <v>0.0149064636110896</v>
      </c>
      <c r="F364" s="31" t="n">
        <f aca="false">E364*SQRT(Parametrlar!$B$6)</f>
        <v>0.236632773854262</v>
      </c>
      <c r="G364" s="31" t="n">
        <f aca="false">STDEV(B345:B364)*SQRT(Parametrlar!$B$6)</f>
        <v>0.225210014497367</v>
      </c>
    </row>
    <row r="365" customFormat="false" ht="15" hidden="false" customHeight="false" outlineLevel="0" collapsed="false">
      <c r="A365" s="19" t="n">
        <f aca="false">Daromadlilik!A360</f>
        <v>45796</v>
      </c>
      <c r="B365" s="28" t="n">
        <f aca="false">Daromadlilik!H360</f>
        <v>-0.000303247947419932</v>
      </c>
      <c r="C365" s="29" t="n">
        <f aca="false">B365^2</f>
        <v>9.19593176144016E-008</v>
      </c>
      <c r="D365" s="29" t="n">
        <f aca="false">$B$4*D364+(1-$B$4)*C364</f>
        <v>0.000224315161320279</v>
      </c>
      <c r="E365" s="30" t="n">
        <f aca="false">SQRT(D365)</f>
        <v>0.0149771546470042</v>
      </c>
      <c r="F365" s="31" t="n">
        <f aca="false">E365*SQRT(Parametrlar!$B$6)</f>
        <v>0.237754959259971</v>
      </c>
      <c r="G365" s="31" t="n">
        <f aca="false">STDEV(B346:B365)*SQRT(Parametrlar!$B$6)</f>
        <v>0.224765976753543</v>
      </c>
    </row>
    <row r="366" customFormat="false" ht="15" hidden="false" customHeight="false" outlineLevel="0" collapsed="false">
      <c r="A366" s="19" t="n">
        <f aca="false">Daromadlilik!A361</f>
        <v>45797</v>
      </c>
      <c r="B366" s="28" t="n">
        <f aca="false">Daromadlilik!H361</f>
        <v>0.0229915135775219</v>
      </c>
      <c r="C366" s="29" t="n">
        <f aca="false">B366^2</f>
        <v>0.000528609696585372</v>
      </c>
      <c r="D366" s="29" t="n">
        <f aca="false">$B$4*D365+(1-$B$4)*C365</f>
        <v>0.000210861769200119</v>
      </c>
      <c r="E366" s="30" t="n">
        <f aca="false">SQRT(D366)</f>
        <v>0.014521080166438</v>
      </c>
      <c r="F366" s="31" t="n">
        <f aca="false">E366*SQRT(Parametrlar!$B$6)</f>
        <v>0.230515001330564</v>
      </c>
      <c r="G366" s="31" t="n">
        <f aca="false">STDEV(B347:B366)*SQRT(Parametrlar!$B$6)</f>
        <v>0.238082693398025</v>
      </c>
    </row>
    <row r="367" customFormat="false" ht="15" hidden="false" customHeight="false" outlineLevel="0" collapsed="false">
      <c r="A367" s="19" t="n">
        <f aca="false">Daromadlilik!A362</f>
        <v>45798</v>
      </c>
      <c r="B367" s="28" t="n">
        <f aca="false">Daromadlilik!H362</f>
        <v>0.0190521685516791</v>
      </c>
      <c r="C367" s="29" t="n">
        <f aca="false">B367^2</f>
        <v>0.00036298512652159</v>
      </c>
      <c r="D367" s="29" t="n">
        <f aca="false">$B$4*D366+(1-$B$4)*C366</f>
        <v>0.000229926644843234</v>
      </c>
      <c r="E367" s="30" t="n">
        <f aca="false">SQRT(D367)</f>
        <v>0.0151633322473404</v>
      </c>
      <c r="F367" s="31" t="n">
        <f aca="false">E367*SQRT(Parametrlar!$B$6)</f>
        <v>0.240710437041054</v>
      </c>
      <c r="G367" s="31" t="n">
        <f aca="false">STDEV(B348:B367)*SQRT(Parametrlar!$B$6)</f>
        <v>0.241472738127664</v>
      </c>
    </row>
    <row r="368" customFormat="false" ht="15" hidden="false" customHeight="false" outlineLevel="0" collapsed="false">
      <c r="A368" s="19" t="n">
        <f aca="false">Daromadlilik!A363</f>
        <v>45799</v>
      </c>
      <c r="B368" s="28" t="n">
        <f aca="false">Daromadlilik!H363</f>
        <v>-0.025712103404198</v>
      </c>
      <c r="C368" s="29" t="n">
        <f aca="false">B368^2</f>
        <v>0.000661112261468169</v>
      </c>
      <c r="D368" s="29" t="n">
        <f aca="false">$B$4*D367+(1-$B$4)*C367</f>
        <v>0.000237910153743936</v>
      </c>
      <c r="E368" s="30" t="n">
        <f aca="false">SQRT(D368)</f>
        <v>0.0154243364117856</v>
      </c>
      <c r="F368" s="31" t="n">
        <f aca="false">E368*SQRT(Parametrlar!$B$6)</f>
        <v>0.244853749702699</v>
      </c>
      <c r="G368" s="31" t="n">
        <f aca="false">STDEV(B349:B368)*SQRT(Parametrlar!$B$6)</f>
        <v>0.241244510280913</v>
      </c>
    </row>
    <row r="369" customFormat="false" ht="15" hidden="false" customHeight="false" outlineLevel="0" collapsed="false">
      <c r="A369" s="19" t="n">
        <f aca="false">Daromadlilik!A364</f>
        <v>45800</v>
      </c>
      <c r="B369" s="28" t="n">
        <f aca="false">Daromadlilik!H364</f>
        <v>-0.00364216021412858</v>
      </c>
      <c r="C369" s="29" t="n">
        <f aca="false">B369^2</f>
        <v>1.32653310253812E-005</v>
      </c>
      <c r="D369" s="29" t="n">
        <f aca="false">$B$4*D368+(1-$B$4)*C368</f>
        <v>0.00026330228020739</v>
      </c>
      <c r="E369" s="30" t="n">
        <f aca="false">SQRT(D369)</f>
        <v>0.0162265917619009</v>
      </c>
      <c r="F369" s="31" t="n">
        <f aca="false">E369*SQRT(Parametrlar!$B$6)</f>
        <v>0.257589158568955</v>
      </c>
      <c r="G369" s="31" t="n">
        <f aca="false">STDEV(B350:B369)*SQRT(Parametrlar!$B$6)</f>
        <v>0.240186521574941</v>
      </c>
    </row>
    <row r="370" customFormat="false" ht="15" hidden="false" customHeight="false" outlineLevel="0" collapsed="false">
      <c r="A370" s="19" t="n">
        <f aca="false">Daromadlilik!A365</f>
        <v>45803</v>
      </c>
      <c r="B370" s="28" t="n">
        <f aca="false">Daromadlilik!H365</f>
        <v>0.0187758992716483</v>
      </c>
      <c r="C370" s="29" t="n">
        <f aca="false">B370^2</f>
        <v>0.000352534393459083</v>
      </c>
      <c r="D370" s="29" t="n">
        <f aca="false">$B$4*D369+(1-$B$4)*C369</f>
        <v>0.000248300063256469</v>
      </c>
      <c r="E370" s="30" t="n">
        <f aca="false">SQRT(D370)</f>
        <v>0.0157575398859235</v>
      </c>
      <c r="F370" s="31" t="n">
        <f aca="false">E370*SQRT(Parametrlar!$B$6)</f>
        <v>0.250143190874008</v>
      </c>
      <c r="G370" s="31" t="n">
        <f aca="false">STDEV(B351:B370)*SQRT(Parametrlar!$B$6)</f>
        <v>0.24491737175982</v>
      </c>
    </row>
    <row r="371" customFormat="false" ht="15" hidden="false" customHeight="false" outlineLevel="0" collapsed="false">
      <c r="A371" s="19" t="n">
        <f aca="false">Daromadlilik!A366</f>
        <v>45804</v>
      </c>
      <c r="B371" s="28" t="n">
        <f aca="false">Daromadlilik!H366</f>
        <v>0.0118784960725379</v>
      </c>
      <c r="C371" s="29" t="n">
        <f aca="false">B371^2</f>
        <v>0.000141098668945299</v>
      </c>
      <c r="D371" s="29" t="n">
        <f aca="false">$B$4*D370+(1-$B$4)*C370</f>
        <v>0.000254554123068626</v>
      </c>
      <c r="E371" s="30" t="n">
        <f aca="false">SQRT(D371)</f>
        <v>0.0159547523662583</v>
      </c>
      <c r="F371" s="31" t="n">
        <f aca="false">E371*SQRT(Parametrlar!$B$6)</f>
        <v>0.253273841944433</v>
      </c>
      <c r="G371" s="31" t="n">
        <f aca="false">STDEV(B352:B371)*SQRT(Parametrlar!$B$6)</f>
        <v>0.246712580687787</v>
      </c>
    </row>
    <row r="372" customFormat="false" ht="15" hidden="false" customHeight="false" outlineLevel="0" collapsed="false">
      <c r="A372" s="19" t="n">
        <f aca="false">Daromadlilik!A367</f>
        <v>45805</v>
      </c>
      <c r="B372" s="28" t="n">
        <f aca="false">Daromadlilik!H367</f>
        <v>0.0084856881215032</v>
      </c>
      <c r="C372" s="29" t="n">
        <f aca="false">B372^2</f>
        <v>7.20069028954205E-005</v>
      </c>
      <c r="D372" s="29" t="n">
        <f aca="false">$B$4*D371+(1-$B$4)*C371</f>
        <v>0.000247746795821226</v>
      </c>
      <c r="E372" s="30" t="n">
        <f aca="false">SQRT(D372)</f>
        <v>0.0157399744542749</v>
      </c>
      <c r="F372" s="31" t="n">
        <f aca="false">E372*SQRT(Parametrlar!$B$6)</f>
        <v>0.249864348291126</v>
      </c>
      <c r="G372" s="31" t="n">
        <f aca="false">STDEV(B353:B372)*SQRT(Parametrlar!$B$6)</f>
        <v>0.244982575955701</v>
      </c>
    </row>
    <row r="373" customFormat="false" ht="15" hidden="false" customHeight="false" outlineLevel="0" collapsed="false">
      <c r="A373" s="19" t="n">
        <f aca="false">Daromadlilik!A368</f>
        <v>45806</v>
      </c>
      <c r="B373" s="28" t="n">
        <f aca="false">Daromadlilik!H368</f>
        <v>0.00684998845660059</v>
      </c>
      <c r="C373" s="29" t="n">
        <f aca="false">B373^2</f>
        <v>4.69223418555613E-005</v>
      </c>
      <c r="D373" s="29" t="n">
        <f aca="false">$B$4*D372+(1-$B$4)*C372</f>
        <v>0.000237202402245678</v>
      </c>
      <c r="E373" s="30" t="n">
        <f aca="false">SQRT(D373)</f>
        <v>0.0154013766347583</v>
      </c>
      <c r="F373" s="31" t="n">
        <f aca="false">E373*SQRT(Parametrlar!$B$6)</f>
        <v>0.244489274541667</v>
      </c>
      <c r="G373" s="31" t="n">
        <f aca="false">STDEV(B354:B373)*SQRT(Parametrlar!$B$6)</f>
        <v>0.242855689061782</v>
      </c>
    </row>
    <row r="374" customFormat="false" ht="15" hidden="false" customHeight="false" outlineLevel="0" collapsed="false">
      <c r="A374" s="19" t="n">
        <f aca="false">Daromadlilik!A369</f>
        <v>45807</v>
      </c>
      <c r="B374" s="28" t="n">
        <f aca="false">Daromadlilik!H369</f>
        <v>-0.000670087399949666</v>
      </c>
      <c r="C374" s="29" t="n">
        <f aca="false">B374^2</f>
        <v>4.49017123571304E-007</v>
      </c>
      <c r="D374" s="29" t="n">
        <f aca="false">$B$4*D373+(1-$B$4)*C373</f>
        <v>0.000225785598622271</v>
      </c>
      <c r="E374" s="30" t="n">
        <f aca="false">SQRT(D374)</f>
        <v>0.0150261638025902</v>
      </c>
      <c r="F374" s="31" t="n">
        <f aca="false">E374*SQRT(Parametrlar!$B$6)</f>
        <v>0.238532955485845</v>
      </c>
      <c r="G374" s="31" t="n">
        <f aca="false">STDEV(B355:B374)*SQRT(Parametrlar!$B$6)</f>
        <v>0.241097004885117</v>
      </c>
    </row>
    <row r="375" customFormat="false" ht="15" hidden="false" customHeight="false" outlineLevel="0" collapsed="false">
      <c r="A375" s="19" t="n">
        <f aca="false">Daromadlilik!A370</f>
        <v>45810</v>
      </c>
      <c r="B375" s="28" t="n">
        <f aca="false">Daromadlilik!H370</f>
        <v>0.0142160338248136</v>
      </c>
      <c r="C375" s="29" t="n">
        <f aca="false">B375^2</f>
        <v>0.000202095617708243</v>
      </c>
      <c r="D375" s="29" t="n">
        <f aca="false">$B$4*D374+(1-$B$4)*C374</f>
        <v>0.000212265403732349</v>
      </c>
      <c r="E375" s="30" t="n">
        <f aca="false">SQRT(D375)</f>
        <v>0.0145693309294679</v>
      </c>
      <c r="F375" s="31" t="n">
        <f aca="false">E375*SQRT(Parametrlar!$B$6)</f>
        <v>0.231280958447841</v>
      </c>
      <c r="G375" s="31" t="n">
        <f aca="false">STDEV(B356:B375)*SQRT(Parametrlar!$B$6)</f>
        <v>0.238408072957496</v>
      </c>
    </row>
    <row r="376" customFormat="false" ht="15" hidden="false" customHeight="false" outlineLevel="0" collapsed="false">
      <c r="A376" s="19" t="n">
        <f aca="false">Daromadlilik!A371</f>
        <v>45811</v>
      </c>
      <c r="B376" s="28" t="n">
        <f aca="false">Daromadlilik!H371</f>
        <v>-0.00744550692941126</v>
      </c>
      <c r="C376" s="29" t="n">
        <f aca="false">B376^2</f>
        <v>5.54355734359111E-005</v>
      </c>
      <c r="D376" s="29" t="n">
        <f aca="false">$B$4*D375+(1-$B$4)*C375</f>
        <v>0.000211655216570903</v>
      </c>
      <c r="E376" s="30" t="n">
        <f aca="false">SQRT(D376)</f>
        <v>0.0145483750491559</v>
      </c>
      <c r="F376" s="31" t="n">
        <f aca="false">E376*SQRT(Parametrlar!$B$6)</f>
        <v>0.230948294160982</v>
      </c>
      <c r="G376" s="31" t="n">
        <f aca="false">STDEV(B357:B376)*SQRT(Parametrlar!$B$6)</f>
        <v>0.238372842493509</v>
      </c>
    </row>
    <row r="377" customFormat="false" ht="15" hidden="false" customHeight="false" outlineLevel="0" collapsed="false">
      <c r="A377" s="19" t="n">
        <f aca="false">Daromadlilik!A372</f>
        <v>45812</v>
      </c>
      <c r="B377" s="28" t="n">
        <f aca="false">Daromadlilik!H372</f>
        <v>-0.0210158468658437</v>
      </c>
      <c r="C377" s="29" t="n">
        <f aca="false">B377^2</f>
        <v>0.000441665819488593</v>
      </c>
      <c r="D377" s="29" t="n">
        <f aca="false">$B$4*D376+(1-$B$4)*C376</f>
        <v>0.000202282037982803</v>
      </c>
      <c r="E377" s="30" t="n">
        <f aca="false">SQRT(D377)</f>
        <v>0.0142225890042145</v>
      </c>
      <c r="F377" s="31" t="n">
        <f aca="false">E377*SQRT(Parametrlar!$B$6)</f>
        <v>0.2257766010278</v>
      </c>
      <c r="G377" s="31" t="n">
        <f aca="false">STDEV(B358:B377)*SQRT(Parametrlar!$B$6)</f>
        <v>0.205064585351919</v>
      </c>
    </row>
    <row r="378" customFormat="false" ht="15" hidden="false" customHeight="false" outlineLevel="0" collapsed="false">
      <c r="A378" s="19" t="n">
        <f aca="false">Daromadlilik!A373</f>
        <v>45813</v>
      </c>
      <c r="B378" s="28" t="n">
        <f aca="false">Daromadlilik!H373</f>
        <v>-0.00937179453387851</v>
      </c>
      <c r="C378" s="29" t="n">
        <f aca="false">B378^2</f>
        <v>8.78305327852351E-005</v>
      </c>
      <c r="D378" s="29" t="n">
        <f aca="false">$B$4*D377+(1-$B$4)*C377</f>
        <v>0.000216645064873151</v>
      </c>
      <c r="E378" s="30" t="n">
        <f aca="false">SQRT(D378)</f>
        <v>0.0147188676491485</v>
      </c>
      <c r="F378" s="31" t="n">
        <f aca="false">E378*SQRT(Parametrlar!$B$6)</f>
        <v>0.233654780280725</v>
      </c>
      <c r="G378" s="31" t="n">
        <f aca="false">STDEV(B359:B378)*SQRT(Parametrlar!$B$6)</f>
        <v>0.20788889317593</v>
      </c>
    </row>
    <row r="379" customFormat="false" ht="15" hidden="false" customHeight="false" outlineLevel="0" collapsed="false">
      <c r="A379" s="19" t="n">
        <f aca="false">Daromadlilik!A374</f>
        <v>45814</v>
      </c>
      <c r="B379" s="28" t="n">
        <f aca="false">Daromadlilik!H374</f>
        <v>-0.00397163204227298</v>
      </c>
      <c r="C379" s="29" t="n">
        <f aca="false">B379^2</f>
        <v>1.57738610792094E-005</v>
      </c>
      <c r="D379" s="29" t="n">
        <f aca="false">$B$4*D378+(1-$B$4)*C378</f>
        <v>0.000208916192947876</v>
      </c>
      <c r="E379" s="30" t="n">
        <f aca="false">SQRT(D379)</f>
        <v>0.0144539334766656</v>
      </c>
      <c r="F379" s="31" t="n">
        <f aca="false">E379*SQRT(Parametrlar!$B$6)</f>
        <v>0.229449080675571</v>
      </c>
      <c r="G379" s="31" t="n">
        <f aca="false">STDEV(B360:B379)*SQRT(Parametrlar!$B$6)</f>
        <v>0.208052758453144</v>
      </c>
    </row>
    <row r="380" customFormat="false" ht="15" hidden="false" customHeight="false" outlineLevel="0" collapsed="false">
      <c r="A380" s="19" t="n">
        <f aca="false">Daromadlilik!A375</f>
        <v>45817</v>
      </c>
      <c r="B380" s="28" t="n">
        <f aca="false">Daromadlilik!H375</f>
        <v>-0.00457840726508233</v>
      </c>
      <c r="C380" s="29" t="n">
        <f aca="false">B380^2</f>
        <v>2.09618130849587E-005</v>
      </c>
      <c r="D380" s="29" t="n">
        <f aca="false">$B$4*D379+(1-$B$4)*C379</f>
        <v>0.000197327653035756</v>
      </c>
      <c r="E380" s="30" t="n">
        <f aca="false">SQRT(D380)</f>
        <v>0.0140473361544371</v>
      </c>
      <c r="F380" s="31" t="n">
        <f aca="false">E380*SQRT(Parametrlar!$B$6)</f>
        <v>0.222994548285402</v>
      </c>
      <c r="G380" s="31" t="n">
        <f aca="false">STDEV(B361:B380)*SQRT(Parametrlar!$B$6)</f>
        <v>0.20873551400583</v>
      </c>
    </row>
    <row r="381" customFormat="false" ht="15" hidden="false" customHeight="false" outlineLevel="0" collapsed="false">
      <c r="A381" s="19" t="n">
        <f aca="false">Daromadlilik!A376</f>
        <v>45818</v>
      </c>
      <c r="B381" s="28" t="n">
        <f aca="false">Daromadlilik!H376</f>
        <v>-0.00177491347187019</v>
      </c>
      <c r="C381" s="29" t="n">
        <f aca="false">B381^2</f>
        <v>3.15031783262631E-006</v>
      </c>
      <c r="D381" s="29" t="n">
        <f aca="false">$B$4*D380+(1-$B$4)*C380</f>
        <v>0.000186745702638708</v>
      </c>
      <c r="E381" s="30" t="n">
        <f aca="false">SQRT(D381)</f>
        <v>0.0136654931355845</v>
      </c>
      <c r="F381" s="31" t="n">
        <f aca="false">E381*SQRT(Parametrlar!$B$6)</f>
        <v>0.216932978278902</v>
      </c>
      <c r="G381" s="31" t="n">
        <f aca="false">STDEV(B362:B381)*SQRT(Parametrlar!$B$6)</f>
        <v>0.208147143854352</v>
      </c>
    </row>
    <row r="382" customFormat="false" ht="15" hidden="false" customHeight="false" outlineLevel="0" collapsed="false">
      <c r="A382" s="19" t="n">
        <f aca="false">Daromadlilik!A377</f>
        <v>45819</v>
      </c>
      <c r="B382" s="28" t="n">
        <f aca="false">Daromadlilik!H377</f>
        <v>0.00523781116656075</v>
      </c>
      <c r="C382" s="29" t="n">
        <f aca="false">B382^2</f>
        <v>2.74346658165485E-005</v>
      </c>
      <c r="D382" s="29" t="n">
        <f aca="false">$B$4*D381+(1-$B$4)*C381</f>
        <v>0.000175729979550343</v>
      </c>
      <c r="E382" s="30" t="n">
        <f aca="false">SQRT(D382)</f>
        <v>0.013256318476498</v>
      </c>
      <c r="F382" s="31" t="n">
        <f aca="false">E382*SQRT(Parametrlar!$B$6)</f>
        <v>0.210437531934506</v>
      </c>
      <c r="G382" s="31" t="n">
        <f aca="false">STDEV(B363:B382)*SQRT(Parametrlar!$B$6)</f>
        <v>0.208691937578113</v>
      </c>
    </row>
    <row r="383" customFormat="false" ht="15" hidden="false" customHeight="false" outlineLevel="0" collapsed="false">
      <c r="A383" s="19" t="n">
        <f aca="false">Daromadlilik!A378</f>
        <v>45820</v>
      </c>
      <c r="B383" s="28" t="n">
        <f aca="false">Daromadlilik!H378</f>
        <v>-0.0289859410975898</v>
      </c>
      <c r="C383" s="29" t="n">
        <f aca="false">B383^2</f>
        <v>0.000840184781312943</v>
      </c>
      <c r="D383" s="29" t="n">
        <f aca="false">$B$4*D382+(1-$B$4)*C382</f>
        <v>0.000166832260726315</v>
      </c>
      <c r="E383" s="30" t="n">
        <f aca="false">SQRT(D383)</f>
        <v>0.0129163563254625</v>
      </c>
      <c r="F383" s="31" t="n">
        <f aca="false">E383*SQRT(Parametrlar!$B$6)</f>
        <v>0.205040800093619</v>
      </c>
      <c r="G383" s="31" t="n">
        <f aca="false">STDEV(B364:B383)*SQRT(Parametrlar!$B$6)</f>
        <v>0.233709225926227</v>
      </c>
    </row>
    <row r="384" customFormat="false" ht="15" hidden="false" customHeight="false" outlineLevel="0" collapsed="false">
      <c r="A384" s="19" t="n">
        <f aca="false">Daromadlilik!A379</f>
        <v>45821</v>
      </c>
      <c r="B384" s="28" t="n">
        <f aca="false">Daromadlilik!H379</f>
        <v>0.0267201084049958</v>
      </c>
      <c r="C384" s="29" t="n">
        <f aca="false">B384^2</f>
        <v>0.000713964193174729</v>
      </c>
      <c r="D384" s="29" t="n">
        <f aca="false">$B$4*D383+(1-$B$4)*C383</f>
        <v>0.000207233411961513</v>
      </c>
      <c r="E384" s="30" t="n">
        <f aca="false">SQRT(D384)</f>
        <v>0.0143956039109692</v>
      </c>
      <c r="F384" s="31" t="n">
        <f aca="false">E384*SQRT(Parametrlar!$B$6)</f>
        <v>0.228523127526081</v>
      </c>
      <c r="G384" s="31" t="n">
        <f aca="false">STDEV(B365:B384)*SQRT(Parametrlar!$B$6)</f>
        <v>0.245706464501186</v>
      </c>
    </row>
    <row r="385" customFormat="false" ht="15" hidden="false" customHeight="false" outlineLevel="0" collapsed="false">
      <c r="A385" s="19" t="n">
        <f aca="false">Daromadlilik!A380</f>
        <v>45824</v>
      </c>
      <c r="B385" s="28" t="n">
        <f aca="false">Daromadlilik!H380</f>
        <v>0.0161822063260665</v>
      </c>
      <c r="C385" s="29" t="n">
        <f aca="false">B385^2</f>
        <v>0.000261863801579388</v>
      </c>
      <c r="D385" s="29" t="n">
        <f aca="false">$B$4*D384+(1-$B$4)*C384</f>
        <v>0.000237637258834306</v>
      </c>
      <c r="E385" s="30" t="n">
        <f aca="false">SQRT(D385)</f>
        <v>0.0154154876288201</v>
      </c>
      <c r="F385" s="31" t="n">
        <f aca="false">E385*SQRT(Parametrlar!$B$6)</f>
        <v>0.244713279627905</v>
      </c>
      <c r="G385" s="31" t="n">
        <f aca="false">STDEV(B366:B385)*SQRT(Parametrlar!$B$6)</f>
        <v>0.251154891478933</v>
      </c>
    </row>
    <row r="386" customFormat="false" ht="15" hidden="false" customHeight="false" outlineLevel="0" collapsed="false">
      <c r="A386" s="19" t="n">
        <f aca="false">Daromadlilik!A381</f>
        <v>45825</v>
      </c>
      <c r="B386" s="28" t="n">
        <f aca="false">Daromadlilik!H381</f>
        <v>-0.0206825097885397</v>
      </c>
      <c r="C386" s="29" t="n">
        <f aca="false">B386^2</f>
        <v>0.000427766211153042</v>
      </c>
      <c r="D386" s="29" t="n">
        <f aca="false">$B$4*D385+(1-$B$4)*C385</f>
        <v>0.000239090851399011</v>
      </c>
      <c r="E386" s="30" t="n">
        <f aca="false">SQRT(D386)</f>
        <v>0.0154625628987892</v>
      </c>
      <c r="F386" s="31" t="n">
        <f aca="false">E386*SQRT(Parametrlar!$B$6)</f>
        <v>0.245460576371341</v>
      </c>
      <c r="G386" s="31" t="n">
        <f aca="false">STDEV(B367:B386)*SQRT(Parametrlar!$B$6)</f>
        <v>0.250958135577588</v>
      </c>
    </row>
    <row r="387" customFormat="false" ht="15" hidden="false" customHeight="false" outlineLevel="0" collapsed="false">
      <c r="A387" s="19" t="n">
        <f aca="false">Daromadlilik!A382</f>
        <v>45826</v>
      </c>
      <c r="B387" s="28" t="n">
        <f aca="false">Daromadlilik!H382</f>
        <v>0.00698313827168954</v>
      </c>
      <c r="C387" s="29" t="n">
        <f aca="false">B387^2</f>
        <v>4.87642201215352E-005</v>
      </c>
      <c r="D387" s="29" t="n">
        <f aca="false">$B$4*D386+(1-$B$4)*C386</f>
        <v>0.000250411372984253</v>
      </c>
      <c r="E387" s="30" t="n">
        <f aca="false">SQRT(D387)</f>
        <v>0.0158243917097705</v>
      </c>
      <c r="F387" s="31" t="n">
        <f aca="false">E387*SQRT(Parametrlar!$B$6)</f>
        <v>0.251204430677549</v>
      </c>
      <c r="G387" s="31" t="n">
        <f aca="false">STDEV(B368:B387)*SQRT(Parametrlar!$B$6)</f>
        <v>0.242298543908066</v>
      </c>
    </row>
    <row r="388" customFormat="false" ht="15" hidden="false" customHeight="false" outlineLevel="0" collapsed="false">
      <c r="A388" s="19" t="n">
        <f aca="false">Daromadlilik!A383</f>
        <v>45827</v>
      </c>
      <c r="B388" s="28" t="n">
        <f aca="false">Daromadlilik!H383</f>
        <v>0.00563329529779837</v>
      </c>
      <c r="C388" s="29" t="n">
        <f aca="false">B388^2</f>
        <v>3.17340159121972E-005</v>
      </c>
      <c r="D388" s="29" t="n">
        <f aca="false">$B$4*D387+(1-$B$4)*C387</f>
        <v>0.00023831254381249</v>
      </c>
      <c r="E388" s="30" t="n">
        <f aca="false">SQRT(D388)</f>
        <v>0.0154373749003025</v>
      </c>
      <c r="F388" s="31" t="n">
        <f aca="false">E388*SQRT(Parametrlar!$B$6)</f>
        <v>0.245060729291226</v>
      </c>
      <c r="G388" s="31" t="n">
        <f aca="false">STDEV(B369:B388)*SQRT(Parametrlar!$B$6)</f>
        <v>0.224120581544032</v>
      </c>
    </row>
    <row r="389" customFormat="false" ht="15" hidden="false" customHeight="false" outlineLevel="0" collapsed="false">
      <c r="A389" s="19" t="n">
        <f aca="false">Daromadlilik!A384</f>
        <v>45828</v>
      </c>
      <c r="B389" s="28" t="n">
        <f aca="false">Daromadlilik!H384</f>
        <v>-0.00172756903110057</v>
      </c>
      <c r="C389" s="29" t="n">
        <f aca="false">B389^2</f>
        <v>2.98449475721776E-006</v>
      </c>
      <c r="D389" s="29" t="n">
        <f aca="false">$B$4*D388+(1-$B$4)*C388</f>
        <v>0.000225917832138472</v>
      </c>
      <c r="E389" s="30" t="n">
        <f aca="false">SQRT(D389)</f>
        <v>0.0150305632675051</v>
      </c>
      <c r="F389" s="31" t="n">
        <f aca="false">E389*SQRT(Parametrlar!$B$6)</f>
        <v>0.238602794826245</v>
      </c>
      <c r="G389" s="31" t="n">
        <f aca="false">STDEV(B370:B389)*SQRT(Parametrlar!$B$6)</f>
        <v>0.223703927939267</v>
      </c>
    </row>
    <row r="390" customFormat="false" ht="15" hidden="false" customHeight="false" outlineLevel="0" collapsed="false">
      <c r="A390" s="19" t="n">
        <f aca="false">Daromadlilik!A385</f>
        <v>45831</v>
      </c>
      <c r="B390" s="28" t="n">
        <f aca="false">Daromadlilik!H385</f>
        <v>-0.00733676732739685</v>
      </c>
      <c r="C390" s="29" t="n">
        <f aca="false">B390^2</f>
        <v>5.38281548163579E-005</v>
      </c>
      <c r="D390" s="29" t="n">
        <f aca="false">$B$4*D389+(1-$B$4)*C389</f>
        <v>0.000212541831895597</v>
      </c>
      <c r="E390" s="30" t="n">
        <f aca="false">SQRT(D390)</f>
        <v>0.0145788144886886</v>
      </c>
      <c r="F390" s="31" t="n">
        <f aca="false">E390*SQRT(Parametrlar!$B$6)</f>
        <v>0.231431505283292</v>
      </c>
      <c r="G390" s="31" t="n">
        <f aca="false">STDEV(B371:B390)*SQRT(Parametrlar!$B$6)</f>
        <v>0.215285204514936</v>
      </c>
    </row>
    <row r="391" customFormat="false" ht="15" hidden="false" customHeight="false" outlineLevel="0" collapsed="false">
      <c r="A391" s="19" t="n">
        <f aca="false">Daromadlilik!A386</f>
        <v>45832</v>
      </c>
      <c r="B391" s="28" t="n">
        <f aca="false">Daromadlilik!H386</f>
        <v>0.00793867028486134</v>
      </c>
      <c r="C391" s="29" t="n">
        <f aca="false">B391^2</f>
        <v>6.30224858917404E-005</v>
      </c>
      <c r="D391" s="29" t="n">
        <f aca="false">$B$4*D390+(1-$B$4)*C390</f>
        <v>0.000203019011270842</v>
      </c>
      <c r="E391" s="30" t="n">
        <f aca="false">SQRT(D391)</f>
        <v>0.0142484739979705</v>
      </c>
      <c r="F391" s="31" t="n">
        <f aca="false">E391*SQRT(Parametrlar!$B$6)</f>
        <v>0.226187512564802</v>
      </c>
      <c r="G391" s="31" t="n">
        <f aca="false">STDEV(B372:B391)*SQRT(Parametrlar!$B$6)</f>
        <v>0.212776422966131</v>
      </c>
    </row>
    <row r="392" customFormat="false" ht="15" hidden="false" customHeight="false" outlineLevel="0" collapsed="false">
      <c r="A392" s="19" t="n">
        <f aca="false">Daromadlilik!A387</f>
        <v>45833</v>
      </c>
      <c r="B392" s="28" t="n">
        <f aca="false">Daromadlilik!H387</f>
        <v>-0.0139206175485227</v>
      </c>
      <c r="C392" s="29" t="n">
        <f aca="false">B392^2</f>
        <v>0.000193783592932238</v>
      </c>
      <c r="D392" s="29" t="n">
        <f aca="false">$B$4*D391+(1-$B$4)*C391</f>
        <v>0.000194619219748096</v>
      </c>
      <c r="E392" s="30" t="n">
        <f aca="false">SQRT(D392)</f>
        <v>0.0139505992612538</v>
      </c>
      <c r="F392" s="31" t="n">
        <f aca="false">E392*SQRT(Parametrlar!$B$6)</f>
        <v>0.221458897713594</v>
      </c>
      <c r="G392" s="31" t="n">
        <f aca="false">STDEV(B373:B392)*SQRT(Parametrlar!$B$6)</f>
        <v>0.215126063452784</v>
      </c>
    </row>
    <row r="393" customFormat="false" ht="15" hidden="false" customHeight="false" outlineLevel="0" collapsed="false">
      <c r="A393" s="19" t="n">
        <f aca="false">Daromadlilik!A388</f>
        <v>45834</v>
      </c>
      <c r="B393" s="28" t="n">
        <f aca="false">Daromadlilik!H388</f>
        <v>0.00521183983840416</v>
      </c>
      <c r="C393" s="29" t="n">
        <f aca="false">B393^2</f>
        <v>2.71632745011767E-005</v>
      </c>
      <c r="D393" s="29" t="n">
        <f aca="false">$B$4*D392+(1-$B$4)*C392</f>
        <v>0.000194569082139145</v>
      </c>
      <c r="E393" s="30" t="n">
        <f aca="false">SQRT(D393)</f>
        <v>0.0139488021757836</v>
      </c>
      <c r="F393" s="31" t="n">
        <f aca="false">E393*SQRT(Parametrlar!$B$6)</f>
        <v>0.22143036986616</v>
      </c>
      <c r="G393" s="31" t="n">
        <f aca="false">STDEV(B374:B393)*SQRT(Parametrlar!$B$6)</f>
        <v>0.214351246977758</v>
      </c>
    </row>
    <row r="394" customFormat="false" ht="15" hidden="false" customHeight="false" outlineLevel="0" collapsed="false">
      <c r="A394" s="19" t="n">
        <f aca="false">Daromadlilik!A389</f>
        <v>45835</v>
      </c>
      <c r="B394" s="28" t="n">
        <f aca="false">Daromadlilik!H389</f>
        <v>0.033433752553011</v>
      </c>
      <c r="C394" s="29" t="n">
        <f aca="false">B394^2</f>
        <v>0.00111781580977597</v>
      </c>
      <c r="D394" s="29" t="n">
        <f aca="false">$B$4*D393+(1-$B$4)*C393</f>
        <v>0.000184524733680867</v>
      </c>
      <c r="E394" s="30" t="n">
        <f aca="false">SQRT(D394)</f>
        <v>0.0135839881360691</v>
      </c>
      <c r="F394" s="31" t="n">
        <f aca="false">E394*SQRT(Parametrlar!$B$6)</f>
        <v>0.215639126522944</v>
      </c>
      <c r="G394" s="31" t="n">
        <f aca="false">STDEV(B375:B394)*SQRT(Parametrlar!$B$6)</f>
        <v>0.24799970881515</v>
      </c>
    </row>
    <row r="395" customFormat="false" ht="15" hidden="false" customHeight="false" outlineLevel="0" collapsed="false">
      <c r="A395" s="19" t="n">
        <f aca="false">Daromadlilik!A390</f>
        <v>45838</v>
      </c>
      <c r="B395" s="28" t="n">
        <f aca="false">Daromadlilik!H390</f>
        <v>0.00425815380196077</v>
      </c>
      <c r="C395" s="29" t="n">
        <f aca="false">B395^2</f>
        <v>1.8131873801153E-005</v>
      </c>
      <c r="D395" s="29" t="n">
        <f aca="false">$B$4*D394+(1-$B$4)*C394</f>
        <v>0.000240522198246573</v>
      </c>
      <c r="E395" s="30" t="n">
        <f aca="false">SQRT(D395)</f>
        <v>0.015508778102951</v>
      </c>
      <c r="F395" s="31" t="n">
        <f aca="false">E395*SQRT(Parametrlar!$B$6)</f>
        <v>0.246194219993355</v>
      </c>
      <c r="G395" s="31" t="n">
        <f aca="false">STDEV(B376:B395)*SQRT(Parametrlar!$B$6)</f>
        <v>0.242915625526801</v>
      </c>
    </row>
    <row r="396" customFormat="false" ht="15" hidden="false" customHeight="false" outlineLevel="0" collapsed="false">
      <c r="A396" s="19" t="n">
        <f aca="false">Daromadlilik!A391</f>
        <v>45839</v>
      </c>
      <c r="B396" s="28" t="n">
        <f aca="false">Daromadlilik!H391</f>
        <v>0.0173398001572217</v>
      </c>
      <c r="C396" s="29" t="n">
        <f aca="false">B396^2</f>
        <v>0.000300668669492387</v>
      </c>
      <c r="D396" s="29" t="n">
        <f aca="false">$B$4*D395+(1-$B$4)*C395</f>
        <v>0.000227178778779848</v>
      </c>
      <c r="E396" s="30" t="n">
        <f aca="false">SQRT(D396)</f>
        <v>0.0150724509878071</v>
      </c>
      <c r="F396" s="31" t="n">
        <f aca="false">E396*SQRT(Parametrlar!$B$6)</f>
        <v>0.239267741771685</v>
      </c>
      <c r="G396" s="31" t="n">
        <f aca="false">STDEV(B377:B396)*SQRT(Parametrlar!$B$6)</f>
        <v>0.249311102316039</v>
      </c>
    </row>
    <row r="397" customFormat="false" ht="15" hidden="false" customHeight="false" outlineLevel="0" collapsed="false">
      <c r="A397" s="19" t="n">
        <f aca="false">Daromadlilik!A392</f>
        <v>45840</v>
      </c>
      <c r="B397" s="28" t="n">
        <f aca="false">Daromadlilik!H392</f>
        <v>-0.0244317351071384</v>
      </c>
      <c r="C397" s="29" t="n">
        <f aca="false">B397^2</f>
        <v>0.000596909680345381</v>
      </c>
      <c r="D397" s="29" t="n">
        <f aca="false">$B$4*D396+(1-$B$4)*C396</f>
        <v>0.0002315881722226</v>
      </c>
      <c r="E397" s="30" t="n">
        <f aca="false">SQRT(D397)</f>
        <v>0.0152180212978758</v>
      </c>
      <c r="F397" s="31" t="n">
        <f aca="false">E397*SQRT(Parametrlar!$B$6)</f>
        <v>0.241578598803982</v>
      </c>
      <c r="G397" s="31" t="n">
        <f aca="false">STDEV(B378:B397)*SQRT(Parametrlar!$B$6)</f>
        <v>0.253530796645237</v>
      </c>
    </row>
    <row r="398" customFormat="false" ht="15" hidden="false" customHeight="false" outlineLevel="0" collapsed="false">
      <c r="A398" s="19" t="n">
        <f aca="false">Daromadlilik!A393</f>
        <v>45841</v>
      </c>
      <c r="B398" s="28" t="n">
        <f aca="false">Daromadlilik!H393</f>
        <v>-0.00379596057944739</v>
      </c>
      <c r="C398" s="29" t="n">
        <f aca="false">B398^2</f>
        <v>1.44093167207185E-005</v>
      </c>
      <c r="D398" s="29" t="n">
        <f aca="false">$B$4*D397+(1-$B$4)*C397</f>
        <v>0.000253507462709967</v>
      </c>
      <c r="E398" s="30" t="n">
        <f aca="false">SQRT(D398)</f>
        <v>0.0159219176831802</v>
      </c>
      <c r="F398" s="31" t="n">
        <f aca="false">E398*SQRT(Parametrlar!$B$6)</f>
        <v>0.252752607509619</v>
      </c>
      <c r="G398" s="31" t="n">
        <f aca="false">STDEV(B379:B398)*SQRT(Parametrlar!$B$6)</f>
        <v>0.251383265343928</v>
      </c>
    </row>
    <row r="399" customFormat="false" ht="15" hidden="false" customHeight="false" outlineLevel="0" collapsed="false">
      <c r="A399" s="19" t="n">
        <f aca="false">Daromadlilik!A394</f>
        <v>45842</v>
      </c>
      <c r="B399" s="28" t="n">
        <f aca="false">Daromadlilik!H394</f>
        <v>0.0179819774779003</v>
      </c>
      <c r="C399" s="29" t="n">
        <f aca="false">B399^2</f>
        <v>0.000323351514015712</v>
      </c>
      <c r="D399" s="29" t="n">
        <f aca="false">$B$4*D398+(1-$B$4)*C398</f>
        <v>0.000239161573950612</v>
      </c>
      <c r="E399" s="30" t="n">
        <f aca="false">SQRT(D399)</f>
        <v>0.0154648496258648</v>
      </c>
      <c r="F399" s="31" t="n">
        <f aca="false">E399*SQRT(Parametrlar!$B$6)</f>
        <v>0.245496877038292</v>
      </c>
      <c r="G399" s="31" t="n">
        <f aca="false">STDEV(B380:B399)*SQRT(Parametrlar!$B$6)</f>
        <v>0.257753854923424</v>
      </c>
    </row>
    <row r="400" customFormat="false" ht="15" hidden="false" customHeight="false" outlineLevel="0" collapsed="false">
      <c r="A400" s="19" t="n">
        <f aca="false">Daromadlilik!A395</f>
        <v>45845</v>
      </c>
      <c r="B400" s="28" t="n">
        <f aca="false">Daromadlilik!H395</f>
        <v>-0.0159460953099288</v>
      </c>
      <c r="C400" s="29" t="n">
        <f aca="false">B400^2</f>
        <v>0.000254277955633335</v>
      </c>
      <c r="D400" s="29" t="n">
        <f aca="false">$B$4*D399+(1-$B$4)*C399</f>
        <v>0.000244212970354518</v>
      </c>
      <c r="E400" s="30" t="n">
        <f aca="false">SQRT(D400)</f>
        <v>0.0156273148798672</v>
      </c>
      <c r="F400" s="31" t="n">
        <f aca="false">E400*SQRT(Parametrlar!$B$6)</f>
        <v>0.248075932990967</v>
      </c>
      <c r="G400" s="31" t="n">
        <f aca="false">STDEV(B381:B400)*SQRT(Parametrlar!$B$6)</f>
        <v>0.264658683938129</v>
      </c>
    </row>
    <row r="401" customFormat="false" ht="15" hidden="false" customHeight="false" outlineLevel="0" collapsed="false">
      <c r="A401" s="19" t="n">
        <f aca="false">Daromadlilik!A396</f>
        <v>45846</v>
      </c>
      <c r="B401" s="28" t="n">
        <f aca="false">Daromadlilik!H396</f>
        <v>0.0220218041916029</v>
      </c>
      <c r="C401" s="29" t="n">
        <f aca="false">B401^2</f>
        <v>0.000484959859853299</v>
      </c>
      <c r="D401" s="29" t="n">
        <f aca="false">$B$4*D400+(1-$B$4)*C400</f>
        <v>0.000244816869471247</v>
      </c>
      <c r="E401" s="30" t="n">
        <f aca="false">SQRT(D401)</f>
        <v>0.0156466248587754</v>
      </c>
      <c r="F401" s="31" t="n">
        <f aca="false">E401*SQRT(Parametrlar!$B$6)</f>
        <v>0.248382469403044</v>
      </c>
      <c r="G401" s="31" t="n">
        <f aca="false">STDEV(B382:B401)*SQRT(Parametrlar!$B$6)</f>
        <v>0.274162739033969</v>
      </c>
    </row>
    <row r="402" customFormat="false" ht="15" hidden="false" customHeight="false" outlineLevel="0" collapsed="false">
      <c r="A402" s="19" t="n">
        <f aca="false">Daromadlilik!A397</f>
        <v>45847</v>
      </c>
      <c r="B402" s="28" t="n">
        <f aca="false">Daromadlilik!H397</f>
        <v>-0.00608314993919704</v>
      </c>
      <c r="C402" s="29" t="n">
        <f aca="false">B402^2</f>
        <v>3.7004713182753E-005</v>
      </c>
      <c r="D402" s="29" t="n">
        <f aca="false">$B$4*D401+(1-$B$4)*C401</f>
        <v>0.00025922544889417</v>
      </c>
      <c r="E402" s="30" t="n">
        <f aca="false">SQRT(D402)</f>
        <v>0.0161004797721736</v>
      </c>
      <c r="F402" s="31" t="n">
        <f aca="false">E402*SQRT(Parametrlar!$B$6)</f>
        <v>0.255587192795983</v>
      </c>
      <c r="G402" s="31" t="n">
        <f aca="false">STDEV(B383:B402)*SQRT(Parametrlar!$B$6)</f>
        <v>0.275662228898159</v>
      </c>
    </row>
    <row r="403" customFormat="false" ht="15" hidden="false" customHeight="false" outlineLevel="0" collapsed="false">
      <c r="A403" s="19" t="n">
        <f aca="false">Daromadlilik!A398</f>
        <v>45848</v>
      </c>
      <c r="B403" s="28" t="n">
        <f aca="false">Daromadlilik!H398</f>
        <v>0.0375553861349547</v>
      </c>
      <c r="C403" s="29" t="n">
        <f aca="false">B403^2</f>
        <v>0.00141040702774554</v>
      </c>
      <c r="D403" s="29" t="n">
        <f aca="false">$B$4*D402+(1-$B$4)*C402</f>
        <v>0.000245892204751485</v>
      </c>
      <c r="E403" s="30" t="n">
        <f aca="false">SQRT(D403)</f>
        <v>0.0156809503778146</v>
      </c>
      <c r="F403" s="31" t="n">
        <f aca="false">E403*SQRT(Parametrlar!$B$6)</f>
        <v>0.248927370125051</v>
      </c>
      <c r="G403" s="31" t="n">
        <f aca="false">STDEV(B384:B403)*SQRT(Parametrlar!$B$6)</f>
        <v>0.277517591725022</v>
      </c>
    </row>
    <row r="404" customFormat="false" ht="15" hidden="false" customHeight="false" outlineLevel="0" collapsed="false">
      <c r="A404" s="19" t="n">
        <f aca="false">Daromadlilik!A399</f>
        <v>45849</v>
      </c>
      <c r="B404" s="28" t="n">
        <f aca="false">Daromadlilik!H399</f>
        <v>0.0217355169999947</v>
      </c>
      <c r="C404" s="29" t="n">
        <f aca="false">B404^2</f>
        <v>0.000472432699257059</v>
      </c>
      <c r="D404" s="29" t="n">
        <f aca="false">$B$4*D403+(1-$B$4)*C403</f>
        <v>0.000315763094131129</v>
      </c>
      <c r="E404" s="30" t="n">
        <f aca="false">SQRT(D404)</f>
        <v>0.017769724087085</v>
      </c>
      <c r="F404" s="31" t="n">
        <f aca="false">E404*SQRT(Parametrlar!$B$6)</f>
        <v>0.282085624803967</v>
      </c>
      <c r="G404" s="31" t="n">
        <f aca="false">STDEV(B385:B404)*SQRT(Parametrlar!$B$6)</f>
        <v>0.272957282785628</v>
      </c>
    </row>
    <row r="405" customFormat="false" ht="15" hidden="false" customHeight="false" outlineLevel="0" collapsed="false">
      <c r="A405" s="19" t="n">
        <f aca="false">Daromadlilik!A400</f>
        <v>45852</v>
      </c>
      <c r="B405" s="28" t="n">
        <f aca="false">Daromadlilik!H400</f>
        <v>-0.00271058064208731</v>
      </c>
      <c r="C405" s="29" t="n">
        <f aca="false">B405^2</f>
        <v>7.34724741725848E-006</v>
      </c>
      <c r="D405" s="29" t="n">
        <f aca="false">$B$4*D404+(1-$B$4)*C404</f>
        <v>0.000325163270438685</v>
      </c>
      <c r="E405" s="30" t="n">
        <f aca="false">SQRT(D405)</f>
        <v>0.0180322841159595</v>
      </c>
      <c r="F405" s="31" t="n">
        <f aca="false">E405*SQRT(Parametrlar!$B$6)</f>
        <v>0.286253636047734</v>
      </c>
      <c r="G405" s="31" t="n">
        <f aca="false">STDEV(B386:B405)*SQRT(Parametrlar!$B$6)</f>
        <v>0.271031314814729</v>
      </c>
    </row>
    <row r="406" customFormat="false" ht="15" hidden="false" customHeight="false" outlineLevel="0" collapsed="false">
      <c r="A406" s="19" t="n">
        <f aca="false">Daromadlilik!A401</f>
        <v>45853</v>
      </c>
      <c r="B406" s="28" t="n">
        <f aca="false">Daromadlilik!H401</f>
        <v>-0.00753117123077064</v>
      </c>
      <c r="C406" s="29" t="n">
        <f aca="false">B406^2</f>
        <v>5.67185401071874E-005</v>
      </c>
      <c r="D406" s="29" t="n">
        <f aca="false">$B$4*D405+(1-$B$4)*C405</f>
        <v>0.000306094309057399</v>
      </c>
      <c r="E406" s="30" t="n">
        <f aca="false">SQRT(D406)</f>
        <v>0.0174955511218538</v>
      </c>
      <c r="F406" s="31" t="n">
        <f aca="false">E406*SQRT(Parametrlar!$B$6)</f>
        <v>0.277733263910653</v>
      </c>
      <c r="G406" s="31" t="n">
        <f aca="false">STDEV(B387:B406)*SQRT(Parametrlar!$B$6)</f>
        <v>0.258778402994628</v>
      </c>
    </row>
    <row r="407" customFormat="false" ht="15" hidden="false" customHeight="false" outlineLevel="0" collapsed="false">
      <c r="A407" s="19" t="n">
        <f aca="false">Daromadlilik!A402</f>
        <v>45854</v>
      </c>
      <c r="B407" s="28" t="n">
        <f aca="false">Daromadlilik!H402</f>
        <v>0.0185313975387668</v>
      </c>
      <c r="C407" s="29" t="n">
        <f aca="false">B407^2</f>
        <v>0.000343412694739814</v>
      </c>
      <c r="D407" s="29" t="n">
        <f aca="false">$B$4*D406+(1-$B$4)*C406</f>
        <v>0.000291131762920386</v>
      </c>
      <c r="E407" s="30" t="n">
        <f aca="false">SQRT(D407)</f>
        <v>0.0170625837117474</v>
      </c>
      <c r="F407" s="31" t="n">
        <f aca="false">E407*SQRT(Parametrlar!$B$6)</f>
        <v>0.270860119353029</v>
      </c>
      <c r="G407" s="31" t="n">
        <f aca="false">STDEV(B388:B407)*SQRT(Parametrlar!$B$6)</f>
        <v>0.26326043219666</v>
      </c>
    </row>
    <row r="408" customFormat="false" ht="15" hidden="false" customHeight="false" outlineLevel="0" collapsed="false">
      <c r="A408" s="19" t="n">
        <f aca="false">Daromadlilik!A403</f>
        <v>45855</v>
      </c>
      <c r="B408" s="28" t="n">
        <f aca="false">Daromadlilik!H403</f>
        <v>0.00145944844864009</v>
      </c>
      <c r="C408" s="29" t="n">
        <f aca="false">B408^2</f>
        <v>2.12998977423796E-006</v>
      </c>
      <c r="D408" s="29" t="n">
        <f aca="false">$B$4*D407+(1-$B$4)*C407</f>
        <v>0.000294268618829552</v>
      </c>
      <c r="E408" s="30" t="n">
        <f aca="false">SQRT(D408)</f>
        <v>0.017154259495226</v>
      </c>
      <c r="F408" s="31" t="n">
        <f aca="false">E408*SQRT(Parametrlar!$B$6)</f>
        <v>0.272315427299019</v>
      </c>
      <c r="G408" s="31" t="n">
        <f aca="false">STDEV(B389:B408)*SQRT(Parametrlar!$B$6)</f>
        <v>0.26362967283166</v>
      </c>
    </row>
    <row r="409" customFormat="false" ht="15" hidden="false" customHeight="false" outlineLevel="0" collapsed="false">
      <c r="A409" s="19" t="n">
        <f aca="false">Daromadlilik!A404</f>
        <v>45856</v>
      </c>
      <c r="B409" s="28" t="n">
        <f aca="false">Daromadlilik!H404</f>
        <v>-0.00324843863386485</v>
      </c>
      <c r="C409" s="29" t="n">
        <f aca="false">B409^2</f>
        <v>1.05523535579857E-005</v>
      </c>
      <c r="D409" s="29" t="n">
        <f aca="false">$B$4*D408+(1-$B$4)*C408</f>
        <v>0.000276740301086233</v>
      </c>
      <c r="E409" s="30" t="n">
        <f aca="false">SQRT(D409)</f>
        <v>0.016635513249859</v>
      </c>
      <c r="F409" s="31" t="n">
        <f aca="false">E409*SQRT(Parametrlar!$B$6)</f>
        <v>0.26408058594628</v>
      </c>
      <c r="G409" s="31" t="n">
        <f aca="false">STDEV(B390:B409)*SQRT(Parametrlar!$B$6)</f>
        <v>0.264214299516252</v>
      </c>
    </row>
    <row r="410" customFormat="false" ht="15" hidden="false" customHeight="false" outlineLevel="0" collapsed="false">
      <c r="A410" s="19" t="n">
        <f aca="false">Daromadlilik!A405</f>
        <v>45859</v>
      </c>
      <c r="B410" s="28" t="n">
        <f aca="false">Daromadlilik!H405</f>
        <v>-0.000689998877377566</v>
      </c>
      <c r="C410" s="29" t="n">
        <f aca="false">B410^2</f>
        <v>4.76098450782301E-007</v>
      </c>
      <c r="D410" s="29" t="n">
        <f aca="false">$B$4*D409+(1-$B$4)*C409</f>
        <v>0.000260769024234538</v>
      </c>
      <c r="E410" s="30" t="n">
        <f aca="false">SQRT(D410)</f>
        <v>0.0161483443186767</v>
      </c>
      <c r="F410" s="31" t="n">
        <f aca="false">E410*SQRT(Parametrlar!$B$6)</f>
        <v>0.256347018915968</v>
      </c>
      <c r="G410" s="31" t="n">
        <f aca="false">STDEV(B391:B410)*SQRT(Parametrlar!$B$6)</f>
        <v>0.261091927836471</v>
      </c>
    </row>
    <row r="411" customFormat="false" ht="15" hidden="false" customHeight="false" outlineLevel="0" collapsed="false">
      <c r="A411" s="19" t="n">
        <f aca="false">Daromadlilik!A406</f>
        <v>45860</v>
      </c>
      <c r="B411" s="28" t="n">
        <f aca="false">Daromadlilik!H406</f>
        <v>0.00373702134656706</v>
      </c>
      <c r="C411" s="29" t="n">
        <f aca="false">B411^2</f>
        <v>1.39653285446979E-005</v>
      </c>
      <c r="D411" s="29" t="n">
        <f aca="false">$B$4*D410+(1-$B$4)*C410</f>
        <v>0.000245151448687513</v>
      </c>
      <c r="E411" s="30" t="n">
        <f aca="false">SQRT(D411)</f>
        <v>0.0156573129459532</v>
      </c>
      <c r="F411" s="31" t="n">
        <f aca="false">E411*SQRT(Parametrlar!$B$6)</f>
        <v>0.248552137527025</v>
      </c>
      <c r="G411" s="31" t="n">
        <f aca="false">STDEV(B392:B411)*SQRT(Parametrlar!$B$6)</f>
        <v>0.260987879821877</v>
      </c>
    </row>
    <row r="412" customFormat="false" ht="15" hidden="false" customHeight="false" outlineLevel="0" collapsed="false">
      <c r="A412" s="19" t="n">
        <f aca="false">Daromadlilik!A407</f>
        <v>45861</v>
      </c>
      <c r="B412" s="28" t="n">
        <f aca="false">Daromadlilik!H407</f>
        <v>0.00499562796476727</v>
      </c>
      <c r="C412" s="29" t="n">
        <f aca="false">B412^2</f>
        <v>2.49562987623648E-005</v>
      </c>
      <c r="D412" s="29" t="n">
        <f aca="false">$B$4*D411+(1-$B$4)*C411</f>
        <v>0.000231280281478944</v>
      </c>
      <c r="E412" s="30" t="n">
        <f aca="false">SQRT(D412)</f>
        <v>0.0152079019420479</v>
      </c>
      <c r="F412" s="31" t="n">
        <f aca="false">E412*SQRT(Parametrlar!$B$6)</f>
        <v>0.24141795901029</v>
      </c>
      <c r="G412" s="31" t="n">
        <f aca="false">STDEV(B393:B412)*SQRT(Parametrlar!$B$6)</f>
        <v>0.251010277903798</v>
      </c>
    </row>
    <row r="413" customFormat="false" ht="15" hidden="false" customHeight="false" outlineLevel="0" collapsed="false">
      <c r="A413" s="19" t="n">
        <f aca="false">Daromadlilik!A408</f>
        <v>45862</v>
      </c>
      <c r="B413" s="28" t="n">
        <f aca="false">Daromadlilik!H408</f>
        <v>0.0102043806758735</v>
      </c>
      <c r="C413" s="29" t="n">
        <f aca="false">B413^2</f>
        <v>0.000104129384978141</v>
      </c>
      <c r="D413" s="29" t="n">
        <f aca="false">$B$4*D412+(1-$B$4)*C412</f>
        <v>0.000218900842515949</v>
      </c>
      <c r="E413" s="30" t="n">
        <f aca="false">SQRT(D413)</f>
        <v>0.0147952979867237</v>
      </c>
      <c r="F413" s="31" t="n">
        <f aca="false">E413*SQRT(Parametrlar!$B$6)</f>
        <v>0.234868074275793</v>
      </c>
      <c r="G413" s="31" t="n">
        <f aca="false">STDEV(B394:B413)*SQRT(Parametrlar!$B$6)</f>
        <v>0.251377238842603</v>
      </c>
    </row>
    <row r="414" customFormat="false" ht="15" hidden="false" customHeight="false" outlineLevel="0" collapsed="false">
      <c r="A414" s="19" t="n">
        <f aca="false">Daromadlilik!A409</f>
        <v>45863</v>
      </c>
      <c r="B414" s="28" t="n">
        <f aca="false">Daromadlilik!H409</f>
        <v>0.0019751844060101</v>
      </c>
      <c r="C414" s="29" t="n">
        <f aca="false">B414^2</f>
        <v>3.90135343774546E-006</v>
      </c>
      <c r="D414" s="29" t="n">
        <f aca="false">$B$4*D413+(1-$B$4)*C413</f>
        <v>0.000212014555063681</v>
      </c>
      <c r="E414" s="30" t="n">
        <f aca="false">SQRT(D414)</f>
        <v>0.0145607195929212</v>
      </c>
      <c r="F414" s="31" t="n">
        <f aca="false">E414*SQRT(Parametrlar!$B$6)</f>
        <v>0.231144257718092</v>
      </c>
      <c r="G414" s="31" t="n">
        <f aca="false">STDEV(B395:B414)*SQRT(Parametrlar!$B$6)</f>
        <v>0.230510238329229</v>
      </c>
    </row>
    <row r="415" customFormat="false" ht="15" hidden="false" customHeight="false" outlineLevel="0" collapsed="false">
      <c r="A415" s="19" t="n">
        <f aca="false">Daromadlilik!A410</f>
        <v>45866</v>
      </c>
      <c r="B415" s="28" t="n">
        <f aca="false">Daromadlilik!H410</f>
        <v>-0.0146430807109745</v>
      </c>
      <c r="C415" s="29" t="n">
        <f aca="false">B415^2</f>
        <v>0.000214419812708114</v>
      </c>
      <c r="D415" s="29" t="n">
        <f aca="false">$B$4*D414+(1-$B$4)*C414</f>
        <v>0.000199527762966124</v>
      </c>
      <c r="E415" s="30" t="n">
        <f aca="false">SQRT(D415)</f>
        <v>0.014125429655983</v>
      </c>
      <c r="F415" s="31" t="n">
        <f aca="false">E415*SQRT(Parametrlar!$B$6)</f>
        <v>0.224234244190006</v>
      </c>
      <c r="G415" s="31" t="n">
        <f aca="false">STDEV(B396:B415)*SQRT(Parametrlar!$B$6)</f>
        <v>0.240711721456775</v>
      </c>
    </row>
    <row r="416" customFormat="false" ht="15" hidden="false" customHeight="false" outlineLevel="0" collapsed="false">
      <c r="A416" s="19" t="n">
        <f aca="false">Daromadlilik!A411</f>
        <v>45867</v>
      </c>
      <c r="B416" s="28" t="n">
        <f aca="false">Daromadlilik!H411</f>
        <v>0.00810804995277359</v>
      </c>
      <c r="C416" s="29" t="n">
        <f aca="false">B416^2</f>
        <v>6.57404740366718E-005</v>
      </c>
      <c r="D416" s="29" t="n">
        <f aca="false">$B$4*D415+(1-$B$4)*C415</f>
        <v>0.000200421285950644</v>
      </c>
      <c r="E416" s="30" t="n">
        <f aca="false">SQRT(D416)</f>
        <v>0.0141570224959433</v>
      </c>
      <c r="F416" s="31" t="n">
        <f aca="false">E416*SQRT(Parametrlar!$B$6)</f>
        <v>0.224735764976477</v>
      </c>
      <c r="G416" s="31" t="n">
        <f aca="false">STDEV(B397:B416)*SQRT(Parametrlar!$B$6)</f>
        <v>0.236072814778027</v>
      </c>
    </row>
    <row r="417" customFormat="false" ht="15" hidden="false" customHeight="false" outlineLevel="0" collapsed="false">
      <c r="A417" s="19" t="n">
        <f aca="false">Daromadlilik!A412</f>
        <v>45868</v>
      </c>
      <c r="B417" s="28" t="n">
        <f aca="false">Daromadlilik!H412</f>
        <v>0.000597734809053463</v>
      </c>
      <c r="C417" s="29" t="n">
        <f aca="false">B417^2</f>
        <v>3.5728690195418E-007</v>
      </c>
      <c r="D417" s="29" t="n">
        <f aca="false">$B$4*D416+(1-$B$4)*C416</f>
        <v>0.000192340437235806</v>
      </c>
      <c r="E417" s="30" t="n">
        <f aca="false">SQRT(D417)</f>
        <v>0.0138686854905505</v>
      </c>
      <c r="F417" s="31" t="n">
        <f aca="false">E417*SQRT(Parametrlar!$B$6)</f>
        <v>0.220158556916198</v>
      </c>
      <c r="G417" s="31" t="n">
        <f aca="false">STDEV(B398:B417)*SQRT(Parametrlar!$B$6)</f>
        <v>0.212378608760704</v>
      </c>
    </row>
    <row r="418" customFormat="false" ht="15" hidden="false" customHeight="false" outlineLevel="0" collapsed="false">
      <c r="A418" s="19" t="n">
        <f aca="false">Daromadlilik!A413</f>
        <v>45869</v>
      </c>
      <c r="B418" s="28" t="n">
        <f aca="false">Daromadlilik!H413</f>
        <v>0.00478273102008919</v>
      </c>
      <c r="C418" s="29" t="n">
        <f aca="false">B418^2</f>
        <v>2.28745160105233E-005</v>
      </c>
      <c r="D418" s="29" t="n">
        <f aca="false">$B$4*D417+(1-$B$4)*C417</f>
        <v>0.000180821448215774</v>
      </c>
      <c r="E418" s="30" t="n">
        <f aca="false">SQRT(D418)</f>
        <v>0.0134469865849481</v>
      </c>
      <c r="F418" s="31" t="n">
        <f aca="false">E418*SQRT(Parametrlar!$B$6)</f>
        <v>0.213464294321967</v>
      </c>
      <c r="G418" s="31" t="n">
        <f aca="false">STDEV(B399:B418)*SQRT(Parametrlar!$B$6)</f>
        <v>0.209989774082852</v>
      </c>
    </row>
    <row r="419" customFormat="false" ht="15" hidden="false" customHeight="false" outlineLevel="0" collapsed="false">
      <c r="A419" s="19" t="n">
        <f aca="false">Daromadlilik!A414</f>
        <v>45870</v>
      </c>
      <c r="B419" s="28" t="n">
        <f aca="false">Daromadlilik!H414</f>
        <v>0.00974787917004792</v>
      </c>
      <c r="C419" s="29" t="n">
        <f aca="false">B419^2</f>
        <v>9.50211483138541E-005</v>
      </c>
      <c r="D419" s="29" t="n">
        <f aca="false">$B$4*D418+(1-$B$4)*C418</f>
        <v>0.000171344632283459</v>
      </c>
      <c r="E419" s="30" t="n">
        <f aca="false">SQRT(D419)</f>
        <v>0.0130898675426247</v>
      </c>
      <c r="F419" s="31" t="n">
        <f aca="false">E419*SQRT(Parametrlar!$B$6)</f>
        <v>0.207795205275367</v>
      </c>
      <c r="G419" s="31" t="n">
        <f aca="false">STDEV(B400:B419)*SQRT(Parametrlar!$B$6)</f>
        <v>0.205293472887186</v>
      </c>
    </row>
    <row r="420" customFormat="false" ht="15" hidden="false" customHeight="false" outlineLevel="0" collapsed="false">
      <c r="A420" s="19" t="n">
        <f aca="false">Daromadlilik!A415</f>
        <v>45873</v>
      </c>
      <c r="B420" s="28" t="n">
        <f aca="false">Daromadlilik!H415</f>
        <v>0.0136148913030215</v>
      </c>
      <c r="C420" s="29" t="n">
        <f aca="false">B420^2</f>
        <v>0.000185365265193091</v>
      </c>
      <c r="D420" s="29" t="n">
        <f aca="false">$B$4*D419+(1-$B$4)*C419</f>
        <v>0.000166765223245283</v>
      </c>
      <c r="E420" s="30" t="n">
        <f aca="false">SQRT(D420)</f>
        <v>0.0129137610031037</v>
      </c>
      <c r="F420" s="31" t="n">
        <f aca="false">E420*SQRT(Parametrlar!$B$6)</f>
        <v>0.204999600628419</v>
      </c>
      <c r="G420" s="31" t="n">
        <f aca="false">STDEV(B401:B420)*SQRT(Parametrlar!$B$6)</f>
        <v>0.192205412790078</v>
      </c>
    </row>
    <row r="421" customFormat="false" ht="15" hidden="false" customHeight="false" outlineLevel="0" collapsed="false">
      <c r="A421" s="19" t="n">
        <f aca="false">Daromadlilik!A416</f>
        <v>45874</v>
      </c>
      <c r="B421" s="28" t="n">
        <f aca="false">Daromadlilik!H416</f>
        <v>-0.00520890304700523</v>
      </c>
      <c r="C421" s="29" t="n">
        <f aca="false">B421^2</f>
        <v>2.71326709531004E-005</v>
      </c>
      <c r="D421" s="29" t="n">
        <f aca="false">$B$4*D420+(1-$B$4)*C420</f>
        <v>0.000167881225762152</v>
      </c>
      <c r="E421" s="30" t="n">
        <f aca="false">SQRT(D421)</f>
        <v>0.0129568987710081</v>
      </c>
      <c r="F421" s="31" t="n">
        <f aca="false">E421*SQRT(Parametrlar!$B$6)</f>
        <v>0.205684391464355</v>
      </c>
      <c r="G421" s="31" t="n">
        <f aca="false">STDEV(B402:B421)*SQRT(Parametrlar!$B$6)</f>
        <v>0.186716889710161</v>
      </c>
    </row>
    <row r="422" customFormat="false" ht="15" hidden="false" customHeight="false" outlineLevel="0" collapsed="false">
      <c r="A422" s="19" t="n">
        <f aca="false">Daromadlilik!A417</f>
        <v>45875</v>
      </c>
      <c r="B422" s="28" t="n">
        <f aca="false">Daromadlilik!H417</f>
        <v>0.0126602544771132</v>
      </c>
      <c r="C422" s="29" t="n">
        <f aca="false">B422^2</f>
        <v>0.000160282043425265</v>
      </c>
      <c r="D422" s="29" t="n">
        <f aca="false">$B$4*D421+(1-$B$4)*C421</f>
        <v>0.000159436312473608</v>
      </c>
      <c r="E422" s="30" t="n">
        <f aca="false">SQRT(D422)</f>
        <v>0.0126268092752527</v>
      </c>
      <c r="F422" s="31" t="n">
        <f aca="false">E422*SQRT(Parametrlar!$B$6)</f>
        <v>0.200444383167375</v>
      </c>
      <c r="G422" s="31" t="n">
        <f aca="false">STDEV(B403:B422)*SQRT(Parametrlar!$B$6)</f>
        <v>0.183998966956664</v>
      </c>
    </row>
    <row r="423" customFormat="false" ht="15" hidden="false" customHeight="false" outlineLevel="0" collapsed="false">
      <c r="A423" s="19" t="n">
        <f aca="false">Daromadlilik!A418</f>
        <v>45876</v>
      </c>
      <c r="B423" s="28" t="n">
        <f aca="false">Daromadlilik!H418</f>
        <v>0.00559844151071806</v>
      </c>
      <c r="C423" s="29" t="n">
        <f aca="false">B423^2</f>
        <v>3.13425473489311E-005</v>
      </c>
      <c r="D423" s="29" t="n">
        <f aca="false">$B$4*D422+(1-$B$4)*C422</f>
        <v>0.000159487056330708</v>
      </c>
      <c r="E423" s="30" t="n">
        <f aca="false">SQRT(D423)</f>
        <v>0.0126288184851437</v>
      </c>
      <c r="F423" s="31" t="n">
        <f aca="false">E423*SQRT(Parametrlar!$B$6)</f>
        <v>0.200476278385595</v>
      </c>
      <c r="G423" s="31" t="n">
        <f aca="false">STDEV(B404:B423)*SQRT(Parametrlar!$B$6)</f>
        <v>0.14067848628817</v>
      </c>
    </row>
    <row r="424" customFormat="false" ht="15" hidden="false" customHeight="false" outlineLevel="0" collapsed="false">
      <c r="A424" s="19" t="n">
        <f aca="false">Daromadlilik!A419</f>
        <v>45877</v>
      </c>
      <c r="B424" s="28" t="n">
        <f aca="false">Daromadlilik!H419</f>
        <v>0.00599978799589144</v>
      </c>
      <c r="C424" s="29" t="n">
        <f aca="false">B424^2</f>
        <v>3.5997455995643E-005</v>
      </c>
      <c r="D424" s="29" t="n">
        <f aca="false">$B$4*D423+(1-$B$4)*C423</f>
        <v>0.000151798385791801</v>
      </c>
      <c r="E424" s="30" t="n">
        <f aca="false">SQRT(D424)</f>
        <v>0.0123206487569365</v>
      </c>
      <c r="F424" s="31" t="n">
        <f aca="false">E424*SQRT(Parametrlar!$B$6)</f>
        <v>0.195584235610987</v>
      </c>
      <c r="G424" s="31" t="n">
        <f aca="false">STDEV(B405:B424)*SQRT(Parametrlar!$B$6)</f>
        <v>0.124839605161047</v>
      </c>
    </row>
    <row r="425" customFormat="false" ht="15" hidden="false" customHeight="false" outlineLevel="0" collapsed="false">
      <c r="A425" s="19" t="n">
        <f aca="false">Daromadlilik!A420</f>
        <v>45880</v>
      </c>
      <c r="B425" s="28" t="n">
        <f aca="false">Daromadlilik!H420</f>
        <v>-0.00323528246367754</v>
      </c>
      <c r="C425" s="29" t="n">
        <f aca="false">B425^2</f>
        <v>1.04670526197794E-005</v>
      </c>
      <c r="D425" s="29" t="n">
        <f aca="false">$B$4*D424+(1-$B$4)*C424</f>
        <v>0.000144850330004032</v>
      </c>
      <c r="E425" s="30" t="n">
        <f aca="false">SQRT(D425)</f>
        <v>0.0120353782659305</v>
      </c>
      <c r="F425" s="31" t="n">
        <f aca="false">E425*SQRT(Parametrlar!$B$6)</f>
        <v>0.191055706957463</v>
      </c>
      <c r="G425" s="31" t="n">
        <f aca="false">STDEV(B406:B425)*SQRT(Parametrlar!$B$6)</f>
        <v>0.125193578232737</v>
      </c>
    </row>
    <row r="426" customFormat="false" ht="15" hidden="false" customHeight="false" outlineLevel="0" collapsed="false">
      <c r="A426" s="19" t="n">
        <f aca="false">Daromadlilik!A421</f>
        <v>45881</v>
      </c>
      <c r="B426" s="28" t="n">
        <f aca="false">Daromadlilik!H421</f>
        <v>0.0100390958471241</v>
      </c>
      <c r="C426" s="29" t="n">
        <f aca="false">B426^2</f>
        <v>0.000100783445427745</v>
      </c>
      <c r="D426" s="29" t="n">
        <f aca="false">$B$4*D425+(1-$B$4)*C425</f>
        <v>0.000136787333360977</v>
      </c>
      <c r="E426" s="30" t="n">
        <f aca="false">SQRT(D426)</f>
        <v>0.0116956117138428</v>
      </c>
      <c r="F426" s="31" t="n">
        <f aca="false">E426*SQRT(Parametrlar!$B$6)</f>
        <v>0.185662080153612</v>
      </c>
      <c r="G426" s="31" t="n">
        <f aca="false">STDEV(B407:B426)*SQRT(Parametrlar!$B$6)</f>
        <v>0.120337735687617</v>
      </c>
    </row>
    <row r="427" customFormat="false" ht="15" hidden="false" customHeight="false" outlineLevel="0" collapsed="false">
      <c r="A427" s="19" t="n">
        <f aca="false">Daromadlilik!A422</f>
        <v>45882</v>
      </c>
      <c r="B427" s="28" t="n">
        <f aca="false">Daromadlilik!H422</f>
        <v>0.024655948225408</v>
      </c>
      <c r="C427" s="29" t="n">
        <f aca="false">B427^2</f>
        <v>0.000607915782893999</v>
      </c>
      <c r="D427" s="29" t="n">
        <f aca="false">$B$4*D426+(1-$B$4)*C426</f>
        <v>0.000134627100084983</v>
      </c>
      <c r="E427" s="30" t="n">
        <f aca="false">SQRT(D427)</f>
        <v>0.0116028918845684</v>
      </c>
      <c r="F427" s="31" t="n">
        <f aca="false">E427*SQRT(Parametrlar!$B$6)</f>
        <v>0.184190198494425</v>
      </c>
      <c r="G427" s="31" t="n">
        <f aca="false">STDEV(B408:B427)*SQRT(Parametrlar!$B$6)</f>
        <v>0.131429700623577</v>
      </c>
    </row>
    <row r="428" customFormat="false" ht="15" hidden="false" customHeight="false" outlineLevel="0" collapsed="false">
      <c r="A428" s="19" t="n">
        <f aca="false">Daromadlilik!A423</f>
        <v>45883</v>
      </c>
      <c r="B428" s="28" t="n">
        <f aca="false">Daromadlilik!H423</f>
        <v>0.00721170657858722</v>
      </c>
      <c r="C428" s="29" t="n">
        <f aca="false">B428^2</f>
        <v>5.20087117756382E-005</v>
      </c>
      <c r="D428" s="29" t="n">
        <f aca="false">$B$4*D427+(1-$B$4)*C427</f>
        <v>0.000163024421053524</v>
      </c>
      <c r="E428" s="30" t="n">
        <f aca="false">SQRT(D428)</f>
        <v>0.0127681017012524</v>
      </c>
      <c r="F428" s="31" t="n">
        <f aca="false">E428*SQRT(Parametrlar!$B$6)</f>
        <v>0.202687330895367</v>
      </c>
      <c r="G428" s="31" t="n">
        <f aca="false">STDEV(B409:B428)*SQRT(Parametrlar!$B$6)</f>
        <v>0.131217205847727</v>
      </c>
    </row>
    <row r="429" customFormat="false" ht="15" hidden="false" customHeight="false" outlineLevel="0" collapsed="false">
      <c r="A429" s="19" t="n">
        <f aca="false">Daromadlilik!A424</f>
        <v>45884</v>
      </c>
      <c r="B429" s="28" t="n">
        <f aca="false">Daromadlilik!H424</f>
        <v>-0.00881927584215689</v>
      </c>
      <c r="C429" s="29" t="n">
        <f aca="false">B429^2</f>
        <v>7.77796263800521E-005</v>
      </c>
      <c r="D429" s="29" t="n">
        <f aca="false">$B$4*D428+(1-$B$4)*C428</f>
        <v>0.000156363478496851</v>
      </c>
      <c r="E429" s="30" t="n">
        <f aca="false">SQRT(D429)</f>
        <v>0.0125045383160215</v>
      </c>
      <c r="F429" s="31" t="n">
        <f aca="false">E429*SQRT(Parametrlar!$B$6)</f>
        <v>0.198503391863228</v>
      </c>
      <c r="G429" s="31" t="n">
        <f aca="false">STDEV(B410:B429)*SQRT(Parametrlar!$B$6)</f>
        <v>0.137131348892851</v>
      </c>
    </row>
    <row r="430" customFormat="false" ht="15" hidden="false" customHeight="false" outlineLevel="0" collapsed="false">
      <c r="A430" s="19" t="n">
        <f aca="false">Daromadlilik!A425</f>
        <v>45887</v>
      </c>
      <c r="B430" s="28" t="n">
        <f aca="false">Daromadlilik!H425</f>
        <v>-0.00127263720295651</v>
      </c>
      <c r="C430" s="29" t="n">
        <f aca="false">B430^2</f>
        <v>1.61960545034896E-006</v>
      </c>
      <c r="D430" s="29" t="n">
        <f aca="false">$B$4*D429+(1-$B$4)*C429</f>
        <v>0.000151648447369843</v>
      </c>
      <c r="E430" s="30" t="n">
        <f aca="false">SQRT(D430)</f>
        <v>0.0123145624108144</v>
      </c>
      <c r="F430" s="31" t="n">
        <f aca="false">E430*SQRT(Parametrlar!$B$6)</f>
        <v>0.195487617861593</v>
      </c>
      <c r="G430" s="31" t="n">
        <f aca="false">STDEV(B411:B430)*SQRT(Parametrlar!$B$6)</f>
        <v>0.137442811122458</v>
      </c>
    </row>
    <row r="431" customFormat="false" ht="15" hidden="false" customHeight="false" outlineLevel="0" collapsed="false">
      <c r="A431" s="19" t="n">
        <f aca="false">Daromadlilik!A426</f>
        <v>45888</v>
      </c>
      <c r="B431" s="28" t="n">
        <f aca="false">Daromadlilik!H426</f>
        <v>-0.0106194328722365</v>
      </c>
      <c r="C431" s="29" t="n">
        <f aca="false">B431^2</f>
        <v>0.000112772354527937</v>
      </c>
      <c r="D431" s="29" t="n">
        <f aca="false">$B$4*D430+(1-$B$4)*C430</f>
        <v>0.000142646716854673</v>
      </c>
      <c r="E431" s="30" t="n">
        <f aca="false">SQRT(D431)</f>
        <v>0.0119434800981403</v>
      </c>
      <c r="F431" s="31" t="n">
        <f aca="false">E431*SQRT(Parametrlar!$B$6)</f>
        <v>0.189596868769971</v>
      </c>
      <c r="G431" s="31" t="n">
        <f aca="false">STDEV(B412:B431)*SQRT(Parametrlar!$B$6)</f>
        <v>0.147622211160662</v>
      </c>
    </row>
    <row r="432" customFormat="false" ht="15" hidden="false" customHeight="false" outlineLevel="0" collapsed="false">
      <c r="A432" s="19" t="n">
        <f aca="false">Daromadlilik!A427</f>
        <v>45889</v>
      </c>
      <c r="B432" s="28" t="n">
        <f aca="false">Daromadlilik!H427</f>
        <v>-0.00211298079658571</v>
      </c>
      <c r="C432" s="29" t="n">
        <f aca="false">B432^2</f>
        <v>4.46468784673999E-006</v>
      </c>
      <c r="D432" s="29" t="n">
        <f aca="false">$B$4*D431+(1-$B$4)*C431</f>
        <v>0.000140854255115069</v>
      </c>
      <c r="E432" s="30" t="n">
        <f aca="false">SQRT(D432)</f>
        <v>0.0118682035336048</v>
      </c>
      <c r="F432" s="31" t="n">
        <f aca="false">E432*SQRT(Parametrlar!$B$6)</f>
        <v>0.188401890354097</v>
      </c>
      <c r="G432" s="31" t="n">
        <f aca="false">STDEV(B413:B432)*SQRT(Parametrlar!$B$6)</f>
        <v>0.149021061867167</v>
      </c>
    </row>
    <row r="433" customFormat="false" ht="15" hidden="false" customHeight="false" outlineLevel="0" collapsed="false">
      <c r="A433" s="19" t="n">
        <f aca="false">Daromadlilik!A428</f>
        <v>45890</v>
      </c>
      <c r="B433" s="28" t="n">
        <f aca="false">Daromadlilik!H428</f>
        <v>-0.00275098007581405</v>
      </c>
      <c r="C433" s="29" t="n">
        <f aca="false">B433^2</f>
        <v>7.56789137752585E-006</v>
      </c>
      <c r="D433" s="29" t="n">
        <f aca="false">$B$4*D432+(1-$B$4)*C432</f>
        <v>0.000132670881078969</v>
      </c>
      <c r="E433" s="30" t="n">
        <f aca="false">SQRT(D433)</f>
        <v>0.0115182846413417</v>
      </c>
      <c r="F433" s="31" t="n">
        <f aca="false">E433*SQRT(Parametrlar!$B$6)</f>
        <v>0.18284710014627</v>
      </c>
      <c r="G433" s="31" t="n">
        <f aca="false">STDEV(B414:B433)*SQRT(Parametrlar!$B$6)</f>
        <v>0.148343418105291</v>
      </c>
    </row>
    <row r="434" customFormat="false" ht="15" hidden="false" customHeight="false" outlineLevel="0" collapsed="false">
      <c r="A434" s="19" t="n">
        <f aca="false">Daromadlilik!A429</f>
        <v>45891</v>
      </c>
      <c r="B434" s="28" t="n">
        <f aca="false">Daromadlilik!H429</f>
        <v>0.00772353838288018</v>
      </c>
      <c r="C434" s="29" t="n">
        <f aca="false">B434^2</f>
        <v>5.96530451518234E-005</v>
      </c>
      <c r="D434" s="29" t="n">
        <f aca="false">$B$4*D433+(1-$B$4)*C433</f>
        <v>0.000125164701696883</v>
      </c>
      <c r="E434" s="30" t="n">
        <f aca="false">SQRT(D434)</f>
        <v>0.0111877031466196</v>
      </c>
      <c r="F434" s="31" t="n">
        <f aca="false">E434*SQRT(Parametrlar!$B$6)</f>
        <v>0.177599281607822</v>
      </c>
      <c r="G434" s="31" t="n">
        <f aca="false">STDEV(B415:B434)*SQRT(Parametrlar!$B$6)</f>
        <v>0.149311216264761</v>
      </c>
    </row>
    <row r="435" customFormat="false" ht="15" hidden="false" customHeight="false" outlineLevel="0" collapsed="false">
      <c r="A435" s="19" t="n">
        <f aca="false">Daromadlilik!A430</f>
        <v>45894</v>
      </c>
      <c r="B435" s="28" t="n">
        <f aca="false">Daromadlilik!H430</f>
        <v>-0.0166548659599819</v>
      </c>
      <c r="C435" s="29" t="n">
        <f aca="false">B435^2</f>
        <v>0.000277384560144963</v>
      </c>
      <c r="D435" s="29" t="n">
        <f aca="false">$B$4*D434+(1-$B$4)*C434</f>
        <v>0.000121234002304179</v>
      </c>
      <c r="E435" s="30" t="n">
        <f aca="false">SQRT(D435)</f>
        <v>0.0110106313308629</v>
      </c>
      <c r="F435" s="31" t="n">
        <f aca="false">E435*SQRT(Parametrlar!$B$6)</f>
        <v>0.174788353675676</v>
      </c>
      <c r="G435" s="31" t="n">
        <f aca="false">STDEV(B416:B435)*SQRT(Parametrlar!$B$6)</f>
        <v>0.15261685927553</v>
      </c>
    </row>
    <row r="436" customFormat="false" ht="15" hidden="false" customHeight="false" outlineLevel="0" collapsed="false">
      <c r="A436" s="19" t="n">
        <f aca="false">Daromadlilik!A431</f>
        <v>45895</v>
      </c>
      <c r="B436" s="28" t="n">
        <f aca="false">Daromadlilik!H431</f>
        <v>-0.0116949651230634</v>
      </c>
      <c r="C436" s="29" t="n">
        <f aca="false">B436^2</f>
        <v>0.00013677220922967</v>
      </c>
      <c r="D436" s="29" t="n">
        <f aca="false">$B$4*D435+(1-$B$4)*C435</f>
        <v>0.000130603035774626</v>
      </c>
      <c r="E436" s="30" t="n">
        <f aca="false">SQRT(D436)</f>
        <v>0.0114281685223235</v>
      </c>
      <c r="F436" s="31" t="n">
        <f aca="false">E436*SQRT(Parametrlar!$B$6)</f>
        <v>0.181416551106027</v>
      </c>
      <c r="G436" s="31" t="n">
        <f aca="false">STDEV(B417:B436)*SQRT(Parametrlar!$B$6)</f>
        <v>0.159848603319875</v>
      </c>
    </row>
    <row r="437" customFormat="false" ht="15" hidden="false" customHeight="false" outlineLevel="0" collapsed="false">
      <c r="A437" s="19" t="n">
        <f aca="false">Daromadlilik!A432</f>
        <v>45896</v>
      </c>
      <c r="B437" s="28" t="n">
        <f aca="false">Daromadlilik!H432</f>
        <v>0.0153355838153744</v>
      </c>
      <c r="C437" s="29" t="n">
        <f aca="false">B437^2</f>
        <v>0.000235180130958374</v>
      </c>
      <c r="D437" s="29" t="n">
        <f aca="false">$B$4*D436+(1-$B$4)*C436</f>
        <v>0.000130973186181929</v>
      </c>
      <c r="E437" s="30" t="n">
        <f aca="false">SQRT(D437)</f>
        <v>0.0114443517152318</v>
      </c>
      <c r="F437" s="31" t="n">
        <f aca="false">E437*SQRT(Parametrlar!$B$6)</f>
        <v>0.181673451329153</v>
      </c>
      <c r="G437" s="31" t="n">
        <f aca="false">STDEV(B418:B437)*SQRT(Parametrlar!$B$6)</f>
        <v>0.16653831799066</v>
      </c>
    </row>
    <row r="438" customFormat="false" ht="15" hidden="false" customHeight="false" outlineLevel="0" collapsed="false">
      <c r="A438" s="19" t="n">
        <f aca="false">Daromadlilik!A433</f>
        <v>45897</v>
      </c>
      <c r="B438" s="28" t="n">
        <f aca="false">Daromadlilik!H433</f>
        <v>-0.00521428588942042</v>
      </c>
      <c r="C438" s="29" t="n">
        <f aca="false">B438^2</f>
        <v>2.71887773366089E-005</v>
      </c>
      <c r="D438" s="29" t="n">
        <f aca="false">$B$4*D437+(1-$B$4)*C437</f>
        <v>0.000137225602868515</v>
      </c>
      <c r="E438" s="30" t="n">
        <f aca="false">SQRT(D438)</f>
        <v>0.0117143332233856</v>
      </c>
      <c r="F438" s="31" t="n">
        <f aca="false">E438*SQRT(Parametrlar!$B$6)</f>
        <v>0.185959274904119</v>
      </c>
      <c r="G438" s="31" t="n">
        <f aca="false">STDEV(B419:B438)*SQRT(Parametrlar!$B$6)</f>
        <v>0.16868674822485</v>
      </c>
    </row>
    <row r="439" customFormat="false" ht="15" hidden="false" customHeight="false" outlineLevel="0" collapsed="false">
      <c r="A439" s="19" t="n">
        <f aca="false">Daromadlilik!A434</f>
        <v>45898</v>
      </c>
      <c r="B439" s="28" t="n">
        <f aca="false">Daromadlilik!H434</f>
        <v>-0.00919753471313452</v>
      </c>
      <c r="C439" s="29" t="n">
        <f aca="false">B439^2</f>
        <v>8.45946447993144E-005</v>
      </c>
      <c r="D439" s="29" t="n">
        <f aca="false">$B$4*D438+(1-$B$4)*C438</f>
        <v>0.000130623393336601</v>
      </c>
      <c r="E439" s="30" t="n">
        <f aca="false">SQRT(D439)</f>
        <v>0.0114290591623546</v>
      </c>
      <c r="F439" s="31" t="n">
        <f aca="false">E439*SQRT(Parametrlar!$B$6)</f>
        <v>0.181430689578206</v>
      </c>
      <c r="G439" s="31" t="n">
        <f aca="false">STDEV(B420:B439)*SQRT(Parametrlar!$B$6)</f>
        <v>0.170908556628655</v>
      </c>
    </row>
    <row r="440" customFormat="false" ht="15" hidden="false" customHeight="false" outlineLevel="0" collapsed="false">
      <c r="A440" s="19" t="n">
        <f aca="false">Daromadlilik!A435</f>
        <v>45901</v>
      </c>
      <c r="B440" s="28" t="n">
        <f aca="false">Daromadlilik!H435</f>
        <v>0.00307525389290694</v>
      </c>
      <c r="C440" s="29" t="n">
        <f aca="false">B440^2</f>
        <v>9.4571865058393E-006</v>
      </c>
      <c r="D440" s="29" t="n">
        <f aca="false">$B$4*D439+(1-$B$4)*C439</f>
        <v>0.000127861668424364</v>
      </c>
      <c r="E440" s="30" t="n">
        <f aca="false">SQRT(D440)</f>
        <v>0.0113075933966677</v>
      </c>
      <c r="F440" s="31" t="n">
        <f aca="false">E440*SQRT(Parametrlar!$B$6)</f>
        <v>0.179502480325314</v>
      </c>
      <c r="G440" s="31" t="n">
        <f aca="false">STDEV(B421:B440)*SQRT(Parametrlar!$B$6)</f>
        <v>0.164824862232954</v>
      </c>
    </row>
    <row r="441" customFormat="false" ht="15" hidden="false" customHeight="false" outlineLevel="0" collapsed="false">
      <c r="A441" s="19" t="n">
        <f aca="false">Daromadlilik!A436</f>
        <v>45902</v>
      </c>
      <c r="B441" s="28" t="n">
        <f aca="false">Daromadlilik!H436</f>
        <v>0.0079242830967948</v>
      </c>
      <c r="C441" s="29" t="n">
        <f aca="false">B441^2</f>
        <v>6.27942625981478E-005</v>
      </c>
      <c r="D441" s="29" t="n">
        <f aca="false">$B$4*D440+(1-$B$4)*C440</f>
        <v>0.000120757399509252</v>
      </c>
      <c r="E441" s="30" t="n">
        <f aca="false">SQRT(D441)</f>
        <v>0.0109889671720891</v>
      </c>
      <c r="F441" s="31" t="n">
        <f aca="false">E441*SQRT(Parametrlar!$B$6)</f>
        <v>0.174444445816803</v>
      </c>
      <c r="G441" s="31" t="n">
        <f aca="false">STDEV(B422:B441)*SQRT(Parametrlar!$B$6)</f>
        <v>0.165092478168533</v>
      </c>
    </row>
    <row r="442" customFormat="false" ht="15" hidden="false" customHeight="false" outlineLevel="0" collapsed="false">
      <c r="A442" s="19" t="n">
        <f aca="false">Daromadlilik!A437</f>
        <v>45903</v>
      </c>
      <c r="B442" s="28" t="n">
        <f aca="false">Daromadlilik!H437</f>
        <v>0.00492584587177003</v>
      </c>
      <c r="C442" s="29" t="n">
        <f aca="false">B442^2</f>
        <v>2.42639575524339E-005</v>
      </c>
      <c r="D442" s="29" t="n">
        <f aca="false">$B$4*D441+(1-$B$4)*C441</f>
        <v>0.000117279611294586</v>
      </c>
      <c r="E442" s="30" t="n">
        <f aca="false">SQRT(D442)</f>
        <v>0.0108295711500773</v>
      </c>
      <c r="F442" s="31" t="n">
        <f aca="false">E442*SQRT(Parametrlar!$B$6)</f>
        <v>0.171914112411505</v>
      </c>
      <c r="G442" s="31" t="n">
        <f aca="false">STDEV(B423:B442)*SQRT(Parametrlar!$B$6)</f>
        <v>0.160330104847674</v>
      </c>
    </row>
    <row r="443" customFormat="false" ht="15" hidden="false" customHeight="false" outlineLevel="0" collapsed="false">
      <c r="A443" s="19" t="n">
        <f aca="false">Daromadlilik!A438</f>
        <v>45904</v>
      </c>
      <c r="B443" s="28" t="n">
        <f aca="false">Daromadlilik!H438</f>
        <v>0.00417799487785331</v>
      </c>
      <c r="C443" s="29" t="n">
        <f aca="false">B443^2</f>
        <v>1.74556411993685E-005</v>
      </c>
      <c r="D443" s="29" t="n">
        <f aca="false">$B$4*D442+(1-$B$4)*C442</f>
        <v>0.000111698672070057</v>
      </c>
      <c r="E443" s="30" t="n">
        <f aca="false">SQRT(D443)</f>
        <v>0.0105687592493186</v>
      </c>
      <c r="F443" s="31" t="n">
        <f aca="false">E443*SQRT(Parametrlar!$B$6)</f>
        <v>0.167773851841264</v>
      </c>
      <c r="G443" s="31" t="n">
        <f aca="false">STDEV(B424:B443)*SQRT(Parametrlar!$B$6)</f>
        <v>0.15987378624045</v>
      </c>
    </row>
    <row r="444" customFormat="false" ht="15" hidden="false" customHeight="false" outlineLevel="0" collapsed="false">
      <c r="A444" s="19" t="n">
        <f aca="false">Daromadlilik!A439</f>
        <v>45905</v>
      </c>
      <c r="B444" s="28" t="n">
        <f aca="false">Daromadlilik!H439</f>
        <v>-0.00535356778021745</v>
      </c>
      <c r="C444" s="29" t="n">
        <f aca="false">B444^2</f>
        <v>2.86606879773824E-005</v>
      </c>
      <c r="D444" s="29" t="n">
        <f aca="false">$B$4*D443+(1-$B$4)*C443</f>
        <v>0.000106044090217816</v>
      </c>
      <c r="E444" s="30" t="n">
        <f aca="false">SQRT(D444)</f>
        <v>0.0102977711286383</v>
      </c>
      <c r="F444" s="31" t="n">
        <f aca="false">E444*SQRT(Parametrlar!$B$6)</f>
        <v>0.163472048787827</v>
      </c>
      <c r="G444" s="31" t="n">
        <f aca="false">STDEV(B425:B444)*SQRT(Parametrlar!$B$6)</f>
        <v>0.160219923990821</v>
      </c>
    </row>
    <row r="445" customFormat="false" ht="15" hidden="false" customHeight="false" outlineLevel="0" collapsed="false">
      <c r="A445" s="19" t="n">
        <f aca="false">Daromadlilik!A440</f>
        <v>45908</v>
      </c>
      <c r="B445" s="28" t="n">
        <f aca="false">Daromadlilik!H440</f>
        <v>0.00212281914690191</v>
      </c>
      <c r="C445" s="29" t="n">
        <f aca="false">B445^2</f>
        <v>4.50636113045333E-006</v>
      </c>
      <c r="D445" s="29" t="n">
        <f aca="false">$B$4*D444+(1-$B$4)*C444</f>
        <v>0.00010140108608339</v>
      </c>
      <c r="E445" s="30" t="n">
        <f aca="false">SQRT(D445)</f>
        <v>0.0100698106279805</v>
      </c>
      <c r="F445" s="31" t="n">
        <f aca="false">E445*SQRT(Parametrlar!$B$6)</f>
        <v>0.15985328802691</v>
      </c>
      <c r="G445" s="31" t="n">
        <f aca="false">STDEV(B426:B445)*SQRT(Parametrlar!$B$6)</f>
        <v>0.159732451401628</v>
      </c>
    </row>
    <row r="446" customFormat="false" ht="15" hidden="false" customHeight="false" outlineLevel="0" collapsed="false">
      <c r="A446" s="19" t="n">
        <f aca="false">Daromadlilik!A441</f>
        <v>45909</v>
      </c>
      <c r="B446" s="28" t="n">
        <f aca="false">Daromadlilik!H441</f>
        <v>-0.0408344240199976</v>
      </c>
      <c r="C446" s="29" t="n">
        <f aca="false">B446^2</f>
        <v>0.00166745018504496</v>
      </c>
      <c r="D446" s="29" t="n">
        <f aca="false">$B$4*D445+(1-$B$4)*C445</f>
        <v>9.55874025862134E-005</v>
      </c>
      <c r="E446" s="30" t="n">
        <f aca="false">SQRT(D446)</f>
        <v>0.00977688102547093</v>
      </c>
      <c r="F446" s="31" t="n">
        <f aca="false">E446*SQRT(Parametrlar!$B$6)</f>
        <v>0.155203174747573</v>
      </c>
      <c r="G446" s="31" t="n">
        <f aca="false">STDEV(B427:B446)*SQRT(Parametrlar!$B$6)</f>
        <v>0.213279355218972</v>
      </c>
    </row>
    <row r="447" customFormat="false" ht="15" hidden="false" customHeight="false" outlineLevel="0" collapsed="false">
      <c r="A447" s="19" t="n">
        <f aca="false">Daromadlilik!A442</f>
        <v>45910</v>
      </c>
      <c r="B447" s="28" t="n">
        <f aca="false">Daromadlilik!H442</f>
        <v>0.0138597615294053</v>
      </c>
      <c r="C447" s="29" t="n">
        <f aca="false">B447^2</f>
        <v>0.000192092989651983</v>
      </c>
      <c r="D447" s="29" t="n">
        <f aca="false">$B$4*D446+(1-$B$4)*C446</f>
        <v>0.000189899169533738</v>
      </c>
      <c r="E447" s="30" t="n">
        <f aca="false">SQRT(D447)</f>
        <v>0.0137803907612861</v>
      </c>
      <c r="F447" s="31" t="n">
        <f aca="false">E447*SQRT(Parametrlar!$B$6)</f>
        <v>0.21875692154193</v>
      </c>
      <c r="G447" s="31" t="n">
        <f aca="false">STDEV(B428:B447)*SQRT(Parametrlar!$B$6)</f>
        <v>0.198394881063884</v>
      </c>
    </row>
    <row r="448" customFormat="false" ht="15" hidden="false" customHeight="false" outlineLevel="0" collapsed="false">
      <c r="A448" s="19" t="n">
        <f aca="false">Daromadlilik!A443</f>
        <v>45911</v>
      </c>
      <c r="B448" s="28" t="n">
        <f aca="false">Daromadlilik!H443</f>
        <v>-0.0146707148494238</v>
      </c>
      <c r="C448" s="29" t="n">
        <f aca="false">B448^2</f>
        <v>0.000215229874193105</v>
      </c>
      <c r="D448" s="29" t="n">
        <f aca="false">$B$4*D447+(1-$B$4)*C447</f>
        <v>0.000190030798740833</v>
      </c>
      <c r="E448" s="30" t="n">
        <f aca="false">SQRT(D448)</f>
        <v>0.0137851658945706</v>
      </c>
      <c r="F448" s="31" t="n">
        <f aca="false">E448*SQRT(Parametrlar!$B$6)</f>
        <v>0.218832724432819</v>
      </c>
      <c r="G448" s="31" t="n">
        <f aca="false">STDEV(B429:B448)*SQRT(Parametrlar!$B$6)</f>
        <v>0.199523997211785</v>
      </c>
    </row>
    <row r="449" customFormat="false" ht="15" hidden="false" customHeight="false" outlineLevel="0" collapsed="false">
      <c r="A449" s="19" t="n">
        <f aca="false">Daromadlilik!A444</f>
        <v>45912</v>
      </c>
      <c r="B449" s="28" t="n">
        <f aca="false">Daromadlilik!H444</f>
        <v>0.0186069948328362</v>
      </c>
      <c r="C449" s="29" t="n">
        <f aca="false">B449^2</f>
        <v>0.000346220256709192</v>
      </c>
      <c r="D449" s="29" t="n">
        <f aca="false">$B$4*D448+(1-$B$4)*C448</f>
        <v>0.000191542743267969</v>
      </c>
      <c r="E449" s="30" t="n">
        <f aca="false">SQRT(D449)</f>
        <v>0.0138398967939782</v>
      </c>
      <c r="F449" s="31" t="n">
        <f aca="false">E449*SQRT(Parametrlar!$B$6)</f>
        <v>0.219701550525999</v>
      </c>
      <c r="G449" s="31" t="n">
        <f aca="false">STDEV(B430:B449)*SQRT(Parametrlar!$B$6)</f>
        <v>0.213118561162477</v>
      </c>
    </row>
    <row r="450" customFormat="false" ht="15" hidden="false" customHeight="false" outlineLevel="0" collapsed="false">
      <c r="A450" s="19" t="n">
        <f aca="false">Daromadlilik!A445</f>
        <v>45915</v>
      </c>
      <c r="B450" s="28" t="n">
        <f aca="false">Daromadlilik!H445</f>
        <v>0.0105354463158715</v>
      </c>
      <c r="C450" s="29" t="n">
        <f aca="false">B450^2</f>
        <v>0.00011099562907461</v>
      </c>
      <c r="D450" s="29" t="n">
        <f aca="false">$B$4*D449+(1-$B$4)*C449</f>
        <v>0.000200823394074443</v>
      </c>
      <c r="E450" s="30" t="n">
        <f aca="false">SQRT(D450)</f>
        <v>0.014171217099263</v>
      </c>
      <c r="F450" s="31" t="n">
        <f aca="false">E450*SQRT(Parametrlar!$B$6)</f>
        <v>0.224961097318535</v>
      </c>
      <c r="G450" s="31" t="n">
        <f aca="false">STDEV(B431:B450)*SQRT(Parametrlar!$B$6)</f>
        <v>0.217819369792162</v>
      </c>
    </row>
    <row r="451" customFormat="false" ht="15" hidden="false" customHeight="false" outlineLevel="0" collapsed="false">
      <c r="A451" s="19" t="n">
        <f aca="false">Daromadlilik!A446</f>
        <v>45916</v>
      </c>
      <c r="B451" s="28" t="n">
        <f aca="false">Daromadlilik!H446</f>
        <v>-0.0091295918952766</v>
      </c>
      <c r="C451" s="29" t="n">
        <f aca="false">B451^2</f>
        <v>8.33494481743001E-005</v>
      </c>
      <c r="D451" s="29" t="n">
        <f aca="false">$B$4*D450+(1-$B$4)*C450</f>
        <v>0.000195433728174453</v>
      </c>
      <c r="E451" s="30" t="n">
        <f aca="false">SQRT(D451)</f>
        <v>0.0139797613775934</v>
      </c>
      <c r="F451" s="31" t="n">
        <f aca="false">E451*SQRT(Parametrlar!$B$6)</f>
        <v>0.221921831958828</v>
      </c>
      <c r="G451" s="31" t="n">
        <f aca="false">STDEV(B432:B451)*SQRT(Parametrlar!$B$6)</f>
        <v>0.217058651291545</v>
      </c>
    </row>
    <row r="452" customFormat="false" ht="15" hidden="false" customHeight="false" outlineLevel="0" collapsed="false">
      <c r="A452" s="19" t="n">
        <f aca="false">Daromadlilik!A447</f>
        <v>45917</v>
      </c>
      <c r="B452" s="28" t="n">
        <f aca="false">Daromadlilik!H447</f>
        <v>0.0120408784574479</v>
      </c>
      <c r="C452" s="29" t="n">
        <f aca="false">B452^2</f>
        <v>0.000144982754027033</v>
      </c>
      <c r="D452" s="29" t="n">
        <f aca="false">$B$4*D451+(1-$B$4)*C451</f>
        <v>0.000188708671374444</v>
      </c>
      <c r="E452" s="30" t="n">
        <f aca="false">SQRT(D452)</f>
        <v>0.0137371274790053</v>
      </c>
      <c r="F452" s="31" t="n">
        <f aca="false">E452*SQRT(Parametrlar!$B$6)</f>
        <v>0.218070138227039</v>
      </c>
      <c r="G452" s="31" t="n">
        <f aca="false">STDEV(B433:B452)*SQRT(Parametrlar!$B$6)</f>
        <v>0.222251769605504</v>
      </c>
    </row>
    <row r="453" customFormat="false" ht="15" hidden="false" customHeight="false" outlineLevel="0" collapsed="false">
      <c r="A453" s="19" t="n">
        <f aca="false">Daromadlilik!A448</f>
        <v>45918</v>
      </c>
      <c r="B453" s="28" t="n">
        <f aca="false">Daromadlilik!H448</f>
        <v>-0.00129722948357351</v>
      </c>
      <c r="C453" s="29" t="n">
        <f aca="false">B453^2</f>
        <v>1.6828043330524E-006</v>
      </c>
      <c r="D453" s="29" t="n">
        <f aca="false">$B$4*D452+(1-$B$4)*C452</f>
        <v>0.000186085116333599</v>
      </c>
      <c r="E453" s="30" t="n">
        <f aca="false">SQRT(D453)</f>
        <v>0.0136413018562599</v>
      </c>
      <c r="F453" s="31" t="n">
        <f aca="false">E453*SQRT(Parametrlar!$B$6)</f>
        <v>0.216548953624964</v>
      </c>
      <c r="G453" s="31" t="n">
        <f aca="false">STDEV(B434:B453)*SQRT(Parametrlar!$B$6)</f>
        <v>0.222138802077911</v>
      </c>
    </row>
    <row r="454" customFormat="false" ht="15" hidden="false" customHeight="false" outlineLevel="0" collapsed="false">
      <c r="A454" s="19" t="n">
        <f aca="false">Daromadlilik!A449</f>
        <v>45919</v>
      </c>
      <c r="B454" s="28" t="n">
        <f aca="false">Daromadlilik!H449</f>
        <v>-0.0138830147194766</v>
      </c>
      <c r="C454" s="29" t="n">
        <f aca="false">B454^2</f>
        <v>0.000192738097701205</v>
      </c>
      <c r="D454" s="29" t="n">
        <f aca="false">$B$4*D453+(1-$B$4)*C453</f>
        <v>0.000175020977613566</v>
      </c>
      <c r="E454" s="30" t="n">
        <f aca="false">SQRT(D454)</f>
        <v>0.013229549410829</v>
      </c>
      <c r="F454" s="31" t="n">
        <f aca="false">E454*SQRT(Parametrlar!$B$6)</f>
        <v>0.210012586190968</v>
      </c>
      <c r="G454" s="31" t="n">
        <f aca="false">STDEV(B435:B454)*SQRT(Parametrlar!$B$6)</f>
        <v>0.224517358202668</v>
      </c>
    </row>
    <row r="455" customFormat="false" ht="15" hidden="false" customHeight="false" outlineLevel="0" collapsed="false">
      <c r="A455" s="19" t="n">
        <f aca="false">Daromadlilik!A450</f>
        <v>45922</v>
      </c>
      <c r="B455" s="28" t="n">
        <f aca="false">Daromadlilik!H450</f>
        <v>0.00210506122312448</v>
      </c>
      <c r="C455" s="29" t="n">
        <f aca="false">B455^2</f>
        <v>4.43128275310231E-006</v>
      </c>
      <c r="D455" s="29" t="n">
        <f aca="false">$B$4*D454+(1-$B$4)*C454</f>
        <v>0.000176084004818824</v>
      </c>
      <c r="E455" s="30" t="n">
        <f aca="false">SQRT(D455)</f>
        <v>0.013269664834457</v>
      </c>
      <c r="F455" s="31" t="n">
        <f aca="false">E455*SQRT(Parametrlar!$B$6)</f>
        <v>0.210649398798914</v>
      </c>
      <c r="G455" s="31" t="n">
        <f aca="false">STDEV(B436:B455)*SQRT(Parametrlar!$B$6)</f>
        <v>0.217792065261612</v>
      </c>
    </row>
    <row r="456" customFormat="false" ht="15" hidden="false" customHeight="false" outlineLevel="0" collapsed="false">
      <c r="A456" s="19" t="n">
        <f aca="false">Daromadlilik!A451</f>
        <v>45923</v>
      </c>
      <c r="B456" s="28" t="n">
        <f aca="false">Daromadlilik!H451</f>
        <v>-0.00370175109271737</v>
      </c>
      <c r="C456" s="29" t="n">
        <f aca="false">B456^2</f>
        <v>1.37029611524343E-005</v>
      </c>
      <c r="D456" s="29" t="n">
        <f aca="false">$B$4*D455+(1-$B$4)*C455</f>
        <v>0.000165784841494881</v>
      </c>
      <c r="E456" s="30" t="n">
        <f aca="false">SQRT(D456)</f>
        <v>0.0128757462500191</v>
      </c>
      <c r="F456" s="31" t="n">
        <f aca="false">E456*SQRT(Parametrlar!$B$6)</f>
        <v>0.204396135131538</v>
      </c>
      <c r="G456" s="31" t="n">
        <f aca="false">STDEV(B437:B456)*SQRT(Parametrlar!$B$6)</f>
        <v>0.214322992850515</v>
      </c>
    </row>
    <row r="457" customFormat="false" ht="15" hidden="false" customHeight="false" outlineLevel="0" collapsed="false">
      <c r="A457" s="19" t="n">
        <f aca="false">Daromadlilik!A452</f>
        <v>45924</v>
      </c>
      <c r="B457" s="28" t="n">
        <f aca="false">Daromadlilik!H452</f>
        <v>0.00244057457990987</v>
      </c>
      <c r="C457" s="29" t="n">
        <f aca="false">B457^2</f>
        <v>5.95640428010226E-006</v>
      </c>
      <c r="D457" s="29" t="n">
        <f aca="false">$B$4*D456+(1-$B$4)*C456</f>
        <v>0.000156659928674334</v>
      </c>
      <c r="E457" s="30" t="n">
        <f aca="false">SQRT(D457)</f>
        <v>0.0125163864064008</v>
      </c>
      <c r="F457" s="31" t="n">
        <f aca="false">E457*SQRT(Parametrlar!$B$6)</f>
        <v>0.198691474467155</v>
      </c>
      <c r="G457" s="31" t="n">
        <f aca="false">STDEV(B438:B457)*SQRT(Parametrlar!$B$6)</f>
        <v>0.206487857054842</v>
      </c>
    </row>
    <row r="458" customFormat="false" ht="15" hidden="false" customHeight="false" outlineLevel="0" collapsed="false">
      <c r="A458" s="19" t="n">
        <f aca="false">Daromadlilik!A453</f>
        <v>45925</v>
      </c>
      <c r="B458" s="28" t="n">
        <f aca="false">Daromadlilik!H453</f>
        <v>0.00735212277174489</v>
      </c>
      <c r="C458" s="29" t="n">
        <f aca="false">B458^2</f>
        <v>5.40537092508098E-005</v>
      </c>
      <c r="D458" s="29" t="n">
        <f aca="false">$B$4*D457+(1-$B$4)*C457</f>
        <v>0.00014761771721068</v>
      </c>
      <c r="E458" s="30" t="n">
        <f aca="false">SQRT(D458)</f>
        <v>0.0121498031758</v>
      </c>
      <c r="F458" s="31" t="n">
        <f aca="false">E458*SQRT(Parametrlar!$B$6)</f>
        <v>0.192872146089298</v>
      </c>
      <c r="G458" s="31" t="n">
        <f aca="false">STDEV(B439:B458)*SQRT(Parametrlar!$B$6)</f>
        <v>0.207958219383676</v>
      </c>
    </row>
    <row r="459" customFormat="false" ht="15" hidden="false" customHeight="false" outlineLevel="0" collapsed="false">
      <c r="A459" s="19" t="n">
        <f aca="false">Daromadlilik!A454</f>
        <v>45926</v>
      </c>
      <c r="B459" s="28" t="n">
        <f aca="false">Daromadlilik!H454</f>
        <v>-0.00121390463325357</v>
      </c>
      <c r="C459" s="29" t="n">
        <f aca="false">B459^2</f>
        <v>1.47356445863447E-006</v>
      </c>
      <c r="D459" s="29" t="n">
        <f aca="false">$B$4*D458+(1-$B$4)*C458</f>
        <v>0.000142003876733088</v>
      </c>
      <c r="E459" s="30" t="n">
        <f aca="false">SQRT(D459)</f>
        <v>0.0119165379508097</v>
      </c>
      <c r="F459" s="31" t="n">
        <f aca="false">E459*SQRT(Parametrlar!$B$6)</f>
        <v>0.189169175440234</v>
      </c>
      <c r="G459" s="31" t="n">
        <f aca="false">STDEV(B440:B459)*SQRT(Parametrlar!$B$6)</f>
        <v>0.205417022768078</v>
      </c>
    </row>
    <row r="460" customFormat="false" ht="15" hidden="false" customHeight="false" outlineLevel="0" collapsed="false">
      <c r="A460" s="19" t="n">
        <f aca="false">Daromadlilik!A455</f>
        <v>45929</v>
      </c>
      <c r="B460" s="28" t="n">
        <f aca="false">Daromadlilik!H455</f>
        <v>-0.00546760523294387</v>
      </c>
      <c r="C460" s="29" t="n">
        <f aca="false">B460^2</f>
        <v>2.98947069833152E-005</v>
      </c>
      <c r="D460" s="29" t="n">
        <f aca="false">$B$4*D459+(1-$B$4)*C459</f>
        <v>0.000133572057996621</v>
      </c>
      <c r="E460" s="30" t="n">
        <f aca="false">SQRT(D460)</f>
        <v>0.011557337842108</v>
      </c>
      <c r="F460" s="31" t="n">
        <f aca="false">E460*SQRT(Parametrlar!$B$6)</f>
        <v>0.183467050489041</v>
      </c>
      <c r="G460" s="31" t="n">
        <f aca="false">STDEV(B441:B460)*SQRT(Parametrlar!$B$6)</f>
        <v>0.205933071211178</v>
      </c>
    </row>
    <row r="461" customFormat="false" ht="15" hidden="false" customHeight="false" outlineLevel="0" collapsed="false">
      <c r="A461" s="19" t="n">
        <f aca="false">Daromadlilik!A456</f>
        <v>45930</v>
      </c>
      <c r="B461" s="28" t="n">
        <f aca="false">Daromadlilik!H456</f>
        <v>-0.00381054177685912</v>
      </c>
      <c r="C461" s="29" t="n">
        <f aca="false">B461^2</f>
        <v>1.45202286331886E-005</v>
      </c>
      <c r="D461" s="29" t="n">
        <f aca="false">$B$4*D460+(1-$B$4)*C460</f>
        <v>0.000127351416935823</v>
      </c>
      <c r="E461" s="30" t="n">
        <f aca="false">SQRT(D461)</f>
        <v>0.0112850085040208</v>
      </c>
      <c r="F461" s="31" t="n">
        <f aca="false">E461*SQRT(Parametrlar!$B$6)</f>
        <v>0.179143956269329</v>
      </c>
      <c r="G461" s="31" t="n">
        <f aca="false">STDEV(B442:B461)*SQRT(Parametrlar!$B$6)</f>
        <v>0.203788140551943</v>
      </c>
    </row>
    <row r="462" customFormat="false" ht="15" hidden="false" customHeight="false" outlineLevel="0" collapsed="false">
      <c r="A462" s="19" t="n">
        <f aca="false">Daromadlilik!A457</f>
        <v>45931</v>
      </c>
      <c r="B462" s="28" t="n">
        <f aca="false">Daromadlilik!H457</f>
        <v>0.00271475314775466</v>
      </c>
      <c r="C462" s="29" t="n">
        <f aca="false">B462^2</f>
        <v>7.36988465324385E-006</v>
      </c>
      <c r="D462" s="29" t="n">
        <f aca="false">$B$4*D461+(1-$B$4)*C461</f>
        <v>0.000120581545637664</v>
      </c>
      <c r="E462" s="30" t="n">
        <f aca="false">SQRT(D462)</f>
        <v>0.0109809628738861</v>
      </c>
      <c r="F462" s="31" t="n">
        <f aca="false">E462*SQRT(Parametrlar!$B$6)</f>
        <v>0.174317381522014</v>
      </c>
      <c r="G462" s="31" t="n">
        <f aca="false">STDEV(B443:B462)*SQRT(Parametrlar!$B$6)</f>
        <v>0.203076683010656</v>
      </c>
    </row>
    <row r="463" customFormat="false" ht="15" hidden="false" customHeight="false" outlineLevel="0" collapsed="false">
      <c r="A463" s="19" t="n">
        <f aca="false">Daromadlilik!A458</f>
        <v>45932</v>
      </c>
      <c r="B463" s="28" t="n">
        <f aca="false">Daromadlilik!H458</f>
        <v>-0.0130285416991213</v>
      </c>
      <c r="C463" s="29" t="n">
        <f aca="false">B463^2</f>
        <v>0.000169742898805742</v>
      </c>
      <c r="D463" s="29" t="n">
        <f aca="false">$B$4*D462+(1-$B$4)*C462</f>
        <v>0.000113788845978599</v>
      </c>
      <c r="E463" s="30" t="n">
        <f aca="false">SQRT(D463)</f>
        <v>0.0106671854759632</v>
      </c>
      <c r="F463" s="31" t="n">
        <f aca="false">E463*SQRT(Parametrlar!$B$6)</f>
        <v>0.169336319750392</v>
      </c>
      <c r="G463" s="31" t="n">
        <f aca="false">STDEV(B444:B463)*SQRT(Parametrlar!$B$6)</f>
        <v>0.206226713535833</v>
      </c>
    </row>
    <row r="464" customFormat="false" ht="15" hidden="false" customHeight="false" outlineLevel="0" collapsed="false">
      <c r="A464" s="19" t="n">
        <f aca="false">Daromadlilik!A459</f>
        <v>45933</v>
      </c>
      <c r="B464" s="28" t="n">
        <f aca="false">Daromadlilik!H459</f>
        <v>0.000134629365560623</v>
      </c>
      <c r="C464" s="29" t="n">
        <f aca="false">B464^2</f>
        <v>1.81250660712558E-008</v>
      </c>
      <c r="D464" s="29" t="n">
        <f aca="false">$B$4*D463+(1-$B$4)*C463</f>
        <v>0.000117146089148228</v>
      </c>
      <c r="E464" s="30" t="n">
        <f aca="false">SQRT(D464)</f>
        <v>0.0108234046929895</v>
      </c>
      <c r="F464" s="31" t="n">
        <f aca="false">E464*SQRT(Parametrlar!$B$6)</f>
        <v>0.171816222939958</v>
      </c>
      <c r="G464" s="31" t="n">
        <f aca="false">STDEV(B445:B464)*SQRT(Parametrlar!$B$6)</f>
        <v>0.205973817705018</v>
      </c>
    </row>
    <row r="465" customFormat="false" ht="15" hidden="false" customHeight="false" outlineLevel="0" collapsed="false">
      <c r="A465" s="19" t="n">
        <f aca="false">Daromadlilik!A460</f>
        <v>45936</v>
      </c>
      <c r="B465" s="28" t="n">
        <f aca="false">Daromadlilik!H460</f>
        <v>0.00850538470120195</v>
      </c>
      <c r="C465" s="29" t="n">
        <f aca="false">B465^2</f>
        <v>7.23415689154403E-005</v>
      </c>
      <c r="D465" s="29" t="n">
        <f aca="false">$B$4*D464+(1-$B$4)*C464</f>
        <v>0.000110118411303298</v>
      </c>
      <c r="E465" s="30" t="n">
        <f aca="false">SQRT(D465)</f>
        <v>0.0104937320007373</v>
      </c>
      <c r="F465" s="31" t="n">
        <f aca="false">E465*SQRT(Parametrlar!$B$6)</f>
        <v>0.166582831193467</v>
      </c>
      <c r="G465" s="31" t="n">
        <f aca="false">STDEV(B446:B465)*SQRT(Parametrlar!$B$6)</f>
        <v>0.208794743601605</v>
      </c>
    </row>
    <row r="466" customFormat="false" ht="15" hidden="false" customHeight="false" outlineLevel="0" collapsed="false">
      <c r="A466" s="19" t="n">
        <f aca="false">Daromadlilik!A461</f>
        <v>45937</v>
      </c>
      <c r="B466" s="28" t="n">
        <f aca="false">Daromadlilik!H461</f>
        <v>-0.0155912652763193</v>
      </c>
      <c r="C466" s="29" t="n">
        <f aca="false">B466^2</f>
        <v>0.00024308755291656</v>
      </c>
      <c r="D466" s="29" t="n">
        <f aca="false">$B$4*D465+(1-$B$4)*C465</f>
        <v>0.000107851800760027</v>
      </c>
      <c r="E466" s="30" t="n">
        <f aca="false">SQRT(D466)</f>
        <v>0.0103851721584202</v>
      </c>
      <c r="F466" s="31" t="n">
        <f aca="false">E466*SQRT(Parametrlar!$B$6)</f>
        <v>0.164859497122631</v>
      </c>
      <c r="G466" s="31" t="n">
        <f aca="false">STDEV(B447:B466)*SQRT(Parametrlar!$B$6)</f>
        <v>0.158881738947897</v>
      </c>
    </row>
    <row r="467" customFormat="false" ht="15" hidden="false" customHeight="false" outlineLevel="0" collapsed="false">
      <c r="A467" s="19" t="n">
        <f aca="false">Daromadlilik!A462</f>
        <v>45938</v>
      </c>
      <c r="B467" s="28" t="n">
        <f aca="false">Daromadlilik!H462</f>
        <v>-0.00894735643491288</v>
      </c>
      <c r="C467" s="29" t="n">
        <f aca="false">B467^2</f>
        <v>8.00551871733769E-005</v>
      </c>
      <c r="D467" s="29" t="n">
        <f aca="false">$B$4*D466+(1-$B$4)*C466</f>
        <v>0.000115965945889419</v>
      </c>
      <c r="E467" s="30" t="n">
        <f aca="false">SQRT(D467)</f>
        <v>0.010768748575829</v>
      </c>
      <c r="F467" s="31" t="n">
        <f aca="false">E467*SQRT(Parametrlar!$B$6)</f>
        <v>0.170948583978147</v>
      </c>
      <c r="G467" s="31" t="n">
        <f aca="false">STDEV(B448:B467)*SQRT(Parametrlar!$B$6)</f>
        <v>0.152665160833142</v>
      </c>
    </row>
    <row r="468" customFormat="false" ht="15" hidden="false" customHeight="false" outlineLevel="0" collapsed="false">
      <c r="A468" s="19" t="n">
        <f aca="false">Daromadlilik!A463</f>
        <v>45939</v>
      </c>
      <c r="B468" s="28" t="n">
        <f aca="false">Daromadlilik!H463</f>
        <v>0.010674478429892</v>
      </c>
      <c r="C468" s="29" t="n">
        <f aca="false">B468^2</f>
        <v>0.000113944489750229</v>
      </c>
      <c r="D468" s="29" t="n">
        <f aca="false">$B$4*D467+(1-$B$4)*C467</f>
        <v>0.000113811300366456</v>
      </c>
      <c r="E468" s="30" t="n">
        <f aca="false">SQRT(D468)</f>
        <v>0.0106682379222839</v>
      </c>
      <c r="F468" s="31" t="n">
        <f aca="false">E468*SQRT(Parametrlar!$B$6)</f>
        <v>0.16935302681779</v>
      </c>
      <c r="G468" s="31" t="n">
        <f aca="false">STDEV(B449:B468)*SQRT(Parametrlar!$B$6)</f>
        <v>0.14973834865063</v>
      </c>
    </row>
    <row r="469" customFormat="false" ht="15" hidden="false" customHeight="false" outlineLevel="0" collapsed="false">
      <c r="A469" s="19" t="n">
        <f aca="false">Daromadlilik!A464</f>
        <v>45940</v>
      </c>
      <c r="B469" s="28" t="n">
        <f aca="false">Daromadlilik!H464</f>
        <v>-0.00247307691964298</v>
      </c>
      <c r="C469" s="29" t="n">
        <f aca="false">B469^2</f>
        <v>6.11610945047081E-006</v>
      </c>
      <c r="D469" s="29" t="n">
        <f aca="false">$B$4*D468+(1-$B$4)*C468</f>
        <v>0.000113819291729483</v>
      </c>
      <c r="E469" s="30" t="n">
        <f aca="false">SQRT(D469)</f>
        <v>0.0106686124556796</v>
      </c>
      <c r="F469" s="31" t="n">
        <f aca="false">E469*SQRT(Parametrlar!$B$6)</f>
        <v>0.169358972351127</v>
      </c>
      <c r="G469" s="31" t="n">
        <f aca="false">STDEV(B450:B469)*SQRT(Parametrlar!$B$6)</f>
        <v>0.132624195016123</v>
      </c>
    </row>
    <row r="470" customFormat="false" ht="15" hidden="false" customHeight="false" outlineLevel="0" collapsed="false">
      <c r="A470" s="19" t="n">
        <f aca="false">Daromadlilik!A465</f>
        <v>45943</v>
      </c>
      <c r="B470" s="28" t="n">
        <f aca="false">Daromadlilik!H465</f>
        <v>0.0104064970232124</v>
      </c>
      <c r="C470" s="29" t="n">
        <f aca="false">B470^2</f>
        <v>0.000108295180294129</v>
      </c>
      <c r="D470" s="29" t="n">
        <f aca="false">$B$4*D469+(1-$B$4)*C469</f>
        <v>0.000107357100792742</v>
      </c>
      <c r="E470" s="30" t="n">
        <f aca="false">SQRT(D470)</f>
        <v>0.0103613271733278</v>
      </c>
      <c r="F470" s="31" t="n">
        <f aca="false">E470*SQRT(Parametrlar!$B$6)</f>
        <v>0.164480969719208</v>
      </c>
      <c r="G470" s="31" t="n">
        <f aca="false">STDEV(B451:B470)*SQRT(Parametrlar!$B$6)</f>
        <v>0.132474828017849</v>
      </c>
    </row>
    <row r="471" customFormat="false" ht="15" hidden="false" customHeight="false" outlineLevel="0" collapsed="false">
      <c r="A471" s="19" t="n">
        <f aca="false">Daromadlilik!A466</f>
        <v>45944</v>
      </c>
      <c r="B471" s="28" t="n">
        <f aca="false">Daromadlilik!H466</f>
        <v>0.00776439319763294</v>
      </c>
      <c r="C471" s="29" t="n">
        <f aca="false">B471^2</f>
        <v>6.02858017274487E-005</v>
      </c>
      <c r="D471" s="29" t="n">
        <f aca="false">$B$4*D470+(1-$B$4)*C470</f>
        <v>0.000107413385562825</v>
      </c>
      <c r="E471" s="30" t="n">
        <f aca="false">SQRT(D471)</f>
        <v>0.01036404291591</v>
      </c>
      <c r="F471" s="31" t="n">
        <f aca="false">E471*SQRT(Parametrlar!$B$6)</f>
        <v>0.164524080796192</v>
      </c>
      <c r="G471" s="31" t="n">
        <f aca="false">STDEV(B452:B471)*SQRT(Parametrlar!$B$6)</f>
        <v>0.132480791746206</v>
      </c>
    </row>
    <row r="472" customFormat="false" ht="15" hidden="false" customHeight="false" outlineLevel="0" collapsed="false">
      <c r="A472" s="19" t="n">
        <f aca="false">Daromadlilik!A467</f>
        <v>45945</v>
      </c>
      <c r="B472" s="28" t="n">
        <f aca="false">Daromadlilik!H467</f>
        <v>-0.00724757130509875</v>
      </c>
      <c r="C472" s="29" t="n">
        <f aca="false">B472^2</f>
        <v>5.25272898224908E-005</v>
      </c>
      <c r="D472" s="29" t="n">
        <f aca="false">$B$4*D471+(1-$B$4)*C471</f>
        <v>0.000104585730532703</v>
      </c>
      <c r="E472" s="30" t="n">
        <f aca="false">SQRT(D472)</f>
        <v>0.0102267165078877</v>
      </c>
      <c r="F472" s="31" t="n">
        <f aca="false">E472*SQRT(Parametrlar!$B$6)</f>
        <v>0.162344091651779</v>
      </c>
      <c r="G472" s="31" t="n">
        <f aca="false">STDEV(B453:B472)*SQRT(Parametrlar!$B$6)</f>
        <v>0.126266477761262</v>
      </c>
    </row>
    <row r="473" customFormat="false" ht="15" hidden="false" customHeight="false" outlineLevel="0" collapsed="false">
      <c r="A473" s="19" t="n">
        <f aca="false">Daromadlilik!A468</f>
        <v>45946</v>
      </c>
      <c r="B473" s="28" t="n">
        <f aca="false">Daromadlilik!H468</f>
        <v>0.00133444668772771</v>
      </c>
      <c r="C473" s="29" t="n">
        <f aca="false">B473^2</f>
        <v>1.78074796238746E-006</v>
      </c>
      <c r="D473" s="29" t="n">
        <f aca="false">$B$4*D472+(1-$B$4)*C472</f>
        <v>0.00010146222409009</v>
      </c>
      <c r="E473" s="30" t="n">
        <f aca="false">SQRT(D473)</f>
        <v>0.0100728458784045</v>
      </c>
      <c r="F473" s="31" t="n">
        <f aca="false">E473*SQRT(Parametrlar!$B$6)</f>
        <v>0.159901471133641</v>
      </c>
      <c r="G473" s="31" t="n">
        <f aca="false">STDEV(B454:B473)*SQRT(Parametrlar!$B$6)</f>
        <v>0.126592529359826</v>
      </c>
    </row>
    <row r="474" customFormat="false" ht="15" hidden="false" customHeight="false" outlineLevel="0" collapsed="false">
      <c r="A474" s="19" t="n">
        <f aca="false">Daromadlilik!A469</f>
        <v>45947</v>
      </c>
      <c r="B474" s="28" t="n">
        <f aca="false">Daromadlilik!H469</f>
        <v>0.000736870344167268</v>
      </c>
      <c r="C474" s="29" t="n">
        <f aca="false">B474^2</f>
        <v>5.42977904113188E-007</v>
      </c>
      <c r="D474" s="29" t="n">
        <f aca="false">$B$4*D473+(1-$B$4)*C473</f>
        <v>9.54813355224278E-005</v>
      </c>
      <c r="E474" s="30" t="n">
        <f aca="false">SQRT(D474)</f>
        <v>0.00977145513843398</v>
      </c>
      <c r="F474" s="31" t="n">
        <f aca="false">E474*SQRT(Parametrlar!$B$6)</f>
        <v>0.155117041461123</v>
      </c>
      <c r="G474" s="31" t="n">
        <f aca="false">STDEV(B455:B474)*SQRT(Parametrlar!$B$6)</f>
        <v>0.117303410404198</v>
      </c>
    </row>
    <row r="475" customFormat="false" ht="15" hidden="false" customHeight="false" outlineLevel="0" collapsed="false">
      <c r="A475" s="19" t="n">
        <f aca="false">Daromadlilik!A470</f>
        <v>45950</v>
      </c>
      <c r="B475" s="28" t="n">
        <f aca="false">Daromadlilik!H470</f>
        <v>0.00181306728910544</v>
      </c>
      <c r="C475" s="29" t="n">
        <f aca="false">B475^2</f>
        <v>3.28721299482417E-006</v>
      </c>
      <c r="D475" s="29" t="n">
        <f aca="false">$B$4*D474+(1-$B$4)*C474</f>
        <v>8.97850340653289E-005</v>
      </c>
      <c r="E475" s="30" t="n">
        <f aca="false">SQRT(D475)</f>
        <v>0.00947549650758887</v>
      </c>
      <c r="F475" s="31" t="n">
        <f aca="false">E475*SQRT(Parametrlar!$B$6)</f>
        <v>0.150418843847647</v>
      </c>
      <c r="G475" s="31" t="n">
        <f aca="false">STDEV(B456:B475)*SQRT(Parametrlar!$B$6)</f>
        <v>0.117226394869547</v>
      </c>
    </row>
    <row r="476" customFormat="false" ht="15" hidden="false" customHeight="false" outlineLevel="0" collapsed="false">
      <c r="A476" s="19" t="n">
        <f aca="false">Daromadlilik!A471</f>
        <v>45951</v>
      </c>
      <c r="B476" s="28" t="n">
        <f aca="false">Daromadlilik!H471</f>
        <v>0.0038493788129988</v>
      </c>
      <c r="C476" s="29" t="n">
        <f aca="false">B476^2</f>
        <v>1.4817717245964E-005</v>
      </c>
      <c r="D476" s="29" t="n">
        <f aca="false">$B$4*D475+(1-$B$4)*C475</f>
        <v>8.45951648010986E-005</v>
      </c>
      <c r="E476" s="30" t="n">
        <f aca="false">SQRT(D476)</f>
        <v>0.00919756298163261</v>
      </c>
      <c r="F476" s="31" t="n">
        <f aca="false">E476*SQRT(Parametrlar!$B$6)</f>
        <v>0.146006785903522</v>
      </c>
      <c r="G476" s="31" t="n">
        <f aca="false">STDEV(B457:B476)*SQRT(Parametrlar!$B$6)</f>
        <v>0.11745279601384</v>
      </c>
    </row>
    <row r="477" customFormat="false" ht="15" hidden="false" customHeight="false" outlineLevel="0" collapsed="false">
      <c r="A477" s="19" t="n">
        <f aca="false">Daromadlilik!A472</f>
        <v>45952</v>
      </c>
      <c r="B477" s="28" t="n">
        <f aca="false">Daromadlilik!H472</f>
        <v>0.0106500241653603</v>
      </c>
      <c r="C477" s="29" t="n">
        <f aca="false">B477^2</f>
        <v>0.000113423014722758</v>
      </c>
      <c r="D477" s="29" t="n">
        <f aca="false">$B$4*D476+(1-$B$4)*C476</f>
        <v>8.04085179477905E-005</v>
      </c>
      <c r="E477" s="30" t="n">
        <f aca="false">SQRT(D477)</f>
        <v>0.00896707967778755</v>
      </c>
      <c r="F477" s="31" t="n">
        <f aca="false">E477*SQRT(Parametrlar!$B$6)</f>
        <v>0.142347976883562</v>
      </c>
      <c r="G477" s="31" t="n">
        <f aca="false">STDEV(B458:B477)*SQRT(Parametrlar!$B$6)</f>
        <v>0.123192501126933</v>
      </c>
    </row>
    <row r="478" customFormat="false" ht="15" hidden="false" customHeight="false" outlineLevel="0" collapsed="false">
      <c r="A478" s="19" t="n">
        <f aca="false">Daromadlilik!A473</f>
        <v>45953</v>
      </c>
      <c r="B478" s="28" t="n">
        <f aca="false">Daromadlilik!H473</f>
        <v>-0.00320029834636299</v>
      </c>
      <c r="C478" s="29" t="n">
        <f aca="false">B478^2</f>
        <v>1.02419095057337E-005</v>
      </c>
      <c r="D478" s="29" t="n">
        <f aca="false">$B$4*D477+(1-$B$4)*C477</f>
        <v>8.23893877542885E-005</v>
      </c>
      <c r="E478" s="30" t="n">
        <f aca="false">SQRT(D478)</f>
        <v>0.00907686001623296</v>
      </c>
      <c r="F478" s="31" t="n">
        <f aca="false">E478*SQRT(Parametrlar!$B$6)</f>
        <v>0.144090685729789</v>
      </c>
      <c r="G478" s="31" t="n">
        <f aca="false">STDEV(B459:B478)*SQRT(Parametrlar!$B$6)</f>
        <v>0.12097775478513</v>
      </c>
    </row>
    <row r="479" customFormat="false" ht="15" hidden="false" customHeight="false" outlineLevel="0" collapsed="false">
      <c r="A479" s="19" t="n">
        <f aca="false">Daromadlilik!A474</f>
        <v>45954</v>
      </c>
      <c r="B479" s="28" t="n">
        <f aca="false">Daromadlilik!H474</f>
        <v>0.00686310135900974</v>
      </c>
      <c r="C479" s="29" t="n">
        <f aca="false">B479^2</f>
        <v>4.71021602640413E-005</v>
      </c>
      <c r="D479" s="29" t="n">
        <f aca="false">$B$4*D478+(1-$B$4)*C478</f>
        <v>7.80605390593752E-005</v>
      </c>
      <c r="E479" s="30" t="n">
        <f aca="false">SQRT(D479)</f>
        <v>0.00883518755088851</v>
      </c>
      <c r="F479" s="31" t="n">
        <f aca="false">E479*SQRT(Parametrlar!$B$6)</f>
        <v>0.140254254277589</v>
      </c>
      <c r="G479" s="31" t="n">
        <f aca="false">STDEV(B460:B479)*SQRT(Parametrlar!$B$6)</f>
        <v>0.123382346391108</v>
      </c>
    </row>
    <row r="480" customFormat="false" ht="15" hidden="false" customHeight="false" outlineLevel="0" collapsed="false">
      <c r="A480" s="19" t="n">
        <f aca="false">Daromadlilik!A475</f>
        <v>45957</v>
      </c>
      <c r="B480" s="28" t="n">
        <f aca="false">Daromadlilik!H475</f>
        <v>0.00127914583630536</v>
      </c>
      <c r="C480" s="29" t="n">
        <f aca="false">B480^2</f>
        <v>1.63621407053735E-006</v>
      </c>
      <c r="D480" s="29" t="n">
        <f aca="false">$B$4*D479+(1-$B$4)*C479</f>
        <v>7.62030363316552E-005</v>
      </c>
      <c r="E480" s="30" t="n">
        <f aca="false">SQRT(D480)</f>
        <v>0.0087294350522617</v>
      </c>
      <c r="F480" s="31" t="n">
        <f aca="false">E480*SQRT(Parametrlar!$B$6)</f>
        <v>0.138575485406248</v>
      </c>
      <c r="G480" s="31" t="n">
        <f aca="false">STDEV(B461:B480)*SQRT(Parametrlar!$B$6)</f>
        <v>0.121521138719754</v>
      </c>
    </row>
    <row r="481" customFormat="false" ht="15" hidden="false" customHeight="false" outlineLevel="0" collapsed="false">
      <c r="A481" s="19" t="n">
        <f aca="false">Daromadlilik!A476</f>
        <v>45958</v>
      </c>
      <c r="B481" s="28" t="n">
        <f aca="false">Daromadlilik!H476</f>
        <v>-0.0142545006373519</v>
      </c>
      <c r="C481" s="29" t="n">
        <f aca="false">B481^2</f>
        <v>0.000203190788420267</v>
      </c>
      <c r="D481" s="29" t="n">
        <f aca="false">$B$4*D480+(1-$B$4)*C480</f>
        <v>7.17290269959881E-005</v>
      </c>
      <c r="E481" s="30" t="n">
        <f aca="false">SQRT(D481)</f>
        <v>0.00846929908528375</v>
      </c>
      <c r="F481" s="31" t="n">
        <f aca="false">E481*SQRT(Parametrlar!$B$6)</f>
        <v>0.134445954952126</v>
      </c>
      <c r="G481" s="31" t="n">
        <f aca="false">STDEV(B462:B481)*SQRT(Parametrlar!$B$6)</f>
        <v>0.131793647870905</v>
      </c>
    </row>
    <row r="482" customFormat="false" ht="15" hidden="false" customHeight="false" outlineLevel="0" collapsed="false">
      <c r="A482" s="19" t="n">
        <f aca="false">Daromadlilik!A477</f>
        <v>45959</v>
      </c>
      <c r="B482" s="28" t="n">
        <f aca="false">Daromadlilik!H477</f>
        <v>0.00123606945700637</v>
      </c>
      <c r="C482" s="29" t="n">
        <f aca="false">B482^2</f>
        <v>1.52786770254403E-006</v>
      </c>
      <c r="D482" s="29" t="n">
        <f aca="false">$B$4*D481+(1-$B$4)*C481</f>
        <v>7.96167326814448E-005</v>
      </c>
      <c r="E482" s="30" t="n">
        <f aca="false">SQRT(D482)</f>
        <v>0.00892282089260145</v>
      </c>
      <c r="F482" s="31" t="n">
        <f aca="false">E482*SQRT(Parametrlar!$B$6)</f>
        <v>0.141645390449969</v>
      </c>
      <c r="G482" s="31" t="n">
        <f aca="false">STDEV(B463:B482)*SQRT(Parametrlar!$B$6)</f>
        <v>0.131508639213992</v>
      </c>
    </row>
    <row r="483" customFormat="false" ht="15" hidden="false" customHeight="false" outlineLevel="0" collapsed="false">
      <c r="A483" s="19" t="n">
        <f aca="false">Daromadlilik!A478</f>
        <v>45960</v>
      </c>
      <c r="B483" s="28" t="n">
        <f aca="false">Daromadlilik!H478</f>
        <v>-0.019190740418793</v>
      </c>
      <c r="C483" s="29" t="n">
        <f aca="false">B483^2</f>
        <v>0.000368284517821497</v>
      </c>
      <c r="D483" s="29" t="n">
        <f aca="false">$B$4*D482+(1-$B$4)*C482</f>
        <v>7.49314007827108E-005</v>
      </c>
      <c r="E483" s="30" t="n">
        <f aca="false">SQRT(D483)</f>
        <v>0.0086562925541314</v>
      </c>
      <c r="F483" s="31" t="n">
        <f aca="false">E483*SQRT(Parametrlar!$B$6)</f>
        <v>0.137414384244311</v>
      </c>
      <c r="G483" s="31" t="n">
        <f aca="false">STDEV(B464:B483)*SQRT(Parametrlar!$B$6)</f>
        <v>0.141091302004075</v>
      </c>
    </row>
    <row r="484" customFormat="false" ht="15" hidden="false" customHeight="false" outlineLevel="0" collapsed="false">
      <c r="A484" s="19" t="n">
        <f aca="false">Daromadlilik!A479</f>
        <v>45961</v>
      </c>
      <c r="B484" s="28" t="n">
        <f aca="false">Daromadlilik!H479</f>
        <v>-0.00295613477189805</v>
      </c>
      <c r="C484" s="29" t="n">
        <f aca="false">B484^2</f>
        <v>8.73873278962472E-006</v>
      </c>
      <c r="D484" s="29" t="n">
        <f aca="false">$B$4*D483+(1-$B$4)*C483</f>
        <v>9.2532587805038E-005</v>
      </c>
      <c r="E484" s="30" t="n">
        <f aca="false">SQRT(D484)</f>
        <v>0.00961938604096114</v>
      </c>
      <c r="F484" s="31" t="n">
        <f aca="false">E484*SQRT(Parametrlar!$B$6)</f>
        <v>0.152703019377056</v>
      </c>
      <c r="G484" s="31" t="n">
        <f aca="false">STDEV(B465:B484)*SQRT(Parametrlar!$B$6)</f>
        <v>0.141396223570413</v>
      </c>
    </row>
    <row r="485" customFormat="false" ht="15" hidden="false" customHeight="false" outlineLevel="0" collapsed="false">
      <c r="A485" s="19" t="n">
        <f aca="false">Daromadlilik!A480</f>
        <v>45964</v>
      </c>
      <c r="B485" s="28" t="n">
        <f aca="false">Daromadlilik!H480</f>
        <v>-0.0168655844280356</v>
      </c>
      <c r="C485" s="29" t="n">
        <f aca="false">B485^2</f>
        <v>0.000284447938099197</v>
      </c>
      <c r="D485" s="29" t="n">
        <f aca="false">$B$4*D484+(1-$B$4)*C484</f>
        <v>8.75049565041132E-005</v>
      </c>
      <c r="E485" s="30" t="n">
        <f aca="false">SQRT(D485)</f>
        <v>0.00935440839947205</v>
      </c>
      <c r="F485" s="31" t="n">
        <f aca="false">E485*SQRT(Parametrlar!$B$6)</f>
        <v>0.148496629722821</v>
      </c>
      <c r="G485" s="31" t="n">
        <f aca="false">STDEV(B466:B485)*SQRT(Parametrlar!$B$6)</f>
        <v>0.148609738605319</v>
      </c>
    </row>
    <row r="486" customFormat="false" ht="15" hidden="false" customHeight="false" outlineLevel="0" collapsed="false">
      <c r="A486" s="19" t="n">
        <f aca="false">Daromadlilik!A481</f>
        <v>45965</v>
      </c>
      <c r="B486" s="28" t="n">
        <f aca="false">Daromadlilik!H481</f>
        <v>-0.00603992887127249</v>
      </c>
      <c r="C486" s="29" t="n">
        <f aca="false">B486^2</f>
        <v>3.6480740770031E-005</v>
      </c>
      <c r="D486" s="29" t="n">
        <f aca="false">$B$4*D485+(1-$B$4)*C485</f>
        <v>9.93215353998182E-005</v>
      </c>
      <c r="E486" s="30" t="n">
        <f aca="false">SQRT(D486)</f>
        <v>0.00996601903469074</v>
      </c>
      <c r="F486" s="31" t="n">
        <f aca="false">E486*SQRT(Parametrlar!$B$6)</f>
        <v>0.158205647562766</v>
      </c>
      <c r="G486" s="31" t="n">
        <f aca="false">STDEV(B467:B486)*SQRT(Parametrlar!$B$6)</f>
        <v>0.140414814970109</v>
      </c>
    </row>
    <row r="487" customFormat="false" ht="15" hidden="false" customHeight="false" outlineLevel="0" collapsed="false">
      <c r="A487" s="19" t="n">
        <f aca="false">Daromadlilik!A482</f>
        <v>45966</v>
      </c>
      <c r="B487" s="28" t="n">
        <f aca="false">Daromadlilik!H482</f>
        <v>-0.0063772392643054</v>
      </c>
      <c r="C487" s="29" t="n">
        <f aca="false">B487^2</f>
        <v>4.06691806341985E-005</v>
      </c>
      <c r="D487" s="29" t="n">
        <f aca="false">$B$4*D486+(1-$B$4)*C486</f>
        <v>9.5551087722031E-005</v>
      </c>
      <c r="E487" s="30" t="n">
        <f aca="false">SQRT(D487)</f>
        <v>0.00977502366861743</v>
      </c>
      <c r="F487" s="31" t="n">
        <f aca="false">E487*SQRT(Parametrlar!$B$6)</f>
        <v>0.155173690121592</v>
      </c>
      <c r="G487" s="31" t="n">
        <f aca="false">STDEV(B468:B487)*SQRT(Parametrlar!$B$6)</f>
        <v>0.138828322294502</v>
      </c>
    </row>
    <row r="488" customFormat="false" ht="15" hidden="false" customHeight="false" outlineLevel="0" collapsed="false">
      <c r="A488" s="19" t="n">
        <f aca="false">Daromadlilik!A483</f>
        <v>45967</v>
      </c>
      <c r="B488" s="28" t="n">
        <f aca="false">Daromadlilik!H483</f>
        <v>-0.0313558740496768</v>
      </c>
      <c r="C488" s="29" t="n">
        <f aca="false">B488^2</f>
        <v>0.000983190837419195</v>
      </c>
      <c r="D488" s="29" t="n">
        <f aca="false">$B$4*D487+(1-$B$4)*C487</f>
        <v>9.2258173296761E-005</v>
      </c>
      <c r="E488" s="30" t="n">
        <f aca="false">SQRT(D488)</f>
        <v>0.00960511183155933</v>
      </c>
      <c r="F488" s="31" t="n">
        <f aca="false">E488*SQRT(Parametrlar!$B$6)</f>
        <v>0.152476423327621</v>
      </c>
      <c r="G488" s="31" t="n">
        <f aca="false">STDEV(B469:B488)*SQRT(Parametrlar!$B$6)</f>
        <v>0.168536301473386</v>
      </c>
    </row>
    <row r="489" customFormat="false" ht="15" hidden="false" customHeight="false" outlineLevel="0" collapsed="false">
      <c r="A489" s="19" t="n">
        <f aca="false">Daromadlilik!A484</f>
        <v>45968</v>
      </c>
      <c r="B489" s="28" t="n">
        <f aca="false">Daromadlilik!H484</f>
        <v>-0.0161241615921869</v>
      </c>
      <c r="C489" s="29" t="n">
        <f aca="false">B489^2</f>
        <v>0.000259988587050955</v>
      </c>
      <c r="D489" s="29" t="n">
        <f aca="false">$B$4*D488+(1-$B$4)*C488</f>
        <v>0.000145714133144107</v>
      </c>
      <c r="E489" s="30" t="n">
        <f aca="false">SQRT(D489)</f>
        <v>0.0120712109228572</v>
      </c>
      <c r="F489" s="31" t="n">
        <f aca="false">E489*SQRT(Parametrlar!$B$6)</f>
        <v>0.19162453275172</v>
      </c>
      <c r="G489" s="31" t="n">
        <f aca="false">STDEV(B470:B489)*SQRT(Parametrlar!$B$6)</f>
        <v>0.174610386602083</v>
      </c>
    </row>
    <row r="490" customFormat="false" ht="15" hidden="false" customHeight="false" outlineLevel="0" collapsed="false">
      <c r="A490" s="19" t="n">
        <f aca="false">Daromadlilik!A485</f>
        <v>45971</v>
      </c>
      <c r="B490" s="28" t="n">
        <f aca="false">Daromadlilik!H485</f>
        <v>-0.0158519401912413</v>
      </c>
      <c r="C490" s="29" t="n">
        <f aca="false">B490^2</f>
        <v>0.000251284007826691</v>
      </c>
      <c r="D490" s="29" t="n">
        <f aca="false">$B$4*D489+(1-$B$4)*C489</f>
        <v>0.000152570600378518</v>
      </c>
      <c r="E490" s="30" t="n">
        <f aca="false">SQRT(D490)</f>
        <v>0.0123519472302353</v>
      </c>
      <c r="F490" s="31" t="n">
        <f aca="false">E490*SQRT(Parametrlar!$B$6)</f>
        <v>0.196081083471574</v>
      </c>
      <c r="G490" s="31" t="n">
        <f aca="false">STDEV(B471:B490)*SQRT(Parametrlar!$B$6)</f>
        <v>0.17094646275136</v>
      </c>
    </row>
    <row r="491" customFormat="false" ht="15" hidden="false" customHeight="false" outlineLevel="0" collapsed="false">
      <c r="A491" s="19" t="n">
        <f aca="false">Daromadlilik!A486</f>
        <v>45972</v>
      </c>
      <c r="B491" s="28" t="n">
        <f aca="false">Daromadlilik!H486</f>
        <v>-0.00373148684776509</v>
      </c>
      <c r="C491" s="29" t="n">
        <f aca="false">B491^2</f>
        <v>1.39239940950438E-005</v>
      </c>
      <c r="D491" s="29" t="n">
        <f aca="false">$B$4*D490+(1-$B$4)*C490</f>
        <v>0.000158493404825408</v>
      </c>
      <c r="E491" s="30" t="n">
        <f aca="false">SQRT(D491)</f>
        <v>0.0125894163814455</v>
      </c>
      <c r="F491" s="31" t="n">
        <f aca="false">E491*SQRT(Parametrlar!$B$6)</f>
        <v>0.199850789380485</v>
      </c>
      <c r="G491" s="31" t="n">
        <f aca="false">STDEV(B472:B491)*SQRT(Parametrlar!$B$6)</f>
        <v>0.164120069649385</v>
      </c>
    </row>
    <row r="492" customFormat="false" ht="15" hidden="false" customHeight="false" outlineLevel="0" collapsed="false">
      <c r="A492" s="19" t="n">
        <f aca="false">Daromadlilik!A487</f>
        <v>45973</v>
      </c>
      <c r="B492" s="28" t="n">
        <f aca="false">Daromadlilik!H487</f>
        <v>-0.00706064482912887</v>
      </c>
      <c r="C492" s="29" t="n">
        <f aca="false">B492^2</f>
        <v>4.98527054031043E-005</v>
      </c>
      <c r="D492" s="29" t="n">
        <f aca="false">$B$4*D491+(1-$B$4)*C491</f>
        <v>0.000149819240181586</v>
      </c>
      <c r="E492" s="30" t="n">
        <f aca="false">SQRT(D492)</f>
        <v>0.0122400670006984</v>
      </c>
      <c r="F492" s="31" t="n">
        <f aca="false">E492*SQRT(Parametrlar!$B$6)</f>
        <v>0.194305039887698</v>
      </c>
      <c r="G492" s="31" t="n">
        <f aca="false">STDEV(B473:B492)*SQRT(Parametrlar!$B$6)</f>
        <v>0.164099114258951</v>
      </c>
    </row>
    <row r="493" customFormat="false" ht="15" hidden="false" customHeight="false" outlineLevel="0" collapsed="false">
      <c r="A493" s="19" t="n">
        <f aca="false">Daromadlilik!A488</f>
        <v>45974</v>
      </c>
      <c r="B493" s="28" t="n">
        <f aca="false">Daromadlilik!H488</f>
        <v>-0.00744458757711</v>
      </c>
      <c r="C493" s="29" t="n">
        <f aca="false">B493^2</f>
        <v>5.54218841932606E-005</v>
      </c>
      <c r="D493" s="29" t="n">
        <f aca="false">$B$4*D492+(1-$B$4)*C492</f>
        <v>0.000143821248094878</v>
      </c>
      <c r="E493" s="30" t="n">
        <f aca="false">SQRT(D493)</f>
        <v>0.0119925496911573</v>
      </c>
      <c r="F493" s="31" t="n">
        <f aca="false">E493*SQRT(Parametrlar!$B$6)</f>
        <v>0.19037582441032</v>
      </c>
      <c r="G493" s="31" t="n">
        <f aca="false">STDEV(B474:B493)*SQRT(Parametrlar!$B$6)</f>
        <v>0.162009124723547</v>
      </c>
    </row>
    <row r="494" customFormat="false" ht="15" hidden="false" customHeight="false" outlineLevel="0" collapsed="false">
      <c r="A494" s="19" t="n">
        <f aca="false">Daromadlilik!A489</f>
        <v>45975</v>
      </c>
      <c r="B494" s="28" t="n">
        <f aca="false">Daromadlilik!H489</f>
        <v>-0.0202462125680759</v>
      </c>
      <c r="C494" s="29" t="n">
        <f aca="false">B494^2</f>
        <v>0.000409909123351716</v>
      </c>
      <c r="D494" s="29" t="n">
        <f aca="false">$B$4*D493+(1-$B$4)*C493</f>
        <v>0.000138517286260781</v>
      </c>
      <c r="E494" s="30" t="n">
        <f aca="false">SQRT(D494)</f>
        <v>0.0117693366958712</v>
      </c>
      <c r="F494" s="31" t="n">
        <f aca="false">E494*SQRT(Parametrlar!$B$6)</f>
        <v>0.186832427960771</v>
      </c>
      <c r="G494" s="31" t="n">
        <f aca="false">STDEV(B475:B494)*SQRT(Parametrlar!$B$6)</f>
        <v>0.167131115953226</v>
      </c>
    </row>
    <row r="495" customFormat="false" ht="15" hidden="false" customHeight="false" outlineLevel="0" collapsed="false">
      <c r="A495" s="19" t="n">
        <f aca="false">Daromadlilik!A490</f>
        <v>45978</v>
      </c>
      <c r="B495" s="28" t="n">
        <f aca="false">Daromadlilik!H490</f>
        <v>-0.0054803589938143</v>
      </c>
      <c r="C495" s="29" t="n">
        <f aca="false">B495^2</f>
        <v>3.00343347010812E-005</v>
      </c>
      <c r="D495" s="29" t="n">
        <f aca="false">$B$4*D494+(1-$B$4)*C494</f>
        <v>0.000154800796486237</v>
      </c>
      <c r="E495" s="30" t="n">
        <f aca="false">SQRT(D495)</f>
        <v>0.0124418968202697</v>
      </c>
      <c r="F495" s="31" t="n">
        <f aca="false">E495*SQRT(Parametrlar!$B$6)</f>
        <v>0.197508988946153</v>
      </c>
      <c r="G495" s="31" t="n">
        <f aca="false">STDEV(B476:B495)*SQRT(Parametrlar!$B$6)</f>
        <v>0.163858357846531</v>
      </c>
    </row>
    <row r="496" customFormat="false" ht="15" hidden="false" customHeight="false" outlineLevel="0" collapsed="false">
      <c r="A496" s="19" t="n">
        <f aca="false">Daromadlilik!A491</f>
        <v>45979</v>
      </c>
      <c r="B496" s="28" t="n">
        <f aca="false">Daromadlilik!H491</f>
        <v>-0.00576887897089441</v>
      </c>
      <c r="C496" s="29" t="n">
        <f aca="false">B496^2</f>
        <v>3.32799645808278E-005</v>
      </c>
      <c r="D496" s="29" t="n">
        <f aca="false">$B$4*D495+(1-$B$4)*C495</f>
        <v>0.000147314808779127</v>
      </c>
      <c r="E496" s="30" t="n">
        <f aca="false">SQRT(D496)</f>
        <v>0.0121373312049695</v>
      </c>
      <c r="F496" s="31" t="n">
        <f aca="false">E496*SQRT(Parametrlar!$B$6)</f>
        <v>0.19267415969024</v>
      </c>
      <c r="G496" s="31" t="n">
        <f aca="false">STDEV(B477:B496)*SQRT(Parametrlar!$B$6)</f>
        <v>0.158398822006633</v>
      </c>
    </row>
    <row r="497" customFormat="false" ht="15" hidden="false" customHeight="false" outlineLevel="0" collapsed="false">
      <c r="A497" s="19" t="n">
        <f aca="false">Daromadlilik!A492</f>
        <v>45980</v>
      </c>
      <c r="B497" s="28" t="n">
        <f aca="false">Daromadlilik!H492</f>
        <v>-0.0137714667150539</v>
      </c>
      <c r="C497" s="29" t="n">
        <f aca="false">B497^2</f>
        <v>0.000189653295483838</v>
      </c>
      <c r="D497" s="29" t="n">
        <f aca="false">$B$4*D496+(1-$B$4)*C496</f>
        <v>0.000140472718127229</v>
      </c>
      <c r="E497" s="30" t="n">
        <f aca="false">SQRT(D497)</f>
        <v>0.0118521187189139</v>
      </c>
      <c r="F497" s="31" t="n">
        <f aca="false">E497*SQRT(Parametrlar!$B$6)</f>
        <v>0.188146551836758</v>
      </c>
      <c r="G497" s="31" t="n">
        <f aca="false">STDEV(B478:B497)*SQRT(Parametrlar!$B$6)</f>
        <v>0.143042066122096</v>
      </c>
    </row>
    <row r="498" customFormat="false" ht="15" hidden="false" customHeight="false" outlineLevel="0" collapsed="false">
      <c r="A498" s="19" t="n">
        <f aca="false">Daromadlilik!A493</f>
        <v>45981</v>
      </c>
      <c r="B498" s="28" t="n">
        <f aca="false">Daromadlilik!H493</f>
        <v>-0.0159538699199269</v>
      </c>
      <c r="C498" s="29" t="n">
        <f aca="false">B498^2</f>
        <v>0.000254525965421949</v>
      </c>
      <c r="D498" s="29" t="n">
        <f aca="false">$B$4*D497+(1-$B$4)*C497</f>
        <v>0.000143423552768626</v>
      </c>
      <c r="E498" s="30" t="n">
        <f aca="false">SQRT(D498)</f>
        <v>0.0119759572798431</v>
      </c>
      <c r="F498" s="31" t="n">
        <f aca="false">E498*SQRT(Parametrlar!$B$6)</f>
        <v>0.19011242804639</v>
      </c>
      <c r="G498" s="31" t="n">
        <f aca="false">STDEV(B479:B498)*SQRT(Parametrlar!$B$6)</f>
        <v>0.1429724671623</v>
      </c>
    </row>
    <row r="499" customFormat="false" ht="15" hidden="false" customHeight="false" outlineLevel="0" collapsed="false">
      <c r="A499" s="19" t="n">
        <f aca="false">Daromadlilik!A494</f>
        <v>45982</v>
      </c>
      <c r="B499" s="28" t="n">
        <f aca="false">Daromadlilik!H494</f>
        <v>-0.0101243908910926</v>
      </c>
      <c r="C499" s="29" t="n">
        <f aca="false">B499^2</f>
        <v>0.000102503290915639</v>
      </c>
      <c r="D499" s="29" t="n">
        <f aca="false">$B$4*D498+(1-$B$4)*C498</f>
        <v>0.000150089697527825</v>
      </c>
      <c r="E499" s="30" t="n">
        <f aca="false">SQRT(D499)</f>
        <v>0.012251110052882</v>
      </c>
      <c r="F499" s="31" t="n">
        <f aca="false">E499*SQRT(Parametrlar!$B$6)</f>
        <v>0.194480342906454</v>
      </c>
      <c r="G499" s="31" t="n">
        <f aca="false">STDEV(B480:B499)*SQRT(Parametrlar!$B$6)</f>
        <v>0.128447567060071</v>
      </c>
    </row>
    <row r="500" customFormat="false" ht="15" hidden="false" customHeight="false" outlineLevel="0" collapsed="false">
      <c r="A500" s="19" t="n">
        <f aca="false">Daromadlilik!A495</f>
        <v>45985</v>
      </c>
      <c r="B500" s="28" t="n">
        <f aca="false">Daromadlilik!H495</f>
        <v>0.00851006827335644</v>
      </c>
      <c r="C500" s="29" t="n">
        <f aca="false">B500^2</f>
        <v>7.24212620171879E-005</v>
      </c>
      <c r="D500" s="29" t="n">
        <f aca="false">$B$4*D499+(1-$B$4)*C499</f>
        <v>0.000147234513131094</v>
      </c>
      <c r="E500" s="30" t="n">
        <f aca="false">SQRT(D500)</f>
        <v>0.0121340229574158</v>
      </c>
      <c r="F500" s="31" t="n">
        <f aca="false">E500*SQRT(Parametrlar!$B$6)</f>
        <v>0.192621642888424</v>
      </c>
      <c r="G500" s="31" t="n">
        <f aca="false">STDEV(B481:B500)*SQRT(Parametrlar!$B$6)</f>
        <v>0.139553845467996</v>
      </c>
    </row>
    <row r="501" customFormat="false" ht="15" hidden="false" customHeight="false" outlineLevel="0" collapsed="false">
      <c r="A501" s="19" t="n">
        <f aca="false">Daromadlilik!A496</f>
        <v>45986</v>
      </c>
      <c r="B501" s="28" t="n">
        <f aca="false">Daromadlilik!H496</f>
        <v>-0.00597950283496976</v>
      </c>
      <c r="C501" s="29" t="n">
        <f aca="false">B501^2</f>
        <v>3.57544541534114E-005</v>
      </c>
      <c r="D501" s="29" t="n">
        <f aca="false">$B$4*D500+(1-$B$4)*C500</f>
        <v>0.00014274571806426</v>
      </c>
      <c r="E501" s="30" t="n">
        <f aca="false">SQRT(D501)</f>
        <v>0.0119476239505711</v>
      </c>
      <c r="F501" s="31" t="n">
        <f aca="false">E501*SQRT(Parametrlar!$B$6)</f>
        <v>0.189662650387981</v>
      </c>
      <c r="G501" s="31" t="n">
        <f aca="false">STDEV(B482:B501)*SQRT(Parametrlar!$B$6)</f>
        <v>0.139647179264621</v>
      </c>
    </row>
    <row r="502" customFormat="false" ht="15" hidden="false" customHeight="false" outlineLevel="0" collapsed="false">
      <c r="A502" s="19" t="n">
        <f aca="false">Daromadlilik!A497</f>
        <v>45987</v>
      </c>
      <c r="B502" s="28" t="n">
        <f aca="false">Daromadlilik!H497</f>
        <v>-0.00169175877484824</v>
      </c>
      <c r="C502" s="29" t="n">
        <f aca="false">B502^2</f>
        <v>2.862047752276E-006</v>
      </c>
      <c r="D502" s="29" t="n">
        <f aca="false">$B$4*D501+(1-$B$4)*C501</f>
        <v>0.000136326242229609</v>
      </c>
      <c r="E502" s="30" t="n">
        <f aca="false">SQRT(D502)</f>
        <v>0.0116758829314793</v>
      </c>
      <c r="F502" s="31" t="n">
        <f aca="false">E502*SQRT(Parametrlar!$B$6)</f>
        <v>0.185348895442788</v>
      </c>
      <c r="G502" s="31" t="n">
        <f aca="false">STDEV(B483:B502)*SQRT(Parametrlar!$B$6)</f>
        <v>0.136873884823465</v>
      </c>
    </row>
    <row r="503" customFormat="false" ht="15" hidden="false" customHeight="false" outlineLevel="0" collapsed="false">
      <c r="A503" s="19" t="n">
        <f aca="false">Daromadlilik!A498</f>
        <v>45988</v>
      </c>
      <c r="B503" s="28" t="n">
        <f aca="false">Daromadlilik!H498</f>
        <v>0.0056982523742544</v>
      </c>
      <c r="C503" s="29" t="n">
        <f aca="false">B503^2</f>
        <v>3.24700801206959E-005</v>
      </c>
      <c r="D503" s="29" t="n">
        <f aca="false">$B$4*D502+(1-$B$4)*C502</f>
        <v>0.000128318390560969</v>
      </c>
      <c r="E503" s="30" t="n">
        <f aca="false">SQRT(D503)</f>
        <v>0.0113277707674974</v>
      </c>
      <c r="F503" s="31" t="n">
        <f aca="false">E503*SQRT(Parametrlar!$B$6)</f>
        <v>0.179822786157272</v>
      </c>
      <c r="G503" s="31" t="n">
        <f aca="false">STDEV(B484:B503)*SQRT(Parametrlar!$B$6)</f>
        <v>0.143483533740868</v>
      </c>
    </row>
    <row r="504" customFormat="false" ht="15" hidden="false" customHeight="false" outlineLevel="0" collapsed="false">
      <c r="A504" s="19" t="n">
        <f aca="false">Daromadlilik!A499</f>
        <v>45989</v>
      </c>
      <c r="B504" s="28" t="n">
        <f aca="false">Daromadlilik!H499</f>
        <v>0.00798923974540511</v>
      </c>
      <c r="C504" s="29" t="n">
        <f aca="false">B504^2</f>
        <v>6.38279517095606E-005</v>
      </c>
      <c r="D504" s="29" t="n">
        <f aca="false">$B$4*D503+(1-$B$4)*C503</f>
        <v>0.000122567491934552</v>
      </c>
      <c r="E504" s="30" t="n">
        <f aca="false">SQRT(D504)</f>
        <v>0.0110710203655559</v>
      </c>
      <c r="F504" s="31" t="n">
        <f aca="false">E504*SQRT(Parametrlar!$B$6)</f>
        <v>0.175746999881953</v>
      </c>
      <c r="G504" s="31" t="n">
        <f aca="false">STDEV(B485:B504)*SQRT(Parametrlar!$B$6)</f>
        <v>0.154375200697624</v>
      </c>
    </row>
    <row r="505" customFormat="false" ht="15" hidden="false" customHeight="false" outlineLevel="0" collapsed="false">
      <c r="A505" s="19" t="n">
        <f aca="false">Daromadlilik!A500</f>
        <v>45992</v>
      </c>
      <c r="B505" s="28" t="n">
        <f aca="false">Daromadlilik!H500</f>
        <v>-0.000313206473888029</v>
      </c>
      <c r="C505" s="29" t="n">
        <f aca="false">B505^2</f>
        <v>9.80982952853724E-008</v>
      </c>
      <c r="D505" s="29" t="n">
        <f aca="false">$B$4*D504+(1-$B$4)*C504</f>
        <v>0.000119043119521053</v>
      </c>
      <c r="E505" s="30" t="n">
        <f aca="false">SQRT(D505)</f>
        <v>0.0109106883156404</v>
      </c>
      <c r="F505" s="31" t="n">
        <f aca="false">E505*SQRT(Parametrlar!$B$6)</f>
        <v>0.173201807494337</v>
      </c>
      <c r="G505" s="31" t="n">
        <f aca="false">STDEV(B486:B505)*SQRT(Parametrlar!$B$6)</f>
        <v>0.153491412474673</v>
      </c>
    </row>
    <row r="506" customFormat="false" ht="15" hidden="false" customHeight="false" outlineLevel="0" collapsed="false">
      <c r="A506" s="19" t="n">
        <f aca="false">Daromadlilik!A501</f>
        <v>45993</v>
      </c>
      <c r="B506" s="28" t="n">
        <f aca="false">Daromadlilik!H501</f>
        <v>0.00565471022681903</v>
      </c>
      <c r="C506" s="29" t="n">
        <f aca="false">B506^2</f>
        <v>3.19757477492917E-005</v>
      </c>
      <c r="D506" s="29" t="n">
        <f aca="false">$B$4*D505+(1-$B$4)*C505</f>
        <v>0.000111906418247507</v>
      </c>
      <c r="E506" s="30" t="n">
        <f aca="false">SQRT(D506)</f>
        <v>0.0105785829980913</v>
      </c>
      <c r="F506" s="31" t="n">
        <f aca="false">E506*SQRT(Parametrlar!$B$6)</f>
        <v>0.167929799018434</v>
      </c>
      <c r="G506" s="31" t="n">
        <f aca="false">STDEV(B487:B506)*SQRT(Parametrlar!$B$6)</f>
        <v>0.160477801253444</v>
      </c>
    </row>
    <row r="507" customFormat="false" ht="15" hidden="false" customHeight="false" outlineLevel="0" collapsed="false">
      <c r="A507" s="19" t="n">
        <f aca="false">Daromadlilik!A502</f>
        <v>45994</v>
      </c>
      <c r="B507" s="28" t="n">
        <f aca="false">Daromadlilik!H502</f>
        <v>-0.00258310251711803</v>
      </c>
      <c r="C507" s="29" t="n">
        <f aca="false">B507^2</f>
        <v>6.6724186139415E-006</v>
      </c>
      <c r="D507" s="29" t="n">
        <f aca="false">$B$4*D506+(1-$B$4)*C506</f>
        <v>0.000107110578017614</v>
      </c>
      <c r="E507" s="30" t="n">
        <f aca="false">SQRT(D507)</f>
        <v>0.0103494240427965</v>
      </c>
      <c r="F507" s="31" t="n">
        <f aca="false">E507*SQRT(Parametrlar!$B$6)</f>
        <v>0.164292013379953</v>
      </c>
      <c r="G507" s="31" t="n">
        <f aca="false">STDEV(B488:B507)*SQRT(Parametrlar!$B$6)</f>
        <v>0.161227426492805</v>
      </c>
    </row>
    <row r="508" customFormat="false" ht="15" hidden="false" customHeight="false" outlineLevel="0" collapsed="false">
      <c r="A508" s="19" t="n">
        <f aca="false">Daromadlilik!A503</f>
        <v>45995</v>
      </c>
      <c r="B508" s="28" t="n">
        <f aca="false">Daromadlilik!H503</f>
        <v>-0.00690225917769337</v>
      </c>
      <c r="C508" s="29" t="n">
        <f aca="false">B508^2</f>
        <v>4.76411817560523E-005</v>
      </c>
      <c r="D508" s="29" t="n">
        <f aca="false">$B$4*D507+(1-$B$4)*C507</f>
        <v>0.000101084288453394</v>
      </c>
      <c r="E508" s="30" t="n">
        <f aca="false">SQRT(D508)</f>
        <v>0.0100540682538659</v>
      </c>
      <c r="F508" s="31" t="n">
        <f aca="false">E508*SQRT(Parametrlar!$B$6)</f>
        <v>0.159603385585191</v>
      </c>
      <c r="G508" s="31" t="n">
        <f aca="false">STDEV(B489:B508)*SQRT(Parametrlar!$B$6)</f>
        <v>0.13262079691176</v>
      </c>
    </row>
    <row r="509" customFormat="false" ht="15" hidden="false" customHeight="false" outlineLevel="0" collapsed="false">
      <c r="A509" s="19" t="n">
        <f aca="false">Daromadlilik!A504</f>
        <v>45996</v>
      </c>
      <c r="B509" s="28" t="n">
        <f aca="false">Daromadlilik!H504</f>
        <v>-0.000322572843776736</v>
      </c>
      <c r="C509" s="29" t="n">
        <f aca="false">B509^2</f>
        <v>1.0405323954221E-007</v>
      </c>
      <c r="D509" s="29" t="n">
        <f aca="false">$B$4*D508+(1-$B$4)*C508</f>
        <v>9.78777020515531E-005</v>
      </c>
      <c r="E509" s="30" t="n">
        <f aca="false">SQRT(D509)</f>
        <v>0.00989331602909526</v>
      </c>
      <c r="F509" s="31" t="n">
        <f aca="false">E509*SQRT(Parametrlar!$B$6)</f>
        <v>0.157051523128531</v>
      </c>
      <c r="G509" s="31" t="n">
        <f aca="false">STDEV(B490:B509)*SQRT(Parametrlar!$B$6)</f>
        <v>0.127694197188961</v>
      </c>
    </row>
    <row r="510" customFormat="false" ht="15" hidden="false" customHeight="false" outlineLevel="0" collapsed="false">
      <c r="A510" s="19" t="n">
        <f aca="false">Daromadlilik!A505</f>
        <v>45999</v>
      </c>
      <c r="B510" s="28" t="n">
        <f aca="false">Daromadlilik!H505</f>
        <v>-0.0185608089619574</v>
      </c>
      <c r="C510" s="29" t="n">
        <f aca="false">B510^2</f>
        <v>0.000344503629322279</v>
      </c>
      <c r="D510" s="29" t="n">
        <f aca="false">$B$4*D509+(1-$B$4)*C509</f>
        <v>9.20112831228325E-005</v>
      </c>
      <c r="E510" s="30" t="n">
        <f aca="false">SQRT(D510)</f>
        <v>0.0095922512020293</v>
      </c>
      <c r="F510" s="31" t="n">
        <f aca="false">E510*SQRT(Parametrlar!$B$6)</f>
        <v>0.152272267162979</v>
      </c>
      <c r="G510" s="31" t="n">
        <f aca="false">STDEV(B491:B510)*SQRT(Parametrlar!$B$6)</f>
        <v>0.131128438003539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15"/>
  </cols>
  <sheetData>
    <row r="1" customFormat="false" ht="16.1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6" t="s">
        <v>101</v>
      </c>
    </row>
    <row r="4" customFormat="false" ht="15" hidden="false" customHeight="false" outlineLevel="0" collapsed="false">
      <c r="A4" s="7" t="s">
        <v>102</v>
      </c>
      <c r="B4" s="7" t="s">
        <v>46</v>
      </c>
      <c r="C4" s="7" t="s">
        <v>47</v>
      </c>
      <c r="D4" s="7" t="s">
        <v>48</v>
      </c>
      <c r="E4" s="7" t="s">
        <v>49</v>
      </c>
    </row>
    <row r="5" customFormat="false" ht="15" hidden="false" customHeight="false" outlineLevel="0" collapsed="false">
      <c r="A5" s="8" t="s">
        <v>103</v>
      </c>
      <c r="B5" s="32" t="n">
        <f aca="false">SLOPE(Daromadlilik!$I$2:$I$505,Daromadlilik!$H$2:$H$505)</f>
        <v>1.19203246361238</v>
      </c>
      <c r="C5" s="32" t="n">
        <f aca="false">SLOPE(Daromadlilik!$J$2:$J$505,Daromadlilik!$H$2:$H$505)</f>
        <v>0.927720729224781</v>
      </c>
      <c r="D5" s="32" t="n">
        <f aca="false">SLOPE(Daromadlilik!$K$2:$K$505,Daromadlilik!$H$2:$H$505)</f>
        <v>0.728731028630591</v>
      </c>
      <c r="E5" s="32" t="n">
        <f aca="false">SLOPE(Daromadlilik!$L$2:$L$505,Daromadlilik!$H$2:$H$505)</f>
        <v>1.32737801943958</v>
      </c>
    </row>
    <row r="6" customFormat="false" ht="15" hidden="false" customHeight="false" outlineLevel="0" collapsed="false">
      <c r="A6" s="8" t="s">
        <v>104</v>
      </c>
      <c r="B6" s="33" t="n">
        <f aca="false">INTERCEPT(Daromadlilik!$I$2:$I$505,Daromadlilik!$H$2:$H$505)</f>
        <v>0.000783920454048381</v>
      </c>
      <c r="C6" s="33" t="n">
        <f aca="false">INTERCEPT(Daromadlilik!$J$2:$J$505,Daromadlilik!$H$2:$H$505)</f>
        <v>0.000658095529261964</v>
      </c>
      <c r="D6" s="33" t="n">
        <f aca="false">INTERCEPT(Daromadlilik!$K$2:$K$505,Daromadlilik!$H$2:$H$505)</f>
        <v>-4.67966388423495E-005</v>
      </c>
      <c r="E6" s="33" t="n">
        <f aca="false">INTERCEPT(Daromadlilik!$L$2:$L$505,Daromadlilik!$H$2:$H$505)</f>
        <v>0.000128938936832721</v>
      </c>
    </row>
    <row r="7" customFormat="false" ht="15" hidden="false" customHeight="false" outlineLevel="0" collapsed="false">
      <c r="A7" s="8" t="s">
        <v>105</v>
      </c>
      <c r="B7" s="25" t="n">
        <f aca="false">CORREL(Daromadlilik!$I$2:$I$505,Daromadlilik!$H$2:$H$505)</f>
        <v>0.800699344963353</v>
      </c>
      <c r="C7" s="25" t="n">
        <f aca="false">CORREL(Daromadlilik!$J$2:$J$505,Daromadlilik!$H$2:$H$505)</f>
        <v>0.753177819950025</v>
      </c>
      <c r="D7" s="25" t="n">
        <f aca="false">CORREL(Daromadlilik!$K$2:$K$505,Daromadlilik!$H$2:$H$505)</f>
        <v>0.718876122325041</v>
      </c>
      <c r="E7" s="25" t="n">
        <f aca="false">CORREL(Daromadlilik!$L$2:$L$505,Daromadlilik!$H$2:$H$505)</f>
        <v>0.713894436295278</v>
      </c>
    </row>
    <row r="8" customFormat="false" ht="15" hidden="false" customHeight="false" outlineLevel="0" collapsed="false">
      <c r="A8" s="8" t="s">
        <v>106</v>
      </c>
      <c r="B8" s="23" t="n">
        <f aca="false">RSQ(Daromadlilik!$I$2:$I$505,Daromadlilik!$H$2:$H$505)</f>
        <v>0.641119441024742</v>
      </c>
      <c r="C8" s="23" t="n">
        <f aca="false">RSQ(Daromadlilik!$J$2:$J$505,Daromadlilik!$H$2:$H$505)</f>
        <v>0.567276828464672</v>
      </c>
      <c r="D8" s="23" t="n">
        <f aca="false">RSQ(Daromadlilik!$K$2:$K$505,Daromadlilik!$H$2:$H$505)</f>
        <v>0.516782879249087</v>
      </c>
      <c r="E8" s="23" t="n">
        <f aca="false">RSQ(Daromadlilik!$L$2:$L$505,Daromadlilik!$H$2:$H$505)</f>
        <v>0.509645266173353</v>
      </c>
    </row>
    <row r="9" customFormat="false" ht="15" hidden="false" customHeight="false" outlineLevel="0" collapsed="false">
      <c r="A9" s="8" t="s">
        <v>107</v>
      </c>
      <c r="B9" s="34" t="n">
        <f aca="false">VAR(Daromadlilik!$I$2:$I$505)*Parametrlar!$B$6</f>
        <v>0.0800377775885874</v>
      </c>
      <c r="C9" s="34" t="n">
        <f aca="false">VAR(Daromadlilik!$J$2:$J$505)*Parametrlar!$B$6</f>
        <v>0.0547894925917632</v>
      </c>
      <c r="D9" s="34" t="n">
        <f aca="false">VAR(Daromadlilik!$K$2:$K$505)*Parametrlar!$B$6</f>
        <v>0.0371094234994202</v>
      </c>
      <c r="E9" s="34" t="n">
        <f aca="false">VAR(Daromadlilik!$L$2:$L$505)*Parametrlar!$B$6</f>
        <v>0.124847269991184</v>
      </c>
    </row>
    <row r="10" customFormat="false" ht="15" hidden="false" customHeight="false" outlineLevel="0" collapsed="false">
      <c r="A10" s="8" t="s">
        <v>108</v>
      </c>
      <c r="B10" s="34" t="n">
        <f aca="false">B5^2*VAR(Daromadlilik!$H$2:$H$505)*Parametrlar!$B$6</f>
        <v>0.0513137752284577</v>
      </c>
      <c r="C10" s="34" t="n">
        <f aca="false">C5^2*VAR(Daromadlilik!$H$2:$H$505)*Parametrlar!$B$6</f>
        <v>0.0310808095906441</v>
      </c>
      <c r="D10" s="34" t="n">
        <f aca="false">D5^2*VAR(Daromadlilik!$H$2:$H$505)*Parametrlar!$B$6</f>
        <v>0.0191775147233041</v>
      </c>
      <c r="E10" s="34" t="n">
        <f aca="false">E5^2*VAR(Daromadlilik!$H$2:$H$505)*Parametrlar!$B$6</f>
        <v>0.0636278201456732</v>
      </c>
    </row>
    <row r="11" customFormat="false" ht="15" hidden="false" customHeight="false" outlineLevel="0" collapsed="false">
      <c r="A11" s="8" t="s">
        <v>109</v>
      </c>
      <c r="B11" s="34" t="n">
        <f aca="false">B9-B10</f>
        <v>0.0287240023601297</v>
      </c>
      <c r="C11" s="34" t="n">
        <f aca="false">C9-C10</f>
        <v>0.0237086830011191</v>
      </c>
      <c r="D11" s="34" t="n">
        <f aca="false">D9-D10</f>
        <v>0.0179319087761161</v>
      </c>
      <c r="E11" s="34" t="n">
        <f aca="false">E9-E10</f>
        <v>0.0612194498455105</v>
      </c>
    </row>
    <row r="12" customFormat="false" ht="15" hidden="false" customHeight="false" outlineLevel="0" collapsed="false">
      <c r="A12" s="8" t="s">
        <v>110</v>
      </c>
      <c r="B12" s="24" t="n">
        <f aca="false">B10/B9</f>
        <v>0.641119441024741</v>
      </c>
      <c r="C12" s="24" t="n">
        <f aca="false">C10/C9</f>
        <v>0.567276828464672</v>
      </c>
      <c r="D12" s="24" t="n">
        <f aca="false">D10/D9</f>
        <v>0.516782879249088</v>
      </c>
      <c r="E12" s="24" t="n">
        <f aca="false">E10/E9</f>
        <v>0.509645266173352</v>
      </c>
    </row>
    <row r="13" customFormat="false" ht="15" hidden="false" customHeight="false" outlineLevel="0" collapsed="false">
      <c r="A13" s="8" t="s">
        <v>111</v>
      </c>
      <c r="B13" s="23" t="n">
        <f aca="false">B11/B9</f>
        <v>0.358880558975259</v>
      </c>
      <c r="C13" s="23" t="n">
        <f aca="false">C11/C9</f>
        <v>0.432723171535328</v>
      </c>
      <c r="D13" s="23" t="n">
        <f aca="false">D11/D9</f>
        <v>0.483217120750912</v>
      </c>
      <c r="E13" s="23" t="n">
        <f aca="false">E11/E9</f>
        <v>0.490354733826648</v>
      </c>
    </row>
    <row r="14" customFormat="false" ht="15" hidden="false" customHeight="false" outlineLevel="0" collapsed="false">
      <c r="A14" s="8" t="s">
        <v>112</v>
      </c>
      <c r="B14" s="23" t="n">
        <f aca="false">SQRT(B9)</f>
        <v>0.282909486565204</v>
      </c>
      <c r="C14" s="23" t="n">
        <f aca="false">SQRT(C9)</f>
        <v>0.234071554426767</v>
      </c>
      <c r="D14" s="23" t="n">
        <f aca="false">SQRT(D9)</f>
        <v>0.192638063475057</v>
      </c>
      <c r="E14" s="23" t="n">
        <f aca="false">SQRT(E9)</f>
        <v>0.353337331725907</v>
      </c>
    </row>
    <row r="15" customFormat="false" ht="15" hidden="false" customHeight="false" outlineLevel="0" collapsed="false">
      <c r="A15" s="8" t="s">
        <v>113</v>
      </c>
      <c r="B15" s="23" t="n">
        <f aca="false">B5*SQRT(VAR(Daromadlilik!$H$2:$H$505)*Parametrlar!$B$6)</f>
        <v>0.226525440576677</v>
      </c>
      <c r="C15" s="23" t="n">
        <f aca="false">C5*SQRT(VAR(Daromadlilik!$H$2:$H$505)*Parametrlar!$B$6)</f>
        <v>0.176297503075466</v>
      </c>
      <c r="D15" s="23" t="n">
        <f aca="false">D5*SQRT(VAR(Daromadlilik!$H$2:$H$505)*Parametrlar!$B$6)</f>
        <v>0.138482904083154</v>
      </c>
      <c r="E15" s="23" t="n">
        <f aca="false">E5*SQRT(VAR(Daromadlilik!$H$2:$H$505)*Parametrlar!$B$6)</f>
        <v>0.252245555254544</v>
      </c>
    </row>
    <row r="16" customFormat="false" ht="15" hidden="false" customHeight="false" outlineLevel="0" collapsed="false">
      <c r="A16" s="8" t="s">
        <v>114</v>
      </c>
      <c r="B16" s="24" t="n">
        <f aca="false">Parametrlar!$B$4+B5*(Parametrlar!$B$5-Parametrlar!$B$4)</f>
        <v>0.235362597088991</v>
      </c>
      <c r="C16" s="24" t="n">
        <f aca="false">Parametrlar!$B$4+C5*(Parametrlar!$B$5-Parametrlar!$B$4)</f>
        <v>0.214217658337983</v>
      </c>
      <c r="D16" s="24" t="n">
        <f aca="false">Parametrlar!$B$4+D5*(Parametrlar!$B$5-Parametrlar!$B$4)</f>
        <v>0.198298482290447</v>
      </c>
      <c r="E16" s="24" t="n">
        <f aca="false">Parametrlar!$B$4+E5*(Parametrlar!$B$5-Parametrlar!$B$4)</f>
        <v>0.246190241555166</v>
      </c>
    </row>
    <row r="17" customFormat="false" ht="15" hidden="false" customHeight="false" outlineLevel="0" collapsed="false">
      <c r="A17" s="8" t="s">
        <v>115</v>
      </c>
      <c r="B17" s="23" t="n">
        <f aca="false">AVERAGE(Daromadlilik!$I$2:$I$505)*Parametrlar!$B$6</f>
        <v>0.314613567396855</v>
      </c>
      <c r="C17" s="23" t="n">
        <f aca="false">AVERAGE(Daromadlilik!$J$2:$J$505)*Parametrlar!$B$6</f>
        <v>0.256948494623498</v>
      </c>
      <c r="D17" s="23" t="n">
        <f aca="false">AVERAGE(Daromadlilik!$K$2:$K$505)*Parametrlar!$B$6</f>
        <v>0.0597735400162233</v>
      </c>
      <c r="E17" s="23" t="n">
        <f aca="false">AVERAGE(Daromadlilik!$L$2:$L$505)*Parametrlar!$B$6</f>
        <v>0.162850069819651</v>
      </c>
    </row>
    <row r="18" customFormat="false" ht="15" hidden="false" customHeight="false" outlineLevel="0" collapsed="false">
      <c r="A18" s="8" t="s">
        <v>116</v>
      </c>
      <c r="B18" s="23" t="n">
        <f aca="false">B17-B16</f>
        <v>0.0792509703078643</v>
      </c>
      <c r="C18" s="23" t="n">
        <f aca="false">C17-C16</f>
        <v>0.0427308362855153</v>
      </c>
      <c r="D18" s="23" t="n">
        <f aca="false">D17-D16</f>
        <v>-0.138524942274224</v>
      </c>
      <c r="E18" s="23" t="n">
        <f aca="false">E17-E16</f>
        <v>-0.0833401717355154</v>
      </c>
    </row>
    <row r="20" customFormat="false" ht="15" hidden="false" customHeight="false" outlineLevel="0" collapsed="false">
      <c r="A20" s="8" t="s">
        <v>117</v>
      </c>
      <c r="B20" s="32" t="n">
        <f aca="false">SUMPRODUCT(Parametrlar!$B$14:$E$14,B5:E5)</f>
        <v>1.03719828243547</v>
      </c>
    </row>
    <row r="21" customFormat="false" ht="15" hidden="false" customHeight="false" outlineLevel="0" collapsed="false">
      <c r="A21" s="8" t="s">
        <v>118</v>
      </c>
      <c r="B21" s="35" t="n">
        <f aca="false">Parametrlar!$B$4</f>
        <v>0.14</v>
      </c>
      <c r="C21" s="35" t="n">
        <f aca="false">Parametrlar!$B$5</f>
        <v>0.22</v>
      </c>
    </row>
    <row r="23" customFormat="false" ht="15" hidden="false" customHeight="false" outlineLevel="0" collapsed="false">
      <c r="A23" s="10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17"/>
    <col collapsed="false" customWidth="true" hidden="false" outlineLevel="0" max="9" min="9" style="0" width="10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6" min="12" style="0" width="11"/>
  </cols>
  <sheetData>
    <row r="1" customFormat="false" ht="16.1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6" t="s">
        <v>121</v>
      </c>
    </row>
    <row r="3" customFormat="false" ht="15" hidden="false" customHeight="false" outlineLevel="0" collapsed="false">
      <c r="K3" s="36" t="s">
        <v>122</v>
      </c>
    </row>
    <row r="4" customFormat="false" ht="23.85" hidden="false" customHeight="false" outlineLevel="0" collapsed="false">
      <c r="A4" s="7" t="s">
        <v>123</v>
      </c>
      <c r="B4" s="7" t="s">
        <v>124</v>
      </c>
      <c r="C4" s="7" t="s">
        <v>125</v>
      </c>
      <c r="D4" s="7" t="s">
        <v>126</v>
      </c>
      <c r="F4" s="7" t="s">
        <v>127</v>
      </c>
      <c r="G4" s="7" t="s">
        <v>128</v>
      </c>
      <c r="H4" s="7" t="s">
        <v>129</v>
      </c>
      <c r="I4" s="7" t="s">
        <v>130</v>
      </c>
      <c r="K4" s="7" t="s">
        <v>26</v>
      </c>
      <c r="L4" s="7" t="s">
        <v>27</v>
      </c>
    </row>
    <row r="5" customFormat="false" ht="15" hidden="false" customHeight="false" outlineLevel="0" collapsed="false">
      <c r="A5" s="36" t="s">
        <v>46</v>
      </c>
      <c r="B5" s="35" t="n">
        <f aca="false">Parametrlar!$B$14</f>
        <v>0.3</v>
      </c>
      <c r="C5" s="23" t="n">
        <f aca="false">AVERAGE(Daromadlilik!$C$2:$C$505)*Parametrlar!$B$6</f>
        <v>0.354856084825149</v>
      </c>
      <c r="D5" s="23" t="n">
        <f aca="false">STDEV(Daromadlilik!$C$2:$C$505)*SQRT(Parametrlar!$B$6)</f>
        <v>0.283918056077873</v>
      </c>
      <c r="F5" s="36" t="s">
        <v>46</v>
      </c>
      <c r="G5" s="23" t="n">
        <f aca="false">SUMPRODUCT(Parametrlar!$B$14:$E$14,B17:E17)/$B$31</f>
        <v>0.248934519815888</v>
      </c>
      <c r="H5" s="23" t="n">
        <f aca="false">B5*G5</f>
        <v>0.0746803559447663</v>
      </c>
      <c r="I5" s="24" t="n">
        <f aca="false">H5/$B$31</f>
        <v>0.344407925428421</v>
      </c>
      <c r="K5" s="8" t="s">
        <v>131</v>
      </c>
      <c r="L5" s="9" t="n">
        <v>0.18</v>
      </c>
    </row>
    <row r="6" customFormat="false" ht="15" hidden="false" customHeight="false" outlineLevel="0" collapsed="false">
      <c r="A6" s="36" t="s">
        <v>47</v>
      </c>
      <c r="B6" s="35" t="n">
        <f aca="false">Parametrlar!$C$14</f>
        <v>0.25</v>
      </c>
      <c r="C6" s="23" t="n">
        <f aca="false">AVERAGE(Daromadlilik!$D$2:$D$505)*Parametrlar!$B$6</f>
        <v>0.284475322849194</v>
      </c>
      <c r="D6" s="23" t="n">
        <f aca="false">STDEV(Daromadlilik!$D$2:$D$505)*SQRT(Parametrlar!$B$6)</f>
        <v>0.234696125807828</v>
      </c>
      <c r="F6" s="36" t="s">
        <v>47</v>
      </c>
      <c r="G6" s="23" t="n">
        <f aca="false">SUMPRODUCT(Parametrlar!$B$14:$E$14,B18:E18)/$B$31</f>
        <v>0.189850743121007</v>
      </c>
      <c r="H6" s="23" t="n">
        <f aca="false">B6*G6</f>
        <v>0.0474626857802518</v>
      </c>
      <c r="I6" s="24" t="n">
        <f aca="false">H6/$B$31</f>
        <v>0.218886545705908</v>
      </c>
      <c r="K6" s="8" t="s">
        <v>132</v>
      </c>
      <c r="L6" s="9" t="n">
        <v>0.3</v>
      </c>
    </row>
    <row r="7" customFormat="false" ht="15" hidden="false" customHeight="false" outlineLevel="0" collapsed="false">
      <c r="A7" s="36" t="s">
        <v>48</v>
      </c>
      <c r="B7" s="35" t="n">
        <f aca="false">Parametrlar!$D$14</f>
        <v>0.25</v>
      </c>
      <c r="C7" s="23" t="n">
        <f aca="false">AVERAGE(Daromadlilik!$E$2:$E$505)*Parametrlar!$B$6</f>
        <v>0.0783177733870387</v>
      </c>
      <c r="D7" s="23" t="n">
        <f aca="false">STDEV(Daromadlilik!$E$2:$E$505)*SQRT(Parametrlar!$B$6)</f>
        <v>0.192933700304531</v>
      </c>
      <c r="F7" s="36" t="s">
        <v>48</v>
      </c>
      <c r="G7" s="23" t="n">
        <f aca="false">SUMPRODUCT(Parametrlar!$B$14:$E$14,B19:E19)/$B$31</f>
        <v>0.14756846560641</v>
      </c>
      <c r="H7" s="23" t="n">
        <f aca="false">B7*G7</f>
        <v>0.0368921164016026</v>
      </c>
      <c r="I7" s="24" t="n">
        <f aca="false">H7/$B$31</f>
        <v>0.170137610001981</v>
      </c>
      <c r="K7" s="8" t="s">
        <v>133</v>
      </c>
      <c r="L7" s="9" t="n">
        <v>0.12</v>
      </c>
    </row>
    <row r="8" customFormat="false" ht="15" hidden="false" customHeight="false" outlineLevel="0" collapsed="false">
      <c r="A8" s="36" t="s">
        <v>49</v>
      </c>
      <c r="B8" s="35" t="n">
        <f aca="false">Parametrlar!$E$14</f>
        <v>0.2</v>
      </c>
      <c r="C8" s="23" t="n">
        <f aca="false">AVERAGE(Daromadlilik!$F$2:$F$505)*Parametrlar!$B$6</f>
        <v>0.225346505472737</v>
      </c>
      <c r="D8" s="23" t="n">
        <f aca="false">STDEV(Daromadlilik!$F$2:$F$505)*SQRT(Parametrlar!$B$6)</f>
        <v>0.354538296963362</v>
      </c>
      <c r="F8" s="36" t="s">
        <v>49</v>
      </c>
      <c r="G8" s="23" t="n">
        <f aca="false">SUMPRODUCT(Parametrlar!$B$14:$E$14,B20:E20)/$B$31</f>
        <v>0.289008840888787</v>
      </c>
      <c r="H8" s="23" t="n">
        <f aca="false">B8*G8</f>
        <v>0.0578017681777574</v>
      </c>
      <c r="I8" s="24" t="n">
        <f aca="false">H8/$B$31</f>
        <v>0.26656791886369</v>
      </c>
      <c r="K8" s="8" t="s">
        <v>134</v>
      </c>
      <c r="L8" s="9" t="n">
        <v>0.18</v>
      </c>
    </row>
    <row r="9" customFormat="false" ht="15" hidden="false" customHeight="false" outlineLevel="0" collapsed="false">
      <c r="F9" s="36" t="s">
        <v>50</v>
      </c>
      <c r="H9" s="23" t="n">
        <f aca="false">SUM(H5:H8)</f>
        <v>0.216836926304378</v>
      </c>
      <c r="I9" s="23" t="n">
        <f aca="false">SUM(I5:I8)</f>
        <v>1</v>
      </c>
      <c r="K9" s="8" t="s">
        <v>135</v>
      </c>
      <c r="L9" s="13" t="n">
        <v>0.3</v>
      </c>
    </row>
    <row r="10" customFormat="false" ht="15" hidden="false" customHeight="false" outlineLevel="0" collapsed="false">
      <c r="A10" s="7" t="s">
        <v>136</v>
      </c>
      <c r="B10" s="7" t="s">
        <v>46</v>
      </c>
      <c r="C10" s="7" t="s">
        <v>47</v>
      </c>
      <c r="D10" s="7" t="s">
        <v>48</v>
      </c>
      <c r="E10" s="7" t="s">
        <v>49</v>
      </c>
      <c r="K10" s="8" t="s">
        <v>137</v>
      </c>
      <c r="L10" s="24" t="n">
        <f aca="false">(L8^2-L9*L6*L8)/(L6^2+L8^2-2*L9*L6*L8)</f>
        <v>0.18</v>
      </c>
    </row>
    <row r="11" customFormat="false" ht="15" hidden="false" customHeight="false" outlineLevel="0" collapsed="false">
      <c r="A11" s="36" t="s">
        <v>46</v>
      </c>
      <c r="B11" s="25" t="n">
        <f aca="false">CORREL(Daromadlilik!$C$2:$C$505,Daromadlilik!$C$2:$C$505)</f>
        <v>1</v>
      </c>
      <c r="C11" s="25" t="n">
        <f aca="false">CORREL(Daromadlilik!$C$2:$C$505,Daromadlilik!$D$2:$D$505)</f>
        <v>0.602318945811207</v>
      </c>
      <c r="D11" s="25" t="n">
        <f aca="false">CORREL(Daromadlilik!$C$2:$C$505,Daromadlilik!$E$2:$E$505)</f>
        <v>0.580148101285147</v>
      </c>
      <c r="E11" s="25" t="n">
        <f aca="false">CORREL(Daromadlilik!$C$2:$C$505,Daromadlilik!$F$2:$F$505)</f>
        <v>0.586967608459756</v>
      </c>
      <c r="K11" s="8" t="s">
        <v>138</v>
      </c>
      <c r="L11" s="24" t="n">
        <f aca="false">SQRT(L10^2*L6^2+(1-L10)^2*L8^2+2*L10*(1-L10)*L9*L6*L8)</f>
        <v>0.17170905625505</v>
      </c>
    </row>
    <row r="12" customFormat="false" ht="15" hidden="false" customHeight="false" outlineLevel="0" collapsed="false">
      <c r="A12" s="36" t="s">
        <v>47</v>
      </c>
      <c r="B12" s="25" t="n">
        <f aca="false">CORREL(Daromadlilik!$D$2:$D$505,Daromadlilik!$C$2:$C$505)</f>
        <v>0.602318945811207</v>
      </c>
      <c r="C12" s="25" t="n">
        <f aca="false">CORREL(Daromadlilik!$D$2:$D$505,Daromadlilik!$D$2:$D$505)</f>
        <v>1</v>
      </c>
      <c r="D12" s="25" t="n">
        <f aca="false">CORREL(Daromadlilik!$D$2:$D$505,Daromadlilik!$E$2:$E$505)</f>
        <v>0.559698463626349</v>
      </c>
      <c r="E12" s="25" t="n">
        <f aca="false">CORREL(Daromadlilik!$D$2:$D$505,Daromadlilik!$F$2:$F$505)</f>
        <v>0.541987710372198</v>
      </c>
      <c r="K12" s="8" t="s">
        <v>139</v>
      </c>
      <c r="L12" s="23" t="n">
        <f aca="false">L10*L5+(1-L10)*L7</f>
        <v>0.1308</v>
      </c>
    </row>
    <row r="13" customFormat="false" ht="15" hidden="false" customHeight="false" outlineLevel="0" collapsed="false">
      <c r="A13" s="36" t="s">
        <v>48</v>
      </c>
      <c r="B13" s="25" t="n">
        <f aca="false">CORREL(Daromadlilik!$E$2:$E$505,Daromadlilik!$C$2:$C$505)</f>
        <v>0.580148101285147</v>
      </c>
      <c r="C13" s="25" t="n">
        <f aca="false">CORREL(Daromadlilik!$E$2:$E$505,Daromadlilik!$D$2:$D$505)</f>
        <v>0.559698463626349</v>
      </c>
      <c r="D13" s="25" t="n">
        <f aca="false">CORREL(Daromadlilik!$E$2:$E$505,Daromadlilik!$E$2:$E$505)</f>
        <v>1</v>
      </c>
      <c r="E13" s="25" t="n">
        <f aca="false">CORREL(Daromadlilik!$E$2:$E$505,Daromadlilik!$F$2:$F$505)</f>
        <v>0.498728752192977</v>
      </c>
    </row>
    <row r="14" customFormat="false" ht="15" hidden="false" customHeight="false" outlineLevel="0" collapsed="false">
      <c r="A14" s="36" t="s">
        <v>49</v>
      </c>
      <c r="B14" s="25" t="n">
        <f aca="false">CORREL(Daromadlilik!$F$2:$F$505,Daromadlilik!$C$2:$C$505)</f>
        <v>0.586967608459756</v>
      </c>
      <c r="C14" s="25" t="n">
        <f aca="false">CORREL(Daromadlilik!$F$2:$F$505,Daromadlilik!$D$2:$D$505)</f>
        <v>0.541987710372198</v>
      </c>
      <c r="D14" s="25" t="n">
        <f aca="false">CORREL(Daromadlilik!$F$2:$F$505,Daromadlilik!$E$2:$E$505)</f>
        <v>0.498728752192977</v>
      </c>
      <c r="E14" s="25" t="n">
        <f aca="false">CORREL(Daromadlilik!$F$2:$F$505,Daromadlilik!$F$2:$F$505)</f>
        <v>1</v>
      </c>
      <c r="K14" s="7" t="s">
        <v>140</v>
      </c>
      <c r="L14" s="7" t="s">
        <v>141</v>
      </c>
      <c r="M14" s="7" t="s">
        <v>142</v>
      </c>
      <c r="N14" s="7" t="s">
        <v>143</v>
      </c>
      <c r="O14" s="7" t="s">
        <v>144</v>
      </c>
      <c r="P14" s="7" t="s">
        <v>145</v>
      </c>
    </row>
    <row r="15" customFormat="false" ht="15" hidden="false" customHeight="false" outlineLevel="0" collapsed="false">
      <c r="K15" s="37" t="n">
        <v>0</v>
      </c>
      <c r="L15" s="23" t="n">
        <f aca="false">K15*$L$5+(1-K15)*$L$7</f>
        <v>0.12</v>
      </c>
      <c r="M15" s="23" t="n">
        <f aca="false">SQRT(MAX(0,K15^2*$L$6^2+(1-K15)^2*$L$8^2+2*K15*(1-K15)*$L$9*$L$6*$L$8))</f>
        <v>0.18</v>
      </c>
      <c r="N15" s="23" t="n">
        <f aca="false">SQRT(MAX(0,K15^2*$L$6^2+(1-K15)^2*$L$8^2+2*K15*(1-K15)*-1*$L$6*$L$8))</f>
        <v>0.18</v>
      </c>
      <c r="O15" s="23" t="n">
        <f aca="false">SQRT(MAX(0,K15^2*$L$6^2+(1-K15)^2*$L$8^2+2*K15*(1-K15)*0*$L$6*$L$8))</f>
        <v>0.18</v>
      </c>
      <c r="P15" s="23" t="n">
        <f aca="false">SQRT(MAX(0,K15^2*$L$6^2+(1-K15)^2*$L$8^2+2*K15*(1-K15)*1*$L$6*$L$8))</f>
        <v>0.18</v>
      </c>
    </row>
    <row r="16" customFormat="false" ht="15" hidden="false" customHeight="false" outlineLevel="0" collapsed="false">
      <c r="A16" s="7" t="s">
        <v>146</v>
      </c>
      <c r="B16" s="7" t="s">
        <v>46</v>
      </c>
      <c r="C16" s="7" t="s">
        <v>47</v>
      </c>
      <c r="D16" s="7" t="s">
        <v>48</v>
      </c>
      <c r="E16" s="7" t="s">
        <v>49</v>
      </c>
      <c r="K16" s="37" t="n">
        <v>0.1</v>
      </c>
      <c r="L16" s="23" t="n">
        <f aca="false">K16*$L$5+(1-K16)*$L$7</f>
        <v>0.126</v>
      </c>
      <c r="M16" s="23" t="n">
        <f aca="false">SQRT(MAX(0,K16^2*$L$6^2+(1-K16)^2*$L$8^2+2*K16*(1-K16)*$L$9*$L$6*$L$8))</f>
        <v>0.173378199321599</v>
      </c>
      <c r="N16" s="23" t="n">
        <f aca="false">SQRT(MAX(0,K16^2*$L$6^2+(1-K16)^2*$L$8^2+2*K16*(1-K16)*-1*$L$6*$L$8))</f>
        <v>0.132</v>
      </c>
      <c r="O16" s="23" t="n">
        <f aca="false">SQRT(MAX(0,K16^2*$L$6^2+(1-K16)^2*$L$8^2+2*K16*(1-K16)*0*$L$6*$L$8))</f>
        <v>0.164754362612952</v>
      </c>
      <c r="P16" s="23" t="n">
        <f aca="false">SQRT(MAX(0,K16^2*$L$6^2+(1-K16)^2*$L$8^2+2*K16*(1-K16)*1*$L$6*$L$8))</f>
        <v>0.192</v>
      </c>
    </row>
    <row r="17" customFormat="false" ht="15" hidden="false" customHeight="false" outlineLevel="0" collapsed="false">
      <c r="A17" s="36" t="s">
        <v>46</v>
      </c>
      <c r="B17" s="38" t="n">
        <f aca="false">B11*$D$5*INDEX($D$5:$D$8,1)</f>
        <v>0.0806094625670382</v>
      </c>
      <c r="C17" s="38" t="n">
        <f aca="false">C11*$D$5*INDEX($D$5:$D$8,2)</f>
        <v>0.040135202405026</v>
      </c>
      <c r="D17" s="38" t="n">
        <f aca="false">D11*$D$5*INDEX($D$5:$D$8,3)</f>
        <v>0.0317789820601587</v>
      </c>
      <c r="E17" s="38" t="n">
        <f aca="false">E11*$D$5*INDEX($D$5:$D$8,4)</f>
        <v>0.0590840562076289</v>
      </c>
      <c r="K17" s="37" t="n">
        <v>0.2</v>
      </c>
      <c r="L17" s="23" t="n">
        <f aca="false">K17*$L$5+(1-K17)*$L$7</f>
        <v>0.132</v>
      </c>
      <c r="M17" s="23" t="n">
        <f aca="false">SQRT(MAX(0,K17^2*$L$6^2+(1-K17)^2*$L$8^2+2*K17*(1-K17)*$L$9*$L$6*$L$8))</f>
        <v>0.171813852759316</v>
      </c>
      <c r="N17" s="23" t="n">
        <f aca="false">SQRT(MAX(0,K17^2*$L$6^2+(1-K17)^2*$L$8^2+2*K17*(1-K17)*-1*$L$6*$L$8))</f>
        <v>0.084</v>
      </c>
      <c r="O17" s="23" t="n">
        <f aca="false">SQRT(MAX(0,K17^2*$L$6^2+(1-K17)^2*$L$8^2+2*K17*(1-K17)*0*$L$6*$L$8))</f>
        <v>0.156</v>
      </c>
      <c r="P17" s="23" t="n">
        <f aca="false">SQRT(MAX(0,K17^2*$L$6^2+(1-K17)^2*$L$8^2+2*K17*(1-K17)*1*$L$6*$L$8))</f>
        <v>0.204</v>
      </c>
    </row>
    <row r="18" customFormat="false" ht="15" hidden="false" customHeight="false" outlineLevel="0" collapsed="false">
      <c r="A18" s="36" t="s">
        <v>47</v>
      </c>
      <c r="B18" s="38" t="n">
        <f aca="false">B12*$D$6*INDEX($D$5:$D$8,1)</f>
        <v>0.040135202405026</v>
      </c>
      <c r="C18" s="38" t="n">
        <f aca="false">C12*$D$6*INDEX($D$5:$D$8,2)</f>
        <v>0.0550822714692038</v>
      </c>
      <c r="D18" s="38" t="n">
        <f aca="false">D12*$D$6*INDEX($D$5:$D$8,3)</f>
        <v>0.02534358971376</v>
      </c>
      <c r="E18" s="38" t="n">
        <f aca="false">E12*$D$6*INDEX($D$5:$D$8,4)</f>
        <v>0.0450981278885625</v>
      </c>
      <c r="K18" s="37" t="n">
        <v>0.3</v>
      </c>
      <c r="L18" s="23" t="n">
        <f aca="false">K18*$L$5+(1-K18)*$L$7</f>
        <v>0.138</v>
      </c>
      <c r="M18" s="23" t="n">
        <f aca="false">SQRT(MAX(0,K18^2*$L$6^2+(1-K18)^2*$L$8^2+2*K18*(1-K18)*$L$9*$L$6*$L$8))</f>
        <v>0.175442298206561</v>
      </c>
      <c r="N18" s="23" t="n">
        <f aca="false">SQRT(MAX(0,K18^2*$L$6^2+(1-K18)^2*$L$8^2+2*K18*(1-K18)*-1*$L$6*$L$8))</f>
        <v>0.036</v>
      </c>
      <c r="O18" s="23" t="n">
        <f aca="false">SQRT(MAX(0,K18^2*$L$6^2+(1-K18)^2*$L$8^2+2*K18*(1-K18)*0*$L$6*$L$8))</f>
        <v>0.154841854806767</v>
      </c>
      <c r="P18" s="23" t="n">
        <f aca="false">SQRT(MAX(0,K18^2*$L$6^2+(1-K18)^2*$L$8^2+2*K18*(1-K18)*1*$L$6*$L$8))</f>
        <v>0.216</v>
      </c>
    </row>
    <row r="19" customFormat="false" ht="15" hidden="false" customHeight="false" outlineLevel="0" collapsed="false">
      <c r="A19" s="36" t="s">
        <v>48</v>
      </c>
      <c r="B19" s="38" t="n">
        <f aca="false">B13*$D$7*INDEX($D$5:$D$8,1)</f>
        <v>0.0317789820601587</v>
      </c>
      <c r="C19" s="38" t="n">
        <f aca="false">C13*$D$7*INDEX($D$5:$D$8,2)</f>
        <v>0.02534358971376</v>
      </c>
      <c r="D19" s="38" t="n">
        <f aca="false">D13*$D$7*INDEX($D$5:$D$8,3)</f>
        <v>0.0372234127131987</v>
      </c>
      <c r="E19" s="38" t="n">
        <f aca="false">E13*$D$7*INDEX($D$5:$D$8,4)</f>
        <v>0.0341142363838004</v>
      </c>
      <c r="K19" s="37" t="n">
        <v>0.4</v>
      </c>
      <c r="L19" s="23" t="n">
        <f aca="false">K19*$L$5+(1-K19)*$L$7</f>
        <v>0.144</v>
      </c>
      <c r="M19" s="23" t="n">
        <f aca="false">SQRT(MAX(0,K19^2*$L$6^2+(1-K19)^2*$L$8^2+2*K19*(1-K19)*$L$9*$L$6*$L$8))</f>
        <v>0.183956516601071</v>
      </c>
      <c r="N19" s="23" t="n">
        <f aca="false">SQRT(MAX(0,K19^2*$L$6^2+(1-K19)^2*$L$8^2+2*K19*(1-K19)*-1*$L$6*$L$8))</f>
        <v>0.0120000000000002</v>
      </c>
      <c r="O19" s="23" t="n">
        <f aca="false">SQRT(MAX(0,K19^2*$L$6^2+(1-K19)^2*$L$8^2+2*K19*(1-K19)*0*$L$6*$L$8))</f>
        <v>0.161443488564885</v>
      </c>
      <c r="P19" s="23" t="n">
        <f aca="false">SQRT(MAX(0,K19^2*$L$6^2+(1-K19)^2*$L$8^2+2*K19*(1-K19)*1*$L$6*$L$8))</f>
        <v>0.228</v>
      </c>
    </row>
    <row r="20" customFormat="false" ht="15" hidden="false" customHeight="false" outlineLevel="0" collapsed="false">
      <c r="A20" s="36" t="s">
        <v>49</v>
      </c>
      <c r="B20" s="38" t="n">
        <f aca="false">B14*$D$8*INDEX($D$5:$D$8,1)</f>
        <v>0.0590840562076289</v>
      </c>
      <c r="C20" s="38" t="n">
        <f aca="false">C14*$D$8*INDEX($D$5:$D$8,2)</f>
        <v>0.0450981278885624</v>
      </c>
      <c r="D20" s="38" t="n">
        <f aca="false">D14*$D$8*INDEX($D$5:$D$8,3)</f>
        <v>0.0341142363838004</v>
      </c>
      <c r="E20" s="38" t="n">
        <f aca="false">E14*$D$8*INDEX($D$5:$D$8,4)</f>
        <v>0.125697404013681</v>
      </c>
      <c r="K20" s="37" t="n">
        <v>0.5</v>
      </c>
      <c r="L20" s="23" t="n">
        <f aca="false">K20*$L$5+(1-K20)*$L$7</f>
        <v>0.15</v>
      </c>
      <c r="M20" s="23" t="n">
        <f aca="false">SQRT(MAX(0,K20^2*$L$6^2+(1-K20)^2*$L$8^2+2*K20*(1-K20)*$L$9*$L$6*$L$8))</f>
        <v>0.19672315572906</v>
      </c>
      <c r="N20" s="23" t="n">
        <f aca="false">SQRT(MAX(0,K20^2*$L$6^2+(1-K20)^2*$L$8^2+2*K20*(1-K20)*-1*$L$6*$L$8))</f>
        <v>0.06</v>
      </c>
      <c r="O20" s="23" t="n">
        <f aca="false">SQRT(MAX(0,K20^2*$L$6^2+(1-K20)^2*$L$8^2+2*K20*(1-K20)*0*$L$6*$L$8))</f>
        <v>0.174928556845359</v>
      </c>
      <c r="P20" s="23" t="n">
        <f aca="false">SQRT(MAX(0,K20^2*$L$6^2+(1-K20)^2*$L$8^2+2*K20*(1-K20)*1*$L$6*$L$8))</f>
        <v>0.24</v>
      </c>
    </row>
    <row r="21" customFormat="false" ht="15" hidden="false" customHeight="false" outlineLevel="0" collapsed="false">
      <c r="K21" s="37" t="n">
        <v>0.6</v>
      </c>
      <c r="L21" s="23" t="n">
        <f aca="false">K21*$L$5+(1-K21)*$L$7</f>
        <v>0.156</v>
      </c>
      <c r="M21" s="23" t="n">
        <f aca="false">SQRT(MAX(0,K21^2*$L$6^2+(1-K21)^2*$L$8^2+2*K21*(1-K21)*$L$9*$L$6*$L$8))</f>
        <v>0.212978872191586</v>
      </c>
      <c r="N21" s="23" t="n">
        <f aca="false">SQRT(MAX(0,K21^2*$L$6^2+(1-K21)^2*$L$8^2+2*K21*(1-K21)*-1*$L$6*$L$8))</f>
        <v>0.108</v>
      </c>
      <c r="O21" s="23" t="n">
        <f aca="false">SQRT(MAX(0,K21^2*$L$6^2+(1-K21)^2*$L$8^2+2*K21*(1-K21)*0*$L$6*$L$8))</f>
        <v>0.193865933056842</v>
      </c>
      <c r="P21" s="23" t="n">
        <f aca="false">SQRT(MAX(0,K21^2*$L$6^2+(1-K21)^2*$L$8^2+2*K21*(1-K21)*1*$L$6*$L$8))</f>
        <v>0.252</v>
      </c>
    </row>
    <row r="22" customFormat="false" ht="15" hidden="false" customHeight="false" outlineLevel="0" collapsed="false">
      <c r="A22" s="7" t="s">
        <v>147</v>
      </c>
      <c r="B22" s="7" t="s">
        <v>46</v>
      </c>
      <c r="C22" s="7" t="s">
        <v>47</v>
      </c>
      <c r="D22" s="7" t="s">
        <v>48</v>
      </c>
      <c r="E22" s="7" t="s">
        <v>49</v>
      </c>
      <c r="K22" s="37" t="n">
        <v>0.7</v>
      </c>
      <c r="L22" s="23" t="n">
        <f aca="false">K22*$L$5+(1-K22)*$L$7</f>
        <v>0.162</v>
      </c>
      <c r="M22" s="23" t="n">
        <f aca="false">SQRT(MAX(0,K22^2*$L$6^2+(1-K22)^2*$L$8^2+2*K22*(1-K22)*$L$9*$L$6*$L$8))</f>
        <v>0.231991379150174</v>
      </c>
      <c r="N22" s="23" t="n">
        <f aca="false">SQRT(MAX(0,K22^2*$L$6^2+(1-K22)^2*$L$8^2+2*K22*(1-K22)*-1*$L$6*$L$8))</f>
        <v>0.156</v>
      </c>
      <c r="O22" s="23" t="n">
        <f aca="false">SQRT(MAX(0,K22^2*$L$6^2+(1-K22)^2*$L$8^2+2*K22*(1-K22)*0*$L$6*$L$8))</f>
        <v>0.216831731995112</v>
      </c>
      <c r="P22" s="23" t="n">
        <f aca="false">SQRT(MAX(0,K22^2*$L$6^2+(1-K22)^2*$L$8^2+2*K22*(1-K22)*1*$L$6*$L$8))</f>
        <v>0.264</v>
      </c>
    </row>
    <row r="23" customFormat="false" ht="15" hidden="false" customHeight="false" outlineLevel="0" collapsed="false">
      <c r="A23" s="36" t="s">
        <v>46</v>
      </c>
      <c r="B23" s="38" t="n">
        <f aca="false">$B$5*INDEX($B$5:$B$8,1)*B17</f>
        <v>0.00725485163103343</v>
      </c>
      <c r="C23" s="38" t="n">
        <f aca="false">$B$5*INDEX($B$5:$B$8,2)*C17</f>
        <v>0.00301014018037695</v>
      </c>
      <c r="D23" s="38" t="n">
        <f aca="false">$B$5*INDEX($B$5:$B$8,3)*D17</f>
        <v>0.0023834236545119</v>
      </c>
      <c r="E23" s="38" t="n">
        <f aca="false">$B$5*INDEX($B$5:$B$8,4)*E17</f>
        <v>0.00354504337245773</v>
      </c>
      <c r="K23" s="37" t="n">
        <v>0.8</v>
      </c>
      <c r="L23" s="23" t="n">
        <f aca="false">K23*$L$5+(1-K23)*$L$7</f>
        <v>0.168</v>
      </c>
      <c r="M23" s="23" t="n">
        <f aca="false">SQRT(MAX(0,K23^2*$L$6^2+(1-K23)^2*$L$8^2+2*K23*(1-K23)*$L$9*$L$6*$L$8))</f>
        <v>0.253140277316748</v>
      </c>
      <c r="N23" s="23" t="n">
        <f aca="false">SQRT(MAX(0,K23^2*$L$6^2+(1-K23)^2*$L$8^2+2*K23*(1-K23)*-1*$L$6*$L$8))</f>
        <v>0.204</v>
      </c>
      <c r="O23" s="23" t="n">
        <f aca="false">SQRT(MAX(0,K23^2*$L$6^2+(1-K23)^2*$L$8^2+2*K23*(1-K23)*0*$L$6*$L$8))</f>
        <v>0.24268498099388</v>
      </c>
      <c r="P23" s="23" t="n">
        <f aca="false">SQRT(MAX(0,K23^2*$L$6^2+(1-K23)^2*$L$8^2+2*K23*(1-K23)*1*$L$6*$L$8))</f>
        <v>0.276</v>
      </c>
    </row>
    <row r="24" customFormat="false" ht="15" hidden="false" customHeight="false" outlineLevel="0" collapsed="false">
      <c r="A24" s="36" t="s">
        <v>47</v>
      </c>
      <c r="B24" s="38" t="n">
        <f aca="false">$B$6*INDEX($B$5:$B$8,1)*B18</f>
        <v>0.00301014018037695</v>
      </c>
      <c r="C24" s="38" t="n">
        <f aca="false">$B$6*INDEX($B$5:$B$8,2)*C18</f>
        <v>0.00344264196682524</v>
      </c>
      <c r="D24" s="38" t="n">
        <f aca="false">$B$6*INDEX($B$5:$B$8,3)*D18</f>
        <v>0.00158397435711</v>
      </c>
      <c r="E24" s="38" t="n">
        <f aca="false">$B$6*INDEX($B$5:$B$8,4)*E18</f>
        <v>0.00225490639442812</v>
      </c>
      <c r="K24" s="37" t="n">
        <v>0.9</v>
      </c>
      <c r="L24" s="23" t="n">
        <f aca="false">K24*$L$5+(1-K24)*$L$7</f>
        <v>0.174</v>
      </c>
      <c r="M24" s="23" t="n">
        <f aca="false">SQRT(MAX(0,K24^2*$L$6^2+(1-K24)^2*$L$8^2+2*K24*(1-K24)*$L$9*$L$6*$L$8))</f>
        <v>0.275934774901606</v>
      </c>
      <c r="N24" s="23" t="n">
        <f aca="false">SQRT(MAX(0,K24^2*$L$6^2+(1-K24)^2*$L$8^2+2*K24*(1-K24)*-1*$L$6*$L$8))</f>
        <v>0.252</v>
      </c>
      <c r="O24" s="23" t="n">
        <f aca="false">SQRT(MAX(0,K24^2*$L$6^2+(1-K24)^2*$L$8^2+2*K24*(1-K24)*0*$L$6*$L$8))</f>
        <v>0.270599334810712</v>
      </c>
      <c r="P24" s="23" t="n">
        <f aca="false">SQRT(MAX(0,K24^2*$L$6^2+(1-K24)^2*$L$8^2+2*K24*(1-K24)*1*$L$6*$L$8))</f>
        <v>0.288</v>
      </c>
    </row>
    <row r="25" customFormat="false" ht="15" hidden="false" customHeight="false" outlineLevel="0" collapsed="false">
      <c r="A25" s="36" t="s">
        <v>48</v>
      </c>
      <c r="B25" s="38" t="n">
        <f aca="false">$B$7*INDEX($B$5:$B$8,1)*B19</f>
        <v>0.0023834236545119</v>
      </c>
      <c r="C25" s="38" t="n">
        <f aca="false">$B$7*INDEX($B$5:$B$8,2)*C19</f>
        <v>0.00158397435711</v>
      </c>
      <c r="D25" s="38" t="n">
        <f aca="false">$B$7*INDEX($B$5:$B$8,3)*D19</f>
        <v>0.00232646329457492</v>
      </c>
      <c r="E25" s="38" t="n">
        <f aca="false">$B$7*INDEX($B$5:$B$8,4)*E19</f>
        <v>0.00170571181919002</v>
      </c>
      <c r="K25" s="37" t="n">
        <v>1</v>
      </c>
      <c r="L25" s="23" t="n">
        <f aca="false">K25*$L$5+(1-K25)*$L$7</f>
        <v>0.18</v>
      </c>
      <c r="M25" s="23" t="n">
        <f aca="false">SQRT(MAX(0,K25^2*$L$6^2+(1-K25)^2*$L$8^2+2*K25*(1-K25)*$L$9*$L$6*$L$8))</f>
        <v>0.3</v>
      </c>
      <c r="N25" s="23" t="n">
        <f aca="false">SQRT(MAX(0,K25^2*$L$6^2+(1-K25)^2*$L$8^2+2*K25*(1-K25)*-1*$L$6*$L$8))</f>
        <v>0.3</v>
      </c>
      <c r="O25" s="23" t="n">
        <f aca="false">SQRT(MAX(0,K25^2*$L$6^2+(1-K25)^2*$L$8^2+2*K25*(1-K25)*0*$L$6*$L$8))</f>
        <v>0.3</v>
      </c>
      <c r="P25" s="23" t="n">
        <f aca="false">SQRT(MAX(0,K25^2*$L$6^2+(1-K25)^2*$L$8^2+2*K25*(1-K25)*1*$L$6*$L$8))</f>
        <v>0.3</v>
      </c>
    </row>
    <row r="26" customFormat="false" ht="15" hidden="false" customHeight="false" outlineLevel="0" collapsed="false">
      <c r="A26" s="36" t="s">
        <v>49</v>
      </c>
      <c r="B26" s="38" t="n">
        <f aca="false">$B$8*INDEX($B$5:$B$8,1)*B20</f>
        <v>0.00354504337245773</v>
      </c>
      <c r="C26" s="38" t="n">
        <f aca="false">$B$8*INDEX($B$5:$B$8,2)*C20</f>
        <v>0.00225490639442812</v>
      </c>
      <c r="D26" s="38" t="n">
        <f aca="false">$B$8*INDEX($B$5:$B$8,3)*D20</f>
        <v>0.00170571181919002</v>
      </c>
      <c r="E26" s="38" t="n">
        <f aca="false">$B$8*INDEX($B$5:$B$8,4)*E20</f>
        <v>0.00502789616054725</v>
      </c>
    </row>
    <row r="28" customFormat="false" ht="15" hidden="false" customHeight="false" outlineLevel="0" collapsed="false">
      <c r="A28" s="7" t="s">
        <v>148</v>
      </c>
      <c r="B28" s="7" t="s">
        <v>27</v>
      </c>
    </row>
    <row r="29" customFormat="false" ht="15" hidden="false" customHeight="false" outlineLevel="0" collapsed="false">
      <c r="A29" s="8" t="s">
        <v>149</v>
      </c>
      <c r="B29" s="23" t="n">
        <f aca="false">SUMPRODUCT(B5:B8,C5:C8)</f>
        <v>0.24222440060115</v>
      </c>
    </row>
    <row r="30" customFormat="false" ht="15" hidden="false" customHeight="false" outlineLevel="0" collapsed="false">
      <c r="A30" s="8" t="s">
        <v>150</v>
      </c>
      <c r="B30" s="38" t="n">
        <f aca="false">SUM(B23:E26)</f>
        <v>0.0470182526091303</v>
      </c>
    </row>
    <row r="31" customFormat="false" ht="15" hidden="false" customHeight="false" outlineLevel="0" collapsed="false">
      <c r="A31" s="8" t="s">
        <v>151</v>
      </c>
      <c r="B31" s="24" t="n">
        <f aca="false">SQRT(B30)</f>
        <v>0.216836926304378</v>
      </c>
    </row>
    <row r="32" customFormat="false" ht="15" hidden="false" customHeight="false" outlineLevel="0" collapsed="false">
      <c r="A32" s="8" t="s">
        <v>152</v>
      </c>
      <c r="B32" s="23" t="n">
        <f aca="false">SUMPRODUCT(B5:B8,D5:D8)</f>
        <v>0.262990532744124</v>
      </c>
    </row>
    <row r="33" customFormat="false" ht="15" hidden="false" customHeight="false" outlineLevel="0" collapsed="false">
      <c r="A33" s="8" t="s">
        <v>153</v>
      </c>
      <c r="B33" s="23" t="n">
        <f aca="false">B32-B31</f>
        <v>0.046153606439746</v>
      </c>
    </row>
    <row r="34" customFormat="false" ht="15" hidden="false" customHeight="false" outlineLevel="0" collapsed="false">
      <c r="A34" s="8" t="s">
        <v>154</v>
      </c>
      <c r="B34" s="32" t="n">
        <f aca="false">B32/B31</f>
        <v>1.21284938514098</v>
      </c>
    </row>
    <row r="35" customFormat="false" ht="15" hidden="false" customHeight="false" outlineLevel="0" collapsed="false">
      <c r="A35" s="8" t="s">
        <v>155</v>
      </c>
      <c r="B35" s="25" t="n">
        <f aca="false">(B29-Parametrlar!$B$4)/B31</f>
        <v>0.471434466183384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3"/>
    <col collapsed="false" customWidth="true" hidden="false" outlineLevel="0" max="6" min="6" style="0" width="52"/>
    <col collapsed="false" customWidth="true" hidden="false" outlineLevel="0" max="9" min="7" style="0" width="18"/>
    <col collapsed="false" customWidth="true" hidden="false" outlineLevel="0" max="11" min="10" style="0" width="3"/>
    <col collapsed="false" customWidth="true" hidden="false" outlineLevel="0" max="12" min="12" style="0" width="16"/>
  </cols>
  <sheetData>
    <row r="1" customFormat="false" ht="16.1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6" t="s">
        <v>157</v>
      </c>
    </row>
    <row r="4" customFormat="false" ht="23.85" hidden="false" customHeight="false" outlineLevel="0" collapsed="false">
      <c r="A4" s="7" t="s">
        <v>53</v>
      </c>
      <c r="B4" s="7" t="s">
        <v>158</v>
      </c>
      <c r="C4" s="7" t="s">
        <v>159</v>
      </c>
      <c r="D4" s="7" t="s">
        <v>160</v>
      </c>
      <c r="F4" s="36" t="s">
        <v>161</v>
      </c>
      <c r="L4" s="7" t="s">
        <v>162</v>
      </c>
    </row>
    <row r="5" customFormat="false" ht="15" hidden="false" customHeight="false" outlineLevel="0" collapsed="false">
      <c r="A5" s="19" t="n">
        <f aca="false">Daromadlilik!A2</f>
        <v>45294</v>
      </c>
      <c r="B5" s="31" t="n">
        <f aca="false">SUMPRODUCT(Parametrlar!$B$14:$E$14,Daromadlilik!C2:F2)</f>
        <v>0.00794713743299584</v>
      </c>
      <c r="C5" s="31" t="n">
        <f aca="false">LN(1+B5)</f>
        <v>0.00791572525117184</v>
      </c>
      <c r="F5" s="8" t="s">
        <v>163</v>
      </c>
      <c r="G5" s="39" t="n">
        <f aca="false">Parametrlar!$B$7</f>
        <v>10000000000</v>
      </c>
      <c r="L5" s="31" t="n">
        <f aca="true">NORMSINV(RAND())*$G$7+$G$6</f>
        <v>0.00297431199974444</v>
      </c>
    </row>
    <row r="6" customFormat="false" ht="15" hidden="false" customHeight="false" outlineLevel="0" collapsed="false">
      <c r="A6" s="19" t="n">
        <f aca="false">Daromadlilik!A3</f>
        <v>45295</v>
      </c>
      <c r="B6" s="31" t="n">
        <f aca="false">SUMPRODUCT(Parametrlar!$B$14:$E$14,Daromadlilik!C3:F3)</f>
        <v>-0.00777188235897782</v>
      </c>
      <c r="C6" s="31" t="n">
        <f aca="false">LN(1+B6)</f>
        <v>-0.00780224083397384</v>
      </c>
      <c r="F6" s="8" t="s">
        <v>164</v>
      </c>
      <c r="G6" s="22" t="n">
        <f aca="false">AVERAGE($B$5:$B$508)</f>
        <v>0.000961207938893454</v>
      </c>
      <c r="L6" s="31" t="n">
        <f aca="true">NORMSINV(RAND())*$G$7+$G$6</f>
        <v>-0.00269242479359429</v>
      </c>
    </row>
    <row r="7" customFormat="false" ht="15" hidden="false" customHeight="false" outlineLevel="0" collapsed="false">
      <c r="A7" s="19" t="n">
        <f aca="false">Daromadlilik!A4</f>
        <v>45296</v>
      </c>
      <c r="B7" s="31" t="n">
        <f aca="false">SUMPRODUCT(Parametrlar!$B$14:$E$14,Daromadlilik!C4:F4)</f>
        <v>0.00545251311819976</v>
      </c>
      <c r="C7" s="31" t="n">
        <f aca="false">LN(1+B7)</f>
        <v>0.00543770198276241</v>
      </c>
      <c r="F7" s="8" t="s">
        <v>165</v>
      </c>
      <c r="G7" s="22" t="n">
        <f aca="false">STDEV($B$5:$B$508)</f>
        <v>0.0136594424299292</v>
      </c>
      <c r="L7" s="31" t="n">
        <f aca="true">NORMSINV(RAND())*$G$7+$G$6</f>
        <v>0.0104261143580533</v>
      </c>
    </row>
    <row r="8" customFormat="false" ht="15" hidden="false" customHeight="false" outlineLevel="0" collapsed="false">
      <c r="A8" s="19" t="n">
        <f aca="false">Daromadlilik!A5</f>
        <v>45299</v>
      </c>
      <c r="B8" s="31" t="n">
        <f aca="false">SUMPRODUCT(Parametrlar!$B$14:$E$14,Daromadlilik!C5:F5)</f>
        <v>0.00952637392301139</v>
      </c>
      <c r="C8" s="31" t="n">
        <f aca="false">LN(1+B8)</f>
        <v>0.00948128415807399</v>
      </c>
      <c r="F8" s="8" t="s">
        <v>166</v>
      </c>
      <c r="G8" s="40" t="n">
        <f aca="false">Parametrlar!$B$9</f>
        <v>10</v>
      </c>
      <c r="L8" s="31" t="n">
        <f aca="true">NORMSINV(RAND())*$G$7+$G$6</f>
        <v>0.027283245764993</v>
      </c>
    </row>
    <row r="9" customFormat="false" ht="15" hidden="false" customHeight="false" outlineLevel="0" collapsed="false">
      <c r="A9" s="19" t="n">
        <f aca="false">Daromadlilik!A6</f>
        <v>45300</v>
      </c>
      <c r="B9" s="31" t="n">
        <f aca="false">SUMPRODUCT(Parametrlar!$B$14:$E$14,Daromadlilik!C6:F6)</f>
        <v>-0.0131600068498255</v>
      </c>
      <c r="C9" s="31" t="n">
        <f aca="false">LN(1+B9)</f>
        <v>-0.0132473670268008</v>
      </c>
      <c r="L9" s="31" t="n">
        <f aca="true">NORMSINV(RAND())*$G$7+$G$6</f>
        <v>0.0106302945869116</v>
      </c>
    </row>
    <row r="10" customFormat="false" ht="15" hidden="false" customHeight="false" outlineLevel="0" collapsed="false">
      <c r="A10" s="19" t="n">
        <f aca="false">Daromadlilik!A7</f>
        <v>45301</v>
      </c>
      <c r="B10" s="31" t="n">
        <f aca="false">SUMPRODUCT(Parametrlar!$B$14:$E$14,Daromadlilik!C7:F7)</f>
        <v>0.0138887260808683</v>
      </c>
      <c r="C10" s="31" t="n">
        <f aca="false">LN(1+B10)</f>
        <v>0.0137931615545491</v>
      </c>
      <c r="F10" s="7" t="s">
        <v>167</v>
      </c>
      <c r="G10" s="7" t="s">
        <v>168</v>
      </c>
      <c r="H10" s="7" t="s">
        <v>169</v>
      </c>
      <c r="I10" s="7" t="s">
        <v>170</v>
      </c>
      <c r="L10" s="31" t="n">
        <f aca="true">NORMSINV(RAND())*$G$7+$G$6</f>
        <v>-0.0045218184589137</v>
      </c>
    </row>
    <row r="11" customFormat="false" ht="15" hidden="false" customHeight="false" outlineLevel="0" collapsed="false">
      <c r="A11" s="19" t="n">
        <f aca="false">Daromadlilik!A8</f>
        <v>45302</v>
      </c>
      <c r="B11" s="31" t="n">
        <f aca="false">SUMPRODUCT(Parametrlar!$B$14:$E$14,Daromadlilik!C8:F8)</f>
        <v>-0.013054969266144</v>
      </c>
      <c r="C11" s="31" t="n">
        <f aca="false">LN(1+B11)</f>
        <v>-0.0131409343783517</v>
      </c>
      <c r="F11" s="8" t="s">
        <v>171</v>
      </c>
      <c r="G11" s="41" t="n">
        <v>0.95</v>
      </c>
      <c r="H11" s="41" t="n">
        <v>0.975</v>
      </c>
      <c r="I11" s="41" t="n">
        <v>0.99</v>
      </c>
      <c r="L11" s="31" t="n">
        <f aca="true">NORMSINV(RAND())*$G$7+$G$6</f>
        <v>0.00803483257848892</v>
      </c>
    </row>
    <row r="12" customFormat="false" ht="15" hidden="false" customHeight="false" outlineLevel="0" collapsed="false">
      <c r="A12" s="19" t="n">
        <f aca="false">Daromadlilik!A9</f>
        <v>45303</v>
      </c>
      <c r="B12" s="31" t="n">
        <f aca="false">SUMPRODUCT(Parametrlar!$B$14:$E$14,Daromadlilik!C9:F9)</f>
        <v>-0.0204482720417851</v>
      </c>
      <c r="C12" s="31" t="n">
        <f aca="false">LN(1+B12)</f>
        <v>-0.0206602324169685</v>
      </c>
      <c r="F12" s="8" t="s">
        <v>172</v>
      </c>
      <c r="G12" s="34" t="n">
        <f aca="false">NORMSINV(G$11)</f>
        <v>1.64485362695147</v>
      </c>
      <c r="H12" s="34" t="n">
        <f aca="false">NORMSINV(H$11)</f>
        <v>1.95996398454005</v>
      </c>
      <c r="I12" s="34" t="n">
        <f aca="false">NORMSINV(I$11)</f>
        <v>2.32634787404084</v>
      </c>
      <c r="L12" s="31" t="n">
        <f aca="true">NORMSINV(RAND())*$G$7+$G$6</f>
        <v>-0.0200961371859439</v>
      </c>
    </row>
    <row r="13" customFormat="false" ht="15" hidden="false" customHeight="false" outlineLevel="0" collapsed="false">
      <c r="A13" s="19" t="n">
        <f aca="false">Daromadlilik!A10</f>
        <v>45306</v>
      </c>
      <c r="B13" s="31" t="n">
        <f aca="false">SUMPRODUCT(Parametrlar!$B$14:$E$14,Daromadlilik!C10:F10)</f>
        <v>-0.00388246366206914</v>
      </c>
      <c r="C13" s="31" t="n">
        <f aca="false">LN(1+B13)</f>
        <v>-0.00389001998856239</v>
      </c>
      <c r="F13" s="8" t="s">
        <v>173</v>
      </c>
      <c r="G13" s="42" t="n">
        <f aca="false">(G$12*$G$7-$G$6)*$G$5</f>
        <v>215065754.841103</v>
      </c>
      <c r="H13" s="42" t="n">
        <f aca="false">(H$12*$G$7-$G$6)*$G$5</f>
        <v>258108072.72666</v>
      </c>
      <c r="I13" s="42" t="n">
        <f aca="false">(I$12*$G$7-$G$6)*$G$5</f>
        <v>308154069.185555</v>
      </c>
      <c r="L13" s="31" t="n">
        <f aca="true">NORMSINV(RAND())*$G$7+$G$6</f>
        <v>-0.00733316295731497</v>
      </c>
    </row>
    <row r="14" customFormat="false" ht="15" hidden="false" customHeight="false" outlineLevel="0" collapsed="false">
      <c r="A14" s="19" t="n">
        <f aca="false">Daromadlilik!A11</f>
        <v>45307</v>
      </c>
      <c r="B14" s="31" t="n">
        <f aca="false">SUMPRODUCT(Parametrlar!$B$14:$E$14,Daromadlilik!C11:F11)</f>
        <v>-0.0060761178162956</v>
      </c>
      <c r="C14" s="31" t="n">
        <f aca="false">LN(1+B14)</f>
        <v>-0.00609465253772805</v>
      </c>
      <c r="D14" s="31" t="n">
        <f aca="false">SUM(C5:C14)</f>
        <v>-0.0282075742358279</v>
      </c>
      <c r="F14" s="8" t="s">
        <v>174</v>
      </c>
      <c r="G14" s="43" t="n">
        <f aca="false">G13*SQRT($G$8)</f>
        <v>680097632.001271</v>
      </c>
      <c r="H14" s="43" t="n">
        <f aca="false">H13*SQRT($G$8)</f>
        <v>816209392.292631</v>
      </c>
      <c r="I14" s="43" t="n">
        <f aca="false">I13*SQRT($G$8)</f>
        <v>974468728.875462</v>
      </c>
      <c r="L14" s="31" t="n">
        <f aca="true">NORMSINV(RAND())*$G$7+$G$6</f>
        <v>0.00536938580512571</v>
      </c>
    </row>
    <row r="15" customFormat="false" ht="15" hidden="false" customHeight="false" outlineLevel="0" collapsed="false">
      <c r="A15" s="19" t="n">
        <f aca="false">Daromadlilik!A12</f>
        <v>45308</v>
      </c>
      <c r="B15" s="31" t="n">
        <f aca="false">SUMPRODUCT(Parametrlar!$B$14:$E$14,Daromadlilik!C12:F12)</f>
        <v>0.0021024356988231</v>
      </c>
      <c r="C15" s="31" t="n">
        <f aca="false">LN(1+B15)</f>
        <v>0.0021002286737667</v>
      </c>
      <c r="D15" s="31" t="n">
        <f aca="false">SUM(C6:C15)</f>
        <v>-0.0340230708132331</v>
      </c>
      <c r="F15" s="8" t="s">
        <v>175</v>
      </c>
      <c r="G15" s="42" t="n">
        <f aca="false">-PERCENTILE($B$5:$B$508,1-G$11)*$G$5</f>
        <v>210882483.909947</v>
      </c>
      <c r="H15" s="42" t="n">
        <f aca="false">-PERCENTILE($B$5:$B$508,1-H$11)*$G$5</f>
        <v>271226423.329424</v>
      </c>
      <c r="I15" s="42" t="n">
        <f aca="false">-PERCENTILE($B$5:$B$508,1-I$11)*$G$5</f>
        <v>342376282.332545</v>
      </c>
      <c r="L15" s="31" t="n">
        <f aca="true">NORMSINV(RAND())*$G$7+$G$6</f>
        <v>0.0236313834713946</v>
      </c>
    </row>
    <row r="16" customFormat="false" ht="15" hidden="false" customHeight="false" outlineLevel="0" collapsed="false">
      <c r="A16" s="19" t="n">
        <f aca="false">Daromadlilik!A13</f>
        <v>45309</v>
      </c>
      <c r="B16" s="31" t="n">
        <f aca="false">SUMPRODUCT(Parametrlar!$B$14:$E$14,Daromadlilik!C13:F13)</f>
        <v>0.00828644663572753</v>
      </c>
      <c r="C16" s="31" t="n">
        <f aca="false">LN(1+B16)</f>
        <v>0.00825230252933642</v>
      </c>
      <c r="D16" s="31" t="n">
        <f aca="false">SUM(C7:C16)</f>
        <v>-0.0179685274499228</v>
      </c>
      <c r="F16" s="8" t="s">
        <v>176</v>
      </c>
      <c r="G16" s="43" t="n">
        <f aca="false">G15*SQRT($G$8)</f>
        <v>666868967.789242</v>
      </c>
      <c r="H16" s="43" t="n">
        <f aca="false">H15*SQRT($G$8)</f>
        <v>857693259.34201</v>
      </c>
      <c r="I16" s="43" t="n">
        <f aca="false">I15*SQRT($G$8)</f>
        <v>1082688868.99171</v>
      </c>
      <c r="L16" s="31" t="n">
        <f aca="true">NORMSINV(RAND())*$G$7+$G$6</f>
        <v>0.0181980941097462</v>
      </c>
    </row>
    <row r="17" customFormat="false" ht="15" hidden="false" customHeight="false" outlineLevel="0" collapsed="false">
      <c r="A17" s="19" t="n">
        <f aca="false">Daromadlilik!A14</f>
        <v>45310</v>
      </c>
      <c r="B17" s="31" t="n">
        <f aca="false">SUMPRODUCT(Parametrlar!$B$14:$E$14,Daromadlilik!C14:F14)</f>
        <v>-0.000701072156859822</v>
      </c>
      <c r="C17" s="31" t="n">
        <f aca="false">LN(1+B17)</f>
        <v>-0.000701318022864257</v>
      </c>
      <c r="D17" s="31" t="n">
        <f aca="false">SUM(C8:C17)</f>
        <v>-0.0241075474555495</v>
      </c>
      <c r="F17" s="8" t="s">
        <v>177</v>
      </c>
      <c r="G17" s="42" t="n">
        <f aca="false">($G$7*NORMDIST(G$12,0,1,FALSE())/(1-G$11)-$G$6)*$G$5</f>
        <v>272142989.047318</v>
      </c>
      <c r="H17" s="42" t="n">
        <f aca="false">($G$7*NORMDIST(H$12,0,1,FALSE())/(1-H$11)-$G$6)*$G$5</f>
        <v>309718747.137094</v>
      </c>
      <c r="I17" s="42" t="n">
        <f aca="false">($G$7*NORMDIST(I$12,0,1,FALSE())/(1-I$11)-$G$6)*$G$5</f>
        <v>354441322.673486</v>
      </c>
      <c r="L17" s="31" t="n">
        <f aca="true">NORMSINV(RAND())*$G$7+$G$6</f>
        <v>-0.00832988782993522</v>
      </c>
    </row>
    <row r="18" customFormat="false" ht="15" hidden="false" customHeight="false" outlineLevel="0" collapsed="false">
      <c r="A18" s="19" t="n">
        <f aca="false">Daromadlilik!A15</f>
        <v>45313</v>
      </c>
      <c r="B18" s="31" t="n">
        <f aca="false">SUMPRODUCT(Parametrlar!$B$14:$E$14,Daromadlilik!C15:F15)</f>
        <v>-0.00700959786152637</v>
      </c>
      <c r="C18" s="31" t="n">
        <f aca="false">LN(1+B18)</f>
        <v>-0.0070342805038434</v>
      </c>
      <c r="D18" s="31" t="n">
        <f aca="false">SUM(C9:C18)</f>
        <v>-0.0406231121174669</v>
      </c>
      <c r="F18" s="8" t="s">
        <v>178</v>
      </c>
      <c r="G18" s="42" t="n">
        <f aca="false">-AVERAGEIF($B$5:$B$508,"&lt;="&amp;PERCENTILE($B$5:$B$508,1-G$11))*$G$5</f>
        <v>286044271.185035</v>
      </c>
      <c r="H18" s="42" t="n">
        <f aca="false">-AVERAGEIF($B$5:$B$508,"&lt;="&amp;PERCENTILE($B$5:$B$508,1-H$11))*$G$5</f>
        <v>328764648.321503</v>
      </c>
      <c r="I18" s="42" t="n">
        <f aca="false">-AVERAGEIF($B$5:$B$508,"&lt;="&amp;PERCENTILE($B$5:$B$508,1-I$11))*$G$5</f>
        <v>356152491.553526</v>
      </c>
      <c r="L18" s="31" t="n">
        <f aca="true">NORMSINV(RAND())*$G$7+$G$6</f>
        <v>0.00583382028832932</v>
      </c>
    </row>
    <row r="19" customFormat="false" ht="15" hidden="false" customHeight="false" outlineLevel="0" collapsed="false">
      <c r="A19" s="19" t="n">
        <f aca="false">Daromadlilik!A16</f>
        <v>45314</v>
      </c>
      <c r="B19" s="31" t="n">
        <f aca="false">SUMPRODUCT(Parametrlar!$B$14:$E$14,Daromadlilik!C16:F16)</f>
        <v>-0.00266162224693153</v>
      </c>
      <c r="C19" s="31" t="n">
        <f aca="false">LN(1+B19)</f>
        <v>-0.00266517066118164</v>
      </c>
      <c r="D19" s="31" t="n">
        <f aca="false">SUM(C10:C19)</f>
        <v>-0.0300409157518477</v>
      </c>
      <c r="F19" s="8" t="s">
        <v>179</v>
      </c>
      <c r="G19" s="43" t="n">
        <f aca="false">-PERCENTILE($L$5:$L$5004,1-G$11)*$G$5</f>
        <v>213045785.565555</v>
      </c>
      <c r="H19" s="43" t="n">
        <f aca="false">-PERCENTILE($L$5:$L$5004,1-H$11)*$G$5</f>
        <v>256208624.403124</v>
      </c>
      <c r="I19" s="43" t="n">
        <f aca="false">-PERCENTILE($L$5:$L$5004,1-I$11)*$G$5</f>
        <v>308929722.910544</v>
      </c>
      <c r="L19" s="31" t="n">
        <f aca="true">NORMSINV(RAND())*$G$7+$G$6</f>
        <v>0.0108892818772752</v>
      </c>
    </row>
    <row r="20" customFormat="false" ht="15" hidden="false" customHeight="false" outlineLevel="0" collapsed="false">
      <c r="A20" s="19" t="n">
        <f aca="false">Daromadlilik!A17</f>
        <v>45315</v>
      </c>
      <c r="B20" s="31" t="n">
        <f aca="false">SUMPRODUCT(Parametrlar!$B$14:$E$14,Daromadlilik!C17:F17)</f>
        <v>0.00762270940578869</v>
      </c>
      <c r="C20" s="31" t="n">
        <f aca="false">LN(1+B20)</f>
        <v>0.00759380335844494</v>
      </c>
      <c r="D20" s="31" t="n">
        <f aca="false">SUM(C11:C20)</f>
        <v>-0.0362402739479519</v>
      </c>
      <c r="F20" s="8" t="s">
        <v>180</v>
      </c>
      <c r="G20" s="25" t="n">
        <f aca="false">G18/G15</f>
        <v>1.35641550631197</v>
      </c>
      <c r="H20" s="25" t="n">
        <f aca="false">H18/H15</f>
        <v>1.21214092744273</v>
      </c>
      <c r="I20" s="25" t="n">
        <f aca="false">I18/I15</f>
        <v>1.04023704307765</v>
      </c>
      <c r="L20" s="31" t="n">
        <f aca="true">NORMSINV(RAND())*$G$7+$G$6</f>
        <v>0.0108050038471859</v>
      </c>
    </row>
    <row r="21" customFormat="false" ht="15" hidden="false" customHeight="false" outlineLevel="0" collapsed="false">
      <c r="A21" s="19" t="n">
        <f aca="false">Daromadlilik!A18</f>
        <v>45316</v>
      </c>
      <c r="B21" s="31" t="n">
        <f aca="false">SUMPRODUCT(Parametrlar!$B$14:$E$14,Daromadlilik!C18:F18)</f>
        <v>0.0215246726961502</v>
      </c>
      <c r="C21" s="31" t="n">
        <f aca="false">LN(1+B21)</f>
        <v>0.0212962883819423</v>
      </c>
      <c r="D21" s="31" t="n">
        <f aca="false">SUM(C12:C21)</f>
        <v>-0.00180305118765785</v>
      </c>
      <c r="F21" s="8" t="s">
        <v>181</v>
      </c>
      <c r="G21" s="21" t="n">
        <f aca="false">COUNTIF($B$5:$B$508,"&lt;"&amp;-G15/$G$5)</f>
        <v>26</v>
      </c>
      <c r="H21" s="21" t="n">
        <f aca="false">COUNTIF($B$5:$B$508,"&lt;"&amp;-H15/$G$5)</f>
        <v>13</v>
      </c>
      <c r="I21" s="21" t="n">
        <f aca="false">COUNTIF($B$5:$B$508,"&lt;"&amp;-I15/$G$5)</f>
        <v>6</v>
      </c>
      <c r="L21" s="31" t="n">
        <f aca="true">NORMSINV(RAND())*$G$7+$G$6</f>
        <v>0.00636084274948335</v>
      </c>
    </row>
    <row r="22" customFormat="false" ht="15" hidden="false" customHeight="false" outlineLevel="0" collapsed="false">
      <c r="A22" s="19" t="n">
        <f aca="false">Daromadlilik!A19</f>
        <v>45317</v>
      </c>
      <c r="B22" s="31" t="n">
        <f aca="false">SUMPRODUCT(Parametrlar!$B$14:$E$14,Daromadlilik!C19:F19)</f>
        <v>0.00754842430743187</v>
      </c>
      <c r="C22" s="31" t="n">
        <f aca="false">LN(1+B22)</f>
        <v>0.00752007751238878</v>
      </c>
      <c r="D22" s="31" t="n">
        <f aca="false">SUM(C13:C22)</f>
        <v>0.0263772587416994</v>
      </c>
      <c r="L22" s="31" t="n">
        <f aca="true">NORMSINV(RAND())*$G$7+$G$6</f>
        <v>-0.00758436988142961</v>
      </c>
    </row>
    <row r="23" customFormat="false" ht="15" hidden="false" customHeight="false" outlineLevel="0" collapsed="false">
      <c r="A23" s="19" t="n">
        <f aca="false">Daromadlilik!A20</f>
        <v>45320</v>
      </c>
      <c r="B23" s="31" t="n">
        <f aca="false">SUMPRODUCT(Parametrlar!$B$14:$E$14,Daromadlilik!C20:F20)</f>
        <v>-0.000903430136614924</v>
      </c>
      <c r="C23" s="31" t="n">
        <f aca="false">LN(1+B23)</f>
        <v>-0.000903838475576415</v>
      </c>
      <c r="D23" s="31" t="n">
        <f aca="false">SUM(C14:C23)</f>
        <v>0.0293634402546854</v>
      </c>
      <c r="F23" s="36" t="s">
        <v>182</v>
      </c>
      <c r="L23" s="31" t="n">
        <f aca="true">NORMSINV(RAND())*$G$7+$G$6</f>
        <v>0.00154993858447855</v>
      </c>
    </row>
    <row r="24" customFormat="false" ht="15" hidden="false" customHeight="false" outlineLevel="0" collapsed="false">
      <c r="A24" s="19" t="n">
        <f aca="false">Daromadlilik!A21</f>
        <v>45321</v>
      </c>
      <c r="B24" s="31" t="n">
        <f aca="false">SUMPRODUCT(Parametrlar!$B$14:$E$14,Daromadlilik!C21:F21)</f>
        <v>0.00334397876326832</v>
      </c>
      <c r="C24" s="31" t="n">
        <f aca="false">LN(1+B24)</f>
        <v>0.00333840009944646</v>
      </c>
      <c r="D24" s="31" t="n">
        <f aca="false">SUM(C15:C24)</f>
        <v>0.0387964928918599</v>
      </c>
      <c r="F24" s="7" t="s">
        <v>123</v>
      </c>
      <c r="G24" s="7" t="s">
        <v>183</v>
      </c>
      <c r="H24" s="7" t="s">
        <v>165</v>
      </c>
      <c r="I24" s="7" t="s">
        <v>184</v>
      </c>
      <c r="L24" s="31" t="n">
        <f aca="true">NORMSINV(RAND())*$G$7+$G$6</f>
        <v>0.00318419402785339</v>
      </c>
    </row>
    <row r="25" customFormat="false" ht="15" hidden="false" customHeight="false" outlineLevel="0" collapsed="false">
      <c r="A25" s="19" t="n">
        <f aca="false">Daromadlilik!A22</f>
        <v>45322</v>
      </c>
      <c r="B25" s="31" t="n">
        <f aca="false">SUMPRODUCT(Parametrlar!$B$14:$E$14,Daromadlilik!C22:F22)</f>
        <v>0.0047772390409017</v>
      </c>
      <c r="C25" s="31" t="n">
        <f aca="false">LN(1+B25)</f>
        <v>0.00476586424682968</v>
      </c>
      <c r="D25" s="31" t="n">
        <f aca="false">SUM(C16:C25)</f>
        <v>0.0414621284649229</v>
      </c>
      <c r="F25" s="36" t="s">
        <v>46</v>
      </c>
      <c r="G25" s="43" t="n">
        <f aca="false">Parametrlar!$B$14*Parametrlar!$B$7</f>
        <v>3000000000</v>
      </c>
      <c r="H25" s="22" t="n">
        <f aca="false">STDEV(Daromadlilik!$C$2:$C$505)</f>
        <v>0.0178851564072129</v>
      </c>
      <c r="I25" s="43" t="n">
        <f aca="false">NORMSINV(Parametrlar!$B$8)*H25*G25</f>
        <v>124821286.754423</v>
      </c>
      <c r="L25" s="31" t="n">
        <f aca="true">NORMSINV(RAND())*$G$7+$G$6</f>
        <v>0.0258103176489836</v>
      </c>
    </row>
    <row r="26" customFormat="false" ht="15" hidden="false" customHeight="false" outlineLevel="0" collapsed="false">
      <c r="A26" s="19" t="n">
        <f aca="false">Daromadlilik!A23</f>
        <v>45323</v>
      </c>
      <c r="B26" s="31" t="n">
        <f aca="false">SUMPRODUCT(Parametrlar!$B$14:$E$14,Daromadlilik!C23:F23)</f>
        <v>0.00164583880616627</v>
      </c>
      <c r="C26" s="31" t="n">
        <f aca="false">LN(1+B26)</f>
        <v>0.00164448589772099</v>
      </c>
      <c r="D26" s="31" t="n">
        <f aca="false">SUM(C17:C26)</f>
        <v>0.0348543118333075</v>
      </c>
      <c r="F26" s="36" t="s">
        <v>47</v>
      </c>
      <c r="G26" s="43" t="n">
        <f aca="false">Parametrlar!$C$14*Parametrlar!$B$7</f>
        <v>2500000000</v>
      </c>
      <c r="H26" s="22" t="n">
        <f aca="false">STDEV(Daromadlilik!$D$2:$D$505)</f>
        <v>0.0147844662513772</v>
      </c>
      <c r="I26" s="43" t="n">
        <f aca="false">NORMSINV(Parametrlar!$B$8)*H26*G26</f>
        <v>85984529.0817995</v>
      </c>
      <c r="L26" s="31" t="n">
        <f aca="true">NORMSINV(RAND())*$G$7+$G$6</f>
        <v>0.0168657601320231</v>
      </c>
    </row>
    <row r="27" customFormat="false" ht="15" hidden="false" customHeight="false" outlineLevel="0" collapsed="false">
      <c r="A27" s="19" t="n">
        <f aca="false">Daromadlilik!A24</f>
        <v>45324</v>
      </c>
      <c r="B27" s="31" t="n">
        <f aca="false">SUMPRODUCT(Parametrlar!$B$14:$E$14,Daromadlilik!C24:F24)</f>
        <v>0.00119326529802483</v>
      </c>
      <c r="C27" s="31" t="n">
        <f aca="false">LN(1+B27)</f>
        <v>0.00119255392283912</v>
      </c>
      <c r="D27" s="31" t="n">
        <f aca="false">SUM(C18:C27)</f>
        <v>0.0367481837790108</v>
      </c>
      <c r="F27" s="36" t="s">
        <v>48</v>
      </c>
      <c r="G27" s="43" t="n">
        <f aca="false">Parametrlar!$D$14*Parametrlar!$B$7</f>
        <v>2500000000</v>
      </c>
      <c r="H27" s="22" t="n">
        <f aca="false">STDEV(Daromadlilik!$E$2:$E$505)</f>
        <v>0.0121536807268871</v>
      </c>
      <c r="I27" s="43" t="n">
        <f aca="false">NORMSINV(Parametrlar!$B$8)*H27*G27</f>
        <v>70684223.3019121</v>
      </c>
      <c r="L27" s="31" t="n">
        <f aca="true">NORMSINV(RAND())*$G$7+$G$6</f>
        <v>0.0182184262562672</v>
      </c>
    </row>
    <row r="28" customFormat="false" ht="15" hidden="false" customHeight="false" outlineLevel="0" collapsed="false">
      <c r="A28" s="19" t="n">
        <f aca="false">Daromadlilik!A25</f>
        <v>45327</v>
      </c>
      <c r="B28" s="31" t="n">
        <f aca="false">SUMPRODUCT(Parametrlar!$B$14:$E$14,Daromadlilik!C25:F25)</f>
        <v>-0.000200797302270716</v>
      </c>
      <c r="C28" s="31" t="n">
        <f aca="false">LN(1+B28)</f>
        <v>-0.000200817464748131</v>
      </c>
      <c r="D28" s="31" t="n">
        <f aca="false">SUM(C19:C28)</f>
        <v>0.0435816468181061</v>
      </c>
      <c r="F28" s="36" t="s">
        <v>49</v>
      </c>
      <c r="G28" s="43" t="n">
        <f aca="false">Parametrlar!$E$14*Parametrlar!$B$7</f>
        <v>2000000000</v>
      </c>
      <c r="H28" s="22" t="n">
        <f aca="false">STDEV(Daromadlilik!$F$2:$F$505)</f>
        <v>0.022333813428891</v>
      </c>
      <c r="I28" s="43" t="n">
        <f aca="false">NORMSINV(Parametrlar!$B$8)*H28*G28</f>
        <v>103912438.779051</v>
      </c>
      <c r="L28" s="31" t="n">
        <f aca="true">NORMSINV(RAND())*$G$7+$G$6</f>
        <v>0.00172806489387706</v>
      </c>
    </row>
    <row r="29" customFormat="false" ht="15" hidden="false" customHeight="false" outlineLevel="0" collapsed="false">
      <c r="A29" s="19" t="n">
        <f aca="false">Daromadlilik!A26</f>
        <v>45328</v>
      </c>
      <c r="B29" s="31" t="n">
        <f aca="false">SUMPRODUCT(Parametrlar!$B$14:$E$14,Daromadlilik!C26:F26)</f>
        <v>-0.0156365063142365</v>
      </c>
      <c r="C29" s="31" t="n">
        <f aca="false">LN(1+B29)</f>
        <v>-0.0157600459906006</v>
      </c>
      <c r="D29" s="31" t="n">
        <f aca="false">SUM(C20:C29)</f>
        <v>0.0304867714886872</v>
      </c>
      <c r="F29" s="36" t="s">
        <v>185</v>
      </c>
      <c r="I29" s="43" t="n">
        <f aca="false">SUM(I25:I28)</f>
        <v>385402477.917186</v>
      </c>
      <c r="L29" s="31" t="n">
        <f aca="true">NORMSINV(RAND())*$G$7+$G$6</f>
        <v>0.00626797273398252</v>
      </c>
    </row>
    <row r="30" customFormat="false" ht="15" hidden="false" customHeight="false" outlineLevel="0" collapsed="false">
      <c r="A30" s="19" t="n">
        <f aca="false">Daromadlilik!A27</f>
        <v>45329</v>
      </c>
      <c r="B30" s="31" t="n">
        <f aca="false">SUMPRODUCT(Parametrlar!$B$14:$E$14,Daromadlilik!C27:F27)</f>
        <v>0.0029753894237771</v>
      </c>
      <c r="C30" s="31" t="n">
        <f aca="false">LN(1+B30)</f>
        <v>0.00297097171343538</v>
      </c>
      <c r="D30" s="31" t="n">
        <f aca="false">SUM(C21:C30)</f>
        <v>0.0258639398436776</v>
      </c>
      <c r="F30" s="36" t="s">
        <v>186</v>
      </c>
      <c r="I30" s="42" t="n">
        <f aca="false">NORMSINV(Parametrlar!$B$8)*G7*G5</f>
        <v>317766148.57449</v>
      </c>
      <c r="L30" s="31" t="n">
        <f aca="true">NORMSINV(RAND())*$G$7+$G$6</f>
        <v>0.0277488444642147</v>
      </c>
    </row>
    <row r="31" customFormat="false" ht="15" hidden="false" customHeight="false" outlineLevel="0" collapsed="false">
      <c r="A31" s="19" t="n">
        <f aca="false">Daromadlilik!A28</f>
        <v>45330</v>
      </c>
      <c r="B31" s="31" t="n">
        <f aca="false">SUMPRODUCT(Parametrlar!$B$14:$E$14,Daromadlilik!C28:F28)</f>
        <v>0.00364054316713379</v>
      </c>
      <c r="C31" s="31" t="n">
        <f aca="false">LN(1+B31)</f>
        <v>0.00363393242945041</v>
      </c>
      <c r="D31" s="31" t="n">
        <f aca="false">SUM(C22:C31)</f>
        <v>0.00820158389118571</v>
      </c>
      <c r="F31" s="36" t="s">
        <v>187</v>
      </c>
      <c r="I31" s="42" t="n">
        <f aca="false">I29-I30</f>
        <v>67636329.342696</v>
      </c>
      <c r="L31" s="31" t="n">
        <f aca="true">NORMSINV(RAND())*$G$7+$G$6</f>
        <v>0.0010114542034896</v>
      </c>
    </row>
    <row r="32" customFormat="false" ht="15" hidden="false" customHeight="false" outlineLevel="0" collapsed="false">
      <c r="A32" s="19" t="n">
        <f aca="false">Daromadlilik!A29</f>
        <v>45331</v>
      </c>
      <c r="B32" s="31" t="n">
        <f aca="false">SUMPRODUCT(Parametrlar!$B$14:$E$14,Daromadlilik!C29:F29)</f>
        <v>-0.00238261877697382</v>
      </c>
      <c r="C32" s="31" t="n">
        <f aca="false">LN(1+B32)</f>
        <v>-0.00238546172977153</v>
      </c>
      <c r="D32" s="31" t="n">
        <f aca="false">SUM(C23:C32)</f>
        <v>-0.0017039553509746</v>
      </c>
      <c r="L32" s="31" t="n">
        <f aca="true">NORMSINV(RAND())*$G$7+$G$6</f>
        <v>0.011824742323945</v>
      </c>
    </row>
    <row r="33" customFormat="false" ht="15" hidden="false" customHeight="false" outlineLevel="0" collapsed="false">
      <c r="A33" s="19" t="n">
        <f aca="false">Daromadlilik!A30</f>
        <v>45334</v>
      </c>
      <c r="B33" s="31" t="n">
        <f aca="false">SUMPRODUCT(Parametrlar!$B$14:$E$14,Daromadlilik!C30:F30)</f>
        <v>0.000525767286418488</v>
      </c>
      <c r="C33" s="31" t="n">
        <f aca="false">LN(1+B33)</f>
        <v>0.000525629119225848</v>
      </c>
      <c r="D33" s="31" t="n">
        <f aca="false">SUM(C24:C33)</f>
        <v>-0.000274487756172336</v>
      </c>
      <c r="F33" s="8" t="s">
        <v>188</v>
      </c>
      <c r="I33" s="23" t="n">
        <f aca="false">EXP(MIN(D14:D508))-1</f>
        <v>-0.133746476431457</v>
      </c>
      <c r="L33" s="31" t="n">
        <f aca="true">NORMSINV(RAND())*$G$7+$G$6</f>
        <v>0.0045107172913622</v>
      </c>
    </row>
    <row r="34" customFormat="false" ht="15" hidden="false" customHeight="false" outlineLevel="0" collapsed="false">
      <c r="A34" s="19" t="n">
        <f aca="false">Daromadlilik!A31</f>
        <v>45335</v>
      </c>
      <c r="B34" s="31" t="n">
        <f aca="false">SUMPRODUCT(Parametrlar!$B$14:$E$14,Daromadlilik!C31:F31)</f>
        <v>0.00335799756381515</v>
      </c>
      <c r="C34" s="31" t="n">
        <f aca="false">LN(1+B34)</f>
        <v>0.00335237208005192</v>
      </c>
      <c r="D34" s="31" t="n">
        <f aca="false">SUM(C25:C34)</f>
        <v>-0.000260515775566883</v>
      </c>
      <c r="F34" s="8" t="s">
        <v>189</v>
      </c>
      <c r="I34" s="43" t="n">
        <f aca="false">-I33*G5</f>
        <v>1337464764.31457</v>
      </c>
      <c r="L34" s="31" t="n">
        <f aca="true">NORMSINV(RAND())*$G$7+$G$6</f>
        <v>-0.00139543594697807</v>
      </c>
    </row>
    <row r="35" customFormat="false" ht="15" hidden="false" customHeight="false" outlineLevel="0" collapsed="false">
      <c r="A35" s="19" t="n">
        <f aca="false">Daromadlilik!A32</f>
        <v>45336</v>
      </c>
      <c r="B35" s="31" t="n">
        <f aca="false">SUMPRODUCT(Parametrlar!$B$14:$E$14,Daromadlilik!C32:F32)</f>
        <v>0.00592711086947872</v>
      </c>
      <c r="C35" s="31" t="n">
        <f aca="false">LN(1+B35)</f>
        <v>0.00590961464850364</v>
      </c>
      <c r="D35" s="31" t="n">
        <f aca="false">SUM(C26:C35)</f>
        <v>0.000883234626107079</v>
      </c>
      <c r="L35" s="31" t="n">
        <f aca="true">NORMSINV(RAND())*$G$7+$G$6</f>
        <v>0.00638442686823282</v>
      </c>
    </row>
    <row r="36" customFormat="false" ht="15" hidden="false" customHeight="false" outlineLevel="0" collapsed="false">
      <c r="A36" s="19" t="n">
        <f aca="false">Daromadlilik!A33</f>
        <v>45337</v>
      </c>
      <c r="B36" s="31" t="n">
        <f aca="false">SUMPRODUCT(Parametrlar!$B$14:$E$14,Daromadlilik!C33:F33)</f>
        <v>-0.000812852731292918</v>
      </c>
      <c r="C36" s="31" t="n">
        <f aca="false">LN(1+B36)</f>
        <v>-0.000813183275208819</v>
      </c>
      <c r="D36" s="31" t="n">
        <f aca="false">SUM(C27:C36)</f>
        <v>-0.00157443454682273</v>
      </c>
      <c r="F36" s="10" t="s">
        <v>190</v>
      </c>
      <c r="L36" s="31" t="n">
        <f aca="true">NORMSINV(RAND())*$G$7+$G$6</f>
        <v>-0.0226432739047923</v>
      </c>
    </row>
    <row r="37" customFormat="false" ht="15" hidden="false" customHeight="false" outlineLevel="0" collapsed="false">
      <c r="A37" s="19" t="n">
        <f aca="false">Daromadlilik!A34</f>
        <v>45338</v>
      </c>
      <c r="B37" s="31" t="n">
        <f aca="false">SUMPRODUCT(Parametrlar!$B$14:$E$14,Daromadlilik!C34:F34)</f>
        <v>-0.00561626765886292</v>
      </c>
      <c r="C37" s="31" t="n">
        <f aca="false">LN(1+B37)</f>
        <v>-0.00563209819022931</v>
      </c>
      <c r="D37" s="31" t="n">
        <f aca="false">SUM(C28:C37)</f>
        <v>-0.00839908665989116</v>
      </c>
      <c r="L37" s="31" t="n">
        <f aca="true">NORMSINV(RAND())*$G$7+$G$6</f>
        <v>-0.0175423689360461</v>
      </c>
    </row>
    <row r="38" customFormat="false" ht="15" hidden="false" customHeight="false" outlineLevel="0" collapsed="false">
      <c r="A38" s="19" t="n">
        <f aca="false">Daromadlilik!A35</f>
        <v>45341</v>
      </c>
      <c r="B38" s="31" t="n">
        <f aca="false">SUMPRODUCT(Parametrlar!$B$14:$E$14,Daromadlilik!C35:F35)</f>
        <v>0.0118745681862484</v>
      </c>
      <c r="C38" s="31" t="n">
        <f aca="false">LN(1+B38)</f>
        <v>0.0118046187035303</v>
      </c>
      <c r="D38" s="31" t="n">
        <f aca="false">SUM(C29:C38)</f>
        <v>0.0036063495083873</v>
      </c>
      <c r="L38" s="31" t="n">
        <f aca="true">NORMSINV(RAND())*$G$7+$G$6</f>
        <v>0.0135567948936875</v>
      </c>
    </row>
    <row r="39" customFormat="false" ht="15" hidden="false" customHeight="false" outlineLevel="0" collapsed="false">
      <c r="A39" s="19" t="n">
        <f aca="false">Daromadlilik!A36</f>
        <v>45342</v>
      </c>
      <c r="B39" s="31" t="n">
        <f aca="false">SUMPRODUCT(Parametrlar!$B$14:$E$14,Daromadlilik!C36:F36)</f>
        <v>0.00170058815013511</v>
      </c>
      <c r="C39" s="31" t="n">
        <f aca="false">LN(1+B39)</f>
        <v>0.00169914378738582</v>
      </c>
      <c r="D39" s="31" t="n">
        <f aca="false">SUM(C30:C39)</f>
        <v>0.0210655392863737</v>
      </c>
      <c r="L39" s="31" t="n">
        <f aca="true">NORMSINV(RAND())*$G$7+$G$6</f>
        <v>0.0183249922264784</v>
      </c>
    </row>
    <row r="40" customFormat="false" ht="15" hidden="false" customHeight="false" outlineLevel="0" collapsed="false">
      <c r="A40" s="19" t="n">
        <f aca="false">Daromadlilik!A37</f>
        <v>45343</v>
      </c>
      <c r="B40" s="31" t="n">
        <f aca="false">SUMPRODUCT(Parametrlar!$B$14:$E$14,Daromadlilik!C37:F37)</f>
        <v>-0.0118102842710279</v>
      </c>
      <c r="C40" s="31" t="n">
        <f aca="false">LN(1+B40)</f>
        <v>-0.0118805796991485</v>
      </c>
      <c r="D40" s="31" t="n">
        <f aca="false">SUM(C31:C40)</f>
        <v>0.00621398787378981</v>
      </c>
      <c r="L40" s="31" t="n">
        <f aca="true">NORMSINV(RAND())*$G$7+$G$6</f>
        <v>0.0233425969710357</v>
      </c>
    </row>
    <row r="41" customFormat="false" ht="15" hidden="false" customHeight="false" outlineLevel="0" collapsed="false">
      <c r="A41" s="19" t="n">
        <f aca="false">Daromadlilik!A38</f>
        <v>45344</v>
      </c>
      <c r="B41" s="31" t="n">
        <f aca="false">SUMPRODUCT(Parametrlar!$B$14:$E$14,Daromadlilik!C38:F38)</f>
        <v>0.0592798449056975</v>
      </c>
      <c r="C41" s="31" t="n">
        <f aca="false">LN(1+B41)</f>
        <v>0.0575892856345223</v>
      </c>
      <c r="D41" s="31" t="n">
        <f aca="false">SUM(C32:C41)</f>
        <v>0.0601693410788617</v>
      </c>
      <c r="L41" s="31" t="n">
        <f aca="true">NORMSINV(RAND())*$G$7+$G$6</f>
        <v>0.0290628325751522</v>
      </c>
    </row>
    <row r="42" customFormat="false" ht="15" hidden="false" customHeight="false" outlineLevel="0" collapsed="false">
      <c r="A42" s="19" t="n">
        <f aca="false">Daromadlilik!A39</f>
        <v>45345</v>
      </c>
      <c r="B42" s="31" t="n">
        <f aca="false">SUMPRODUCT(Parametrlar!$B$14:$E$14,Daromadlilik!C39:F39)</f>
        <v>0.00318817533450408</v>
      </c>
      <c r="C42" s="31" t="n">
        <f aca="false">LN(1+B42)</f>
        <v>0.00318310387978783</v>
      </c>
      <c r="D42" s="31" t="n">
        <f aca="false">SUM(C33:C42)</f>
        <v>0.0657379066884211</v>
      </c>
      <c r="L42" s="31" t="n">
        <f aca="true">NORMSINV(RAND())*$G$7+$G$6</f>
        <v>0.0216638241433967</v>
      </c>
    </row>
    <row r="43" customFormat="false" ht="15" hidden="false" customHeight="false" outlineLevel="0" collapsed="false">
      <c r="A43" s="19" t="n">
        <f aca="false">Daromadlilik!A40</f>
        <v>45348</v>
      </c>
      <c r="B43" s="31" t="n">
        <f aca="false">SUMPRODUCT(Parametrlar!$B$14:$E$14,Daromadlilik!C40:F40)</f>
        <v>-0.00609470784960239</v>
      </c>
      <c r="C43" s="31" t="n">
        <f aca="false">LN(1+B43)</f>
        <v>-0.00611335639170847</v>
      </c>
      <c r="D43" s="31" t="n">
        <f aca="false">SUM(C34:C43)</f>
        <v>0.0590989211774867</v>
      </c>
      <c r="L43" s="31" t="n">
        <f aca="true">NORMSINV(RAND())*$G$7+$G$6</f>
        <v>0.0304001400475505</v>
      </c>
    </row>
    <row r="44" customFormat="false" ht="15" hidden="false" customHeight="false" outlineLevel="0" collapsed="false">
      <c r="A44" s="19" t="n">
        <f aca="false">Daromadlilik!A41</f>
        <v>45349</v>
      </c>
      <c r="B44" s="31" t="n">
        <f aca="false">SUMPRODUCT(Parametrlar!$B$14:$E$14,Daromadlilik!C41:F41)</f>
        <v>0.00900919877789802</v>
      </c>
      <c r="C44" s="31" t="n">
        <f aca="false">LN(1+B44)</f>
        <v>0.0089688580572666</v>
      </c>
      <c r="D44" s="31" t="n">
        <f aca="false">SUM(C35:C44)</f>
        <v>0.0647154071547014</v>
      </c>
      <c r="L44" s="31" t="n">
        <f aca="true">NORMSINV(RAND())*$G$7+$G$6</f>
        <v>0.0190633582423984</v>
      </c>
    </row>
    <row r="45" customFormat="false" ht="15" hidden="false" customHeight="false" outlineLevel="0" collapsed="false">
      <c r="A45" s="19" t="n">
        <f aca="false">Daromadlilik!A42</f>
        <v>45350</v>
      </c>
      <c r="B45" s="31" t="n">
        <f aca="false">SUMPRODUCT(Parametrlar!$B$14:$E$14,Daromadlilik!C42:F42)</f>
        <v>-0.000200256680197008</v>
      </c>
      <c r="C45" s="31" t="n">
        <f aca="false">LN(1+B45)</f>
        <v>-0.000200276734243295</v>
      </c>
      <c r="D45" s="31" t="n">
        <f aca="false">SUM(C36:C45)</f>
        <v>0.0586055157719545</v>
      </c>
      <c r="L45" s="31" t="n">
        <f aca="true">NORMSINV(RAND())*$G$7+$G$6</f>
        <v>-0.00735511948821387</v>
      </c>
    </row>
    <row r="46" customFormat="false" ht="15" hidden="false" customHeight="false" outlineLevel="0" collapsed="false">
      <c r="A46" s="19" t="n">
        <f aca="false">Daromadlilik!A43</f>
        <v>45351</v>
      </c>
      <c r="B46" s="31" t="n">
        <f aca="false">SUMPRODUCT(Parametrlar!$B$14:$E$14,Daromadlilik!C43:F43)</f>
        <v>0.00220607283596629</v>
      </c>
      <c r="C46" s="31" t="n">
        <f aca="false">LN(1+B46)</f>
        <v>0.00220364303018367</v>
      </c>
      <c r="D46" s="31" t="n">
        <f aca="false">SUM(C37:C46)</f>
        <v>0.061622342077347</v>
      </c>
      <c r="L46" s="31" t="n">
        <f aca="true">NORMSINV(RAND())*$G$7+$G$6</f>
        <v>-0.00165898180244977</v>
      </c>
    </row>
    <row r="47" customFormat="false" ht="15" hidden="false" customHeight="false" outlineLevel="0" collapsed="false">
      <c r="A47" s="19" t="n">
        <f aca="false">Daromadlilik!A44</f>
        <v>45352</v>
      </c>
      <c r="B47" s="31" t="n">
        <f aca="false">SUMPRODUCT(Parametrlar!$B$14:$E$14,Daromadlilik!C44:F44)</f>
        <v>0.0050512298701002</v>
      </c>
      <c r="C47" s="31" t="n">
        <f aca="false">LN(1+B47)</f>
        <v>0.00503851520698274</v>
      </c>
      <c r="D47" s="31" t="n">
        <f aca="false">SUM(C38:C47)</f>
        <v>0.072292955474559</v>
      </c>
      <c r="L47" s="31" t="n">
        <f aca="true">NORMSINV(RAND())*$G$7+$G$6</f>
        <v>0.0141014916479533</v>
      </c>
    </row>
    <row r="48" customFormat="false" ht="15" hidden="false" customHeight="false" outlineLevel="0" collapsed="false">
      <c r="A48" s="19" t="n">
        <f aca="false">Daromadlilik!A45</f>
        <v>45355</v>
      </c>
      <c r="B48" s="31" t="n">
        <f aca="false">SUMPRODUCT(Parametrlar!$B$14:$E$14,Daromadlilik!C45:F45)</f>
        <v>-0.000492136158425111</v>
      </c>
      <c r="C48" s="31" t="n">
        <f aca="false">LN(1+B48)</f>
        <v>-0.000492257297170488</v>
      </c>
      <c r="D48" s="31" t="n">
        <f aca="false">SUM(C39:C48)</f>
        <v>0.0599960794738582</v>
      </c>
      <c r="L48" s="31" t="n">
        <f aca="true">NORMSINV(RAND())*$G$7+$G$6</f>
        <v>-0.0100043703428144</v>
      </c>
    </row>
    <row r="49" customFormat="false" ht="15" hidden="false" customHeight="false" outlineLevel="0" collapsed="false">
      <c r="A49" s="19" t="n">
        <f aca="false">Daromadlilik!A46</f>
        <v>45356</v>
      </c>
      <c r="B49" s="31" t="n">
        <f aca="false">SUMPRODUCT(Parametrlar!$B$14:$E$14,Daromadlilik!C46:F46)</f>
        <v>0.0122101762927299</v>
      </c>
      <c r="C49" s="31" t="n">
        <f aca="false">LN(1+B49)</f>
        <v>0.0121362333856451</v>
      </c>
      <c r="D49" s="31" t="n">
        <f aca="false">SUM(C40:C49)</f>
        <v>0.0704331690721175</v>
      </c>
      <c r="L49" s="31" t="n">
        <f aca="true">NORMSINV(RAND())*$G$7+$G$6</f>
        <v>0.0054533644374947</v>
      </c>
    </row>
    <row r="50" customFormat="false" ht="15" hidden="false" customHeight="false" outlineLevel="0" collapsed="false">
      <c r="A50" s="19" t="n">
        <f aca="false">Daromadlilik!A47</f>
        <v>45357</v>
      </c>
      <c r="B50" s="31" t="n">
        <f aca="false">SUMPRODUCT(Parametrlar!$B$14:$E$14,Daromadlilik!C47:F47)</f>
        <v>-0.0356304137552581</v>
      </c>
      <c r="C50" s="31" t="n">
        <f aca="false">LN(1+B50)</f>
        <v>-0.0362806696253898</v>
      </c>
      <c r="D50" s="31" t="n">
        <f aca="false">SUM(C41:C50)</f>
        <v>0.0460330791458762</v>
      </c>
      <c r="L50" s="31" t="n">
        <f aca="true">NORMSINV(RAND())*$G$7+$G$6</f>
        <v>-0.0166867001975732</v>
      </c>
    </row>
    <row r="51" customFormat="false" ht="15" hidden="false" customHeight="false" outlineLevel="0" collapsed="false">
      <c r="A51" s="19" t="n">
        <f aca="false">Daromadlilik!A48</f>
        <v>45358</v>
      </c>
      <c r="B51" s="31" t="n">
        <f aca="false">SUMPRODUCT(Parametrlar!$B$14:$E$14,Daromadlilik!C48:F48)</f>
        <v>-0.0360728754959175</v>
      </c>
      <c r="C51" s="31" t="n">
        <f aca="false">LN(1+B51)</f>
        <v>-0.036739584216654</v>
      </c>
      <c r="D51" s="31" t="n">
        <f aca="false">SUM(C42:C51)</f>
        <v>-0.0482957907053001</v>
      </c>
      <c r="L51" s="31" t="n">
        <f aca="true">NORMSINV(RAND())*$G$7+$G$6</f>
        <v>0.00839477476042916</v>
      </c>
    </row>
    <row r="52" customFormat="false" ht="15" hidden="false" customHeight="false" outlineLevel="0" collapsed="false">
      <c r="A52" s="19" t="n">
        <f aca="false">Daromadlilik!A49</f>
        <v>45359</v>
      </c>
      <c r="B52" s="31" t="n">
        <f aca="false">SUMPRODUCT(Parametrlar!$B$14:$E$14,Daromadlilik!C49:F49)</f>
        <v>0.018223185444219</v>
      </c>
      <c r="C52" s="31" t="n">
        <f aca="false">LN(1+B52)</f>
        <v>0.0180591332386472</v>
      </c>
      <c r="D52" s="31" t="n">
        <f aca="false">SUM(C43:C52)</f>
        <v>-0.0334197613464408</v>
      </c>
      <c r="L52" s="31" t="n">
        <f aca="true">NORMSINV(RAND())*$G$7+$G$6</f>
        <v>-0.00642291666795307</v>
      </c>
    </row>
    <row r="53" customFormat="false" ht="15" hidden="false" customHeight="false" outlineLevel="0" collapsed="false">
      <c r="A53" s="19" t="n">
        <f aca="false">Daromadlilik!A50</f>
        <v>45362</v>
      </c>
      <c r="B53" s="31" t="n">
        <f aca="false">SUMPRODUCT(Parametrlar!$B$14:$E$14,Daromadlilik!C50:F50)</f>
        <v>0.0446252895357095</v>
      </c>
      <c r="C53" s="31" t="n">
        <f aca="false">LN(1+B53)</f>
        <v>0.0436582465065513</v>
      </c>
      <c r="D53" s="31" t="n">
        <f aca="false">SUM(C44:C53)</f>
        <v>0.016351841551819</v>
      </c>
      <c r="L53" s="31" t="n">
        <f aca="true">NORMSINV(RAND())*$G$7+$G$6</f>
        <v>-0.00932222688603786</v>
      </c>
    </row>
    <row r="54" customFormat="false" ht="15" hidden="false" customHeight="false" outlineLevel="0" collapsed="false">
      <c r="A54" s="19" t="n">
        <f aca="false">Daromadlilik!A51</f>
        <v>45363</v>
      </c>
      <c r="B54" s="31" t="n">
        <f aca="false">SUMPRODUCT(Parametrlar!$B$14:$E$14,Daromadlilik!C51:F51)</f>
        <v>-0.00412877339494125</v>
      </c>
      <c r="C54" s="31" t="n">
        <f aca="false">LN(1+B54)</f>
        <v>-0.00413732031345328</v>
      </c>
      <c r="D54" s="31" t="n">
        <f aca="false">SUM(C45:C54)</f>
        <v>0.00324566318109908</v>
      </c>
      <c r="L54" s="31" t="n">
        <f aca="true">NORMSINV(RAND())*$G$7+$G$6</f>
        <v>0.0180556828377429</v>
      </c>
    </row>
    <row r="55" customFormat="false" ht="15" hidden="false" customHeight="false" outlineLevel="0" collapsed="false">
      <c r="A55" s="19" t="n">
        <f aca="false">Daromadlilik!A52</f>
        <v>45364</v>
      </c>
      <c r="B55" s="31" t="n">
        <f aca="false">SUMPRODUCT(Parametrlar!$B$14:$E$14,Daromadlilik!C52:F52)</f>
        <v>0.00748053583588884</v>
      </c>
      <c r="C55" s="31" t="n">
        <f aca="false">LN(1+B55)</f>
        <v>0.00745269538249235</v>
      </c>
      <c r="D55" s="31" t="n">
        <f aca="false">SUM(C46:C55)</f>
        <v>0.0108986352978347</v>
      </c>
      <c r="L55" s="31" t="n">
        <f aca="true">NORMSINV(RAND())*$G$7+$G$6</f>
        <v>-0.00286700339650519</v>
      </c>
    </row>
    <row r="56" customFormat="false" ht="15" hidden="false" customHeight="false" outlineLevel="0" collapsed="false">
      <c r="A56" s="19" t="n">
        <f aca="false">Daromadlilik!A53</f>
        <v>45365</v>
      </c>
      <c r="B56" s="31" t="n">
        <f aca="false">SUMPRODUCT(Parametrlar!$B$14:$E$14,Daromadlilik!C53:F53)</f>
        <v>0.0218596267060106</v>
      </c>
      <c r="C56" s="31" t="n">
        <f aca="false">LN(1+B56)</f>
        <v>0.021624130788247</v>
      </c>
      <c r="D56" s="31" t="n">
        <f aca="false">SUM(C47:C56)</f>
        <v>0.030319123055898</v>
      </c>
      <c r="L56" s="31" t="n">
        <f aca="true">NORMSINV(RAND())*$G$7+$G$6</f>
        <v>0.00173842401654465</v>
      </c>
    </row>
    <row r="57" customFormat="false" ht="15" hidden="false" customHeight="false" outlineLevel="0" collapsed="false">
      <c r="A57" s="19" t="n">
        <f aca="false">Daromadlilik!A54</f>
        <v>45366</v>
      </c>
      <c r="B57" s="31" t="n">
        <f aca="false">SUMPRODUCT(Parametrlar!$B$14:$E$14,Daromadlilik!C54:F54)</f>
        <v>0.0212019818225885</v>
      </c>
      <c r="C57" s="31" t="n">
        <f aca="false">LN(1+B57)</f>
        <v>0.0209803470634776</v>
      </c>
      <c r="D57" s="31" t="n">
        <f aca="false">SUM(C48:C57)</f>
        <v>0.0462609549123929</v>
      </c>
      <c r="L57" s="31" t="n">
        <f aca="true">NORMSINV(RAND())*$G$7+$G$6</f>
        <v>-0.0098110036919685</v>
      </c>
    </row>
    <row r="58" customFormat="false" ht="15" hidden="false" customHeight="false" outlineLevel="0" collapsed="false">
      <c r="A58" s="19" t="n">
        <f aca="false">Daromadlilik!A55</f>
        <v>45369</v>
      </c>
      <c r="B58" s="31" t="n">
        <f aca="false">SUMPRODUCT(Parametrlar!$B$14:$E$14,Daromadlilik!C55:F55)</f>
        <v>0.0167327871629944</v>
      </c>
      <c r="C58" s="31" t="n">
        <f aca="false">LN(1+B58)</f>
        <v>0.0165943363901905</v>
      </c>
      <c r="D58" s="31" t="n">
        <f aca="false">SUM(C49:C58)</f>
        <v>0.0633475485997539</v>
      </c>
      <c r="L58" s="31" t="n">
        <f aca="true">NORMSINV(RAND())*$G$7+$G$6</f>
        <v>0.00578557206153076</v>
      </c>
    </row>
    <row r="59" customFormat="false" ht="15" hidden="false" customHeight="false" outlineLevel="0" collapsed="false">
      <c r="A59" s="19" t="n">
        <f aca="false">Daromadlilik!A56</f>
        <v>45370</v>
      </c>
      <c r="B59" s="31" t="n">
        <f aca="false">SUMPRODUCT(Parametrlar!$B$14:$E$14,Daromadlilik!C56:F56)</f>
        <v>0.0255302198123405</v>
      </c>
      <c r="C59" s="31" t="n">
        <f aca="false">LN(1+B59)</f>
        <v>0.0252097664650472</v>
      </c>
      <c r="D59" s="31" t="n">
        <f aca="false">SUM(C50:C59)</f>
        <v>0.076421081679156</v>
      </c>
      <c r="L59" s="31" t="n">
        <f aca="true">NORMSINV(RAND())*$G$7+$G$6</f>
        <v>0.0117720536689948</v>
      </c>
    </row>
    <row r="60" customFormat="false" ht="15" hidden="false" customHeight="false" outlineLevel="0" collapsed="false">
      <c r="A60" s="19" t="n">
        <f aca="false">Daromadlilik!A57</f>
        <v>45371</v>
      </c>
      <c r="B60" s="31" t="n">
        <f aca="false">SUMPRODUCT(Parametrlar!$B$14:$E$14,Daromadlilik!C57:F57)</f>
        <v>0.0107366711148618</v>
      </c>
      <c r="C60" s="31" t="n">
        <f aca="false">LN(1+B60)</f>
        <v>0.0106794423282324</v>
      </c>
      <c r="D60" s="31" t="n">
        <f aca="false">SUM(C51:C60)</f>
        <v>0.123381193632778</v>
      </c>
      <c r="L60" s="31" t="n">
        <f aca="true">NORMSINV(RAND())*$G$7+$G$6</f>
        <v>-0.0051796658642518</v>
      </c>
    </row>
    <row r="61" customFormat="false" ht="15" hidden="false" customHeight="false" outlineLevel="0" collapsed="false">
      <c r="A61" s="19" t="n">
        <f aca="false">Daromadlilik!A58</f>
        <v>45372</v>
      </c>
      <c r="B61" s="31" t="n">
        <f aca="false">SUMPRODUCT(Parametrlar!$B$14:$E$14,Daromadlilik!C58:F58)</f>
        <v>-0.0342538591318571</v>
      </c>
      <c r="C61" s="31" t="n">
        <f aca="false">LN(1+B61)</f>
        <v>-0.0348542734384051</v>
      </c>
      <c r="D61" s="31" t="n">
        <f aca="false">SUM(C52:C61)</f>
        <v>0.125266504411027</v>
      </c>
      <c r="L61" s="31" t="n">
        <f aca="true">NORMSINV(RAND())*$G$7+$G$6</f>
        <v>0.0302143820188452</v>
      </c>
    </row>
    <row r="62" customFormat="false" ht="15" hidden="false" customHeight="false" outlineLevel="0" collapsed="false">
      <c r="A62" s="19" t="n">
        <f aca="false">Daromadlilik!A59</f>
        <v>45373</v>
      </c>
      <c r="B62" s="31" t="n">
        <f aca="false">SUMPRODUCT(Parametrlar!$B$14:$E$14,Daromadlilik!C59:F59)</f>
        <v>-0.0148790537778457</v>
      </c>
      <c r="C62" s="31" t="n">
        <f aca="false">LN(1+B62)</f>
        <v>-0.0149908573050866</v>
      </c>
      <c r="D62" s="31" t="n">
        <f aca="false">SUM(C53:C62)</f>
        <v>0.0922165138672933</v>
      </c>
      <c r="L62" s="31" t="n">
        <f aca="true">NORMSINV(RAND())*$G$7+$G$6</f>
        <v>-0.00267047221974301</v>
      </c>
    </row>
    <row r="63" customFormat="false" ht="15" hidden="false" customHeight="false" outlineLevel="0" collapsed="false">
      <c r="A63" s="19" t="n">
        <f aca="false">Daromadlilik!A60</f>
        <v>45376</v>
      </c>
      <c r="B63" s="31" t="n">
        <f aca="false">SUMPRODUCT(Parametrlar!$B$14:$E$14,Daromadlilik!C60:F60)</f>
        <v>0.00841988284390263</v>
      </c>
      <c r="C63" s="31" t="n">
        <f aca="false">LN(1+B63)</f>
        <v>0.00838463335650671</v>
      </c>
      <c r="D63" s="31" t="n">
        <f aca="false">SUM(C54:C63)</f>
        <v>0.0569429007172487</v>
      </c>
      <c r="L63" s="31" t="n">
        <f aca="true">NORMSINV(RAND())*$G$7+$G$6</f>
        <v>-0.00360363381128638</v>
      </c>
    </row>
    <row r="64" customFormat="false" ht="15" hidden="false" customHeight="false" outlineLevel="0" collapsed="false">
      <c r="A64" s="19" t="n">
        <f aca="false">Daromadlilik!A61</f>
        <v>45377</v>
      </c>
      <c r="B64" s="31" t="n">
        <f aca="false">SUMPRODUCT(Parametrlar!$B$14:$E$14,Daromadlilik!C61:F61)</f>
        <v>-0.0250567714956998</v>
      </c>
      <c r="C64" s="31" t="n">
        <f aca="false">LN(1+B64)</f>
        <v>-0.0253760368546343</v>
      </c>
      <c r="D64" s="31" t="n">
        <f aca="false">SUM(C55:C64)</f>
        <v>0.0357041841760677</v>
      </c>
      <c r="L64" s="31" t="n">
        <f aca="true">NORMSINV(RAND())*$G$7+$G$6</f>
        <v>0.0124834994394272</v>
      </c>
    </row>
    <row r="65" customFormat="false" ht="15" hidden="false" customHeight="false" outlineLevel="0" collapsed="false">
      <c r="A65" s="19" t="n">
        <f aca="false">Daromadlilik!A62</f>
        <v>45378</v>
      </c>
      <c r="B65" s="31" t="n">
        <f aca="false">SUMPRODUCT(Parametrlar!$B$14:$E$14,Daromadlilik!C62:F62)</f>
        <v>-0.0123067838997066</v>
      </c>
      <c r="C65" s="31" t="n">
        <f aca="false">LN(1+B65)</f>
        <v>-0.0123831394724332</v>
      </c>
      <c r="D65" s="31" t="n">
        <f aca="false">SUM(C56:C65)</f>
        <v>0.0158683493211422</v>
      </c>
      <c r="L65" s="31" t="n">
        <f aca="true">NORMSINV(RAND())*$G$7+$G$6</f>
        <v>0.0223121474275928</v>
      </c>
    </row>
    <row r="66" customFormat="false" ht="15" hidden="false" customHeight="false" outlineLevel="0" collapsed="false">
      <c r="A66" s="19" t="n">
        <f aca="false">Daromadlilik!A63</f>
        <v>45379</v>
      </c>
      <c r="B66" s="31" t="n">
        <f aca="false">SUMPRODUCT(Parametrlar!$B$14:$E$14,Daromadlilik!C63:F63)</f>
        <v>0.00304404844373701</v>
      </c>
      <c r="C66" s="31" t="n">
        <f aca="false">LN(1+B66)</f>
        <v>0.00303942470914482</v>
      </c>
      <c r="D66" s="31" t="n">
        <f aca="false">SUM(C57:C66)</f>
        <v>-0.00271635675796002</v>
      </c>
      <c r="L66" s="31" t="n">
        <f aca="true">NORMSINV(RAND())*$G$7+$G$6</f>
        <v>0.020076382254512</v>
      </c>
    </row>
    <row r="67" customFormat="false" ht="15" hidden="false" customHeight="false" outlineLevel="0" collapsed="false">
      <c r="A67" s="19" t="n">
        <f aca="false">Daromadlilik!A64</f>
        <v>45380</v>
      </c>
      <c r="B67" s="31" t="n">
        <f aca="false">SUMPRODUCT(Parametrlar!$B$14:$E$14,Daromadlilik!C64:F64)</f>
        <v>0.0119184259359884</v>
      </c>
      <c r="C67" s="31" t="n">
        <f aca="false">LN(1+B67)</f>
        <v>0.0118479608337523</v>
      </c>
      <c r="D67" s="31" t="n">
        <f aca="false">SUM(C58:C67)</f>
        <v>-0.0118487429876853</v>
      </c>
      <c r="L67" s="31" t="n">
        <f aca="true">NORMSINV(RAND())*$G$7+$G$6</f>
        <v>-0.0102623460630235</v>
      </c>
    </row>
    <row r="68" customFormat="false" ht="15" hidden="false" customHeight="false" outlineLevel="0" collapsed="false">
      <c r="A68" s="19" t="n">
        <f aca="false">Daromadlilik!A65</f>
        <v>45383</v>
      </c>
      <c r="B68" s="31" t="n">
        <f aca="false">SUMPRODUCT(Parametrlar!$B$14:$E$14,Daromadlilik!C65:F65)</f>
        <v>0.0645822624117317</v>
      </c>
      <c r="C68" s="31" t="n">
        <f aca="false">LN(1+B68)</f>
        <v>0.0625824803475068</v>
      </c>
      <c r="D68" s="31" t="n">
        <f aca="false">SUM(C59:C68)</f>
        <v>0.034139400969631</v>
      </c>
      <c r="L68" s="31" t="n">
        <f aca="true">NORMSINV(RAND())*$G$7+$G$6</f>
        <v>0.00142394248533841</v>
      </c>
    </row>
    <row r="69" customFormat="false" ht="15" hidden="false" customHeight="false" outlineLevel="0" collapsed="false">
      <c r="A69" s="19" t="n">
        <f aca="false">Daromadlilik!A66</f>
        <v>45384</v>
      </c>
      <c r="B69" s="31" t="n">
        <f aca="false">SUMPRODUCT(Parametrlar!$B$14:$E$14,Daromadlilik!C66:F66)</f>
        <v>-0.0111136024046294</v>
      </c>
      <c r="C69" s="31" t="n">
        <f aca="false">LN(1+B69)</f>
        <v>-0.0111758198868789</v>
      </c>
      <c r="D69" s="31" t="n">
        <f aca="false">SUM(C60:C69)</f>
        <v>-0.00224618538229507</v>
      </c>
      <c r="L69" s="31" t="n">
        <f aca="true">NORMSINV(RAND())*$G$7+$G$6</f>
        <v>0.0108943767050849</v>
      </c>
    </row>
    <row r="70" customFormat="false" ht="15" hidden="false" customHeight="false" outlineLevel="0" collapsed="false">
      <c r="A70" s="19" t="n">
        <f aca="false">Daromadlilik!A67</f>
        <v>45385</v>
      </c>
      <c r="B70" s="31" t="n">
        <f aca="false">SUMPRODUCT(Parametrlar!$B$14:$E$14,Daromadlilik!C67:F67)</f>
        <v>-0.0334793023567375</v>
      </c>
      <c r="C70" s="31" t="n">
        <f aca="false">LN(1+B70)</f>
        <v>-0.0340525655157016</v>
      </c>
      <c r="D70" s="31" t="n">
        <f aca="false">SUM(C61:C70)</f>
        <v>-0.046978193226229</v>
      </c>
      <c r="L70" s="31" t="n">
        <f aca="true">NORMSINV(RAND())*$G$7+$G$6</f>
        <v>-0.0013723756939683</v>
      </c>
    </row>
    <row r="71" customFormat="false" ht="15" hidden="false" customHeight="false" outlineLevel="0" collapsed="false">
      <c r="A71" s="19" t="n">
        <f aca="false">Daromadlilik!A68</f>
        <v>45386</v>
      </c>
      <c r="B71" s="31" t="n">
        <f aca="false">SUMPRODUCT(Parametrlar!$B$14:$E$14,Daromadlilik!C68:F68)</f>
        <v>-0.000973954217287842</v>
      </c>
      <c r="C71" s="31" t="n">
        <f aca="false">LN(1+B71)</f>
        <v>-0.000974428818881713</v>
      </c>
      <c r="D71" s="31" t="n">
        <f aca="false">SUM(C62:C71)</f>
        <v>-0.0130983486067057</v>
      </c>
      <c r="L71" s="31" t="n">
        <f aca="true">NORMSINV(RAND())*$G$7+$G$6</f>
        <v>-0.00728838511094913</v>
      </c>
    </row>
    <row r="72" customFormat="false" ht="15" hidden="false" customHeight="false" outlineLevel="0" collapsed="false">
      <c r="A72" s="19" t="n">
        <f aca="false">Daromadlilik!A69</f>
        <v>45387</v>
      </c>
      <c r="B72" s="31" t="n">
        <f aca="false">SUMPRODUCT(Parametrlar!$B$14:$E$14,Daromadlilik!C69:F69)</f>
        <v>-0.0349291709562968</v>
      </c>
      <c r="C72" s="31" t="n">
        <f aca="false">LN(1+B72)</f>
        <v>-0.0355537823639011</v>
      </c>
      <c r="D72" s="31" t="n">
        <f aca="false">SUM(C63:C72)</f>
        <v>-0.0336612736655201</v>
      </c>
      <c r="L72" s="31" t="n">
        <f aca="true">NORMSINV(RAND())*$G$7+$G$6</f>
        <v>0.00194730093866976</v>
      </c>
    </row>
    <row r="73" customFormat="false" ht="15" hidden="false" customHeight="false" outlineLevel="0" collapsed="false">
      <c r="A73" s="19" t="n">
        <f aca="false">Daromadlilik!A70</f>
        <v>45390</v>
      </c>
      <c r="B73" s="31" t="n">
        <f aca="false">SUMPRODUCT(Parametrlar!$B$14:$E$14,Daromadlilik!C70:F70)</f>
        <v>0.0145458734047746</v>
      </c>
      <c r="C73" s="31" t="n">
        <f aca="false">LN(1+B73)</f>
        <v>0.0144410970088776</v>
      </c>
      <c r="D73" s="31" t="n">
        <f aca="false">SUM(C64:C73)</f>
        <v>-0.0276048100131493</v>
      </c>
      <c r="L73" s="31" t="n">
        <f aca="true">NORMSINV(RAND())*$G$7+$G$6</f>
        <v>-0.00448793149341281</v>
      </c>
    </row>
    <row r="74" customFormat="false" ht="15" hidden="false" customHeight="false" outlineLevel="0" collapsed="false">
      <c r="A74" s="19" t="n">
        <f aca="false">Daromadlilik!A71</f>
        <v>45391</v>
      </c>
      <c r="B74" s="31" t="n">
        <f aca="false">SUMPRODUCT(Parametrlar!$B$14:$E$14,Daromadlilik!C71:F71)</f>
        <v>0.022406725605035</v>
      </c>
      <c r="C74" s="31" t="n">
        <f aca="false">LN(1+B74)</f>
        <v>0.0221593828716826</v>
      </c>
      <c r="D74" s="31" t="n">
        <f aca="false">SUM(C65:C74)</f>
        <v>0.0199306097131676</v>
      </c>
      <c r="L74" s="31" t="n">
        <f aca="true">NORMSINV(RAND())*$G$7+$G$6</f>
        <v>-0.0115973664177842</v>
      </c>
    </row>
    <row r="75" customFormat="false" ht="15" hidden="false" customHeight="false" outlineLevel="0" collapsed="false">
      <c r="A75" s="19" t="n">
        <f aca="false">Daromadlilik!A72</f>
        <v>45392</v>
      </c>
      <c r="B75" s="31" t="n">
        <f aca="false">SUMPRODUCT(Parametrlar!$B$14:$E$14,Daromadlilik!C72:F72)</f>
        <v>-0.0104867810644802</v>
      </c>
      <c r="C75" s="31" t="n">
        <f aca="false">LN(1+B75)</f>
        <v>-0.0105421548215547</v>
      </c>
      <c r="D75" s="31" t="n">
        <f aca="false">SUM(C66:C75)</f>
        <v>0.0217715943640461</v>
      </c>
      <c r="L75" s="31" t="n">
        <f aca="true">NORMSINV(RAND())*$G$7+$G$6</f>
        <v>0.0042905322081685</v>
      </c>
    </row>
    <row r="76" customFormat="false" ht="15" hidden="false" customHeight="false" outlineLevel="0" collapsed="false">
      <c r="A76" s="19" t="n">
        <f aca="false">Daromadlilik!A73</f>
        <v>45393</v>
      </c>
      <c r="B76" s="31" t="n">
        <f aca="false">SUMPRODUCT(Parametrlar!$B$14:$E$14,Daromadlilik!C73:F73)</f>
        <v>0.0202448969000872</v>
      </c>
      <c r="C76" s="31" t="n">
        <f aca="false">LN(1+B76)</f>
        <v>0.0200426934780734</v>
      </c>
      <c r="D76" s="31" t="n">
        <f aca="false">SUM(C67:C76)</f>
        <v>0.0387748631329747</v>
      </c>
      <c r="L76" s="31" t="n">
        <f aca="true">NORMSINV(RAND())*$G$7+$G$6</f>
        <v>0.000764680071273218</v>
      </c>
    </row>
    <row r="77" customFormat="false" ht="15" hidden="false" customHeight="false" outlineLevel="0" collapsed="false">
      <c r="A77" s="19" t="n">
        <f aca="false">Daromadlilik!A74</f>
        <v>45394</v>
      </c>
      <c r="B77" s="31" t="n">
        <f aca="false">SUMPRODUCT(Parametrlar!$B$14:$E$14,Daromadlilik!C74:F74)</f>
        <v>0.0170171080934409</v>
      </c>
      <c r="C77" s="31" t="n">
        <f aca="false">LN(1+B77)</f>
        <v>0.016873939042377</v>
      </c>
      <c r="D77" s="31" t="n">
        <f aca="false">SUM(C68:C77)</f>
        <v>0.0438008413415994</v>
      </c>
      <c r="L77" s="31" t="n">
        <f aca="true">NORMSINV(RAND())*$G$7+$G$6</f>
        <v>0.0389694907235015</v>
      </c>
    </row>
    <row r="78" customFormat="false" ht="15" hidden="false" customHeight="false" outlineLevel="0" collapsed="false">
      <c r="A78" s="19" t="n">
        <f aca="false">Daromadlilik!A75</f>
        <v>45397</v>
      </c>
      <c r="B78" s="31" t="n">
        <f aca="false">SUMPRODUCT(Parametrlar!$B$14:$E$14,Daromadlilik!C75:F75)</f>
        <v>-0.00933738625945969</v>
      </c>
      <c r="C78" s="31" t="n">
        <f aca="false">LN(1+B78)</f>
        <v>-0.00938125293078355</v>
      </c>
      <c r="D78" s="31" t="n">
        <f aca="false">SUM(C69:C78)</f>
        <v>-0.0281628919366909</v>
      </c>
      <c r="L78" s="31" t="n">
        <f aca="true">NORMSINV(RAND())*$G$7+$G$6</f>
        <v>-0.00593531087954416</v>
      </c>
    </row>
    <row r="79" customFormat="false" ht="15" hidden="false" customHeight="false" outlineLevel="0" collapsed="false">
      <c r="A79" s="19" t="n">
        <f aca="false">Daromadlilik!A76</f>
        <v>45398</v>
      </c>
      <c r="B79" s="31" t="n">
        <f aca="false">SUMPRODUCT(Parametrlar!$B$14:$E$14,Daromadlilik!C76:F76)</f>
        <v>0.0101557692434347</v>
      </c>
      <c r="C79" s="31" t="n">
        <f aca="false">LN(1+B79)</f>
        <v>0.0101045459351087</v>
      </c>
      <c r="D79" s="31" t="n">
        <f aca="false">SUM(C70:C79)</f>
        <v>-0.00688252611470337</v>
      </c>
      <c r="L79" s="31" t="n">
        <f aca="true">NORMSINV(RAND())*$G$7+$G$6</f>
        <v>0.0126336119959576</v>
      </c>
    </row>
    <row r="80" customFormat="false" ht="15" hidden="false" customHeight="false" outlineLevel="0" collapsed="false">
      <c r="A80" s="19" t="n">
        <f aca="false">Daromadlilik!A77</f>
        <v>45399</v>
      </c>
      <c r="B80" s="31" t="n">
        <f aca="false">SUMPRODUCT(Parametrlar!$B$14:$E$14,Daromadlilik!C77:F77)</f>
        <v>0.000135247427046947</v>
      </c>
      <c r="C80" s="31" t="n">
        <f aca="false">LN(1+B80)</f>
        <v>0.000135238281938145</v>
      </c>
      <c r="D80" s="31" t="n">
        <f aca="false">SUM(C71:C80)</f>
        <v>0.0273052776829364</v>
      </c>
      <c r="L80" s="31" t="n">
        <f aca="true">NORMSINV(RAND())*$G$7+$G$6</f>
        <v>-0.0127410894804826</v>
      </c>
    </row>
    <row r="81" customFormat="false" ht="15" hidden="false" customHeight="false" outlineLevel="0" collapsed="false">
      <c r="A81" s="19" t="n">
        <f aca="false">Daromadlilik!A78</f>
        <v>45400</v>
      </c>
      <c r="B81" s="31" t="n">
        <f aca="false">SUMPRODUCT(Parametrlar!$B$14:$E$14,Daromadlilik!C78:F78)</f>
        <v>-0.00265185276488066</v>
      </c>
      <c r="C81" s="31" t="n">
        <f aca="false">LN(1+B81)</f>
        <v>-0.00265537515504212</v>
      </c>
      <c r="D81" s="31" t="n">
        <f aca="false">SUM(C72:C81)</f>
        <v>0.025624331346776</v>
      </c>
      <c r="L81" s="31" t="n">
        <f aca="true">NORMSINV(RAND())*$G$7+$G$6</f>
        <v>-0.00555948268048223</v>
      </c>
    </row>
    <row r="82" customFormat="false" ht="15" hidden="false" customHeight="false" outlineLevel="0" collapsed="false">
      <c r="A82" s="19" t="n">
        <f aca="false">Daromadlilik!A79</f>
        <v>45401</v>
      </c>
      <c r="B82" s="31" t="n">
        <f aca="false">SUMPRODUCT(Parametrlar!$B$14:$E$14,Daromadlilik!C79:F79)</f>
        <v>0.0047312737391452</v>
      </c>
      <c r="C82" s="31" t="n">
        <f aca="false">LN(1+B82)</f>
        <v>0.00472011644185917</v>
      </c>
      <c r="D82" s="31" t="n">
        <f aca="false">SUM(C73:C82)</f>
        <v>0.0658982301525362</v>
      </c>
      <c r="L82" s="31" t="n">
        <f aca="true">NORMSINV(RAND())*$G$7+$G$6</f>
        <v>-0.00708517002451248</v>
      </c>
    </row>
    <row r="83" customFormat="false" ht="15" hidden="false" customHeight="false" outlineLevel="0" collapsed="false">
      <c r="A83" s="19" t="n">
        <f aca="false">Daromadlilik!A80</f>
        <v>45404</v>
      </c>
      <c r="B83" s="31" t="n">
        <f aca="false">SUMPRODUCT(Parametrlar!$B$14:$E$14,Daromadlilik!C80:F80)</f>
        <v>0.0326746487911288</v>
      </c>
      <c r="C83" s="31" t="n">
        <f aca="false">LN(1+B83)</f>
        <v>0.0321521829201238</v>
      </c>
      <c r="D83" s="31" t="n">
        <f aca="false">SUM(C74:C83)</f>
        <v>0.0836093160637824</v>
      </c>
      <c r="L83" s="31" t="n">
        <f aca="true">NORMSINV(RAND())*$G$7+$G$6</f>
        <v>-0.0139559182557132</v>
      </c>
    </row>
    <row r="84" customFormat="false" ht="15" hidden="false" customHeight="false" outlineLevel="0" collapsed="false">
      <c r="A84" s="19" t="n">
        <f aca="false">Daromadlilik!A81</f>
        <v>45405</v>
      </c>
      <c r="B84" s="31" t="n">
        <f aca="false">SUMPRODUCT(Parametrlar!$B$14:$E$14,Daromadlilik!C81:F81)</f>
        <v>0.00406155900672471</v>
      </c>
      <c r="C84" s="31" t="n">
        <f aca="false">LN(1+B84)</f>
        <v>0.00405333314164412</v>
      </c>
      <c r="D84" s="31" t="n">
        <f aca="false">SUM(C75:C84)</f>
        <v>0.065503266333744</v>
      </c>
      <c r="L84" s="31" t="n">
        <f aca="true">NORMSINV(RAND())*$G$7+$G$6</f>
        <v>0.00481735107762505</v>
      </c>
    </row>
    <row r="85" customFormat="false" ht="15" hidden="false" customHeight="false" outlineLevel="0" collapsed="false">
      <c r="A85" s="19" t="n">
        <f aca="false">Daromadlilik!A82</f>
        <v>45406</v>
      </c>
      <c r="B85" s="31" t="n">
        <f aca="false">SUMPRODUCT(Parametrlar!$B$14:$E$14,Daromadlilik!C82:F82)</f>
        <v>0.014592909699018</v>
      </c>
      <c r="C85" s="31" t="n">
        <f aca="false">LN(1+B85)</f>
        <v>0.0144874578538268</v>
      </c>
      <c r="D85" s="31" t="n">
        <f aca="false">SUM(C76:C85)</f>
        <v>0.0905328790091254</v>
      </c>
      <c r="L85" s="31" t="n">
        <f aca="true">NORMSINV(RAND())*$G$7+$G$6</f>
        <v>-0.00702219084100825</v>
      </c>
    </row>
    <row r="86" customFormat="false" ht="15" hidden="false" customHeight="false" outlineLevel="0" collapsed="false">
      <c r="A86" s="19" t="n">
        <f aca="false">Daromadlilik!A83</f>
        <v>45407</v>
      </c>
      <c r="B86" s="31" t="n">
        <f aca="false">SUMPRODUCT(Parametrlar!$B$14:$E$14,Daromadlilik!C83:F83)</f>
        <v>-0.00463238251784084</v>
      </c>
      <c r="C86" s="31" t="n">
        <f aca="false">LN(1+B86)</f>
        <v>-0.00464314525266914</v>
      </c>
      <c r="D86" s="31" t="n">
        <f aca="false">SUM(C77:C86)</f>
        <v>0.0658470402783829</v>
      </c>
      <c r="L86" s="31" t="n">
        <f aca="true">NORMSINV(RAND())*$G$7+$G$6</f>
        <v>0.00429284640601057</v>
      </c>
    </row>
    <row r="87" customFormat="false" ht="15" hidden="false" customHeight="false" outlineLevel="0" collapsed="false">
      <c r="A87" s="19" t="n">
        <f aca="false">Daromadlilik!A84</f>
        <v>45408</v>
      </c>
      <c r="B87" s="31" t="n">
        <f aca="false">SUMPRODUCT(Parametrlar!$B$14:$E$14,Daromadlilik!C84:F84)</f>
        <v>0.0269969259486169</v>
      </c>
      <c r="C87" s="31" t="n">
        <f aca="false">LN(1+B87)</f>
        <v>0.0266389377078781</v>
      </c>
      <c r="D87" s="31" t="n">
        <f aca="false">SUM(C78:C87)</f>
        <v>0.075612038943884</v>
      </c>
      <c r="L87" s="31" t="n">
        <f aca="true">NORMSINV(RAND())*$G$7+$G$6</f>
        <v>-0.00187336506488534</v>
      </c>
    </row>
    <row r="88" customFormat="false" ht="15" hidden="false" customHeight="false" outlineLevel="0" collapsed="false">
      <c r="A88" s="19" t="n">
        <f aca="false">Daromadlilik!A85</f>
        <v>45411</v>
      </c>
      <c r="B88" s="31" t="n">
        <f aca="false">SUMPRODUCT(Parametrlar!$B$14:$E$14,Daromadlilik!C85:F85)</f>
        <v>0.00440587497801993</v>
      </c>
      <c r="C88" s="31" t="n">
        <f aca="false">LN(1+B88)</f>
        <v>0.0043961975255442</v>
      </c>
      <c r="D88" s="31" t="n">
        <f aca="false">SUM(C79:C88)</f>
        <v>0.0893894894002117</v>
      </c>
      <c r="L88" s="31" t="n">
        <f aca="true">NORMSINV(RAND())*$G$7+$G$6</f>
        <v>-0.000462795936558508</v>
      </c>
    </row>
    <row r="89" customFormat="false" ht="15" hidden="false" customHeight="false" outlineLevel="0" collapsed="false">
      <c r="A89" s="19" t="n">
        <f aca="false">Daromadlilik!A86</f>
        <v>45412</v>
      </c>
      <c r="B89" s="31" t="n">
        <f aca="false">SUMPRODUCT(Parametrlar!$B$14:$E$14,Daromadlilik!C86:F86)</f>
        <v>-0.00232525283044911</v>
      </c>
      <c r="C89" s="31" t="n">
        <f aca="false">LN(1+B89)</f>
        <v>-0.00232796042886014</v>
      </c>
      <c r="D89" s="31" t="n">
        <f aca="false">SUM(C80:C89)</f>
        <v>0.0769569830362429</v>
      </c>
      <c r="L89" s="31" t="n">
        <f aca="true">NORMSINV(RAND())*$G$7+$G$6</f>
        <v>-0.0047157170186558</v>
      </c>
    </row>
    <row r="90" customFormat="false" ht="15" hidden="false" customHeight="false" outlineLevel="0" collapsed="false">
      <c r="A90" s="19" t="n">
        <f aca="false">Daromadlilik!A87</f>
        <v>45413</v>
      </c>
      <c r="B90" s="31" t="n">
        <f aca="false">SUMPRODUCT(Parametrlar!$B$14:$E$14,Daromadlilik!C87:F87)</f>
        <v>0.00133421764761428</v>
      </c>
      <c r="C90" s="31" t="n">
        <f aca="false">LN(1+B90)</f>
        <v>0.00133332837015396</v>
      </c>
      <c r="D90" s="31" t="n">
        <f aca="false">SUM(C81:C90)</f>
        <v>0.0781550731244587</v>
      </c>
      <c r="L90" s="31" t="n">
        <f aca="true">NORMSINV(RAND())*$G$7+$G$6</f>
        <v>-0.0243238646466713</v>
      </c>
    </row>
    <row r="91" customFormat="false" ht="15" hidden="false" customHeight="false" outlineLevel="0" collapsed="false">
      <c r="A91" s="19" t="n">
        <f aca="false">Daromadlilik!A88</f>
        <v>45414</v>
      </c>
      <c r="B91" s="31" t="n">
        <f aca="false">SUMPRODUCT(Parametrlar!$B$14:$E$14,Daromadlilik!C88:F88)</f>
        <v>0.00666745687905004</v>
      </c>
      <c r="C91" s="31" t="n">
        <f aca="false">LN(1+B91)</f>
        <v>0.00664532769754935</v>
      </c>
      <c r="D91" s="31" t="n">
        <f aca="false">SUM(C82:C91)</f>
        <v>0.0874557759770501</v>
      </c>
      <c r="L91" s="31" t="n">
        <f aca="true">NORMSINV(RAND())*$G$7+$G$6</f>
        <v>0.0146212773328144</v>
      </c>
    </row>
    <row r="92" customFormat="false" ht="15" hidden="false" customHeight="false" outlineLevel="0" collapsed="false">
      <c r="A92" s="19" t="n">
        <f aca="false">Daromadlilik!A89</f>
        <v>45415</v>
      </c>
      <c r="B92" s="31" t="n">
        <f aca="false">SUMPRODUCT(Parametrlar!$B$14:$E$14,Daromadlilik!C89:F89)</f>
        <v>-0.0222238063518329</v>
      </c>
      <c r="C92" s="31" t="n">
        <f aca="false">LN(1+B92)</f>
        <v>-0.0224744759859273</v>
      </c>
      <c r="D92" s="31" t="n">
        <f aca="false">SUM(C83:C92)</f>
        <v>0.0602611835492636</v>
      </c>
      <c r="L92" s="31" t="n">
        <f aca="true">NORMSINV(RAND())*$G$7+$G$6</f>
        <v>0.00700553830714542</v>
      </c>
    </row>
    <row r="93" customFormat="false" ht="15" hidden="false" customHeight="false" outlineLevel="0" collapsed="false">
      <c r="A93" s="19" t="n">
        <f aca="false">Daromadlilik!A90</f>
        <v>45418</v>
      </c>
      <c r="B93" s="31" t="n">
        <f aca="false">SUMPRODUCT(Parametrlar!$B$14:$E$14,Daromadlilik!C90:F90)</f>
        <v>0.00495149059097158</v>
      </c>
      <c r="C93" s="31" t="n">
        <f aca="false">LN(1+B93)</f>
        <v>0.00493927227741334</v>
      </c>
      <c r="D93" s="31" t="n">
        <f aca="false">SUM(C84:C93)</f>
        <v>0.0330482729065532</v>
      </c>
      <c r="L93" s="31" t="n">
        <f aca="true">NORMSINV(RAND())*$G$7+$G$6</f>
        <v>0.00645143507457224</v>
      </c>
    </row>
    <row r="94" customFormat="false" ht="15" hidden="false" customHeight="false" outlineLevel="0" collapsed="false">
      <c r="A94" s="19" t="n">
        <f aca="false">Daromadlilik!A91</f>
        <v>45419</v>
      </c>
      <c r="B94" s="31" t="n">
        <f aca="false">SUMPRODUCT(Parametrlar!$B$14:$E$14,Daromadlilik!C91:F91)</f>
        <v>0.00752998283429924</v>
      </c>
      <c r="C94" s="31" t="n">
        <f aca="false">LN(1+B94)</f>
        <v>0.0075017740329133</v>
      </c>
      <c r="D94" s="31" t="n">
        <f aca="false">SUM(C85:C94)</f>
        <v>0.0364967137978224</v>
      </c>
      <c r="L94" s="31" t="n">
        <f aca="true">NORMSINV(RAND())*$G$7+$G$6</f>
        <v>0.000208706580299363</v>
      </c>
    </row>
    <row r="95" customFormat="false" ht="15" hidden="false" customHeight="false" outlineLevel="0" collapsed="false">
      <c r="A95" s="19" t="n">
        <f aca="false">Daromadlilik!A92</f>
        <v>45420</v>
      </c>
      <c r="B95" s="31" t="n">
        <f aca="false">SUMPRODUCT(Parametrlar!$B$14:$E$14,Daromadlilik!C92:F92)</f>
        <v>-0.00562597166818982</v>
      </c>
      <c r="C95" s="31" t="n">
        <f aca="false">LN(1+B95)</f>
        <v>-0.00564185705530462</v>
      </c>
      <c r="D95" s="31" t="n">
        <f aca="false">SUM(C86:C95)</f>
        <v>0.016367398888691</v>
      </c>
      <c r="L95" s="31" t="n">
        <f aca="true">NORMSINV(RAND())*$G$7+$G$6</f>
        <v>-0.00747365772715323</v>
      </c>
    </row>
    <row r="96" customFormat="false" ht="15" hidden="false" customHeight="false" outlineLevel="0" collapsed="false">
      <c r="A96" s="19" t="n">
        <f aca="false">Daromadlilik!A93</f>
        <v>45421</v>
      </c>
      <c r="B96" s="31" t="n">
        <f aca="false">SUMPRODUCT(Parametrlar!$B$14:$E$14,Daromadlilik!C93:F93)</f>
        <v>0.00538133980144722</v>
      </c>
      <c r="C96" s="31" t="n">
        <f aca="false">LN(1+B96)</f>
        <v>0.00536691212940996</v>
      </c>
      <c r="D96" s="31" t="n">
        <f aca="false">SUM(C87:C96)</f>
        <v>0.0263774562707701</v>
      </c>
      <c r="L96" s="31" t="n">
        <f aca="true">NORMSINV(RAND())*$G$7+$G$6</f>
        <v>0.0136915474638025</v>
      </c>
    </row>
    <row r="97" customFormat="false" ht="15" hidden="false" customHeight="false" outlineLevel="0" collapsed="false">
      <c r="A97" s="19" t="n">
        <f aca="false">Daromadlilik!A94</f>
        <v>45422</v>
      </c>
      <c r="B97" s="31" t="n">
        <f aca="false">SUMPRODUCT(Parametrlar!$B$14:$E$14,Daromadlilik!C94:F94)</f>
        <v>0.0189806310198801</v>
      </c>
      <c r="C97" s="31" t="n">
        <f aca="false">LN(1+B97)</f>
        <v>0.0188027462286119</v>
      </c>
      <c r="D97" s="31" t="n">
        <f aca="false">SUM(C88:C97)</f>
        <v>0.018541264791504</v>
      </c>
      <c r="L97" s="31" t="n">
        <f aca="true">NORMSINV(RAND())*$G$7+$G$6</f>
        <v>0.0121701643959512</v>
      </c>
    </row>
    <row r="98" customFormat="false" ht="15" hidden="false" customHeight="false" outlineLevel="0" collapsed="false">
      <c r="A98" s="19" t="n">
        <f aca="false">Daromadlilik!A95</f>
        <v>45425</v>
      </c>
      <c r="B98" s="31" t="n">
        <f aca="false">SUMPRODUCT(Parametrlar!$B$14:$E$14,Daromadlilik!C95:F95)</f>
        <v>0.0117621610581844</v>
      </c>
      <c r="C98" s="31" t="n">
        <f aca="false">LN(1+B98)</f>
        <v>0.0116935245268382</v>
      </c>
      <c r="D98" s="31" t="n">
        <f aca="false">SUM(C89:C98)</f>
        <v>0.025838591792798</v>
      </c>
      <c r="L98" s="31" t="n">
        <f aca="true">NORMSINV(RAND())*$G$7+$G$6</f>
        <v>-0.00873234335051611</v>
      </c>
    </row>
    <row r="99" customFormat="false" ht="15" hidden="false" customHeight="false" outlineLevel="0" collapsed="false">
      <c r="A99" s="19" t="n">
        <f aca="false">Daromadlilik!A96</f>
        <v>45426</v>
      </c>
      <c r="B99" s="31" t="n">
        <f aca="false">SUMPRODUCT(Parametrlar!$B$14:$E$14,Daromadlilik!C96:F96)</f>
        <v>0.0030691058846977</v>
      </c>
      <c r="C99" s="31" t="n">
        <f aca="false">LN(1+B99)</f>
        <v>0.00306440579349476</v>
      </c>
      <c r="D99" s="31" t="n">
        <f aca="false">SUM(C90:C99)</f>
        <v>0.0312309580151529</v>
      </c>
      <c r="L99" s="31" t="n">
        <f aca="true">NORMSINV(RAND())*$G$7+$G$6</f>
        <v>0.0053311041686663</v>
      </c>
    </row>
    <row r="100" customFormat="false" ht="15" hidden="false" customHeight="false" outlineLevel="0" collapsed="false">
      <c r="A100" s="19" t="n">
        <f aca="false">Daromadlilik!A97</f>
        <v>45427</v>
      </c>
      <c r="B100" s="31" t="n">
        <f aca="false">SUMPRODUCT(Parametrlar!$B$14:$E$14,Daromadlilik!C97:F97)</f>
        <v>0.0221180379603304</v>
      </c>
      <c r="C100" s="31" t="n">
        <f aca="false">LN(1+B100)</f>
        <v>0.0218769821380082</v>
      </c>
      <c r="D100" s="31" t="n">
        <f aca="false">SUM(C91:C100)</f>
        <v>0.0517746117830071</v>
      </c>
      <c r="L100" s="31" t="n">
        <f aca="true">NORMSINV(RAND())*$G$7+$G$6</f>
        <v>0.0166203938170444</v>
      </c>
    </row>
    <row r="101" customFormat="false" ht="15" hidden="false" customHeight="false" outlineLevel="0" collapsed="false">
      <c r="A101" s="19" t="n">
        <f aca="false">Daromadlilik!A98</f>
        <v>45428</v>
      </c>
      <c r="B101" s="31" t="n">
        <f aca="false">SUMPRODUCT(Parametrlar!$B$14:$E$14,Daromadlilik!C98:F98)</f>
        <v>-0.00779967573816233</v>
      </c>
      <c r="C101" s="31" t="n">
        <f aca="false">LN(1+B101)</f>
        <v>-0.00783025230427874</v>
      </c>
      <c r="D101" s="31" t="n">
        <f aca="false">SUM(C92:C101)</f>
        <v>0.0372990317811791</v>
      </c>
      <c r="L101" s="31" t="n">
        <f aca="true">NORMSINV(RAND())*$G$7+$G$6</f>
        <v>0.00085906903493408</v>
      </c>
    </row>
    <row r="102" customFormat="false" ht="15" hidden="false" customHeight="false" outlineLevel="0" collapsed="false">
      <c r="A102" s="19" t="n">
        <f aca="false">Daromadlilik!A99</f>
        <v>45429</v>
      </c>
      <c r="B102" s="31" t="n">
        <f aca="false">SUMPRODUCT(Parametrlar!$B$14:$E$14,Daromadlilik!C99:F99)</f>
        <v>0.00810230071845471</v>
      </c>
      <c r="C102" s="31" t="n">
        <f aca="false">LN(1+B102)</f>
        <v>0.00806965330752693</v>
      </c>
      <c r="D102" s="31" t="n">
        <f aca="false">SUM(C93:C102)</f>
        <v>0.0678431610746333</v>
      </c>
      <c r="L102" s="31" t="n">
        <f aca="true">NORMSINV(RAND())*$G$7+$G$6</f>
        <v>-0.024370401984703</v>
      </c>
    </row>
    <row r="103" customFormat="false" ht="15" hidden="false" customHeight="false" outlineLevel="0" collapsed="false">
      <c r="A103" s="19" t="n">
        <f aca="false">Daromadlilik!A100</f>
        <v>45432</v>
      </c>
      <c r="B103" s="31" t="n">
        <f aca="false">SUMPRODUCT(Parametrlar!$B$14:$E$14,Daromadlilik!C100:F100)</f>
        <v>5.91733574363761E-005</v>
      </c>
      <c r="C103" s="31" t="n">
        <f aca="false">LN(1+B103)</f>
        <v>5.91716067623839E-005</v>
      </c>
      <c r="D103" s="31" t="n">
        <f aca="false">SUM(C94:C103)</f>
        <v>0.0629630604039824</v>
      </c>
      <c r="L103" s="31" t="n">
        <f aca="true">NORMSINV(RAND())*$G$7+$G$6</f>
        <v>0.0149998483756998</v>
      </c>
    </row>
    <row r="104" customFormat="false" ht="15" hidden="false" customHeight="false" outlineLevel="0" collapsed="false">
      <c r="A104" s="19" t="n">
        <f aca="false">Daromadlilik!A101</f>
        <v>45433</v>
      </c>
      <c r="B104" s="31" t="n">
        <f aca="false">SUMPRODUCT(Parametrlar!$B$14:$E$14,Daromadlilik!C101:F101)</f>
        <v>0.0116718126250677</v>
      </c>
      <c r="C104" s="31" t="n">
        <f aca="false">LN(1+B104)</f>
        <v>0.0116042224449795</v>
      </c>
      <c r="D104" s="31" t="n">
        <f aca="false">SUM(C95:C104)</f>
        <v>0.0670655088160486</v>
      </c>
      <c r="L104" s="31" t="n">
        <f aca="true">NORMSINV(RAND())*$G$7+$G$6</f>
        <v>0.00471520859262972</v>
      </c>
    </row>
    <row r="105" customFormat="false" ht="15" hidden="false" customHeight="false" outlineLevel="0" collapsed="false">
      <c r="A105" s="19" t="n">
        <f aca="false">Daromadlilik!A102</f>
        <v>45434</v>
      </c>
      <c r="B105" s="31" t="n">
        <f aca="false">SUMPRODUCT(Parametrlar!$B$14:$E$14,Daromadlilik!C102:F102)</f>
        <v>-0.00870511048271002</v>
      </c>
      <c r="C105" s="31" t="n">
        <f aca="false">LN(1+B105)</f>
        <v>-0.00874322129069091</v>
      </c>
      <c r="D105" s="31" t="n">
        <f aca="false">SUM(C96:C105)</f>
        <v>0.0639641445806623</v>
      </c>
      <c r="L105" s="31" t="n">
        <f aca="true">NORMSINV(RAND())*$G$7+$G$6</f>
        <v>0.0147405384197258</v>
      </c>
    </row>
    <row r="106" customFormat="false" ht="15" hidden="false" customHeight="false" outlineLevel="0" collapsed="false">
      <c r="A106" s="19" t="n">
        <f aca="false">Daromadlilik!A103</f>
        <v>45435</v>
      </c>
      <c r="B106" s="31" t="n">
        <f aca="false">SUMPRODUCT(Parametrlar!$B$14:$E$14,Daromadlilik!C103:F103)</f>
        <v>0.00790781617856716</v>
      </c>
      <c r="C106" s="31" t="n">
        <f aca="false">LN(1+B106)</f>
        <v>0.0078767132633666</v>
      </c>
      <c r="D106" s="31" t="n">
        <f aca="false">SUM(C97:C106)</f>
        <v>0.0664739457146189</v>
      </c>
      <c r="L106" s="31" t="n">
        <f aca="true">NORMSINV(RAND())*$G$7+$G$6</f>
        <v>0.0157215568865678</v>
      </c>
    </row>
    <row r="107" customFormat="false" ht="15" hidden="false" customHeight="false" outlineLevel="0" collapsed="false">
      <c r="A107" s="19" t="n">
        <f aca="false">Daromadlilik!A104</f>
        <v>45436</v>
      </c>
      <c r="B107" s="31" t="n">
        <f aca="false">SUMPRODUCT(Parametrlar!$B$14:$E$14,Daromadlilik!C104:F104)</f>
        <v>0.00283259779194688</v>
      </c>
      <c r="C107" s="31" t="n">
        <f aca="false">LN(1+B107)</f>
        <v>0.00282859354665001</v>
      </c>
      <c r="D107" s="31" t="n">
        <f aca="false">SUM(C98:C107)</f>
        <v>0.050499793032657</v>
      </c>
      <c r="L107" s="31" t="n">
        <f aca="true">NORMSINV(RAND())*$G$7+$G$6</f>
        <v>-0.00255940736424175</v>
      </c>
    </row>
    <row r="108" customFormat="false" ht="15" hidden="false" customHeight="false" outlineLevel="0" collapsed="false">
      <c r="A108" s="19" t="n">
        <f aca="false">Daromadlilik!A105</f>
        <v>45439</v>
      </c>
      <c r="B108" s="31" t="n">
        <f aca="false">SUMPRODUCT(Parametrlar!$B$14:$E$14,Daromadlilik!C105:F105)</f>
        <v>0.00501824560950347</v>
      </c>
      <c r="C108" s="31" t="n">
        <f aca="false">LN(1+B108)</f>
        <v>0.00500569618156878</v>
      </c>
      <c r="D108" s="31" t="n">
        <f aca="false">SUM(C99:C108)</f>
        <v>0.0438119646873876</v>
      </c>
      <c r="L108" s="31" t="n">
        <f aca="true">NORMSINV(RAND())*$G$7+$G$6</f>
        <v>-0.000753102532225966</v>
      </c>
    </row>
    <row r="109" customFormat="false" ht="15" hidden="false" customHeight="false" outlineLevel="0" collapsed="false">
      <c r="A109" s="19" t="n">
        <f aca="false">Daromadlilik!A106</f>
        <v>45440</v>
      </c>
      <c r="B109" s="31" t="n">
        <f aca="false">SUMPRODUCT(Parametrlar!$B$14:$E$14,Daromadlilik!C106:F106)</f>
        <v>-0.00269766009016192</v>
      </c>
      <c r="C109" s="31" t="n">
        <f aca="false">LN(1+B109)</f>
        <v>-0.00270130533236845</v>
      </c>
      <c r="D109" s="31" t="n">
        <f aca="false">SUM(C100:C109)</f>
        <v>0.0380462535615243</v>
      </c>
      <c r="L109" s="31" t="n">
        <f aca="true">NORMSINV(RAND())*$G$7+$G$6</f>
        <v>-0.0184859904080194</v>
      </c>
    </row>
    <row r="110" customFormat="false" ht="15" hidden="false" customHeight="false" outlineLevel="0" collapsed="false">
      <c r="A110" s="19" t="n">
        <f aca="false">Daromadlilik!A107</f>
        <v>45441</v>
      </c>
      <c r="B110" s="31" t="n">
        <f aca="false">SUMPRODUCT(Parametrlar!$B$14:$E$14,Daromadlilik!C107:F107)</f>
        <v>-0.0109026117204923</v>
      </c>
      <c r="C110" s="31" t="n">
        <f aca="false">LN(1+B110)</f>
        <v>-0.0109624807417919</v>
      </c>
      <c r="D110" s="31" t="n">
        <f aca="false">SUM(C101:C110)</f>
        <v>0.00520679068172425</v>
      </c>
      <c r="L110" s="31" t="n">
        <f aca="true">NORMSINV(RAND())*$G$7+$G$6</f>
        <v>0.0176774003479522</v>
      </c>
    </row>
    <row r="111" customFormat="false" ht="15" hidden="false" customHeight="false" outlineLevel="0" collapsed="false">
      <c r="A111" s="19" t="n">
        <f aca="false">Daromadlilik!A108</f>
        <v>45442</v>
      </c>
      <c r="B111" s="31" t="n">
        <f aca="false">SUMPRODUCT(Parametrlar!$B$14:$E$14,Daromadlilik!C108:F108)</f>
        <v>-0.00334351085171863</v>
      </c>
      <c r="C111" s="31" t="n">
        <f aca="false">LN(1+B111)</f>
        <v>-0.00334911287456121</v>
      </c>
      <c r="D111" s="31" t="n">
        <f aca="false">SUM(C102:C111)</f>
        <v>0.00968793011144179</v>
      </c>
      <c r="L111" s="31" t="n">
        <f aca="true">NORMSINV(RAND())*$G$7+$G$6</f>
        <v>0.002708752791932</v>
      </c>
    </row>
    <row r="112" customFormat="false" ht="15" hidden="false" customHeight="false" outlineLevel="0" collapsed="false">
      <c r="A112" s="19" t="n">
        <f aca="false">Daromadlilik!A109</f>
        <v>45443</v>
      </c>
      <c r="B112" s="31" t="n">
        <f aca="false">SUMPRODUCT(Parametrlar!$B$14:$E$14,Daromadlilik!C109:F109)</f>
        <v>-0.00348977172382792</v>
      </c>
      <c r="C112" s="31" t="n">
        <f aca="false">LN(1+B112)</f>
        <v>-0.00349587518108905</v>
      </c>
      <c r="D112" s="31" t="n">
        <f aca="false">SUM(C103:C112)</f>
        <v>-0.00187759837717419</v>
      </c>
      <c r="L112" s="31" t="n">
        <f aca="true">NORMSINV(RAND())*$G$7+$G$6</f>
        <v>0.0264465451585206</v>
      </c>
    </row>
    <row r="113" customFormat="false" ht="15" hidden="false" customHeight="false" outlineLevel="0" collapsed="false">
      <c r="A113" s="19" t="n">
        <f aca="false">Daromadlilik!A110</f>
        <v>45446</v>
      </c>
      <c r="B113" s="31" t="n">
        <f aca="false">SUMPRODUCT(Parametrlar!$B$14:$E$14,Daromadlilik!C110:F110)</f>
        <v>-0.00714859806221245</v>
      </c>
      <c r="C113" s="31" t="n">
        <f aca="false">LN(1+B113)</f>
        <v>-0.00717427171626306</v>
      </c>
      <c r="D113" s="31" t="n">
        <f aca="false">SUM(C104:C113)</f>
        <v>-0.00911104170019963</v>
      </c>
      <c r="L113" s="31" t="n">
        <f aca="true">NORMSINV(RAND())*$G$7+$G$6</f>
        <v>-0.00664210321721196</v>
      </c>
    </row>
    <row r="114" customFormat="false" ht="15" hidden="false" customHeight="false" outlineLevel="0" collapsed="false">
      <c r="A114" s="19" t="n">
        <f aca="false">Daromadlilik!A111</f>
        <v>45447</v>
      </c>
      <c r="B114" s="31" t="n">
        <f aca="false">SUMPRODUCT(Parametrlar!$B$14:$E$14,Daromadlilik!C111:F111)</f>
        <v>-0.00307524840670353</v>
      </c>
      <c r="C114" s="31" t="n">
        <f aca="false">LN(1+B114)</f>
        <v>-0.00307998669986419</v>
      </c>
      <c r="D114" s="31" t="n">
        <f aca="false">SUM(C105:C114)</f>
        <v>-0.0237952508450433</v>
      </c>
      <c r="L114" s="31" t="n">
        <f aca="true">NORMSINV(RAND())*$G$7+$G$6</f>
        <v>-0.0201054664967362</v>
      </c>
    </row>
    <row r="115" customFormat="false" ht="15" hidden="false" customHeight="false" outlineLevel="0" collapsed="false">
      <c r="A115" s="19" t="n">
        <f aca="false">Daromadlilik!A112</f>
        <v>45448</v>
      </c>
      <c r="B115" s="31" t="n">
        <f aca="false">SUMPRODUCT(Parametrlar!$B$14:$E$14,Daromadlilik!C112:F112)</f>
        <v>-0.00831644222825306</v>
      </c>
      <c r="C115" s="31" t="n">
        <f aca="false">LN(1+B115)</f>
        <v>-0.00835121676843748</v>
      </c>
      <c r="D115" s="31" t="n">
        <f aca="false">SUM(C106:C115)</f>
        <v>-0.0234032463227899</v>
      </c>
      <c r="L115" s="31" t="n">
        <f aca="true">NORMSINV(RAND())*$G$7+$G$6</f>
        <v>0.0295158522042951</v>
      </c>
    </row>
    <row r="116" customFormat="false" ht="15" hidden="false" customHeight="false" outlineLevel="0" collapsed="false">
      <c r="A116" s="19" t="n">
        <f aca="false">Daromadlilik!A113</f>
        <v>45449</v>
      </c>
      <c r="B116" s="31" t="n">
        <f aca="false">SUMPRODUCT(Parametrlar!$B$14:$E$14,Daromadlilik!C113:F113)</f>
        <v>0.00784547882731406</v>
      </c>
      <c r="C116" s="31" t="n">
        <f aca="false">LN(1+B116)</f>
        <v>0.00781486308415344</v>
      </c>
      <c r="D116" s="31" t="n">
        <f aca="false">SUM(C107:C116)</f>
        <v>-0.0234650965020031</v>
      </c>
      <c r="L116" s="31" t="n">
        <f aca="true">NORMSINV(RAND())*$G$7+$G$6</f>
        <v>-0.00117374377950883</v>
      </c>
    </row>
    <row r="117" customFormat="false" ht="15" hidden="false" customHeight="false" outlineLevel="0" collapsed="false">
      <c r="A117" s="19" t="n">
        <f aca="false">Daromadlilik!A114</f>
        <v>45450</v>
      </c>
      <c r="B117" s="31" t="n">
        <f aca="false">SUMPRODUCT(Parametrlar!$B$14:$E$14,Daromadlilik!C114:F114)</f>
        <v>-0.0103264141100288</v>
      </c>
      <c r="C117" s="31" t="n">
        <f aca="false">LN(1+B117)</f>
        <v>-0.0103801014424483</v>
      </c>
      <c r="D117" s="31" t="n">
        <f aca="false">SUM(C108:C117)</f>
        <v>-0.0366737914911014</v>
      </c>
      <c r="L117" s="31" t="n">
        <f aca="true">NORMSINV(RAND())*$G$7+$G$6</f>
        <v>-0.00268077987637205</v>
      </c>
    </row>
    <row r="118" customFormat="false" ht="15" hidden="false" customHeight="false" outlineLevel="0" collapsed="false">
      <c r="A118" s="19" t="n">
        <f aca="false">Daromadlilik!A115</f>
        <v>45453</v>
      </c>
      <c r="B118" s="31" t="n">
        <f aca="false">SUMPRODUCT(Parametrlar!$B$14:$E$14,Daromadlilik!C115:F115)</f>
        <v>1.56366388894156E-005</v>
      </c>
      <c r="C118" s="31" t="n">
        <f aca="false">LN(1+B118)</f>
        <v>1.56365166385189E-005</v>
      </c>
      <c r="D118" s="31" t="n">
        <f aca="false">SUM(C109:C118)</f>
        <v>-0.0416638511560317</v>
      </c>
      <c r="L118" s="31" t="n">
        <f aca="true">NORMSINV(RAND())*$G$7+$G$6</f>
        <v>0.0073557233071494</v>
      </c>
    </row>
    <row r="119" customFormat="false" ht="15" hidden="false" customHeight="false" outlineLevel="0" collapsed="false">
      <c r="A119" s="19" t="n">
        <f aca="false">Daromadlilik!A116</f>
        <v>45454</v>
      </c>
      <c r="B119" s="31" t="n">
        <f aca="false">SUMPRODUCT(Parametrlar!$B$14:$E$14,Daromadlilik!C116:F116)</f>
        <v>-0.0271186184030438</v>
      </c>
      <c r="C119" s="31" t="n">
        <f aca="false">LN(1+B119)</f>
        <v>-0.0274931142000524</v>
      </c>
      <c r="D119" s="31" t="n">
        <f aca="false">SUM(C110:C119)</f>
        <v>-0.0664556600237156</v>
      </c>
      <c r="L119" s="31" t="n">
        <f aca="true">NORMSINV(RAND())*$G$7+$G$6</f>
        <v>-0.00411538842869059</v>
      </c>
    </row>
    <row r="120" customFormat="false" ht="15" hidden="false" customHeight="false" outlineLevel="0" collapsed="false">
      <c r="A120" s="19" t="n">
        <f aca="false">Daromadlilik!A117</f>
        <v>45455</v>
      </c>
      <c r="B120" s="31" t="n">
        <f aca="false">SUMPRODUCT(Parametrlar!$B$14:$E$14,Daromadlilik!C117:F117)</f>
        <v>-0.0267873975873014</v>
      </c>
      <c r="C120" s="31" t="n">
        <f aca="false">LN(1+B120)</f>
        <v>-0.0271527186984353</v>
      </c>
      <c r="D120" s="31" t="n">
        <f aca="false">SUM(C111:C120)</f>
        <v>-0.082645897980359</v>
      </c>
      <c r="L120" s="31" t="n">
        <f aca="true">NORMSINV(RAND())*$G$7+$G$6</f>
        <v>0.00774456091882759</v>
      </c>
    </row>
    <row r="121" customFormat="false" ht="15" hidden="false" customHeight="false" outlineLevel="0" collapsed="false">
      <c r="A121" s="19" t="n">
        <f aca="false">Daromadlilik!A118</f>
        <v>45456</v>
      </c>
      <c r="B121" s="31" t="n">
        <f aca="false">SUMPRODUCT(Parametrlar!$B$14:$E$14,Daromadlilik!C118:F118)</f>
        <v>-0.000418909665757312</v>
      </c>
      <c r="C121" s="31" t="n">
        <f aca="false">LN(1+B121)</f>
        <v>-0.000418997432923203</v>
      </c>
      <c r="D121" s="31" t="n">
        <f aca="false">SUM(C112:C121)</f>
        <v>-0.079715782538721</v>
      </c>
      <c r="L121" s="31" t="n">
        <f aca="true">NORMSINV(RAND())*$G$7+$G$6</f>
        <v>-0.00912375890288474</v>
      </c>
    </row>
    <row r="122" customFormat="false" ht="15" hidden="false" customHeight="false" outlineLevel="0" collapsed="false">
      <c r="A122" s="19" t="n">
        <f aca="false">Daromadlilik!A119</f>
        <v>45457</v>
      </c>
      <c r="B122" s="31" t="n">
        <f aca="false">SUMPRODUCT(Parametrlar!$B$14:$E$14,Daromadlilik!C119:F119)</f>
        <v>0.00252596878361477</v>
      </c>
      <c r="C122" s="31" t="n">
        <f aca="false">LN(1+B122)</f>
        <v>0.00252278388663966</v>
      </c>
      <c r="D122" s="31" t="n">
        <f aca="false">SUM(C113:C122)</f>
        <v>-0.0736971234709923</v>
      </c>
      <c r="L122" s="31" t="n">
        <f aca="true">NORMSINV(RAND())*$G$7+$G$6</f>
        <v>-0.00325204519159157</v>
      </c>
    </row>
    <row r="123" customFormat="false" ht="15" hidden="false" customHeight="false" outlineLevel="0" collapsed="false">
      <c r="A123" s="19" t="n">
        <f aca="false">Daromadlilik!A120</f>
        <v>45460</v>
      </c>
      <c r="B123" s="31" t="n">
        <f aca="false">SUMPRODUCT(Parametrlar!$B$14:$E$14,Daromadlilik!C120:F120)</f>
        <v>-0.00720862691516914</v>
      </c>
      <c r="C123" s="31" t="n">
        <f aca="false">LN(1+B123)</f>
        <v>-0.00723473460891428</v>
      </c>
      <c r="D123" s="31" t="n">
        <f aca="false">SUM(C114:C123)</f>
        <v>-0.0737575863636435</v>
      </c>
      <c r="L123" s="31" t="n">
        <f aca="true">NORMSINV(RAND())*$G$7+$G$6</f>
        <v>-0.000682745209890344</v>
      </c>
    </row>
    <row r="124" customFormat="false" ht="15" hidden="false" customHeight="false" outlineLevel="0" collapsed="false">
      <c r="A124" s="19" t="n">
        <f aca="false">Daromadlilik!A121</f>
        <v>45461</v>
      </c>
      <c r="B124" s="31" t="n">
        <f aca="false">SUMPRODUCT(Parametrlar!$B$14:$E$14,Daromadlilik!C121:F121)</f>
        <v>-0.00431363982634783</v>
      </c>
      <c r="C124" s="31" t="n">
        <f aca="false">LN(1+B124)</f>
        <v>-0.00432297041281754</v>
      </c>
      <c r="D124" s="31" t="n">
        <f aca="false">SUM(C115:C124)</f>
        <v>-0.0750005700765968</v>
      </c>
      <c r="L124" s="31" t="n">
        <f aca="true">NORMSINV(RAND())*$G$7+$G$6</f>
        <v>0.0339445183133876</v>
      </c>
    </row>
    <row r="125" customFormat="false" ht="15" hidden="false" customHeight="false" outlineLevel="0" collapsed="false">
      <c r="A125" s="19" t="n">
        <f aca="false">Daromadlilik!A122</f>
        <v>45462</v>
      </c>
      <c r="B125" s="31" t="n">
        <f aca="false">SUMPRODUCT(Parametrlar!$B$14:$E$14,Daromadlilik!C122:F122)</f>
        <v>0.00289727962896462</v>
      </c>
      <c r="C125" s="31" t="n">
        <f aca="false">LN(1+B125)</f>
        <v>0.00289309060357513</v>
      </c>
      <c r="D125" s="31" t="n">
        <f aca="false">SUM(C116:C125)</f>
        <v>-0.0637562627045842</v>
      </c>
      <c r="L125" s="31" t="n">
        <f aca="true">NORMSINV(RAND())*$G$7+$G$6</f>
        <v>-0.0141430043725279</v>
      </c>
    </row>
    <row r="126" customFormat="false" ht="15" hidden="false" customHeight="false" outlineLevel="0" collapsed="false">
      <c r="A126" s="19" t="n">
        <f aca="false">Daromadlilik!A123</f>
        <v>45463</v>
      </c>
      <c r="B126" s="31" t="n">
        <f aca="false">SUMPRODUCT(Parametrlar!$B$14:$E$14,Daromadlilik!C123:F123)</f>
        <v>0.000755331246293389</v>
      </c>
      <c r="C126" s="31" t="n">
        <f aca="false">LN(1+B126)</f>
        <v>0.000755046127211399</v>
      </c>
      <c r="D126" s="31" t="n">
        <f aca="false">SUM(C117:C126)</f>
        <v>-0.0708160796615263</v>
      </c>
      <c r="L126" s="31" t="n">
        <f aca="true">NORMSINV(RAND())*$G$7+$G$6</f>
        <v>-0.00140130841724051</v>
      </c>
    </row>
    <row r="127" customFormat="false" ht="15" hidden="false" customHeight="false" outlineLevel="0" collapsed="false">
      <c r="A127" s="19" t="n">
        <f aca="false">Daromadlilik!A124</f>
        <v>45464</v>
      </c>
      <c r="B127" s="31" t="n">
        <f aca="false">SUMPRODUCT(Parametrlar!$B$14:$E$14,Daromadlilik!C124:F124)</f>
        <v>-0.0155509649990672</v>
      </c>
      <c r="C127" s="31" t="n">
        <f aca="false">LN(1+B127)</f>
        <v>-0.0156731496366036</v>
      </c>
      <c r="D127" s="31" t="n">
        <f aca="false">SUM(C118:C127)</f>
        <v>-0.0761091278556816</v>
      </c>
      <c r="L127" s="31" t="n">
        <f aca="true">NORMSINV(RAND())*$G$7+$G$6</f>
        <v>-0.00509252417171543</v>
      </c>
    </row>
    <row r="128" customFormat="false" ht="15" hidden="false" customHeight="false" outlineLevel="0" collapsed="false">
      <c r="A128" s="19" t="n">
        <f aca="false">Daromadlilik!A125</f>
        <v>45467</v>
      </c>
      <c r="B128" s="31" t="n">
        <f aca="false">SUMPRODUCT(Parametrlar!$B$14:$E$14,Daromadlilik!C125:F125)</f>
        <v>0.00524090381082861</v>
      </c>
      <c r="C128" s="31" t="n">
        <f aca="false">LN(1+B128)</f>
        <v>0.00522721807072411</v>
      </c>
      <c r="D128" s="31" t="n">
        <f aca="false">SUM(C119:C128)</f>
        <v>-0.070897546301596</v>
      </c>
      <c r="L128" s="31" t="n">
        <f aca="true">NORMSINV(RAND())*$G$7+$G$6</f>
        <v>0.00279583371167679</v>
      </c>
    </row>
    <row r="129" customFormat="false" ht="15" hidden="false" customHeight="false" outlineLevel="0" collapsed="false">
      <c r="A129" s="19" t="n">
        <f aca="false">Daromadlilik!A126</f>
        <v>45468</v>
      </c>
      <c r="B129" s="31" t="n">
        <f aca="false">SUMPRODUCT(Parametrlar!$B$14:$E$14,Daromadlilik!C126:F126)</f>
        <v>0.0106595048538782</v>
      </c>
      <c r="C129" s="31" t="n">
        <f aca="false">LN(1+B129)</f>
        <v>0.0106030928605343</v>
      </c>
      <c r="D129" s="31" t="n">
        <f aca="false">SUM(C120:C129)</f>
        <v>-0.0328013392410093</v>
      </c>
      <c r="L129" s="31" t="n">
        <f aca="true">NORMSINV(RAND())*$G$7+$G$6</f>
        <v>-0.0108386999427673</v>
      </c>
    </row>
    <row r="130" customFormat="false" ht="15" hidden="false" customHeight="false" outlineLevel="0" collapsed="false">
      <c r="A130" s="19" t="n">
        <f aca="false">Daromadlilik!A127</f>
        <v>45469</v>
      </c>
      <c r="B130" s="31" t="n">
        <f aca="false">SUMPRODUCT(Parametrlar!$B$14:$E$14,Daromadlilik!C127:F127)</f>
        <v>-0.00286544451741891</v>
      </c>
      <c r="C130" s="31" t="n">
        <f aca="false">LN(1+B130)</f>
        <v>-0.00286955776295715</v>
      </c>
      <c r="D130" s="31" t="n">
        <f aca="false">SUM(C121:C130)</f>
        <v>-0.00851817830553116</v>
      </c>
      <c r="L130" s="31" t="n">
        <f aca="true">NORMSINV(RAND())*$G$7+$G$6</f>
        <v>0.0150180020748018</v>
      </c>
    </row>
    <row r="131" customFormat="false" ht="15" hidden="false" customHeight="false" outlineLevel="0" collapsed="false">
      <c r="A131" s="19" t="n">
        <f aca="false">Daromadlilik!A128</f>
        <v>45470</v>
      </c>
      <c r="B131" s="31" t="n">
        <f aca="false">SUMPRODUCT(Parametrlar!$B$14:$E$14,Daromadlilik!C128:F128)</f>
        <v>-0.00810298008225753</v>
      </c>
      <c r="C131" s="31" t="n">
        <f aca="false">LN(1+B131)</f>
        <v>-0.00813598765274594</v>
      </c>
      <c r="D131" s="31" t="n">
        <f aca="false">SUM(C122:C131)</f>
        <v>-0.0162351685253539</v>
      </c>
      <c r="L131" s="31" t="n">
        <f aca="true">NORMSINV(RAND())*$G$7+$G$6</f>
        <v>-0.00980989999480431</v>
      </c>
    </row>
    <row r="132" customFormat="false" ht="15" hidden="false" customHeight="false" outlineLevel="0" collapsed="false">
      <c r="A132" s="19" t="n">
        <f aca="false">Daromadlilik!A129</f>
        <v>45471</v>
      </c>
      <c r="B132" s="31" t="n">
        <f aca="false">SUMPRODUCT(Parametrlar!$B$14:$E$14,Daromadlilik!C129:F129)</f>
        <v>0.00182872030822657</v>
      </c>
      <c r="C132" s="31" t="n">
        <f aca="false">LN(1+B132)</f>
        <v>0.00182705023499827</v>
      </c>
      <c r="D132" s="31" t="n">
        <f aca="false">SUM(C123:C132)</f>
        <v>-0.0169309021769953</v>
      </c>
      <c r="L132" s="31" t="n">
        <f aca="true">NORMSINV(RAND())*$G$7+$G$6</f>
        <v>-0.0118149581346545</v>
      </c>
    </row>
    <row r="133" customFormat="false" ht="15" hidden="false" customHeight="false" outlineLevel="0" collapsed="false">
      <c r="A133" s="19" t="n">
        <f aca="false">Daromadlilik!A130</f>
        <v>45474</v>
      </c>
      <c r="B133" s="31" t="n">
        <f aca="false">SUMPRODUCT(Parametrlar!$B$14:$E$14,Daromadlilik!C130:F130)</f>
        <v>0.00191090960109884</v>
      </c>
      <c r="C133" s="31" t="n">
        <f aca="false">LN(1+B133)</f>
        <v>0.00190908613596211</v>
      </c>
      <c r="D133" s="31" t="n">
        <f aca="false">SUM(C124:C133)</f>
        <v>-0.00778708143211889</v>
      </c>
      <c r="L133" s="31" t="n">
        <f aca="true">NORMSINV(RAND())*$G$7+$G$6</f>
        <v>0.00837066747687453</v>
      </c>
    </row>
    <row r="134" customFormat="false" ht="15" hidden="false" customHeight="false" outlineLevel="0" collapsed="false">
      <c r="A134" s="19" t="n">
        <f aca="false">Daromadlilik!A131</f>
        <v>45475</v>
      </c>
      <c r="B134" s="31" t="n">
        <f aca="false">SUMPRODUCT(Parametrlar!$B$14:$E$14,Daromadlilik!C131:F131)</f>
        <v>0.0179407351777353</v>
      </c>
      <c r="C134" s="31" t="n">
        <f aca="false">LN(1+B134)</f>
        <v>0.0177816995159151</v>
      </c>
      <c r="D134" s="31" t="n">
        <f aca="false">SUM(C125:C134)</f>
        <v>0.0143175884966137</v>
      </c>
      <c r="L134" s="31" t="n">
        <f aca="true">NORMSINV(RAND())*$G$7+$G$6</f>
        <v>-0.0287928402980731</v>
      </c>
    </row>
    <row r="135" customFormat="false" ht="15" hidden="false" customHeight="false" outlineLevel="0" collapsed="false">
      <c r="A135" s="19" t="n">
        <f aca="false">Daromadlilik!A132</f>
        <v>45476</v>
      </c>
      <c r="B135" s="31" t="n">
        <f aca="false">SUMPRODUCT(Parametrlar!$B$14:$E$14,Daromadlilik!C132:F132)</f>
        <v>0.00720695438944784</v>
      </c>
      <c r="C135" s="31" t="n">
        <f aca="false">LN(1+B135)</f>
        <v>0.0071811083999453</v>
      </c>
      <c r="D135" s="31" t="n">
        <f aca="false">SUM(C126:C135)</f>
        <v>0.0186056062929839</v>
      </c>
      <c r="L135" s="31" t="n">
        <f aca="true">NORMSINV(RAND())*$G$7+$G$6</f>
        <v>0.00461592193433715</v>
      </c>
    </row>
    <row r="136" customFormat="false" ht="15" hidden="false" customHeight="false" outlineLevel="0" collapsed="false">
      <c r="A136" s="19" t="n">
        <f aca="false">Daromadlilik!A133</f>
        <v>45477</v>
      </c>
      <c r="B136" s="31" t="n">
        <f aca="false">SUMPRODUCT(Parametrlar!$B$14:$E$14,Daromadlilik!C133:F133)</f>
        <v>-0.00961417619100778</v>
      </c>
      <c r="C136" s="31" t="n">
        <f aca="false">LN(1+B136)</f>
        <v>-0.00966069075582896</v>
      </c>
      <c r="D136" s="31" t="n">
        <f aca="false">SUM(C127:C136)</f>
        <v>0.00818986940994355</v>
      </c>
      <c r="L136" s="31" t="n">
        <f aca="true">NORMSINV(RAND())*$G$7+$G$6</f>
        <v>-0.00891381716327279</v>
      </c>
    </row>
    <row r="137" customFormat="false" ht="15" hidden="false" customHeight="false" outlineLevel="0" collapsed="false">
      <c r="A137" s="19" t="n">
        <f aca="false">Daromadlilik!A134</f>
        <v>45478</v>
      </c>
      <c r="B137" s="31" t="n">
        <f aca="false">SUMPRODUCT(Parametrlar!$B$14:$E$14,Daromadlilik!C134:F134)</f>
        <v>0.0116280970843832</v>
      </c>
      <c r="C137" s="31" t="n">
        <f aca="false">LN(1+B137)</f>
        <v>0.011561010323552</v>
      </c>
      <c r="D137" s="31" t="n">
        <f aca="false">SUM(C128:C137)</f>
        <v>0.0354240293700992</v>
      </c>
      <c r="L137" s="31" t="n">
        <f aca="true">NORMSINV(RAND())*$G$7+$G$6</f>
        <v>-0.00580850979205771</v>
      </c>
    </row>
    <row r="138" customFormat="false" ht="15" hidden="false" customHeight="false" outlineLevel="0" collapsed="false">
      <c r="A138" s="19" t="n">
        <f aca="false">Daromadlilik!A135</f>
        <v>45481</v>
      </c>
      <c r="B138" s="31" t="n">
        <f aca="false">SUMPRODUCT(Parametrlar!$B$14:$E$14,Daromadlilik!C135:F135)</f>
        <v>-0.00326663630856782</v>
      </c>
      <c r="C138" s="31" t="n">
        <f aca="false">LN(1+B138)</f>
        <v>-0.00327198341282612</v>
      </c>
      <c r="D138" s="31" t="n">
        <f aca="false">SUM(C129:C138)</f>
        <v>0.026924827886549</v>
      </c>
      <c r="L138" s="31" t="n">
        <f aca="true">NORMSINV(RAND())*$G$7+$G$6</f>
        <v>-0.00126704534916026</v>
      </c>
    </row>
    <row r="139" customFormat="false" ht="15" hidden="false" customHeight="false" outlineLevel="0" collapsed="false">
      <c r="A139" s="19" t="n">
        <f aca="false">Daromadlilik!A136</f>
        <v>45482</v>
      </c>
      <c r="B139" s="31" t="n">
        <f aca="false">SUMPRODUCT(Parametrlar!$B$14:$E$14,Daromadlilik!C136:F136)</f>
        <v>-0.00379174233148818</v>
      </c>
      <c r="C139" s="31" t="n">
        <f aca="false">LN(1+B139)</f>
        <v>-0.00379894920996123</v>
      </c>
      <c r="D139" s="31" t="n">
        <f aca="false">SUM(C130:C139)</f>
        <v>0.0125227858160534</v>
      </c>
      <c r="L139" s="31" t="n">
        <f aca="true">NORMSINV(RAND())*$G$7+$G$6</f>
        <v>-0.00852533012971175</v>
      </c>
    </row>
    <row r="140" customFormat="false" ht="15" hidden="false" customHeight="false" outlineLevel="0" collapsed="false">
      <c r="A140" s="19" t="n">
        <f aca="false">Daromadlilik!A137</f>
        <v>45483</v>
      </c>
      <c r="B140" s="31" t="n">
        <f aca="false">SUMPRODUCT(Parametrlar!$B$14:$E$14,Daromadlilik!C137:F137)</f>
        <v>0.00443067892017148</v>
      </c>
      <c r="C140" s="31" t="n">
        <f aca="false">LN(1+B140)</f>
        <v>0.00442089235908322</v>
      </c>
      <c r="D140" s="31" t="n">
        <f aca="false">SUM(C131:C140)</f>
        <v>0.0198132359380938</v>
      </c>
      <c r="L140" s="31" t="n">
        <f aca="true">NORMSINV(RAND())*$G$7+$G$6</f>
        <v>-0.00876453751937027</v>
      </c>
    </row>
    <row r="141" customFormat="false" ht="15" hidden="false" customHeight="false" outlineLevel="0" collapsed="false">
      <c r="A141" s="19" t="n">
        <f aca="false">Daromadlilik!A138</f>
        <v>45484</v>
      </c>
      <c r="B141" s="31" t="n">
        <f aca="false">SUMPRODUCT(Parametrlar!$B$14:$E$14,Daromadlilik!C138:F138)</f>
        <v>0.00161806269890593</v>
      </c>
      <c r="C141" s="31" t="n">
        <f aca="false">LN(1+B141)</f>
        <v>0.00161675504584356</v>
      </c>
      <c r="D141" s="31" t="n">
        <f aca="false">SUM(C132:C141)</f>
        <v>0.0295659786366833</v>
      </c>
      <c r="L141" s="31" t="n">
        <f aca="true">NORMSINV(RAND())*$G$7+$G$6</f>
        <v>-0.00882598362620296</v>
      </c>
    </row>
    <row r="142" customFormat="false" ht="15" hidden="false" customHeight="false" outlineLevel="0" collapsed="false">
      <c r="A142" s="19" t="n">
        <f aca="false">Daromadlilik!A139</f>
        <v>45485</v>
      </c>
      <c r="B142" s="31" t="n">
        <f aca="false">SUMPRODUCT(Parametrlar!$B$14:$E$14,Daromadlilik!C139:F139)</f>
        <v>0.0121954975151537</v>
      </c>
      <c r="C142" s="31" t="n">
        <f aca="false">LN(1+B142)</f>
        <v>0.0121217315713435</v>
      </c>
      <c r="D142" s="31" t="n">
        <f aca="false">SUM(C133:C142)</f>
        <v>0.0398606599730285</v>
      </c>
      <c r="L142" s="31" t="n">
        <f aca="true">NORMSINV(RAND())*$G$7+$G$6</f>
        <v>0.0148352748701795</v>
      </c>
    </row>
    <row r="143" customFormat="false" ht="15" hidden="false" customHeight="false" outlineLevel="0" collapsed="false">
      <c r="A143" s="19" t="n">
        <f aca="false">Daromadlilik!A140</f>
        <v>45488</v>
      </c>
      <c r="B143" s="31" t="n">
        <f aca="false">SUMPRODUCT(Parametrlar!$B$14:$E$14,Daromadlilik!C140:F140)</f>
        <v>0.0124717167931817</v>
      </c>
      <c r="C143" s="31" t="n">
        <f aca="false">LN(1+B143)</f>
        <v>0.0123945855769692</v>
      </c>
      <c r="D143" s="31" t="n">
        <f aca="false">SUM(C134:C143)</f>
        <v>0.0503461594140356</v>
      </c>
      <c r="L143" s="31" t="n">
        <f aca="true">NORMSINV(RAND())*$G$7+$G$6</f>
        <v>-0.00496399671573198</v>
      </c>
    </row>
    <row r="144" customFormat="false" ht="15" hidden="false" customHeight="false" outlineLevel="0" collapsed="false">
      <c r="A144" s="19" t="n">
        <f aca="false">Daromadlilik!A141</f>
        <v>45489</v>
      </c>
      <c r="B144" s="31" t="n">
        <f aca="false">SUMPRODUCT(Parametrlar!$B$14:$E$14,Daromadlilik!C141:F141)</f>
        <v>0.0150059496624079</v>
      </c>
      <c r="C144" s="31" t="n">
        <f aca="false">LN(1+B144)</f>
        <v>0.0148944742129333</v>
      </c>
      <c r="D144" s="31" t="n">
        <f aca="false">SUM(C135:C144)</f>
        <v>0.0474589341110538</v>
      </c>
      <c r="L144" s="31" t="n">
        <f aca="true">NORMSINV(RAND())*$G$7+$G$6</f>
        <v>-0.00361704669315819</v>
      </c>
    </row>
    <row r="145" customFormat="false" ht="15" hidden="false" customHeight="false" outlineLevel="0" collapsed="false">
      <c r="A145" s="19" t="n">
        <f aca="false">Daromadlilik!A142</f>
        <v>45490</v>
      </c>
      <c r="B145" s="31" t="n">
        <f aca="false">SUMPRODUCT(Parametrlar!$B$14:$E$14,Daromadlilik!C142:F142)</f>
        <v>0.00474582642938122</v>
      </c>
      <c r="C145" s="31" t="n">
        <f aca="false">LN(1+B145)</f>
        <v>0.0047346004986668</v>
      </c>
      <c r="D145" s="31" t="n">
        <f aca="false">SUM(C136:C145)</f>
        <v>0.0450124262097753</v>
      </c>
      <c r="L145" s="31" t="n">
        <f aca="true">NORMSINV(RAND())*$G$7+$G$6</f>
        <v>-0.000680291332033781</v>
      </c>
    </row>
    <row r="146" customFormat="false" ht="15" hidden="false" customHeight="false" outlineLevel="0" collapsed="false">
      <c r="A146" s="19" t="n">
        <f aca="false">Daromadlilik!A143</f>
        <v>45491</v>
      </c>
      <c r="B146" s="31" t="n">
        <f aca="false">SUMPRODUCT(Parametrlar!$B$14:$E$14,Daromadlilik!C143:F143)</f>
        <v>0.014934890103286</v>
      </c>
      <c r="C146" s="31" t="n">
        <f aca="false">LN(1+B146)</f>
        <v>0.0148244627547085</v>
      </c>
      <c r="D146" s="31" t="n">
        <f aca="false">SUM(C137:C146)</f>
        <v>0.0694975797203128</v>
      </c>
      <c r="L146" s="31" t="n">
        <f aca="true">NORMSINV(RAND())*$G$7+$G$6</f>
        <v>-0.00746857074917044</v>
      </c>
    </row>
    <row r="147" customFormat="false" ht="15" hidden="false" customHeight="false" outlineLevel="0" collapsed="false">
      <c r="A147" s="19" t="n">
        <f aca="false">Daromadlilik!A144</f>
        <v>45492</v>
      </c>
      <c r="B147" s="31" t="n">
        <f aca="false">SUMPRODUCT(Parametrlar!$B$14:$E$14,Daromadlilik!C144:F144)</f>
        <v>-0.0102449894734356</v>
      </c>
      <c r="C147" s="31" t="n">
        <f aca="false">LN(1+B147)</f>
        <v>-0.0102978305923792</v>
      </c>
      <c r="D147" s="31" t="n">
        <f aca="false">SUM(C138:C147)</f>
        <v>0.0476387388043816</v>
      </c>
      <c r="L147" s="31" t="n">
        <f aca="true">NORMSINV(RAND())*$G$7+$G$6</f>
        <v>0.00194374743813136</v>
      </c>
    </row>
    <row r="148" customFormat="false" ht="15" hidden="false" customHeight="false" outlineLevel="0" collapsed="false">
      <c r="A148" s="19" t="n">
        <f aca="false">Daromadlilik!A145</f>
        <v>45495</v>
      </c>
      <c r="B148" s="31" t="n">
        <f aca="false">SUMPRODUCT(Parametrlar!$B$14:$E$14,Daromadlilik!C145:F145)</f>
        <v>0.0116916013960522</v>
      </c>
      <c r="C148" s="31" t="n">
        <f aca="false">LN(1+B148)</f>
        <v>0.0116237827185794</v>
      </c>
      <c r="D148" s="31" t="n">
        <f aca="false">SUM(C139:C148)</f>
        <v>0.0625345049357871</v>
      </c>
      <c r="L148" s="31" t="n">
        <f aca="true">NORMSINV(RAND())*$G$7+$G$6</f>
        <v>0.0368743035194812</v>
      </c>
    </row>
    <row r="149" customFormat="false" ht="15" hidden="false" customHeight="false" outlineLevel="0" collapsed="false">
      <c r="A149" s="19" t="n">
        <f aca="false">Daromadlilik!A146</f>
        <v>45496</v>
      </c>
      <c r="B149" s="31" t="n">
        <f aca="false">SUMPRODUCT(Parametrlar!$B$14:$E$14,Daromadlilik!C146:F146)</f>
        <v>0.0283069651250397</v>
      </c>
      <c r="C149" s="31" t="n">
        <f aca="false">LN(1+B149)</f>
        <v>0.027913726666847</v>
      </c>
      <c r="D149" s="31" t="n">
        <f aca="false">SUM(C140:C149)</f>
        <v>0.0942471808125954</v>
      </c>
      <c r="L149" s="31" t="n">
        <f aca="true">NORMSINV(RAND())*$G$7+$G$6</f>
        <v>0.00517304040025118</v>
      </c>
    </row>
    <row r="150" customFormat="false" ht="15" hidden="false" customHeight="false" outlineLevel="0" collapsed="false">
      <c r="A150" s="19" t="n">
        <f aca="false">Daromadlilik!A147</f>
        <v>45497</v>
      </c>
      <c r="B150" s="31" t="n">
        <f aca="false">SUMPRODUCT(Parametrlar!$B$14:$E$14,Daromadlilik!C147:F147)</f>
        <v>-0.0109852138778445</v>
      </c>
      <c r="C150" s="31" t="n">
        <f aca="false">LN(1+B150)</f>
        <v>-0.0110459968926645</v>
      </c>
      <c r="D150" s="31" t="n">
        <f aca="false">SUM(C141:C150)</f>
        <v>0.0787802915608477</v>
      </c>
      <c r="L150" s="31" t="n">
        <f aca="true">NORMSINV(RAND())*$G$7+$G$6</f>
        <v>0.00900273247083917</v>
      </c>
    </row>
    <row r="151" customFormat="false" ht="15" hidden="false" customHeight="false" outlineLevel="0" collapsed="false">
      <c r="A151" s="19" t="n">
        <f aca="false">Daromadlilik!A148</f>
        <v>45498</v>
      </c>
      <c r="B151" s="31" t="n">
        <f aca="false">SUMPRODUCT(Parametrlar!$B$14:$E$14,Daromadlilik!C148:F148)</f>
        <v>0.00173170366918937</v>
      </c>
      <c r="C151" s="31" t="n">
        <f aca="false">LN(1+B151)</f>
        <v>0.00173020599915486</v>
      </c>
      <c r="D151" s="31" t="n">
        <f aca="false">SUM(C142:C151)</f>
        <v>0.078893742514159</v>
      </c>
      <c r="L151" s="31" t="n">
        <f aca="true">NORMSINV(RAND())*$G$7+$G$6</f>
        <v>0.0397136528930597</v>
      </c>
    </row>
    <row r="152" customFormat="false" ht="15" hidden="false" customHeight="false" outlineLevel="0" collapsed="false">
      <c r="A152" s="19" t="n">
        <f aca="false">Daromadlilik!A149</f>
        <v>45499</v>
      </c>
      <c r="B152" s="31" t="n">
        <f aca="false">SUMPRODUCT(Parametrlar!$B$14:$E$14,Daromadlilik!C149:F149)</f>
        <v>-0.0112225100556817</v>
      </c>
      <c r="C152" s="31" t="n">
        <f aca="false">LN(1+B152)</f>
        <v>-0.0112859575617877</v>
      </c>
      <c r="D152" s="31" t="n">
        <f aca="false">SUM(C143:C152)</f>
        <v>0.0554860533810278</v>
      </c>
      <c r="L152" s="31" t="n">
        <f aca="true">NORMSINV(RAND())*$G$7+$G$6</f>
        <v>0.00517458463743601</v>
      </c>
    </row>
    <row r="153" customFormat="false" ht="15" hidden="false" customHeight="false" outlineLevel="0" collapsed="false">
      <c r="A153" s="19" t="n">
        <f aca="false">Daromadlilik!A150</f>
        <v>45502</v>
      </c>
      <c r="B153" s="31" t="n">
        <f aca="false">SUMPRODUCT(Parametrlar!$B$14:$E$14,Daromadlilik!C150:F150)</f>
        <v>0.0129734106514503</v>
      </c>
      <c r="C153" s="31" t="n">
        <f aca="false">LN(1+B153)</f>
        <v>0.012889976799107</v>
      </c>
      <c r="D153" s="31" t="n">
        <f aca="false">SUM(C144:C153)</f>
        <v>0.0559814446031655</v>
      </c>
      <c r="L153" s="31" t="n">
        <f aca="true">NORMSINV(RAND())*$G$7+$G$6</f>
        <v>-0.000799094795002035</v>
      </c>
    </row>
    <row r="154" customFormat="false" ht="15" hidden="false" customHeight="false" outlineLevel="0" collapsed="false">
      <c r="A154" s="19" t="n">
        <f aca="false">Daromadlilik!A151</f>
        <v>45503</v>
      </c>
      <c r="B154" s="31" t="n">
        <f aca="false">SUMPRODUCT(Parametrlar!$B$14:$E$14,Daromadlilik!C151:F151)</f>
        <v>0.010355932155266</v>
      </c>
      <c r="C154" s="31" t="n">
        <f aca="false">LN(1+B154)</f>
        <v>0.0103026768465482</v>
      </c>
      <c r="D154" s="31" t="n">
        <f aca="false">SUM(C145:C154)</f>
        <v>0.0513896472367804</v>
      </c>
      <c r="L154" s="31" t="n">
        <f aca="true">NORMSINV(RAND())*$G$7+$G$6</f>
        <v>-0.00821852475198908</v>
      </c>
    </row>
    <row r="155" customFormat="false" ht="15" hidden="false" customHeight="false" outlineLevel="0" collapsed="false">
      <c r="A155" s="19" t="n">
        <f aca="false">Daromadlilik!A152</f>
        <v>45504</v>
      </c>
      <c r="B155" s="31" t="n">
        <f aca="false">SUMPRODUCT(Parametrlar!$B$14:$E$14,Daromadlilik!C152:F152)</f>
        <v>0.00646640757024997</v>
      </c>
      <c r="C155" s="31" t="n">
        <f aca="false">LN(1+B155)</f>
        <v>0.00644559005166413</v>
      </c>
      <c r="D155" s="31" t="n">
        <f aca="false">SUM(C146:C155)</f>
        <v>0.0531006367897778</v>
      </c>
      <c r="L155" s="31" t="n">
        <f aca="true">NORMSINV(RAND())*$G$7+$G$6</f>
        <v>-0.00340563245350301</v>
      </c>
    </row>
    <row r="156" customFormat="false" ht="15" hidden="false" customHeight="false" outlineLevel="0" collapsed="false">
      <c r="A156" s="19" t="n">
        <f aca="false">Daromadlilik!A153</f>
        <v>45505</v>
      </c>
      <c r="B156" s="31" t="n">
        <f aca="false">SUMPRODUCT(Parametrlar!$B$14:$E$14,Daromadlilik!C153:F153)</f>
        <v>-0.00762954806717099</v>
      </c>
      <c r="C156" s="31" t="n">
        <f aca="false">LN(1+B156)</f>
        <v>-0.007658801960004</v>
      </c>
      <c r="D156" s="31" t="n">
        <f aca="false">SUM(C147:C156)</f>
        <v>0.0306173720750653</v>
      </c>
      <c r="L156" s="31" t="n">
        <f aca="true">NORMSINV(RAND())*$G$7+$G$6</f>
        <v>-0.00116554761118778</v>
      </c>
    </row>
    <row r="157" customFormat="false" ht="15" hidden="false" customHeight="false" outlineLevel="0" collapsed="false">
      <c r="A157" s="19" t="n">
        <f aca="false">Daromadlilik!A154</f>
        <v>45506</v>
      </c>
      <c r="B157" s="31" t="n">
        <f aca="false">SUMPRODUCT(Parametrlar!$B$14:$E$14,Daromadlilik!C154:F154)</f>
        <v>-0.0317712389903832</v>
      </c>
      <c r="C157" s="31" t="n">
        <f aca="false">LN(1+B157)</f>
        <v>-0.0322868962684837</v>
      </c>
      <c r="D157" s="31" t="n">
        <f aca="false">SUM(C148:C157)</f>
        <v>0.00862830639896078</v>
      </c>
      <c r="L157" s="31" t="n">
        <f aca="true">NORMSINV(RAND())*$G$7+$G$6</f>
        <v>0.0192049220574524</v>
      </c>
    </row>
    <row r="158" customFormat="false" ht="15" hidden="false" customHeight="false" outlineLevel="0" collapsed="false">
      <c r="A158" s="19" t="n">
        <f aca="false">Daromadlilik!A155</f>
        <v>45509</v>
      </c>
      <c r="B158" s="31" t="n">
        <f aca="false">SUMPRODUCT(Parametrlar!$B$14:$E$14,Daromadlilik!C155:F155)</f>
        <v>0.025705129995811</v>
      </c>
      <c r="C158" s="31" t="n">
        <f aca="false">LN(1+B158)</f>
        <v>0.025380307777053</v>
      </c>
      <c r="D158" s="31" t="n">
        <f aca="false">SUM(C149:C158)</f>
        <v>0.0223848314574343</v>
      </c>
      <c r="L158" s="31" t="n">
        <f aca="true">NORMSINV(RAND())*$G$7+$G$6</f>
        <v>0.0217553997130992</v>
      </c>
    </row>
    <row r="159" customFormat="false" ht="15" hidden="false" customHeight="false" outlineLevel="0" collapsed="false">
      <c r="A159" s="19" t="n">
        <f aca="false">Daromadlilik!A156</f>
        <v>45510</v>
      </c>
      <c r="B159" s="31" t="n">
        <f aca="false">SUMPRODUCT(Parametrlar!$B$14:$E$14,Daromadlilik!C156:F156)</f>
        <v>0.0196766889683918</v>
      </c>
      <c r="C159" s="31" t="n">
        <f aca="false">LN(1+B159)</f>
        <v>0.0194856054504482</v>
      </c>
      <c r="D159" s="31" t="n">
        <f aca="false">SUM(C150:C159)</f>
        <v>0.0139567102410355</v>
      </c>
      <c r="L159" s="31" t="n">
        <f aca="true">NORMSINV(RAND())*$G$7+$G$6</f>
        <v>0.00373134393911599</v>
      </c>
    </row>
    <row r="160" customFormat="false" ht="15" hidden="false" customHeight="false" outlineLevel="0" collapsed="false">
      <c r="A160" s="19" t="n">
        <f aca="false">Daromadlilik!A157</f>
        <v>45511</v>
      </c>
      <c r="B160" s="31" t="n">
        <f aca="false">SUMPRODUCT(Parametrlar!$B$14:$E$14,Daromadlilik!C157:F157)</f>
        <v>-0.0157724077002677</v>
      </c>
      <c r="C160" s="31" t="n">
        <f aca="false">LN(1+B160)</f>
        <v>-0.0158981156864501</v>
      </c>
      <c r="D160" s="31" t="n">
        <f aca="false">SUM(C151:C160)</f>
        <v>0.00910459144724991</v>
      </c>
      <c r="L160" s="31" t="n">
        <f aca="true">NORMSINV(RAND())*$G$7+$G$6</f>
        <v>0.018731283586378</v>
      </c>
    </row>
    <row r="161" customFormat="false" ht="15" hidden="false" customHeight="false" outlineLevel="0" collapsed="false">
      <c r="A161" s="19" t="n">
        <f aca="false">Daromadlilik!A158</f>
        <v>45512</v>
      </c>
      <c r="B161" s="31" t="n">
        <f aca="false">SUMPRODUCT(Parametrlar!$B$14:$E$14,Daromadlilik!C158:F158)</f>
        <v>0.0104296393135278</v>
      </c>
      <c r="C161" s="31" t="n">
        <f aca="false">LN(1+B161)</f>
        <v>0.0103756258613621</v>
      </c>
      <c r="D161" s="31" t="n">
        <f aca="false">SUM(C152:C161)</f>
        <v>0.0177500113094571</v>
      </c>
      <c r="L161" s="31" t="n">
        <f aca="true">NORMSINV(RAND())*$G$7+$G$6</f>
        <v>0.0252251520389261</v>
      </c>
    </row>
    <row r="162" customFormat="false" ht="15" hidden="false" customHeight="false" outlineLevel="0" collapsed="false">
      <c r="A162" s="19" t="n">
        <f aca="false">Daromadlilik!A159</f>
        <v>45513</v>
      </c>
      <c r="B162" s="31" t="n">
        <f aca="false">SUMPRODUCT(Parametrlar!$B$14:$E$14,Daromadlilik!C159:F159)</f>
        <v>-0.00975536068823269</v>
      </c>
      <c r="C162" s="31" t="n">
        <f aca="false">LN(1+B162)</f>
        <v>-0.00980325596432481</v>
      </c>
      <c r="D162" s="31" t="n">
        <f aca="false">SUM(C153:C162)</f>
        <v>0.01923271290692</v>
      </c>
      <c r="L162" s="31" t="n">
        <f aca="true">NORMSINV(RAND())*$G$7+$G$6</f>
        <v>0.0195022201977778</v>
      </c>
    </row>
    <row r="163" customFormat="false" ht="15" hidden="false" customHeight="false" outlineLevel="0" collapsed="false">
      <c r="A163" s="19" t="n">
        <f aca="false">Daromadlilik!A160</f>
        <v>45516</v>
      </c>
      <c r="B163" s="31" t="n">
        <f aca="false">SUMPRODUCT(Parametrlar!$B$14:$E$14,Daromadlilik!C160:F160)</f>
        <v>0.000186099610964885</v>
      </c>
      <c r="C163" s="31" t="n">
        <f aca="false">LN(1+B163)</f>
        <v>0.000186082296580329</v>
      </c>
      <c r="D163" s="31" t="n">
        <f aca="false">SUM(C154:C163)</f>
        <v>0.00652881840439338</v>
      </c>
      <c r="L163" s="31" t="n">
        <f aca="true">NORMSINV(RAND())*$G$7+$G$6</f>
        <v>0.00611469316353334</v>
      </c>
    </row>
    <row r="164" customFormat="false" ht="15" hidden="false" customHeight="false" outlineLevel="0" collapsed="false">
      <c r="A164" s="19" t="n">
        <f aca="false">Daromadlilik!A161</f>
        <v>45517</v>
      </c>
      <c r="B164" s="31" t="n">
        <f aca="false">SUMPRODUCT(Parametrlar!$B$14:$E$14,Daromadlilik!C161:F161)</f>
        <v>-0.00934489215593568</v>
      </c>
      <c r="C164" s="31" t="n">
        <f aca="false">LN(1+B164)</f>
        <v>-0.00938882960200018</v>
      </c>
      <c r="D164" s="31" t="n">
        <f aca="false">SUM(C155:C164)</f>
        <v>-0.013162688044155</v>
      </c>
      <c r="L164" s="31" t="n">
        <f aca="true">NORMSINV(RAND())*$G$7+$G$6</f>
        <v>-0.00626142237861028</v>
      </c>
    </row>
    <row r="165" customFormat="false" ht="15" hidden="false" customHeight="false" outlineLevel="0" collapsed="false">
      <c r="A165" s="19" t="n">
        <f aca="false">Daromadlilik!A162</f>
        <v>45518</v>
      </c>
      <c r="B165" s="31" t="n">
        <f aca="false">SUMPRODUCT(Parametrlar!$B$14:$E$14,Daromadlilik!C162:F162)</f>
        <v>0.0124520324634917</v>
      </c>
      <c r="C165" s="31" t="n">
        <f aca="false">LN(1+B165)</f>
        <v>0.0123751435316106</v>
      </c>
      <c r="D165" s="31" t="n">
        <f aca="false">SUM(C156:C165)</f>
        <v>-0.00723313456420852</v>
      </c>
      <c r="L165" s="31" t="n">
        <f aca="true">NORMSINV(RAND())*$G$7+$G$6</f>
        <v>-0.00809816091607944</v>
      </c>
    </row>
    <row r="166" customFormat="false" ht="15" hidden="false" customHeight="false" outlineLevel="0" collapsed="false">
      <c r="A166" s="19" t="n">
        <f aca="false">Daromadlilik!A163</f>
        <v>45519</v>
      </c>
      <c r="B166" s="31" t="n">
        <f aca="false">SUMPRODUCT(Parametrlar!$B$14:$E$14,Daromadlilik!C163:F163)</f>
        <v>0.00580865427164747</v>
      </c>
      <c r="C166" s="31" t="n">
        <f aca="false">LN(1+B166)</f>
        <v>0.00579184908503288</v>
      </c>
      <c r="D166" s="31" t="n">
        <f aca="false">SUM(C157:C166)</f>
        <v>0.00621751648082836</v>
      </c>
      <c r="L166" s="31" t="n">
        <f aca="true">NORMSINV(RAND())*$G$7+$G$6</f>
        <v>0.0355695701404968</v>
      </c>
    </row>
    <row r="167" customFormat="false" ht="15" hidden="false" customHeight="false" outlineLevel="0" collapsed="false">
      <c r="A167" s="19" t="n">
        <f aca="false">Daromadlilik!A164</f>
        <v>45520</v>
      </c>
      <c r="B167" s="31" t="n">
        <f aca="false">SUMPRODUCT(Parametrlar!$B$14:$E$14,Daromadlilik!C164:F164)</f>
        <v>0.0205742225857614</v>
      </c>
      <c r="C167" s="31" t="n">
        <f aca="false">LN(1+B167)</f>
        <v>0.020365432211152</v>
      </c>
      <c r="D167" s="31" t="n">
        <f aca="false">SUM(C158:C167)</f>
        <v>0.0588698449604641</v>
      </c>
      <c r="L167" s="31" t="n">
        <f aca="true">NORMSINV(RAND())*$G$7+$G$6</f>
        <v>0.00820064794594482</v>
      </c>
    </row>
    <row r="168" customFormat="false" ht="15" hidden="false" customHeight="false" outlineLevel="0" collapsed="false">
      <c r="A168" s="19" t="n">
        <f aca="false">Daromadlilik!A165</f>
        <v>45523</v>
      </c>
      <c r="B168" s="31" t="n">
        <f aca="false">SUMPRODUCT(Parametrlar!$B$14:$E$14,Daromadlilik!C165:F165)</f>
        <v>0.0047428303197433</v>
      </c>
      <c r="C168" s="31" t="n">
        <f aca="false">LN(1+B168)</f>
        <v>0.00473161853643687</v>
      </c>
      <c r="D168" s="31" t="n">
        <f aca="false">SUM(C159:C168)</f>
        <v>0.038221155719848</v>
      </c>
      <c r="L168" s="31" t="n">
        <f aca="true">NORMSINV(RAND())*$G$7+$G$6</f>
        <v>-0.0112693338688039</v>
      </c>
    </row>
    <row r="169" customFormat="false" ht="15" hidden="false" customHeight="false" outlineLevel="0" collapsed="false">
      <c r="A169" s="19" t="n">
        <f aca="false">Daromadlilik!A166</f>
        <v>45524</v>
      </c>
      <c r="B169" s="31" t="n">
        <f aca="false">SUMPRODUCT(Parametrlar!$B$14:$E$14,Daromadlilik!C166:F166)</f>
        <v>0.00843655245009588</v>
      </c>
      <c r="C169" s="31" t="n">
        <f aca="false">LN(1+B169)</f>
        <v>0.00840116364185756</v>
      </c>
      <c r="D169" s="31" t="n">
        <f aca="false">SUM(C160:C169)</f>
        <v>0.0271367139112573</v>
      </c>
      <c r="L169" s="31" t="n">
        <f aca="true">NORMSINV(RAND())*$G$7+$G$6</f>
        <v>-0.00356580459070397</v>
      </c>
    </row>
    <row r="170" customFormat="false" ht="15" hidden="false" customHeight="false" outlineLevel="0" collapsed="false">
      <c r="A170" s="19" t="n">
        <f aca="false">Daromadlilik!A167</f>
        <v>45525</v>
      </c>
      <c r="B170" s="31" t="n">
        <f aca="false">SUMPRODUCT(Parametrlar!$B$14:$E$14,Daromadlilik!C167:F167)</f>
        <v>0.0133377684620326</v>
      </c>
      <c r="C170" s="31" t="n">
        <f aca="false">LN(1+B170)</f>
        <v>0.0132496035121853</v>
      </c>
      <c r="D170" s="31" t="n">
        <f aca="false">SUM(C161:C170)</f>
        <v>0.0562844331098927</v>
      </c>
      <c r="L170" s="31" t="n">
        <f aca="true">NORMSINV(RAND())*$G$7+$G$6</f>
        <v>0.0245037385970784</v>
      </c>
    </row>
    <row r="171" customFormat="false" ht="15" hidden="false" customHeight="false" outlineLevel="0" collapsed="false">
      <c r="A171" s="19" t="n">
        <f aca="false">Daromadlilik!A168</f>
        <v>45526</v>
      </c>
      <c r="B171" s="31" t="n">
        <f aca="false">SUMPRODUCT(Parametrlar!$B$14:$E$14,Daromadlilik!C168:F168)</f>
        <v>-0.00894060786455189</v>
      </c>
      <c r="C171" s="31" t="n">
        <f aca="false">LN(1+B171)</f>
        <v>-0.00898081492885059</v>
      </c>
      <c r="D171" s="31" t="n">
        <f aca="false">SUM(C162:C171)</f>
        <v>0.03692799231968</v>
      </c>
      <c r="L171" s="31" t="n">
        <f aca="true">NORMSINV(RAND())*$G$7+$G$6</f>
        <v>0.0169988710752173</v>
      </c>
    </row>
    <row r="172" customFormat="false" ht="15" hidden="false" customHeight="false" outlineLevel="0" collapsed="false">
      <c r="A172" s="19" t="n">
        <f aca="false">Daromadlilik!A169</f>
        <v>45527</v>
      </c>
      <c r="B172" s="31" t="n">
        <f aca="false">SUMPRODUCT(Parametrlar!$B$14:$E$14,Daromadlilik!C169:F169)</f>
        <v>0.019286358545765</v>
      </c>
      <c r="C172" s="31" t="n">
        <f aca="false">LN(1+B172)</f>
        <v>0.0191027339434135</v>
      </c>
      <c r="D172" s="31" t="n">
        <f aca="false">SUM(C163:C172)</f>
        <v>0.0658339822274183</v>
      </c>
      <c r="L172" s="31" t="n">
        <f aca="true">NORMSINV(RAND())*$G$7+$G$6</f>
        <v>-0.0228923588906671</v>
      </c>
    </row>
    <row r="173" customFormat="false" ht="15" hidden="false" customHeight="false" outlineLevel="0" collapsed="false">
      <c r="A173" s="19" t="n">
        <f aca="false">Daromadlilik!A170</f>
        <v>45530</v>
      </c>
      <c r="B173" s="31" t="n">
        <f aca="false">SUMPRODUCT(Parametrlar!$B$14:$E$14,Daromadlilik!C170:F170)</f>
        <v>0.00025472444700706</v>
      </c>
      <c r="C173" s="31" t="n">
        <f aca="false">LN(1+B173)</f>
        <v>0.000254692010243249</v>
      </c>
      <c r="D173" s="31" t="n">
        <f aca="false">SUM(C164:C173)</f>
        <v>0.0659025919410812</v>
      </c>
      <c r="L173" s="31" t="n">
        <f aca="true">NORMSINV(RAND())*$G$7+$G$6</f>
        <v>-0.0224559986113591</v>
      </c>
    </row>
    <row r="174" customFormat="false" ht="15" hidden="false" customHeight="false" outlineLevel="0" collapsed="false">
      <c r="A174" s="19" t="n">
        <f aca="false">Daromadlilik!A171</f>
        <v>45531</v>
      </c>
      <c r="B174" s="31" t="n">
        <f aca="false">SUMPRODUCT(Parametrlar!$B$14:$E$14,Daromadlilik!C171:F171)</f>
        <v>0.00205592580276966</v>
      </c>
      <c r="C174" s="31" t="n">
        <f aca="false">LN(1+B174)</f>
        <v>0.00205381527954083</v>
      </c>
      <c r="D174" s="31" t="n">
        <f aca="false">SUM(C165:C174)</f>
        <v>0.0773452368226223</v>
      </c>
      <c r="L174" s="31" t="n">
        <f aca="true">NORMSINV(RAND())*$G$7+$G$6</f>
        <v>-0.0421631629733304</v>
      </c>
    </row>
    <row r="175" customFormat="false" ht="15" hidden="false" customHeight="false" outlineLevel="0" collapsed="false">
      <c r="A175" s="19" t="n">
        <f aca="false">Daromadlilik!A172</f>
        <v>45532</v>
      </c>
      <c r="B175" s="31" t="n">
        <f aca="false">SUMPRODUCT(Parametrlar!$B$14:$E$14,Daromadlilik!C172:F172)</f>
        <v>0.0102708048945951</v>
      </c>
      <c r="C175" s="31" t="n">
        <f aca="false">LN(1+B175)</f>
        <v>0.010218418572459</v>
      </c>
      <c r="D175" s="31" t="n">
        <f aca="false">SUM(C166:C175)</f>
        <v>0.0751885118634706</v>
      </c>
      <c r="L175" s="31" t="n">
        <f aca="true">NORMSINV(RAND())*$G$7+$G$6</f>
        <v>-0.0113346013788996</v>
      </c>
    </row>
    <row r="176" customFormat="false" ht="15" hidden="false" customHeight="false" outlineLevel="0" collapsed="false">
      <c r="A176" s="19" t="n">
        <f aca="false">Daromadlilik!A173</f>
        <v>45533</v>
      </c>
      <c r="B176" s="31" t="n">
        <f aca="false">SUMPRODUCT(Parametrlar!$B$14:$E$14,Daromadlilik!C173:F173)</f>
        <v>0.0023397145234993</v>
      </c>
      <c r="C176" s="31" t="n">
        <f aca="false">LN(1+B176)</f>
        <v>0.00233698165340075</v>
      </c>
      <c r="D176" s="31" t="n">
        <f aca="false">SUM(C167:C176)</f>
        <v>0.0717336444318385</v>
      </c>
      <c r="L176" s="31" t="n">
        <f aca="true">NORMSINV(RAND())*$G$7+$G$6</f>
        <v>-0.000782857299500922</v>
      </c>
    </row>
    <row r="177" customFormat="false" ht="15" hidden="false" customHeight="false" outlineLevel="0" collapsed="false">
      <c r="A177" s="19" t="n">
        <f aca="false">Daromadlilik!A174</f>
        <v>45534</v>
      </c>
      <c r="B177" s="31" t="n">
        <f aca="false">SUMPRODUCT(Parametrlar!$B$14:$E$14,Daromadlilik!C174:F174)</f>
        <v>0.0149189635892215</v>
      </c>
      <c r="C177" s="31" t="n">
        <f aca="false">LN(1+B177)</f>
        <v>0.0148087704781086</v>
      </c>
      <c r="D177" s="31" t="n">
        <f aca="false">SUM(C168:C177)</f>
        <v>0.0661769826987951</v>
      </c>
      <c r="L177" s="31" t="n">
        <f aca="true">NORMSINV(RAND())*$G$7+$G$6</f>
        <v>-0.00623009790882921</v>
      </c>
    </row>
    <row r="178" customFormat="false" ht="15" hidden="false" customHeight="false" outlineLevel="0" collapsed="false">
      <c r="A178" s="19" t="n">
        <f aca="false">Daromadlilik!A175</f>
        <v>45537</v>
      </c>
      <c r="B178" s="31" t="n">
        <f aca="false">SUMPRODUCT(Parametrlar!$B$14:$E$14,Daromadlilik!C175:F175)</f>
        <v>0.000450530627132983</v>
      </c>
      <c r="C178" s="31" t="n">
        <f aca="false">LN(1+B178)</f>
        <v>0.000450429168682251</v>
      </c>
      <c r="D178" s="31" t="n">
        <f aca="false">SUM(C169:C178)</f>
        <v>0.0618957933310404</v>
      </c>
      <c r="L178" s="31" t="n">
        <f aca="true">NORMSINV(RAND())*$G$7+$G$6</f>
        <v>-0.00744799396251158</v>
      </c>
    </row>
    <row r="179" customFormat="false" ht="15" hidden="false" customHeight="false" outlineLevel="0" collapsed="false">
      <c r="A179" s="19" t="n">
        <f aca="false">Daromadlilik!A176</f>
        <v>45538</v>
      </c>
      <c r="B179" s="31" t="n">
        <f aca="false">SUMPRODUCT(Parametrlar!$B$14:$E$14,Daromadlilik!C176:F176)</f>
        <v>-0.00390409008673149</v>
      </c>
      <c r="C179" s="31" t="n">
        <f aca="false">LN(1+B179)</f>
        <v>-0.0039117309399707</v>
      </c>
      <c r="D179" s="31" t="n">
        <f aca="false">SUM(C170:C179)</f>
        <v>0.0495828987492122</v>
      </c>
      <c r="L179" s="31" t="n">
        <f aca="true">NORMSINV(RAND())*$G$7+$G$6</f>
        <v>0.0125078310615911</v>
      </c>
    </row>
    <row r="180" customFormat="false" ht="15" hidden="false" customHeight="false" outlineLevel="0" collapsed="false">
      <c r="A180" s="19" t="n">
        <f aca="false">Daromadlilik!A177</f>
        <v>45539</v>
      </c>
      <c r="B180" s="31" t="n">
        <f aca="false">SUMPRODUCT(Parametrlar!$B$14:$E$14,Daromadlilik!C177:F177)</f>
        <v>0.0119416178363095</v>
      </c>
      <c r="C180" s="31" t="n">
        <f aca="false">LN(1+B180)</f>
        <v>0.0118708793160786</v>
      </c>
      <c r="D180" s="31" t="n">
        <f aca="false">SUM(C171:C180)</f>
        <v>0.0482041745531055</v>
      </c>
      <c r="L180" s="31" t="n">
        <f aca="true">NORMSINV(RAND())*$G$7+$G$6</f>
        <v>-0.0152577914831251</v>
      </c>
    </row>
    <row r="181" customFormat="false" ht="15" hidden="false" customHeight="false" outlineLevel="0" collapsed="false">
      <c r="A181" s="19" t="n">
        <f aca="false">Daromadlilik!A178</f>
        <v>45540</v>
      </c>
      <c r="B181" s="31" t="n">
        <f aca="false">SUMPRODUCT(Parametrlar!$B$14:$E$14,Daromadlilik!C178:F178)</f>
        <v>0.00524445785140286</v>
      </c>
      <c r="C181" s="31" t="n">
        <f aca="false">LN(1+B181)</f>
        <v>0.00523075357577384</v>
      </c>
      <c r="D181" s="31" t="n">
        <f aca="false">SUM(C172:C181)</f>
        <v>0.06241574305773</v>
      </c>
      <c r="L181" s="31" t="n">
        <f aca="true">NORMSINV(RAND())*$G$7+$G$6</f>
        <v>0.0114911688546263</v>
      </c>
    </row>
    <row r="182" customFormat="false" ht="15" hidden="false" customHeight="false" outlineLevel="0" collapsed="false">
      <c r="A182" s="19" t="n">
        <f aca="false">Daromadlilik!A179</f>
        <v>45541</v>
      </c>
      <c r="B182" s="31" t="n">
        <f aca="false">SUMPRODUCT(Parametrlar!$B$14:$E$14,Daromadlilik!C179:F179)</f>
        <v>-0.0161471926234789</v>
      </c>
      <c r="C182" s="31" t="n">
        <f aca="false">LN(1+B182)</f>
        <v>-0.0162789791184555</v>
      </c>
      <c r="D182" s="31" t="n">
        <f aca="false">SUM(C173:C182)</f>
        <v>0.027034029995861</v>
      </c>
      <c r="L182" s="31" t="n">
        <f aca="true">NORMSINV(RAND())*$G$7+$G$6</f>
        <v>0.000256569026144735</v>
      </c>
    </row>
    <row r="183" customFormat="false" ht="15" hidden="false" customHeight="false" outlineLevel="0" collapsed="false">
      <c r="A183" s="19" t="n">
        <f aca="false">Daromadlilik!A180</f>
        <v>45544</v>
      </c>
      <c r="B183" s="31" t="n">
        <f aca="false">SUMPRODUCT(Parametrlar!$B$14:$E$14,Daromadlilik!C180:F180)</f>
        <v>0.00474541485648544</v>
      </c>
      <c r="C183" s="31" t="n">
        <f aca="false">LN(1+B183)</f>
        <v>0.00473419086971465</v>
      </c>
      <c r="D183" s="31" t="n">
        <f aca="false">SUM(C174:C183)</f>
        <v>0.0315135288553324</v>
      </c>
      <c r="L183" s="31" t="n">
        <f aca="true">NORMSINV(RAND())*$G$7+$G$6</f>
        <v>0.00961646674450455</v>
      </c>
    </row>
    <row r="184" customFormat="false" ht="15" hidden="false" customHeight="false" outlineLevel="0" collapsed="false">
      <c r="A184" s="19" t="n">
        <f aca="false">Daromadlilik!A181</f>
        <v>45545</v>
      </c>
      <c r="B184" s="31" t="n">
        <f aca="false">SUMPRODUCT(Parametrlar!$B$14:$E$14,Daromadlilik!C181:F181)</f>
        <v>0.00921226015730856</v>
      </c>
      <c r="C184" s="31" t="n">
        <f aca="false">LN(1+B184)</f>
        <v>0.00917008610307576</v>
      </c>
      <c r="D184" s="31" t="n">
        <f aca="false">SUM(C175:C184)</f>
        <v>0.0386297996788673</v>
      </c>
      <c r="L184" s="31" t="n">
        <f aca="true">NORMSINV(RAND())*$G$7+$G$6</f>
        <v>0.0128819604708063</v>
      </c>
    </row>
    <row r="185" customFormat="false" ht="15" hidden="false" customHeight="false" outlineLevel="0" collapsed="false">
      <c r="A185" s="19" t="n">
        <f aca="false">Daromadlilik!A182</f>
        <v>45546</v>
      </c>
      <c r="B185" s="31" t="n">
        <f aca="false">SUMPRODUCT(Parametrlar!$B$14:$E$14,Daromadlilik!C182:F182)</f>
        <v>0.0191736486085995</v>
      </c>
      <c r="C185" s="31" t="n">
        <f aca="false">LN(1+B185)</f>
        <v>0.0189921505256524</v>
      </c>
      <c r="D185" s="31" t="n">
        <f aca="false">SUM(C176:C185)</f>
        <v>0.0474035316320607</v>
      </c>
      <c r="L185" s="31" t="n">
        <f aca="true">NORMSINV(RAND())*$G$7+$G$6</f>
        <v>0.00794081089099333</v>
      </c>
    </row>
    <row r="186" customFormat="false" ht="15" hidden="false" customHeight="false" outlineLevel="0" collapsed="false">
      <c r="A186" s="19" t="n">
        <f aca="false">Daromadlilik!A183</f>
        <v>45547</v>
      </c>
      <c r="B186" s="31" t="n">
        <f aca="false">SUMPRODUCT(Parametrlar!$B$14:$E$14,Daromadlilik!C183:F183)</f>
        <v>-0.00560362840227459</v>
      </c>
      <c r="C186" s="31" t="n">
        <f aca="false">LN(1+B186)</f>
        <v>-0.00561938762804751</v>
      </c>
      <c r="D186" s="31" t="n">
        <f aca="false">SUM(C177:C186)</f>
        <v>0.0394471623506124</v>
      </c>
      <c r="L186" s="31" t="n">
        <f aca="true">NORMSINV(RAND())*$G$7+$G$6</f>
        <v>-0.00337508745400669</v>
      </c>
    </row>
    <row r="187" customFormat="false" ht="15" hidden="false" customHeight="false" outlineLevel="0" collapsed="false">
      <c r="A187" s="19" t="n">
        <f aca="false">Daromadlilik!A184</f>
        <v>45548</v>
      </c>
      <c r="B187" s="31" t="n">
        <f aca="false">SUMPRODUCT(Parametrlar!$B$14:$E$14,Daromadlilik!C184:F184)</f>
        <v>-0.00940047640377167</v>
      </c>
      <c r="C187" s="31" t="n">
        <f aca="false">LN(1+B187)</f>
        <v>-0.00944493975257693</v>
      </c>
      <c r="D187" s="31" t="n">
        <f aca="false">SUM(C178:C187)</f>
        <v>0.0151934521199269</v>
      </c>
      <c r="L187" s="31" t="n">
        <f aca="true">NORMSINV(RAND())*$G$7+$G$6</f>
        <v>-0.00122529361260151</v>
      </c>
    </row>
    <row r="188" customFormat="false" ht="15" hidden="false" customHeight="false" outlineLevel="0" collapsed="false">
      <c r="A188" s="19" t="n">
        <f aca="false">Daromadlilik!A185</f>
        <v>45551</v>
      </c>
      <c r="B188" s="31" t="n">
        <f aca="false">SUMPRODUCT(Parametrlar!$B$14:$E$14,Daromadlilik!C185:F185)</f>
        <v>0.0167036119415366</v>
      </c>
      <c r="C188" s="31" t="n">
        <f aca="false">LN(1+B188)</f>
        <v>0.016565640905569</v>
      </c>
      <c r="D188" s="31" t="n">
        <f aca="false">SUM(C179:C188)</f>
        <v>0.0313086638568137</v>
      </c>
      <c r="L188" s="31" t="n">
        <f aca="true">NORMSINV(RAND())*$G$7+$G$6</f>
        <v>0.0159202377207854</v>
      </c>
    </row>
    <row r="189" customFormat="false" ht="15" hidden="false" customHeight="false" outlineLevel="0" collapsed="false">
      <c r="A189" s="19" t="n">
        <f aca="false">Daromadlilik!A186</f>
        <v>45552</v>
      </c>
      <c r="B189" s="31" t="n">
        <f aca="false">SUMPRODUCT(Parametrlar!$B$14:$E$14,Daromadlilik!C186:F186)</f>
        <v>-0.000978217375640356</v>
      </c>
      <c r="C189" s="31" t="n">
        <f aca="false">LN(1+B189)</f>
        <v>-0.000978696142508147</v>
      </c>
      <c r="D189" s="31" t="n">
        <f aca="false">SUM(C180:C189)</f>
        <v>0.0342416986542762</v>
      </c>
      <c r="L189" s="31" t="n">
        <f aca="true">NORMSINV(RAND())*$G$7+$G$6</f>
        <v>0.00818065532665369</v>
      </c>
    </row>
    <row r="190" customFormat="false" ht="15" hidden="false" customHeight="false" outlineLevel="0" collapsed="false">
      <c r="A190" s="19" t="n">
        <f aca="false">Daromadlilik!A187</f>
        <v>45553</v>
      </c>
      <c r="B190" s="31" t="n">
        <f aca="false">SUMPRODUCT(Parametrlar!$B$14:$E$14,Daromadlilik!C187:F187)</f>
        <v>-0.000828029427695942</v>
      </c>
      <c r="C190" s="31" t="n">
        <f aca="false">LN(1+B190)</f>
        <v>-0.000828372433421413</v>
      </c>
      <c r="D190" s="31" t="n">
        <f aca="false">SUM(C181:C190)</f>
        <v>0.0215424469047762</v>
      </c>
      <c r="L190" s="31" t="n">
        <f aca="true">NORMSINV(RAND())*$G$7+$G$6</f>
        <v>0.0385637188566987</v>
      </c>
    </row>
    <row r="191" customFormat="false" ht="15" hidden="false" customHeight="false" outlineLevel="0" collapsed="false">
      <c r="A191" s="19" t="n">
        <f aca="false">Daromadlilik!A188</f>
        <v>45554</v>
      </c>
      <c r="B191" s="31" t="n">
        <f aca="false">SUMPRODUCT(Parametrlar!$B$14:$E$14,Daromadlilik!C188:F188)</f>
        <v>0.00781972110665222</v>
      </c>
      <c r="C191" s="31" t="n">
        <f aca="false">LN(1+B191)</f>
        <v>0.00778930554546678</v>
      </c>
      <c r="D191" s="31" t="n">
        <f aca="false">SUM(C182:C191)</f>
        <v>0.0241009988744691</v>
      </c>
      <c r="L191" s="31" t="n">
        <f aca="true">NORMSINV(RAND())*$G$7+$G$6</f>
        <v>0.00438090047966587</v>
      </c>
    </row>
    <row r="192" customFormat="false" ht="15" hidden="false" customHeight="false" outlineLevel="0" collapsed="false">
      <c r="A192" s="19" t="n">
        <f aca="false">Daromadlilik!A189</f>
        <v>45555</v>
      </c>
      <c r="B192" s="31" t="n">
        <f aca="false">SUMPRODUCT(Parametrlar!$B$14:$E$14,Daromadlilik!C189:F189)</f>
        <v>0.00157362143131949</v>
      </c>
      <c r="C192" s="31" t="n">
        <f aca="false">LN(1+B192)</f>
        <v>0.00157238458649534</v>
      </c>
      <c r="D192" s="31" t="n">
        <f aca="false">SUM(C183:C192)</f>
        <v>0.0419523625794199</v>
      </c>
      <c r="L192" s="31" t="n">
        <f aca="true">NORMSINV(RAND())*$G$7+$G$6</f>
        <v>-0.02195442399051</v>
      </c>
    </row>
    <row r="193" customFormat="false" ht="15" hidden="false" customHeight="false" outlineLevel="0" collapsed="false">
      <c r="A193" s="19" t="n">
        <f aca="false">Daromadlilik!A190</f>
        <v>45558</v>
      </c>
      <c r="B193" s="31" t="n">
        <f aca="false">SUMPRODUCT(Parametrlar!$B$14:$E$14,Daromadlilik!C190:F190)</f>
        <v>0.00526242213919996</v>
      </c>
      <c r="C193" s="31" t="n">
        <f aca="false">LN(1+B193)</f>
        <v>0.00524862398246219</v>
      </c>
      <c r="D193" s="31" t="n">
        <f aca="false">SUM(C184:C193)</f>
        <v>0.0424667956921675</v>
      </c>
      <c r="L193" s="31" t="n">
        <f aca="true">NORMSINV(RAND())*$G$7+$G$6</f>
        <v>0.00484658584927828</v>
      </c>
    </row>
    <row r="194" customFormat="false" ht="15" hidden="false" customHeight="false" outlineLevel="0" collapsed="false">
      <c r="A194" s="19" t="n">
        <f aca="false">Daromadlilik!A191</f>
        <v>45559</v>
      </c>
      <c r="B194" s="31" t="n">
        <f aca="false">SUMPRODUCT(Parametrlar!$B$14:$E$14,Daromadlilik!C191:F191)</f>
        <v>-0.00233308705801586</v>
      </c>
      <c r="C194" s="31" t="n">
        <f aca="false">LN(1+B194)</f>
        <v>-0.0023358129462744</v>
      </c>
      <c r="D194" s="31" t="n">
        <f aca="false">SUM(C185:C194)</f>
        <v>0.0309608966428173</v>
      </c>
      <c r="L194" s="31" t="n">
        <f aca="true">NORMSINV(RAND())*$G$7+$G$6</f>
        <v>-0.0110054644395864</v>
      </c>
    </row>
    <row r="195" customFormat="false" ht="15" hidden="false" customHeight="false" outlineLevel="0" collapsed="false">
      <c r="A195" s="19" t="n">
        <f aca="false">Daromadlilik!A192</f>
        <v>45560</v>
      </c>
      <c r="B195" s="31" t="n">
        <f aca="false">SUMPRODUCT(Parametrlar!$B$14:$E$14,Daromadlilik!C192:F192)</f>
        <v>0.00152964563592774</v>
      </c>
      <c r="C195" s="31" t="n">
        <f aca="false">LN(1+B195)</f>
        <v>0.00152847691970462</v>
      </c>
      <c r="D195" s="31" t="n">
        <f aca="false">SUM(C186:C195)</f>
        <v>0.0134972230368696</v>
      </c>
      <c r="L195" s="31" t="n">
        <f aca="true">NORMSINV(RAND())*$G$7+$G$6</f>
        <v>0.00123828845234901</v>
      </c>
    </row>
    <row r="196" customFormat="false" ht="15" hidden="false" customHeight="false" outlineLevel="0" collapsed="false">
      <c r="A196" s="19" t="n">
        <f aca="false">Daromadlilik!A193</f>
        <v>45561</v>
      </c>
      <c r="B196" s="31" t="n">
        <f aca="false">SUMPRODUCT(Parametrlar!$B$14:$E$14,Daromadlilik!C193:F193)</f>
        <v>-0.00807993662280736</v>
      </c>
      <c r="C196" s="31" t="n">
        <f aca="false">LN(1+B196)</f>
        <v>-0.00811275621710076</v>
      </c>
      <c r="D196" s="31" t="n">
        <f aca="false">SUM(C187:C196)</f>
        <v>0.0110038544478163</v>
      </c>
      <c r="L196" s="31" t="n">
        <f aca="true">NORMSINV(RAND())*$G$7+$G$6</f>
        <v>0.00194874171813327</v>
      </c>
    </row>
    <row r="197" customFormat="false" ht="15" hidden="false" customHeight="false" outlineLevel="0" collapsed="false">
      <c r="A197" s="19" t="n">
        <f aca="false">Daromadlilik!A194</f>
        <v>45562</v>
      </c>
      <c r="B197" s="31" t="n">
        <f aca="false">SUMPRODUCT(Parametrlar!$B$14:$E$14,Daromadlilik!C194:F194)</f>
        <v>-0.00768922048218302</v>
      </c>
      <c r="C197" s="31" t="n">
        <f aca="false">LN(1+B197)</f>
        <v>-0.00771893495676379</v>
      </c>
      <c r="D197" s="31" t="n">
        <f aca="false">SUM(C188:C197)</f>
        <v>0.0127298592436294</v>
      </c>
      <c r="L197" s="31" t="n">
        <f aca="true">NORMSINV(RAND())*$G$7+$G$6</f>
        <v>0.0213634651208783</v>
      </c>
    </row>
    <row r="198" customFormat="false" ht="15" hidden="false" customHeight="false" outlineLevel="0" collapsed="false">
      <c r="A198" s="19" t="n">
        <f aca="false">Daromadlilik!A195</f>
        <v>45565</v>
      </c>
      <c r="B198" s="31" t="n">
        <f aca="false">SUMPRODUCT(Parametrlar!$B$14:$E$14,Daromadlilik!C195:F195)</f>
        <v>0.00781441767434521</v>
      </c>
      <c r="C198" s="31" t="n">
        <f aca="false">LN(1+B198)</f>
        <v>0.00778404324889733</v>
      </c>
      <c r="D198" s="31" t="n">
        <f aca="false">SUM(C189:C198)</f>
        <v>0.00394826158695776</v>
      </c>
      <c r="L198" s="31" t="n">
        <f aca="true">NORMSINV(RAND())*$G$7+$G$6</f>
        <v>-0.00496365030623795</v>
      </c>
    </row>
    <row r="199" customFormat="false" ht="15" hidden="false" customHeight="false" outlineLevel="0" collapsed="false">
      <c r="A199" s="19" t="n">
        <f aca="false">Daromadlilik!A196</f>
        <v>45566</v>
      </c>
      <c r="B199" s="31" t="n">
        <f aca="false">SUMPRODUCT(Parametrlar!$B$14:$E$14,Daromadlilik!C196:F196)</f>
        <v>0.00393425982762645</v>
      </c>
      <c r="C199" s="31" t="n">
        <f aca="false">LN(1+B199)</f>
        <v>0.0039265408664064</v>
      </c>
      <c r="D199" s="31" t="n">
        <f aca="false">SUM(C190:C199)</f>
        <v>0.0088534985958723</v>
      </c>
      <c r="L199" s="31" t="n">
        <f aca="true">NORMSINV(RAND())*$G$7+$G$6</f>
        <v>-0.000797418324621651</v>
      </c>
    </row>
    <row r="200" customFormat="false" ht="15" hidden="false" customHeight="false" outlineLevel="0" collapsed="false">
      <c r="A200" s="19" t="n">
        <f aca="false">Daromadlilik!A197</f>
        <v>45567</v>
      </c>
      <c r="B200" s="31" t="n">
        <f aca="false">SUMPRODUCT(Parametrlar!$B$14:$E$14,Daromadlilik!C197:F197)</f>
        <v>-0.00670786424353309</v>
      </c>
      <c r="C200" s="31" t="n">
        <f aca="false">LN(1+B200)</f>
        <v>-0.00673046308154056</v>
      </c>
      <c r="D200" s="31" t="n">
        <f aca="false">SUM(C191:C200)</f>
        <v>0.00295140794775316</v>
      </c>
      <c r="L200" s="31" t="n">
        <f aca="true">NORMSINV(RAND())*$G$7+$G$6</f>
        <v>-0.0025465197702045</v>
      </c>
    </row>
    <row r="201" customFormat="false" ht="15" hidden="false" customHeight="false" outlineLevel="0" collapsed="false">
      <c r="A201" s="19" t="n">
        <f aca="false">Daromadlilik!A198</f>
        <v>45568</v>
      </c>
      <c r="B201" s="31" t="n">
        <f aca="false">SUMPRODUCT(Parametrlar!$B$14:$E$14,Daromadlilik!C198:F198)</f>
        <v>0.00576156673512942</v>
      </c>
      <c r="C201" s="31" t="n">
        <f aca="false">LN(1+B201)</f>
        <v>0.00574503238827029</v>
      </c>
      <c r="D201" s="31" t="n">
        <f aca="false">SUM(C192:C201)</f>
        <v>0.000907134790556673</v>
      </c>
      <c r="L201" s="31" t="n">
        <f aca="true">NORMSINV(RAND())*$G$7+$G$6</f>
        <v>-0.0104213026991388</v>
      </c>
    </row>
    <row r="202" customFormat="false" ht="15" hidden="false" customHeight="false" outlineLevel="0" collapsed="false">
      <c r="A202" s="19" t="n">
        <f aca="false">Daromadlilik!A199</f>
        <v>45569</v>
      </c>
      <c r="B202" s="31" t="n">
        <f aca="false">SUMPRODUCT(Parametrlar!$B$14:$E$14,Daromadlilik!C199:F199)</f>
        <v>-0.00852457250053121</v>
      </c>
      <c r="C202" s="31" t="n">
        <f aca="false">LN(1+B202)</f>
        <v>-0.00856111448676272</v>
      </c>
      <c r="D202" s="31" t="n">
        <f aca="false">SUM(C193:C202)</f>
        <v>-0.00922636428270139</v>
      </c>
      <c r="L202" s="31" t="n">
        <f aca="true">NORMSINV(RAND())*$G$7+$G$6</f>
        <v>-0.0164120009904599</v>
      </c>
    </row>
    <row r="203" customFormat="false" ht="15" hidden="false" customHeight="false" outlineLevel="0" collapsed="false">
      <c r="A203" s="19" t="n">
        <f aca="false">Daromadlilik!A200</f>
        <v>45572</v>
      </c>
      <c r="B203" s="31" t="n">
        <f aca="false">SUMPRODUCT(Parametrlar!$B$14:$E$14,Daromadlilik!C200:F200)</f>
        <v>0.000859909182756657</v>
      </c>
      <c r="C203" s="31" t="n">
        <f aca="false">LN(1+B203)</f>
        <v>0.00085953967267019</v>
      </c>
      <c r="D203" s="31" t="n">
        <f aca="false">SUM(C194:C203)</f>
        <v>-0.0136154485924934</v>
      </c>
      <c r="L203" s="31" t="n">
        <f aca="true">NORMSINV(RAND())*$G$7+$G$6</f>
        <v>0.000496819349412481</v>
      </c>
    </row>
    <row r="204" customFormat="false" ht="15" hidden="false" customHeight="false" outlineLevel="0" collapsed="false">
      <c r="A204" s="19" t="n">
        <f aca="false">Daromadlilik!A201</f>
        <v>45573</v>
      </c>
      <c r="B204" s="31" t="n">
        <f aca="false">SUMPRODUCT(Parametrlar!$B$14:$E$14,Daromadlilik!C201:F201)</f>
        <v>0.00413582619841593</v>
      </c>
      <c r="C204" s="31" t="n">
        <f aca="false">LN(1+B204)</f>
        <v>0.00412729717752239</v>
      </c>
      <c r="D204" s="31" t="n">
        <f aca="false">SUM(C195:C204)</f>
        <v>-0.00715233846869661</v>
      </c>
      <c r="L204" s="31" t="n">
        <f aca="true">NORMSINV(RAND())*$G$7+$G$6</f>
        <v>-0.00709234678937764</v>
      </c>
    </row>
    <row r="205" customFormat="false" ht="15" hidden="false" customHeight="false" outlineLevel="0" collapsed="false">
      <c r="A205" s="19" t="n">
        <f aca="false">Daromadlilik!A202</f>
        <v>45574</v>
      </c>
      <c r="B205" s="31" t="n">
        <f aca="false">SUMPRODUCT(Parametrlar!$B$14:$E$14,Daromadlilik!C202:F202)</f>
        <v>0.0121833079338525</v>
      </c>
      <c r="C205" s="31" t="n">
        <f aca="false">LN(1+B205)</f>
        <v>0.0121096887844218</v>
      </c>
      <c r="D205" s="31" t="n">
        <f aca="false">SUM(C196:C205)</f>
        <v>0.0034288733960206</v>
      </c>
      <c r="L205" s="31" t="n">
        <f aca="true">NORMSINV(RAND())*$G$7+$G$6</f>
        <v>-0.0135870381544125</v>
      </c>
    </row>
    <row r="206" customFormat="false" ht="15" hidden="false" customHeight="false" outlineLevel="0" collapsed="false">
      <c r="A206" s="19" t="n">
        <f aca="false">Daromadlilik!A203</f>
        <v>45575</v>
      </c>
      <c r="B206" s="31" t="n">
        <f aca="false">SUMPRODUCT(Parametrlar!$B$14:$E$14,Daromadlilik!C203:F203)</f>
        <v>-0.000216065153599188</v>
      </c>
      <c r="C206" s="31" t="n">
        <f aca="false">LN(1+B206)</f>
        <v>-0.000216088499037294</v>
      </c>
      <c r="D206" s="31" t="n">
        <f aca="false">SUM(C197:C206)</f>
        <v>0.0113255411140841</v>
      </c>
      <c r="L206" s="31" t="n">
        <f aca="true">NORMSINV(RAND())*$G$7+$G$6</f>
        <v>0.000979746314093441</v>
      </c>
    </row>
    <row r="207" customFormat="false" ht="15" hidden="false" customHeight="false" outlineLevel="0" collapsed="false">
      <c r="A207" s="19" t="n">
        <f aca="false">Daromadlilik!A204</f>
        <v>45576</v>
      </c>
      <c r="B207" s="31" t="n">
        <f aca="false">SUMPRODUCT(Parametrlar!$B$14:$E$14,Daromadlilik!C204:F204)</f>
        <v>0.00200228699760575</v>
      </c>
      <c r="C207" s="31" t="n">
        <f aca="false">LN(1+B207)</f>
        <v>0.00200028509280857</v>
      </c>
      <c r="D207" s="31" t="n">
        <f aca="false">SUM(C198:C207)</f>
        <v>0.0210447611636564</v>
      </c>
      <c r="L207" s="31" t="n">
        <f aca="true">NORMSINV(RAND())*$G$7+$G$6</f>
        <v>0.0204295096108158</v>
      </c>
    </row>
    <row r="208" customFormat="false" ht="15" hidden="false" customHeight="false" outlineLevel="0" collapsed="false">
      <c r="A208" s="19" t="n">
        <f aca="false">Daromadlilik!A205</f>
        <v>45579</v>
      </c>
      <c r="B208" s="31" t="n">
        <f aca="false">SUMPRODUCT(Parametrlar!$B$14:$E$14,Daromadlilik!C205:F205)</f>
        <v>0.00564670941399313</v>
      </c>
      <c r="C208" s="31" t="n">
        <f aca="false">LN(1+B208)</f>
        <v>0.00563082651309015</v>
      </c>
      <c r="D208" s="31" t="n">
        <f aca="false">SUM(C199:C208)</f>
        <v>0.0188915444278492</v>
      </c>
      <c r="L208" s="31" t="n">
        <f aca="true">NORMSINV(RAND())*$G$7+$G$6</f>
        <v>-0.00635132151726764</v>
      </c>
    </row>
    <row r="209" customFormat="false" ht="15" hidden="false" customHeight="false" outlineLevel="0" collapsed="false">
      <c r="A209" s="19" t="n">
        <f aca="false">Daromadlilik!A206</f>
        <v>45580</v>
      </c>
      <c r="B209" s="31" t="n">
        <f aca="false">SUMPRODUCT(Parametrlar!$B$14:$E$14,Daromadlilik!C206:F206)</f>
        <v>-0.00349984988103548</v>
      </c>
      <c r="C209" s="31" t="n">
        <f aca="false">LN(1+B209)</f>
        <v>-0.00350598868307266</v>
      </c>
      <c r="D209" s="31" t="n">
        <f aca="false">SUM(C200:C209)</f>
        <v>0.0114590148783702</v>
      </c>
      <c r="L209" s="31" t="n">
        <f aca="true">NORMSINV(RAND())*$G$7+$G$6</f>
        <v>-0.0203412767496941</v>
      </c>
    </row>
    <row r="210" customFormat="false" ht="15" hidden="false" customHeight="false" outlineLevel="0" collapsed="false">
      <c r="A210" s="19" t="n">
        <f aca="false">Daromadlilik!A207</f>
        <v>45581</v>
      </c>
      <c r="B210" s="31" t="n">
        <f aca="false">SUMPRODUCT(Parametrlar!$B$14:$E$14,Daromadlilik!C207:F207)</f>
        <v>-0.00934788949040552</v>
      </c>
      <c r="C210" s="31" t="n">
        <f aca="false">LN(1+B210)</f>
        <v>-0.0093918552150319</v>
      </c>
      <c r="D210" s="31" t="n">
        <f aca="false">SUM(C201:C210)</f>
        <v>0.00879762274487883</v>
      </c>
      <c r="L210" s="31" t="n">
        <f aca="true">NORMSINV(RAND())*$G$7+$G$6</f>
        <v>0.000669749588265228</v>
      </c>
    </row>
    <row r="211" customFormat="false" ht="15" hidden="false" customHeight="false" outlineLevel="0" collapsed="false">
      <c r="A211" s="19" t="n">
        <f aca="false">Daromadlilik!A208</f>
        <v>45582</v>
      </c>
      <c r="B211" s="31" t="n">
        <f aca="false">SUMPRODUCT(Parametrlar!$B$14:$E$14,Daromadlilik!C208:F208)</f>
        <v>0.00693317512266345</v>
      </c>
      <c r="C211" s="31" t="n">
        <f aca="false">LN(1+B211)</f>
        <v>0.00690925117962701</v>
      </c>
      <c r="D211" s="31" t="n">
        <f aca="false">SUM(C202:C211)</f>
        <v>0.00996184153623555</v>
      </c>
      <c r="L211" s="31" t="n">
        <f aca="true">NORMSINV(RAND())*$G$7+$G$6</f>
        <v>-0.00066713783530449</v>
      </c>
    </row>
    <row r="212" customFormat="false" ht="15" hidden="false" customHeight="false" outlineLevel="0" collapsed="false">
      <c r="A212" s="19" t="n">
        <f aca="false">Daromadlilik!A209</f>
        <v>45583</v>
      </c>
      <c r="B212" s="31" t="n">
        <f aca="false">SUMPRODUCT(Parametrlar!$B$14:$E$14,Daromadlilik!C209:F209)</f>
        <v>-0.00760423231762342</v>
      </c>
      <c r="C212" s="31" t="n">
        <f aca="false">LN(1+B212)</f>
        <v>-0.00763329190315323</v>
      </c>
      <c r="D212" s="31" t="n">
        <f aca="false">SUM(C203:C212)</f>
        <v>0.010889664119845</v>
      </c>
      <c r="L212" s="31" t="n">
        <f aca="true">NORMSINV(RAND())*$G$7+$G$6</f>
        <v>-0.00348253835819646</v>
      </c>
    </row>
    <row r="213" customFormat="false" ht="15" hidden="false" customHeight="false" outlineLevel="0" collapsed="false">
      <c r="A213" s="19" t="n">
        <f aca="false">Daromadlilik!A210</f>
        <v>45586</v>
      </c>
      <c r="B213" s="31" t="n">
        <f aca="false">SUMPRODUCT(Parametrlar!$B$14:$E$14,Daromadlilik!C210:F210)</f>
        <v>0.00843590293986389</v>
      </c>
      <c r="C213" s="31" t="n">
        <f aca="false">LN(1+B213)</f>
        <v>0.00840051956520305</v>
      </c>
      <c r="D213" s="31" t="n">
        <f aca="false">SUM(C204:C213)</f>
        <v>0.0184306440123779</v>
      </c>
      <c r="L213" s="31" t="n">
        <f aca="true">NORMSINV(RAND())*$G$7+$G$6</f>
        <v>0.00953239267948219</v>
      </c>
    </row>
    <row r="214" customFormat="false" ht="15" hidden="false" customHeight="false" outlineLevel="0" collapsed="false">
      <c r="A214" s="19" t="n">
        <f aca="false">Daromadlilik!A211</f>
        <v>45587</v>
      </c>
      <c r="B214" s="31" t="n">
        <f aca="false">SUMPRODUCT(Parametrlar!$B$14:$E$14,Daromadlilik!C211:F211)</f>
        <v>-0.0060644137853853</v>
      </c>
      <c r="C214" s="31" t="n">
        <f aca="false">LN(1+B214)</f>
        <v>-0.00608287702633347</v>
      </c>
      <c r="D214" s="31" t="n">
        <f aca="false">SUM(C205:C214)</f>
        <v>0.00822046980852204</v>
      </c>
      <c r="L214" s="31" t="n">
        <f aca="true">NORMSINV(RAND())*$G$7+$G$6</f>
        <v>-0.00629707556311762</v>
      </c>
    </row>
    <row r="215" customFormat="false" ht="15" hidden="false" customHeight="false" outlineLevel="0" collapsed="false">
      <c r="A215" s="19" t="n">
        <f aca="false">Daromadlilik!A212</f>
        <v>45588</v>
      </c>
      <c r="B215" s="31" t="n">
        <f aca="false">SUMPRODUCT(Parametrlar!$B$14:$E$14,Daromadlilik!C212:F212)</f>
        <v>-0.00294075400814712</v>
      </c>
      <c r="C215" s="31" t="n">
        <f aca="false">LN(1+B215)</f>
        <v>-0.00294508652120354</v>
      </c>
      <c r="D215" s="31" t="n">
        <f aca="false">SUM(C206:C215)</f>
        <v>-0.00683430549710333</v>
      </c>
      <c r="L215" s="31" t="n">
        <f aca="true">NORMSINV(RAND())*$G$7+$G$6</f>
        <v>-0.000614026867452687</v>
      </c>
    </row>
    <row r="216" customFormat="false" ht="15" hidden="false" customHeight="false" outlineLevel="0" collapsed="false">
      <c r="A216" s="19" t="n">
        <f aca="false">Daromadlilik!A213</f>
        <v>45589</v>
      </c>
      <c r="B216" s="31" t="n">
        <f aca="false">SUMPRODUCT(Parametrlar!$B$14:$E$14,Daromadlilik!C213:F213)</f>
        <v>-0.00296789421386621</v>
      </c>
      <c r="C216" s="31" t="n">
        <f aca="false">LN(1+B216)</f>
        <v>-0.00297230714547095</v>
      </c>
      <c r="D216" s="31" t="n">
        <f aca="false">SUM(C207:C216)</f>
        <v>-0.00959052414353698</v>
      </c>
      <c r="L216" s="31" t="n">
        <f aca="true">NORMSINV(RAND())*$G$7+$G$6</f>
        <v>0.00223394986678279</v>
      </c>
    </row>
    <row r="217" customFormat="false" ht="15" hidden="false" customHeight="false" outlineLevel="0" collapsed="false">
      <c r="A217" s="19" t="n">
        <f aca="false">Daromadlilik!A214</f>
        <v>45590</v>
      </c>
      <c r="B217" s="31" t="n">
        <f aca="false">SUMPRODUCT(Parametrlar!$B$14:$E$14,Daromadlilik!C214:F214)</f>
        <v>0.00175216001243814</v>
      </c>
      <c r="C217" s="31" t="n">
        <f aca="false">LN(1+B217)</f>
        <v>0.00175062677081208</v>
      </c>
      <c r="D217" s="31" t="n">
        <f aca="false">SUM(C208:C217)</f>
        <v>-0.00984018246553346</v>
      </c>
      <c r="L217" s="31" t="n">
        <f aca="true">NORMSINV(RAND())*$G$7+$G$6</f>
        <v>0.00668646126746143</v>
      </c>
    </row>
    <row r="218" customFormat="false" ht="15" hidden="false" customHeight="false" outlineLevel="0" collapsed="false">
      <c r="A218" s="19" t="n">
        <f aca="false">Daromadlilik!A215</f>
        <v>45593</v>
      </c>
      <c r="B218" s="31" t="n">
        <f aca="false">SUMPRODUCT(Parametrlar!$B$14:$E$14,Daromadlilik!C215:F215)</f>
        <v>0.00145396325656243</v>
      </c>
      <c r="C218" s="31" t="n">
        <f aca="false">LN(1+B218)</f>
        <v>0.00145290727543464</v>
      </c>
      <c r="D218" s="31" t="n">
        <f aca="false">SUM(C209:C218)</f>
        <v>-0.014018101703189</v>
      </c>
      <c r="L218" s="31" t="n">
        <f aca="true">NORMSINV(RAND())*$G$7+$G$6</f>
        <v>-0.00754454381531287</v>
      </c>
    </row>
    <row r="219" customFormat="false" ht="15" hidden="false" customHeight="false" outlineLevel="0" collapsed="false">
      <c r="A219" s="19" t="n">
        <f aca="false">Daromadlilik!A216</f>
        <v>45594</v>
      </c>
      <c r="B219" s="31" t="n">
        <f aca="false">SUMPRODUCT(Parametrlar!$B$14:$E$14,Daromadlilik!C216:F216)</f>
        <v>0.00412623479553653</v>
      </c>
      <c r="C219" s="31" t="n">
        <f aca="false">LN(1+B219)</f>
        <v>0.004117745234013</v>
      </c>
      <c r="D219" s="31" t="n">
        <f aca="false">SUM(C210:C219)</f>
        <v>-0.00639436778610331</v>
      </c>
      <c r="L219" s="31" t="n">
        <f aca="true">NORMSINV(RAND())*$G$7+$G$6</f>
        <v>0.00225480153959714</v>
      </c>
    </row>
    <row r="220" customFormat="false" ht="15" hidden="false" customHeight="false" outlineLevel="0" collapsed="false">
      <c r="A220" s="19" t="n">
        <f aca="false">Daromadlilik!A217</f>
        <v>45595</v>
      </c>
      <c r="B220" s="31" t="n">
        <f aca="false">SUMPRODUCT(Parametrlar!$B$14:$E$14,Daromadlilik!C217:F217)</f>
        <v>0.0183013291824343</v>
      </c>
      <c r="C220" s="31" t="n">
        <f aca="false">LN(1+B220)</f>
        <v>0.018135875490157</v>
      </c>
      <c r="D220" s="31" t="n">
        <f aca="false">SUM(C211:C220)</f>
        <v>0.0211333629190856</v>
      </c>
      <c r="L220" s="31" t="n">
        <f aca="true">NORMSINV(RAND())*$G$7+$G$6</f>
        <v>0.0167126245537853</v>
      </c>
    </row>
    <row r="221" customFormat="false" ht="15" hidden="false" customHeight="false" outlineLevel="0" collapsed="false">
      <c r="A221" s="19" t="n">
        <f aca="false">Daromadlilik!A218</f>
        <v>45596</v>
      </c>
      <c r="B221" s="31" t="n">
        <f aca="false">SUMPRODUCT(Parametrlar!$B$14:$E$14,Daromadlilik!C218:F218)</f>
        <v>0.00579251906722514</v>
      </c>
      <c r="C221" s="31" t="n">
        <f aca="false">LN(1+B221)</f>
        <v>0.00577580693449475</v>
      </c>
      <c r="D221" s="31" t="n">
        <f aca="false">SUM(C212:C221)</f>
        <v>0.0199999186739533</v>
      </c>
      <c r="L221" s="31" t="n">
        <f aca="true">NORMSINV(RAND())*$G$7+$G$6</f>
        <v>0.00421647435440526</v>
      </c>
    </row>
    <row r="222" customFormat="false" ht="15" hidden="false" customHeight="false" outlineLevel="0" collapsed="false">
      <c r="A222" s="19" t="n">
        <f aca="false">Daromadlilik!A219</f>
        <v>45597</v>
      </c>
      <c r="B222" s="31" t="n">
        <f aca="false">SUMPRODUCT(Parametrlar!$B$14:$E$14,Daromadlilik!C219:F219)</f>
        <v>-0.00979323793214506</v>
      </c>
      <c r="C222" s="31" t="n">
        <f aca="false">LN(1+B222)</f>
        <v>-0.0098415070861555</v>
      </c>
      <c r="D222" s="31" t="n">
        <f aca="false">SUM(C213:C222)</f>
        <v>0.0177917034909511</v>
      </c>
      <c r="L222" s="31" t="n">
        <f aca="true">NORMSINV(RAND())*$G$7+$G$6</f>
        <v>-0.0157860611893641</v>
      </c>
    </row>
    <row r="223" customFormat="false" ht="15" hidden="false" customHeight="false" outlineLevel="0" collapsed="false">
      <c r="A223" s="19" t="n">
        <f aca="false">Daromadlilik!A220</f>
        <v>45600</v>
      </c>
      <c r="B223" s="31" t="n">
        <f aca="false">SUMPRODUCT(Parametrlar!$B$14:$E$14,Daromadlilik!C220:F220)</f>
        <v>-0.00302659450886414</v>
      </c>
      <c r="C223" s="31" t="n">
        <f aca="false">LN(1+B223)</f>
        <v>-0.00303118390853189</v>
      </c>
      <c r="D223" s="31" t="n">
        <f aca="false">SUM(C214:C223)</f>
        <v>0.00636000001721612</v>
      </c>
      <c r="L223" s="31" t="n">
        <f aca="true">NORMSINV(RAND())*$G$7+$G$6</f>
        <v>-0.0125124924352835</v>
      </c>
    </row>
    <row r="224" customFormat="false" ht="15" hidden="false" customHeight="false" outlineLevel="0" collapsed="false">
      <c r="A224" s="19" t="n">
        <f aca="false">Daromadlilik!A221</f>
        <v>45601</v>
      </c>
      <c r="B224" s="31" t="n">
        <f aca="false">SUMPRODUCT(Parametrlar!$B$14:$E$14,Daromadlilik!C221:F221)</f>
        <v>-0.0053043428738559</v>
      </c>
      <c r="C224" s="31" t="n">
        <f aca="false">LN(1+B224)</f>
        <v>-0.00531846084702857</v>
      </c>
      <c r="D224" s="31" t="n">
        <f aca="false">SUM(C215:C224)</f>
        <v>0.00712441619652102</v>
      </c>
      <c r="L224" s="31" t="n">
        <f aca="true">NORMSINV(RAND())*$G$7+$G$6</f>
        <v>-0.00100844128891349</v>
      </c>
    </row>
    <row r="225" customFormat="false" ht="15" hidden="false" customHeight="false" outlineLevel="0" collapsed="false">
      <c r="A225" s="19" t="n">
        <f aca="false">Daromadlilik!A222</f>
        <v>45602</v>
      </c>
      <c r="B225" s="31" t="n">
        <f aca="false">SUMPRODUCT(Parametrlar!$B$14:$E$14,Daromadlilik!C222:F222)</f>
        <v>0.00362143863278554</v>
      </c>
      <c r="C225" s="31" t="n">
        <f aca="false">LN(1+B225)</f>
        <v>0.00361489701252718</v>
      </c>
      <c r="D225" s="31" t="n">
        <f aca="false">SUM(C216:C225)</f>
        <v>0.0136843997302517</v>
      </c>
      <c r="L225" s="31" t="n">
        <f aca="true">NORMSINV(RAND())*$G$7+$G$6</f>
        <v>0.0111473212232762</v>
      </c>
    </row>
    <row r="226" customFormat="false" ht="15" hidden="false" customHeight="false" outlineLevel="0" collapsed="false">
      <c r="A226" s="19" t="n">
        <f aca="false">Daromadlilik!A223</f>
        <v>45603</v>
      </c>
      <c r="B226" s="31" t="n">
        <f aca="false">SUMPRODUCT(Parametrlar!$B$14:$E$14,Daromadlilik!C223:F223)</f>
        <v>0.00416354171546125</v>
      </c>
      <c r="C226" s="31" t="n">
        <f aca="false">LN(1+B226)</f>
        <v>0.0041548981592186</v>
      </c>
      <c r="D226" s="31" t="n">
        <f aca="false">SUM(C217:C226)</f>
        <v>0.0208116050349413</v>
      </c>
      <c r="L226" s="31" t="n">
        <f aca="true">NORMSINV(RAND())*$G$7+$G$6</f>
        <v>0.0110312614808225</v>
      </c>
    </row>
    <row r="227" customFormat="false" ht="15" hidden="false" customHeight="false" outlineLevel="0" collapsed="false">
      <c r="A227" s="19" t="n">
        <f aca="false">Daromadlilik!A224</f>
        <v>45604</v>
      </c>
      <c r="B227" s="31" t="n">
        <f aca="false">SUMPRODUCT(Parametrlar!$B$14:$E$14,Daromadlilik!C224:F224)</f>
        <v>0.00613346704965098</v>
      </c>
      <c r="C227" s="31" t="n">
        <f aca="false">LN(1+B227)</f>
        <v>0.00611473390103539</v>
      </c>
      <c r="D227" s="31" t="n">
        <f aca="false">SUM(C218:C227)</f>
        <v>0.0251757121651646</v>
      </c>
      <c r="L227" s="31" t="n">
        <f aca="true">NORMSINV(RAND())*$G$7+$G$6</f>
        <v>0.019878376553622</v>
      </c>
    </row>
    <row r="228" customFormat="false" ht="15" hidden="false" customHeight="false" outlineLevel="0" collapsed="false">
      <c r="A228" s="19" t="n">
        <f aca="false">Daromadlilik!A225</f>
        <v>45607</v>
      </c>
      <c r="B228" s="31" t="n">
        <f aca="false">SUMPRODUCT(Parametrlar!$B$14:$E$14,Daromadlilik!C225:F225)</f>
        <v>-0.00399638663651466</v>
      </c>
      <c r="C228" s="31" t="n">
        <f aca="false">LN(1+B228)</f>
        <v>-0.00400439352913429</v>
      </c>
      <c r="D228" s="31" t="n">
        <f aca="false">SUM(C219:C228)</f>
        <v>0.0197184113605957</v>
      </c>
      <c r="L228" s="31" t="n">
        <f aca="true">NORMSINV(RAND())*$G$7+$G$6</f>
        <v>0.0248178940745078</v>
      </c>
    </row>
    <row r="229" customFormat="false" ht="15" hidden="false" customHeight="false" outlineLevel="0" collapsed="false">
      <c r="A229" s="19" t="n">
        <f aca="false">Daromadlilik!A226</f>
        <v>45608</v>
      </c>
      <c r="B229" s="31" t="n">
        <f aca="false">SUMPRODUCT(Parametrlar!$B$14:$E$14,Daromadlilik!C226:F226)</f>
        <v>0.00870174142992528</v>
      </c>
      <c r="C229" s="31" t="n">
        <f aca="false">LN(1+B229)</f>
        <v>0.00866409948731935</v>
      </c>
      <c r="D229" s="31" t="n">
        <f aca="false">SUM(C220:C229)</f>
        <v>0.024264765613902</v>
      </c>
      <c r="L229" s="31" t="n">
        <f aca="true">NORMSINV(RAND())*$G$7+$G$6</f>
        <v>-0.00840432518705969</v>
      </c>
    </row>
    <row r="230" customFormat="false" ht="15" hidden="false" customHeight="false" outlineLevel="0" collapsed="false">
      <c r="A230" s="19" t="n">
        <f aca="false">Daromadlilik!A227</f>
        <v>45609</v>
      </c>
      <c r="B230" s="31" t="n">
        <f aca="false">SUMPRODUCT(Parametrlar!$B$14:$E$14,Daromadlilik!C227:F227)</f>
        <v>-0.00567390225949633</v>
      </c>
      <c r="C230" s="31" t="n">
        <f aca="false">LN(1+B230)</f>
        <v>-0.00569005999016392</v>
      </c>
      <c r="D230" s="31" t="n">
        <f aca="false">SUM(C221:C230)</f>
        <v>0.000438830133581094</v>
      </c>
      <c r="L230" s="31" t="n">
        <f aca="true">NORMSINV(RAND())*$G$7+$G$6</f>
        <v>-0.00562716630539879</v>
      </c>
    </row>
    <row r="231" customFormat="false" ht="15" hidden="false" customHeight="false" outlineLevel="0" collapsed="false">
      <c r="A231" s="19" t="n">
        <f aca="false">Daromadlilik!A228</f>
        <v>45610</v>
      </c>
      <c r="B231" s="31" t="n">
        <f aca="false">SUMPRODUCT(Parametrlar!$B$14:$E$14,Daromadlilik!C228:F228)</f>
        <v>-0.0163410423452387</v>
      </c>
      <c r="C231" s="31" t="n">
        <f aca="false">LN(1+B231)</f>
        <v>-0.0164760297545252</v>
      </c>
      <c r="D231" s="31" t="n">
        <f aca="false">SUM(C222:C231)</f>
        <v>-0.0218130065554389</v>
      </c>
      <c r="L231" s="31" t="n">
        <f aca="true">NORMSINV(RAND())*$G$7+$G$6</f>
        <v>-0.0344650693517591</v>
      </c>
    </row>
    <row r="232" customFormat="false" ht="15" hidden="false" customHeight="false" outlineLevel="0" collapsed="false">
      <c r="A232" s="19" t="n">
        <f aca="false">Daromadlilik!A229</f>
        <v>45611</v>
      </c>
      <c r="B232" s="31" t="n">
        <f aca="false">SUMPRODUCT(Parametrlar!$B$14:$E$14,Daromadlilik!C229:F229)</f>
        <v>-0.00434214559258073</v>
      </c>
      <c r="C232" s="31" t="n">
        <f aca="false">LN(1+B232)</f>
        <v>-0.0043516000852028</v>
      </c>
      <c r="D232" s="31" t="n">
        <f aca="false">SUM(C223:C232)</f>
        <v>-0.0163230995544862</v>
      </c>
      <c r="L232" s="31" t="n">
        <f aca="true">NORMSINV(RAND())*$G$7+$G$6</f>
        <v>0.0146475792108236</v>
      </c>
    </row>
    <row r="233" customFormat="false" ht="15" hidden="false" customHeight="false" outlineLevel="0" collapsed="false">
      <c r="A233" s="19" t="n">
        <f aca="false">Daromadlilik!A230</f>
        <v>45614</v>
      </c>
      <c r="B233" s="31" t="n">
        <f aca="false">SUMPRODUCT(Parametrlar!$B$14:$E$14,Daromadlilik!C230:F230)</f>
        <v>0.00105929369785975</v>
      </c>
      <c r="C233" s="31" t="n">
        <f aca="false">LN(1+B233)</f>
        <v>0.00105873304218832</v>
      </c>
      <c r="D233" s="31" t="n">
        <f aca="false">SUM(C224:C233)</f>
        <v>-0.012233182603766</v>
      </c>
      <c r="L233" s="31" t="n">
        <f aca="true">NORMSINV(RAND())*$G$7+$G$6</f>
        <v>-0.00724865381459094</v>
      </c>
    </row>
    <row r="234" customFormat="false" ht="15" hidden="false" customHeight="false" outlineLevel="0" collapsed="false">
      <c r="A234" s="19" t="n">
        <f aca="false">Daromadlilik!A231</f>
        <v>45615</v>
      </c>
      <c r="B234" s="31" t="n">
        <f aca="false">SUMPRODUCT(Parametrlar!$B$14:$E$14,Daromadlilik!C231:F231)</f>
        <v>-0.00941963331450947</v>
      </c>
      <c r="C234" s="31" t="n">
        <f aca="false">LN(1+B234)</f>
        <v>-0.00946427864333834</v>
      </c>
      <c r="D234" s="31" t="n">
        <f aca="false">SUM(C225:C234)</f>
        <v>-0.0163790004000758</v>
      </c>
      <c r="L234" s="31" t="n">
        <f aca="true">NORMSINV(RAND())*$G$7+$G$6</f>
        <v>-0.0226959665800591</v>
      </c>
    </row>
    <row r="235" customFormat="false" ht="15" hidden="false" customHeight="false" outlineLevel="0" collapsed="false">
      <c r="A235" s="19" t="n">
        <f aca="false">Daromadlilik!A232</f>
        <v>45616</v>
      </c>
      <c r="B235" s="31" t="n">
        <f aca="false">SUMPRODUCT(Parametrlar!$B$14:$E$14,Daromadlilik!C232:F232)</f>
        <v>0.00111130700413485</v>
      </c>
      <c r="C235" s="31" t="n">
        <f aca="false">LN(1+B235)</f>
        <v>0.00111068995961443</v>
      </c>
      <c r="D235" s="31" t="n">
        <f aca="false">SUM(C226:C235)</f>
        <v>-0.0188832074529885</v>
      </c>
      <c r="L235" s="31" t="n">
        <f aca="true">NORMSINV(RAND())*$G$7+$G$6</f>
        <v>0.0101865274668625</v>
      </c>
    </row>
    <row r="236" customFormat="false" ht="15" hidden="false" customHeight="false" outlineLevel="0" collapsed="false">
      <c r="A236" s="19" t="n">
        <f aca="false">Daromadlilik!A233</f>
        <v>45617</v>
      </c>
      <c r="B236" s="31" t="n">
        <f aca="false">SUMPRODUCT(Parametrlar!$B$14:$E$14,Daromadlilik!C233:F233)</f>
        <v>-0.00382815077088193</v>
      </c>
      <c r="C236" s="31" t="n">
        <f aca="false">LN(1+B236)</f>
        <v>-0.00383549689408214</v>
      </c>
      <c r="D236" s="31" t="n">
        <f aca="false">SUM(C227:C236)</f>
        <v>-0.0268736025062892</v>
      </c>
      <c r="L236" s="31" t="n">
        <f aca="true">NORMSINV(RAND())*$G$7+$G$6</f>
        <v>0.00142100597751521</v>
      </c>
    </row>
    <row r="237" customFormat="false" ht="15" hidden="false" customHeight="false" outlineLevel="0" collapsed="false">
      <c r="A237" s="19" t="n">
        <f aca="false">Daromadlilik!A234</f>
        <v>45618</v>
      </c>
      <c r="B237" s="31" t="n">
        <f aca="false">SUMPRODUCT(Parametrlar!$B$14:$E$14,Daromadlilik!C234:F234)</f>
        <v>-0.00842182196053516</v>
      </c>
      <c r="C237" s="31" t="n">
        <f aca="false">LN(1+B237)</f>
        <v>-0.00845748588105994</v>
      </c>
      <c r="D237" s="31" t="n">
        <f aca="false">SUM(C228:C237)</f>
        <v>-0.0414458222883846</v>
      </c>
      <c r="L237" s="31" t="n">
        <f aca="true">NORMSINV(RAND())*$G$7+$G$6</f>
        <v>0.00991140524078968</v>
      </c>
    </row>
    <row r="238" customFormat="false" ht="15" hidden="false" customHeight="false" outlineLevel="0" collapsed="false">
      <c r="A238" s="19" t="n">
        <f aca="false">Daromadlilik!A235</f>
        <v>45621</v>
      </c>
      <c r="B238" s="31" t="n">
        <f aca="false">SUMPRODUCT(Parametrlar!$B$14:$E$14,Daromadlilik!C235:F235)</f>
        <v>0.0114099572138263</v>
      </c>
      <c r="C238" s="31" t="n">
        <f aca="false">LN(1+B238)</f>
        <v>0.0113453545963266</v>
      </c>
      <c r="D238" s="31" t="n">
        <f aca="false">SUM(C229:C238)</f>
        <v>-0.0260960741629237</v>
      </c>
      <c r="L238" s="31" t="n">
        <f aca="true">NORMSINV(RAND())*$G$7+$G$6</f>
        <v>0.00462274327216698</v>
      </c>
    </row>
    <row r="239" customFormat="false" ht="15" hidden="false" customHeight="false" outlineLevel="0" collapsed="false">
      <c r="A239" s="19" t="n">
        <f aca="false">Daromadlilik!A236</f>
        <v>45622</v>
      </c>
      <c r="B239" s="31" t="n">
        <f aca="false">SUMPRODUCT(Parametrlar!$B$14:$E$14,Daromadlilik!C236:F236)</f>
        <v>0.00343695310391547</v>
      </c>
      <c r="C239" s="31" t="n">
        <f aca="false">LN(1+B239)</f>
        <v>0.00343106027897814</v>
      </c>
      <c r="D239" s="31" t="n">
        <f aca="false">SUM(C230:C239)</f>
        <v>-0.0313291133712649</v>
      </c>
      <c r="L239" s="31" t="n">
        <f aca="true">NORMSINV(RAND())*$G$7+$G$6</f>
        <v>-0.0244147908293058</v>
      </c>
    </row>
    <row r="240" customFormat="false" ht="15" hidden="false" customHeight="false" outlineLevel="0" collapsed="false">
      <c r="A240" s="19" t="n">
        <f aca="false">Daromadlilik!A237</f>
        <v>45623</v>
      </c>
      <c r="B240" s="31" t="n">
        <f aca="false">SUMPRODUCT(Parametrlar!$B$14:$E$14,Daromadlilik!C237:F237)</f>
        <v>0.00847200215939248</v>
      </c>
      <c r="C240" s="31" t="n">
        <f aca="false">LN(1+B240)</f>
        <v>0.00843631616200462</v>
      </c>
      <c r="D240" s="31" t="n">
        <f aca="false">SUM(C231:C240)</f>
        <v>-0.0172027372190963</v>
      </c>
      <c r="L240" s="31" t="n">
        <f aca="true">NORMSINV(RAND())*$G$7+$G$6</f>
        <v>-0.000914525408846611</v>
      </c>
    </row>
    <row r="241" customFormat="false" ht="15" hidden="false" customHeight="false" outlineLevel="0" collapsed="false">
      <c r="A241" s="19" t="n">
        <f aca="false">Daromadlilik!A238</f>
        <v>45624</v>
      </c>
      <c r="B241" s="31" t="n">
        <f aca="false">SUMPRODUCT(Parametrlar!$B$14:$E$14,Daromadlilik!C238:F238)</f>
        <v>0.00190155113425924</v>
      </c>
      <c r="C241" s="31" t="n">
        <f aca="false">LN(1+B241)</f>
        <v>0.00189974547457496</v>
      </c>
      <c r="D241" s="31" t="n">
        <f aca="false">SUM(C232:C241)</f>
        <v>0.00117303801000388</v>
      </c>
      <c r="L241" s="31" t="n">
        <f aca="true">NORMSINV(RAND())*$G$7+$G$6</f>
        <v>-0.00557841391407665</v>
      </c>
    </row>
    <row r="242" customFormat="false" ht="15" hidden="false" customHeight="false" outlineLevel="0" collapsed="false">
      <c r="A242" s="19" t="n">
        <f aca="false">Daromadlilik!A239</f>
        <v>45625</v>
      </c>
      <c r="B242" s="31" t="n">
        <f aca="false">SUMPRODUCT(Parametrlar!$B$14:$E$14,Daromadlilik!C239:F239)</f>
        <v>-0.00193983325048787</v>
      </c>
      <c r="C242" s="31" t="n">
        <f aca="false">LN(1+B242)</f>
        <v>-0.0019417171637203</v>
      </c>
      <c r="D242" s="31" t="n">
        <f aca="false">SUM(C233:C242)</f>
        <v>0.00358292093148637</v>
      </c>
      <c r="L242" s="31" t="n">
        <f aca="true">NORMSINV(RAND())*$G$7+$G$6</f>
        <v>-0.0129799166234704</v>
      </c>
    </row>
    <row r="243" customFormat="false" ht="15" hidden="false" customHeight="false" outlineLevel="0" collapsed="false">
      <c r="A243" s="19" t="n">
        <f aca="false">Daromadlilik!A240</f>
        <v>45628</v>
      </c>
      <c r="B243" s="31" t="n">
        <f aca="false">SUMPRODUCT(Parametrlar!$B$14:$E$14,Daromadlilik!C240:F240)</f>
        <v>-0.00741492285560399</v>
      </c>
      <c r="C243" s="31" t="n">
        <f aca="false">LN(1+B243)</f>
        <v>-0.00744255004981315</v>
      </c>
      <c r="D243" s="31" t="n">
        <f aca="false">SUM(C234:C243)</f>
        <v>-0.00491836216051509</v>
      </c>
      <c r="L243" s="31" t="n">
        <f aca="true">NORMSINV(RAND())*$G$7+$G$6</f>
        <v>0.00555596320605699</v>
      </c>
    </row>
    <row r="244" customFormat="false" ht="15" hidden="false" customHeight="false" outlineLevel="0" collapsed="false">
      <c r="A244" s="19" t="n">
        <f aca="false">Daromadlilik!A241</f>
        <v>45629</v>
      </c>
      <c r="B244" s="31" t="n">
        <f aca="false">SUMPRODUCT(Parametrlar!$B$14:$E$14,Daromadlilik!C241:F241)</f>
        <v>-0.00986885362957903</v>
      </c>
      <c r="C244" s="31" t="n">
        <f aca="false">LN(1+B244)</f>
        <v>-0.00991787354578698</v>
      </c>
      <c r="D244" s="31" t="n">
        <f aca="false">SUM(C235:C244)</f>
        <v>-0.00537195706296373</v>
      </c>
      <c r="L244" s="31" t="n">
        <f aca="true">NORMSINV(RAND())*$G$7+$G$6</f>
        <v>-0.00326969851769024</v>
      </c>
    </row>
    <row r="245" customFormat="false" ht="15" hidden="false" customHeight="false" outlineLevel="0" collapsed="false">
      <c r="A245" s="19" t="n">
        <f aca="false">Daromadlilik!A242</f>
        <v>45630</v>
      </c>
      <c r="B245" s="31" t="n">
        <f aca="false">SUMPRODUCT(Parametrlar!$B$14:$E$14,Daromadlilik!C242:F242)</f>
        <v>0.0189550017454704</v>
      </c>
      <c r="C245" s="31" t="n">
        <f aca="false">LN(1+B245)</f>
        <v>0.0187775940363651</v>
      </c>
      <c r="D245" s="31" t="n">
        <f aca="false">SUM(C236:C245)</f>
        <v>0.0122949470137869</v>
      </c>
      <c r="L245" s="31" t="n">
        <f aca="true">NORMSINV(RAND())*$G$7+$G$6</f>
        <v>0.000385203838703055</v>
      </c>
    </row>
    <row r="246" customFormat="false" ht="15" hidden="false" customHeight="false" outlineLevel="0" collapsed="false">
      <c r="A246" s="19" t="n">
        <f aca="false">Daromadlilik!A243</f>
        <v>45631</v>
      </c>
      <c r="B246" s="31" t="n">
        <f aca="false">SUMPRODUCT(Parametrlar!$B$14:$E$14,Daromadlilik!C243:F243)</f>
        <v>-0.00660245056268173</v>
      </c>
      <c r="C246" s="31" t="n">
        <f aca="false">LN(1+B246)</f>
        <v>-0.00662434315578072</v>
      </c>
      <c r="D246" s="31" t="n">
        <f aca="false">SUM(C237:C246)</f>
        <v>0.00950610075208837</v>
      </c>
      <c r="L246" s="31" t="n">
        <f aca="true">NORMSINV(RAND())*$G$7+$G$6</f>
        <v>-0.0251969073870799</v>
      </c>
    </row>
    <row r="247" customFormat="false" ht="15" hidden="false" customHeight="false" outlineLevel="0" collapsed="false">
      <c r="A247" s="19" t="n">
        <f aca="false">Daromadlilik!A244</f>
        <v>45632</v>
      </c>
      <c r="B247" s="31" t="n">
        <f aca="false">SUMPRODUCT(Parametrlar!$B$14:$E$14,Daromadlilik!C244:F244)</f>
        <v>0.00148359352050412</v>
      </c>
      <c r="C247" s="31" t="n">
        <f aca="false">LN(1+B247)</f>
        <v>0.00148249408291515</v>
      </c>
      <c r="D247" s="31" t="n">
        <f aca="false">SUM(C238:C247)</f>
        <v>0.0194460807160635</v>
      </c>
      <c r="L247" s="31" t="n">
        <f aca="true">NORMSINV(RAND())*$G$7+$G$6</f>
        <v>0.0202178485422347</v>
      </c>
    </row>
    <row r="248" customFormat="false" ht="15" hidden="false" customHeight="false" outlineLevel="0" collapsed="false">
      <c r="A248" s="19" t="n">
        <f aca="false">Daromadlilik!A245</f>
        <v>45635</v>
      </c>
      <c r="B248" s="31" t="n">
        <f aca="false">SUMPRODUCT(Parametrlar!$B$14:$E$14,Daromadlilik!C245:F245)</f>
        <v>-0.00247077194180967</v>
      </c>
      <c r="C248" s="31" t="n">
        <f aca="false">LN(1+B248)</f>
        <v>-0.00247382933592457</v>
      </c>
      <c r="D248" s="31" t="n">
        <f aca="false">SUM(C239:C248)</f>
        <v>0.00562689678381226</v>
      </c>
      <c r="L248" s="31" t="n">
        <f aca="true">NORMSINV(RAND())*$G$7+$G$6</f>
        <v>0.00860599363940318</v>
      </c>
    </row>
    <row r="249" customFormat="false" ht="15" hidden="false" customHeight="false" outlineLevel="0" collapsed="false">
      <c r="A249" s="19" t="n">
        <f aca="false">Daromadlilik!A246</f>
        <v>45636</v>
      </c>
      <c r="B249" s="31" t="n">
        <f aca="false">SUMPRODUCT(Parametrlar!$B$14:$E$14,Daromadlilik!C246:F246)</f>
        <v>7.67148543128424E-005</v>
      </c>
      <c r="C249" s="31" t="n">
        <f aca="false">LN(1+B249)</f>
        <v>7.6711911878869E-005</v>
      </c>
      <c r="D249" s="31" t="n">
        <f aca="false">SUM(C240:C249)</f>
        <v>0.00227254841671299</v>
      </c>
      <c r="L249" s="31" t="n">
        <f aca="true">NORMSINV(RAND())*$G$7+$G$6</f>
        <v>0.014998857010277</v>
      </c>
    </row>
    <row r="250" customFormat="false" ht="15" hidden="false" customHeight="false" outlineLevel="0" collapsed="false">
      <c r="A250" s="19" t="n">
        <f aca="false">Daromadlilik!A247</f>
        <v>45637</v>
      </c>
      <c r="B250" s="31" t="n">
        <f aca="false">SUMPRODUCT(Parametrlar!$B$14:$E$14,Daromadlilik!C247:F247)</f>
        <v>0.00879133167805595</v>
      </c>
      <c r="C250" s="31" t="n">
        <f aca="false">LN(1+B250)</f>
        <v>0.00875291292552509</v>
      </c>
      <c r="D250" s="31" t="n">
        <f aca="false">SUM(C241:C250)</f>
        <v>0.00258914518023346</v>
      </c>
      <c r="L250" s="31" t="n">
        <f aca="true">NORMSINV(RAND())*$G$7+$G$6</f>
        <v>0.0146866621071423</v>
      </c>
    </row>
    <row r="251" customFormat="false" ht="15" hidden="false" customHeight="false" outlineLevel="0" collapsed="false">
      <c r="A251" s="19" t="n">
        <f aca="false">Daromadlilik!A248</f>
        <v>45638</v>
      </c>
      <c r="B251" s="31" t="n">
        <f aca="false">SUMPRODUCT(Parametrlar!$B$14:$E$14,Daromadlilik!C248:F248)</f>
        <v>-0.00730568367524882</v>
      </c>
      <c r="C251" s="31" t="n">
        <f aca="false">LN(1+B251)</f>
        <v>-0.00733250087404</v>
      </c>
      <c r="D251" s="31" t="n">
        <f aca="false">SUM(C242:C251)</f>
        <v>-0.0066431011683815</v>
      </c>
      <c r="L251" s="31" t="n">
        <f aca="true">NORMSINV(RAND())*$G$7+$G$6</f>
        <v>-0.0118709482282716</v>
      </c>
    </row>
    <row r="252" customFormat="false" ht="15" hidden="false" customHeight="false" outlineLevel="0" collapsed="false">
      <c r="A252" s="19" t="n">
        <f aca="false">Daromadlilik!A249</f>
        <v>45639</v>
      </c>
      <c r="B252" s="31" t="n">
        <f aca="false">SUMPRODUCT(Parametrlar!$B$14:$E$14,Daromadlilik!C249:F249)</f>
        <v>0.00499592688817664</v>
      </c>
      <c r="C252" s="31" t="n">
        <f aca="false">LN(1+B252)</f>
        <v>0.00498348865524093</v>
      </c>
      <c r="D252" s="31" t="n">
        <f aca="false">SUM(C243:C252)</f>
        <v>0.000282104650579734</v>
      </c>
      <c r="L252" s="31" t="n">
        <f aca="true">NORMSINV(RAND())*$G$7+$G$6</f>
        <v>-0.00668551224321376</v>
      </c>
    </row>
    <row r="253" customFormat="false" ht="15" hidden="false" customHeight="false" outlineLevel="0" collapsed="false">
      <c r="A253" s="19" t="n">
        <f aca="false">Daromadlilik!A250</f>
        <v>45642</v>
      </c>
      <c r="B253" s="31" t="n">
        <f aca="false">SUMPRODUCT(Parametrlar!$B$14:$E$14,Daromadlilik!C250:F250)</f>
        <v>-0.00150719542599699</v>
      </c>
      <c r="C253" s="31" t="n">
        <f aca="false">LN(1+B253)</f>
        <v>-0.00150833238758219</v>
      </c>
      <c r="D253" s="31" t="n">
        <f aca="false">SUM(C244:C253)</f>
        <v>0.0062163223128107</v>
      </c>
      <c r="L253" s="31" t="n">
        <f aca="true">NORMSINV(RAND())*$G$7+$G$6</f>
        <v>-0.00844839054623776</v>
      </c>
    </row>
    <row r="254" customFormat="false" ht="15" hidden="false" customHeight="false" outlineLevel="0" collapsed="false">
      <c r="A254" s="19" t="n">
        <f aca="false">Daromadlilik!A251</f>
        <v>45643</v>
      </c>
      <c r="B254" s="31" t="n">
        <f aca="false">SUMPRODUCT(Parametrlar!$B$14:$E$14,Daromadlilik!C251:F251)</f>
        <v>0.00746374060536437</v>
      </c>
      <c r="C254" s="31" t="n">
        <f aca="false">LN(1+B254)</f>
        <v>0.0074360247174806</v>
      </c>
      <c r="D254" s="31" t="n">
        <f aca="false">SUM(C245:C254)</f>
        <v>0.0235702205760783</v>
      </c>
      <c r="L254" s="31" t="n">
        <f aca="true">NORMSINV(RAND())*$G$7+$G$6</f>
        <v>0.0128198318327489</v>
      </c>
    </row>
    <row r="255" customFormat="false" ht="15" hidden="false" customHeight="false" outlineLevel="0" collapsed="false">
      <c r="A255" s="19" t="n">
        <f aca="false">Daromadlilik!A252</f>
        <v>45644</v>
      </c>
      <c r="B255" s="31" t="n">
        <f aca="false">SUMPRODUCT(Parametrlar!$B$14:$E$14,Daromadlilik!C252:F252)</f>
        <v>-0.00530634024222335</v>
      </c>
      <c r="C255" s="31" t="n">
        <f aca="false">LN(1+B255)</f>
        <v>-0.00532046886863643</v>
      </c>
      <c r="D255" s="31" t="n">
        <f aca="false">SUM(C246:C255)</f>
        <v>-0.000527842328923263</v>
      </c>
      <c r="L255" s="31" t="n">
        <f aca="true">NORMSINV(RAND())*$G$7+$G$6</f>
        <v>0.00281246563712076</v>
      </c>
    </row>
    <row r="256" customFormat="false" ht="15" hidden="false" customHeight="false" outlineLevel="0" collapsed="false">
      <c r="A256" s="19" t="n">
        <f aca="false">Daromadlilik!A253</f>
        <v>45645</v>
      </c>
      <c r="B256" s="31" t="n">
        <f aca="false">SUMPRODUCT(Parametrlar!$B$14:$E$14,Daromadlilik!C253:F253)</f>
        <v>-0.012692111949668</v>
      </c>
      <c r="C256" s="31" t="n">
        <f aca="false">LN(1+B256)</f>
        <v>-0.0127733448794487</v>
      </c>
      <c r="D256" s="31" t="n">
        <f aca="false">SUM(C247:C256)</f>
        <v>-0.00667684405259125</v>
      </c>
      <c r="L256" s="31" t="n">
        <f aca="true">NORMSINV(RAND())*$G$7+$G$6</f>
        <v>-0.00128856847903657</v>
      </c>
    </row>
    <row r="257" customFormat="false" ht="15" hidden="false" customHeight="false" outlineLevel="0" collapsed="false">
      <c r="A257" s="19" t="n">
        <f aca="false">Daromadlilik!A254</f>
        <v>45646</v>
      </c>
      <c r="B257" s="31" t="n">
        <f aca="false">SUMPRODUCT(Parametrlar!$B$14:$E$14,Daromadlilik!C254:F254)</f>
        <v>0.0180055799213799</v>
      </c>
      <c r="C257" s="31" t="n">
        <f aca="false">LN(1+B257)</f>
        <v>0.0178453993720318</v>
      </c>
      <c r="D257" s="31" t="n">
        <f aca="false">SUM(C248:C257)</f>
        <v>0.0096860612365254</v>
      </c>
      <c r="L257" s="31" t="n">
        <f aca="true">NORMSINV(RAND())*$G$7+$G$6</f>
        <v>0.00133837535452878</v>
      </c>
    </row>
    <row r="258" customFormat="false" ht="15" hidden="false" customHeight="false" outlineLevel="0" collapsed="false">
      <c r="A258" s="19" t="n">
        <f aca="false">Daromadlilik!A255</f>
        <v>45649</v>
      </c>
      <c r="B258" s="31" t="n">
        <f aca="false">SUMPRODUCT(Parametrlar!$B$14:$E$14,Daromadlilik!C255:F255)</f>
        <v>0.000594896289665836</v>
      </c>
      <c r="C258" s="31" t="n">
        <f aca="false">LN(1+B258)</f>
        <v>0.000594719409015026</v>
      </c>
      <c r="D258" s="31" t="n">
        <f aca="false">SUM(C249:C258)</f>
        <v>0.012754609981465</v>
      </c>
      <c r="L258" s="31" t="n">
        <f aca="true">NORMSINV(RAND())*$G$7+$G$6</f>
        <v>0.0167612000390061</v>
      </c>
    </row>
    <row r="259" customFormat="false" ht="15" hidden="false" customHeight="false" outlineLevel="0" collapsed="false">
      <c r="A259" s="19" t="n">
        <f aca="false">Daromadlilik!A256</f>
        <v>45650</v>
      </c>
      <c r="B259" s="31" t="n">
        <f aca="false">SUMPRODUCT(Parametrlar!$B$14:$E$14,Daromadlilik!C256:F256)</f>
        <v>0.00560871579264971</v>
      </c>
      <c r="C259" s="31" t="n">
        <f aca="false">LN(1+B259)</f>
        <v>0.00559304551235613</v>
      </c>
      <c r="D259" s="31" t="n">
        <f aca="false">SUM(C250:C259)</f>
        <v>0.0182709435819423</v>
      </c>
      <c r="L259" s="31" t="n">
        <f aca="true">NORMSINV(RAND())*$G$7+$G$6</f>
        <v>0.0104989023820323</v>
      </c>
    </row>
    <row r="260" customFormat="false" ht="15" hidden="false" customHeight="false" outlineLevel="0" collapsed="false">
      <c r="A260" s="19" t="n">
        <f aca="false">Daromadlilik!A257</f>
        <v>45651</v>
      </c>
      <c r="B260" s="31" t="n">
        <f aca="false">SUMPRODUCT(Parametrlar!$B$14:$E$14,Daromadlilik!C257:F257)</f>
        <v>0.0110694502271551</v>
      </c>
      <c r="C260" s="31" t="n">
        <f aca="false">LN(1+B260)</f>
        <v>0.0110086322656707</v>
      </c>
      <c r="D260" s="31" t="n">
        <f aca="false">SUM(C251:C260)</f>
        <v>0.0205266629220879</v>
      </c>
      <c r="L260" s="31" t="n">
        <f aca="true">NORMSINV(RAND())*$G$7+$G$6</f>
        <v>0.0118517818956086</v>
      </c>
    </row>
    <row r="261" customFormat="false" ht="15" hidden="false" customHeight="false" outlineLevel="0" collapsed="false">
      <c r="A261" s="19" t="n">
        <f aca="false">Daromadlilik!A258</f>
        <v>45652</v>
      </c>
      <c r="B261" s="31" t="n">
        <f aca="false">SUMPRODUCT(Parametrlar!$B$14:$E$14,Daromadlilik!C258:F258)</f>
        <v>0.0159213434998253</v>
      </c>
      <c r="C261" s="31" t="n">
        <f aca="false">LN(1+B261)</f>
        <v>0.0157959283442439</v>
      </c>
      <c r="D261" s="31" t="n">
        <f aca="false">SUM(C252:C261)</f>
        <v>0.0436550921403717</v>
      </c>
      <c r="L261" s="31" t="n">
        <f aca="true">NORMSINV(RAND())*$G$7+$G$6</f>
        <v>0.00100857999620884</v>
      </c>
    </row>
    <row r="262" customFormat="false" ht="15" hidden="false" customHeight="false" outlineLevel="0" collapsed="false">
      <c r="A262" s="19" t="n">
        <f aca="false">Daromadlilik!A259</f>
        <v>45653</v>
      </c>
      <c r="B262" s="31" t="n">
        <f aca="false">SUMPRODUCT(Parametrlar!$B$14:$E$14,Daromadlilik!C259:F259)</f>
        <v>0.00556550661669768</v>
      </c>
      <c r="C262" s="31" t="n">
        <f aca="false">LN(1+B262)</f>
        <v>0.0055500764095533</v>
      </c>
      <c r="D262" s="31" t="n">
        <f aca="false">SUM(C253:C262)</f>
        <v>0.0442216798946841</v>
      </c>
      <c r="L262" s="31" t="n">
        <f aca="true">NORMSINV(RAND())*$G$7+$G$6</f>
        <v>-0.00436034114814797</v>
      </c>
    </row>
    <row r="263" customFormat="false" ht="15" hidden="false" customHeight="false" outlineLevel="0" collapsed="false">
      <c r="A263" s="19" t="n">
        <f aca="false">Daromadlilik!A260</f>
        <v>45656</v>
      </c>
      <c r="B263" s="31" t="n">
        <f aca="false">SUMPRODUCT(Parametrlar!$B$14:$E$14,Daromadlilik!C260:F260)</f>
        <v>-0.00733763308574922</v>
      </c>
      <c r="C263" s="31" t="n">
        <f aca="false">LN(1+B263)</f>
        <v>-0.00736468593254643</v>
      </c>
      <c r="D263" s="31" t="n">
        <f aca="false">SUM(C254:C263)</f>
        <v>0.0383653263497199</v>
      </c>
      <c r="L263" s="31" t="n">
        <f aca="true">NORMSINV(RAND())*$G$7+$G$6</f>
        <v>-0.0102907392837645</v>
      </c>
    </row>
    <row r="264" customFormat="false" ht="15" hidden="false" customHeight="false" outlineLevel="0" collapsed="false">
      <c r="A264" s="19" t="n">
        <f aca="false">Daromadlilik!A261</f>
        <v>45657</v>
      </c>
      <c r="B264" s="31" t="n">
        <f aca="false">SUMPRODUCT(Parametrlar!$B$14:$E$14,Daromadlilik!C261:F261)</f>
        <v>0.00964858412990095</v>
      </c>
      <c r="C264" s="31" t="n">
        <f aca="false">LN(1+B264)</f>
        <v>0.00960233380416975</v>
      </c>
      <c r="D264" s="31" t="n">
        <f aca="false">SUM(C255:C264)</f>
        <v>0.040531635436409</v>
      </c>
      <c r="L264" s="31" t="n">
        <f aca="true">NORMSINV(RAND())*$G$7+$G$6</f>
        <v>0.00337880630796632</v>
      </c>
    </row>
    <row r="265" customFormat="false" ht="15" hidden="false" customHeight="false" outlineLevel="0" collapsed="false">
      <c r="A265" s="19" t="n">
        <f aca="false">Daromadlilik!A262</f>
        <v>45658</v>
      </c>
      <c r="B265" s="31" t="n">
        <f aca="false">SUMPRODUCT(Parametrlar!$B$14:$E$14,Daromadlilik!C262:F262)</f>
        <v>-0.00683676802231947</v>
      </c>
      <c r="C265" s="31" t="n">
        <f aca="false">LN(1+B265)</f>
        <v>-0.00686024579003841</v>
      </c>
      <c r="D265" s="31" t="n">
        <f aca="false">SUM(C256:C265)</f>
        <v>0.038991858515007</v>
      </c>
      <c r="L265" s="31" t="n">
        <f aca="true">NORMSINV(RAND())*$G$7+$G$6</f>
        <v>0.00163171012250171</v>
      </c>
    </row>
    <row r="266" customFormat="false" ht="15" hidden="false" customHeight="false" outlineLevel="0" collapsed="false">
      <c r="A266" s="19" t="n">
        <f aca="false">Daromadlilik!A263</f>
        <v>45659</v>
      </c>
      <c r="B266" s="31" t="n">
        <f aca="false">SUMPRODUCT(Parametrlar!$B$14:$E$14,Daromadlilik!C263:F263)</f>
        <v>0.0110197561300507</v>
      </c>
      <c r="C266" s="31" t="n">
        <f aca="false">LN(1+B266)</f>
        <v>0.0109594810245106</v>
      </c>
      <c r="D266" s="31" t="n">
        <f aca="false">SUM(C257:C266)</f>
        <v>0.0627246844189663</v>
      </c>
      <c r="L266" s="31" t="n">
        <f aca="true">NORMSINV(RAND())*$G$7+$G$6</f>
        <v>-0.00491836484784811</v>
      </c>
    </row>
    <row r="267" customFormat="false" ht="15" hidden="false" customHeight="false" outlineLevel="0" collapsed="false">
      <c r="A267" s="19" t="n">
        <f aca="false">Daromadlilik!A264</f>
        <v>45660</v>
      </c>
      <c r="B267" s="31" t="n">
        <f aca="false">SUMPRODUCT(Parametrlar!$B$14:$E$14,Daromadlilik!C264:F264)</f>
        <v>0.00143910207006425</v>
      </c>
      <c r="C267" s="31" t="n">
        <f aca="false">LN(1+B267)</f>
        <v>0.00143806755507629</v>
      </c>
      <c r="D267" s="31" t="n">
        <f aca="false">SUM(C258:C267)</f>
        <v>0.0463173526020108</v>
      </c>
      <c r="L267" s="31" t="n">
        <f aca="true">NORMSINV(RAND())*$G$7+$G$6</f>
        <v>0.0192502029422842</v>
      </c>
    </row>
    <row r="268" customFormat="false" ht="15" hidden="false" customHeight="false" outlineLevel="0" collapsed="false">
      <c r="A268" s="19" t="n">
        <f aca="false">Daromadlilik!A265</f>
        <v>45663</v>
      </c>
      <c r="B268" s="31" t="n">
        <f aca="false">SUMPRODUCT(Parametrlar!$B$14:$E$14,Daromadlilik!C265:F265)</f>
        <v>-0.0143346113001683</v>
      </c>
      <c r="C268" s="31" t="n">
        <f aca="false">LN(1+B268)</f>
        <v>-0.0144383443493388</v>
      </c>
      <c r="D268" s="31" t="n">
        <f aca="false">SUM(C259:C268)</f>
        <v>0.031284288843657</v>
      </c>
      <c r="L268" s="31" t="n">
        <f aca="true">NORMSINV(RAND())*$G$7+$G$6</f>
        <v>-0.00303445780726038</v>
      </c>
    </row>
    <row r="269" customFormat="false" ht="15" hidden="false" customHeight="false" outlineLevel="0" collapsed="false">
      <c r="A269" s="19" t="n">
        <f aca="false">Daromadlilik!A266</f>
        <v>45664</v>
      </c>
      <c r="B269" s="31" t="n">
        <f aca="false">SUMPRODUCT(Parametrlar!$B$14:$E$14,Daromadlilik!C266:F266)</f>
        <v>-0.0121884163815026</v>
      </c>
      <c r="C269" s="31" t="n">
        <f aca="false">LN(1+B269)</f>
        <v>-0.012263304260327</v>
      </c>
      <c r="D269" s="31" t="n">
        <f aca="false">SUM(C260:C269)</f>
        <v>0.0134279390709738</v>
      </c>
      <c r="L269" s="31" t="n">
        <f aca="true">NORMSINV(RAND())*$G$7+$G$6</f>
        <v>-0.0147364616991465</v>
      </c>
    </row>
    <row r="270" customFormat="false" ht="15" hidden="false" customHeight="false" outlineLevel="0" collapsed="false">
      <c r="A270" s="19" t="n">
        <f aca="false">Daromadlilik!A267</f>
        <v>45665</v>
      </c>
      <c r="B270" s="31" t="n">
        <f aca="false">SUMPRODUCT(Parametrlar!$B$14:$E$14,Daromadlilik!C267:F267)</f>
        <v>0.00162871269642506</v>
      </c>
      <c r="C270" s="31" t="n">
        <f aca="false">LN(1+B270)</f>
        <v>0.0016273877823093</v>
      </c>
      <c r="D270" s="31" t="n">
        <f aca="false">SUM(C261:C270)</f>
        <v>0.00404669458761246</v>
      </c>
      <c r="L270" s="31" t="n">
        <f aca="true">NORMSINV(RAND())*$G$7+$G$6</f>
        <v>-0.00905728120899348</v>
      </c>
    </row>
    <row r="271" customFormat="false" ht="15" hidden="false" customHeight="false" outlineLevel="0" collapsed="false">
      <c r="A271" s="19" t="n">
        <f aca="false">Daromadlilik!A268</f>
        <v>45666</v>
      </c>
      <c r="B271" s="31" t="n">
        <f aca="false">SUMPRODUCT(Parametrlar!$B$14:$E$14,Daromadlilik!C268:F268)</f>
        <v>-0.0111580311682985</v>
      </c>
      <c r="C271" s="31" t="n">
        <f aca="false">LN(1+B271)</f>
        <v>-0.0112207489726227</v>
      </c>
      <c r="D271" s="31" t="n">
        <f aca="false">SUM(C262:C271)</f>
        <v>-0.0229699827292541</v>
      </c>
      <c r="L271" s="31" t="n">
        <f aca="true">NORMSINV(RAND())*$G$7+$G$6</f>
        <v>-0.010018204980916</v>
      </c>
    </row>
    <row r="272" customFormat="false" ht="15" hidden="false" customHeight="false" outlineLevel="0" collapsed="false">
      <c r="A272" s="19" t="n">
        <f aca="false">Daromadlilik!A269</f>
        <v>45667</v>
      </c>
      <c r="B272" s="31" t="n">
        <f aca="false">SUMPRODUCT(Parametrlar!$B$14:$E$14,Daromadlilik!C269:F269)</f>
        <v>-0.00118220615796514</v>
      </c>
      <c r="C272" s="31" t="n">
        <f aca="false">LN(1+B272)</f>
        <v>-0.00118290551490885</v>
      </c>
      <c r="D272" s="31" t="n">
        <f aca="false">SUM(C263:C272)</f>
        <v>-0.0297029646537163</v>
      </c>
      <c r="L272" s="31" t="n">
        <f aca="true">NORMSINV(RAND())*$G$7+$G$6</f>
        <v>-0.00359931259695523</v>
      </c>
    </row>
    <row r="273" customFormat="false" ht="15" hidden="false" customHeight="false" outlineLevel="0" collapsed="false">
      <c r="A273" s="19" t="n">
        <f aca="false">Daromadlilik!A270</f>
        <v>45670</v>
      </c>
      <c r="B273" s="31" t="n">
        <f aca="false">SUMPRODUCT(Parametrlar!$B$14:$E$14,Daromadlilik!C270:F270)</f>
        <v>0.00346036329370033</v>
      </c>
      <c r="C273" s="31" t="n">
        <f aca="false">LN(1+B273)</f>
        <v>0.00345439001248715</v>
      </c>
      <c r="D273" s="31" t="n">
        <f aca="false">SUM(C264:C273)</f>
        <v>-0.0188838887086827</v>
      </c>
      <c r="L273" s="31" t="n">
        <f aca="true">NORMSINV(RAND())*$G$7+$G$6</f>
        <v>0.00537250959720458</v>
      </c>
    </row>
    <row r="274" customFormat="false" ht="15" hidden="false" customHeight="false" outlineLevel="0" collapsed="false">
      <c r="A274" s="19" t="n">
        <f aca="false">Daromadlilik!A271</f>
        <v>45671</v>
      </c>
      <c r="B274" s="31" t="n">
        <f aca="false">SUMPRODUCT(Parametrlar!$B$14:$E$14,Daromadlilik!C271:F271)</f>
        <v>0.000209523941830142</v>
      </c>
      <c r="C274" s="31" t="n">
        <f aca="false">LN(1+B274)</f>
        <v>0.000209501994754519</v>
      </c>
      <c r="D274" s="31" t="n">
        <f aca="false">SUM(C265:C274)</f>
        <v>-0.0282767205180979</v>
      </c>
      <c r="L274" s="31" t="n">
        <f aca="true">NORMSINV(RAND())*$G$7+$G$6</f>
        <v>-0.0172057501333029</v>
      </c>
    </row>
    <row r="275" customFormat="false" ht="15" hidden="false" customHeight="false" outlineLevel="0" collapsed="false">
      <c r="A275" s="19" t="n">
        <f aca="false">Daromadlilik!A272</f>
        <v>45672</v>
      </c>
      <c r="B275" s="31" t="n">
        <f aca="false">SUMPRODUCT(Parametrlar!$B$14:$E$14,Daromadlilik!C272:F272)</f>
        <v>0.00746736829928297</v>
      </c>
      <c r="C275" s="31" t="n">
        <f aca="false">LN(1+B275)</f>
        <v>0.00743962552934217</v>
      </c>
      <c r="D275" s="31" t="n">
        <f aca="false">SUM(C266:C275)</f>
        <v>-0.0139768491987174</v>
      </c>
      <c r="L275" s="31" t="n">
        <f aca="true">NORMSINV(RAND())*$G$7+$G$6</f>
        <v>0.0181753590914995</v>
      </c>
    </row>
    <row r="276" customFormat="false" ht="15" hidden="false" customHeight="false" outlineLevel="0" collapsed="false">
      <c r="A276" s="19" t="n">
        <f aca="false">Daromadlilik!A273</f>
        <v>45673</v>
      </c>
      <c r="B276" s="31" t="n">
        <f aca="false">SUMPRODUCT(Parametrlar!$B$14:$E$14,Daromadlilik!C273:F273)</f>
        <v>-0.0163772056792912</v>
      </c>
      <c r="C276" s="31" t="n">
        <f aca="false">LN(1+B276)</f>
        <v>-0.0165127945280716</v>
      </c>
      <c r="D276" s="31" t="n">
        <f aca="false">SUM(C267:C276)</f>
        <v>-0.0414491247512996</v>
      </c>
      <c r="L276" s="31" t="n">
        <f aca="true">NORMSINV(RAND())*$G$7+$G$6</f>
        <v>0.0060307113214644</v>
      </c>
    </row>
    <row r="277" customFormat="false" ht="15" hidden="false" customHeight="false" outlineLevel="0" collapsed="false">
      <c r="A277" s="19" t="n">
        <f aca="false">Daromadlilik!A274</f>
        <v>45674</v>
      </c>
      <c r="B277" s="31" t="n">
        <f aca="false">SUMPRODUCT(Parametrlar!$B$14:$E$14,Daromadlilik!C274:F274)</f>
        <v>0.00191808938637831</v>
      </c>
      <c r="C277" s="31" t="n">
        <f aca="false">LN(1+B277)</f>
        <v>0.00191625220181234</v>
      </c>
      <c r="D277" s="31" t="n">
        <f aca="false">SUM(C268:C277)</f>
        <v>-0.0409709401045635</v>
      </c>
      <c r="L277" s="31" t="n">
        <f aca="true">NORMSINV(RAND())*$G$7+$G$6</f>
        <v>-0.00278502684783093</v>
      </c>
    </row>
    <row r="278" customFormat="false" ht="15" hidden="false" customHeight="false" outlineLevel="0" collapsed="false">
      <c r="A278" s="19" t="n">
        <f aca="false">Daromadlilik!A275</f>
        <v>45677</v>
      </c>
      <c r="B278" s="31" t="n">
        <f aca="false">SUMPRODUCT(Parametrlar!$B$14:$E$14,Daromadlilik!C275:F275)</f>
        <v>-0.00644477626509852</v>
      </c>
      <c r="C278" s="31" t="n">
        <f aca="false">LN(1+B278)</f>
        <v>-0.00646563349741031</v>
      </c>
      <c r="D278" s="31" t="n">
        <f aca="false">SUM(C269:C278)</f>
        <v>-0.032998229252635</v>
      </c>
      <c r="L278" s="31" t="n">
        <f aca="true">NORMSINV(RAND())*$G$7+$G$6</f>
        <v>0.0206046451613504</v>
      </c>
    </row>
    <row r="279" customFormat="false" ht="15" hidden="false" customHeight="false" outlineLevel="0" collapsed="false">
      <c r="A279" s="19" t="n">
        <f aca="false">Daromadlilik!A276</f>
        <v>45678</v>
      </c>
      <c r="B279" s="31" t="n">
        <f aca="false">SUMPRODUCT(Parametrlar!$B$14:$E$14,Daromadlilik!C276:F276)</f>
        <v>0.00921302389698309</v>
      </c>
      <c r="C279" s="31" t="n">
        <f aca="false">LN(1+B279)</f>
        <v>0.00917084287091892</v>
      </c>
      <c r="D279" s="31" t="n">
        <f aca="false">SUM(C270:C279)</f>
        <v>-0.0115640821213891</v>
      </c>
      <c r="L279" s="31" t="n">
        <f aca="true">NORMSINV(RAND())*$G$7+$G$6</f>
        <v>0.0184898166262579</v>
      </c>
    </row>
    <row r="280" customFormat="false" ht="15" hidden="false" customHeight="false" outlineLevel="0" collapsed="false">
      <c r="A280" s="19" t="n">
        <f aca="false">Daromadlilik!A277</f>
        <v>45679</v>
      </c>
      <c r="B280" s="31" t="n">
        <f aca="false">SUMPRODUCT(Parametrlar!$B$14:$E$14,Daromadlilik!C277:F277)</f>
        <v>0.0137534386255074</v>
      </c>
      <c r="C280" s="31" t="n">
        <f aca="false">LN(1+B280)</f>
        <v>0.0136597184274368</v>
      </c>
      <c r="D280" s="31" t="n">
        <f aca="false">SUM(C271:C280)</f>
        <v>0.000468248523738418</v>
      </c>
      <c r="L280" s="31" t="n">
        <f aca="true">NORMSINV(RAND())*$G$7+$G$6</f>
        <v>-0.0199689942767278</v>
      </c>
    </row>
    <row r="281" customFormat="false" ht="15" hidden="false" customHeight="false" outlineLevel="0" collapsed="false">
      <c r="A281" s="19" t="n">
        <f aca="false">Daromadlilik!A278</f>
        <v>45680</v>
      </c>
      <c r="B281" s="31" t="n">
        <f aca="false">SUMPRODUCT(Parametrlar!$B$14:$E$14,Daromadlilik!C278:F278)</f>
        <v>-0.0277077864789425</v>
      </c>
      <c r="C281" s="31" t="n">
        <f aca="false">LN(1+B281)</f>
        <v>-0.0280988885076971</v>
      </c>
      <c r="D281" s="31" t="n">
        <f aca="false">SUM(C272:C281)</f>
        <v>-0.016409891011336</v>
      </c>
      <c r="L281" s="31" t="n">
        <f aca="true">NORMSINV(RAND())*$G$7+$G$6</f>
        <v>-0.00896552463059616</v>
      </c>
    </row>
    <row r="282" customFormat="false" ht="15" hidden="false" customHeight="false" outlineLevel="0" collapsed="false">
      <c r="A282" s="19" t="n">
        <f aca="false">Daromadlilik!A279</f>
        <v>45681</v>
      </c>
      <c r="B282" s="31" t="n">
        <f aca="false">SUMPRODUCT(Parametrlar!$B$14:$E$14,Daromadlilik!C279:F279)</f>
        <v>0.0210892612079083</v>
      </c>
      <c r="C282" s="31" t="n">
        <f aca="false">LN(1+B282)</f>
        <v>0.0208699606382511</v>
      </c>
      <c r="D282" s="31" t="n">
        <f aca="false">SUM(C273:C282)</f>
        <v>0.00564297514182402</v>
      </c>
      <c r="L282" s="31" t="n">
        <f aca="true">NORMSINV(RAND())*$G$7+$G$6</f>
        <v>0.0125287003579947</v>
      </c>
    </row>
    <row r="283" customFormat="false" ht="15" hidden="false" customHeight="false" outlineLevel="0" collapsed="false">
      <c r="A283" s="19" t="n">
        <f aca="false">Daromadlilik!A280</f>
        <v>45684</v>
      </c>
      <c r="B283" s="31" t="n">
        <f aca="false">SUMPRODUCT(Parametrlar!$B$14:$E$14,Daromadlilik!C280:F280)</f>
        <v>-0.000462825530388456</v>
      </c>
      <c r="C283" s="31" t="n">
        <f aca="false">LN(1+B283)</f>
        <v>-0.000462932667182616</v>
      </c>
      <c r="D283" s="31" t="n">
        <f aca="false">SUM(C274:C283)</f>
        <v>0.00172565246215426</v>
      </c>
      <c r="L283" s="31" t="n">
        <f aca="true">NORMSINV(RAND())*$G$7+$G$6</f>
        <v>-0.00371289035649827</v>
      </c>
    </row>
    <row r="284" customFormat="false" ht="15" hidden="false" customHeight="false" outlineLevel="0" collapsed="false">
      <c r="A284" s="19" t="n">
        <f aca="false">Daromadlilik!A281</f>
        <v>45685</v>
      </c>
      <c r="B284" s="31" t="n">
        <f aca="false">SUMPRODUCT(Parametrlar!$B$14:$E$14,Daromadlilik!C281:F281)</f>
        <v>-0.0130714072868246</v>
      </c>
      <c r="C284" s="31" t="n">
        <f aca="false">LN(1+B284)</f>
        <v>-0.0131575899742174</v>
      </c>
      <c r="D284" s="31" t="n">
        <f aca="false">SUM(C275:C284)</f>
        <v>-0.0116414395068176</v>
      </c>
      <c r="L284" s="31" t="n">
        <f aca="true">NORMSINV(RAND())*$G$7+$G$6</f>
        <v>-0.00355322673118149</v>
      </c>
    </row>
    <row r="285" customFormat="false" ht="15" hidden="false" customHeight="false" outlineLevel="0" collapsed="false">
      <c r="A285" s="19" t="n">
        <f aca="false">Daromadlilik!A282</f>
        <v>45686</v>
      </c>
      <c r="B285" s="31" t="n">
        <f aca="false">SUMPRODUCT(Parametrlar!$B$14:$E$14,Daromadlilik!C282:F282)</f>
        <v>0.00260298617509917</v>
      </c>
      <c r="C285" s="31" t="n">
        <f aca="false">LN(1+B285)</f>
        <v>0.00259960427400853</v>
      </c>
      <c r="D285" s="31" t="n">
        <f aca="false">SUM(C276:C285)</f>
        <v>-0.0164814607621513</v>
      </c>
      <c r="L285" s="31" t="n">
        <f aca="true">NORMSINV(RAND())*$G$7+$G$6</f>
        <v>-0.00869874626458433</v>
      </c>
    </row>
    <row r="286" customFormat="false" ht="15" hidden="false" customHeight="false" outlineLevel="0" collapsed="false">
      <c r="A286" s="19" t="n">
        <f aca="false">Daromadlilik!A283</f>
        <v>45687</v>
      </c>
      <c r="B286" s="31" t="n">
        <f aca="false">SUMPRODUCT(Parametrlar!$B$14:$E$14,Daromadlilik!C283:F283)</f>
        <v>-0.00949112099310404</v>
      </c>
      <c r="C286" s="31" t="n">
        <f aca="false">LN(1+B286)</f>
        <v>-0.0095364487172318</v>
      </c>
      <c r="D286" s="31" t="n">
        <f aca="false">SUM(C277:C286)</f>
        <v>-0.00950511495131149</v>
      </c>
      <c r="L286" s="31" t="n">
        <f aca="true">NORMSINV(RAND())*$G$7+$G$6</f>
        <v>0.0263238612525484</v>
      </c>
    </row>
    <row r="287" customFormat="false" ht="15" hidden="false" customHeight="false" outlineLevel="0" collapsed="false">
      <c r="A287" s="19" t="n">
        <f aca="false">Daromadlilik!A284</f>
        <v>45688</v>
      </c>
      <c r="B287" s="31" t="n">
        <f aca="false">SUMPRODUCT(Parametrlar!$B$14:$E$14,Daromadlilik!C284:F284)</f>
        <v>-0.0122713809745996</v>
      </c>
      <c r="C287" s="31" t="n">
        <f aca="false">LN(1+B287)</f>
        <v>-0.0123472960647303</v>
      </c>
      <c r="D287" s="31" t="n">
        <f aca="false">SUM(C278:C287)</f>
        <v>-0.0237686632178541</v>
      </c>
      <c r="L287" s="31" t="n">
        <f aca="true">NORMSINV(RAND())*$G$7+$G$6</f>
        <v>0.0181777694698481</v>
      </c>
    </row>
    <row r="288" customFormat="false" ht="15" hidden="false" customHeight="false" outlineLevel="0" collapsed="false">
      <c r="A288" s="19" t="n">
        <f aca="false">Daromadlilik!A285</f>
        <v>45691</v>
      </c>
      <c r="B288" s="31" t="n">
        <f aca="false">SUMPRODUCT(Parametrlar!$B$14:$E$14,Daromadlilik!C285:F285)</f>
        <v>0.0110534268835554</v>
      </c>
      <c r="C288" s="31" t="n">
        <f aca="false">LN(1+B288)</f>
        <v>0.0109927842242075</v>
      </c>
      <c r="D288" s="31" t="n">
        <f aca="false">SUM(C279:C288)</f>
        <v>-0.00631024549623631</v>
      </c>
      <c r="L288" s="31" t="n">
        <f aca="true">NORMSINV(RAND())*$G$7+$G$6</f>
        <v>0.00449277176257456</v>
      </c>
    </row>
    <row r="289" customFormat="false" ht="15" hidden="false" customHeight="false" outlineLevel="0" collapsed="false">
      <c r="A289" s="19" t="n">
        <f aca="false">Daromadlilik!A286</f>
        <v>45692</v>
      </c>
      <c r="B289" s="31" t="n">
        <f aca="false">SUMPRODUCT(Parametrlar!$B$14:$E$14,Daromadlilik!C286:F286)</f>
        <v>0.00665430131285604</v>
      </c>
      <c r="C289" s="31" t="n">
        <f aca="false">LN(1+B289)</f>
        <v>0.00663225917917582</v>
      </c>
      <c r="D289" s="31" t="n">
        <f aca="false">SUM(C280:C289)</f>
        <v>-0.0088488291879794</v>
      </c>
      <c r="L289" s="31" t="n">
        <f aca="true">NORMSINV(RAND())*$G$7+$G$6</f>
        <v>0.000211309439706075</v>
      </c>
    </row>
    <row r="290" customFormat="false" ht="15" hidden="false" customHeight="false" outlineLevel="0" collapsed="false">
      <c r="A290" s="19" t="n">
        <f aca="false">Daromadlilik!A287</f>
        <v>45693</v>
      </c>
      <c r="B290" s="31" t="n">
        <f aca="false">SUMPRODUCT(Parametrlar!$B$14:$E$14,Daromadlilik!C287:F287)</f>
        <v>0.00556880199215251</v>
      </c>
      <c r="C290" s="31" t="n">
        <f aca="false">LN(1+B290)</f>
        <v>0.0055533535407132</v>
      </c>
      <c r="D290" s="31" t="n">
        <f aca="false">SUM(C281:C290)</f>
        <v>-0.016955194074703</v>
      </c>
      <c r="L290" s="31" t="n">
        <f aca="true">NORMSINV(RAND())*$G$7+$G$6</f>
        <v>0.018221001865318</v>
      </c>
    </row>
    <row r="291" customFormat="false" ht="15" hidden="false" customHeight="false" outlineLevel="0" collapsed="false">
      <c r="A291" s="19" t="n">
        <f aca="false">Daromadlilik!A288</f>
        <v>45694</v>
      </c>
      <c r="B291" s="31" t="n">
        <f aca="false">SUMPRODUCT(Parametrlar!$B$14:$E$14,Daromadlilik!C288:F288)</f>
        <v>2.20577310416247E-005</v>
      </c>
      <c r="C291" s="31" t="n">
        <f aca="false">LN(1+B291)</f>
        <v>2.20574877735193E-005</v>
      </c>
      <c r="D291" s="31" t="n">
        <f aca="false">SUM(C282:C291)</f>
        <v>0.0111657519207676</v>
      </c>
      <c r="L291" s="31" t="n">
        <f aca="true">NORMSINV(RAND())*$G$7+$G$6</f>
        <v>0.0248446713093611</v>
      </c>
    </row>
    <row r="292" customFormat="false" ht="15" hidden="false" customHeight="false" outlineLevel="0" collapsed="false">
      <c r="A292" s="19" t="n">
        <f aca="false">Daromadlilik!A289</f>
        <v>45695</v>
      </c>
      <c r="B292" s="31" t="n">
        <f aca="false">SUMPRODUCT(Parametrlar!$B$14:$E$14,Daromadlilik!C289:F289)</f>
        <v>0.017945274080243</v>
      </c>
      <c r="C292" s="31" t="n">
        <f aca="false">LN(1+B292)</f>
        <v>0.0177861584124223</v>
      </c>
      <c r="D292" s="31" t="n">
        <f aca="false">SUM(C283:C292)</f>
        <v>0.00808194969493876</v>
      </c>
      <c r="L292" s="31" t="n">
        <f aca="true">NORMSINV(RAND())*$G$7+$G$6</f>
        <v>0.00279333961933095</v>
      </c>
    </row>
    <row r="293" customFormat="false" ht="15" hidden="false" customHeight="false" outlineLevel="0" collapsed="false">
      <c r="A293" s="19" t="n">
        <f aca="false">Daromadlilik!A290</f>
        <v>45698</v>
      </c>
      <c r="B293" s="31" t="n">
        <f aca="false">SUMPRODUCT(Parametrlar!$B$14:$E$14,Daromadlilik!C290:F290)</f>
        <v>0.00356828232803938</v>
      </c>
      <c r="C293" s="31" t="n">
        <f aca="false">LN(1+B293)</f>
        <v>0.00356193111278841</v>
      </c>
      <c r="D293" s="31" t="n">
        <f aca="false">SUM(C284:C293)</f>
        <v>0.0121068134749098</v>
      </c>
      <c r="L293" s="31" t="n">
        <f aca="true">NORMSINV(RAND())*$G$7+$G$6</f>
        <v>0.0271619390523088</v>
      </c>
    </row>
    <row r="294" customFormat="false" ht="15" hidden="false" customHeight="false" outlineLevel="0" collapsed="false">
      <c r="A294" s="19" t="n">
        <f aca="false">Daromadlilik!A291</f>
        <v>45699</v>
      </c>
      <c r="B294" s="31" t="n">
        <f aca="false">SUMPRODUCT(Parametrlar!$B$14:$E$14,Daromadlilik!C291:F291)</f>
        <v>0.00763542713665504</v>
      </c>
      <c r="C294" s="31" t="n">
        <f aca="false">LN(1+B294)</f>
        <v>0.007606424799476</v>
      </c>
      <c r="D294" s="31" t="n">
        <f aca="false">SUM(C285:C294)</f>
        <v>0.0328708282486032</v>
      </c>
      <c r="L294" s="31" t="n">
        <f aca="true">NORMSINV(RAND())*$G$7+$G$6</f>
        <v>-0.00281762923592984</v>
      </c>
    </row>
    <row r="295" customFormat="false" ht="15" hidden="false" customHeight="false" outlineLevel="0" collapsed="false">
      <c r="A295" s="19" t="n">
        <f aca="false">Daromadlilik!A292</f>
        <v>45700</v>
      </c>
      <c r="B295" s="31" t="n">
        <f aca="false">SUMPRODUCT(Parametrlar!$B$14:$E$14,Daromadlilik!C292:F292)</f>
        <v>0.00730775134416051</v>
      </c>
      <c r="C295" s="31" t="n">
        <f aca="false">LN(1+B295)</f>
        <v>0.00728117910631455</v>
      </c>
      <c r="D295" s="31" t="n">
        <f aca="false">SUM(C286:C295)</f>
        <v>0.0375524030809092</v>
      </c>
      <c r="L295" s="31" t="n">
        <f aca="true">NORMSINV(RAND())*$G$7+$G$6</f>
        <v>-0.00793769928418719</v>
      </c>
    </row>
    <row r="296" customFormat="false" ht="15" hidden="false" customHeight="false" outlineLevel="0" collapsed="false">
      <c r="A296" s="19" t="n">
        <f aca="false">Daromadlilik!A293</f>
        <v>45701</v>
      </c>
      <c r="B296" s="31" t="n">
        <f aca="false">SUMPRODUCT(Parametrlar!$B$14:$E$14,Daromadlilik!C293:F293)</f>
        <v>0.00847143364260649</v>
      </c>
      <c r="C296" s="31" t="n">
        <f aca="false">LN(1+B296)</f>
        <v>0.00843575242107268</v>
      </c>
      <c r="D296" s="31" t="n">
        <f aca="false">SUM(C287:C296)</f>
        <v>0.0555246042192137</v>
      </c>
      <c r="L296" s="31" t="n">
        <f aca="true">NORMSINV(RAND())*$G$7+$G$6</f>
        <v>0.000477874605076836</v>
      </c>
    </row>
    <row r="297" customFormat="false" ht="15" hidden="false" customHeight="false" outlineLevel="0" collapsed="false">
      <c r="A297" s="19" t="n">
        <f aca="false">Daromadlilik!A294</f>
        <v>45702</v>
      </c>
      <c r="B297" s="31" t="n">
        <f aca="false">SUMPRODUCT(Parametrlar!$B$14:$E$14,Daromadlilik!C294:F294)</f>
        <v>-0.0113647781717331</v>
      </c>
      <c r="C297" s="31" t="n">
        <f aca="false">LN(1+B297)</f>
        <v>-0.0114298507566174</v>
      </c>
      <c r="D297" s="31" t="n">
        <f aca="false">SUM(C288:C297)</f>
        <v>0.0564420495273265</v>
      </c>
      <c r="L297" s="31" t="n">
        <f aca="true">NORMSINV(RAND())*$G$7+$G$6</f>
        <v>-0.0018434182511016</v>
      </c>
    </row>
    <row r="298" customFormat="false" ht="15" hidden="false" customHeight="false" outlineLevel="0" collapsed="false">
      <c r="A298" s="19" t="n">
        <f aca="false">Daromadlilik!A295</f>
        <v>45705</v>
      </c>
      <c r="B298" s="31" t="n">
        <f aca="false">SUMPRODUCT(Parametrlar!$B$14:$E$14,Daromadlilik!C295:F295)</f>
        <v>0.0103111781477725</v>
      </c>
      <c r="C298" s="31" t="n">
        <f aca="false">LN(1+B298)</f>
        <v>0.0102583805769919</v>
      </c>
      <c r="D298" s="31" t="n">
        <f aca="false">SUM(C289:C298)</f>
        <v>0.0557076458801109</v>
      </c>
      <c r="L298" s="31" t="n">
        <f aca="true">NORMSINV(RAND())*$G$7+$G$6</f>
        <v>0.00978674144396457</v>
      </c>
    </row>
    <row r="299" customFormat="false" ht="15" hidden="false" customHeight="false" outlineLevel="0" collapsed="false">
      <c r="A299" s="19" t="n">
        <f aca="false">Daromadlilik!A296</f>
        <v>45706</v>
      </c>
      <c r="B299" s="31" t="n">
        <f aca="false">SUMPRODUCT(Parametrlar!$B$14:$E$14,Daromadlilik!C296:F296)</f>
        <v>0.0123116989203423</v>
      </c>
      <c r="C299" s="31" t="n">
        <f aca="false">LN(1+B299)</f>
        <v>0.0122365263278361</v>
      </c>
      <c r="D299" s="31" t="n">
        <f aca="false">SUM(C290:C299)</f>
        <v>0.0613119130287711</v>
      </c>
      <c r="L299" s="31" t="n">
        <f aca="true">NORMSINV(RAND())*$G$7+$G$6</f>
        <v>0.00885617479299865</v>
      </c>
    </row>
    <row r="300" customFormat="false" ht="15" hidden="false" customHeight="false" outlineLevel="0" collapsed="false">
      <c r="A300" s="19" t="n">
        <f aca="false">Daromadlilik!A297</f>
        <v>45707</v>
      </c>
      <c r="B300" s="31" t="n">
        <f aca="false">SUMPRODUCT(Parametrlar!$B$14:$E$14,Daromadlilik!C297:F297)</f>
        <v>-0.0117034484880422</v>
      </c>
      <c r="C300" s="31" t="n">
        <f aca="false">LN(1+B300)</f>
        <v>-0.0117724729190908</v>
      </c>
      <c r="D300" s="31" t="n">
        <f aca="false">SUM(C291:C300)</f>
        <v>0.0439860865689671</v>
      </c>
      <c r="L300" s="31" t="n">
        <f aca="true">NORMSINV(RAND())*$G$7+$G$6</f>
        <v>0.0114049630523007</v>
      </c>
    </row>
    <row r="301" customFormat="false" ht="15" hidden="false" customHeight="false" outlineLevel="0" collapsed="false">
      <c r="A301" s="19" t="n">
        <f aca="false">Daromadlilik!A298</f>
        <v>45708</v>
      </c>
      <c r="B301" s="31" t="n">
        <f aca="false">SUMPRODUCT(Parametrlar!$B$14:$E$14,Daromadlilik!C298:F298)</f>
        <v>-0.0102403379044639</v>
      </c>
      <c r="C301" s="31" t="n">
        <f aca="false">LN(1+B301)</f>
        <v>-0.0102931308858946</v>
      </c>
      <c r="D301" s="31" t="n">
        <f aca="false">SUM(C292:C301)</f>
        <v>0.033670898195299</v>
      </c>
      <c r="L301" s="31" t="n">
        <f aca="true">NORMSINV(RAND())*$G$7+$G$6</f>
        <v>8.70632256375393E-005</v>
      </c>
    </row>
    <row r="302" customFormat="false" ht="15" hidden="false" customHeight="false" outlineLevel="0" collapsed="false">
      <c r="A302" s="19" t="n">
        <f aca="false">Daromadlilik!A299</f>
        <v>45709</v>
      </c>
      <c r="B302" s="31" t="n">
        <f aca="false">SUMPRODUCT(Parametrlar!$B$14:$E$14,Daromadlilik!C299:F299)</f>
        <v>-0.0162001231818041</v>
      </c>
      <c r="C302" s="31" t="n">
        <f aca="false">LN(1+B302)</f>
        <v>-0.0163327798311149</v>
      </c>
      <c r="D302" s="31" t="n">
        <f aca="false">SUM(C293:C302)</f>
        <v>-0.000448040048238178</v>
      </c>
      <c r="L302" s="31" t="n">
        <f aca="true">NORMSINV(RAND())*$G$7+$G$6</f>
        <v>-0.00265492883851783</v>
      </c>
    </row>
    <row r="303" customFormat="false" ht="15" hidden="false" customHeight="false" outlineLevel="0" collapsed="false">
      <c r="A303" s="19" t="n">
        <f aca="false">Daromadlilik!A300</f>
        <v>45712</v>
      </c>
      <c r="B303" s="31" t="n">
        <f aca="false">SUMPRODUCT(Parametrlar!$B$14:$E$14,Daromadlilik!C300:F300)</f>
        <v>-0.00357415759546783</v>
      </c>
      <c r="C303" s="31" t="n">
        <f aca="false">LN(1+B303)</f>
        <v>-0.00358056015712198</v>
      </c>
      <c r="D303" s="31" t="n">
        <f aca="false">SUM(C294:C303)</f>
        <v>-0.00759053131814857</v>
      </c>
      <c r="L303" s="31" t="n">
        <f aca="true">NORMSINV(RAND())*$G$7+$G$6</f>
        <v>0.0291574554714335</v>
      </c>
    </row>
    <row r="304" customFormat="false" ht="15" hidden="false" customHeight="false" outlineLevel="0" collapsed="false">
      <c r="A304" s="19" t="n">
        <f aca="false">Daromadlilik!A301</f>
        <v>45713</v>
      </c>
      <c r="B304" s="31" t="n">
        <f aca="false">SUMPRODUCT(Parametrlar!$B$14:$E$14,Daromadlilik!C301:F301)</f>
        <v>0.0132419584925819</v>
      </c>
      <c r="C304" s="31" t="n">
        <f aca="false">LN(1+B304)</f>
        <v>0.0131550501440176</v>
      </c>
      <c r="D304" s="31" t="n">
        <f aca="false">SUM(C295:C304)</f>
        <v>-0.00204190597360695</v>
      </c>
      <c r="L304" s="31" t="n">
        <f aca="true">NORMSINV(RAND())*$G$7+$G$6</f>
        <v>-0.011815409138163</v>
      </c>
    </row>
    <row r="305" customFormat="false" ht="15" hidden="false" customHeight="false" outlineLevel="0" collapsed="false">
      <c r="A305" s="19" t="n">
        <f aca="false">Daromadlilik!A302</f>
        <v>45714</v>
      </c>
      <c r="B305" s="31" t="n">
        <f aca="false">SUMPRODUCT(Parametrlar!$B$14:$E$14,Daromadlilik!C302:F302)</f>
        <v>-0.0174935566705157</v>
      </c>
      <c r="C305" s="31" t="n">
        <f aca="false">LN(1+B305)</f>
        <v>-0.0176483771640578</v>
      </c>
      <c r="D305" s="31" t="n">
        <f aca="false">SUM(C296:C305)</f>
        <v>-0.0269714622439793</v>
      </c>
      <c r="L305" s="31" t="n">
        <f aca="true">NORMSINV(RAND())*$G$7+$G$6</f>
        <v>0.0214833563759443</v>
      </c>
    </row>
    <row r="306" customFormat="false" ht="15" hidden="false" customHeight="false" outlineLevel="0" collapsed="false">
      <c r="A306" s="19" t="n">
        <f aca="false">Daromadlilik!A303</f>
        <v>45715</v>
      </c>
      <c r="B306" s="31" t="n">
        <f aca="false">SUMPRODUCT(Parametrlar!$B$14:$E$14,Daromadlilik!C303:F303)</f>
        <v>0.00357403358563951</v>
      </c>
      <c r="C306" s="31" t="n">
        <f aca="false">LN(1+B306)</f>
        <v>0.00356766190482501</v>
      </c>
      <c r="D306" s="31" t="n">
        <f aca="false">SUM(C297:C306)</f>
        <v>-0.031839552760227</v>
      </c>
      <c r="L306" s="31" t="n">
        <f aca="true">NORMSINV(RAND())*$G$7+$G$6</f>
        <v>0.00869681689636932</v>
      </c>
    </row>
    <row r="307" customFormat="false" ht="15" hidden="false" customHeight="false" outlineLevel="0" collapsed="false">
      <c r="A307" s="19" t="n">
        <f aca="false">Daromadlilik!A304</f>
        <v>45716</v>
      </c>
      <c r="B307" s="31" t="n">
        <f aca="false">SUMPRODUCT(Parametrlar!$B$14:$E$14,Daromadlilik!C304:F304)</f>
        <v>-0.0225678423507341</v>
      </c>
      <c r="C307" s="31" t="n">
        <f aca="false">LN(1+B307)</f>
        <v>-0.0228263934705511</v>
      </c>
      <c r="D307" s="31" t="n">
        <f aca="false">SUM(C298:C307)</f>
        <v>-0.0432360954741606</v>
      </c>
      <c r="L307" s="31" t="n">
        <f aca="true">NORMSINV(RAND())*$G$7+$G$6</f>
        <v>-0.0158708817422893</v>
      </c>
    </row>
    <row r="308" customFormat="false" ht="15" hidden="false" customHeight="false" outlineLevel="0" collapsed="false">
      <c r="A308" s="19" t="n">
        <f aca="false">Daromadlilik!A305</f>
        <v>45719</v>
      </c>
      <c r="B308" s="31" t="n">
        <f aca="false">SUMPRODUCT(Parametrlar!$B$14:$E$14,Daromadlilik!C305:F305)</f>
        <v>-0.0145494015423532</v>
      </c>
      <c r="C308" s="31" t="n">
        <f aca="false">LN(1+B308)</f>
        <v>-0.0146562820500469</v>
      </c>
      <c r="D308" s="31" t="n">
        <f aca="false">SUM(C299:C308)</f>
        <v>-0.0681507581011994</v>
      </c>
      <c r="L308" s="31" t="n">
        <f aca="true">NORMSINV(RAND())*$G$7+$G$6</f>
        <v>0.00814726068396146</v>
      </c>
    </row>
    <row r="309" customFormat="false" ht="15" hidden="false" customHeight="false" outlineLevel="0" collapsed="false">
      <c r="A309" s="19" t="n">
        <f aca="false">Daromadlilik!A306</f>
        <v>45720</v>
      </c>
      <c r="B309" s="31" t="n">
        <f aca="false">SUMPRODUCT(Parametrlar!$B$14:$E$14,Daromadlilik!C306:F306)</f>
        <v>-0.00966219017198909</v>
      </c>
      <c r="C309" s="31" t="n">
        <f aca="false">LN(1+B309)</f>
        <v>-0.00970917200800906</v>
      </c>
      <c r="D309" s="31" t="n">
        <f aca="false">SUM(C300:C309)</f>
        <v>-0.0900964564370445</v>
      </c>
      <c r="L309" s="31" t="n">
        <f aca="true">NORMSINV(RAND())*$G$7+$G$6</f>
        <v>-0.00310962932817744</v>
      </c>
    </row>
    <row r="310" customFormat="false" ht="15" hidden="false" customHeight="false" outlineLevel="0" collapsed="false">
      <c r="A310" s="19" t="n">
        <f aca="false">Daromadlilik!A307</f>
        <v>45721</v>
      </c>
      <c r="B310" s="31" t="n">
        <f aca="false">SUMPRODUCT(Parametrlar!$B$14:$E$14,Daromadlilik!C307:F307)</f>
        <v>-0.0211297262768026</v>
      </c>
      <c r="C310" s="31" t="n">
        <f aca="false">LN(1+B310)</f>
        <v>-0.0213561541967842</v>
      </c>
      <c r="D310" s="31" t="n">
        <f aca="false">SUM(C301:C310)</f>
        <v>-0.0996801377147379</v>
      </c>
      <c r="L310" s="31" t="n">
        <f aca="true">NORMSINV(RAND())*$G$7+$G$6</f>
        <v>-0.0110640563975889</v>
      </c>
    </row>
    <row r="311" customFormat="false" ht="15" hidden="false" customHeight="false" outlineLevel="0" collapsed="false">
      <c r="A311" s="19" t="n">
        <f aca="false">Daromadlilik!A308</f>
        <v>45722</v>
      </c>
      <c r="B311" s="31" t="n">
        <f aca="false">SUMPRODUCT(Parametrlar!$B$14:$E$14,Daromadlilik!C308:F308)</f>
        <v>-0.0112906395983814</v>
      </c>
      <c r="C311" s="31" t="n">
        <f aca="false">LN(1+B311)</f>
        <v>-0.0113548627408181</v>
      </c>
      <c r="D311" s="31" t="n">
        <f aca="false">SUM(C302:C311)</f>
        <v>-0.100741869569661</v>
      </c>
      <c r="L311" s="31" t="n">
        <f aca="true">NORMSINV(RAND())*$G$7+$G$6</f>
        <v>-0.00594613797704304</v>
      </c>
    </row>
    <row r="312" customFormat="false" ht="15" hidden="false" customHeight="false" outlineLevel="0" collapsed="false">
      <c r="A312" s="19" t="n">
        <f aca="false">Daromadlilik!A309</f>
        <v>45723</v>
      </c>
      <c r="B312" s="31" t="n">
        <f aca="false">SUMPRODUCT(Parametrlar!$B$14:$E$14,Daromadlilik!C309:F309)</f>
        <v>-0.0251302163333247</v>
      </c>
      <c r="C312" s="31" t="n">
        <f aca="false">LN(1+B312)</f>
        <v>-0.025451372117248</v>
      </c>
      <c r="D312" s="31" t="n">
        <f aca="false">SUM(C303:C312)</f>
        <v>-0.109860461855795</v>
      </c>
      <c r="L312" s="31" t="n">
        <f aca="true">NORMSINV(RAND())*$G$7+$G$6</f>
        <v>0.0103876152063802</v>
      </c>
    </row>
    <row r="313" customFormat="false" ht="15" hidden="false" customHeight="false" outlineLevel="0" collapsed="false">
      <c r="A313" s="19" t="n">
        <f aca="false">Daromadlilik!A310</f>
        <v>45726</v>
      </c>
      <c r="B313" s="31" t="n">
        <f aca="false">SUMPRODUCT(Parametrlar!$B$14:$E$14,Daromadlilik!C310:F310)</f>
        <v>-0.0115664585037302</v>
      </c>
      <c r="C313" s="31" t="n">
        <f aca="false">LN(1+B313)</f>
        <v>-0.0116338702995265</v>
      </c>
      <c r="D313" s="31" t="n">
        <f aca="false">SUM(C304:C313)</f>
        <v>-0.117913771998199</v>
      </c>
      <c r="L313" s="31" t="n">
        <f aca="true">NORMSINV(RAND())*$G$7+$G$6</f>
        <v>-0.00390555013690364</v>
      </c>
    </row>
    <row r="314" customFormat="false" ht="15" hidden="false" customHeight="false" outlineLevel="0" collapsed="false">
      <c r="A314" s="19" t="n">
        <f aca="false">Daromadlilik!A311</f>
        <v>45727</v>
      </c>
      <c r="B314" s="31" t="n">
        <f aca="false">SUMPRODUCT(Parametrlar!$B$14:$E$14,Daromadlilik!C311:F311)</f>
        <v>-0.0123063967253061</v>
      </c>
      <c r="C314" s="31" t="n">
        <f aca="false">LN(1+B314)</f>
        <v>-0.0123827474738669</v>
      </c>
      <c r="D314" s="31" t="n">
        <f aca="false">SUM(C305:C314)</f>
        <v>-0.143451569616084</v>
      </c>
      <c r="L314" s="31" t="n">
        <f aca="true">NORMSINV(RAND())*$G$7+$G$6</f>
        <v>0.00214179516885116</v>
      </c>
    </row>
    <row r="315" customFormat="false" ht="15" hidden="false" customHeight="false" outlineLevel="0" collapsed="false">
      <c r="A315" s="19" t="n">
        <f aca="false">Daromadlilik!A312</f>
        <v>45728</v>
      </c>
      <c r="B315" s="31" t="n">
        <f aca="false">SUMPRODUCT(Parametrlar!$B$14:$E$14,Daromadlilik!C312:F312)</f>
        <v>0.00971429716080188</v>
      </c>
      <c r="C315" s="31" t="n">
        <f aca="false">LN(1+B315)</f>
        <v>0.0096674167385279</v>
      </c>
      <c r="D315" s="31" t="n">
        <f aca="false">SUM(C306:C315)</f>
        <v>-0.116135775713498</v>
      </c>
      <c r="L315" s="31" t="n">
        <f aca="true">NORMSINV(RAND())*$G$7+$G$6</f>
        <v>0.00263792545916801</v>
      </c>
    </row>
    <row r="316" customFormat="false" ht="15" hidden="false" customHeight="false" outlineLevel="0" collapsed="false">
      <c r="A316" s="19" t="n">
        <f aca="false">Daromadlilik!A313</f>
        <v>45729</v>
      </c>
      <c r="B316" s="31" t="n">
        <f aca="false">SUMPRODUCT(Parametrlar!$B$14:$E$14,Daromadlilik!C313:F313)</f>
        <v>0.00818133647047225</v>
      </c>
      <c r="C316" s="31" t="n">
        <f aca="false">LN(1+B316)</f>
        <v>0.00814805076173449</v>
      </c>
      <c r="D316" s="31" t="n">
        <f aca="false">SUM(C307:C316)</f>
        <v>-0.111555386856588</v>
      </c>
      <c r="L316" s="31" t="n">
        <f aca="true">NORMSINV(RAND())*$G$7+$G$6</f>
        <v>-0.00676803710274371</v>
      </c>
    </row>
    <row r="317" customFormat="false" ht="15" hidden="false" customHeight="false" outlineLevel="0" collapsed="false">
      <c r="A317" s="19" t="n">
        <f aca="false">Daromadlilik!A314</f>
        <v>45730</v>
      </c>
      <c r="B317" s="31" t="n">
        <f aca="false">SUMPRODUCT(Parametrlar!$B$14:$E$14,Daromadlilik!C314:F314)</f>
        <v>-1.53233158713406E-005</v>
      </c>
      <c r="C317" s="31" t="n">
        <f aca="false">LN(1+B317)</f>
        <v>-1.53234332744891E-005</v>
      </c>
      <c r="D317" s="31" t="n">
        <f aca="false">SUM(C308:C317)</f>
        <v>-0.0887443168193118</v>
      </c>
      <c r="L317" s="31" t="n">
        <f aca="true">NORMSINV(RAND())*$G$7+$G$6</f>
        <v>-0.00646717918854996</v>
      </c>
    </row>
    <row r="318" customFormat="false" ht="15" hidden="false" customHeight="false" outlineLevel="0" collapsed="false">
      <c r="A318" s="19" t="n">
        <f aca="false">Daromadlilik!A315</f>
        <v>45733</v>
      </c>
      <c r="B318" s="31" t="n">
        <f aca="false">SUMPRODUCT(Parametrlar!$B$14:$E$14,Daromadlilik!C315:F315)</f>
        <v>-0.00106232829902138</v>
      </c>
      <c r="C318" s="31" t="n">
        <f aca="false">LN(1+B318)</f>
        <v>-0.0010628929696747</v>
      </c>
      <c r="D318" s="31" t="n">
        <f aca="false">SUM(C309:C318)</f>
        <v>-0.0751509277389396</v>
      </c>
      <c r="L318" s="31" t="n">
        <f aca="true">NORMSINV(RAND())*$G$7+$G$6</f>
        <v>0.00200928072376277</v>
      </c>
    </row>
    <row r="319" customFormat="false" ht="15" hidden="false" customHeight="false" outlineLevel="0" collapsed="false">
      <c r="A319" s="19" t="n">
        <f aca="false">Daromadlilik!A316</f>
        <v>45734</v>
      </c>
      <c r="B319" s="31" t="n">
        <f aca="false">SUMPRODUCT(Parametrlar!$B$14:$E$14,Daromadlilik!C316:F316)</f>
        <v>0.0194130023924999</v>
      </c>
      <c r="C319" s="31" t="n">
        <f aca="false">LN(1+B319)</f>
        <v>0.0192269737889977</v>
      </c>
      <c r="D319" s="31" t="n">
        <f aca="false">SUM(C310:C319)</f>
        <v>-0.0462147819419329</v>
      </c>
      <c r="L319" s="31" t="n">
        <f aca="true">NORMSINV(RAND())*$G$7+$G$6</f>
        <v>-0.0210564532496485</v>
      </c>
    </row>
    <row r="320" customFormat="false" ht="15" hidden="false" customHeight="false" outlineLevel="0" collapsed="false">
      <c r="A320" s="19" t="n">
        <f aca="false">Daromadlilik!A317</f>
        <v>45735</v>
      </c>
      <c r="B320" s="31" t="n">
        <f aca="false">SUMPRODUCT(Parametrlar!$B$14:$E$14,Daromadlilik!C317:F317)</f>
        <v>0.00180811386150083</v>
      </c>
      <c r="C320" s="31" t="n">
        <f aca="false">LN(1+B320)</f>
        <v>0.00180648119137226</v>
      </c>
      <c r="D320" s="31" t="n">
        <f aca="false">SUM(C311:C320)</f>
        <v>-0.0230521465537764</v>
      </c>
      <c r="L320" s="31" t="n">
        <f aca="true">NORMSINV(RAND())*$G$7+$G$6</f>
        <v>0.00465995998788523</v>
      </c>
    </row>
    <row r="321" customFormat="false" ht="15" hidden="false" customHeight="false" outlineLevel="0" collapsed="false">
      <c r="A321" s="19" t="n">
        <f aca="false">Daromadlilik!A318</f>
        <v>45736</v>
      </c>
      <c r="B321" s="31" t="n">
        <f aca="false">SUMPRODUCT(Parametrlar!$B$14:$E$14,Daromadlilik!C318:F318)</f>
        <v>0.0139501589882669</v>
      </c>
      <c r="C321" s="31" t="n">
        <f aca="false">LN(1+B321)</f>
        <v>0.0138537510894178</v>
      </c>
      <c r="D321" s="31" t="n">
        <f aca="false">SUM(C312:C321)</f>
        <v>0.00215646727645952</v>
      </c>
      <c r="L321" s="31" t="n">
        <f aca="true">NORMSINV(RAND())*$G$7+$G$6</f>
        <v>-0.00133841562932724</v>
      </c>
    </row>
    <row r="322" customFormat="false" ht="15" hidden="false" customHeight="false" outlineLevel="0" collapsed="false">
      <c r="A322" s="19" t="n">
        <f aca="false">Daromadlilik!A319</f>
        <v>45737</v>
      </c>
      <c r="B322" s="31" t="n">
        <f aca="false">SUMPRODUCT(Parametrlar!$B$14:$E$14,Daromadlilik!C319:F319)</f>
        <v>-0.0136662430218262</v>
      </c>
      <c r="C322" s="31" t="n">
        <f aca="false">LN(1+B322)</f>
        <v>-0.0137604857352523</v>
      </c>
      <c r="D322" s="31" t="n">
        <f aca="false">SUM(C313:C322)</f>
        <v>0.0138473536584553</v>
      </c>
      <c r="L322" s="31" t="n">
        <f aca="true">NORMSINV(RAND())*$G$7+$G$6</f>
        <v>0.00993184785668944</v>
      </c>
    </row>
    <row r="323" customFormat="false" ht="15" hidden="false" customHeight="false" outlineLevel="0" collapsed="false">
      <c r="A323" s="19" t="n">
        <f aca="false">Daromadlilik!A320</f>
        <v>45740</v>
      </c>
      <c r="B323" s="31" t="n">
        <f aca="false">SUMPRODUCT(Parametrlar!$B$14:$E$14,Daromadlilik!C320:F320)</f>
        <v>-0.0337128291784392</v>
      </c>
      <c r="C323" s="31" t="n">
        <f aca="false">LN(1+B323)</f>
        <v>-0.0342942106648634</v>
      </c>
      <c r="D323" s="31" t="n">
        <f aca="false">SUM(C314:C323)</f>
        <v>-0.0088129867068816</v>
      </c>
      <c r="L323" s="31" t="n">
        <f aca="true">NORMSINV(RAND())*$G$7+$G$6</f>
        <v>0.00910625431344725</v>
      </c>
    </row>
    <row r="324" customFormat="false" ht="15" hidden="false" customHeight="false" outlineLevel="0" collapsed="false">
      <c r="A324" s="19" t="n">
        <f aca="false">Daromadlilik!A321</f>
        <v>45741</v>
      </c>
      <c r="B324" s="31" t="n">
        <f aca="false">SUMPRODUCT(Parametrlar!$B$14:$E$14,Daromadlilik!C321:F321)</f>
        <v>-0.0271280864733935</v>
      </c>
      <c r="C324" s="31" t="n">
        <f aca="false">LN(1+B324)</f>
        <v>-0.0275028462358388</v>
      </c>
      <c r="D324" s="31" t="n">
        <f aca="false">SUM(C315:C324)</f>
        <v>-0.0239330854688535</v>
      </c>
      <c r="L324" s="31" t="n">
        <f aca="true">NORMSINV(RAND())*$G$7+$G$6</f>
        <v>-0.00427362114973911</v>
      </c>
    </row>
    <row r="325" customFormat="false" ht="15" hidden="false" customHeight="false" outlineLevel="0" collapsed="false">
      <c r="A325" s="19" t="n">
        <f aca="false">Daromadlilik!A322</f>
        <v>45742</v>
      </c>
      <c r="B325" s="31" t="n">
        <f aca="false">SUMPRODUCT(Parametrlar!$B$14:$E$14,Daromadlilik!C322:F322)</f>
        <v>0.019094856327427</v>
      </c>
      <c r="C325" s="31" t="n">
        <f aca="false">LN(1+B325)</f>
        <v>0.0189148375700522</v>
      </c>
      <c r="D325" s="31" t="n">
        <f aca="false">SUM(C316:C325)</f>
        <v>-0.0146856646373292</v>
      </c>
      <c r="L325" s="31" t="n">
        <f aca="true">NORMSINV(RAND())*$G$7+$G$6</f>
        <v>-0.00251853210090342</v>
      </c>
    </row>
    <row r="326" customFormat="false" ht="15" hidden="false" customHeight="false" outlineLevel="0" collapsed="false">
      <c r="A326" s="19" t="n">
        <f aca="false">Daromadlilik!A323</f>
        <v>45743</v>
      </c>
      <c r="B326" s="31" t="n">
        <f aca="false">SUMPRODUCT(Parametrlar!$B$14:$E$14,Daromadlilik!C323:F323)</f>
        <v>0.0245209870747827</v>
      </c>
      <c r="C326" s="31" t="n">
        <f aca="false">LN(1+B326)</f>
        <v>0.0242251736746832</v>
      </c>
      <c r="D326" s="31" t="n">
        <f aca="false">SUM(C317:C326)</f>
        <v>0.00139145827561952</v>
      </c>
      <c r="L326" s="31" t="n">
        <f aca="true">NORMSINV(RAND())*$G$7+$G$6</f>
        <v>0.00735669265581598</v>
      </c>
    </row>
    <row r="327" customFormat="false" ht="15" hidden="false" customHeight="false" outlineLevel="0" collapsed="false">
      <c r="A327" s="19" t="n">
        <f aca="false">Daromadlilik!A324</f>
        <v>45744</v>
      </c>
      <c r="B327" s="31" t="n">
        <f aca="false">SUMPRODUCT(Parametrlar!$B$14:$E$14,Daromadlilik!C324:F324)</f>
        <v>0.026824305306411</v>
      </c>
      <c r="C327" s="31" t="n">
        <f aca="false">LN(1+B327)</f>
        <v>0.0264708406603011</v>
      </c>
      <c r="D327" s="31" t="n">
        <f aca="false">SUM(C318:C327)</f>
        <v>0.0278776223691951</v>
      </c>
      <c r="L327" s="31" t="n">
        <f aca="true">NORMSINV(RAND())*$G$7+$G$6</f>
        <v>0.0150268039693358</v>
      </c>
    </row>
    <row r="328" customFormat="false" ht="15" hidden="false" customHeight="false" outlineLevel="0" collapsed="false">
      <c r="A328" s="19" t="n">
        <f aca="false">Daromadlilik!A325</f>
        <v>45747</v>
      </c>
      <c r="B328" s="31" t="n">
        <f aca="false">SUMPRODUCT(Parametrlar!$B$14:$E$14,Daromadlilik!C325:F325)</f>
        <v>-0.00345663373827549</v>
      </c>
      <c r="C328" s="31" t="n">
        <f aca="false">LN(1+B328)</f>
        <v>-0.00346262169945037</v>
      </c>
      <c r="D328" s="31" t="n">
        <f aca="false">SUM(C319:C328)</f>
        <v>0.0254778936394195</v>
      </c>
      <c r="L328" s="31" t="n">
        <f aca="true">NORMSINV(RAND())*$G$7+$G$6</f>
        <v>-0.000836527996961097</v>
      </c>
    </row>
    <row r="329" customFormat="false" ht="15" hidden="false" customHeight="false" outlineLevel="0" collapsed="false">
      <c r="A329" s="19" t="n">
        <f aca="false">Daromadlilik!A326</f>
        <v>45748</v>
      </c>
      <c r="B329" s="31" t="n">
        <f aca="false">SUMPRODUCT(Parametrlar!$B$14:$E$14,Daromadlilik!C326:F326)</f>
        <v>0.018693442570094</v>
      </c>
      <c r="C329" s="31" t="n">
        <f aca="false">LN(1+B329)</f>
        <v>0.0185208675362245</v>
      </c>
      <c r="D329" s="31" t="n">
        <f aca="false">SUM(C320:C329)</f>
        <v>0.0247717873866462</v>
      </c>
      <c r="L329" s="31" t="n">
        <f aca="true">NORMSINV(RAND())*$G$7+$G$6</f>
        <v>-0.0042677657481644</v>
      </c>
    </row>
    <row r="330" customFormat="false" ht="15" hidden="false" customHeight="false" outlineLevel="0" collapsed="false">
      <c r="A330" s="19" t="n">
        <f aca="false">Daromadlilik!A327</f>
        <v>45749</v>
      </c>
      <c r="B330" s="31" t="n">
        <f aca="false">SUMPRODUCT(Parametrlar!$B$14:$E$14,Daromadlilik!C327:F327)</f>
        <v>0.0458224821270778</v>
      </c>
      <c r="C330" s="31" t="n">
        <f aca="false">LN(1+B330)</f>
        <v>0.0448036400805814</v>
      </c>
      <c r="D330" s="31" t="n">
        <f aca="false">SUM(C321:C330)</f>
        <v>0.0677689462758553</v>
      </c>
      <c r="L330" s="31" t="n">
        <f aca="true">NORMSINV(RAND())*$G$7+$G$6</f>
        <v>-0.00169662574734162</v>
      </c>
    </row>
    <row r="331" customFormat="false" ht="15" hidden="false" customHeight="false" outlineLevel="0" collapsed="false">
      <c r="A331" s="19" t="n">
        <f aca="false">Daromadlilik!A328</f>
        <v>45750</v>
      </c>
      <c r="B331" s="31" t="n">
        <f aca="false">SUMPRODUCT(Parametrlar!$B$14:$E$14,Daromadlilik!C328:F328)</f>
        <v>0.0112097114511398</v>
      </c>
      <c r="C331" s="31" t="n">
        <f aca="false">LN(1+B331)</f>
        <v>0.0111473482519376</v>
      </c>
      <c r="D331" s="31" t="n">
        <f aca="false">SUM(C322:C331)</f>
        <v>0.0650625434383751</v>
      </c>
      <c r="L331" s="31" t="n">
        <f aca="true">NORMSINV(RAND())*$G$7+$G$6</f>
        <v>0.00432690339388644</v>
      </c>
    </row>
    <row r="332" customFormat="false" ht="15" hidden="false" customHeight="false" outlineLevel="0" collapsed="false">
      <c r="A332" s="19" t="n">
        <f aca="false">Daromadlilik!A329</f>
        <v>45751</v>
      </c>
      <c r="B332" s="31" t="n">
        <f aca="false">SUMPRODUCT(Parametrlar!$B$14:$E$14,Daromadlilik!C329:F329)</f>
        <v>0.00622179680628979</v>
      </c>
      <c r="C332" s="31" t="n">
        <f aca="false">LN(1+B332)</f>
        <v>0.0062025213392499</v>
      </c>
      <c r="D332" s="31" t="n">
        <f aca="false">SUM(C323:C332)</f>
        <v>0.0850255505128773</v>
      </c>
      <c r="L332" s="31" t="n">
        <f aca="true">NORMSINV(RAND())*$G$7+$G$6</f>
        <v>-0.00763199751738063</v>
      </c>
    </row>
    <row r="333" customFormat="false" ht="15" hidden="false" customHeight="false" outlineLevel="0" collapsed="false">
      <c r="A333" s="19" t="n">
        <f aca="false">Daromadlilik!A330</f>
        <v>45754</v>
      </c>
      <c r="B333" s="31" t="n">
        <f aca="false">SUMPRODUCT(Parametrlar!$B$14:$E$14,Daromadlilik!C330:F330)</f>
        <v>0.00666155701015254</v>
      </c>
      <c r="C333" s="31" t="n">
        <f aca="false">LN(1+B333)</f>
        <v>0.00663946688805724</v>
      </c>
      <c r="D333" s="31" t="n">
        <f aca="false">SUM(C324:C333)</f>
        <v>0.125959228065798</v>
      </c>
      <c r="L333" s="31" t="n">
        <f aca="true">NORMSINV(RAND())*$G$7+$G$6</f>
        <v>-0.000115045504159271</v>
      </c>
    </row>
    <row r="334" customFormat="false" ht="15" hidden="false" customHeight="false" outlineLevel="0" collapsed="false">
      <c r="A334" s="19" t="n">
        <f aca="false">Daromadlilik!A331</f>
        <v>45755</v>
      </c>
      <c r="B334" s="31" t="n">
        <f aca="false">SUMPRODUCT(Parametrlar!$B$14:$E$14,Daromadlilik!C331:F331)</f>
        <v>-0.0120932005396722</v>
      </c>
      <c r="C334" s="31" t="n">
        <f aca="false">LN(1+B334)</f>
        <v>-0.0121669182138948</v>
      </c>
      <c r="D334" s="31" t="n">
        <f aca="false">SUM(C325:C334)</f>
        <v>0.141295156087742</v>
      </c>
      <c r="L334" s="31" t="n">
        <f aca="true">NORMSINV(RAND())*$G$7+$G$6</f>
        <v>0.0132131257763332</v>
      </c>
    </row>
    <row r="335" customFormat="false" ht="15" hidden="false" customHeight="false" outlineLevel="0" collapsed="false">
      <c r="A335" s="19" t="n">
        <f aca="false">Daromadlilik!A332</f>
        <v>45756</v>
      </c>
      <c r="B335" s="31" t="n">
        <f aca="false">SUMPRODUCT(Parametrlar!$B$14:$E$14,Daromadlilik!C332:F332)</f>
        <v>0.0483861949328139</v>
      </c>
      <c r="C335" s="31" t="n">
        <f aca="false">LN(1+B335)</f>
        <v>0.0472520246322442</v>
      </c>
      <c r="D335" s="31" t="n">
        <f aca="false">SUM(C326:C335)</f>
        <v>0.169632343149934</v>
      </c>
      <c r="L335" s="31" t="n">
        <f aca="true">NORMSINV(RAND())*$G$7+$G$6</f>
        <v>0.00567107224046035</v>
      </c>
    </row>
    <row r="336" customFormat="false" ht="15" hidden="false" customHeight="false" outlineLevel="0" collapsed="false">
      <c r="A336" s="19" t="n">
        <f aca="false">Daromadlilik!A333</f>
        <v>45757</v>
      </c>
      <c r="B336" s="31" t="n">
        <f aca="false">SUMPRODUCT(Parametrlar!$B$14:$E$14,Daromadlilik!C333:F333)</f>
        <v>0.0134375063207537</v>
      </c>
      <c r="C336" s="31" t="n">
        <f aca="false">LN(1+B336)</f>
        <v>0.0133480237564448</v>
      </c>
      <c r="D336" s="31" t="n">
        <f aca="false">SUM(C327:C336)</f>
        <v>0.158755193231696</v>
      </c>
      <c r="L336" s="31" t="n">
        <f aca="true">NORMSINV(RAND())*$G$7+$G$6</f>
        <v>0.0172609567522819</v>
      </c>
    </row>
    <row r="337" customFormat="false" ht="15" hidden="false" customHeight="false" outlineLevel="0" collapsed="false">
      <c r="A337" s="19" t="n">
        <f aca="false">Daromadlilik!A334</f>
        <v>45758</v>
      </c>
      <c r="B337" s="31" t="n">
        <f aca="false">SUMPRODUCT(Parametrlar!$B$14:$E$14,Daromadlilik!C334:F334)</f>
        <v>-0.0203431738998905</v>
      </c>
      <c r="C337" s="31" t="n">
        <f aca="false">LN(1+B337)</f>
        <v>-0.0205529460928273</v>
      </c>
      <c r="D337" s="31" t="n">
        <f aca="false">SUM(C328:C337)</f>
        <v>0.111731406478567</v>
      </c>
      <c r="L337" s="31" t="n">
        <f aca="true">NORMSINV(RAND())*$G$7+$G$6</f>
        <v>0.00413185842489445</v>
      </c>
    </row>
    <row r="338" customFormat="false" ht="15" hidden="false" customHeight="false" outlineLevel="0" collapsed="false">
      <c r="A338" s="19" t="n">
        <f aca="false">Daromadlilik!A335</f>
        <v>45761</v>
      </c>
      <c r="B338" s="31" t="n">
        <f aca="false">SUMPRODUCT(Parametrlar!$B$14:$E$14,Daromadlilik!C335:F335)</f>
        <v>-0.000665721755697224</v>
      </c>
      <c r="C338" s="31" t="n">
        <f aca="false">LN(1+B338)</f>
        <v>-0.000665943446820436</v>
      </c>
      <c r="D338" s="31" t="n">
        <f aca="false">SUM(C329:C338)</f>
        <v>0.114528084731197</v>
      </c>
      <c r="L338" s="31" t="n">
        <f aca="true">NORMSINV(RAND())*$G$7+$G$6</f>
        <v>0.0100663573076333</v>
      </c>
    </row>
    <row r="339" customFormat="false" ht="15" hidden="false" customHeight="false" outlineLevel="0" collapsed="false">
      <c r="A339" s="19" t="n">
        <f aca="false">Daromadlilik!A336</f>
        <v>45762</v>
      </c>
      <c r="B339" s="31" t="n">
        <f aca="false">SUMPRODUCT(Parametrlar!$B$14:$E$14,Daromadlilik!C336:F336)</f>
        <v>-0.0103220534682917</v>
      </c>
      <c r="C339" s="31" t="n">
        <f aca="false">LN(1+B339)</f>
        <v>-0.0103756953107778</v>
      </c>
      <c r="D339" s="31" t="n">
        <f aca="false">SUM(C330:C339)</f>
        <v>0.0856315218841948</v>
      </c>
      <c r="L339" s="31" t="n">
        <f aca="true">NORMSINV(RAND())*$G$7+$G$6</f>
        <v>0.0217299356491852</v>
      </c>
    </row>
    <row r="340" customFormat="false" ht="15" hidden="false" customHeight="false" outlineLevel="0" collapsed="false">
      <c r="A340" s="19" t="n">
        <f aca="false">Daromadlilik!A337</f>
        <v>45763</v>
      </c>
      <c r="B340" s="31" t="n">
        <f aca="false">SUMPRODUCT(Parametrlar!$B$14:$E$14,Daromadlilik!C337:F337)</f>
        <v>-0.0199382755677024</v>
      </c>
      <c r="C340" s="31" t="n">
        <f aca="false">LN(1+B340)</f>
        <v>-0.0201397251863462</v>
      </c>
      <c r="D340" s="31" t="n">
        <f aca="false">SUM(C331:C340)</f>
        <v>0.0206881566172673</v>
      </c>
      <c r="L340" s="31" t="n">
        <f aca="true">NORMSINV(RAND())*$G$7+$G$6</f>
        <v>-0.00707827003929704</v>
      </c>
    </row>
    <row r="341" customFormat="false" ht="15" hidden="false" customHeight="false" outlineLevel="0" collapsed="false">
      <c r="A341" s="19" t="n">
        <f aca="false">Daromadlilik!A338</f>
        <v>45764</v>
      </c>
      <c r="B341" s="31" t="n">
        <f aca="false">SUMPRODUCT(Parametrlar!$B$14:$E$14,Daromadlilik!C338:F338)</f>
        <v>-0.0139120314274437</v>
      </c>
      <c r="C341" s="31" t="n">
        <f aca="false">LN(1+B341)</f>
        <v>-0.0140097107399314</v>
      </c>
      <c r="D341" s="31" t="n">
        <f aca="false">SUM(C332:C341)</f>
        <v>-0.0044689023746017</v>
      </c>
      <c r="L341" s="31" t="n">
        <f aca="true">NORMSINV(RAND())*$G$7+$G$6</f>
        <v>0.00392284481157424</v>
      </c>
    </row>
    <row r="342" customFormat="false" ht="15" hidden="false" customHeight="false" outlineLevel="0" collapsed="false">
      <c r="A342" s="19" t="n">
        <f aca="false">Daromadlilik!A339</f>
        <v>45765</v>
      </c>
      <c r="B342" s="31" t="n">
        <f aca="false">SUMPRODUCT(Parametrlar!$B$14:$E$14,Daromadlilik!C339:F339)</f>
        <v>0.00167985328842704</v>
      </c>
      <c r="C342" s="31" t="n">
        <f aca="false">LN(1+B342)</f>
        <v>0.00167844391303353</v>
      </c>
      <c r="D342" s="31" t="n">
        <f aca="false">SUM(C333:C342)</f>
        <v>-0.00899297980081807</v>
      </c>
      <c r="L342" s="31" t="n">
        <f aca="true">NORMSINV(RAND())*$G$7+$G$6</f>
        <v>0.0178047582141411</v>
      </c>
    </row>
    <row r="343" customFormat="false" ht="15" hidden="false" customHeight="false" outlineLevel="0" collapsed="false">
      <c r="A343" s="19" t="n">
        <f aca="false">Daromadlilik!A340</f>
        <v>45768</v>
      </c>
      <c r="B343" s="31" t="n">
        <f aca="false">SUMPRODUCT(Parametrlar!$B$14:$E$14,Daromadlilik!C340:F340)</f>
        <v>-0.00258267434405424</v>
      </c>
      <c r="C343" s="31" t="n">
        <f aca="false">LN(1+B343)</f>
        <v>-0.00258601520090786</v>
      </c>
      <c r="D343" s="31" t="n">
        <f aca="false">SUM(C334:C343)</f>
        <v>-0.0182184618897832</v>
      </c>
      <c r="L343" s="31" t="n">
        <f aca="true">NORMSINV(RAND())*$G$7+$G$6</f>
        <v>-0.0158828956549651</v>
      </c>
    </row>
    <row r="344" customFormat="false" ht="15" hidden="false" customHeight="false" outlineLevel="0" collapsed="false">
      <c r="A344" s="19" t="n">
        <f aca="false">Daromadlilik!A341</f>
        <v>45769</v>
      </c>
      <c r="B344" s="31" t="n">
        <f aca="false">SUMPRODUCT(Parametrlar!$B$14:$E$14,Daromadlilik!C341:F341)</f>
        <v>0.00591587138796683</v>
      </c>
      <c r="C344" s="31" t="n">
        <f aca="false">LN(1+B344)</f>
        <v>0.00589844132969976</v>
      </c>
      <c r="D344" s="31" t="n">
        <f aca="false">SUM(C335:C344)</f>
        <v>-0.000153102346188623</v>
      </c>
      <c r="L344" s="31" t="n">
        <f aca="true">NORMSINV(RAND())*$G$7+$G$6</f>
        <v>0.00721156410839387</v>
      </c>
    </row>
    <row r="345" customFormat="false" ht="15" hidden="false" customHeight="false" outlineLevel="0" collapsed="false">
      <c r="A345" s="19" t="n">
        <f aca="false">Daromadlilik!A342</f>
        <v>45770</v>
      </c>
      <c r="B345" s="31" t="n">
        <f aca="false">SUMPRODUCT(Parametrlar!$B$14:$E$14,Daromadlilik!C342:F342)</f>
        <v>0.0205473886661881</v>
      </c>
      <c r="C345" s="31" t="n">
        <f aca="false">LN(1+B345)</f>
        <v>0.0203391389031716</v>
      </c>
      <c r="D345" s="31" t="n">
        <f aca="false">SUM(C336:C345)</f>
        <v>-0.0270659880752612</v>
      </c>
      <c r="L345" s="31" t="n">
        <f aca="true">NORMSINV(RAND())*$G$7+$G$6</f>
        <v>0.00293578564981733</v>
      </c>
    </row>
    <row r="346" customFormat="false" ht="15" hidden="false" customHeight="false" outlineLevel="0" collapsed="false">
      <c r="A346" s="19" t="n">
        <f aca="false">Daromadlilik!A343</f>
        <v>45771</v>
      </c>
      <c r="B346" s="31" t="n">
        <f aca="false">SUMPRODUCT(Parametrlar!$B$14:$E$14,Daromadlilik!C343:F343)</f>
        <v>-0.0194222192346157</v>
      </c>
      <c r="C346" s="31" t="n">
        <f aca="false">LN(1+B346)</f>
        <v>-0.0196133088373582</v>
      </c>
      <c r="D346" s="31" t="n">
        <f aca="false">SUM(C337:C346)</f>
        <v>-0.0600273206690642</v>
      </c>
      <c r="L346" s="31" t="n">
        <f aca="true">NORMSINV(RAND())*$G$7+$G$6</f>
        <v>-0.00448745898193419</v>
      </c>
    </row>
    <row r="347" customFormat="false" ht="15" hidden="false" customHeight="false" outlineLevel="0" collapsed="false">
      <c r="A347" s="19" t="n">
        <f aca="false">Daromadlilik!A344</f>
        <v>45772</v>
      </c>
      <c r="B347" s="31" t="n">
        <f aca="false">SUMPRODUCT(Parametrlar!$B$14:$E$14,Daromadlilik!C344:F344)</f>
        <v>-0.0182359093110951</v>
      </c>
      <c r="C347" s="31" t="n">
        <f aca="false">LN(1+B347)</f>
        <v>-0.0184042330027176</v>
      </c>
      <c r="D347" s="31" t="n">
        <f aca="false">SUM(C338:C347)</f>
        <v>-0.0578786075789545</v>
      </c>
      <c r="L347" s="31" t="n">
        <f aca="true">NORMSINV(RAND())*$G$7+$G$6</f>
        <v>0.00256496738017835</v>
      </c>
    </row>
    <row r="348" customFormat="false" ht="15" hidden="false" customHeight="false" outlineLevel="0" collapsed="false">
      <c r="A348" s="19" t="n">
        <f aca="false">Daromadlilik!A345</f>
        <v>45775</v>
      </c>
      <c r="B348" s="31" t="n">
        <f aca="false">SUMPRODUCT(Parametrlar!$B$14:$E$14,Daromadlilik!C345:F345)</f>
        <v>-0.0141080683439621</v>
      </c>
      <c r="C348" s="31" t="n">
        <f aca="false">LN(1+B348)</f>
        <v>-0.0142085331692487</v>
      </c>
      <c r="D348" s="31" t="n">
        <f aca="false">SUM(C339:C348)</f>
        <v>-0.0714211973013827</v>
      </c>
      <c r="L348" s="31" t="n">
        <f aca="true">NORMSINV(RAND())*$G$7+$G$6</f>
        <v>-0.00525539862624602</v>
      </c>
    </row>
    <row r="349" customFormat="false" ht="15" hidden="false" customHeight="false" outlineLevel="0" collapsed="false">
      <c r="A349" s="19" t="n">
        <f aca="false">Daromadlilik!A346</f>
        <v>45776</v>
      </c>
      <c r="B349" s="31" t="n">
        <f aca="false">SUMPRODUCT(Parametrlar!$B$14:$E$14,Daromadlilik!C346:F346)</f>
        <v>0.0039735787953705</v>
      </c>
      <c r="C349" s="31" t="n">
        <f aca="false">LN(1+B349)</f>
        <v>0.003965704982401</v>
      </c>
      <c r="D349" s="31" t="n">
        <f aca="false">SUM(C340:C349)</f>
        <v>-0.0570797970082039</v>
      </c>
      <c r="L349" s="31" t="n">
        <f aca="true">NORMSINV(RAND())*$G$7+$G$6</f>
        <v>-0.00570948816939649</v>
      </c>
    </row>
    <row r="350" customFormat="false" ht="15" hidden="false" customHeight="false" outlineLevel="0" collapsed="false">
      <c r="A350" s="19" t="n">
        <f aca="false">Daromadlilik!A347</f>
        <v>45777</v>
      </c>
      <c r="B350" s="31" t="n">
        <f aca="false">SUMPRODUCT(Parametrlar!$B$14:$E$14,Daromadlilik!C347:F347)</f>
        <v>-0.00458673597769085</v>
      </c>
      <c r="C350" s="31" t="n">
        <f aca="false">LN(1+B350)</f>
        <v>-0.00459728732768903</v>
      </c>
      <c r="D350" s="31" t="n">
        <f aca="false">SUM(C341:C350)</f>
        <v>-0.0415373591495467</v>
      </c>
      <c r="L350" s="31" t="n">
        <f aca="true">NORMSINV(RAND())*$G$7+$G$6</f>
        <v>-0.0192749252848281</v>
      </c>
    </row>
    <row r="351" customFormat="false" ht="15" hidden="false" customHeight="false" outlineLevel="0" collapsed="false">
      <c r="A351" s="19" t="n">
        <f aca="false">Daromadlilik!A348</f>
        <v>45778</v>
      </c>
      <c r="B351" s="31" t="n">
        <f aca="false">SUMPRODUCT(Parametrlar!$B$14:$E$14,Daromadlilik!C348:F348)</f>
        <v>-0.00417078647928946</v>
      </c>
      <c r="C351" s="31" t="n">
        <f aca="false">LN(1+B351)</f>
        <v>-0.00417950846937078</v>
      </c>
      <c r="D351" s="31" t="n">
        <f aca="false">SUM(C342:C351)</f>
        <v>-0.0317071568789862</v>
      </c>
      <c r="L351" s="31" t="n">
        <f aca="true">NORMSINV(RAND())*$G$7+$G$6</f>
        <v>-0.00890007583366399</v>
      </c>
    </row>
    <row r="352" customFormat="false" ht="15" hidden="false" customHeight="false" outlineLevel="0" collapsed="false">
      <c r="A352" s="19" t="n">
        <f aca="false">Daromadlilik!A349</f>
        <v>45779</v>
      </c>
      <c r="B352" s="31" t="n">
        <f aca="false">SUMPRODUCT(Parametrlar!$B$14:$E$14,Daromadlilik!C349:F349)</f>
        <v>-0.00324694930731912</v>
      </c>
      <c r="C352" s="31" t="n">
        <f aca="false">LN(1+B352)</f>
        <v>-0.00325223208559635</v>
      </c>
      <c r="D352" s="31" t="n">
        <f aca="false">SUM(C343:C352)</f>
        <v>-0.0366378328776161</v>
      </c>
      <c r="L352" s="31" t="n">
        <f aca="true">NORMSINV(RAND())*$G$7+$G$6</f>
        <v>0.0212697857857451</v>
      </c>
    </row>
    <row r="353" customFormat="false" ht="15" hidden="false" customHeight="false" outlineLevel="0" collapsed="false">
      <c r="A353" s="19" t="n">
        <f aca="false">Daromadlilik!A350</f>
        <v>45782</v>
      </c>
      <c r="B353" s="31" t="n">
        <f aca="false">SUMPRODUCT(Parametrlar!$B$14:$E$14,Daromadlilik!C350:F350)</f>
        <v>0.0240975943713846</v>
      </c>
      <c r="C353" s="31" t="n">
        <f aca="false">LN(1+B353)</f>
        <v>0.0238118290791974</v>
      </c>
      <c r="D353" s="31" t="n">
        <f aca="false">SUM(C344:C353)</f>
        <v>-0.0102399885975108</v>
      </c>
      <c r="L353" s="31" t="n">
        <f aca="true">NORMSINV(RAND())*$G$7+$G$6</f>
        <v>-0.0126534311398018</v>
      </c>
    </row>
    <row r="354" customFormat="false" ht="15" hidden="false" customHeight="false" outlineLevel="0" collapsed="false">
      <c r="A354" s="19" t="n">
        <f aca="false">Daromadlilik!A351</f>
        <v>45783</v>
      </c>
      <c r="B354" s="31" t="n">
        <f aca="false">SUMPRODUCT(Parametrlar!$B$14:$E$14,Daromadlilik!C351:F351)</f>
        <v>-0.00724009572331749</v>
      </c>
      <c r="C354" s="31" t="n">
        <f aca="false">LN(1+B354)</f>
        <v>-0.00726643241345838</v>
      </c>
      <c r="D354" s="31" t="n">
        <f aca="false">SUM(C345:C354)</f>
        <v>-0.0234048623406689</v>
      </c>
      <c r="L354" s="31" t="n">
        <f aca="true">NORMSINV(RAND())*$G$7+$G$6</f>
        <v>-0.0194689594429139</v>
      </c>
    </row>
    <row r="355" customFormat="false" ht="15" hidden="false" customHeight="false" outlineLevel="0" collapsed="false">
      <c r="A355" s="19" t="n">
        <f aca="false">Daromadlilik!A352</f>
        <v>45784</v>
      </c>
      <c r="B355" s="31" t="n">
        <f aca="false">SUMPRODUCT(Parametrlar!$B$14:$E$14,Daromadlilik!C352:F352)</f>
        <v>0.0557128387097448</v>
      </c>
      <c r="C355" s="31" t="n">
        <f aca="false">LN(1+B355)</f>
        <v>0.0542162152635619</v>
      </c>
      <c r="D355" s="31" t="n">
        <f aca="false">SUM(C346:C355)</f>
        <v>0.0104722140197213</v>
      </c>
      <c r="L355" s="31" t="n">
        <f aca="true">NORMSINV(RAND())*$G$7+$G$6</f>
        <v>0.00333102365869945</v>
      </c>
    </row>
    <row r="356" customFormat="false" ht="15" hidden="false" customHeight="false" outlineLevel="0" collapsed="false">
      <c r="A356" s="19" t="n">
        <f aca="false">Daromadlilik!A353</f>
        <v>45785</v>
      </c>
      <c r="B356" s="31" t="n">
        <f aca="false">SUMPRODUCT(Parametrlar!$B$14:$E$14,Daromadlilik!C353:F353)</f>
        <v>-0.0107354352212669</v>
      </c>
      <c r="C356" s="31" t="n">
        <f aca="false">LN(1+B356)</f>
        <v>-0.0107934757734494</v>
      </c>
      <c r="D356" s="31" t="n">
        <f aca="false">SUM(C347:C356)</f>
        <v>0.0192920470836301</v>
      </c>
      <c r="L356" s="31" t="n">
        <f aca="true">NORMSINV(RAND())*$G$7+$G$6</f>
        <v>0.00279207811671394</v>
      </c>
    </row>
    <row r="357" customFormat="false" ht="15" hidden="false" customHeight="false" outlineLevel="0" collapsed="false">
      <c r="A357" s="19" t="n">
        <f aca="false">Daromadlilik!A354</f>
        <v>45786</v>
      </c>
      <c r="B357" s="31" t="n">
        <f aca="false">SUMPRODUCT(Parametrlar!$B$14:$E$14,Daromadlilik!C354:F354)</f>
        <v>0.00675788173353068</v>
      </c>
      <c r="C357" s="31" t="n">
        <f aca="false">LN(1+B357)</f>
        <v>0.00673514960731407</v>
      </c>
      <c r="D357" s="31" t="n">
        <f aca="false">SUM(C348:C357)</f>
        <v>0.0444314296936618</v>
      </c>
      <c r="L357" s="31" t="n">
        <f aca="true">NORMSINV(RAND())*$G$7+$G$6</f>
        <v>0.00754036267373803</v>
      </c>
    </row>
    <row r="358" customFormat="false" ht="15" hidden="false" customHeight="false" outlineLevel="0" collapsed="false">
      <c r="A358" s="19" t="n">
        <f aca="false">Daromadlilik!A355</f>
        <v>45789</v>
      </c>
      <c r="B358" s="31" t="n">
        <f aca="false">SUMPRODUCT(Parametrlar!$B$14:$E$14,Daromadlilik!C355:F355)</f>
        <v>0.00482909413071033</v>
      </c>
      <c r="C358" s="31" t="n">
        <f aca="false">LN(1+B358)</f>
        <v>0.00481747145861449</v>
      </c>
      <c r="D358" s="31" t="n">
        <f aca="false">SUM(C349:C358)</f>
        <v>0.0634574343215249</v>
      </c>
      <c r="L358" s="31" t="n">
        <f aca="true">NORMSINV(RAND())*$G$7+$G$6</f>
        <v>-0.00219696471097848</v>
      </c>
    </row>
    <row r="359" customFormat="false" ht="15" hidden="false" customHeight="false" outlineLevel="0" collapsed="false">
      <c r="A359" s="19" t="n">
        <f aca="false">Daromadlilik!A356</f>
        <v>45790</v>
      </c>
      <c r="B359" s="31" t="n">
        <f aca="false">SUMPRODUCT(Parametrlar!$B$14:$E$14,Daromadlilik!C356:F356)</f>
        <v>0.00380237916853183</v>
      </c>
      <c r="C359" s="31" t="n">
        <f aca="false">LN(1+B359)</f>
        <v>0.00379516839780389</v>
      </c>
      <c r="D359" s="31" t="n">
        <f aca="false">SUM(C350:C359)</f>
        <v>0.0632868977369278</v>
      </c>
      <c r="L359" s="31" t="n">
        <f aca="true">NORMSINV(RAND())*$G$7+$G$6</f>
        <v>0.001716355783822</v>
      </c>
    </row>
    <row r="360" customFormat="false" ht="15" hidden="false" customHeight="false" outlineLevel="0" collapsed="false">
      <c r="A360" s="19" t="n">
        <f aca="false">Daromadlilik!A357</f>
        <v>45791</v>
      </c>
      <c r="B360" s="31" t="n">
        <f aca="false">SUMPRODUCT(Parametrlar!$B$14:$E$14,Daromadlilik!C357:F357)</f>
        <v>0.00462566209006898</v>
      </c>
      <c r="C360" s="31" t="n">
        <f aca="false">LN(1+B360)</f>
        <v>0.00461499659252791</v>
      </c>
      <c r="D360" s="31" t="n">
        <f aca="false">SUM(C351:C360)</f>
        <v>0.0724991816571448</v>
      </c>
      <c r="L360" s="31" t="n">
        <f aca="true">NORMSINV(RAND())*$G$7+$G$6</f>
        <v>-0.0115471339312847</v>
      </c>
    </row>
    <row r="361" customFormat="false" ht="15" hidden="false" customHeight="false" outlineLevel="0" collapsed="false">
      <c r="A361" s="19" t="n">
        <f aca="false">Daromadlilik!A358</f>
        <v>45792</v>
      </c>
      <c r="B361" s="31" t="n">
        <f aca="false">SUMPRODUCT(Parametrlar!$B$14:$E$14,Daromadlilik!C358:F358)</f>
        <v>-0.00519885732650934</v>
      </c>
      <c r="C361" s="31" t="n">
        <f aca="false">LN(1+B361)</f>
        <v>-0.00521241840709497</v>
      </c>
      <c r="D361" s="31" t="n">
        <f aca="false">SUM(C352:C361)</f>
        <v>0.0714662717194206</v>
      </c>
      <c r="L361" s="31" t="n">
        <f aca="true">NORMSINV(RAND())*$G$7+$G$6</f>
        <v>-0.00684674803278523</v>
      </c>
    </row>
    <row r="362" customFormat="false" ht="15" hidden="false" customHeight="false" outlineLevel="0" collapsed="false">
      <c r="A362" s="19" t="n">
        <f aca="false">Daromadlilik!A359</f>
        <v>45793</v>
      </c>
      <c r="B362" s="31" t="n">
        <f aca="false">SUMPRODUCT(Parametrlar!$B$14:$E$14,Daromadlilik!C359:F359)</f>
        <v>-0.0107428881799284</v>
      </c>
      <c r="C362" s="31" t="n">
        <f aca="false">LN(1+B362)</f>
        <v>-0.0108010096395168</v>
      </c>
      <c r="D362" s="31" t="n">
        <f aca="false">SUM(C353:C362)</f>
        <v>0.0639174941655001</v>
      </c>
      <c r="L362" s="31" t="n">
        <f aca="true">NORMSINV(RAND())*$G$7+$G$6</f>
        <v>-0.00104043551692663</v>
      </c>
    </row>
    <row r="363" customFormat="false" ht="15" hidden="false" customHeight="false" outlineLevel="0" collapsed="false">
      <c r="A363" s="19" t="n">
        <f aca="false">Daromadlilik!A360</f>
        <v>45796</v>
      </c>
      <c r="B363" s="31" t="n">
        <f aca="false">SUMPRODUCT(Parametrlar!$B$14:$E$14,Daromadlilik!C360:F360)</f>
        <v>0.00285021301195891</v>
      </c>
      <c r="C363" s="31" t="n">
        <f aca="false">LN(1+B363)</f>
        <v>0.00284615885649638</v>
      </c>
      <c r="D363" s="31" t="n">
        <f aca="false">SUM(C354:C363)</f>
        <v>0.0429518239427991</v>
      </c>
      <c r="L363" s="31" t="n">
        <f aca="true">NORMSINV(RAND())*$G$7+$G$6</f>
        <v>0.00502036129859131</v>
      </c>
    </row>
    <row r="364" customFormat="false" ht="15" hidden="false" customHeight="false" outlineLevel="0" collapsed="false">
      <c r="A364" s="19" t="n">
        <f aca="false">Daromadlilik!A361</f>
        <v>45797</v>
      </c>
      <c r="B364" s="31" t="n">
        <f aca="false">SUMPRODUCT(Parametrlar!$B$14:$E$14,Daromadlilik!C361:F361)</f>
        <v>0.0324592757008107</v>
      </c>
      <c r="C364" s="31" t="n">
        <f aca="false">LN(1+B364)</f>
        <v>0.0319436026546557</v>
      </c>
      <c r="D364" s="31" t="n">
        <f aca="false">SUM(C355:C364)</f>
        <v>0.0821618590109131</v>
      </c>
      <c r="L364" s="31" t="n">
        <f aca="true">NORMSINV(RAND())*$G$7+$G$6</f>
        <v>0.00571797994644689</v>
      </c>
    </row>
    <row r="365" customFormat="false" ht="15" hidden="false" customHeight="false" outlineLevel="0" collapsed="false">
      <c r="A365" s="19" t="n">
        <f aca="false">Daromadlilik!A362</f>
        <v>45798</v>
      </c>
      <c r="B365" s="31" t="n">
        <f aca="false">SUMPRODUCT(Parametrlar!$B$14:$E$14,Daromadlilik!C362:F362)</f>
        <v>0.0133800312469328</v>
      </c>
      <c r="C365" s="31" t="n">
        <f aca="false">LN(1+B365)</f>
        <v>0.0132913091555781</v>
      </c>
      <c r="D365" s="31" t="n">
        <f aca="false">SUM(C356:C365)</f>
        <v>0.0412369529029294</v>
      </c>
      <c r="L365" s="31" t="n">
        <f aca="true">NORMSINV(RAND())*$G$7+$G$6</f>
        <v>0.00176942931881151</v>
      </c>
    </row>
    <row r="366" customFormat="false" ht="15" hidden="false" customHeight="false" outlineLevel="0" collapsed="false">
      <c r="A366" s="19" t="n">
        <f aca="false">Daromadlilik!A363</f>
        <v>45799</v>
      </c>
      <c r="B366" s="31" t="n">
        <f aca="false">SUMPRODUCT(Parametrlar!$B$14:$E$14,Daromadlilik!C363:F363)</f>
        <v>-0.0272282872245014</v>
      </c>
      <c r="C366" s="31" t="n">
        <f aca="false">LN(1+B366)</f>
        <v>-0.0276058463431986</v>
      </c>
      <c r="D366" s="31" t="n">
        <f aca="false">SUM(C357:C366)</f>
        <v>0.0244245823331802</v>
      </c>
      <c r="L366" s="31" t="n">
        <f aca="true">NORMSINV(RAND())*$G$7+$G$6</f>
        <v>-0.0226301689121271</v>
      </c>
    </row>
    <row r="367" customFormat="false" ht="15" hidden="false" customHeight="false" outlineLevel="0" collapsed="false">
      <c r="A367" s="19" t="n">
        <f aca="false">Daromadlilik!A364</f>
        <v>45800</v>
      </c>
      <c r="B367" s="31" t="n">
        <f aca="false">SUMPRODUCT(Parametrlar!$B$14:$E$14,Daromadlilik!C364:F364)</f>
        <v>-0.00702580338281523</v>
      </c>
      <c r="C367" s="31" t="n">
        <f aca="false">LN(1+B367)</f>
        <v>-0.00705060055436133</v>
      </c>
      <c r="D367" s="31" t="n">
        <f aca="false">SUM(C358:C367)</f>
        <v>0.0106388321715048</v>
      </c>
      <c r="L367" s="31" t="n">
        <f aca="true">NORMSINV(RAND())*$G$7+$G$6</f>
        <v>0.0207501390220023</v>
      </c>
    </row>
    <row r="368" customFormat="false" ht="15" hidden="false" customHeight="false" outlineLevel="0" collapsed="false">
      <c r="A368" s="19" t="n">
        <f aca="false">Daromadlilik!A365</f>
        <v>45803</v>
      </c>
      <c r="B368" s="31" t="n">
        <f aca="false">SUMPRODUCT(Parametrlar!$B$14:$E$14,Daromadlilik!C365:F365)</f>
        <v>0.0242113641096556</v>
      </c>
      <c r="C368" s="31" t="n">
        <f aca="false">LN(1+B368)</f>
        <v>0.023922915580984</v>
      </c>
      <c r="D368" s="31" t="n">
        <f aca="false">SUM(C359:C368)</f>
        <v>0.0297442762938743</v>
      </c>
      <c r="L368" s="31" t="n">
        <f aca="true">NORMSINV(RAND())*$G$7+$G$6</f>
        <v>0.017103083681355</v>
      </c>
    </row>
    <row r="369" customFormat="false" ht="15" hidden="false" customHeight="false" outlineLevel="0" collapsed="false">
      <c r="A369" s="19" t="n">
        <f aca="false">Daromadlilik!A366</f>
        <v>45804</v>
      </c>
      <c r="B369" s="31" t="n">
        <f aca="false">SUMPRODUCT(Parametrlar!$B$14:$E$14,Daromadlilik!C366:F366)</f>
        <v>0.0108136253053034</v>
      </c>
      <c r="C369" s="31" t="n">
        <f aca="false">LN(1+B369)</f>
        <v>0.0107555761653325</v>
      </c>
      <c r="D369" s="31" t="n">
        <f aca="false">SUM(C360:C369)</f>
        <v>0.0367046840614029</v>
      </c>
      <c r="L369" s="31" t="n">
        <f aca="true">NORMSINV(RAND())*$G$7+$G$6</f>
        <v>0.00883930242525969</v>
      </c>
    </row>
    <row r="370" customFormat="false" ht="15" hidden="false" customHeight="false" outlineLevel="0" collapsed="false">
      <c r="A370" s="19" t="n">
        <f aca="false">Daromadlilik!A367</f>
        <v>45805</v>
      </c>
      <c r="B370" s="31" t="n">
        <f aca="false">SUMPRODUCT(Parametrlar!$B$14:$E$14,Daromadlilik!C367:F367)</f>
        <v>0.0159539080398766</v>
      </c>
      <c r="C370" s="31" t="n">
        <f aca="false">LN(1+B370)</f>
        <v>0.0158279820247339</v>
      </c>
      <c r="D370" s="31" t="n">
        <f aca="false">SUM(C361:C370)</f>
        <v>0.0479176694936089</v>
      </c>
      <c r="L370" s="31" t="n">
        <f aca="true">NORMSINV(RAND())*$G$7+$G$6</f>
        <v>-0.0188530223441818</v>
      </c>
    </row>
    <row r="371" customFormat="false" ht="15" hidden="false" customHeight="false" outlineLevel="0" collapsed="false">
      <c r="A371" s="19" t="n">
        <f aca="false">Daromadlilik!A368</f>
        <v>45806</v>
      </c>
      <c r="B371" s="31" t="n">
        <f aca="false">SUMPRODUCT(Parametrlar!$B$14:$E$14,Daromadlilik!C368:F368)</f>
        <v>0.00117744650338711</v>
      </c>
      <c r="C371" s="31" t="n">
        <f aca="false">LN(1+B371)</f>
        <v>0.00117675385690244</v>
      </c>
      <c r="D371" s="31" t="n">
        <f aca="false">SUM(C362:C371)</f>
        <v>0.0543068417576063</v>
      </c>
      <c r="L371" s="31" t="n">
        <f aca="true">NORMSINV(RAND())*$G$7+$G$6</f>
        <v>0.0141616890615122</v>
      </c>
    </row>
    <row r="372" customFormat="false" ht="15" hidden="false" customHeight="false" outlineLevel="0" collapsed="false">
      <c r="A372" s="19" t="n">
        <f aca="false">Daromadlilik!A369</f>
        <v>45807</v>
      </c>
      <c r="B372" s="31" t="n">
        <f aca="false">SUMPRODUCT(Parametrlar!$B$14:$E$14,Daromadlilik!C369:F369)</f>
        <v>0.0109568551590949</v>
      </c>
      <c r="C372" s="31" t="n">
        <f aca="false">LN(1+B372)</f>
        <v>0.0108972637163331</v>
      </c>
      <c r="D372" s="31" t="n">
        <f aca="false">SUM(C363:C372)</f>
        <v>0.0760051151134562</v>
      </c>
      <c r="L372" s="31" t="n">
        <f aca="true">NORMSINV(RAND())*$G$7+$G$6</f>
        <v>0.00983980285122493</v>
      </c>
    </row>
    <row r="373" customFormat="false" ht="15" hidden="false" customHeight="false" outlineLevel="0" collapsed="false">
      <c r="A373" s="19" t="n">
        <f aca="false">Daromadlilik!A370</f>
        <v>45810</v>
      </c>
      <c r="B373" s="31" t="n">
        <f aca="false">SUMPRODUCT(Parametrlar!$B$14:$E$14,Daromadlilik!C370:F370)</f>
        <v>0.0135754036307534</v>
      </c>
      <c r="C373" s="31" t="n">
        <f aca="false">LN(1+B373)</f>
        <v>0.0134840833834313</v>
      </c>
      <c r="D373" s="31" t="n">
        <f aca="false">SUM(C364:C373)</f>
        <v>0.0866430396403911</v>
      </c>
      <c r="L373" s="31" t="n">
        <f aca="true">NORMSINV(RAND())*$G$7+$G$6</f>
        <v>-0.0160875048205598</v>
      </c>
    </row>
    <row r="374" customFormat="false" ht="15" hidden="false" customHeight="false" outlineLevel="0" collapsed="false">
      <c r="A374" s="19" t="n">
        <f aca="false">Daromadlilik!A371</f>
        <v>45811</v>
      </c>
      <c r="B374" s="31" t="n">
        <f aca="false">SUMPRODUCT(Parametrlar!$B$14:$E$14,Daromadlilik!C371:F371)</f>
        <v>-0.00452988000910154</v>
      </c>
      <c r="C374" s="31" t="n">
        <f aca="false">LN(1+B374)</f>
        <v>-0.00454017100529537</v>
      </c>
      <c r="D374" s="31" t="n">
        <f aca="false">SUM(C365:C374)</f>
        <v>0.0501592659804401</v>
      </c>
      <c r="L374" s="31" t="n">
        <f aca="true">NORMSINV(RAND())*$G$7+$G$6</f>
        <v>-0.00652017648514385</v>
      </c>
    </row>
    <row r="375" customFormat="false" ht="15" hidden="false" customHeight="false" outlineLevel="0" collapsed="false">
      <c r="A375" s="19" t="n">
        <f aca="false">Daromadlilik!A372</f>
        <v>45812</v>
      </c>
      <c r="B375" s="31" t="n">
        <f aca="false">SUMPRODUCT(Parametrlar!$B$14:$E$14,Daromadlilik!C372:F372)</f>
        <v>-0.0208532070380834</v>
      </c>
      <c r="C375" s="31" t="n">
        <f aca="false">LN(1+B375)</f>
        <v>-0.021073705953342</v>
      </c>
      <c r="D375" s="31" t="n">
        <f aca="false">SUM(C366:C375)</f>
        <v>0.0157942508715199</v>
      </c>
      <c r="L375" s="31" t="n">
        <f aca="true">NORMSINV(RAND())*$G$7+$G$6</f>
        <v>-0.00629643401683426</v>
      </c>
    </row>
    <row r="376" customFormat="false" ht="15" hidden="false" customHeight="false" outlineLevel="0" collapsed="false">
      <c r="A376" s="19" t="n">
        <f aca="false">Daromadlilik!A373</f>
        <v>45813</v>
      </c>
      <c r="B376" s="31" t="n">
        <f aca="false">SUMPRODUCT(Parametrlar!$B$14:$E$14,Daromadlilik!C373:F373)</f>
        <v>-0.00941721866976987</v>
      </c>
      <c r="C376" s="31" t="n">
        <f aca="false">LN(1+B376)</f>
        <v>-0.00946184104021412</v>
      </c>
      <c r="D376" s="31" t="n">
        <f aca="false">SUM(C367:C376)</f>
        <v>0.0339382561745044</v>
      </c>
      <c r="L376" s="31" t="n">
        <f aca="true">NORMSINV(RAND())*$G$7+$G$6</f>
        <v>-0.00182761504675858</v>
      </c>
    </row>
    <row r="377" customFormat="false" ht="15" hidden="false" customHeight="false" outlineLevel="0" collapsed="false">
      <c r="A377" s="19" t="n">
        <f aca="false">Daromadlilik!A374</f>
        <v>45814</v>
      </c>
      <c r="B377" s="31" t="n">
        <f aca="false">SUMPRODUCT(Parametrlar!$B$14:$E$14,Daromadlilik!C374:F374)</f>
        <v>-0.00343553149172377</v>
      </c>
      <c r="C377" s="31" t="n">
        <f aca="false">LN(1+B377)</f>
        <v>-0.00344144648134689</v>
      </c>
      <c r="D377" s="31" t="n">
        <f aca="false">SUM(C368:C377)</f>
        <v>0.0375474102475188</v>
      </c>
      <c r="L377" s="31" t="n">
        <f aca="true">NORMSINV(RAND())*$G$7+$G$6</f>
        <v>0.0145202836956149</v>
      </c>
    </row>
    <row r="378" customFormat="false" ht="15" hidden="false" customHeight="false" outlineLevel="0" collapsed="false">
      <c r="A378" s="19" t="n">
        <f aca="false">Daromadlilik!A375</f>
        <v>45817</v>
      </c>
      <c r="B378" s="31" t="n">
        <f aca="false">SUMPRODUCT(Parametrlar!$B$14:$E$14,Daromadlilik!C375:F375)</f>
        <v>-0.00619260998871218</v>
      </c>
      <c r="C378" s="31" t="n">
        <f aca="false">LN(1+B378)</f>
        <v>-0.00621186372636255</v>
      </c>
      <c r="D378" s="31" t="n">
        <f aca="false">SUM(C369:C378)</f>
        <v>0.00741263094017224</v>
      </c>
      <c r="L378" s="31" t="n">
        <f aca="true">NORMSINV(RAND())*$G$7+$G$6</f>
        <v>-0.0114252510204235</v>
      </c>
    </row>
    <row r="379" customFormat="false" ht="15" hidden="false" customHeight="false" outlineLevel="0" collapsed="false">
      <c r="A379" s="19" t="n">
        <f aca="false">Daromadlilik!A376</f>
        <v>45818</v>
      </c>
      <c r="B379" s="31" t="n">
        <f aca="false">SUMPRODUCT(Parametrlar!$B$14:$E$14,Daromadlilik!C376:F376)</f>
        <v>-0.000167421192668466</v>
      </c>
      <c r="C379" s="31" t="n">
        <f aca="false">LN(1+B379)</f>
        <v>-0.000167435209160775</v>
      </c>
      <c r="D379" s="31" t="n">
        <f aca="false">SUM(C370:C379)</f>
        <v>-0.00351038043432102</v>
      </c>
      <c r="L379" s="31" t="n">
        <f aca="true">NORMSINV(RAND())*$G$7+$G$6</f>
        <v>-0.00996631718069928</v>
      </c>
    </row>
    <row r="380" customFormat="false" ht="15" hidden="false" customHeight="false" outlineLevel="0" collapsed="false">
      <c r="A380" s="19" t="n">
        <f aca="false">Daromadlilik!A377</f>
        <v>45819</v>
      </c>
      <c r="B380" s="31" t="n">
        <f aca="false">SUMPRODUCT(Parametrlar!$B$14:$E$14,Daromadlilik!C377:F377)</f>
        <v>0.000805428072532494</v>
      </c>
      <c r="C380" s="31" t="n">
        <f aca="false">LN(1+B380)</f>
        <v>0.000805103889401583</v>
      </c>
      <c r="D380" s="31" t="n">
        <f aca="false">SUM(C371:C380)</f>
        <v>-0.0185332585696533</v>
      </c>
      <c r="L380" s="31" t="n">
        <f aca="true">NORMSINV(RAND())*$G$7+$G$6</f>
        <v>0.00987921055497092</v>
      </c>
    </row>
    <row r="381" customFormat="false" ht="15" hidden="false" customHeight="false" outlineLevel="0" collapsed="false">
      <c r="A381" s="19" t="n">
        <f aca="false">Daromadlilik!A378</f>
        <v>45820</v>
      </c>
      <c r="B381" s="31" t="n">
        <f aca="false">SUMPRODUCT(Parametrlar!$B$14:$E$14,Daromadlilik!C378:F378)</f>
        <v>-0.0233615667606197</v>
      </c>
      <c r="C381" s="31" t="n">
        <f aca="false">LN(1+B381)</f>
        <v>-0.0236387740030035</v>
      </c>
      <c r="D381" s="31" t="n">
        <f aca="false">SUM(C372:C381)</f>
        <v>-0.0433487864295593</v>
      </c>
      <c r="L381" s="31" t="n">
        <f aca="true">NORMSINV(RAND())*$G$7+$G$6</f>
        <v>-0.00905559485429461</v>
      </c>
    </row>
    <row r="382" customFormat="false" ht="15" hidden="false" customHeight="false" outlineLevel="0" collapsed="false">
      <c r="A382" s="19" t="n">
        <f aca="false">Daromadlilik!A379</f>
        <v>45821</v>
      </c>
      <c r="B382" s="31" t="n">
        <f aca="false">SUMPRODUCT(Parametrlar!$B$14:$E$14,Daromadlilik!C379:F379)</f>
        <v>0.0230601992209515</v>
      </c>
      <c r="C382" s="31" t="n">
        <f aca="false">LN(1+B382)</f>
        <v>0.0227983310064263</v>
      </c>
      <c r="D382" s="31" t="n">
        <f aca="false">SUM(C373:C382)</f>
        <v>-0.0314477191394661</v>
      </c>
      <c r="L382" s="31" t="n">
        <f aca="true">NORMSINV(RAND())*$G$7+$G$6</f>
        <v>-0.0187170240149375</v>
      </c>
    </row>
    <row r="383" customFormat="false" ht="15" hidden="false" customHeight="false" outlineLevel="0" collapsed="false">
      <c r="A383" s="19" t="n">
        <f aca="false">Daromadlilik!A380</f>
        <v>45824</v>
      </c>
      <c r="B383" s="31" t="n">
        <f aca="false">SUMPRODUCT(Parametrlar!$B$14:$E$14,Daromadlilik!C380:F380)</f>
        <v>0.0163919434102978</v>
      </c>
      <c r="C383" s="31" t="n">
        <f aca="false">LN(1+B383)</f>
        <v>0.0162590458388888</v>
      </c>
      <c r="D383" s="31" t="n">
        <f aca="false">SUM(C374:C383)</f>
        <v>-0.0286727566840086</v>
      </c>
      <c r="L383" s="31" t="n">
        <f aca="true">NORMSINV(RAND())*$G$7+$G$6</f>
        <v>0.0242920275035282</v>
      </c>
    </row>
    <row r="384" customFormat="false" ht="15" hidden="false" customHeight="false" outlineLevel="0" collapsed="false">
      <c r="A384" s="19" t="n">
        <f aca="false">Daromadlilik!A381</f>
        <v>45825</v>
      </c>
      <c r="B384" s="31" t="n">
        <f aca="false">SUMPRODUCT(Parametrlar!$B$14:$E$14,Daromadlilik!C381:F381)</f>
        <v>-0.0269679586285368</v>
      </c>
      <c r="C384" s="31" t="n">
        <f aca="false">LN(1+B384)</f>
        <v>-0.0273382668435053</v>
      </c>
      <c r="D384" s="31" t="n">
        <f aca="false">SUM(C375:C384)</f>
        <v>-0.0514708525222186</v>
      </c>
      <c r="L384" s="31" t="n">
        <f aca="true">NORMSINV(RAND())*$G$7+$G$6</f>
        <v>-0.0319154882315136</v>
      </c>
    </row>
    <row r="385" customFormat="false" ht="15" hidden="false" customHeight="false" outlineLevel="0" collapsed="false">
      <c r="A385" s="19" t="n">
        <f aca="false">Daromadlilik!A382</f>
        <v>45826</v>
      </c>
      <c r="B385" s="31" t="n">
        <f aca="false">SUMPRODUCT(Parametrlar!$B$14:$E$14,Daromadlilik!C382:F382)</f>
        <v>0.00615885351390031</v>
      </c>
      <c r="C385" s="31" t="n">
        <f aca="false">LN(1+B385)</f>
        <v>0.00613996528913081</v>
      </c>
      <c r="D385" s="31" t="n">
        <f aca="false">SUM(C376:C385)</f>
        <v>-0.0242571812797457</v>
      </c>
      <c r="L385" s="31" t="n">
        <f aca="true">NORMSINV(RAND())*$G$7+$G$6</f>
        <v>-0.00500646578488501</v>
      </c>
    </row>
    <row r="386" customFormat="false" ht="15" hidden="false" customHeight="false" outlineLevel="0" collapsed="false">
      <c r="A386" s="19" t="n">
        <f aca="false">Daromadlilik!A383</f>
        <v>45827</v>
      </c>
      <c r="B386" s="31" t="n">
        <f aca="false">SUMPRODUCT(Parametrlar!$B$14:$E$14,Daromadlilik!C383:F383)</f>
        <v>0.0115508226755954</v>
      </c>
      <c r="C386" s="31" t="n">
        <f aca="false">LN(1+B386)</f>
        <v>0.0114846212231411</v>
      </c>
      <c r="D386" s="31" t="n">
        <f aca="false">SUM(C377:C386)</f>
        <v>-0.00331071901639047</v>
      </c>
      <c r="L386" s="31" t="n">
        <f aca="true">NORMSINV(RAND())*$G$7+$G$6</f>
        <v>-0.00881708150760935</v>
      </c>
    </row>
    <row r="387" customFormat="false" ht="15" hidden="false" customHeight="false" outlineLevel="0" collapsed="false">
      <c r="A387" s="19" t="n">
        <f aca="false">Daromadlilik!A384</f>
        <v>45828</v>
      </c>
      <c r="B387" s="31" t="n">
        <f aca="false">SUMPRODUCT(Parametrlar!$B$14:$E$14,Daromadlilik!C384:F384)</f>
        <v>0.000601272537809106</v>
      </c>
      <c r="C387" s="31" t="n">
        <f aca="false">LN(1+B387)</f>
        <v>0.000601091845903125</v>
      </c>
      <c r="D387" s="31" t="n">
        <f aca="false">SUM(C378:C387)</f>
        <v>0.000731819310859545</v>
      </c>
      <c r="L387" s="31" t="n">
        <f aca="true">NORMSINV(RAND())*$G$7+$G$6</f>
        <v>-0.0135406449452484</v>
      </c>
    </row>
    <row r="388" customFormat="false" ht="15" hidden="false" customHeight="false" outlineLevel="0" collapsed="false">
      <c r="A388" s="19" t="n">
        <f aca="false">Daromadlilik!A385</f>
        <v>45831</v>
      </c>
      <c r="B388" s="31" t="n">
        <f aca="false">SUMPRODUCT(Parametrlar!$B$14:$E$14,Daromadlilik!C385:F385)</f>
        <v>-0.00405342329630836</v>
      </c>
      <c r="C388" s="31" t="n">
        <f aca="false">LN(1+B388)</f>
        <v>-0.00406166068379872</v>
      </c>
      <c r="D388" s="31" t="n">
        <f aca="false">SUM(C379:C388)</f>
        <v>0.00288202235342337</v>
      </c>
      <c r="L388" s="31" t="n">
        <f aca="true">NORMSINV(RAND())*$G$7+$G$6</f>
        <v>-0.000462376517535668</v>
      </c>
    </row>
    <row r="389" customFormat="false" ht="15" hidden="false" customHeight="false" outlineLevel="0" collapsed="false">
      <c r="A389" s="19" t="n">
        <f aca="false">Daromadlilik!A386</f>
        <v>45832</v>
      </c>
      <c r="B389" s="31" t="n">
        <f aca="false">SUMPRODUCT(Parametrlar!$B$14:$E$14,Daromadlilik!C386:F386)</f>
        <v>0.0111139612588025</v>
      </c>
      <c r="C389" s="31" t="n">
        <f aca="false">LN(1+B389)</f>
        <v>0.0110526550099992</v>
      </c>
      <c r="D389" s="31" t="n">
        <f aca="false">SUM(C380:C389)</f>
        <v>0.0141021125725833</v>
      </c>
      <c r="L389" s="31" t="n">
        <f aca="true">NORMSINV(RAND())*$G$7+$G$6</f>
        <v>0.00192610376264608</v>
      </c>
    </row>
    <row r="390" customFormat="false" ht="15" hidden="false" customHeight="false" outlineLevel="0" collapsed="false">
      <c r="A390" s="19" t="n">
        <f aca="false">Daromadlilik!A387</f>
        <v>45833</v>
      </c>
      <c r="B390" s="31" t="n">
        <f aca="false">SUMPRODUCT(Parametrlar!$B$14:$E$14,Daromadlilik!C387:F387)</f>
        <v>-0.0211677793341353</v>
      </c>
      <c r="C390" s="31" t="n">
        <f aca="false">LN(1+B390)</f>
        <v>-0.0213950294165345</v>
      </c>
      <c r="D390" s="31" t="n">
        <f aca="false">SUM(C381:C390)</f>
        <v>-0.00809802073335276</v>
      </c>
      <c r="L390" s="31" t="n">
        <f aca="true">NORMSINV(RAND())*$G$7+$G$6</f>
        <v>0.00304807371007818</v>
      </c>
    </row>
    <row r="391" customFormat="false" ht="15" hidden="false" customHeight="false" outlineLevel="0" collapsed="false">
      <c r="A391" s="19" t="n">
        <f aca="false">Daromadlilik!A388</f>
        <v>45834</v>
      </c>
      <c r="B391" s="31" t="n">
        <f aca="false">SUMPRODUCT(Parametrlar!$B$14:$E$14,Daromadlilik!C388:F388)</f>
        <v>0.00962570349561368</v>
      </c>
      <c r="C391" s="31" t="n">
        <f aca="false">LN(1+B391)</f>
        <v>0.00957967156910002</v>
      </c>
      <c r="D391" s="31" t="n">
        <f aca="false">SUM(C382:C391)</f>
        <v>0.0251204248387508</v>
      </c>
      <c r="L391" s="31" t="n">
        <f aca="true">NORMSINV(RAND())*$G$7+$G$6</f>
        <v>0.030339149071124</v>
      </c>
    </row>
    <row r="392" customFormat="false" ht="15" hidden="false" customHeight="false" outlineLevel="0" collapsed="false">
      <c r="A392" s="19" t="n">
        <f aca="false">Daromadlilik!A389</f>
        <v>45835</v>
      </c>
      <c r="B392" s="31" t="n">
        <f aca="false">SUMPRODUCT(Parametrlar!$B$14:$E$14,Daromadlilik!C389:F389)</f>
        <v>0.0456239443127523</v>
      </c>
      <c r="C392" s="31" t="n">
        <f aca="false">LN(1+B392)</f>
        <v>0.0446137831352521</v>
      </c>
      <c r="D392" s="31" t="n">
        <f aca="false">SUM(C383:C392)</f>
        <v>0.0469358769675766</v>
      </c>
      <c r="L392" s="31" t="n">
        <f aca="true">NORMSINV(RAND())*$G$7+$G$6</f>
        <v>0.000179655410168993</v>
      </c>
    </row>
    <row r="393" customFormat="false" ht="15" hidden="false" customHeight="false" outlineLevel="0" collapsed="false">
      <c r="A393" s="19" t="n">
        <f aca="false">Daromadlilik!A390</f>
        <v>45838</v>
      </c>
      <c r="B393" s="31" t="n">
        <f aca="false">SUMPRODUCT(Parametrlar!$B$14:$E$14,Daromadlilik!C390:F390)</f>
        <v>0.00776429407408412</v>
      </c>
      <c r="C393" s="31" t="n">
        <f aca="false">LN(1+B393)</f>
        <v>0.0077343070614893</v>
      </c>
      <c r="D393" s="31" t="n">
        <f aca="false">SUM(C384:C393)</f>
        <v>0.0384111381901771</v>
      </c>
      <c r="L393" s="31" t="n">
        <f aca="true">NORMSINV(RAND())*$G$7+$G$6</f>
        <v>-0.028291809550397</v>
      </c>
    </row>
    <row r="394" customFormat="false" ht="15" hidden="false" customHeight="false" outlineLevel="0" collapsed="false">
      <c r="A394" s="19" t="n">
        <f aca="false">Daromadlilik!A391</f>
        <v>45839</v>
      </c>
      <c r="B394" s="31" t="n">
        <f aca="false">SUMPRODUCT(Parametrlar!$B$14:$E$14,Daromadlilik!C391:F391)</f>
        <v>0.0174283324016619</v>
      </c>
      <c r="C394" s="31" t="n">
        <f aca="false">LN(1+B394)</f>
        <v>0.0172782008678713</v>
      </c>
      <c r="D394" s="31" t="n">
        <f aca="false">SUM(C385:C394)</f>
        <v>0.0830276059015538</v>
      </c>
      <c r="L394" s="31" t="n">
        <f aca="true">NORMSINV(RAND())*$G$7+$G$6</f>
        <v>-0.00867779355799235</v>
      </c>
    </row>
    <row r="395" customFormat="false" ht="15" hidden="false" customHeight="false" outlineLevel="0" collapsed="false">
      <c r="A395" s="19" t="n">
        <f aca="false">Daromadlilik!A392</f>
        <v>45840</v>
      </c>
      <c r="B395" s="31" t="n">
        <f aca="false">SUMPRODUCT(Parametrlar!$B$14:$E$14,Daromadlilik!C392:F392)</f>
        <v>-0.0326750171834411</v>
      </c>
      <c r="C395" s="31" t="n">
        <f aca="false">LN(1+B395)</f>
        <v>-0.033220766755546</v>
      </c>
      <c r="D395" s="31" t="n">
        <f aca="false">SUM(C386:C395)</f>
        <v>0.0436668738568769</v>
      </c>
      <c r="L395" s="31" t="n">
        <f aca="true">NORMSINV(RAND())*$G$7+$G$6</f>
        <v>0.00307435608825028</v>
      </c>
    </row>
    <row r="396" customFormat="false" ht="15" hidden="false" customHeight="false" outlineLevel="0" collapsed="false">
      <c r="A396" s="19" t="n">
        <f aca="false">Daromadlilik!A393</f>
        <v>45841</v>
      </c>
      <c r="B396" s="31" t="n">
        <f aca="false">SUMPRODUCT(Parametrlar!$B$14:$E$14,Daromadlilik!C393:F393)</f>
        <v>-0.00471679094444434</v>
      </c>
      <c r="C396" s="31" t="n">
        <f aca="false">LN(1+B396)</f>
        <v>-0.00472795010696989</v>
      </c>
      <c r="D396" s="31" t="n">
        <f aca="false">SUM(C387:C396)</f>
        <v>0.0274543025267659</v>
      </c>
      <c r="L396" s="31" t="n">
        <f aca="true">NORMSINV(RAND())*$G$7+$G$6</f>
        <v>-0.00912928422817941</v>
      </c>
    </row>
    <row r="397" customFormat="false" ht="15" hidden="false" customHeight="false" outlineLevel="0" collapsed="false">
      <c r="A397" s="19" t="n">
        <f aca="false">Daromadlilik!A394</f>
        <v>45842</v>
      </c>
      <c r="B397" s="31" t="n">
        <f aca="false">SUMPRODUCT(Parametrlar!$B$14:$E$14,Daromadlilik!C394:F394)</f>
        <v>0.0202458598401529</v>
      </c>
      <c r="C397" s="31" t="n">
        <f aca="false">LN(1+B397)</f>
        <v>0.0200436373099065</v>
      </c>
      <c r="D397" s="31" t="n">
        <f aca="false">SUM(C388:C397)</f>
        <v>0.0468968479907692</v>
      </c>
      <c r="L397" s="31" t="n">
        <f aca="true">NORMSINV(RAND())*$G$7+$G$6</f>
        <v>0.00101275173213054</v>
      </c>
    </row>
    <row r="398" customFormat="false" ht="15" hidden="false" customHeight="false" outlineLevel="0" collapsed="false">
      <c r="A398" s="19" t="n">
        <f aca="false">Daromadlilik!A395</f>
        <v>45845</v>
      </c>
      <c r="B398" s="31" t="n">
        <f aca="false">SUMPRODUCT(Parametrlar!$B$14:$E$14,Daromadlilik!C395:F395)</f>
        <v>-0.0119993264529833</v>
      </c>
      <c r="C398" s="31" t="n">
        <f aca="false">LN(1+B398)</f>
        <v>-0.0120718995067519</v>
      </c>
      <c r="D398" s="31" t="n">
        <f aca="false">SUM(C389:C398)</f>
        <v>0.0388866091678161</v>
      </c>
      <c r="L398" s="31" t="n">
        <f aca="true">NORMSINV(RAND())*$G$7+$G$6</f>
        <v>0.0223554617420164</v>
      </c>
    </row>
    <row r="399" customFormat="false" ht="15" hidden="false" customHeight="false" outlineLevel="0" collapsed="false">
      <c r="A399" s="19" t="n">
        <f aca="false">Daromadlilik!A396</f>
        <v>45846</v>
      </c>
      <c r="B399" s="31" t="n">
        <f aca="false">SUMPRODUCT(Parametrlar!$B$14:$E$14,Daromadlilik!C396:F396)</f>
        <v>0.0218144958500437</v>
      </c>
      <c r="C399" s="31" t="n">
        <f aca="false">LN(1+B399)</f>
        <v>0.0215799643964762</v>
      </c>
      <c r="D399" s="31" t="n">
        <f aca="false">SUM(C390:C399)</f>
        <v>0.0494139185542931</v>
      </c>
      <c r="L399" s="31" t="n">
        <f aca="true">NORMSINV(RAND())*$G$7+$G$6</f>
        <v>0.00747549256688382</v>
      </c>
    </row>
    <row r="400" customFormat="false" ht="15" hidden="false" customHeight="false" outlineLevel="0" collapsed="false">
      <c r="A400" s="19" t="n">
        <f aca="false">Daromadlilik!A397</f>
        <v>45847</v>
      </c>
      <c r="B400" s="31" t="n">
        <f aca="false">SUMPRODUCT(Parametrlar!$B$14:$E$14,Daromadlilik!C397:F397)</f>
        <v>-0.00533640629219176</v>
      </c>
      <c r="C400" s="31" t="n">
        <f aca="false">LN(1+B400)</f>
        <v>-0.00535069576721724</v>
      </c>
      <c r="D400" s="31" t="n">
        <f aca="false">SUM(C391:C400)</f>
        <v>0.0654582522036103</v>
      </c>
      <c r="L400" s="31" t="n">
        <f aca="true">NORMSINV(RAND())*$G$7+$G$6</f>
        <v>0.00397044118942356</v>
      </c>
    </row>
    <row r="401" customFormat="false" ht="15" hidden="false" customHeight="false" outlineLevel="0" collapsed="false">
      <c r="A401" s="19" t="n">
        <f aca="false">Daromadlilik!A398</f>
        <v>45848</v>
      </c>
      <c r="B401" s="31" t="n">
        <f aca="false">SUMPRODUCT(Parametrlar!$B$14:$E$14,Daromadlilik!C398:F398)</f>
        <v>0.0429014326867281</v>
      </c>
      <c r="C401" s="31" t="n">
        <f aca="false">LN(1+B401)</f>
        <v>0.0420066678968223</v>
      </c>
      <c r="D401" s="31" t="n">
        <f aca="false">SUM(C392:C401)</f>
        <v>0.0978852485313325</v>
      </c>
      <c r="L401" s="31" t="n">
        <f aca="true">NORMSINV(RAND())*$G$7+$G$6</f>
        <v>0.00531931622239424</v>
      </c>
    </row>
    <row r="402" customFormat="false" ht="15" hidden="false" customHeight="false" outlineLevel="0" collapsed="false">
      <c r="A402" s="19" t="n">
        <f aca="false">Daromadlilik!A399</f>
        <v>45849</v>
      </c>
      <c r="B402" s="31" t="n">
        <f aca="false">SUMPRODUCT(Parametrlar!$B$14:$E$14,Daromadlilik!C399:F399)</f>
        <v>0.0204930314063858</v>
      </c>
      <c r="C402" s="31" t="n">
        <f aca="false">LN(1+B402)</f>
        <v>0.0202858746372801</v>
      </c>
      <c r="D402" s="31" t="n">
        <f aca="false">SUM(C393:C402)</f>
        <v>0.0735573400333605</v>
      </c>
      <c r="L402" s="31" t="n">
        <f aca="true">NORMSINV(RAND())*$G$7+$G$6</f>
        <v>-0.0112418129820398</v>
      </c>
    </row>
    <row r="403" customFormat="false" ht="15" hidden="false" customHeight="false" outlineLevel="0" collapsed="false">
      <c r="A403" s="19" t="n">
        <f aca="false">Daromadlilik!A400</f>
        <v>45852</v>
      </c>
      <c r="B403" s="31" t="n">
        <f aca="false">SUMPRODUCT(Parametrlar!$B$14:$E$14,Daromadlilik!C400:F400)</f>
        <v>-0.00477718389760464</v>
      </c>
      <c r="C403" s="31" t="n">
        <f aca="false">LN(1+B403)</f>
        <v>-0.00478863111211684</v>
      </c>
      <c r="D403" s="31" t="n">
        <f aca="false">SUM(C394:C403)</f>
        <v>0.0610344018597544</v>
      </c>
      <c r="L403" s="31" t="n">
        <f aca="true">NORMSINV(RAND())*$G$7+$G$6</f>
        <v>-0.00376479695701691</v>
      </c>
    </row>
    <row r="404" customFormat="false" ht="15" hidden="false" customHeight="false" outlineLevel="0" collapsed="false">
      <c r="A404" s="19" t="n">
        <f aca="false">Daromadlilik!A401</f>
        <v>45853</v>
      </c>
      <c r="B404" s="31" t="n">
        <f aca="false">SUMPRODUCT(Parametrlar!$B$14:$E$14,Daromadlilik!C401:F401)</f>
        <v>-0.00466160556862965</v>
      </c>
      <c r="C404" s="31" t="n">
        <f aca="false">LN(1+B404)</f>
        <v>-0.00467250473680793</v>
      </c>
      <c r="D404" s="31" t="n">
        <f aca="false">SUM(C395:C404)</f>
        <v>0.0390836962550752</v>
      </c>
      <c r="L404" s="31" t="n">
        <f aca="true">NORMSINV(RAND())*$G$7+$G$6</f>
        <v>0.00836137579603919</v>
      </c>
    </row>
    <row r="405" customFormat="false" ht="15" hidden="false" customHeight="false" outlineLevel="0" collapsed="false">
      <c r="A405" s="19" t="n">
        <f aca="false">Daromadlilik!A402</f>
        <v>45854</v>
      </c>
      <c r="B405" s="31" t="n">
        <f aca="false">SUMPRODUCT(Parametrlar!$B$14:$E$14,Daromadlilik!C402:F402)</f>
        <v>0.0234733276575387</v>
      </c>
      <c r="C405" s="31" t="n">
        <f aca="false">LN(1+B405)</f>
        <v>0.0232020658456292</v>
      </c>
      <c r="D405" s="31" t="n">
        <f aca="false">SUM(C396:C405)</f>
        <v>0.0955065288562504</v>
      </c>
      <c r="L405" s="31" t="n">
        <f aca="true">NORMSINV(RAND())*$G$7+$G$6</f>
        <v>-0.0263280644899617</v>
      </c>
    </row>
    <row r="406" customFormat="false" ht="15" hidden="false" customHeight="false" outlineLevel="0" collapsed="false">
      <c r="A406" s="19" t="n">
        <f aca="false">Daromadlilik!A403</f>
        <v>45855</v>
      </c>
      <c r="B406" s="31" t="n">
        <f aca="false">SUMPRODUCT(Parametrlar!$B$14:$E$14,Daromadlilik!C403:F403)</f>
        <v>-0.0058837390020376</v>
      </c>
      <c r="C406" s="31" t="n">
        <f aca="false">LN(1+B406)</f>
        <v>-0.00590111639056501</v>
      </c>
      <c r="D406" s="31" t="n">
        <f aca="false">SUM(C397:C406)</f>
        <v>0.0943333625726553</v>
      </c>
      <c r="L406" s="31" t="n">
        <f aca="true">NORMSINV(RAND())*$G$7+$G$6</f>
        <v>-0.012069069520086</v>
      </c>
    </row>
    <row r="407" customFormat="false" ht="15" hidden="false" customHeight="false" outlineLevel="0" collapsed="false">
      <c r="A407" s="19" t="n">
        <f aca="false">Daromadlilik!A404</f>
        <v>45856</v>
      </c>
      <c r="B407" s="31" t="n">
        <f aca="false">SUMPRODUCT(Parametrlar!$B$14:$E$14,Daromadlilik!C404:F404)</f>
        <v>0.00331104178203915</v>
      </c>
      <c r="C407" s="31" t="n">
        <f aca="false">LN(1+B407)</f>
        <v>0.00330557235287836</v>
      </c>
      <c r="D407" s="31" t="n">
        <f aca="false">SUM(C398:C407)</f>
        <v>0.0775952976156272</v>
      </c>
      <c r="L407" s="31" t="n">
        <f aca="true">NORMSINV(RAND())*$G$7+$G$6</f>
        <v>-0.00539009038143096</v>
      </c>
    </row>
    <row r="408" customFormat="false" ht="15" hidden="false" customHeight="false" outlineLevel="0" collapsed="false">
      <c r="A408" s="19" t="n">
        <f aca="false">Daromadlilik!A405</f>
        <v>45859</v>
      </c>
      <c r="B408" s="31" t="n">
        <f aca="false">SUMPRODUCT(Parametrlar!$B$14:$E$14,Daromadlilik!C405:F405)</f>
        <v>-0.00433128270620004</v>
      </c>
      <c r="C408" s="31" t="n">
        <f aca="false">LN(1+B408)</f>
        <v>-0.00434068988439986</v>
      </c>
      <c r="D408" s="31" t="n">
        <f aca="false">SUM(C399:C408)</f>
        <v>0.0853265072379792</v>
      </c>
      <c r="L408" s="31" t="n">
        <f aca="true">NORMSINV(RAND())*$G$7+$G$6</f>
        <v>-0.00495974635586838</v>
      </c>
    </row>
    <row r="409" customFormat="false" ht="15" hidden="false" customHeight="false" outlineLevel="0" collapsed="false">
      <c r="A409" s="19" t="n">
        <f aca="false">Daromadlilik!A406</f>
        <v>45860</v>
      </c>
      <c r="B409" s="31" t="n">
        <f aca="false">SUMPRODUCT(Parametrlar!$B$14:$E$14,Daromadlilik!C406:F406)</f>
        <v>-0.00521708963521683</v>
      </c>
      <c r="C409" s="31" t="n">
        <f aca="false">LN(1+B409)</f>
        <v>-0.00523074616628677</v>
      </c>
      <c r="D409" s="31" t="n">
        <f aca="false">SUM(C400:C409)</f>
        <v>0.0585157966752163</v>
      </c>
      <c r="L409" s="31" t="n">
        <f aca="true">NORMSINV(RAND())*$G$7+$G$6</f>
        <v>0.0158624780884912</v>
      </c>
    </row>
    <row r="410" customFormat="false" ht="15" hidden="false" customHeight="false" outlineLevel="0" collapsed="false">
      <c r="A410" s="19" t="n">
        <f aca="false">Daromadlilik!A407</f>
        <v>45861</v>
      </c>
      <c r="B410" s="31" t="n">
        <f aca="false">SUMPRODUCT(Parametrlar!$B$14:$E$14,Daromadlilik!C407:F407)</f>
        <v>0.00209288733080439</v>
      </c>
      <c r="C410" s="31" t="n">
        <f aca="false">LN(1+B410)</f>
        <v>0.00209070029306543</v>
      </c>
      <c r="D410" s="31" t="n">
        <f aca="false">SUM(C401:C410)</f>
        <v>0.065957192735499</v>
      </c>
      <c r="L410" s="31" t="n">
        <f aca="true">NORMSINV(RAND())*$G$7+$G$6</f>
        <v>0.00463413828426121</v>
      </c>
    </row>
    <row r="411" customFormat="false" ht="15" hidden="false" customHeight="false" outlineLevel="0" collapsed="false">
      <c r="A411" s="19" t="n">
        <f aca="false">Daromadlilik!A408</f>
        <v>45862</v>
      </c>
      <c r="B411" s="31" t="n">
        <f aca="false">SUMPRODUCT(Parametrlar!$B$14:$E$14,Daromadlilik!C408:F408)</f>
        <v>0.00587958973776812</v>
      </c>
      <c r="C411" s="31" t="n">
        <f aca="false">LN(1+B411)</f>
        <v>0.00586237240430088</v>
      </c>
      <c r="D411" s="31" t="n">
        <f aca="false">SUM(C402:C411)</f>
        <v>0.0298128972429776</v>
      </c>
      <c r="L411" s="31" t="n">
        <f aca="true">NORMSINV(RAND())*$G$7+$G$6</f>
        <v>-0.00083905987747131</v>
      </c>
    </row>
    <row r="412" customFormat="false" ht="15" hidden="false" customHeight="false" outlineLevel="0" collapsed="false">
      <c r="A412" s="19" t="n">
        <f aca="false">Daromadlilik!A409</f>
        <v>45863</v>
      </c>
      <c r="B412" s="31" t="n">
        <f aca="false">SUMPRODUCT(Parametrlar!$B$14:$E$14,Daromadlilik!C409:F409)</f>
        <v>0.00886080068925069</v>
      </c>
      <c r="C412" s="31" t="n">
        <f aca="false">LN(1+B412)</f>
        <v>0.00882177416290877</v>
      </c>
      <c r="D412" s="31" t="n">
        <f aca="false">SUM(C403:C412)</f>
        <v>0.0183487967686062</v>
      </c>
      <c r="L412" s="31" t="n">
        <f aca="true">NORMSINV(RAND())*$G$7+$G$6</f>
        <v>-0.0162241127690909</v>
      </c>
    </row>
    <row r="413" customFormat="false" ht="15" hidden="false" customHeight="false" outlineLevel="0" collapsed="false">
      <c r="A413" s="19" t="n">
        <f aca="false">Daromadlilik!A410</f>
        <v>45866</v>
      </c>
      <c r="B413" s="31" t="n">
        <f aca="false">SUMPRODUCT(Parametrlar!$B$14:$E$14,Daromadlilik!C410:F410)</f>
        <v>-0.0128922972146679</v>
      </c>
      <c r="C413" s="31" t="n">
        <f aca="false">LN(1+B413)</f>
        <v>-0.0129761241389065</v>
      </c>
      <c r="D413" s="31" t="n">
        <f aca="false">SUM(C404:C413)</f>
        <v>0.0101613037418165</v>
      </c>
      <c r="L413" s="31" t="n">
        <f aca="true">NORMSINV(RAND())*$G$7+$G$6</f>
        <v>-0.0138665867993237</v>
      </c>
    </row>
    <row r="414" customFormat="false" ht="15" hidden="false" customHeight="false" outlineLevel="0" collapsed="false">
      <c r="A414" s="19" t="n">
        <f aca="false">Daromadlilik!A411</f>
        <v>45867</v>
      </c>
      <c r="B414" s="31" t="n">
        <f aca="false">SUMPRODUCT(Parametrlar!$B$14:$E$14,Daromadlilik!C411:F411)</f>
        <v>0.00100127207605237</v>
      </c>
      <c r="C414" s="31" t="n">
        <f aca="false">LN(1+B414)</f>
        <v>0.0010007711375232</v>
      </c>
      <c r="D414" s="31" t="n">
        <f aca="false">SUM(C405:C414)</f>
        <v>0.0158345796161477</v>
      </c>
      <c r="L414" s="31" t="n">
        <f aca="true">NORMSINV(RAND())*$G$7+$G$6</f>
        <v>0.0345713587918943</v>
      </c>
    </row>
    <row r="415" customFormat="false" ht="15" hidden="false" customHeight="false" outlineLevel="0" collapsed="false">
      <c r="A415" s="19" t="n">
        <f aca="false">Daromadlilik!A412</f>
        <v>45868</v>
      </c>
      <c r="B415" s="31" t="n">
        <f aca="false">SUMPRODUCT(Parametrlar!$B$14:$E$14,Daromadlilik!C412:F412)</f>
        <v>-0.00445445343157717</v>
      </c>
      <c r="C415" s="31" t="n">
        <f aca="false">LN(1+B415)</f>
        <v>-0.00446440407002972</v>
      </c>
      <c r="D415" s="31" t="n">
        <f aca="false">SUM(C406:C415)</f>
        <v>-0.0118318902995113</v>
      </c>
      <c r="L415" s="31" t="n">
        <f aca="true">NORMSINV(RAND())*$G$7+$G$6</f>
        <v>0.0392036748494635</v>
      </c>
    </row>
    <row r="416" customFormat="false" ht="15" hidden="false" customHeight="false" outlineLevel="0" collapsed="false">
      <c r="A416" s="19" t="n">
        <f aca="false">Daromadlilik!A413</f>
        <v>45869</v>
      </c>
      <c r="B416" s="31" t="n">
        <f aca="false">SUMPRODUCT(Parametrlar!$B$14:$E$14,Daromadlilik!C413:F413)</f>
        <v>0.000897190429754336</v>
      </c>
      <c r="C416" s="31" t="n">
        <f aca="false">LN(1+B416)</f>
        <v>0.000896788194990189</v>
      </c>
      <c r="D416" s="31" t="n">
        <f aca="false">SUM(C407:C416)</f>
        <v>-0.00503398571395607</v>
      </c>
      <c r="L416" s="31" t="n">
        <f aca="true">NORMSINV(RAND())*$G$7+$G$6</f>
        <v>0.0123203487443861</v>
      </c>
    </row>
    <row r="417" customFormat="false" ht="15" hidden="false" customHeight="false" outlineLevel="0" collapsed="false">
      <c r="A417" s="19" t="n">
        <f aca="false">Daromadlilik!A414</f>
        <v>45870</v>
      </c>
      <c r="B417" s="31" t="n">
        <f aca="false">SUMPRODUCT(Parametrlar!$B$14:$E$14,Daromadlilik!C414:F414)</f>
        <v>0.0139962457727731</v>
      </c>
      <c r="C417" s="31" t="n">
        <f aca="false">LN(1+B417)</f>
        <v>0.0138992027684227</v>
      </c>
      <c r="D417" s="31" t="n">
        <f aca="false">SUM(C408:C417)</f>
        <v>0.00555964470158827</v>
      </c>
      <c r="L417" s="31" t="n">
        <f aca="true">NORMSINV(RAND())*$G$7+$G$6</f>
        <v>6.11232907930946E-005</v>
      </c>
    </row>
    <row r="418" customFormat="false" ht="15" hidden="false" customHeight="false" outlineLevel="0" collapsed="false">
      <c r="A418" s="19" t="n">
        <f aca="false">Daromadlilik!A415</f>
        <v>45873</v>
      </c>
      <c r="B418" s="31" t="n">
        <f aca="false">SUMPRODUCT(Parametrlar!$B$14:$E$14,Daromadlilik!C415:F415)</f>
        <v>0.0137475934325395</v>
      </c>
      <c r="C418" s="31" t="n">
        <f aca="false">LN(1+B418)</f>
        <v>0.0136539525186896</v>
      </c>
      <c r="D418" s="31" t="n">
        <f aca="false">SUM(C409:C418)</f>
        <v>0.0235542871046777</v>
      </c>
      <c r="L418" s="31" t="n">
        <f aca="true">NORMSINV(RAND())*$G$7+$G$6</f>
        <v>-0.00186585843916886</v>
      </c>
    </row>
    <row r="419" customFormat="false" ht="15" hidden="false" customHeight="false" outlineLevel="0" collapsed="false">
      <c r="A419" s="19" t="n">
        <f aca="false">Daromadlilik!A416</f>
        <v>45874</v>
      </c>
      <c r="B419" s="31" t="n">
        <f aca="false">SUMPRODUCT(Parametrlar!$B$14:$E$14,Daromadlilik!C416:F416)</f>
        <v>-0.00671675569383312</v>
      </c>
      <c r="C419" s="31" t="n">
        <f aca="false">LN(1+B419)</f>
        <v>-0.00673941461732352</v>
      </c>
      <c r="D419" s="31" t="n">
        <f aca="false">SUM(C410:C419)</f>
        <v>0.0220456186536409</v>
      </c>
      <c r="L419" s="31" t="n">
        <f aca="true">NORMSINV(RAND())*$G$7+$G$6</f>
        <v>0.0258466948254867</v>
      </c>
    </row>
    <row r="420" customFormat="false" ht="15" hidden="false" customHeight="false" outlineLevel="0" collapsed="false">
      <c r="A420" s="19" t="n">
        <f aca="false">Daromadlilik!A417</f>
        <v>45875</v>
      </c>
      <c r="B420" s="31" t="n">
        <f aca="false">SUMPRODUCT(Parametrlar!$B$14:$E$14,Daromadlilik!C417:F417)</f>
        <v>0.00703979546782336</v>
      </c>
      <c r="C420" s="31" t="n">
        <f aca="false">LN(1+B420)</f>
        <v>0.00701513179154822</v>
      </c>
      <c r="D420" s="31" t="n">
        <f aca="false">SUM(C411:C420)</f>
        <v>0.0269700501521237</v>
      </c>
      <c r="L420" s="31" t="n">
        <f aca="true">NORMSINV(RAND())*$G$7+$G$6</f>
        <v>-0.00608447896449078</v>
      </c>
    </row>
    <row r="421" customFormat="false" ht="15" hidden="false" customHeight="false" outlineLevel="0" collapsed="false">
      <c r="A421" s="19" t="n">
        <f aca="false">Daromadlilik!A418</f>
        <v>45876</v>
      </c>
      <c r="B421" s="31" t="n">
        <f aca="false">SUMPRODUCT(Parametrlar!$B$14:$E$14,Daromadlilik!C418:F418)</f>
        <v>0.00903396380188575</v>
      </c>
      <c r="C421" s="31" t="n">
        <f aca="false">LN(1+B421)</f>
        <v>0.00899340165915599</v>
      </c>
      <c r="D421" s="31" t="n">
        <f aca="false">SUM(C412:C421)</f>
        <v>0.0301010794069789</v>
      </c>
      <c r="L421" s="31" t="n">
        <f aca="true">NORMSINV(RAND())*$G$7+$G$6</f>
        <v>0.0126648500801699</v>
      </c>
    </row>
    <row r="422" customFormat="false" ht="15" hidden="false" customHeight="false" outlineLevel="0" collapsed="false">
      <c r="A422" s="19" t="n">
        <f aca="false">Daromadlilik!A419</f>
        <v>45877</v>
      </c>
      <c r="B422" s="31" t="n">
        <f aca="false">SUMPRODUCT(Parametrlar!$B$14:$E$14,Daromadlilik!C419:F419)</f>
        <v>0.00942739516807308</v>
      </c>
      <c r="C422" s="31" t="n">
        <f aca="false">LN(1+B422)</f>
        <v>0.0093832346073285</v>
      </c>
      <c r="D422" s="31" t="n">
        <f aca="false">SUM(C413:C422)</f>
        <v>0.0306625398513986</v>
      </c>
      <c r="L422" s="31" t="n">
        <f aca="true">NORMSINV(RAND())*$G$7+$G$6</f>
        <v>-0.00598072921024767</v>
      </c>
    </row>
    <row r="423" customFormat="false" ht="15" hidden="false" customHeight="false" outlineLevel="0" collapsed="false">
      <c r="A423" s="19" t="n">
        <f aca="false">Daromadlilik!A420</f>
        <v>45880</v>
      </c>
      <c r="B423" s="31" t="n">
        <f aca="false">SUMPRODUCT(Parametrlar!$B$14:$E$14,Daromadlilik!C420:F420)</f>
        <v>0.000148410859007114</v>
      </c>
      <c r="C423" s="31" t="n">
        <f aca="false">LN(1+B423)</f>
        <v>0.00014839984720504</v>
      </c>
      <c r="D423" s="31" t="n">
        <f aca="false">SUM(C414:C423)</f>
        <v>0.0437870638375102</v>
      </c>
      <c r="L423" s="31" t="n">
        <f aca="true">NORMSINV(RAND())*$G$7+$G$6</f>
        <v>0.0165675988677094</v>
      </c>
    </row>
    <row r="424" customFormat="false" ht="15" hidden="false" customHeight="false" outlineLevel="0" collapsed="false">
      <c r="A424" s="19" t="n">
        <f aca="false">Daromadlilik!A421</f>
        <v>45881</v>
      </c>
      <c r="B424" s="31" t="n">
        <f aca="false">SUMPRODUCT(Parametrlar!$B$14:$E$14,Daromadlilik!C421:F421)</f>
        <v>0.0124703449513275</v>
      </c>
      <c r="C424" s="31" t="n">
        <f aca="false">LN(1+B424)</f>
        <v>0.0123932306326674</v>
      </c>
      <c r="D424" s="31" t="n">
        <f aca="false">SUM(C415:C424)</f>
        <v>0.0551795233326543</v>
      </c>
      <c r="L424" s="31" t="n">
        <f aca="true">NORMSINV(RAND())*$G$7+$G$6</f>
        <v>0.00689250952310026</v>
      </c>
    </row>
    <row r="425" customFormat="false" ht="15" hidden="false" customHeight="false" outlineLevel="0" collapsed="false">
      <c r="A425" s="19" t="n">
        <f aca="false">Daromadlilik!A422</f>
        <v>45882</v>
      </c>
      <c r="B425" s="31" t="n">
        <f aca="false">SUMPRODUCT(Parametrlar!$B$14:$E$14,Daromadlilik!C422:F422)</f>
        <v>0.0200065258793323</v>
      </c>
      <c r="C425" s="31" t="n">
        <f aca="false">LN(1+B425)</f>
        <v>0.0198090251966271</v>
      </c>
      <c r="D425" s="31" t="n">
        <f aca="false">SUM(C416:C425)</f>
        <v>0.0794529525993111</v>
      </c>
      <c r="L425" s="31" t="n">
        <f aca="true">NORMSINV(RAND())*$G$7+$G$6</f>
        <v>0.0126005233363746</v>
      </c>
    </row>
    <row r="426" customFormat="false" ht="15" hidden="false" customHeight="false" outlineLevel="0" collapsed="false">
      <c r="A426" s="19" t="n">
        <f aca="false">Daromadlilik!A423</f>
        <v>45883</v>
      </c>
      <c r="B426" s="31" t="n">
        <f aca="false">SUMPRODUCT(Parametrlar!$B$14:$E$14,Daromadlilik!C423:F423)</f>
        <v>-0.00156088194960805</v>
      </c>
      <c r="C426" s="31" t="n">
        <f aca="false">LN(1+B426)</f>
        <v>-0.00156210139494366</v>
      </c>
      <c r="D426" s="31" t="n">
        <f aca="false">SUM(C417:C426)</f>
        <v>0.0769940630093773</v>
      </c>
      <c r="L426" s="31" t="n">
        <f aca="true">NORMSINV(RAND())*$G$7+$G$6</f>
        <v>-0.0121765050633445</v>
      </c>
    </row>
    <row r="427" customFormat="false" ht="15" hidden="false" customHeight="false" outlineLevel="0" collapsed="false">
      <c r="A427" s="19" t="n">
        <f aca="false">Daromadlilik!A424</f>
        <v>45884</v>
      </c>
      <c r="B427" s="31" t="n">
        <f aca="false">SUMPRODUCT(Parametrlar!$B$14:$E$14,Daromadlilik!C424:F424)</f>
        <v>-0.00866713675669182</v>
      </c>
      <c r="C427" s="31" t="n">
        <f aca="false">LN(1+B427)</f>
        <v>-0.00870491483001519</v>
      </c>
      <c r="D427" s="31" t="n">
        <f aca="false">SUM(C418:C427)</f>
        <v>0.0543899454109394</v>
      </c>
      <c r="L427" s="31" t="n">
        <f aca="true">NORMSINV(RAND())*$G$7+$G$6</f>
        <v>-0.00091218356868063</v>
      </c>
    </row>
    <row r="428" customFormat="false" ht="15" hidden="false" customHeight="false" outlineLevel="0" collapsed="false">
      <c r="A428" s="19" t="n">
        <f aca="false">Daromadlilik!A425</f>
        <v>45887</v>
      </c>
      <c r="B428" s="31" t="n">
        <f aca="false">SUMPRODUCT(Parametrlar!$B$14:$E$14,Daromadlilik!C425:F425)</f>
        <v>0.00288429530093053</v>
      </c>
      <c r="C428" s="31" t="n">
        <f aca="false">LN(1+B428)</f>
        <v>0.00288014370228083</v>
      </c>
      <c r="D428" s="31" t="n">
        <f aca="false">SUM(C419:C428)</f>
        <v>0.0436161365945307</v>
      </c>
      <c r="L428" s="31" t="n">
        <f aca="true">NORMSINV(RAND())*$G$7+$G$6</f>
        <v>0.0159992945404957</v>
      </c>
    </row>
    <row r="429" customFormat="false" ht="15" hidden="false" customHeight="false" outlineLevel="0" collapsed="false">
      <c r="A429" s="19" t="n">
        <f aca="false">Daromadlilik!A426</f>
        <v>45888</v>
      </c>
      <c r="B429" s="31" t="n">
        <f aca="false">SUMPRODUCT(Parametrlar!$B$14:$E$14,Daromadlilik!C426:F426)</f>
        <v>-0.0155751179549106</v>
      </c>
      <c r="C429" s="31" t="n">
        <f aca="false">LN(1+B429)</f>
        <v>-0.0156976844284311</v>
      </c>
      <c r="D429" s="31" t="n">
        <f aca="false">SUM(C420:C429)</f>
        <v>0.034657866783423</v>
      </c>
      <c r="L429" s="31" t="n">
        <f aca="true">NORMSINV(RAND())*$G$7+$G$6</f>
        <v>0.0226963169380278</v>
      </c>
    </row>
    <row r="430" customFormat="false" ht="15" hidden="false" customHeight="false" outlineLevel="0" collapsed="false">
      <c r="A430" s="19" t="n">
        <f aca="false">Daromadlilik!A427</f>
        <v>45889</v>
      </c>
      <c r="B430" s="31" t="n">
        <f aca="false">SUMPRODUCT(Parametrlar!$B$14:$E$14,Daromadlilik!C427:F427)</f>
        <v>-0.00847845402292077</v>
      </c>
      <c r="C430" s="31" t="n">
        <f aca="false">LN(1+B430)</f>
        <v>-0.00851460057046779</v>
      </c>
      <c r="D430" s="31" t="n">
        <f aca="false">SUM(C421:C430)</f>
        <v>0.019128134421407</v>
      </c>
      <c r="L430" s="31" t="n">
        <f aca="true">NORMSINV(RAND())*$G$7+$G$6</f>
        <v>0.00578395548141899</v>
      </c>
    </row>
    <row r="431" customFormat="false" ht="15" hidden="false" customHeight="false" outlineLevel="0" collapsed="false">
      <c r="A431" s="19" t="n">
        <f aca="false">Daromadlilik!A428</f>
        <v>45890</v>
      </c>
      <c r="B431" s="31" t="n">
        <f aca="false">SUMPRODUCT(Parametrlar!$B$14:$E$14,Daromadlilik!C428:F428)</f>
        <v>-0.00352746404087256</v>
      </c>
      <c r="C431" s="31" t="n">
        <f aca="false">LN(1+B431)</f>
        <v>-0.00353370021171705</v>
      </c>
      <c r="D431" s="31" t="n">
        <f aca="false">SUM(C422:C431)</f>
        <v>0.006601032550534</v>
      </c>
      <c r="L431" s="31" t="n">
        <f aca="true">NORMSINV(RAND())*$G$7+$G$6</f>
        <v>-0.0100282924782041</v>
      </c>
    </row>
    <row r="432" customFormat="false" ht="15" hidden="false" customHeight="false" outlineLevel="0" collapsed="false">
      <c r="A432" s="19" t="n">
        <f aca="false">Daromadlilik!A429</f>
        <v>45891</v>
      </c>
      <c r="B432" s="31" t="n">
        <f aca="false">SUMPRODUCT(Parametrlar!$B$14:$E$14,Daromadlilik!C429:F429)</f>
        <v>0.00738787709074795</v>
      </c>
      <c r="C432" s="31" t="n">
        <f aca="false">LN(1+B432)</f>
        <v>0.00736072039830805</v>
      </c>
      <c r="D432" s="31" t="n">
        <f aca="false">SUM(C423:C432)</f>
        <v>0.00457851834151355</v>
      </c>
      <c r="L432" s="31" t="n">
        <f aca="true">NORMSINV(RAND())*$G$7+$G$6</f>
        <v>0.0365963361825397</v>
      </c>
    </row>
    <row r="433" customFormat="false" ht="15" hidden="false" customHeight="false" outlineLevel="0" collapsed="false">
      <c r="A433" s="19" t="n">
        <f aca="false">Daromadlilik!A430</f>
        <v>45894</v>
      </c>
      <c r="B433" s="31" t="n">
        <f aca="false">SUMPRODUCT(Parametrlar!$B$14:$E$14,Daromadlilik!C430:F430)</f>
        <v>-0.0177697765740963</v>
      </c>
      <c r="C433" s="31" t="n">
        <f aca="false">LN(1+B433)</f>
        <v>-0.0179295546979983</v>
      </c>
      <c r="D433" s="31" t="n">
        <f aca="false">SUM(C424:C433)</f>
        <v>-0.0134994362036898</v>
      </c>
      <c r="L433" s="31" t="n">
        <f aca="true">NORMSINV(RAND())*$G$7+$G$6</f>
        <v>-0.00208245286097487</v>
      </c>
    </row>
    <row r="434" customFormat="false" ht="15" hidden="false" customHeight="false" outlineLevel="0" collapsed="false">
      <c r="A434" s="19" t="n">
        <f aca="false">Daromadlilik!A431</f>
        <v>45895</v>
      </c>
      <c r="B434" s="31" t="n">
        <f aca="false">SUMPRODUCT(Parametrlar!$B$14:$E$14,Daromadlilik!C431:F431)</f>
        <v>-0.00596025105582381</v>
      </c>
      <c r="C434" s="31" t="n">
        <f aca="false">LN(1+B434)</f>
        <v>-0.00597808424765598</v>
      </c>
      <c r="D434" s="31" t="n">
        <f aca="false">SUM(C425:C434)</f>
        <v>-0.0318707510840131</v>
      </c>
      <c r="L434" s="31" t="n">
        <f aca="true">NORMSINV(RAND())*$G$7+$G$6</f>
        <v>-0.0298259217600657</v>
      </c>
    </row>
    <row r="435" customFormat="false" ht="15" hidden="false" customHeight="false" outlineLevel="0" collapsed="false">
      <c r="A435" s="19" t="n">
        <f aca="false">Daromadlilik!A432</f>
        <v>45896</v>
      </c>
      <c r="B435" s="31" t="n">
        <f aca="false">SUMPRODUCT(Parametrlar!$B$14:$E$14,Daromadlilik!C432:F432)</f>
        <v>0.0144757916245816</v>
      </c>
      <c r="C435" s="31" t="n">
        <f aca="false">LN(1+B435)</f>
        <v>0.0143720176279832</v>
      </c>
      <c r="D435" s="31" t="n">
        <f aca="false">SUM(C426:C435)</f>
        <v>-0.037307758652657</v>
      </c>
      <c r="L435" s="31" t="n">
        <f aca="true">NORMSINV(RAND())*$G$7+$G$6</f>
        <v>-0.00417558069174735</v>
      </c>
    </row>
    <row r="436" customFormat="false" ht="15" hidden="false" customHeight="false" outlineLevel="0" collapsed="false">
      <c r="A436" s="19" t="n">
        <f aca="false">Daromadlilik!A433</f>
        <v>45897</v>
      </c>
      <c r="B436" s="31" t="n">
        <f aca="false">SUMPRODUCT(Parametrlar!$B$14:$E$14,Daromadlilik!C433:F433)</f>
        <v>-0.00310075609751087</v>
      </c>
      <c r="C436" s="31" t="n">
        <f aca="false">LN(1+B436)</f>
        <v>-0.00310557340246829</v>
      </c>
      <c r="D436" s="31" t="n">
        <f aca="false">SUM(C427:C436)</f>
        <v>-0.0388512306601816</v>
      </c>
      <c r="L436" s="31" t="n">
        <f aca="true">NORMSINV(RAND())*$G$7+$G$6</f>
        <v>-0.0145404974645982</v>
      </c>
    </row>
    <row r="437" customFormat="false" ht="15" hidden="false" customHeight="false" outlineLevel="0" collapsed="false">
      <c r="A437" s="19" t="n">
        <f aca="false">Daromadlilik!A434</f>
        <v>45898</v>
      </c>
      <c r="B437" s="31" t="n">
        <f aca="false">SUMPRODUCT(Parametrlar!$B$14:$E$14,Daromadlilik!C434:F434)</f>
        <v>-0.000666130947500715</v>
      </c>
      <c r="C437" s="31" t="n">
        <f aca="false">LN(1+B437)</f>
        <v>-0.000666352911297062</v>
      </c>
      <c r="D437" s="31" t="n">
        <f aca="false">SUM(C428:C437)</f>
        <v>-0.0308126687414635</v>
      </c>
      <c r="L437" s="31" t="n">
        <f aca="true">NORMSINV(RAND())*$G$7+$G$6</f>
        <v>-0.0132610420583967</v>
      </c>
    </row>
    <row r="438" customFormat="false" ht="15" hidden="false" customHeight="false" outlineLevel="0" collapsed="false">
      <c r="A438" s="19" t="n">
        <f aca="false">Daromadlilik!A435</f>
        <v>45901</v>
      </c>
      <c r="B438" s="31" t="n">
        <f aca="false">SUMPRODUCT(Parametrlar!$B$14:$E$14,Daromadlilik!C435:F435)</f>
        <v>0.0010811909474169</v>
      </c>
      <c r="C438" s="31" t="n">
        <f aca="false">LN(1+B438)</f>
        <v>0.00108060688143781</v>
      </c>
      <c r="D438" s="31" t="n">
        <f aca="false">SUM(C429:C438)</f>
        <v>-0.0326122055623065</v>
      </c>
      <c r="L438" s="31" t="n">
        <f aca="true">NORMSINV(RAND())*$G$7+$G$6</f>
        <v>-0.0375703747515473</v>
      </c>
    </row>
    <row r="439" customFormat="false" ht="15" hidden="false" customHeight="false" outlineLevel="0" collapsed="false">
      <c r="A439" s="19" t="n">
        <f aca="false">Daromadlilik!A436</f>
        <v>45902</v>
      </c>
      <c r="B439" s="31" t="n">
        <f aca="false">SUMPRODUCT(Parametrlar!$B$14:$E$14,Daromadlilik!C436:F436)</f>
        <v>0.00812654939204799</v>
      </c>
      <c r="C439" s="31" t="n">
        <f aca="false">LN(1+B439)</f>
        <v>0.00809370680085249</v>
      </c>
      <c r="D439" s="31" t="n">
        <f aca="false">SUM(C430:C439)</f>
        <v>-0.0088208143330229</v>
      </c>
      <c r="L439" s="31" t="n">
        <f aca="true">NORMSINV(RAND())*$G$7+$G$6</f>
        <v>0.00542085428963995</v>
      </c>
    </row>
    <row r="440" customFormat="false" ht="15" hidden="false" customHeight="false" outlineLevel="0" collapsed="false">
      <c r="A440" s="19" t="n">
        <f aca="false">Daromadlilik!A437</f>
        <v>45903</v>
      </c>
      <c r="B440" s="31" t="n">
        <f aca="false">SUMPRODUCT(Parametrlar!$B$14:$E$14,Daromadlilik!C437:F437)</f>
        <v>0.00628954559439277</v>
      </c>
      <c r="C440" s="31" t="n">
        <f aca="false">LN(1+B440)</f>
        <v>0.00626984894799537</v>
      </c>
      <c r="D440" s="31" t="n">
        <f aca="false">SUM(C431:C440)</f>
        <v>0.00596363518544026</v>
      </c>
      <c r="L440" s="31" t="n">
        <f aca="true">NORMSINV(RAND())*$G$7+$G$6</f>
        <v>0.012211433094941</v>
      </c>
    </row>
    <row r="441" customFormat="false" ht="15" hidden="false" customHeight="false" outlineLevel="0" collapsed="false">
      <c r="A441" s="19" t="n">
        <f aca="false">Daromadlilik!A438</f>
        <v>45904</v>
      </c>
      <c r="B441" s="31" t="n">
        <f aca="false">SUMPRODUCT(Parametrlar!$B$14:$E$14,Daromadlilik!C438:F438)</f>
        <v>0.005307485656391</v>
      </c>
      <c r="C441" s="31" t="n">
        <f aca="false">LN(1+B441)</f>
        <v>0.00529345059309031</v>
      </c>
      <c r="D441" s="31" t="n">
        <f aca="false">SUM(C432:C441)</f>
        <v>0.0147907859902476</v>
      </c>
      <c r="L441" s="31" t="n">
        <f aca="true">NORMSINV(RAND())*$G$7+$G$6</f>
        <v>-0.0280730821679353</v>
      </c>
    </row>
    <row r="442" customFormat="false" ht="15" hidden="false" customHeight="false" outlineLevel="0" collapsed="false">
      <c r="A442" s="19" t="n">
        <f aca="false">Daromadlilik!A439</f>
        <v>45905</v>
      </c>
      <c r="B442" s="31" t="n">
        <f aca="false">SUMPRODUCT(Parametrlar!$B$14:$E$14,Daromadlilik!C439:F439)</f>
        <v>-0.00810000996065817</v>
      </c>
      <c r="C442" s="31" t="n">
        <f aca="false">LN(1+B442)</f>
        <v>-0.00813299327218742</v>
      </c>
      <c r="D442" s="31" t="n">
        <f aca="false">SUM(C433:C442)</f>
        <v>-0.000702927680247847</v>
      </c>
      <c r="L442" s="31" t="n">
        <f aca="true">NORMSINV(RAND())*$G$7+$G$6</f>
        <v>0.016443719074754</v>
      </c>
    </row>
    <row r="443" customFormat="false" ht="15" hidden="false" customHeight="false" outlineLevel="0" collapsed="false">
      <c r="A443" s="19" t="n">
        <f aca="false">Daromadlilik!A440</f>
        <v>45908</v>
      </c>
      <c r="B443" s="31" t="n">
        <f aca="false">SUMPRODUCT(Parametrlar!$B$14:$E$14,Daromadlilik!C440:F440)</f>
        <v>-0.00168122124154653</v>
      </c>
      <c r="C443" s="31" t="n">
        <f aca="false">LN(1+B443)</f>
        <v>-0.0016826360799714</v>
      </c>
      <c r="D443" s="31" t="n">
        <f aca="false">SUM(C434:C443)</f>
        <v>0.0155439909377791</v>
      </c>
      <c r="L443" s="31" t="n">
        <f aca="true">NORMSINV(RAND())*$G$7+$G$6</f>
        <v>0.0110102223760545</v>
      </c>
    </row>
    <row r="444" customFormat="false" ht="15" hidden="false" customHeight="false" outlineLevel="0" collapsed="false">
      <c r="A444" s="19" t="n">
        <f aca="false">Daromadlilik!A441</f>
        <v>45909</v>
      </c>
      <c r="B444" s="31" t="n">
        <f aca="false">SUMPRODUCT(Parametrlar!$B$14:$E$14,Daromadlilik!C441:F441)</f>
        <v>-0.0380978533337075</v>
      </c>
      <c r="C444" s="31" t="n">
        <f aca="false">LN(1+B444)</f>
        <v>-0.0388425521322301</v>
      </c>
      <c r="D444" s="31" t="n">
        <f aca="false">SUM(C435:C444)</f>
        <v>-0.0173204769467951</v>
      </c>
      <c r="L444" s="31" t="n">
        <f aca="true">NORMSINV(RAND())*$G$7+$G$6</f>
        <v>0.0109879529246438</v>
      </c>
    </row>
    <row r="445" customFormat="false" ht="15" hidden="false" customHeight="false" outlineLevel="0" collapsed="false">
      <c r="A445" s="19" t="n">
        <f aca="false">Daromadlilik!A442</f>
        <v>45910</v>
      </c>
      <c r="B445" s="31" t="n">
        <f aca="false">SUMPRODUCT(Parametrlar!$B$14:$E$14,Daromadlilik!C442:F442)</f>
        <v>0.0168044604733137</v>
      </c>
      <c r="C445" s="31" t="n">
        <f aca="false">LN(1+B445)</f>
        <v>0.016664827658971</v>
      </c>
      <c r="D445" s="31" t="n">
        <f aca="false">SUM(C436:C445)</f>
        <v>-0.0150276669158073</v>
      </c>
      <c r="L445" s="31" t="n">
        <f aca="true">NORMSINV(RAND())*$G$7+$G$6</f>
        <v>-0.0121670053099261</v>
      </c>
    </row>
    <row r="446" customFormat="false" ht="15" hidden="false" customHeight="false" outlineLevel="0" collapsed="false">
      <c r="A446" s="19" t="n">
        <f aca="false">Daromadlilik!A443</f>
        <v>45911</v>
      </c>
      <c r="B446" s="31" t="n">
        <f aca="false">SUMPRODUCT(Parametrlar!$B$14:$E$14,Daromadlilik!C443:F443)</f>
        <v>-0.0117984288484517</v>
      </c>
      <c r="C446" s="31" t="n">
        <f aca="false">LN(1+B446)</f>
        <v>-0.0118685826592352</v>
      </c>
      <c r="D446" s="31" t="n">
        <f aca="false">SUM(C437:C446)</f>
        <v>-0.0237906761725743</v>
      </c>
      <c r="L446" s="31" t="n">
        <f aca="true">NORMSINV(RAND())*$G$7+$G$6</f>
        <v>-0.0150636207549932</v>
      </c>
    </row>
    <row r="447" customFormat="false" ht="15" hidden="false" customHeight="false" outlineLevel="0" collapsed="false">
      <c r="A447" s="19" t="n">
        <f aca="false">Daromadlilik!A444</f>
        <v>45912</v>
      </c>
      <c r="B447" s="31" t="n">
        <f aca="false">SUMPRODUCT(Parametrlar!$B$14:$E$14,Daromadlilik!C444:F444)</f>
        <v>0.0124741394297771</v>
      </c>
      <c r="C447" s="31" t="n">
        <f aca="false">LN(1+B447)</f>
        <v>0.0123969783684487</v>
      </c>
      <c r="D447" s="31" t="n">
        <f aca="false">SUM(C438:C447)</f>
        <v>-0.0107273448928285</v>
      </c>
      <c r="L447" s="31" t="n">
        <f aca="true">NORMSINV(RAND())*$G$7+$G$6</f>
        <v>-0.000631476526809177</v>
      </c>
    </row>
    <row r="448" customFormat="false" ht="15" hidden="false" customHeight="false" outlineLevel="0" collapsed="false">
      <c r="A448" s="19" t="n">
        <f aca="false">Daromadlilik!A445</f>
        <v>45915</v>
      </c>
      <c r="B448" s="31" t="n">
        <f aca="false">SUMPRODUCT(Parametrlar!$B$14:$E$14,Daromadlilik!C445:F445)</f>
        <v>0.0111071442969342</v>
      </c>
      <c r="C448" s="31" t="n">
        <f aca="false">LN(1+B448)</f>
        <v>0.0110459129560767</v>
      </c>
      <c r="D448" s="31" t="n">
        <f aca="false">SUM(C439:C448)</f>
        <v>-0.000762038818189583</v>
      </c>
      <c r="L448" s="31" t="n">
        <f aca="true">NORMSINV(RAND())*$G$7+$G$6</f>
        <v>0.000599190959780743</v>
      </c>
    </row>
    <row r="449" customFormat="false" ht="15" hidden="false" customHeight="false" outlineLevel="0" collapsed="false">
      <c r="A449" s="19" t="n">
        <f aca="false">Daromadlilik!A446</f>
        <v>45916</v>
      </c>
      <c r="B449" s="31" t="n">
        <f aca="false">SUMPRODUCT(Parametrlar!$B$14:$E$14,Daromadlilik!C446:F446)</f>
        <v>-0.00526845880417837</v>
      </c>
      <c r="C449" s="31" t="n">
        <f aca="false">LN(1+B449)</f>
        <v>-0.00528238607162413</v>
      </c>
      <c r="D449" s="31" t="n">
        <f aca="false">SUM(C440:C449)</f>
        <v>-0.0141381316906662</v>
      </c>
      <c r="L449" s="31" t="n">
        <f aca="true">NORMSINV(RAND())*$G$7+$G$6</f>
        <v>-0.0208085018693112</v>
      </c>
    </row>
    <row r="450" customFormat="false" ht="15" hidden="false" customHeight="false" outlineLevel="0" collapsed="false">
      <c r="A450" s="19" t="n">
        <f aca="false">Daromadlilik!A447</f>
        <v>45917</v>
      </c>
      <c r="B450" s="31" t="n">
        <f aca="false">SUMPRODUCT(Parametrlar!$B$14:$E$14,Daromadlilik!C447:F447)</f>
        <v>0.0154635606455477</v>
      </c>
      <c r="C450" s="31" t="n">
        <f aca="false">LN(1+B450)</f>
        <v>0.0153452182290974</v>
      </c>
      <c r="D450" s="31" t="n">
        <f aca="false">SUM(C441:C450)</f>
        <v>-0.00506276240956414</v>
      </c>
      <c r="L450" s="31" t="n">
        <f aca="true">NORMSINV(RAND())*$G$7+$G$6</f>
        <v>0.0151591664723301</v>
      </c>
    </row>
    <row r="451" customFormat="false" ht="15" hidden="false" customHeight="false" outlineLevel="0" collapsed="false">
      <c r="A451" s="19" t="n">
        <f aca="false">Daromadlilik!A448</f>
        <v>45918</v>
      </c>
      <c r="B451" s="31" t="n">
        <f aca="false">SUMPRODUCT(Parametrlar!$B$14:$E$14,Daromadlilik!C448:F448)</f>
        <v>-0.00586550730519347</v>
      </c>
      <c r="C451" s="31" t="n">
        <f aca="false">LN(1+B451)</f>
        <v>-0.00588277695645603</v>
      </c>
      <c r="D451" s="31" t="n">
        <f aca="false">SUM(C442:C451)</f>
        <v>-0.0162389899591105</v>
      </c>
      <c r="L451" s="31" t="n">
        <f aca="true">NORMSINV(RAND())*$G$7+$G$6</f>
        <v>0.042667981431423</v>
      </c>
    </row>
    <row r="452" customFormat="false" ht="15" hidden="false" customHeight="false" outlineLevel="0" collapsed="false">
      <c r="A452" s="19" t="n">
        <f aca="false">Daromadlilik!A449</f>
        <v>45919</v>
      </c>
      <c r="B452" s="31" t="n">
        <f aca="false">SUMPRODUCT(Parametrlar!$B$14:$E$14,Daromadlilik!C449:F449)</f>
        <v>-0.0109976792311577</v>
      </c>
      <c r="C452" s="31" t="n">
        <f aca="false">LN(1+B452)</f>
        <v>-0.0110586007809422</v>
      </c>
      <c r="D452" s="31" t="n">
        <f aca="false">SUM(C443:C452)</f>
        <v>-0.0191645974678653</v>
      </c>
      <c r="L452" s="31" t="n">
        <f aca="true">NORMSINV(RAND())*$G$7+$G$6</f>
        <v>0.00249738093761667</v>
      </c>
    </row>
    <row r="453" customFormat="false" ht="15" hidden="false" customHeight="false" outlineLevel="0" collapsed="false">
      <c r="A453" s="19" t="n">
        <f aca="false">Daromadlilik!A450</f>
        <v>45922</v>
      </c>
      <c r="B453" s="31" t="n">
        <f aca="false">SUMPRODUCT(Parametrlar!$B$14:$E$14,Daromadlilik!C450:F450)</f>
        <v>-0.000787891159229804</v>
      </c>
      <c r="C453" s="31" t="n">
        <f aca="false">LN(1+B453)</f>
        <v>-0.000788201708599349</v>
      </c>
      <c r="D453" s="31" t="n">
        <f aca="false">SUM(C444:C453)</f>
        <v>-0.0182701630964933</v>
      </c>
      <c r="L453" s="31" t="n">
        <f aca="true">NORMSINV(RAND())*$G$7+$G$6</f>
        <v>0.0143432418268616</v>
      </c>
    </row>
    <row r="454" customFormat="false" ht="15" hidden="false" customHeight="false" outlineLevel="0" collapsed="false">
      <c r="A454" s="19" t="n">
        <f aca="false">Daromadlilik!A451</f>
        <v>45923</v>
      </c>
      <c r="B454" s="31" t="n">
        <f aca="false">SUMPRODUCT(Parametrlar!$B$14:$E$14,Daromadlilik!C451:F451)</f>
        <v>-0.00137165903488687</v>
      </c>
      <c r="C454" s="31" t="n">
        <f aca="false">LN(1+B454)</f>
        <v>-0.00137260062026211</v>
      </c>
      <c r="D454" s="31" t="n">
        <f aca="false">SUM(C445:C454)</f>
        <v>0.0191997884154747</v>
      </c>
      <c r="L454" s="31" t="n">
        <f aca="true">NORMSINV(RAND())*$G$7+$G$6</f>
        <v>0.00382119788934564</v>
      </c>
    </row>
    <row r="455" customFormat="false" ht="15" hidden="false" customHeight="false" outlineLevel="0" collapsed="false">
      <c r="A455" s="19" t="n">
        <f aca="false">Daromadlilik!A452</f>
        <v>45924</v>
      </c>
      <c r="B455" s="31" t="n">
        <f aca="false">SUMPRODUCT(Parametrlar!$B$14:$E$14,Daromadlilik!C452:F452)</f>
        <v>-0.000644778924440775</v>
      </c>
      <c r="C455" s="31" t="n">
        <f aca="false">LN(1+B455)</f>
        <v>-0.000644986883768182</v>
      </c>
      <c r="D455" s="31" t="n">
        <f aca="false">SUM(C446:C455)</f>
        <v>0.00188997387273559</v>
      </c>
      <c r="L455" s="31" t="n">
        <f aca="true">NORMSINV(RAND())*$G$7+$G$6</f>
        <v>0.00296180881196644</v>
      </c>
    </row>
    <row r="456" customFormat="false" ht="15" hidden="false" customHeight="false" outlineLevel="0" collapsed="false">
      <c r="A456" s="19" t="n">
        <f aca="false">Daromadlilik!A453</f>
        <v>45925</v>
      </c>
      <c r="B456" s="31" t="n">
        <f aca="false">SUMPRODUCT(Parametrlar!$B$14:$E$14,Daromadlilik!C453:F453)</f>
        <v>0.00651722438114267</v>
      </c>
      <c r="C456" s="31" t="n">
        <f aca="false">LN(1+B456)</f>
        <v>0.00649607909697656</v>
      </c>
      <c r="D456" s="31" t="n">
        <f aca="false">SUM(C447:C456)</f>
        <v>0.0202546356289474</v>
      </c>
      <c r="L456" s="31" t="n">
        <f aca="true">NORMSINV(RAND())*$G$7+$G$6</f>
        <v>-0.0110205946839163</v>
      </c>
    </row>
    <row r="457" customFormat="false" ht="15" hidden="false" customHeight="false" outlineLevel="0" collapsed="false">
      <c r="A457" s="19" t="n">
        <f aca="false">Daromadlilik!A454</f>
        <v>45926</v>
      </c>
      <c r="B457" s="31" t="n">
        <f aca="false">SUMPRODUCT(Parametrlar!$B$14:$E$14,Daromadlilik!C454:F454)</f>
        <v>0.0019403348998383</v>
      </c>
      <c r="C457" s="31" t="n">
        <f aca="false">LN(1+B457)</f>
        <v>0.00193845488159378</v>
      </c>
      <c r="D457" s="31" t="n">
        <f aca="false">SUM(C448:C457)</f>
        <v>0.00979611214209247</v>
      </c>
      <c r="L457" s="31" t="n">
        <f aca="true">NORMSINV(RAND())*$G$7+$G$6</f>
        <v>-7.60930339529245E-005</v>
      </c>
    </row>
    <row r="458" customFormat="false" ht="15" hidden="false" customHeight="false" outlineLevel="0" collapsed="false">
      <c r="A458" s="19" t="n">
        <f aca="false">Daromadlilik!A455</f>
        <v>45929</v>
      </c>
      <c r="B458" s="31" t="n">
        <f aca="false">SUMPRODUCT(Parametrlar!$B$14:$E$14,Daromadlilik!C455:F455)</f>
        <v>-0.00465891839657852</v>
      </c>
      <c r="C458" s="31" t="n">
        <f aca="false">LN(1+B458)</f>
        <v>-0.00466980498319772</v>
      </c>
      <c r="D458" s="31" t="n">
        <f aca="false">SUM(C449:C458)</f>
        <v>-0.00591960579718199</v>
      </c>
      <c r="L458" s="31" t="n">
        <f aca="true">NORMSINV(RAND())*$G$7+$G$6</f>
        <v>-0.015388700027705</v>
      </c>
    </row>
    <row r="459" customFormat="false" ht="15" hidden="false" customHeight="false" outlineLevel="0" collapsed="false">
      <c r="A459" s="19" t="n">
        <f aca="false">Daromadlilik!A456</f>
        <v>45930</v>
      </c>
      <c r="B459" s="31" t="n">
        <f aca="false">SUMPRODUCT(Parametrlar!$B$14:$E$14,Daromadlilik!C456:F456)</f>
        <v>-0.00323663722777892</v>
      </c>
      <c r="C459" s="31" t="n">
        <f aca="false">LN(1+B459)</f>
        <v>-0.00324188646770154</v>
      </c>
      <c r="D459" s="31" t="n">
        <f aca="false">SUM(C450:C459)</f>
        <v>-0.0038791061932594</v>
      </c>
      <c r="L459" s="31" t="n">
        <f aca="true">NORMSINV(RAND())*$G$7+$G$6</f>
        <v>-0.0158359245481768</v>
      </c>
    </row>
    <row r="460" customFormat="false" ht="15" hidden="false" customHeight="false" outlineLevel="0" collapsed="false">
      <c r="A460" s="19" t="n">
        <f aca="false">Daromadlilik!A457</f>
        <v>45931</v>
      </c>
      <c r="B460" s="31" t="n">
        <f aca="false">SUMPRODUCT(Parametrlar!$B$14:$E$14,Daromadlilik!C457:F457)</f>
        <v>0.0105101725809172</v>
      </c>
      <c r="C460" s="31" t="n">
        <f aca="false">LN(1+B460)</f>
        <v>0.0104553246895588</v>
      </c>
      <c r="D460" s="31" t="n">
        <f aca="false">SUM(C451:C460)</f>
        <v>-0.00876899973279799</v>
      </c>
      <c r="L460" s="31" t="n">
        <f aca="true">NORMSINV(RAND())*$G$7+$G$6</f>
        <v>0.0151659975163862</v>
      </c>
    </row>
    <row r="461" customFormat="false" ht="15" hidden="false" customHeight="false" outlineLevel="0" collapsed="false">
      <c r="A461" s="19" t="n">
        <f aca="false">Daromadlilik!A458</f>
        <v>45932</v>
      </c>
      <c r="B461" s="31" t="n">
        <f aca="false">SUMPRODUCT(Parametrlar!$B$14:$E$14,Daromadlilik!C458:F458)</f>
        <v>-0.011372459680036</v>
      </c>
      <c r="C461" s="31" t="n">
        <f aca="false">LN(1+B461)</f>
        <v>-0.0114376205972779</v>
      </c>
      <c r="D461" s="31" t="n">
        <f aca="false">SUM(C452:C461)</f>
        <v>-0.0143238433736199</v>
      </c>
      <c r="L461" s="31" t="n">
        <f aca="true">NORMSINV(RAND())*$G$7+$G$6</f>
        <v>0.00568643652766431</v>
      </c>
    </row>
    <row r="462" customFormat="false" ht="15" hidden="false" customHeight="false" outlineLevel="0" collapsed="false">
      <c r="A462" s="19" t="n">
        <f aca="false">Daromadlilik!A459</f>
        <v>45933</v>
      </c>
      <c r="B462" s="31" t="n">
        <f aca="false">SUMPRODUCT(Parametrlar!$B$14:$E$14,Daromadlilik!C459:F459)</f>
        <v>0.00044381760981313</v>
      </c>
      <c r="C462" s="31" t="n">
        <f aca="false">LN(1+B462)</f>
        <v>0.000443719151908258</v>
      </c>
      <c r="D462" s="31" t="n">
        <f aca="false">SUM(C453:C462)</f>
        <v>-0.00282152344076937</v>
      </c>
      <c r="L462" s="31" t="n">
        <f aca="true">NORMSINV(RAND())*$G$7+$G$6</f>
        <v>0.0224722146469658</v>
      </c>
    </row>
    <row r="463" customFormat="false" ht="15" hidden="false" customHeight="false" outlineLevel="0" collapsed="false">
      <c r="A463" s="19" t="n">
        <f aca="false">Daromadlilik!A460</f>
        <v>45936</v>
      </c>
      <c r="B463" s="31" t="n">
        <f aca="false">SUMPRODUCT(Parametrlar!$B$14:$E$14,Daromadlilik!C460:F460)</f>
        <v>0.000508332144715728</v>
      </c>
      <c r="C463" s="31" t="n">
        <f aca="false">LN(1+B463)</f>
        <v>0.00050820298769893</v>
      </c>
      <c r="D463" s="31" t="n">
        <f aca="false">SUM(C454:C463)</f>
        <v>-0.00152511874447109</v>
      </c>
      <c r="L463" s="31" t="n">
        <f aca="true">NORMSINV(RAND())*$G$7+$G$6</f>
        <v>-0.00414276638200693</v>
      </c>
    </row>
    <row r="464" customFormat="false" ht="15" hidden="false" customHeight="false" outlineLevel="0" collapsed="false">
      <c r="A464" s="19" t="n">
        <f aca="false">Daromadlilik!A461</f>
        <v>45937</v>
      </c>
      <c r="B464" s="31" t="n">
        <f aca="false">SUMPRODUCT(Parametrlar!$B$14:$E$14,Daromadlilik!C461:F461)</f>
        <v>-0.0167132524845047</v>
      </c>
      <c r="C464" s="31" t="n">
        <f aca="false">LN(1+B464)</f>
        <v>-0.0168544948466022</v>
      </c>
      <c r="D464" s="31" t="n">
        <f aca="false">SUM(C455:C464)</f>
        <v>-0.0170070129708112</v>
      </c>
      <c r="L464" s="31" t="n">
        <f aca="true">NORMSINV(RAND())*$G$7+$G$6</f>
        <v>-0.00997683303949568</v>
      </c>
    </row>
    <row r="465" customFormat="false" ht="15" hidden="false" customHeight="false" outlineLevel="0" collapsed="false">
      <c r="A465" s="19" t="n">
        <f aca="false">Daromadlilik!A462</f>
        <v>45938</v>
      </c>
      <c r="B465" s="31" t="n">
        <f aca="false">SUMPRODUCT(Parametrlar!$B$14:$E$14,Daromadlilik!C462:F462)</f>
        <v>-0.0126166793573924</v>
      </c>
      <c r="C465" s="31" t="n">
        <f aca="false">LN(1+B465)</f>
        <v>-0.0126969454991504</v>
      </c>
      <c r="D465" s="31" t="n">
        <f aca="false">SUM(C456:C465)</f>
        <v>-0.0290589715861935</v>
      </c>
      <c r="L465" s="31" t="n">
        <f aca="true">NORMSINV(RAND())*$G$7+$G$6</f>
        <v>0.0183737629851823</v>
      </c>
    </row>
    <row r="466" customFormat="false" ht="15" hidden="false" customHeight="false" outlineLevel="0" collapsed="false">
      <c r="A466" s="19" t="n">
        <f aca="false">Daromadlilik!A463</f>
        <v>45939</v>
      </c>
      <c r="B466" s="31" t="n">
        <f aca="false">SUMPRODUCT(Parametrlar!$B$14:$E$14,Daromadlilik!C463:F463)</f>
        <v>0.0167930040963545</v>
      </c>
      <c r="C466" s="31" t="n">
        <f aca="false">LN(1+B466)</f>
        <v>0.0166535605550735</v>
      </c>
      <c r="D466" s="31" t="n">
        <f aca="false">SUM(C457:C466)</f>
        <v>-0.0189014901280965</v>
      </c>
      <c r="L466" s="31" t="n">
        <f aca="true">NORMSINV(RAND())*$G$7+$G$6</f>
        <v>0.00655013618304541</v>
      </c>
    </row>
    <row r="467" customFormat="false" ht="15" hidden="false" customHeight="false" outlineLevel="0" collapsed="false">
      <c r="A467" s="19" t="n">
        <f aca="false">Daromadlilik!A464</f>
        <v>45940</v>
      </c>
      <c r="B467" s="31" t="n">
        <f aca="false">SUMPRODUCT(Parametrlar!$B$14:$E$14,Daromadlilik!C464:F464)</f>
        <v>0.0101736074423489</v>
      </c>
      <c r="C467" s="31" t="n">
        <f aca="false">LN(1+B467)</f>
        <v>0.0101222046388038</v>
      </c>
      <c r="D467" s="31" t="n">
        <f aca="false">SUM(C458:C467)</f>
        <v>-0.0107177403708865</v>
      </c>
      <c r="L467" s="31" t="n">
        <f aca="true">NORMSINV(RAND())*$G$7+$G$6</f>
        <v>-0.00274811218100843</v>
      </c>
    </row>
    <row r="468" customFormat="false" ht="15" hidden="false" customHeight="false" outlineLevel="0" collapsed="false">
      <c r="A468" s="19" t="n">
        <f aca="false">Daromadlilik!A465</f>
        <v>45943</v>
      </c>
      <c r="B468" s="31" t="n">
        <f aca="false">SUMPRODUCT(Parametrlar!$B$14:$E$14,Daromadlilik!C465:F465)</f>
        <v>0.00922118712844503</v>
      </c>
      <c r="C468" s="31" t="n">
        <f aca="false">LN(1+B468)</f>
        <v>0.00917893154818924</v>
      </c>
      <c r="D468" s="31" t="n">
        <f aca="false">SUM(C459:C468)</f>
        <v>0.00313099616050046</v>
      </c>
      <c r="L468" s="31" t="n">
        <f aca="true">NORMSINV(RAND())*$G$7+$G$6</f>
        <v>-0.0226564831610445</v>
      </c>
    </row>
    <row r="469" customFormat="false" ht="15" hidden="false" customHeight="false" outlineLevel="0" collapsed="false">
      <c r="A469" s="19" t="n">
        <f aca="false">Daromadlilik!A466</f>
        <v>45944</v>
      </c>
      <c r="B469" s="31" t="n">
        <f aca="false">SUMPRODUCT(Parametrlar!$B$14:$E$14,Daromadlilik!C466:F466)</f>
        <v>0.00421365955716173</v>
      </c>
      <c r="C469" s="31" t="n">
        <f aca="false">LN(1+B469)</f>
        <v>0.00420480695292443</v>
      </c>
      <c r="D469" s="31" t="n">
        <f aca="false">SUM(C460:C469)</f>
        <v>0.0105776895811264</v>
      </c>
      <c r="L469" s="31" t="n">
        <f aca="true">NORMSINV(RAND())*$G$7+$G$6</f>
        <v>-0.00888867705298887</v>
      </c>
    </row>
    <row r="470" customFormat="false" ht="15" hidden="false" customHeight="false" outlineLevel="0" collapsed="false">
      <c r="A470" s="19" t="n">
        <f aca="false">Daromadlilik!A467</f>
        <v>45945</v>
      </c>
      <c r="B470" s="31" t="n">
        <f aca="false">SUMPRODUCT(Parametrlar!$B$14:$E$14,Daromadlilik!C467:F467)</f>
        <v>-0.0181700171864625</v>
      </c>
      <c r="C470" s="31" t="n">
        <f aca="false">LN(1+B470)</f>
        <v>-0.0183371192081238</v>
      </c>
      <c r="D470" s="31" t="n">
        <f aca="false">SUM(C461:C470)</f>
        <v>-0.0182147543165562</v>
      </c>
      <c r="L470" s="31" t="n">
        <f aca="true">NORMSINV(RAND())*$G$7+$G$6</f>
        <v>-0.0041336994479806</v>
      </c>
    </row>
    <row r="471" customFormat="false" ht="15" hidden="false" customHeight="false" outlineLevel="0" collapsed="false">
      <c r="A471" s="19" t="n">
        <f aca="false">Daromadlilik!A468</f>
        <v>45946</v>
      </c>
      <c r="B471" s="31" t="n">
        <f aca="false">SUMPRODUCT(Parametrlar!$B$14:$E$14,Daromadlilik!C468:F468)</f>
        <v>-0.000632680837430206</v>
      </c>
      <c r="C471" s="31" t="n">
        <f aca="false">LN(1+B471)</f>
        <v>-0.000632881064408839</v>
      </c>
      <c r="D471" s="31" t="n">
        <f aca="false">SUM(C462:C471)</f>
        <v>-0.00741001478368715</v>
      </c>
      <c r="L471" s="31" t="n">
        <f aca="true">NORMSINV(RAND())*$G$7+$G$6</f>
        <v>0.011096648587424</v>
      </c>
    </row>
    <row r="472" customFormat="false" ht="15" hidden="false" customHeight="false" outlineLevel="0" collapsed="false">
      <c r="A472" s="19" t="n">
        <f aca="false">Daromadlilik!A469</f>
        <v>45947</v>
      </c>
      <c r="B472" s="31" t="n">
        <f aca="false">SUMPRODUCT(Parametrlar!$B$14:$E$14,Daromadlilik!C469:F469)</f>
        <v>-0.00164098119041884</v>
      </c>
      <c r="C472" s="31" t="n">
        <f aca="false">LN(1+B472)</f>
        <v>-0.001642329074823</v>
      </c>
      <c r="D472" s="31" t="n">
        <f aca="false">SUM(C463:C472)</f>
        <v>-0.00949606301041841</v>
      </c>
      <c r="L472" s="31" t="n">
        <f aca="true">NORMSINV(RAND())*$G$7+$G$6</f>
        <v>0.00537741644457434</v>
      </c>
    </row>
    <row r="473" customFormat="false" ht="15" hidden="false" customHeight="false" outlineLevel="0" collapsed="false">
      <c r="A473" s="19" t="n">
        <f aca="false">Daromadlilik!A470</f>
        <v>45950</v>
      </c>
      <c r="B473" s="31" t="n">
        <f aca="false">SUMPRODUCT(Parametrlar!$B$14:$E$14,Daromadlilik!C470:F470)</f>
        <v>-0.000251577589445929</v>
      </c>
      <c r="C473" s="31" t="n">
        <f aca="false">LN(1+B473)</f>
        <v>-0.000251609240396253</v>
      </c>
      <c r="D473" s="31" t="n">
        <f aca="false">SUM(C464:C473)</f>
        <v>-0.0102558752385136</v>
      </c>
      <c r="L473" s="31" t="n">
        <f aca="true">NORMSINV(RAND())*$G$7+$G$6</f>
        <v>0.00248622681244626</v>
      </c>
    </row>
    <row r="474" customFormat="false" ht="15" hidden="false" customHeight="false" outlineLevel="0" collapsed="false">
      <c r="A474" s="19" t="n">
        <f aca="false">Daromadlilik!A471</f>
        <v>45951</v>
      </c>
      <c r="B474" s="31" t="n">
        <f aca="false">SUMPRODUCT(Parametrlar!$B$14:$E$14,Daromadlilik!C471:F471)</f>
        <v>0.00355652144883907</v>
      </c>
      <c r="C474" s="31" t="n">
        <f aca="false">LN(1+B474)</f>
        <v>0.0035502119818422</v>
      </c>
      <c r="D474" s="31" t="n">
        <f aca="false">SUM(C465:C474)</f>
        <v>0.0101488315899308</v>
      </c>
      <c r="L474" s="31" t="n">
        <f aca="true">NORMSINV(RAND())*$G$7+$G$6</f>
        <v>0.010617943693064</v>
      </c>
    </row>
    <row r="475" customFormat="false" ht="15" hidden="false" customHeight="false" outlineLevel="0" collapsed="false">
      <c r="A475" s="19" t="n">
        <f aca="false">Daromadlilik!A472</f>
        <v>45952</v>
      </c>
      <c r="B475" s="31" t="n">
        <f aca="false">SUMPRODUCT(Parametrlar!$B$14:$E$14,Daromadlilik!C472:F472)</f>
        <v>0.00702209214811121</v>
      </c>
      <c r="C475" s="31" t="n">
        <f aca="false">LN(1+B475)</f>
        <v>0.00699755207384293</v>
      </c>
      <c r="D475" s="31" t="n">
        <f aca="false">SUM(C466:C475)</f>
        <v>0.0298433291629242</v>
      </c>
      <c r="L475" s="31" t="n">
        <f aca="true">NORMSINV(RAND())*$G$7+$G$6</f>
        <v>-0.00933505179528979</v>
      </c>
    </row>
    <row r="476" customFormat="false" ht="15" hidden="false" customHeight="false" outlineLevel="0" collapsed="false">
      <c r="A476" s="19" t="n">
        <f aca="false">Daromadlilik!A473</f>
        <v>45953</v>
      </c>
      <c r="B476" s="31" t="n">
        <f aca="false">SUMPRODUCT(Parametrlar!$B$14:$E$14,Daromadlilik!C473:F473)</f>
        <v>-0.0100424544966052</v>
      </c>
      <c r="C476" s="31" t="n">
        <f aca="false">LN(1+B476)</f>
        <v>-0.010093220102922</v>
      </c>
      <c r="D476" s="31" t="n">
        <f aca="false">SUM(C467:C476)</f>
        <v>0.00309654850492867</v>
      </c>
      <c r="L476" s="31" t="n">
        <f aca="true">NORMSINV(RAND())*$G$7+$G$6</f>
        <v>-0.0247315999771486</v>
      </c>
    </row>
    <row r="477" customFormat="false" ht="15" hidden="false" customHeight="false" outlineLevel="0" collapsed="false">
      <c r="A477" s="19" t="n">
        <f aca="false">Daromadlilik!A474</f>
        <v>45954</v>
      </c>
      <c r="B477" s="31" t="n">
        <f aca="false">SUMPRODUCT(Parametrlar!$B$14:$E$14,Daromadlilik!C474:F474)</f>
        <v>0.00752589636826571</v>
      </c>
      <c r="C477" s="31" t="n">
        <f aca="false">LN(1+B477)</f>
        <v>0.00749771809969999</v>
      </c>
      <c r="D477" s="31" t="n">
        <f aca="false">SUM(C468:C477)</f>
        <v>0.000472061965824876</v>
      </c>
      <c r="L477" s="31" t="n">
        <f aca="true">NORMSINV(RAND())*$G$7+$G$6</f>
        <v>0.00454401795797366</v>
      </c>
    </row>
    <row r="478" customFormat="false" ht="15" hidden="false" customHeight="false" outlineLevel="0" collapsed="false">
      <c r="A478" s="19" t="n">
        <f aca="false">Daromadlilik!A475</f>
        <v>45957</v>
      </c>
      <c r="B478" s="31" t="n">
        <f aca="false">SUMPRODUCT(Parametrlar!$B$14:$E$14,Daromadlilik!C475:F475)</f>
        <v>0.000165939986318359</v>
      </c>
      <c r="C478" s="31" t="n">
        <f aca="false">LN(1+B478)</f>
        <v>0.000165926219801702</v>
      </c>
      <c r="D478" s="31" t="n">
        <f aca="false">SUM(C469:C478)</f>
        <v>-0.00854094336256266</v>
      </c>
      <c r="L478" s="31" t="n">
        <f aca="true">NORMSINV(RAND())*$G$7+$G$6</f>
        <v>0.000567404069736314</v>
      </c>
    </row>
    <row r="479" customFormat="false" ht="15" hidden="false" customHeight="false" outlineLevel="0" collapsed="false">
      <c r="A479" s="19" t="n">
        <f aca="false">Daromadlilik!A476</f>
        <v>45958</v>
      </c>
      <c r="B479" s="31" t="n">
        <f aca="false">SUMPRODUCT(Parametrlar!$B$14:$E$14,Daromadlilik!C476:F476)</f>
        <v>-0.0170593854796403</v>
      </c>
      <c r="C479" s="31" t="n">
        <f aca="false">LN(1+B479)</f>
        <v>-0.017206573151883</v>
      </c>
      <c r="D479" s="31" t="n">
        <f aca="false">SUM(C470:C479)</f>
        <v>-0.0299523234673701</v>
      </c>
      <c r="L479" s="31" t="n">
        <f aca="true">NORMSINV(RAND())*$G$7+$G$6</f>
        <v>-0.00805174328230115</v>
      </c>
    </row>
    <row r="480" customFormat="false" ht="15" hidden="false" customHeight="false" outlineLevel="0" collapsed="false">
      <c r="A480" s="19" t="n">
        <f aca="false">Daromadlilik!A477</f>
        <v>45959</v>
      </c>
      <c r="B480" s="31" t="n">
        <f aca="false">SUMPRODUCT(Parametrlar!$B$14:$E$14,Daromadlilik!C477:F477)</f>
        <v>0.00708476976485716</v>
      </c>
      <c r="C480" s="31" t="n">
        <f aca="false">LN(1+B480)</f>
        <v>0.00705979069479329</v>
      </c>
      <c r="D480" s="31" t="n">
        <f aca="false">SUM(C471:C480)</f>
        <v>-0.00455541356445301</v>
      </c>
      <c r="L480" s="31" t="n">
        <f aca="true">NORMSINV(RAND())*$G$7+$G$6</f>
        <v>0.0122173738621938</v>
      </c>
    </row>
    <row r="481" customFormat="false" ht="15" hidden="false" customHeight="false" outlineLevel="0" collapsed="false">
      <c r="A481" s="19" t="n">
        <f aca="false">Daromadlilik!A478</f>
        <v>45960</v>
      </c>
      <c r="B481" s="31" t="n">
        <f aca="false">SUMPRODUCT(Parametrlar!$B$14:$E$14,Daromadlilik!C478:F478)</f>
        <v>-0.0119693137600034</v>
      </c>
      <c r="C481" s="31" t="n">
        <f aca="false">LN(1+B481)</f>
        <v>-0.0120415227692234</v>
      </c>
      <c r="D481" s="31" t="n">
        <f aca="false">SUM(C472:C481)</f>
        <v>-0.0159640552692676</v>
      </c>
      <c r="L481" s="31" t="n">
        <f aca="true">NORMSINV(RAND())*$G$7+$G$6</f>
        <v>0.00122518399878858</v>
      </c>
    </row>
    <row r="482" customFormat="false" ht="15" hidden="false" customHeight="false" outlineLevel="0" collapsed="false">
      <c r="A482" s="19" t="n">
        <f aca="false">Daromadlilik!A479</f>
        <v>45961</v>
      </c>
      <c r="B482" s="31" t="n">
        <f aca="false">SUMPRODUCT(Parametrlar!$B$14:$E$14,Daromadlilik!C479:F479)</f>
        <v>-0.00564616261710313</v>
      </c>
      <c r="C482" s="31" t="n">
        <f aca="false">LN(1+B482)</f>
        <v>-0.00566216244676833</v>
      </c>
      <c r="D482" s="31" t="n">
        <f aca="false">SUM(C473:C482)</f>
        <v>-0.0199838886412129</v>
      </c>
      <c r="L482" s="31" t="n">
        <f aca="true">NORMSINV(RAND())*$G$7+$G$6</f>
        <v>-0.00830656245320428</v>
      </c>
    </row>
    <row r="483" customFormat="false" ht="15" hidden="false" customHeight="false" outlineLevel="0" collapsed="false">
      <c r="A483" s="19" t="n">
        <f aca="false">Daromadlilik!A480</f>
        <v>45964</v>
      </c>
      <c r="B483" s="31" t="n">
        <f aca="false">SUMPRODUCT(Parametrlar!$B$14:$E$14,Daromadlilik!C480:F480)</f>
        <v>-0.023111681702977</v>
      </c>
      <c r="C483" s="31" t="n">
        <f aca="false">LN(1+B483)</f>
        <v>-0.0233829443259242</v>
      </c>
      <c r="D483" s="31" t="n">
        <f aca="false">SUM(C474:C483)</f>
        <v>-0.0431152237267409</v>
      </c>
      <c r="L483" s="31" t="n">
        <f aca="true">NORMSINV(RAND())*$G$7+$G$6</f>
        <v>-0.00160512596625308</v>
      </c>
    </row>
    <row r="484" customFormat="false" ht="15" hidden="false" customHeight="false" outlineLevel="0" collapsed="false">
      <c r="A484" s="19" t="n">
        <f aca="false">Daromadlilik!A481</f>
        <v>45965</v>
      </c>
      <c r="B484" s="31" t="n">
        <f aca="false">SUMPRODUCT(Parametrlar!$B$14:$E$14,Daromadlilik!C481:F481)</f>
        <v>-0.00691319586917998</v>
      </c>
      <c r="C484" s="31" t="n">
        <f aca="false">LN(1+B484)</f>
        <v>-0.00693720271440219</v>
      </c>
      <c r="D484" s="31" t="n">
        <f aca="false">SUM(C475:C484)</f>
        <v>-0.0536026384229852</v>
      </c>
      <c r="L484" s="31" t="n">
        <f aca="true">NORMSINV(RAND())*$G$7+$G$6</f>
        <v>0.013140431928764</v>
      </c>
    </row>
    <row r="485" customFormat="false" ht="15" hidden="false" customHeight="false" outlineLevel="0" collapsed="false">
      <c r="A485" s="19" t="n">
        <f aca="false">Daromadlilik!A482</f>
        <v>45966</v>
      </c>
      <c r="B485" s="31" t="n">
        <f aca="false">SUMPRODUCT(Parametrlar!$B$14:$E$14,Daromadlilik!C482:F482)</f>
        <v>-0.00513547530364157</v>
      </c>
      <c r="C485" s="31" t="n">
        <f aca="false">LN(1+B485)</f>
        <v>-0.00514870717768722</v>
      </c>
      <c r="D485" s="31" t="n">
        <f aca="false">SUM(C476:C485)</f>
        <v>-0.0657488976745154</v>
      </c>
      <c r="L485" s="31" t="n">
        <f aca="true">NORMSINV(RAND())*$G$7+$G$6</f>
        <v>-0.00105836962425309</v>
      </c>
    </row>
    <row r="486" customFormat="false" ht="15" hidden="false" customHeight="false" outlineLevel="0" collapsed="false">
      <c r="A486" s="19" t="n">
        <f aca="false">Daromadlilik!A483</f>
        <v>45967</v>
      </c>
      <c r="B486" s="31" t="n">
        <f aca="false">SUMPRODUCT(Parametrlar!$B$14:$E$14,Daromadlilik!C483:F483)</f>
        <v>-0.0347073222590788</v>
      </c>
      <c r="C486" s="31" t="n">
        <f aca="false">LN(1+B486)</f>
        <v>-0.035323930631401</v>
      </c>
      <c r="D486" s="31" t="n">
        <f aca="false">SUM(C477:C486)</f>
        <v>-0.0909796082029944</v>
      </c>
      <c r="L486" s="31" t="n">
        <f aca="true">NORMSINV(RAND())*$G$7+$G$6</f>
        <v>-0.00152393063565727</v>
      </c>
    </row>
    <row r="487" customFormat="false" ht="15" hidden="false" customHeight="false" outlineLevel="0" collapsed="false">
      <c r="A487" s="19" t="n">
        <f aca="false">Daromadlilik!A484</f>
        <v>45968</v>
      </c>
      <c r="B487" s="31" t="n">
        <f aca="false">SUMPRODUCT(Parametrlar!$B$14:$E$14,Daromadlilik!C484:F484)</f>
        <v>-0.0116773324326162</v>
      </c>
      <c r="C487" s="31" t="n">
        <f aca="false">LN(1+B487)</f>
        <v>-0.0117460479454031</v>
      </c>
      <c r="D487" s="31" t="n">
        <f aca="false">SUM(C478:C487)</f>
        <v>-0.110223374248097</v>
      </c>
      <c r="L487" s="31" t="n">
        <f aca="true">NORMSINV(RAND())*$G$7+$G$6</f>
        <v>-0.0221321177387882</v>
      </c>
    </row>
    <row r="488" customFormat="false" ht="15" hidden="false" customHeight="false" outlineLevel="0" collapsed="false">
      <c r="A488" s="19" t="n">
        <f aca="false">Daromadlilik!A485</f>
        <v>45971</v>
      </c>
      <c r="B488" s="31" t="n">
        <f aca="false">SUMPRODUCT(Parametrlar!$B$14:$E$14,Daromadlilik!C485:F485)</f>
        <v>-0.00786816953612129</v>
      </c>
      <c r="C488" s="31" t="n">
        <f aca="false">LN(1+B488)</f>
        <v>-0.00789928691405727</v>
      </c>
      <c r="D488" s="31" t="n">
        <f aca="false">SUM(C479:C488)</f>
        <v>-0.118288587381956</v>
      </c>
      <c r="L488" s="31" t="n">
        <f aca="true">NORMSINV(RAND())*$G$7+$G$6</f>
        <v>-0.01631425005032</v>
      </c>
    </row>
    <row r="489" customFormat="false" ht="15" hidden="false" customHeight="false" outlineLevel="0" collapsed="false">
      <c r="A489" s="19" t="n">
        <f aca="false">Daromadlilik!A486</f>
        <v>45972</v>
      </c>
      <c r="B489" s="31" t="n">
        <f aca="false">SUMPRODUCT(Parametrlar!$B$14:$E$14,Daromadlilik!C486:F486)</f>
        <v>-0.0109897345662364</v>
      </c>
      <c r="C489" s="31" t="n">
        <f aca="false">LN(1+B489)</f>
        <v>-0.011050567803825</v>
      </c>
      <c r="D489" s="31" t="n">
        <f aca="false">SUM(C480:C489)</f>
        <v>-0.112132582033898</v>
      </c>
      <c r="L489" s="31" t="n">
        <f aca="true">NORMSINV(RAND())*$G$7+$G$6</f>
        <v>0.00474403363496276</v>
      </c>
    </row>
    <row r="490" customFormat="false" ht="15" hidden="false" customHeight="false" outlineLevel="0" collapsed="false">
      <c r="A490" s="19" t="n">
        <f aca="false">Daromadlilik!A487</f>
        <v>45973</v>
      </c>
      <c r="B490" s="31" t="n">
        <f aca="false">SUMPRODUCT(Parametrlar!$B$14:$E$14,Daromadlilik!C487:F487)</f>
        <v>-0.00503179876446359</v>
      </c>
      <c r="C490" s="31" t="n">
        <f aca="false">LN(1+B490)</f>
        <v>-0.00504450089147968</v>
      </c>
      <c r="D490" s="31" t="n">
        <f aca="false">SUM(C481:C490)</f>
        <v>-0.124236873620171</v>
      </c>
      <c r="L490" s="31" t="n">
        <f aca="true">NORMSINV(RAND())*$G$7+$G$6</f>
        <v>-0.00477158978030107</v>
      </c>
    </row>
    <row r="491" customFormat="false" ht="15" hidden="false" customHeight="false" outlineLevel="0" collapsed="false">
      <c r="A491" s="19" t="n">
        <f aca="false">Daromadlilik!A488</f>
        <v>45974</v>
      </c>
      <c r="B491" s="31" t="n">
        <f aca="false">SUMPRODUCT(Parametrlar!$B$14:$E$14,Daromadlilik!C488:F488)</f>
        <v>-0.0183014259914478</v>
      </c>
      <c r="C491" s="31" t="n">
        <f aca="false">LN(1+B491)</f>
        <v>-0.01847096885826</v>
      </c>
      <c r="D491" s="31" t="n">
        <f aca="false">SUM(C482:C491)</f>
        <v>-0.130666319709208</v>
      </c>
      <c r="L491" s="31" t="n">
        <f aca="true">NORMSINV(RAND())*$G$7+$G$6</f>
        <v>0.00505248658871127</v>
      </c>
    </row>
    <row r="492" customFormat="false" ht="15" hidden="false" customHeight="false" outlineLevel="0" collapsed="false">
      <c r="A492" s="19" t="n">
        <f aca="false">Daromadlilik!A489</f>
        <v>45975</v>
      </c>
      <c r="B492" s="31" t="n">
        <f aca="false">SUMPRODUCT(Parametrlar!$B$14:$E$14,Daromadlilik!C489:F489)</f>
        <v>-0.0184020790529331</v>
      </c>
      <c r="C492" s="31" t="n">
        <f aca="false">LN(1+B492)</f>
        <v>-0.0185735036122638</v>
      </c>
      <c r="D492" s="31" t="n">
        <f aca="false">SUM(C483:C492)</f>
        <v>-0.143577660874703</v>
      </c>
      <c r="L492" s="31" t="n">
        <f aca="true">NORMSINV(RAND())*$G$7+$G$6</f>
        <v>0.00681067771280488</v>
      </c>
    </row>
    <row r="493" customFormat="false" ht="15" hidden="false" customHeight="false" outlineLevel="0" collapsed="false">
      <c r="A493" s="19" t="n">
        <f aca="false">Daromadlilik!A490</f>
        <v>45978</v>
      </c>
      <c r="B493" s="31" t="n">
        <f aca="false">SUMPRODUCT(Parametrlar!$B$14:$E$14,Daromadlilik!C490:F490)</f>
        <v>-0.000839543750801603</v>
      </c>
      <c r="C493" s="31" t="n">
        <f aca="false">LN(1+B493)</f>
        <v>-0.000839896365026923</v>
      </c>
      <c r="D493" s="31" t="n">
        <f aca="false">SUM(C484:C493)</f>
        <v>-0.121034612913806</v>
      </c>
      <c r="L493" s="31" t="n">
        <f aca="true">NORMSINV(RAND())*$G$7+$G$6</f>
        <v>0.014677514736118</v>
      </c>
    </row>
    <row r="494" customFormat="false" ht="15" hidden="false" customHeight="false" outlineLevel="0" collapsed="false">
      <c r="A494" s="19" t="n">
        <f aca="false">Daromadlilik!A491</f>
        <v>45979</v>
      </c>
      <c r="B494" s="31" t="n">
        <f aca="false">SUMPRODUCT(Parametrlar!$B$14:$E$14,Daromadlilik!C491:F491)</f>
        <v>-0.00589971242413073</v>
      </c>
      <c r="C494" s="31" t="n">
        <f aca="false">LN(1+B494)</f>
        <v>-0.00591718448144257</v>
      </c>
      <c r="D494" s="31" t="n">
        <f aca="false">SUM(C485:C494)</f>
        <v>-0.120014594680846</v>
      </c>
      <c r="L494" s="31" t="n">
        <f aca="true">NORMSINV(RAND())*$G$7+$G$6</f>
        <v>0.00862287812013252</v>
      </c>
    </row>
    <row r="495" customFormat="false" ht="15" hidden="false" customHeight="false" outlineLevel="0" collapsed="false">
      <c r="A495" s="19" t="n">
        <f aca="false">Daromadlilik!A492</f>
        <v>45980</v>
      </c>
      <c r="B495" s="31" t="n">
        <f aca="false">SUMPRODUCT(Parametrlar!$B$14:$E$14,Daromadlilik!C492:F492)</f>
        <v>-0.0164401493843049</v>
      </c>
      <c r="C495" s="31" t="n">
        <f aca="false">LN(1+B495)</f>
        <v>-0.0165767882860454</v>
      </c>
      <c r="D495" s="31" t="n">
        <f aca="false">SUM(C486:C495)</f>
        <v>-0.131442675789205</v>
      </c>
      <c r="L495" s="31" t="n">
        <f aca="true">NORMSINV(RAND())*$G$7+$G$6</f>
        <v>0.0182202958907208</v>
      </c>
    </row>
    <row r="496" customFormat="false" ht="15" hidden="false" customHeight="false" outlineLevel="0" collapsed="false">
      <c r="A496" s="19" t="n">
        <f aca="false">Daromadlilik!A493</f>
        <v>45981</v>
      </c>
      <c r="B496" s="31" t="n">
        <f aca="false">SUMPRODUCT(Parametrlar!$B$14:$E$14,Daromadlilik!C493:F493)</f>
        <v>-0.00379239749556672</v>
      </c>
      <c r="C496" s="31" t="n">
        <f aca="false">LN(1+B496)</f>
        <v>-0.00379960686792476</v>
      </c>
      <c r="D496" s="31" t="n">
        <f aca="false">SUM(C487:C496)</f>
        <v>-0.0999183520257284</v>
      </c>
      <c r="L496" s="31" t="n">
        <f aca="true">NORMSINV(RAND())*$G$7+$G$6</f>
        <v>-0.010313128702724</v>
      </c>
    </row>
    <row r="497" customFormat="false" ht="15" hidden="false" customHeight="false" outlineLevel="0" collapsed="false">
      <c r="A497" s="19" t="n">
        <f aca="false">Daromadlilik!A494</f>
        <v>45982</v>
      </c>
      <c r="B497" s="31" t="n">
        <f aca="false">SUMPRODUCT(Parametrlar!$B$14:$E$14,Daromadlilik!C494:F494)</f>
        <v>-0.0269932174505972</v>
      </c>
      <c r="C497" s="31" t="n">
        <f aca="false">LN(1+B497)</f>
        <v>-0.0273642260605069</v>
      </c>
      <c r="D497" s="31" t="n">
        <f aca="false">SUM(C488:C497)</f>
        <v>-0.115536530140832</v>
      </c>
      <c r="L497" s="31" t="n">
        <f aca="true">NORMSINV(RAND())*$G$7+$G$6</f>
        <v>-0.0102636437212503</v>
      </c>
    </row>
    <row r="498" customFormat="false" ht="15" hidden="false" customHeight="false" outlineLevel="0" collapsed="false">
      <c r="A498" s="19" t="n">
        <f aca="false">Daromadlilik!A495</f>
        <v>45985</v>
      </c>
      <c r="B498" s="31" t="n">
        <f aca="false">SUMPRODUCT(Parametrlar!$B$14:$E$14,Daromadlilik!C495:F495)</f>
        <v>0.00384681616000524</v>
      </c>
      <c r="C498" s="31" t="n">
        <f aca="false">LN(1+B498)</f>
        <v>0.00383943608319837</v>
      </c>
      <c r="D498" s="31" t="n">
        <f aca="false">SUM(C489:C498)</f>
        <v>-0.103797807143577</v>
      </c>
      <c r="L498" s="31" t="n">
        <f aca="true">NORMSINV(RAND())*$G$7+$G$6</f>
        <v>-0.0352450521424532</v>
      </c>
    </row>
    <row r="499" customFormat="false" ht="15" hidden="false" customHeight="false" outlineLevel="0" collapsed="false">
      <c r="A499" s="19" t="n">
        <f aca="false">Daromadlilik!A496</f>
        <v>45986</v>
      </c>
      <c r="B499" s="31" t="n">
        <f aca="false">SUMPRODUCT(Parametrlar!$B$14:$E$14,Daromadlilik!C496:F496)</f>
        <v>-0.00671457881371367</v>
      </c>
      <c r="C499" s="31" t="n">
        <f aca="false">LN(1+B499)</f>
        <v>-0.00673722301916</v>
      </c>
      <c r="D499" s="31" t="n">
        <f aca="false">SUM(C490:C499)</f>
        <v>-0.0994844623589116</v>
      </c>
      <c r="L499" s="31" t="n">
        <f aca="true">NORMSINV(RAND())*$G$7+$G$6</f>
        <v>-0.0306822861121211</v>
      </c>
    </row>
    <row r="500" customFormat="false" ht="15" hidden="false" customHeight="false" outlineLevel="0" collapsed="false">
      <c r="A500" s="19" t="n">
        <f aca="false">Daromadlilik!A497</f>
        <v>45987</v>
      </c>
      <c r="B500" s="31" t="n">
        <f aca="false">SUMPRODUCT(Parametrlar!$B$14:$E$14,Daromadlilik!C497:F497)</f>
        <v>0.00417482372910875</v>
      </c>
      <c r="C500" s="31" t="n">
        <f aca="false">LN(1+B500)</f>
        <v>0.00416613333138059</v>
      </c>
      <c r="D500" s="31" t="n">
        <f aca="false">SUM(C491:C500)</f>
        <v>-0.0902738281360513</v>
      </c>
      <c r="L500" s="31" t="n">
        <f aca="true">NORMSINV(RAND())*$G$7+$G$6</f>
        <v>0.0103395122456415</v>
      </c>
    </row>
    <row r="501" customFormat="false" ht="15" hidden="false" customHeight="false" outlineLevel="0" collapsed="false">
      <c r="A501" s="19" t="n">
        <f aca="false">Daromadlilik!A498</f>
        <v>45988</v>
      </c>
      <c r="B501" s="31" t="n">
        <f aca="false">SUMPRODUCT(Parametrlar!$B$14:$E$14,Daromadlilik!C498:F498)</f>
        <v>0.00260816182421272</v>
      </c>
      <c r="C501" s="31" t="n">
        <f aca="false">LN(1+B501)</f>
        <v>0.00260476647263154</v>
      </c>
      <c r="D501" s="31" t="n">
        <f aca="false">SUM(C492:C501)</f>
        <v>-0.0691980928051598</v>
      </c>
      <c r="L501" s="31" t="n">
        <f aca="true">NORMSINV(RAND())*$G$7+$G$6</f>
        <v>0.0149634667897378</v>
      </c>
    </row>
    <row r="502" customFormat="false" ht="15" hidden="false" customHeight="false" outlineLevel="0" collapsed="false">
      <c r="A502" s="19" t="n">
        <f aca="false">Daromadlilik!A499</f>
        <v>45989</v>
      </c>
      <c r="B502" s="31" t="n">
        <f aca="false">SUMPRODUCT(Parametrlar!$B$14:$E$14,Daromadlilik!C499:F499)</f>
        <v>0.00625471528697011</v>
      </c>
      <c r="C502" s="31" t="n">
        <f aca="false">LN(1+B502)</f>
        <v>0.00623523573913019</v>
      </c>
      <c r="D502" s="31" t="n">
        <f aca="false">SUM(C493:C502)</f>
        <v>-0.0443893534537659</v>
      </c>
      <c r="L502" s="31" t="n">
        <f aca="true">NORMSINV(RAND())*$G$7+$G$6</f>
        <v>0.0164404409556357</v>
      </c>
    </row>
    <row r="503" customFormat="false" ht="15" hidden="false" customHeight="false" outlineLevel="0" collapsed="false">
      <c r="A503" s="19" t="n">
        <f aca="false">Daromadlilik!A500</f>
        <v>45992</v>
      </c>
      <c r="B503" s="31" t="n">
        <f aca="false">SUMPRODUCT(Parametrlar!$B$14:$E$14,Daromadlilik!C500:F500)</f>
        <v>0.00109174055048354</v>
      </c>
      <c r="C503" s="31" t="n">
        <f aca="false">LN(1+B503)</f>
        <v>0.00109114503516151</v>
      </c>
      <c r="D503" s="31" t="n">
        <f aca="false">SUM(C494:C503)</f>
        <v>-0.0424583120535774</v>
      </c>
      <c r="L503" s="31" t="n">
        <f aca="true">NORMSINV(RAND())*$G$7+$G$6</f>
        <v>0.0162616516294816</v>
      </c>
    </row>
    <row r="504" customFormat="false" ht="15" hidden="false" customHeight="false" outlineLevel="0" collapsed="false">
      <c r="A504" s="19" t="n">
        <f aca="false">Daromadlilik!A501</f>
        <v>45993</v>
      </c>
      <c r="B504" s="31" t="n">
        <f aca="false">SUMPRODUCT(Parametrlar!$B$14:$E$14,Daromadlilik!C501:F501)</f>
        <v>0.0069362265342179</v>
      </c>
      <c r="C504" s="31" t="n">
        <f aca="false">LN(1+B504)</f>
        <v>0.0069122815762871</v>
      </c>
      <c r="D504" s="31" t="n">
        <f aca="false">SUM(C495:C504)</f>
        <v>-0.0296288459958478</v>
      </c>
      <c r="L504" s="31" t="n">
        <f aca="true">NORMSINV(RAND())*$G$7+$G$6</f>
        <v>-0.0103906835667962</v>
      </c>
    </row>
    <row r="505" customFormat="false" ht="15" hidden="false" customHeight="false" outlineLevel="0" collapsed="false">
      <c r="A505" s="19" t="n">
        <f aca="false">Daromadlilik!A502</f>
        <v>45994</v>
      </c>
      <c r="B505" s="31" t="n">
        <f aca="false">SUMPRODUCT(Parametrlar!$B$14:$E$14,Daromadlilik!C502:F502)</f>
        <v>-0.00546324516651561</v>
      </c>
      <c r="C505" s="31" t="n">
        <f aca="false">LN(1+B505)</f>
        <v>-0.00547822326799289</v>
      </c>
      <c r="D505" s="31" t="n">
        <f aca="false">SUM(C496:C505)</f>
        <v>-0.0185302809777952</v>
      </c>
      <c r="L505" s="31" t="n">
        <f aca="true">NORMSINV(RAND())*$G$7+$G$6</f>
        <v>0.00433384476785379</v>
      </c>
    </row>
    <row r="506" customFormat="false" ht="15" hidden="false" customHeight="false" outlineLevel="0" collapsed="false">
      <c r="A506" s="19" t="n">
        <f aca="false">Daromadlilik!A503</f>
        <v>45995</v>
      </c>
      <c r="B506" s="31" t="n">
        <f aca="false">SUMPRODUCT(Parametrlar!$B$14:$E$14,Daromadlilik!C503:F503)</f>
        <v>-0.00529703511111028</v>
      </c>
      <c r="C506" s="31" t="n">
        <f aca="false">LN(1+B506)</f>
        <v>-0.00531111414168267</v>
      </c>
      <c r="D506" s="31" t="n">
        <f aca="false">SUM(C497:C506)</f>
        <v>-0.0200417882515532</v>
      </c>
      <c r="L506" s="31" t="n">
        <f aca="true">NORMSINV(RAND())*$G$7+$G$6</f>
        <v>0.0207046031971739</v>
      </c>
    </row>
    <row r="507" customFormat="false" ht="15" hidden="false" customHeight="false" outlineLevel="0" collapsed="false">
      <c r="A507" s="19" t="n">
        <f aca="false">Daromadlilik!A504</f>
        <v>45996</v>
      </c>
      <c r="B507" s="31" t="n">
        <f aca="false">SUMPRODUCT(Parametrlar!$B$14:$E$14,Daromadlilik!C504:F504)</f>
        <v>-0.00346167269272161</v>
      </c>
      <c r="C507" s="31" t="n">
        <f aca="false">LN(1+B507)</f>
        <v>-0.00346767814491601</v>
      </c>
      <c r="D507" s="31" t="n">
        <f aca="false">SUM(C498:C507)</f>
        <v>0.00385475966403773</v>
      </c>
      <c r="L507" s="31" t="n">
        <f aca="true">NORMSINV(RAND())*$G$7+$G$6</f>
        <v>-0.00884219215151767</v>
      </c>
    </row>
    <row r="508" customFormat="false" ht="15" hidden="false" customHeight="false" outlineLevel="0" collapsed="false">
      <c r="A508" s="19" t="n">
        <f aca="false">Daromadlilik!A505</f>
        <v>45999</v>
      </c>
      <c r="B508" s="31" t="n">
        <f aca="false">SUMPRODUCT(Parametrlar!$B$14:$E$14,Daromadlilik!C505:F505)</f>
        <v>-0.0247044795875322</v>
      </c>
      <c r="C508" s="31" t="n">
        <f aca="false">LN(1+B508)</f>
        <v>-0.025014756050225</v>
      </c>
      <c r="D508" s="31" t="n">
        <f aca="false">SUM(C499:C508)</f>
        <v>-0.0249994324693856</v>
      </c>
      <c r="L508" s="31" t="n">
        <f aca="true">NORMSINV(RAND())*$G$7+$G$6</f>
        <v>-0.00988251557126615</v>
      </c>
    </row>
    <row r="509" customFormat="false" ht="15" hidden="false" customHeight="false" outlineLevel="0" collapsed="false">
      <c r="L509" s="31" t="n">
        <f aca="true">NORMSINV(RAND())*$G$7+$G$6</f>
        <v>0.0184264804152182</v>
      </c>
    </row>
    <row r="510" customFormat="false" ht="15" hidden="false" customHeight="false" outlineLevel="0" collapsed="false">
      <c r="L510" s="31" t="n">
        <f aca="true">NORMSINV(RAND())*$G$7+$G$6</f>
        <v>-0.00986192976103631</v>
      </c>
    </row>
    <row r="511" customFormat="false" ht="15" hidden="false" customHeight="false" outlineLevel="0" collapsed="false">
      <c r="L511" s="31" t="n">
        <f aca="true">NORMSINV(RAND())*$G$7+$G$6</f>
        <v>0.00774750945211341</v>
      </c>
    </row>
    <row r="512" customFormat="false" ht="15" hidden="false" customHeight="false" outlineLevel="0" collapsed="false">
      <c r="L512" s="31" t="n">
        <f aca="true">NORMSINV(RAND())*$G$7+$G$6</f>
        <v>-0.00386272219555593</v>
      </c>
    </row>
    <row r="513" customFormat="false" ht="15" hidden="false" customHeight="false" outlineLevel="0" collapsed="false">
      <c r="L513" s="31" t="n">
        <f aca="true">NORMSINV(RAND())*$G$7+$G$6</f>
        <v>0.0227594681314507</v>
      </c>
    </row>
    <row r="514" customFormat="false" ht="15" hidden="false" customHeight="false" outlineLevel="0" collapsed="false">
      <c r="L514" s="31" t="n">
        <f aca="true">NORMSINV(RAND())*$G$7+$G$6</f>
        <v>0.0323510793087134</v>
      </c>
    </row>
    <row r="515" customFormat="false" ht="15" hidden="false" customHeight="false" outlineLevel="0" collapsed="false">
      <c r="L515" s="31" t="n">
        <f aca="true">NORMSINV(RAND())*$G$7+$G$6</f>
        <v>-0.0194298964071024</v>
      </c>
    </row>
    <row r="516" customFormat="false" ht="15" hidden="false" customHeight="false" outlineLevel="0" collapsed="false">
      <c r="L516" s="31" t="n">
        <f aca="true">NORMSINV(RAND())*$G$7+$G$6</f>
        <v>0.0176687182755138</v>
      </c>
    </row>
    <row r="517" customFormat="false" ht="15" hidden="false" customHeight="false" outlineLevel="0" collapsed="false">
      <c r="L517" s="31" t="n">
        <f aca="true">NORMSINV(RAND())*$G$7+$G$6</f>
        <v>-0.00490224268307388</v>
      </c>
    </row>
    <row r="518" customFormat="false" ht="15" hidden="false" customHeight="false" outlineLevel="0" collapsed="false">
      <c r="L518" s="31" t="n">
        <f aca="true">NORMSINV(RAND())*$G$7+$G$6</f>
        <v>-0.00343162756397097</v>
      </c>
    </row>
    <row r="519" customFormat="false" ht="15" hidden="false" customHeight="false" outlineLevel="0" collapsed="false">
      <c r="L519" s="31" t="n">
        <f aca="true">NORMSINV(RAND())*$G$7+$G$6</f>
        <v>-0.0143826726319545</v>
      </c>
    </row>
    <row r="520" customFormat="false" ht="15" hidden="false" customHeight="false" outlineLevel="0" collapsed="false">
      <c r="L520" s="31" t="n">
        <f aca="true">NORMSINV(RAND())*$G$7+$G$6</f>
        <v>-0.00955303691153428</v>
      </c>
    </row>
    <row r="521" customFormat="false" ht="15" hidden="false" customHeight="false" outlineLevel="0" collapsed="false">
      <c r="L521" s="31" t="n">
        <f aca="true">NORMSINV(RAND())*$G$7+$G$6</f>
        <v>-0.00187833803343776</v>
      </c>
    </row>
    <row r="522" customFormat="false" ht="15" hidden="false" customHeight="false" outlineLevel="0" collapsed="false">
      <c r="L522" s="31" t="n">
        <f aca="true">NORMSINV(RAND())*$G$7+$G$6</f>
        <v>0.0107690781401815</v>
      </c>
    </row>
    <row r="523" customFormat="false" ht="15" hidden="false" customHeight="false" outlineLevel="0" collapsed="false">
      <c r="L523" s="31" t="n">
        <f aca="true">NORMSINV(RAND())*$G$7+$G$6</f>
        <v>0.00930016003961494</v>
      </c>
    </row>
    <row r="524" customFormat="false" ht="15" hidden="false" customHeight="false" outlineLevel="0" collapsed="false">
      <c r="L524" s="31" t="n">
        <f aca="true">NORMSINV(RAND())*$G$7+$G$6</f>
        <v>0.00684501381313931</v>
      </c>
    </row>
    <row r="525" customFormat="false" ht="15" hidden="false" customHeight="false" outlineLevel="0" collapsed="false">
      <c r="L525" s="31" t="n">
        <f aca="true">NORMSINV(RAND())*$G$7+$G$6</f>
        <v>-0.0241033031568568</v>
      </c>
    </row>
    <row r="526" customFormat="false" ht="15" hidden="false" customHeight="false" outlineLevel="0" collapsed="false">
      <c r="L526" s="31" t="n">
        <f aca="true">NORMSINV(RAND())*$G$7+$G$6</f>
        <v>0.0212453960812273</v>
      </c>
    </row>
    <row r="527" customFormat="false" ht="15" hidden="false" customHeight="false" outlineLevel="0" collapsed="false">
      <c r="L527" s="31" t="n">
        <f aca="true">NORMSINV(RAND())*$G$7+$G$6</f>
        <v>0.0282309036758071</v>
      </c>
    </row>
    <row r="528" customFormat="false" ht="15" hidden="false" customHeight="false" outlineLevel="0" collapsed="false">
      <c r="L528" s="31" t="n">
        <f aca="true">NORMSINV(RAND())*$G$7+$G$6</f>
        <v>-0.00962010755439691</v>
      </c>
    </row>
    <row r="529" customFormat="false" ht="15" hidden="false" customHeight="false" outlineLevel="0" collapsed="false">
      <c r="L529" s="31" t="n">
        <f aca="true">NORMSINV(RAND())*$G$7+$G$6</f>
        <v>-0.0180473404089086</v>
      </c>
    </row>
    <row r="530" customFormat="false" ht="15" hidden="false" customHeight="false" outlineLevel="0" collapsed="false">
      <c r="L530" s="31" t="n">
        <f aca="true">NORMSINV(RAND())*$G$7+$G$6</f>
        <v>0.0260191923930454</v>
      </c>
    </row>
    <row r="531" customFormat="false" ht="15" hidden="false" customHeight="false" outlineLevel="0" collapsed="false">
      <c r="L531" s="31" t="n">
        <f aca="true">NORMSINV(RAND())*$G$7+$G$6</f>
        <v>0.00389605016903</v>
      </c>
    </row>
    <row r="532" customFormat="false" ht="15" hidden="false" customHeight="false" outlineLevel="0" collapsed="false">
      <c r="L532" s="31" t="n">
        <f aca="true">NORMSINV(RAND())*$G$7+$G$6</f>
        <v>-0.00178960885870242</v>
      </c>
    </row>
    <row r="533" customFormat="false" ht="15" hidden="false" customHeight="false" outlineLevel="0" collapsed="false">
      <c r="L533" s="31" t="n">
        <f aca="true">NORMSINV(RAND())*$G$7+$G$6</f>
        <v>0.0174099319982281</v>
      </c>
    </row>
    <row r="534" customFormat="false" ht="15" hidden="false" customHeight="false" outlineLevel="0" collapsed="false">
      <c r="L534" s="31" t="n">
        <f aca="true">NORMSINV(RAND())*$G$7+$G$6</f>
        <v>-0.0189581243730887</v>
      </c>
    </row>
    <row r="535" customFormat="false" ht="15" hidden="false" customHeight="false" outlineLevel="0" collapsed="false">
      <c r="L535" s="31" t="n">
        <f aca="true">NORMSINV(RAND())*$G$7+$G$6</f>
        <v>-0.0269078422477157</v>
      </c>
    </row>
    <row r="536" customFormat="false" ht="15" hidden="false" customHeight="false" outlineLevel="0" collapsed="false">
      <c r="L536" s="31" t="n">
        <f aca="true">NORMSINV(RAND())*$G$7+$G$6</f>
        <v>0.00703829076266193</v>
      </c>
    </row>
    <row r="537" customFormat="false" ht="15" hidden="false" customHeight="false" outlineLevel="0" collapsed="false">
      <c r="L537" s="31" t="n">
        <f aca="true">NORMSINV(RAND())*$G$7+$G$6</f>
        <v>0.00723460593456322</v>
      </c>
    </row>
    <row r="538" customFormat="false" ht="15" hidden="false" customHeight="false" outlineLevel="0" collapsed="false">
      <c r="L538" s="31" t="n">
        <f aca="true">NORMSINV(RAND())*$G$7+$G$6</f>
        <v>0.0280906616858495</v>
      </c>
    </row>
    <row r="539" customFormat="false" ht="15" hidden="false" customHeight="false" outlineLevel="0" collapsed="false">
      <c r="L539" s="31" t="n">
        <f aca="true">NORMSINV(RAND())*$G$7+$G$6</f>
        <v>-0.0106771235721794</v>
      </c>
    </row>
    <row r="540" customFormat="false" ht="15" hidden="false" customHeight="false" outlineLevel="0" collapsed="false">
      <c r="L540" s="31" t="n">
        <f aca="true">NORMSINV(RAND())*$G$7+$G$6</f>
        <v>-0.00963926033959262</v>
      </c>
    </row>
    <row r="541" customFormat="false" ht="15" hidden="false" customHeight="false" outlineLevel="0" collapsed="false">
      <c r="L541" s="31" t="n">
        <f aca="true">NORMSINV(RAND())*$G$7+$G$6</f>
        <v>-0.0143369003604909</v>
      </c>
    </row>
    <row r="542" customFormat="false" ht="15" hidden="false" customHeight="false" outlineLevel="0" collapsed="false">
      <c r="L542" s="31" t="n">
        <f aca="true">NORMSINV(RAND())*$G$7+$G$6</f>
        <v>0.021697644016687</v>
      </c>
    </row>
    <row r="543" customFormat="false" ht="15" hidden="false" customHeight="false" outlineLevel="0" collapsed="false">
      <c r="L543" s="31" t="n">
        <f aca="true">NORMSINV(RAND())*$G$7+$G$6</f>
        <v>0.0171971830726092</v>
      </c>
    </row>
    <row r="544" customFormat="false" ht="15" hidden="false" customHeight="false" outlineLevel="0" collapsed="false">
      <c r="L544" s="31" t="n">
        <f aca="true">NORMSINV(RAND())*$G$7+$G$6</f>
        <v>0.0207808111916784</v>
      </c>
    </row>
    <row r="545" customFormat="false" ht="15" hidden="false" customHeight="false" outlineLevel="0" collapsed="false">
      <c r="L545" s="31" t="n">
        <f aca="true">NORMSINV(RAND())*$G$7+$G$6</f>
        <v>0.013497046936932</v>
      </c>
    </row>
    <row r="546" customFormat="false" ht="15" hidden="false" customHeight="false" outlineLevel="0" collapsed="false">
      <c r="L546" s="31" t="n">
        <f aca="true">NORMSINV(RAND())*$G$7+$G$6</f>
        <v>0.00748153686487487</v>
      </c>
    </row>
    <row r="547" customFormat="false" ht="15" hidden="false" customHeight="false" outlineLevel="0" collapsed="false">
      <c r="L547" s="31" t="n">
        <f aca="true">NORMSINV(RAND())*$G$7+$G$6</f>
        <v>0.0237461225866816</v>
      </c>
    </row>
    <row r="548" customFormat="false" ht="15" hidden="false" customHeight="false" outlineLevel="0" collapsed="false">
      <c r="L548" s="31" t="n">
        <f aca="true">NORMSINV(RAND())*$G$7+$G$6</f>
        <v>0.00382765883202318</v>
      </c>
    </row>
    <row r="549" customFormat="false" ht="15" hidden="false" customHeight="false" outlineLevel="0" collapsed="false">
      <c r="L549" s="31" t="n">
        <f aca="true">NORMSINV(RAND())*$G$7+$G$6</f>
        <v>0.00641372174403481</v>
      </c>
    </row>
    <row r="550" customFormat="false" ht="15" hidden="false" customHeight="false" outlineLevel="0" collapsed="false">
      <c r="L550" s="31" t="n">
        <f aca="true">NORMSINV(RAND())*$G$7+$G$6</f>
        <v>-0.0255958640485532</v>
      </c>
    </row>
    <row r="551" customFormat="false" ht="15" hidden="false" customHeight="false" outlineLevel="0" collapsed="false">
      <c r="L551" s="31" t="n">
        <f aca="true">NORMSINV(RAND())*$G$7+$G$6</f>
        <v>0.0131938531206803</v>
      </c>
    </row>
    <row r="552" customFormat="false" ht="15" hidden="false" customHeight="false" outlineLevel="0" collapsed="false">
      <c r="L552" s="31" t="n">
        <f aca="true">NORMSINV(RAND())*$G$7+$G$6</f>
        <v>-0.00462822573841005</v>
      </c>
    </row>
    <row r="553" customFormat="false" ht="15" hidden="false" customHeight="false" outlineLevel="0" collapsed="false">
      <c r="L553" s="31" t="n">
        <f aca="true">NORMSINV(RAND())*$G$7+$G$6</f>
        <v>0.00718160968245596</v>
      </c>
    </row>
    <row r="554" customFormat="false" ht="15" hidden="false" customHeight="false" outlineLevel="0" collapsed="false">
      <c r="L554" s="31" t="n">
        <f aca="true">NORMSINV(RAND())*$G$7+$G$6</f>
        <v>-0.0185913867934122</v>
      </c>
    </row>
    <row r="555" customFormat="false" ht="15" hidden="false" customHeight="false" outlineLevel="0" collapsed="false">
      <c r="L555" s="31" t="n">
        <f aca="true">NORMSINV(RAND())*$G$7+$G$6</f>
        <v>-0.0107441720428705</v>
      </c>
    </row>
    <row r="556" customFormat="false" ht="15" hidden="false" customHeight="false" outlineLevel="0" collapsed="false">
      <c r="L556" s="31" t="n">
        <f aca="true">NORMSINV(RAND())*$G$7+$G$6</f>
        <v>-0.0107087208254777</v>
      </c>
    </row>
    <row r="557" customFormat="false" ht="15" hidden="false" customHeight="false" outlineLevel="0" collapsed="false">
      <c r="L557" s="31" t="n">
        <f aca="true">NORMSINV(RAND())*$G$7+$G$6</f>
        <v>-0.000858539151207832</v>
      </c>
    </row>
    <row r="558" customFormat="false" ht="15" hidden="false" customHeight="false" outlineLevel="0" collapsed="false">
      <c r="L558" s="31" t="n">
        <f aca="true">NORMSINV(RAND())*$G$7+$G$6</f>
        <v>-0.0100058748648557</v>
      </c>
    </row>
    <row r="559" customFormat="false" ht="15" hidden="false" customHeight="false" outlineLevel="0" collapsed="false">
      <c r="L559" s="31" t="n">
        <f aca="true">NORMSINV(RAND())*$G$7+$G$6</f>
        <v>0.00578325431823768</v>
      </c>
    </row>
    <row r="560" customFormat="false" ht="15" hidden="false" customHeight="false" outlineLevel="0" collapsed="false">
      <c r="L560" s="31" t="n">
        <f aca="true">NORMSINV(RAND())*$G$7+$G$6</f>
        <v>-0.000643378422443018</v>
      </c>
    </row>
    <row r="561" customFormat="false" ht="15" hidden="false" customHeight="false" outlineLevel="0" collapsed="false">
      <c r="L561" s="31" t="n">
        <f aca="true">NORMSINV(RAND())*$G$7+$G$6</f>
        <v>-0.0324750020543867</v>
      </c>
    </row>
    <row r="562" customFormat="false" ht="15" hidden="false" customHeight="false" outlineLevel="0" collapsed="false">
      <c r="L562" s="31" t="n">
        <f aca="true">NORMSINV(RAND())*$G$7+$G$6</f>
        <v>0.00839426559835865</v>
      </c>
    </row>
    <row r="563" customFormat="false" ht="15" hidden="false" customHeight="false" outlineLevel="0" collapsed="false">
      <c r="L563" s="31" t="n">
        <f aca="true">NORMSINV(RAND())*$G$7+$G$6</f>
        <v>-0.00578017886713521</v>
      </c>
    </row>
    <row r="564" customFormat="false" ht="15" hidden="false" customHeight="false" outlineLevel="0" collapsed="false">
      <c r="L564" s="31" t="n">
        <f aca="true">NORMSINV(RAND())*$G$7+$G$6</f>
        <v>-0.00960195125115937</v>
      </c>
    </row>
    <row r="565" customFormat="false" ht="15" hidden="false" customHeight="false" outlineLevel="0" collapsed="false">
      <c r="L565" s="31" t="n">
        <f aca="true">NORMSINV(RAND())*$G$7+$G$6</f>
        <v>0.00705321166101584</v>
      </c>
    </row>
    <row r="566" customFormat="false" ht="15" hidden="false" customHeight="false" outlineLevel="0" collapsed="false">
      <c r="L566" s="31" t="n">
        <f aca="true">NORMSINV(RAND())*$G$7+$G$6</f>
        <v>0.00412268009560047</v>
      </c>
    </row>
    <row r="567" customFormat="false" ht="15" hidden="false" customHeight="false" outlineLevel="0" collapsed="false">
      <c r="L567" s="31" t="n">
        <f aca="true">NORMSINV(RAND())*$G$7+$G$6</f>
        <v>0.00289123848372112</v>
      </c>
    </row>
    <row r="568" customFormat="false" ht="15" hidden="false" customHeight="false" outlineLevel="0" collapsed="false">
      <c r="L568" s="31" t="n">
        <f aca="true">NORMSINV(RAND())*$G$7+$G$6</f>
        <v>-0.0205352460928446</v>
      </c>
    </row>
    <row r="569" customFormat="false" ht="15" hidden="false" customHeight="false" outlineLevel="0" collapsed="false">
      <c r="L569" s="31" t="n">
        <f aca="true">NORMSINV(RAND())*$G$7+$G$6</f>
        <v>-0.00682720298107798</v>
      </c>
    </row>
    <row r="570" customFormat="false" ht="15" hidden="false" customHeight="false" outlineLevel="0" collapsed="false">
      <c r="L570" s="31" t="n">
        <f aca="true">NORMSINV(RAND())*$G$7+$G$6</f>
        <v>-0.0206192329481833</v>
      </c>
    </row>
    <row r="571" customFormat="false" ht="15" hidden="false" customHeight="false" outlineLevel="0" collapsed="false">
      <c r="L571" s="31" t="n">
        <f aca="true">NORMSINV(RAND())*$G$7+$G$6</f>
        <v>0.00884231826252508</v>
      </c>
    </row>
    <row r="572" customFormat="false" ht="15" hidden="false" customHeight="false" outlineLevel="0" collapsed="false">
      <c r="L572" s="31" t="n">
        <f aca="true">NORMSINV(RAND())*$G$7+$G$6</f>
        <v>-0.0145173187524523</v>
      </c>
    </row>
    <row r="573" customFormat="false" ht="15" hidden="false" customHeight="false" outlineLevel="0" collapsed="false">
      <c r="L573" s="31" t="n">
        <f aca="true">NORMSINV(RAND())*$G$7+$G$6</f>
        <v>-0.0105327941353899</v>
      </c>
    </row>
    <row r="574" customFormat="false" ht="15" hidden="false" customHeight="false" outlineLevel="0" collapsed="false">
      <c r="L574" s="31" t="n">
        <f aca="true">NORMSINV(RAND())*$G$7+$G$6</f>
        <v>-0.000168815874193867</v>
      </c>
    </row>
    <row r="575" customFormat="false" ht="15" hidden="false" customHeight="false" outlineLevel="0" collapsed="false">
      <c r="L575" s="31" t="n">
        <f aca="true">NORMSINV(RAND())*$G$7+$G$6</f>
        <v>0.0188172159400236</v>
      </c>
    </row>
    <row r="576" customFormat="false" ht="15" hidden="false" customHeight="false" outlineLevel="0" collapsed="false">
      <c r="L576" s="31" t="n">
        <f aca="true">NORMSINV(RAND())*$G$7+$G$6</f>
        <v>0.0033097577827665</v>
      </c>
    </row>
    <row r="577" customFormat="false" ht="15" hidden="false" customHeight="false" outlineLevel="0" collapsed="false">
      <c r="L577" s="31" t="n">
        <f aca="true">NORMSINV(RAND())*$G$7+$G$6</f>
        <v>0.0148902074282446</v>
      </c>
    </row>
    <row r="578" customFormat="false" ht="15" hidden="false" customHeight="false" outlineLevel="0" collapsed="false">
      <c r="L578" s="31" t="n">
        <f aca="true">NORMSINV(RAND())*$G$7+$G$6</f>
        <v>0.0090859670701328</v>
      </c>
    </row>
    <row r="579" customFormat="false" ht="15" hidden="false" customHeight="false" outlineLevel="0" collapsed="false">
      <c r="L579" s="31" t="n">
        <f aca="true">NORMSINV(RAND())*$G$7+$G$6</f>
        <v>-0.00340622388954358</v>
      </c>
    </row>
    <row r="580" customFormat="false" ht="15" hidden="false" customHeight="false" outlineLevel="0" collapsed="false">
      <c r="L580" s="31" t="n">
        <f aca="true">NORMSINV(RAND())*$G$7+$G$6</f>
        <v>0.0237475091215712</v>
      </c>
    </row>
    <row r="581" customFormat="false" ht="15" hidden="false" customHeight="false" outlineLevel="0" collapsed="false">
      <c r="L581" s="31" t="n">
        <f aca="true">NORMSINV(RAND())*$G$7+$G$6</f>
        <v>-0.00580502973098906</v>
      </c>
    </row>
    <row r="582" customFormat="false" ht="15" hidden="false" customHeight="false" outlineLevel="0" collapsed="false">
      <c r="L582" s="31" t="n">
        <f aca="true">NORMSINV(RAND())*$G$7+$G$6</f>
        <v>0.00420382066589784</v>
      </c>
    </row>
    <row r="583" customFormat="false" ht="15" hidden="false" customHeight="false" outlineLevel="0" collapsed="false">
      <c r="L583" s="31" t="n">
        <f aca="true">NORMSINV(RAND())*$G$7+$G$6</f>
        <v>-0.00435044950036459</v>
      </c>
    </row>
    <row r="584" customFormat="false" ht="15" hidden="false" customHeight="false" outlineLevel="0" collapsed="false">
      <c r="L584" s="31" t="n">
        <f aca="true">NORMSINV(RAND())*$G$7+$G$6</f>
        <v>-0.00140382671840759</v>
      </c>
    </row>
    <row r="585" customFormat="false" ht="15" hidden="false" customHeight="false" outlineLevel="0" collapsed="false">
      <c r="L585" s="31" t="n">
        <f aca="true">NORMSINV(RAND())*$G$7+$G$6</f>
        <v>0.000557257424242479</v>
      </c>
    </row>
    <row r="586" customFormat="false" ht="15" hidden="false" customHeight="false" outlineLevel="0" collapsed="false">
      <c r="L586" s="31" t="n">
        <f aca="true">NORMSINV(RAND())*$G$7+$G$6</f>
        <v>-0.0146890028840938</v>
      </c>
    </row>
    <row r="587" customFormat="false" ht="15" hidden="false" customHeight="false" outlineLevel="0" collapsed="false">
      <c r="L587" s="31" t="n">
        <f aca="true">NORMSINV(RAND())*$G$7+$G$6</f>
        <v>0.00966817559178796</v>
      </c>
    </row>
    <row r="588" customFormat="false" ht="15" hidden="false" customHeight="false" outlineLevel="0" collapsed="false">
      <c r="L588" s="31" t="n">
        <f aca="true">NORMSINV(RAND())*$G$7+$G$6</f>
        <v>-0.00304238847968121</v>
      </c>
    </row>
    <row r="589" customFormat="false" ht="15" hidden="false" customHeight="false" outlineLevel="0" collapsed="false">
      <c r="L589" s="31" t="n">
        <f aca="true">NORMSINV(RAND())*$G$7+$G$6</f>
        <v>0.000828024252566812</v>
      </c>
    </row>
    <row r="590" customFormat="false" ht="15" hidden="false" customHeight="false" outlineLevel="0" collapsed="false">
      <c r="L590" s="31" t="n">
        <f aca="true">NORMSINV(RAND())*$G$7+$G$6</f>
        <v>0.00786227046540233</v>
      </c>
    </row>
    <row r="591" customFormat="false" ht="15" hidden="false" customHeight="false" outlineLevel="0" collapsed="false">
      <c r="L591" s="31" t="n">
        <f aca="true">NORMSINV(RAND())*$G$7+$G$6</f>
        <v>0.0110586749472688</v>
      </c>
    </row>
    <row r="592" customFormat="false" ht="15" hidden="false" customHeight="false" outlineLevel="0" collapsed="false">
      <c r="L592" s="31" t="n">
        <f aca="true">NORMSINV(RAND())*$G$7+$G$6</f>
        <v>0.00420237722542312</v>
      </c>
    </row>
    <row r="593" customFormat="false" ht="15" hidden="false" customHeight="false" outlineLevel="0" collapsed="false">
      <c r="L593" s="31" t="n">
        <f aca="true">NORMSINV(RAND())*$G$7+$G$6</f>
        <v>-0.00270521759481082</v>
      </c>
    </row>
    <row r="594" customFormat="false" ht="15" hidden="false" customHeight="false" outlineLevel="0" collapsed="false">
      <c r="L594" s="31" t="n">
        <f aca="true">NORMSINV(RAND())*$G$7+$G$6</f>
        <v>-0.0111759462062413</v>
      </c>
    </row>
    <row r="595" customFormat="false" ht="15" hidden="false" customHeight="false" outlineLevel="0" collapsed="false">
      <c r="L595" s="31" t="n">
        <f aca="true">NORMSINV(RAND())*$G$7+$G$6</f>
        <v>0.020474561987184</v>
      </c>
    </row>
    <row r="596" customFormat="false" ht="15" hidden="false" customHeight="false" outlineLevel="0" collapsed="false">
      <c r="L596" s="31" t="n">
        <f aca="true">NORMSINV(RAND())*$G$7+$G$6</f>
        <v>0.0164253117966707</v>
      </c>
    </row>
    <row r="597" customFormat="false" ht="15" hidden="false" customHeight="false" outlineLevel="0" collapsed="false">
      <c r="L597" s="31" t="n">
        <f aca="true">NORMSINV(RAND())*$G$7+$G$6</f>
        <v>0.0167027787462113</v>
      </c>
    </row>
    <row r="598" customFormat="false" ht="15" hidden="false" customHeight="false" outlineLevel="0" collapsed="false">
      <c r="L598" s="31" t="n">
        <f aca="true">NORMSINV(RAND())*$G$7+$G$6</f>
        <v>0.0212239982730224</v>
      </c>
    </row>
    <row r="599" customFormat="false" ht="15" hidden="false" customHeight="false" outlineLevel="0" collapsed="false">
      <c r="L599" s="31" t="n">
        <f aca="true">NORMSINV(RAND())*$G$7+$G$6</f>
        <v>-0.00775806036723924</v>
      </c>
    </row>
    <row r="600" customFormat="false" ht="15" hidden="false" customHeight="false" outlineLevel="0" collapsed="false">
      <c r="L600" s="31" t="n">
        <f aca="true">NORMSINV(RAND())*$G$7+$G$6</f>
        <v>-0.0142851209845945</v>
      </c>
    </row>
    <row r="601" customFormat="false" ht="15" hidden="false" customHeight="false" outlineLevel="0" collapsed="false">
      <c r="L601" s="31" t="n">
        <f aca="true">NORMSINV(RAND())*$G$7+$G$6</f>
        <v>0.00845502708807587</v>
      </c>
    </row>
    <row r="602" customFormat="false" ht="15" hidden="false" customHeight="false" outlineLevel="0" collapsed="false">
      <c r="L602" s="31" t="n">
        <f aca="true">NORMSINV(RAND())*$G$7+$G$6</f>
        <v>0.00836682770762364</v>
      </c>
    </row>
    <row r="603" customFormat="false" ht="15" hidden="false" customHeight="false" outlineLevel="0" collapsed="false">
      <c r="L603" s="31" t="n">
        <f aca="true">NORMSINV(RAND())*$G$7+$G$6</f>
        <v>0.00545955619322445</v>
      </c>
    </row>
    <row r="604" customFormat="false" ht="15" hidden="false" customHeight="false" outlineLevel="0" collapsed="false">
      <c r="L604" s="31" t="n">
        <f aca="true">NORMSINV(RAND())*$G$7+$G$6</f>
        <v>0.0211225370927736</v>
      </c>
    </row>
    <row r="605" customFormat="false" ht="15" hidden="false" customHeight="false" outlineLevel="0" collapsed="false">
      <c r="L605" s="31" t="n">
        <f aca="true">NORMSINV(RAND())*$G$7+$G$6</f>
        <v>0.015833789465051</v>
      </c>
    </row>
    <row r="606" customFormat="false" ht="15" hidden="false" customHeight="false" outlineLevel="0" collapsed="false">
      <c r="L606" s="31" t="n">
        <f aca="true">NORMSINV(RAND())*$G$7+$G$6</f>
        <v>-0.00614826889812944</v>
      </c>
    </row>
    <row r="607" customFormat="false" ht="15" hidden="false" customHeight="false" outlineLevel="0" collapsed="false">
      <c r="L607" s="31" t="n">
        <f aca="true">NORMSINV(RAND())*$G$7+$G$6</f>
        <v>0.0135101625520785</v>
      </c>
    </row>
    <row r="608" customFormat="false" ht="15" hidden="false" customHeight="false" outlineLevel="0" collapsed="false">
      <c r="L608" s="31" t="n">
        <f aca="true">NORMSINV(RAND())*$G$7+$G$6</f>
        <v>-0.0198519849800196</v>
      </c>
    </row>
    <row r="609" customFormat="false" ht="15" hidden="false" customHeight="false" outlineLevel="0" collapsed="false">
      <c r="L609" s="31" t="n">
        <f aca="true">NORMSINV(RAND())*$G$7+$G$6</f>
        <v>-0.0247646856899392</v>
      </c>
    </row>
    <row r="610" customFormat="false" ht="15" hidden="false" customHeight="false" outlineLevel="0" collapsed="false">
      <c r="L610" s="31" t="n">
        <f aca="true">NORMSINV(RAND())*$G$7+$G$6</f>
        <v>0.00663333812318972</v>
      </c>
    </row>
    <row r="611" customFormat="false" ht="15" hidden="false" customHeight="false" outlineLevel="0" collapsed="false">
      <c r="L611" s="31" t="n">
        <f aca="true">NORMSINV(RAND())*$G$7+$G$6</f>
        <v>-0.0123123466175169</v>
      </c>
    </row>
    <row r="612" customFormat="false" ht="15" hidden="false" customHeight="false" outlineLevel="0" collapsed="false">
      <c r="L612" s="31" t="n">
        <f aca="true">NORMSINV(RAND())*$G$7+$G$6</f>
        <v>0.0142407328866927</v>
      </c>
    </row>
    <row r="613" customFormat="false" ht="15" hidden="false" customHeight="false" outlineLevel="0" collapsed="false">
      <c r="L613" s="31" t="n">
        <f aca="true">NORMSINV(RAND())*$G$7+$G$6</f>
        <v>-0.0101495883189778</v>
      </c>
    </row>
    <row r="614" customFormat="false" ht="15" hidden="false" customHeight="false" outlineLevel="0" collapsed="false">
      <c r="L614" s="31" t="n">
        <f aca="true">NORMSINV(RAND())*$G$7+$G$6</f>
        <v>-0.0140484039358209</v>
      </c>
    </row>
    <row r="615" customFormat="false" ht="15" hidden="false" customHeight="false" outlineLevel="0" collapsed="false">
      <c r="L615" s="31" t="n">
        <f aca="true">NORMSINV(RAND())*$G$7+$G$6</f>
        <v>0.0157553656046064</v>
      </c>
    </row>
    <row r="616" customFormat="false" ht="15" hidden="false" customHeight="false" outlineLevel="0" collapsed="false">
      <c r="L616" s="31" t="n">
        <f aca="true">NORMSINV(RAND())*$G$7+$G$6</f>
        <v>0.0110961773060949</v>
      </c>
    </row>
    <row r="617" customFormat="false" ht="15" hidden="false" customHeight="false" outlineLevel="0" collapsed="false">
      <c r="L617" s="31" t="n">
        <f aca="true">NORMSINV(RAND())*$G$7+$G$6</f>
        <v>0.0150921970392232</v>
      </c>
    </row>
    <row r="618" customFormat="false" ht="15" hidden="false" customHeight="false" outlineLevel="0" collapsed="false">
      <c r="L618" s="31" t="n">
        <f aca="true">NORMSINV(RAND())*$G$7+$G$6</f>
        <v>0.00259301430177283</v>
      </c>
    </row>
    <row r="619" customFormat="false" ht="15" hidden="false" customHeight="false" outlineLevel="0" collapsed="false">
      <c r="L619" s="31" t="n">
        <f aca="true">NORMSINV(RAND())*$G$7+$G$6</f>
        <v>0.00166332767655025</v>
      </c>
    </row>
    <row r="620" customFormat="false" ht="15" hidden="false" customHeight="false" outlineLevel="0" collapsed="false">
      <c r="L620" s="31" t="n">
        <f aca="true">NORMSINV(RAND())*$G$7+$G$6</f>
        <v>-0.0120659852455555</v>
      </c>
    </row>
    <row r="621" customFormat="false" ht="15" hidden="false" customHeight="false" outlineLevel="0" collapsed="false">
      <c r="L621" s="31" t="n">
        <f aca="true">NORMSINV(RAND())*$G$7+$G$6</f>
        <v>0.0171704268573626</v>
      </c>
    </row>
    <row r="622" customFormat="false" ht="15" hidden="false" customHeight="false" outlineLevel="0" collapsed="false">
      <c r="L622" s="31" t="n">
        <f aca="true">NORMSINV(RAND())*$G$7+$G$6</f>
        <v>0.000597808352406438</v>
      </c>
    </row>
    <row r="623" customFormat="false" ht="15" hidden="false" customHeight="false" outlineLevel="0" collapsed="false">
      <c r="L623" s="31" t="n">
        <f aca="true">NORMSINV(RAND())*$G$7+$G$6</f>
        <v>0.00508151152505534</v>
      </c>
    </row>
    <row r="624" customFormat="false" ht="15" hidden="false" customHeight="false" outlineLevel="0" collapsed="false">
      <c r="L624" s="31" t="n">
        <f aca="true">NORMSINV(RAND())*$G$7+$G$6</f>
        <v>0.00543136864092805</v>
      </c>
    </row>
    <row r="625" customFormat="false" ht="15" hidden="false" customHeight="false" outlineLevel="0" collapsed="false">
      <c r="L625" s="31" t="n">
        <f aca="true">NORMSINV(RAND())*$G$7+$G$6</f>
        <v>-0.0126240619136979</v>
      </c>
    </row>
    <row r="626" customFormat="false" ht="15" hidden="false" customHeight="false" outlineLevel="0" collapsed="false">
      <c r="L626" s="31" t="n">
        <f aca="true">NORMSINV(RAND())*$G$7+$G$6</f>
        <v>-0.00771091693826537</v>
      </c>
    </row>
    <row r="627" customFormat="false" ht="15" hidden="false" customHeight="false" outlineLevel="0" collapsed="false">
      <c r="L627" s="31" t="n">
        <f aca="true">NORMSINV(RAND())*$G$7+$G$6</f>
        <v>-0.0126847459044604</v>
      </c>
    </row>
    <row r="628" customFormat="false" ht="15" hidden="false" customHeight="false" outlineLevel="0" collapsed="false">
      <c r="L628" s="31" t="n">
        <f aca="true">NORMSINV(RAND())*$G$7+$G$6</f>
        <v>0.00316752330433502</v>
      </c>
    </row>
    <row r="629" customFormat="false" ht="15" hidden="false" customHeight="false" outlineLevel="0" collapsed="false">
      <c r="L629" s="31" t="n">
        <f aca="true">NORMSINV(RAND())*$G$7+$G$6</f>
        <v>0.0156967027937387</v>
      </c>
    </row>
    <row r="630" customFormat="false" ht="15" hidden="false" customHeight="false" outlineLevel="0" collapsed="false">
      <c r="L630" s="31" t="n">
        <f aca="true">NORMSINV(RAND())*$G$7+$G$6</f>
        <v>-0.00899473199395494</v>
      </c>
    </row>
    <row r="631" customFormat="false" ht="15" hidden="false" customHeight="false" outlineLevel="0" collapsed="false">
      <c r="L631" s="31" t="n">
        <f aca="true">NORMSINV(RAND())*$G$7+$G$6</f>
        <v>0.00984077020913123</v>
      </c>
    </row>
    <row r="632" customFormat="false" ht="15" hidden="false" customHeight="false" outlineLevel="0" collapsed="false">
      <c r="L632" s="31" t="n">
        <f aca="true">NORMSINV(RAND())*$G$7+$G$6</f>
        <v>0.0101158199550241</v>
      </c>
    </row>
    <row r="633" customFormat="false" ht="15" hidden="false" customHeight="false" outlineLevel="0" collapsed="false">
      <c r="L633" s="31" t="n">
        <f aca="true">NORMSINV(RAND())*$G$7+$G$6</f>
        <v>-0.0175960524604818</v>
      </c>
    </row>
    <row r="634" customFormat="false" ht="15" hidden="false" customHeight="false" outlineLevel="0" collapsed="false">
      <c r="L634" s="31" t="n">
        <f aca="true">NORMSINV(RAND())*$G$7+$G$6</f>
        <v>0.00170786819382901</v>
      </c>
    </row>
    <row r="635" customFormat="false" ht="15" hidden="false" customHeight="false" outlineLevel="0" collapsed="false">
      <c r="L635" s="31" t="n">
        <f aca="true">NORMSINV(RAND())*$G$7+$G$6</f>
        <v>9.09756003936599E-005</v>
      </c>
    </row>
    <row r="636" customFormat="false" ht="15" hidden="false" customHeight="false" outlineLevel="0" collapsed="false">
      <c r="L636" s="31" t="n">
        <f aca="true">NORMSINV(RAND())*$G$7+$G$6</f>
        <v>-0.0142846061532868</v>
      </c>
    </row>
    <row r="637" customFormat="false" ht="15" hidden="false" customHeight="false" outlineLevel="0" collapsed="false">
      <c r="L637" s="31" t="n">
        <f aca="true">NORMSINV(RAND())*$G$7+$G$6</f>
        <v>-0.0179138908083282</v>
      </c>
    </row>
    <row r="638" customFormat="false" ht="15" hidden="false" customHeight="false" outlineLevel="0" collapsed="false">
      <c r="L638" s="31" t="n">
        <f aca="true">NORMSINV(RAND())*$G$7+$G$6</f>
        <v>0.00696112869732201</v>
      </c>
    </row>
    <row r="639" customFormat="false" ht="15" hidden="false" customHeight="false" outlineLevel="0" collapsed="false">
      <c r="L639" s="31" t="n">
        <f aca="true">NORMSINV(RAND())*$G$7+$G$6</f>
        <v>0.00952154588314442</v>
      </c>
    </row>
    <row r="640" customFormat="false" ht="15" hidden="false" customHeight="false" outlineLevel="0" collapsed="false">
      <c r="L640" s="31" t="n">
        <f aca="true">NORMSINV(RAND())*$G$7+$G$6</f>
        <v>-0.0134104652845939</v>
      </c>
    </row>
    <row r="641" customFormat="false" ht="15" hidden="false" customHeight="false" outlineLevel="0" collapsed="false">
      <c r="L641" s="31" t="n">
        <f aca="true">NORMSINV(RAND())*$G$7+$G$6</f>
        <v>0.00990424372058401</v>
      </c>
    </row>
    <row r="642" customFormat="false" ht="15" hidden="false" customHeight="false" outlineLevel="0" collapsed="false">
      <c r="L642" s="31" t="n">
        <f aca="true">NORMSINV(RAND())*$G$7+$G$6</f>
        <v>-0.00529206023741065</v>
      </c>
    </row>
    <row r="643" customFormat="false" ht="15" hidden="false" customHeight="false" outlineLevel="0" collapsed="false">
      <c r="L643" s="31" t="n">
        <f aca="true">NORMSINV(RAND())*$G$7+$G$6</f>
        <v>0.0216353856110208</v>
      </c>
    </row>
    <row r="644" customFormat="false" ht="15" hidden="false" customHeight="false" outlineLevel="0" collapsed="false">
      <c r="L644" s="31" t="n">
        <f aca="true">NORMSINV(RAND())*$G$7+$G$6</f>
        <v>0.00821333342478095</v>
      </c>
    </row>
    <row r="645" customFormat="false" ht="15" hidden="false" customHeight="false" outlineLevel="0" collapsed="false">
      <c r="L645" s="31" t="n">
        <f aca="true">NORMSINV(RAND())*$G$7+$G$6</f>
        <v>0.000622493982223939</v>
      </c>
    </row>
    <row r="646" customFormat="false" ht="15" hidden="false" customHeight="false" outlineLevel="0" collapsed="false">
      <c r="L646" s="31" t="n">
        <f aca="true">NORMSINV(RAND())*$G$7+$G$6</f>
        <v>-0.00374349449717106</v>
      </c>
    </row>
    <row r="647" customFormat="false" ht="15" hidden="false" customHeight="false" outlineLevel="0" collapsed="false">
      <c r="L647" s="31" t="n">
        <f aca="true">NORMSINV(RAND())*$G$7+$G$6</f>
        <v>-0.00201539795307863</v>
      </c>
    </row>
    <row r="648" customFormat="false" ht="15" hidden="false" customHeight="false" outlineLevel="0" collapsed="false">
      <c r="L648" s="31" t="n">
        <f aca="true">NORMSINV(RAND())*$G$7+$G$6</f>
        <v>0.0106910759940418</v>
      </c>
    </row>
    <row r="649" customFormat="false" ht="15" hidden="false" customHeight="false" outlineLevel="0" collapsed="false">
      <c r="L649" s="31" t="n">
        <f aca="true">NORMSINV(RAND())*$G$7+$G$6</f>
        <v>-0.00993140357717351</v>
      </c>
    </row>
    <row r="650" customFormat="false" ht="15" hidden="false" customHeight="false" outlineLevel="0" collapsed="false">
      <c r="L650" s="31" t="n">
        <f aca="true">NORMSINV(RAND())*$G$7+$G$6</f>
        <v>-0.0222521473127071</v>
      </c>
    </row>
    <row r="651" customFormat="false" ht="15" hidden="false" customHeight="false" outlineLevel="0" collapsed="false">
      <c r="L651" s="31" t="n">
        <f aca="true">NORMSINV(RAND())*$G$7+$G$6</f>
        <v>0.00376203242168283</v>
      </c>
    </row>
    <row r="652" customFormat="false" ht="15" hidden="false" customHeight="false" outlineLevel="0" collapsed="false">
      <c r="L652" s="31" t="n">
        <f aca="true">NORMSINV(RAND())*$G$7+$G$6</f>
        <v>0.00886932983495421</v>
      </c>
    </row>
    <row r="653" customFormat="false" ht="15" hidden="false" customHeight="false" outlineLevel="0" collapsed="false">
      <c r="L653" s="31" t="n">
        <f aca="true">NORMSINV(RAND())*$G$7+$G$6</f>
        <v>-0.0165695493275372</v>
      </c>
    </row>
    <row r="654" customFormat="false" ht="15" hidden="false" customHeight="false" outlineLevel="0" collapsed="false">
      <c r="L654" s="31" t="n">
        <f aca="true">NORMSINV(RAND())*$G$7+$G$6</f>
        <v>-0.0193195724031837</v>
      </c>
    </row>
    <row r="655" customFormat="false" ht="15" hidden="false" customHeight="false" outlineLevel="0" collapsed="false">
      <c r="L655" s="31" t="n">
        <f aca="true">NORMSINV(RAND())*$G$7+$G$6</f>
        <v>-0.0206356685276807</v>
      </c>
    </row>
    <row r="656" customFormat="false" ht="15" hidden="false" customHeight="false" outlineLevel="0" collapsed="false">
      <c r="L656" s="31" t="n">
        <f aca="true">NORMSINV(RAND())*$G$7+$G$6</f>
        <v>-0.0182077196659894</v>
      </c>
    </row>
    <row r="657" customFormat="false" ht="15" hidden="false" customHeight="false" outlineLevel="0" collapsed="false">
      <c r="L657" s="31" t="n">
        <f aca="true">NORMSINV(RAND())*$G$7+$G$6</f>
        <v>-0.00196524027350113</v>
      </c>
    </row>
    <row r="658" customFormat="false" ht="15" hidden="false" customHeight="false" outlineLevel="0" collapsed="false">
      <c r="L658" s="31" t="n">
        <f aca="true">NORMSINV(RAND())*$G$7+$G$6</f>
        <v>-0.0157343962070034</v>
      </c>
    </row>
    <row r="659" customFormat="false" ht="15" hidden="false" customHeight="false" outlineLevel="0" collapsed="false">
      <c r="L659" s="31" t="n">
        <f aca="true">NORMSINV(RAND())*$G$7+$G$6</f>
        <v>0.00320331033872165</v>
      </c>
    </row>
    <row r="660" customFormat="false" ht="15" hidden="false" customHeight="false" outlineLevel="0" collapsed="false">
      <c r="L660" s="31" t="n">
        <f aca="true">NORMSINV(RAND())*$G$7+$G$6</f>
        <v>0.00747380878679455</v>
      </c>
    </row>
    <row r="661" customFormat="false" ht="15" hidden="false" customHeight="false" outlineLevel="0" collapsed="false">
      <c r="L661" s="31" t="n">
        <f aca="true">NORMSINV(RAND())*$G$7+$G$6</f>
        <v>-0.0150852807934536</v>
      </c>
    </row>
    <row r="662" customFormat="false" ht="15" hidden="false" customHeight="false" outlineLevel="0" collapsed="false">
      <c r="L662" s="31" t="n">
        <f aca="true">NORMSINV(RAND())*$G$7+$G$6</f>
        <v>-0.00322692638741583</v>
      </c>
    </row>
    <row r="663" customFormat="false" ht="15" hidden="false" customHeight="false" outlineLevel="0" collapsed="false">
      <c r="L663" s="31" t="n">
        <f aca="true">NORMSINV(RAND())*$G$7+$G$6</f>
        <v>-0.011998869876969</v>
      </c>
    </row>
    <row r="664" customFormat="false" ht="15" hidden="false" customHeight="false" outlineLevel="0" collapsed="false">
      <c r="L664" s="31" t="n">
        <f aca="true">NORMSINV(RAND())*$G$7+$G$6</f>
        <v>0.00579875753485885</v>
      </c>
    </row>
    <row r="665" customFormat="false" ht="15" hidden="false" customHeight="false" outlineLevel="0" collapsed="false">
      <c r="L665" s="31" t="n">
        <f aca="true">NORMSINV(RAND())*$G$7+$G$6</f>
        <v>0.0110511642976182</v>
      </c>
    </row>
    <row r="666" customFormat="false" ht="15" hidden="false" customHeight="false" outlineLevel="0" collapsed="false">
      <c r="L666" s="31" t="n">
        <f aca="true">NORMSINV(RAND())*$G$7+$G$6</f>
        <v>-0.0268295174303569</v>
      </c>
    </row>
    <row r="667" customFormat="false" ht="15" hidden="false" customHeight="false" outlineLevel="0" collapsed="false">
      <c r="L667" s="31" t="n">
        <f aca="true">NORMSINV(RAND())*$G$7+$G$6</f>
        <v>0.0118560082372245</v>
      </c>
    </row>
    <row r="668" customFormat="false" ht="15" hidden="false" customHeight="false" outlineLevel="0" collapsed="false">
      <c r="L668" s="31" t="n">
        <f aca="true">NORMSINV(RAND())*$G$7+$G$6</f>
        <v>0.0144043926839568</v>
      </c>
    </row>
    <row r="669" customFormat="false" ht="15" hidden="false" customHeight="false" outlineLevel="0" collapsed="false">
      <c r="L669" s="31" t="n">
        <f aca="true">NORMSINV(RAND())*$G$7+$G$6</f>
        <v>0.0145164454760496</v>
      </c>
    </row>
    <row r="670" customFormat="false" ht="15" hidden="false" customHeight="false" outlineLevel="0" collapsed="false">
      <c r="L670" s="31" t="n">
        <f aca="true">NORMSINV(RAND())*$G$7+$G$6</f>
        <v>-0.00510161769415285</v>
      </c>
    </row>
    <row r="671" customFormat="false" ht="15" hidden="false" customHeight="false" outlineLevel="0" collapsed="false">
      <c r="L671" s="31" t="n">
        <f aca="true">NORMSINV(RAND())*$G$7+$G$6</f>
        <v>-0.0135304520331238</v>
      </c>
    </row>
    <row r="672" customFormat="false" ht="15" hidden="false" customHeight="false" outlineLevel="0" collapsed="false">
      <c r="L672" s="31" t="n">
        <f aca="true">NORMSINV(RAND())*$G$7+$G$6</f>
        <v>-0.0193635717638893</v>
      </c>
    </row>
    <row r="673" customFormat="false" ht="15" hidden="false" customHeight="false" outlineLevel="0" collapsed="false">
      <c r="L673" s="31" t="n">
        <f aca="true">NORMSINV(RAND())*$G$7+$G$6</f>
        <v>0.0333783836945075</v>
      </c>
    </row>
    <row r="674" customFormat="false" ht="15" hidden="false" customHeight="false" outlineLevel="0" collapsed="false">
      <c r="L674" s="31" t="n">
        <f aca="true">NORMSINV(RAND())*$G$7+$G$6</f>
        <v>-0.00788520517569835</v>
      </c>
    </row>
    <row r="675" customFormat="false" ht="15" hidden="false" customHeight="false" outlineLevel="0" collapsed="false">
      <c r="L675" s="31" t="n">
        <f aca="true">NORMSINV(RAND())*$G$7+$G$6</f>
        <v>-0.00416123851101731</v>
      </c>
    </row>
    <row r="676" customFormat="false" ht="15" hidden="false" customHeight="false" outlineLevel="0" collapsed="false">
      <c r="L676" s="31" t="n">
        <f aca="true">NORMSINV(RAND())*$G$7+$G$6</f>
        <v>-0.0137822896757781</v>
      </c>
    </row>
    <row r="677" customFormat="false" ht="15" hidden="false" customHeight="false" outlineLevel="0" collapsed="false">
      <c r="L677" s="31" t="n">
        <f aca="true">NORMSINV(RAND())*$G$7+$G$6</f>
        <v>0.0182871769613061</v>
      </c>
    </row>
    <row r="678" customFormat="false" ht="15" hidden="false" customHeight="false" outlineLevel="0" collapsed="false">
      <c r="L678" s="31" t="n">
        <f aca="true">NORMSINV(RAND())*$G$7+$G$6</f>
        <v>0.00698403002004898</v>
      </c>
    </row>
    <row r="679" customFormat="false" ht="15" hidden="false" customHeight="false" outlineLevel="0" collapsed="false">
      <c r="L679" s="31" t="n">
        <f aca="true">NORMSINV(RAND())*$G$7+$G$6</f>
        <v>-0.00839772116490612</v>
      </c>
    </row>
    <row r="680" customFormat="false" ht="15" hidden="false" customHeight="false" outlineLevel="0" collapsed="false">
      <c r="L680" s="31" t="n">
        <f aca="true">NORMSINV(RAND())*$G$7+$G$6</f>
        <v>0.0137492713047363</v>
      </c>
    </row>
    <row r="681" customFormat="false" ht="15" hidden="false" customHeight="false" outlineLevel="0" collapsed="false">
      <c r="L681" s="31" t="n">
        <f aca="true">NORMSINV(RAND())*$G$7+$G$6</f>
        <v>0.00566827756979214</v>
      </c>
    </row>
    <row r="682" customFormat="false" ht="15" hidden="false" customHeight="false" outlineLevel="0" collapsed="false">
      <c r="L682" s="31" t="n">
        <f aca="true">NORMSINV(RAND())*$G$7+$G$6</f>
        <v>-0.012829205472054</v>
      </c>
    </row>
    <row r="683" customFormat="false" ht="15" hidden="false" customHeight="false" outlineLevel="0" collapsed="false">
      <c r="L683" s="31" t="n">
        <f aca="true">NORMSINV(RAND())*$G$7+$G$6</f>
        <v>-0.0132075172084459</v>
      </c>
    </row>
    <row r="684" customFormat="false" ht="15" hidden="false" customHeight="false" outlineLevel="0" collapsed="false">
      <c r="L684" s="31" t="n">
        <f aca="true">NORMSINV(RAND())*$G$7+$G$6</f>
        <v>0.0132429922405561</v>
      </c>
    </row>
    <row r="685" customFormat="false" ht="15" hidden="false" customHeight="false" outlineLevel="0" collapsed="false">
      <c r="L685" s="31" t="n">
        <f aca="true">NORMSINV(RAND())*$G$7+$G$6</f>
        <v>0.0154085096219551</v>
      </c>
    </row>
    <row r="686" customFormat="false" ht="15" hidden="false" customHeight="false" outlineLevel="0" collapsed="false">
      <c r="L686" s="31" t="n">
        <f aca="true">NORMSINV(RAND())*$G$7+$G$6</f>
        <v>-0.0279164834240503</v>
      </c>
    </row>
    <row r="687" customFormat="false" ht="15" hidden="false" customHeight="false" outlineLevel="0" collapsed="false">
      <c r="L687" s="31" t="n">
        <f aca="true">NORMSINV(RAND())*$G$7+$G$6</f>
        <v>-0.00736372904638155</v>
      </c>
    </row>
    <row r="688" customFormat="false" ht="15" hidden="false" customHeight="false" outlineLevel="0" collapsed="false">
      <c r="L688" s="31" t="n">
        <f aca="true">NORMSINV(RAND())*$G$7+$G$6</f>
        <v>0.0129507750678701</v>
      </c>
    </row>
    <row r="689" customFormat="false" ht="15" hidden="false" customHeight="false" outlineLevel="0" collapsed="false">
      <c r="L689" s="31" t="n">
        <f aca="true">NORMSINV(RAND())*$G$7+$G$6</f>
        <v>-0.00144739543941834</v>
      </c>
    </row>
    <row r="690" customFormat="false" ht="15" hidden="false" customHeight="false" outlineLevel="0" collapsed="false">
      <c r="L690" s="31" t="n">
        <f aca="true">NORMSINV(RAND())*$G$7+$G$6</f>
        <v>-0.00543535751519654</v>
      </c>
    </row>
    <row r="691" customFormat="false" ht="15" hidden="false" customHeight="false" outlineLevel="0" collapsed="false">
      <c r="L691" s="31" t="n">
        <f aca="true">NORMSINV(RAND())*$G$7+$G$6</f>
        <v>-0.0140881807052411</v>
      </c>
    </row>
    <row r="692" customFormat="false" ht="15" hidden="false" customHeight="false" outlineLevel="0" collapsed="false">
      <c r="L692" s="31" t="n">
        <f aca="true">NORMSINV(RAND())*$G$7+$G$6</f>
        <v>-0.000820667480573697</v>
      </c>
    </row>
    <row r="693" customFormat="false" ht="15" hidden="false" customHeight="false" outlineLevel="0" collapsed="false">
      <c r="L693" s="31" t="n">
        <f aca="true">NORMSINV(RAND())*$G$7+$G$6</f>
        <v>-0.00902680149148396</v>
      </c>
    </row>
    <row r="694" customFormat="false" ht="15" hidden="false" customHeight="false" outlineLevel="0" collapsed="false">
      <c r="L694" s="31" t="n">
        <f aca="true">NORMSINV(RAND())*$G$7+$G$6</f>
        <v>-0.00577561472336685</v>
      </c>
    </row>
    <row r="695" customFormat="false" ht="15" hidden="false" customHeight="false" outlineLevel="0" collapsed="false">
      <c r="L695" s="31" t="n">
        <f aca="true">NORMSINV(RAND())*$G$7+$G$6</f>
        <v>0.0030842905235485</v>
      </c>
    </row>
    <row r="696" customFormat="false" ht="15" hidden="false" customHeight="false" outlineLevel="0" collapsed="false">
      <c r="L696" s="31" t="n">
        <f aca="true">NORMSINV(RAND())*$G$7+$G$6</f>
        <v>-0.00496104579929208</v>
      </c>
    </row>
    <row r="697" customFormat="false" ht="15" hidden="false" customHeight="false" outlineLevel="0" collapsed="false">
      <c r="L697" s="31" t="n">
        <f aca="true">NORMSINV(RAND())*$G$7+$G$6</f>
        <v>0.00135822170381932</v>
      </c>
    </row>
    <row r="698" customFormat="false" ht="15" hidden="false" customHeight="false" outlineLevel="0" collapsed="false">
      <c r="L698" s="31" t="n">
        <f aca="true">NORMSINV(RAND())*$G$7+$G$6</f>
        <v>-0.0107481404479111</v>
      </c>
    </row>
    <row r="699" customFormat="false" ht="15" hidden="false" customHeight="false" outlineLevel="0" collapsed="false">
      <c r="L699" s="31" t="n">
        <f aca="true">NORMSINV(RAND())*$G$7+$G$6</f>
        <v>0.000702351551622548</v>
      </c>
    </row>
    <row r="700" customFormat="false" ht="15" hidden="false" customHeight="false" outlineLevel="0" collapsed="false">
      <c r="L700" s="31" t="n">
        <f aca="true">NORMSINV(RAND())*$G$7+$G$6</f>
        <v>0.0241492644101834</v>
      </c>
    </row>
    <row r="701" customFormat="false" ht="15" hidden="false" customHeight="false" outlineLevel="0" collapsed="false">
      <c r="L701" s="31" t="n">
        <f aca="true">NORMSINV(RAND())*$G$7+$G$6</f>
        <v>-0.000327341105682523</v>
      </c>
    </row>
    <row r="702" customFormat="false" ht="15" hidden="false" customHeight="false" outlineLevel="0" collapsed="false">
      <c r="L702" s="31" t="n">
        <f aca="true">NORMSINV(RAND())*$G$7+$G$6</f>
        <v>-0.00721954142694922</v>
      </c>
    </row>
    <row r="703" customFormat="false" ht="15" hidden="false" customHeight="false" outlineLevel="0" collapsed="false">
      <c r="L703" s="31" t="n">
        <f aca="true">NORMSINV(RAND())*$G$7+$G$6</f>
        <v>0.00294835964126613</v>
      </c>
    </row>
    <row r="704" customFormat="false" ht="15" hidden="false" customHeight="false" outlineLevel="0" collapsed="false">
      <c r="L704" s="31" t="n">
        <f aca="true">NORMSINV(RAND())*$G$7+$G$6</f>
        <v>-0.00537710185606762</v>
      </c>
    </row>
    <row r="705" customFormat="false" ht="15" hidden="false" customHeight="false" outlineLevel="0" collapsed="false">
      <c r="L705" s="31" t="n">
        <f aca="true">NORMSINV(RAND())*$G$7+$G$6</f>
        <v>-0.00692994392253267</v>
      </c>
    </row>
    <row r="706" customFormat="false" ht="15" hidden="false" customHeight="false" outlineLevel="0" collapsed="false">
      <c r="L706" s="31" t="n">
        <f aca="true">NORMSINV(RAND())*$G$7+$G$6</f>
        <v>-0.00346993370373001</v>
      </c>
    </row>
    <row r="707" customFormat="false" ht="15" hidden="false" customHeight="false" outlineLevel="0" collapsed="false">
      <c r="L707" s="31" t="n">
        <f aca="true">NORMSINV(RAND())*$G$7+$G$6</f>
        <v>0.0131455015342442</v>
      </c>
    </row>
    <row r="708" customFormat="false" ht="15" hidden="false" customHeight="false" outlineLevel="0" collapsed="false">
      <c r="L708" s="31" t="n">
        <f aca="true">NORMSINV(RAND())*$G$7+$G$6</f>
        <v>0.00456646786084138</v>
      </c>
    </row>
    <row r="709" customFormat="false" ht="15" hidden="false" customHeight="false" outlineLevel="0" collapsed="false">
      <c r="L709" s="31" t="n">
        <f aca="true">NORMSINV(RAND())*$G$7+$G$6</f>
        <v>0.0144011113827547</v>
      </c>
    </row>
    <row r="710" customFormat="false" ht="15" hidden="false" customHeight="false" outlineLevel="0" collapsed="false">
      <c r="L710" s="31" t="n">
        <f aca="true">NORMSINV(RAND())*$G$7+$G$6</f>
        <v>-0.0014616588159937</v>
      </c>
    </row>
    <row r="711" customFormat="false" ht="15" hidden="false" customHeight="false" outlineLevel="0" collapsed="false">
      <c r="L711" s="31" t="n">
        <f aca="true">NORMSINV(RAND())*$G$7+$G$6</f>
        <v>0.0239083379241453</v>
      </c>
    </row>
    <row r="712" customFormat="false" ht="15" hidden="false" customHeight="false" outlineLevel="0" collapsed="false">
      <c r="L712" s="31" t="n">
        <f aca="true">NORMSINV(RAND())*$G$7+$G$6</f>
        <v>-0.015213607136073</v>
      </c>
    </row>
    <row r="713" customFormat="false" ht="15" hidden="false" customHeight="false" outlineLevel="0" collapsed="false">
      <c r="L713" s="31" t="n">
        <f aca="true">NORMSINV(RAND())*$G$7+$G$6</f>
        <v>-0.0108745958310513</v>
      </c>
    </row>
    <row r="714" customFormat="false" ht="15" hidden="false" customHeight="false" outlineLevel="0" collapsed="false">
      <c r="L714" s="31" t="n">
        <f aca="true">NORMSINV(RAND())*$G$7+$G$6</f>
        <v>-0.00415697620084964</v>
      </c>
    </row>
    <row r="715" customFormat="false" ht="15" hidden="false" customHeight="false" outlineLevel="0" collapsed="false">
      <c r="L715" s="31" t="n">
        <f aca="true">NORMSINV(RAND())*$G$7+$G$6</f>
        <v>0.00241036935989638</v>
      </c>
    </row>
    <row r="716" customFormat="false" ht="15" hidden="false" customHeight="false" outlineLevel="0" collapsed="false">
      <c r="L716" s="31" t="n">
        <f aca="true">NORMSINV(RAND())*$G$7+$G$6</f>
        <v>0.0168078539431046</v>
      </c>
    </row>
    <row r="717" customFormat="false" ht="15" hidden="false" customHeight="false" outlineLevel="0" collapsed="false">
      <c r="L717" s="31" t="n">
        <f aca="true">NORMSINV(RAND())*$G$7+$G$6</f>
        <v>0.00478106426064861</v>
      </c>
    </row>
    <row r="718" customFormat="false" ht="15" hidden="false" customHeight="false" outlineLevel="0" collapsed="false">
      <c r="L718" s="31" t="n">
        <f aca="true">NORMSINV(RAND())*$G$7+$G$6</f>
        <v>0.01391030346618</v>
      </c>
    </row>
    <row r="719" customFormat="false" ht="15" hidden="false" customHeight="false" outlineLevel="0" collapsed="false">
      <c r="L719" s="31" t="n">
        <f aca="true">NORMSINV(RAND())*$G$7+$G$6</f>
        <v>0.00902952480502986</v>
      </c>
    </row>
    <row r="720" customFormat="false" ht="15" hidden="false" customHeight="false" outlineLevel="0" collapsed="false">
      <c r="L720" s="31" t="n">
        <f aca="true">NORMSINV(RAND())*$G$7+$G$6</f>
        <v>-0.00348576240756484</v>
      </c>
    </row>
    <row r="721" customFormat="false" ht="15" hidden="false" customHeight="false" outlineLevel="0" collapsed="false">
      <c r="L721" s="31" t="n">
        <f aca="true">NORMSINV(RAND())*$G$7+$G$6</f>
        <v>-0.0124758839015709</v>
      </c>
    </row>
    <row r="722" customFormat="false" ht="15" hidden="false" customHeight="false" outlineLevel="0" collapsed="false">
      <c r="L722" s="31" t="n">
        <f aca="true">NORMSINV(RAND())*$G$7+$G$6</f>
        <v>-0.0235546239092958</v>
      </c>
    </row>
    <row r="723" customFormat="false" ht="15" hidden="false" customHeight="false" outlineLevel="0" collapsed="false">
      <c r="L723" s="31" t="n">
        <f aca="true">NORMSINV(RAND())*$G$7+$G$6</f>
        <v>0.00475060596024425</v>
      </c>
    </row>
    <row r="724" customFormat="false" ht="15" hidden="false" customHeight="false" outlineLevel="0" collapsed="false">
      <c r="L724" s="31" t="n">
        <f aca="true">NORMSINV(RAND())*$G$7+$G$6</f>
        <v>-0.00811917954506831</v>
      </c>
    </row>
    <row r="725" customFormat="false" ht="15" hidden="false" customHeight="false" outlineLevel="0" collapsed="false">
      <c r="L725" s="31" t="n">
        <f aca="true">NORMSINV(RAND())*$G$7+$G$6</f>
        <v>0.00711066000253177</v>
      </c>
    </row>
    <row r="726" customFormat="false" ht="15" hidden="false" customHeight="false" outlineLevel="0" collapsed="false">
      <c r="L726" s="31" t="n">
        <f aca="true">NORMSINV(RAND())*$G$7+$G$6</f>
        <v>0.000191371044688066</v>
      </c>
    </row>
    <row r="727" customFormat="false" ht="15" hidden="false" customHeight="false" outlineLevel="0" collapsed="false">
      <c r="L727" s="31" t="n">
        <f aca="true">NORMSINV(RAND())*$G$7+$G$6</f>
        <v>-0.000711610095126708</v>
      </c>
    </row>
    <row r="728" customFormat="false" ht="15" hidden="false" customHeight="false" outlineLevel="0" collapsed="false">
      <c r="L728" s="31" t="n">
        <f aca="true">NORMSINV(RAND())*$G$7+$G$6</f>
        <v>-0.0124772133820983</v>
      </c>
    </row>
    <row r="729" customFormat="false" ht="15" hidden="false" customHeight="false" outlineLevel="0" collapsed="false">
      <c r="L729" s="31" t="n">
        <f aca="true">NORMSINV(RAND())*$G$7+$G$6</f>
        <v>-0.0059646503440544</v>
      </c>
    </row>
    <row r="730" customFormat="false" ht="15" hidden="false" customHeight="false" outlineLevel="0" collapsed="false">
      <c r="L730" s="31" t="n">
        <f aca="true">NORMSINV(RAND())*$G$7+$G$6</f>
        <v>-0.00303755721219761</v>
      </c>
    </row>
    <row r="731" customFormat="false" ht="15" hidden="false" customHeight="false" outlineLevel="0" collapsed="false">
      <c r="L731" s="31" t="n">
        <f aca="true">NORMSINV(RAND())*$G$7+$G$6</f>
        <v>-0.00493322196562355</v>
      </c>
    </row>
    <row r="732" customFormat="false" ht="15" hidden="false" customHeight="false" outlineLevel="0" collapsed="false">
      <c r="L732" s="31" t="n">
        <f aca="true">NORMSINV(RAND())*$G$7+$G$6</f>
        <v>0.0120476340194694</v>
      </c>
    </row>
    <row r="733" customFormat="false" ht="15" hidden="false" customHeight="false" outlineLevel="0" collapsed="false">
      <c r="L733" s="31" t="n">
        <f aca="true">NORMSINV(RAND())*$G$7+$G$6</f>
        <v>0.00695500452736291</v>
      </c>
    </row>
    <row r="734" customFormat="false" ht="15" hidden="false" customHeight="false" outlineLevel="0" collapsed="false">
      <c r="L734" s="31" t="n">
        <f aca="true">NORMSINV(RAND())*$G$7+$G$6</f>
        <v>-0.00911082077754493</v>
      </c>
    </row>
    <row r="735" customFormat="false" ht="15" hidden="false" customHeight="false" outlineLevel="0" collapsed="false">
      <c r="L735" s="31" t="n">
        <f aca="true">NORMSINV(RAND())*$G$7+$G$6</f>
        <v>0.00321196977581734</v>
      </c>
    </row>
    <row r="736" customFormat="false" ht="15" hidden="false" customHeight="false" outlineLevel="0" collapsed="false">
      <c r="L736" s="31" t="n">
        <f aca="true">NORMSINV(RAND())*$G$7+$G$6</f>
        <v>0.0241620923810465</v>
      </c>
    </row>
    <row r="737" customFormat="false" ht="15" hidden="false" customHeight="false" outlineLevel="0" collapsed="false">
      <c r="L737" s="31" t="n">
        <f aca="true">NORMSINV(RAND())*$G$7+$G$6</f>
        <v>0.00883488302406926</v>
      </c>
    </row>
    <row r="738" customFormat="false" ht="15" hidden="false" customHeight="false" outlineLevel="0" collapsed="false">
      <c r="L738" s="31" t="n">
        <f aca="true">NORMSINV(RAND())*$G$7+$G$6</f>
        <v>-0.0210434166793063</v>
      </c>
    </row>
    <row r="739" customFormat="false" ht="15" hidden="false" customHeight="false" outlineLevel="0" collapsed="false">
      <c r="L739" s="31" t="n">
        <f aca="true">NORMSINV(RAND())*$G$7+$G$6</f>
        <v>-0.0167414095322774</v>
      </c>
    </row>
    <row r="740" customFormat="false" ht="15" hidden="false" customHeight="false" outlineLevel="0" collapsed="false">
      <c r="L740" s="31" t="n">
        <f aca="true">NORMSINV(RAND())*$G$7+$G$6</f>
        <v>-0.0315200564424271</v>
      </c>
    </row>
    <row r="741" customFormat="false" ht="15" hidden="false" customHeight="false" outlineLevel="0" collapsed="false">
      <c r="L741" s="31" t="n">
        <f aca="true">NORMSINV(RAND())*$G$7+$G$6</f>
        <v>-0.010636689488216</v>
      </c>
    </row>
    <row r="742" customFormat="false" ht="15" hidden="false" customHeight="false" outlineLevel="0" collapsed="false">
      <c r="L742" s="31" t="n">
        <f aca="true">NORMSINV(RAND())*$G$7+$G$6</f>
        <v>-0.0201299718481709</v>
      </c>
    </row>
    <row r="743" customFormat="false" ht="15" hidden="false" customHeight="false" outlineLevel="0" collapsed="false">
      <c r="L743" s="31" t="n">
        <f aca="true">NORMSINV(RAND())*$G$7+$G$6</f>
        <v>0.0158707071902884</v>
      </c>
    </row>
    <row r="744" customFormat="false" ht="15" hidden="false" customHeight="false" outlineLevel="0" collapsed="false">
      <c r="L744" s="31" t="n">
        <f aca="true">NORMSINV(RAND())*$G$7+$G$6</f>
        <v>0.0148267851507413</v>
      </c>
    </row>
    <row r="745" customFormat="false" ht="15" hidden="false" customHeight="false" outlineLevel="0" collapsed="false">
      <c r="L745" s="31" t="n">
        <f aca="true">NORMSINV(RAND())*$G$7+$G$6</f>
        <v>-0.0188313920994085</v>
      </c>
    </row>
    <row r="746" customFormat="false" ht="15" hidden="false" customHeight="false" outlineLevel="0" collapsed="false">
      <c r="L746" s="31" t="n">
        <f aca="true">NORMSINV(RAND())*$G$7+$G$6</f>
        <v>-0.0102896783258869</v>
      </c>
    </row>
    <row r="747" customFormat="false" ht="15" hidden="false" customHeight="false" outlineLevel="0" collapsed="false">
      <c r="L747" s="31" t="n">
        <f aca="true">NORMSINV(RAND())*$G$7+$G$6</f>
        <v>0.00466359888080352</v>
      </c>
    </row>
    <row r="748" customFormat="false" ht="15" hidden="false" customHeight="false" outlineLevel="0" collapsed="false">
      <c r="L748" s="31" t="n">
        <f aca="true">NORMSINV(RAND())*$G$7+$G$6</f>
        <v>-0.0110525653618636</v>
      </c>
    </row>
    <row r="749" customFormat="false" ht="15" hidden="false" customHeight="false" outlineLevel="0" collapsed="false">
      <c r="L749" s="31" t="n">
        <f aca="true">NORMSINV(RAND())*$G$7+$G$6</f>
        <v>-0.0169240910052284</v>
      </c>
    </row>
    <row r="750" customFormat="false" ht="15" hidden="false" customHeight="false" outlineLevel="0" collapsed="false">
      <c r="L750" s="31" t="n">
        <f aca="true">NORMSINV(RAND())*$G$7+$G$6</f>
        <v>-0.0168774033053237</v>
      </c>
    </row>
    <row r="751" customFormat="false" ht="15" hidden="false" customHeight="false" outlineLevel="0" collapsed="false">
      <c r="L751" s="31" t="n">
        <f aca="true">NORMSINV(RAND())*$G$7+$G$6</f>
        <v>-0.0140437144002195</v>
      </c>
    </row>
    <row r="752" customFormat="false" ht="15" hidden="false" customHeight="false" outlineLevel="0" collapsed="false">
      <c r="L752" s="31" t="n">
        <f aca="true">NORMSINV(RAND())*$G$7+$G$6</f>
        <v>-0.010537844190517</v>
      </c>
    </row>
    <row r="753" customFormat="false" ht="15" hidden="false" customHeight="false" outlineLevel="0" collapsed="false">
      <c r="L753" s="31" t="n">
        <f aca="true">NORMSINV(RAND())*$G$7+$G$6</f>
        <v>0.00367543439564012</v>
      </c>
    </row>
    <row r="754" customFormat="false" ht="15" hidden="false" customHeight="false" outlineLevel="0" collapsed="false">
      <c r="L754" s="31" t="n">
        <f aca="true">NORMSINV(RAND())*$G$7+$G$6</f>
        <v>-0.00196912473112208</v>
      </c>
    </row>
    <row r="755" customFormat="false" ht="15" hidden="false" customHeight="false" outlineLevel="0" collapsed="false">
      <c r="L755" s="31" t="n">
        <f aca="true">NORMSINV(RAND())*$G$7+$G$6</f>
        <v>0.0216663972421505</v>
      </c>
    </row>
    <row r="756" customFormat="false" ht="15" hidden="false" customHeight="false" outlineLevel="0" collapsed="false">
      <c r="L756" s="31" t="n">
        <f aca="true">NORMSINV(RAND())*$G$7+$G$6</f>
        <v>-0.0123166531967459</v>
      </c>
    </row>
    <row r="757" customFormat="false" ht="15" hidden="false" customHeight="false" outlineLevel="0" collapsed="false">
      <c r="L757" s="31" t="n">
        <f aca="true">NORMSINV(RAND())*$G$7+$G$6</f>
        <v>0.00588763506772608</v>
      </c>
    </row>
    <row r="758" customFormat="false" ht="15" hidden="false" customHeight="false" outlineLevel="0" collapsed="false">
      <c r="L758" s="31" t="n">
        <f aca="true">NORMSINV(RAND())*$G$7+$G$6</f>
        <v>-0.0104513730207296</v>
      </c>
    </row>
    <row r="759" customFormat="false" ht="15" hidden="false" customHeight="false" outlineLevel="0" collapsed="false">
      <c r="L759" s="31" t="n">
        <f aca="true">NORMSINV(RAND())*$G$7+$G$6</f>
        <v>0.00189728751566315</v>
      </c>
    </row>
    <row r="760" customFormat="false" ht="15" hidden="false" customHeight="false" outlineLevel="0" collapsed="false">
      <c r="L760" s="31" t="n">
        <f aca="true">NORMSINV(RAND())*$G$7+$G$6</f>
        <v>0.00864370601370767</v>
      </c>
    </row>
    <row r="761" customFormat="false" ht="15" hidden="false" customHeight="false" outlineLevel="0" collapsed="false">
      <c r="L761" s="31" t="n">
        <f aca="true">NORMSINV(RAND())*$G$7+$G$6</f>
        <v>-0.0287910956377272</v>
      </c>
    </row>
    <row r="762" customFormat="false" ht="15" hidden="false" customHeight="false" outlineLevel="0" collapsed="false">
      <c r="L762" s="31" t="n">
        <f aca="true">NORMSINV(RAND())*$G$7+$G$6</f>
        <v>0.0287741105760662</v>
      </c>
    </row>
    <row r="763" customFormat="false" ht="15" hidden="false" customHeight="false" outlineLevel="0" collapsed="false">
      <c r="L763" s="31" t="n">
        <f aca="true">NORMSINV(RAND())*$G$7+$G$6</f>
        <v>-0.00228411753265697</v>
      </c>
    </row>
    <row r="764" customFormat="false" ht="15" hidden="false" customHeight="false" outlineLevel="0" collapsed="false">
      <c r="L764" s="31" t="n">
        <f aca="true">NORMSINV(RAND())*$G$7+$G$6</f>
        <v>-0.000268422700896983</v>
      </c>
    </row>
    <row r="765" customFormat="false" ht="15" hidden="false" customHeight="false" outlineLevel="0" collapsed="false">
      <c r="L765" s="31" t="n">
        <f aca="true">NORMSINV(RAND())*$G$7+$G$6</f>
        <v>-0.0333066007208812</v>
      </c>
    </row>
    <row r="766" customFormat="false" ht="15" hidden="false" customHeight="false" outlineLevel="0" collapsed="false">
      <c r="L766" s="31" t="n">
        <f aca="true">NORMSINV(RAND())*$G$7+$G$6</f>
        <v>0.0260438272748076</v>
      </c>
    </row>
    <row r="767" customFormat="false" ht="15" hidden="false" customHeight="false" outlineLevel="0" collapsed="false">
      <c r="L767" s="31" t="n">
        <f aca="true">NORMSINV(RAND())*$G$7+$G$6</f>
        <v>0.00365831951618534</v>
      </c>
    </row>
    <row r="768" customFormat="false" ht="15" hidden="false" customHeight="false" outlineLevel="0" collapsed="false">
      <c r="L768" s="31" t="n">
        <f aca="true">NORMSINV(RAND())*$G$7+$G$6</f>
        <v>-0.000886672883310195</v>
      </c>
    </row>
    <row r="769" customFormat="false" ht="15" hidden="false" customHeight="false" outlineLevel="0" collapsed="false">
      <c r="L769" s="31" t="n">
        <f aca="true">NORMSINV(RAND())*$G$7+$G$6</f>
        <v>0.00652105923583734</v>
      </c>
    </row>
    <row r="770" customFormat="false" ht="15" hidden="false" customHeight="false" outlineLevel="0" collapsed="false">
      <c r="L770" s="31" t="n">
        <f aca="true">NORMSINV(RAND())*$G$7+$G$6</f>
        <v>0.0470837734627768</v>
      </c>
    </row>
    <row r="771" customFormat="false" ht="15" hidden="false" customHeight="false" outlineLevel="0" collapsed="false">
      <c r="L771" s="31" t="n">
        <f aca="true">NORMSINV(RAND())*$G$7+$G$6</f>
        <v>0.0181370100148302</v>
      </c>
    </row>
    <row r="772" customFormat="false" ht="15" hidden="false" customHeight="false" outlineLevel="0" collapsed="false">
      <c r="L772" s="31" t="n">
        <f aca="true">NORMSINV(RAND())*$G$7+$G$6</f>
        <v>-0.0120439931564919</v>
      </c>
    </row>
    <row r="773" customFormat="false" ht="15" hidden="false" customHeight="false" outlineLevel="0" collapsed="false">
      <c r="L773" s="31" t="n">
        <f aca="true">NORMSINV(RAND())*$G$7+$G$6</f>
        <v>0.0221777644729853</v>
      </c>
    </row>
    <row r="774" customFormat="false" ht="15" hidden="false" customHeight="false" outlineLevel="0" collapsed="false">
      <c r="L774" s="31" t="n">
        <f aca="true">NORMSINV(RAND())*$G$7+$G$6</f>
        <v>-0.0226757179497683</v>
      </c>
    </row>
    <row r="775" customFormat="false" ht="15" hidden="false" customHeight="false" outlineLevel="0" collapsed="false">
      <c r="L775" s="31" t="n">
        <f aca="true">NORMSINV(RAND())*$G$7+$G$6</f>
        <v>-0.00988920314464548</v>
      </c>
    </row>
    <row r="776" customFormat="false" ht="15" hidden="false" customHeight="false" outlineLevel="0" collapsed="false">
      <c r="L776" s="31" t="n">
        <f aca="true">NORMSINV(RAND())*$G$7+$G$6</f>
        <v>-0.0120514437231038</v>
      </c>
    </row>
    <row r="777" customFormat="false" ht="15" hidden="false" customHeight="false" outlineLevel="0" collapsed="false">
      <c r="L777" s="31" t="n">
        <f aca="true">NORMSINV(RAND())*$G$7+$G$6</f>
        <v>-0.0237517045273135</v>
      </c>
    </row>
    <row r="778" customFormat="false" ht="15" hidden="false" customHeight="false" outlineLevel="0" collapsed="false">
      <c r="L778" s="31" t="n">
        <f aca="true">NORMSINV(RAND())*$G$7+$G$6</f>
        <v>0.0186270313937549</v>
      </c>
    </row>
    <row r="779" customFormat="false" ht="15" hidden="false" customHeight="false" outlineLevel="0" collapsed="false">
      <c r="L779" s="31" t="n">
        <f aca="true">NORMSINV(RAND())*$G$7+$G$6</f>
        <v>-0.00794426697196148</v>
      </c>
    </row>
    <row r="780" customFormat="false" ht="15" hidden="false" customHeight="false" outlineLevel="0" collapsed="false">
      <c r="L780" s="31" t="n">
        <f aca="true">NORMSINV(RAND())*$G$7+$G$6</f>
        <v>-0.0113749628967311</v>
      </c>
    </row>
    <row r="781" customFormat="false" ht="15" hidden="false" customHeight="false" outlineLevel="0" collapsed="false">
      <c r="L781" s="31" t="n">
        <f aca="true">NORMSINV(RAND())*$G$7+$G$6</f>
        <v>0.0231839217981519</v>
      </c>
    </row>
    <row r="782" customFormat="false" ht="15" hidden="false" customHeight="false" outlineLevel="0" collapsed="false">
      <c r="L782" s="31" t="n">
        <f aca="true">NORMSINV(RAND())*$G$7+$G$6</f>
        <v>-0.011270031645712</v>
      </c>
    </row>
    <row r="783" customFormat="false" ht="15" hidden="false" customHeight="false" outlineLevel="0" collapsed="false">
      <c r="L783" s="31" t="n">
        <f aca="true">NORMSINV(RAND())*$G$7+$G$6</f>
        <v>0.00718344657563898</v>
      </c>
    </row>
    <row r="784" customFormat="false" ht="15" hidden="false" customHeight="false" outlineLevel="0" collapsed="false">
      <c r="L784" s="31" t="n">
        <f aca="true">NORMSINV(RAND())*$G$7+$G$6</f>
        <v>0.0156502459602775</v>
      </c>
    </row>
    <row r="785" customFormat="false" ht="15" hidden="false" customHeight="false" outlineLevel="0" collapsed="false">
      <c r="L785" s="31" t="n">
        <f aca="true">NORMSINV(RAND())*$G$7+$G$6</f>
        <v>-0.0089190149736977</v>
      </c>
    </row>
    <row r="786" customFormat="false" ht="15" hidden="false" customHeight="false" outlineLevel="0" collapsed="false">
      <c r="L786" s="31" t="n">
        <f aca="true">NORMSINV(RAND())*$G$7+$G$6</f>
        <v>-0.0119145324868352</v>
      </c>
    </row>
    <row r="787" customFormat="false" ht="15" hidden="false" customHeight="false" outlineLevel="0" collapsed="false">
      <c r="L787" s="31" t="n">
        <f aca="true">NORMSINV(RAND())*$G$7+$G$6</f>
        <v>0.0117337039335107</v>
      </c>
    </row>
    <row r="788" customFormat="false" ht="15" hidden="false" customHeight="false" outlineLevel="0" collapsed="false">
      <c r="L788" s="31" t="n">
        <f aca="true">NORMSINV(RAND())*$G$7+$G$6</f>
        <v>0.0196105972326383</v>
      </c>
    </row>
    <row r="789" customFormat="false" ht="15" hidden="false" customHeight="false" outlineLevel="0" collapsed="false">
      <c r="L789" s="31" t="n">
        <f aca="true">NORMSINV(RAND())*$G$7+$G$6</f>
        <v>0.010375956650571</v>
      </c>
    </row>
    <row r="790" customFormat="false" ht="15" hidden="false" customHeight="false" outlineLevel="0" collapsed="false">
      <c r="L790" s="31" t="n">
        <f aca="true">NORMSINV(RAND())*$G$7+$G$6</f>
        <v>-0.013994619935493</v>
      </c>
    </row>
    <row r="791" customFormat="false" ht="15" hidden="false" customHeight="false" outlineLevel="0" collapsed="false">
      <c r="L791" s="31" t="n">
        <f aca="true">NORMSINV(RAND())*$G$7+$G$6</f>
        <v>0.039293239047842</v>
      </c>
    </row>
    <row r="792" customFormat="false" ht="15" hidden="false" customHeight="false" outlineLevel="0" collapsed="false">
      <c r="L792" s="31" t="n">
        <f aca="true">NORMSINV(RAND())*$G$7+$G$6</f>
        <v>0.00234341877583188</v>
      </c>
    </row>
    <row r="793" customFormat="false" ht="15" hidden="false" customHeight="false" outlineLevel="0" collapsed="false">
      <c r="L793" s="31" t="n">
        <f aca="true">NORMSINV(RAND())*$G$7+$G$6</f>
        <v>-0.00236786610746542</v>
      </c>
    </row>
    <row r="794" customFormat="false" ht="15" hidden="false" customHeight="false" outlineLevel="0" collapsed="false">
      <c r="L794" s="31" t="n">
        <f aca="true">NORMSINV(RAND())*$G$7+$G$6</f>
        <v>-0.00311384863812222</v>
      </c>
    </row>
    <row r="795" customFormat="false" ht="15" hidden="false" customHeight="false" outlineLevel="0" collapsed="false">
      <c r="L795" s="31" t="n">
        <f aca="true">NORMSINV(RAND())*$G$7+$G$6</f>
        <v>-0.00252512468289497</v>
      </c>
    </row>
    <row r="796" customFormat="false" ht="15" hidden="false" customHeight="false" outlineLevel="0" collapsed="false">
      <c r="L796" s="31" t="n">
        <f aca="true">NORMSINV(RAND())*$G$7+$G$6</f>
        <v>0.0138875885266214</v>
      </c>
    </row>
    <row r="797" customFormat="false" ht="15" hidden="false" customHeight="false" outlineLevel="0" collapsed="false">
      <c r="L797" s="31" t="n">
        <f aca="true">NORMSINV(RAND())*$G$7+$G$6</f>
        <v>-0.00361537141527991</v>
      </c>
    </row>
    <row r="798" customFormat="false" ht="15" hidden="false" customHeight="false" outlineLevel="0" collapsed="false">
      <c r="L798" s="31" t="n">
        <f aca="true">NORMSINV(RAND())*$G$7+$G$6</f>
        <v>-0.00952314878102461</v>
      </c>
    </row>
    <row r="799" customFormat="false" ht="15" hidden="false" customHeight="false" outlineLevel="0" collapsed="false">
      <c r="L799" s="31" t="n">
        <f aca="true">NORMSINV(RAND())*$G$7+$G$6</f>
        <v>-0.0160821840945699</v>
      </c>
    </row>
    <row r="800" customFormat="false" ht="15" hidden="false" customHeight="false" outlineLevel="0" collapsed="false">
      <c r="L800" s="31" t="n">
        <f aca="true">NORMSINV(RAND())*$G$7+$G$6</f>
        <v>0.0135474022608478</v>
      </c>
    </row>
    <row r="801" customFormat="false" ht="15" hidden="false" customHeight="false" outlineLevel="0" collapsed="false">
      <c r="L801" s="31" t="n">
        <f aca="true">NORMSINV(RAND())*$G$7+$G$6</f>
        <v>0.00510659870681115</v>
      </c>
    </row>
    <row r="802" customFormat="false" ht="15" hidden="false" customHeight="false" outlineLevel="0" collapsed="false">
      <c r="L802" s="31" t="n">
        <f aca="true">NORMSINV(RAND())*$G$7+$G$6</f>
        <v>0.00235474557658502</v>
      </c>
    </row>
    <row r="803" customFormat="false" ht="15" hidden="false" customHeight="false" outlineLevel="0" collapsed="false">
      <c r="L803" s="31" t="n">
        <f aca="true">NORMSINV(RAND())*$G$7+$G$6</f>
        <v>-0.00407492123632756</v>
      </c>
    </row>
    <row r="804" customFormat="false" ht="15" hidden="false" customHeight="false" outlineLevel="0" collapsed="false">
      <c r="L804" s="31" t="n">
        <f aca="true">NORMSINV(RAND())*$G$7+$G$6</f>
        <v>-0.0151542277486251</v>
      </c>
    </row>
    <row r="805" customFormat="false" ht="15" hidden="false" customHeight="false" outlineLevel="0" collapsed="false">
      <c r="L805" s="31" t="n">
        <f aca="true">NORMSINV(RAND())*$G$7+$G$6</f>
        <v>-0.00451975946834387</v>
      </c>
    </row>
    <row r="806" customFormat="false" ht="15" hidden="false" customHeight="false" outlineLevel="0" collapsed="false">
      <c r="L806" s="31" t="n">
        <f aca="true">NORMSINV(RAND())*$G$7+$G$6</f>
        <v>-0.00760677500510627</v>
      </c>
    </row>
    <row r="807" customFormat="false" ht="15" hidden="false" customHeight="false" outlineLevel="0" collapsed="false">
      <c r="L807" s="31" t="n">
        <f aca="true">NORMSINV(RAND())*$G$7+$G$6</f>
        <v>0.0199587175987455</v>
      </c>
    </row>
    <row r="808" customFormat="false" ht="15" hidden="false" customHeight="false" outlineLevel="0" collapsed="false">
      <c r="L808" s="31" t="n">
        <f aca="true">NORMSINV(RAND())*$G$7+$G$6</f>
        <v>0.0054867716918375</v>
      </c>
    </row>
    <row r="809" customFormat="false" ht="15" hidden="false" customHeight="false" outlineLevel="0" collapsed="false">
      <c r="L809" s="31" t="n">
        <f aca="true">NORMSINV(RAND())*$G$7+$G$6</f>
        <v>0.0015913981848993</v>
      </c>
    </row>
    <row r="810" customFormat="false" ht="15" hidden="false" customHeight="false" outlineLevel="0" collapsed="false">
      <c r="L810" s="31" t="n">
        <f aca="true">NORMSINV(RAND())*$G$7+$G$6</f>
        <v>0.0213937741875908</v>
      </c>
    </row>
    <row r="811" customFormat="false" ht="15" hidden="false" customHeight="false" outlineLevel="0" collapsed="false">
      <c r="L811" s="31" t="n">
        <f aca="true">NORMSINV(RAND())*$G$7+$G$6</f>
        <v>0.00849498483737995</v>
      </c>
    </row>
    <row r="812" customFormat="false" ht="15" hidden="false" customHeight="false" outlineLevel="0" collapsed="false">
      <c r="L812" s="31" t="n">
        <f aca="true">NORMSINV(RAND())*$G$7+$G$6</f>
        <v>0.0247407772266113</v>
      </c>
    </row>
    <row r="813" customFormat="false" ht="15" hidden="false" customHeight="false" outlineLevel="0" collapsed="false">
      <c r="L813" s="31" t="n">
        <f aca="true">NORMSINV(RAND())*$G$7+$G$6</f>
        <v>-0.00674854462296603</v>
      </c>
    </row>
    <row r="814" customFormat="false" ht="15" hidden="false" customHeight="false" outlineLevel="0" collapsed="false">
      <c r="L814" s="31" t="n">
        <f aca="true">NORMSINV(RAND())*$G$7+$G$6</f>
        <v>0.00892905085825457</v>
      </c>
    </row>
    <row r="815" customFormat="false" ht="15" hidden="false" customHeight="false" outlineLevel="0" collapsed="false">
      <c r="L815" s="31" t="n">
        <f aca="true">NORMSINV(RAND())*$G$7+$G$6</f>
        <v>0.0030981469222171</v>
      </c>
    </row>
    <row r="816" customFormat="false" ht="15" hidden="false" customHeight="false" outlineLevel="0" collapsed="false">
      <c r="L816" s="31" t="n">
        <f aca="true">NORMSINV(RAND())*$G$7+$G$6</f>
        <v>-0.0267457460997768</v>
      </c>
    </row>
    <row r="817" customFormat="false" ht="15" hidden="false" customHeight="false" outlineLevel="0" collapsed="false">
      <c r="L817" s="31" t="n">
        <f aca="true">NORMSINV(RAND())*$G$7+$G$6</f>
        <v>0.00310379273349469</v>
      </c>
    </row>
    <row r="818" customFormat="false" ht="15" hidden="false" customHeight="false" outlineLevel="0" collapsed="false">
      <c r="L818" s="31" t="n">
        <f aca="true">NORMSINV(RAND())*$G$7+$G$6</f>
        <v>-0.00657721287261065</v>
      </c>
    </row>
    <row r="819" customFormat="false" ht="15" hidden="false" customHeight="false" outlineLevel="0" collapsed="false">
      <c r="L819" s="31" t="n">
        <f aca="true">NORMSINV(RAND())*$G$7+$G$6</f>
        <v>0.0279652489078262</v>
      </c>
    </row>
    <row r="820" customFormat="false" ht="15" hidden="false" customHeight="false" outlineLevel="0" collapsed="false">
      <c r="L820" s="31" t="n">
        <f aca="true">NORMSINV(RAND())*$G$7+$G$6</f>
        <v>-0.00684644747321052</v>
      </c>
    </row>
    <row r="821" customFormat="false" ht="15" hidden="false" customHeight="false" outlineLevel="0" collapsed="false">
      <c r="L821" s="31" t="n">
        <f aca="true">NORMSINV(RAND())*$G$7+$G$6</f>
        <v>0.002587999758371</v>
      </c>
    </row>
    <row r="822" customFormat="false" ht="15" hidden="false" customHeight="false" outlineLevel="0" collapsed="false">
      <c r="L822" s="31" t="n">
        <f aca="true">NORMSINV(RAND())*$G$7+$G$6</f>
        <v>-0.0181305153365815</v>
      </c>
    </row>
    <row r="823" customFormat="false" ht="15" hidden="false" customHeight="false" outlineLevel="0" collapsed="false">
      <c r="L823" s="31" t="n">
        <f aca="true">NORMSINV(RAND())*$G$7+$G$6</f>
        <v>0.00458596704861999</v>
      </c>
    </row>
    <row r="824" customFormat="false" ht="15" hidden="false" customHeight="false" outlineLevel="0" collapsed="false">
      <c r="L824" s="31" t="n">
        <f aca="true">NORMSINV(RAND())*$G$7+$G$6</f>
        <v>-0.00137767937156388</v>
      </c>
    </row>
    <row r="825" customFormat="false" ht="15" hidden="false" customHeight="false" outlineLevel="0" collapsed="false">
      <c r="L825" s="31" t="n">
        <f aca="true">NORMSINV(RAND())*$G$7+$G$6</f>
        <v>0.0156471113152483</v>
      </c>
    </row>
    <row r="826" customFormat="false" ht="15" hidden="false" customHeight="false" outlineLevel="0" collapsed="false">
      <c r="L826" s="31" t="n">
        <f aca="true">NORMSINV(RAND())*$G$7+$G$6</f>
        <v>0.0161241825330716</v>
      </c>
    </row>
    <row r="827" customFormat="false" ht="15" hidden="false" customHeight="false" outlineLevel="0" collapsed="false">
      <c r="L827" s="31" t="n">
        <f aca="true">NORMSINV(RAND())*$G$7+$G$6</f>
        <v>0.00582262320443759</v>
      </c>
    </row>
    <row r="828" customFormat="false" ht="15" hidden="false" customHeight="false" outlineLevel="0" collapsed="false">
      <c r="L828" s="31" t="n">
        <f aca="true">NORMSINV(RAND())*$G$7+$G$6</f>
        <v>0.0247587775676702</v>
      </c>
    </row>
    <row r="829" customFormat="false" ht="15" hidden="false" customHeight="false" outlineLevel="0" collapsed="false">
      <c r="L829" s="31" t="n">
        <f aca="true">NORMSINV(RAND())*$G$7+$G$6</f>
        <v>-0.00580228809443567</v>
      </c>
    </row>
    <row r="830" customFormat="false" ht="15" hidden="false" customHeight="false" outlineLevel="0" collapsed="false">
      <c r="L830" s="31" t="n">
        <f aca="true">NORMSINV(RAND())*$G$7+$G$6</f>
        <v>-0.00830072521538744</v>
      </c>
    </row>
    <row r="831" customFormat="false" ht="15" hidden="false" customHeight="false" outlineLevel="0" collapsed="false">
      <c r="L831" s="31" t="n">
        <f aca="true">NORMSINV(RAND())*$G$7+$G$6</f>
        <v>0.0115445328572345</v>
      </c>
    </row>
    <row r="832" customFormat="false" ht="15" hidden="false" customHeight="false" outlineLevel="0" collapsed="false">
      <c r="L832" s="31" t="n">
        <f aca="true">NORMSINV(RAND())*$G$7+$G$6</f>
        <v>0.0196531625368461</v>
      </c>
    </row>
    <row r="833" customFormat="false" ht="15" hidden="false" customHeight="false" outlineLevel="0" collapsed="false">
      <c r="L833" s="31" t="n">
        <f aca="true">NORMSINV(RAND())*$G$7+$G$6</f>
        <v>0.00702224687870174</v>
      </c>
    </row>
    <row r="834" customFormat="false" ht="15" hidden="false" customHeight="false" outlineLevel="0" collapsed="false">
      <c r="L834" s="31" t="n">
        <f aca="true">NORMSINV(RAND())*$G$7+$G$6</f>
        <v>0.00804310543224328</v>
      </c>
    </row>
    <row r="835" customFormat="false" ht="15" hidden="false" customHeight="false" outlineLevel="0" collapsed="false">
      <c r="L835" s="31" t="n">
        <f aca="true">NORMSINV(RAND())*$G$7+$G$6</f>
        <v>0.0286469667296659</v>
      </c>
    </row>
    <row r="836" customFormat="false" ht="15" hidden="false" customHeight="false" outlineLevel="0" collapsed="false">
      <c r="L836" s="31" t="n">
        <f aca="true">NORMSINV(RAND())*$G$7+$G$6</f>
        <v>0.00592664600711087</v>
      </c>
    </row>
    <row r="837" customFormat="false" ht="15" hidden="false" customHeight="false" outlineLevel="0" collapsed="false">
      <c r="L837" s="31" t="n">
        <f aca="true">NORMSINV(RAND())*$G$7+$G$6</f>
        <v>-0.0191884968124124</v>
      </c>
    </row>
    <row r="838" customFormat="false" ht="15" hidden="false" customHeight="false" outlineLevel="0" collapsed="false">
      <c r="L838" s="31" t="n">
        <f aca="true">NORMSINV(RAND())*$G$7+$G$6</f>
        <v>-0.0261009350945034</v>
      </c>
    </row>
    <row r="839" customFormat="false" ht="15" hidden="false" customHeight="false" outlineLevel="0" collapsed="false">
      <c r="L839" s="31" t="n">
        <f aca="true">NORMSINV(RAND())*$G$7+$G$6</f>
        <v>-0.0105562490251891</v>
      </c>
    </row>
    <row r="840" customFormat="false" ht="15" hidden="false" customHeight="false" outlineLevel="0" collapsed="false">
      <c r="L840" s="31" t="n">
        <f aca="true">NORMSINV(RAND())*$G$7+$G$6</f>
        <v>-0.0214109275383325</v>
      </c>
    </row>
    <row r="841" customFormat="false" ht="15" hidden="false" customHeight="false" outlineLevel="0" collapsed="false">
      <c r="L841" s="31" t="n">
        <f aca="true">NORMSINV(RAND())*$G$7+$G$6</f>
        <v>0.0194600201116755</v>
      </c>
    </row>
    <row r="842" customFormat="false" ht="15" hidden="false" customHeight="false" outlineLevel="0" collapsed="false">
      <c r="L842" s="31" t="n">
        <f aca="true">NORMSINV(RAND())*$G$7+$G$6</f>
        <v>-0.00625258775339232</v>
      </c>
    </row>
    <row r="843" customFormat="false" ht="15" hidden="false" customHeight="false" outlineLevel="0" collapsed="false">
      <c r="L843" s="31" t="n">
        <f aca="true">NORMSINV(RAND())*$G$7+$G$6</f>
        <v>0.0178677298182347</v>
      </c>
    </row>
    <row r="844" customFormat="false" ht="15" hidden="false" customHeight="false" outlineLevel="0" collapsed="false">
      <c r="L844" s="31" t="n">
        <f aca="true">NORMSINV(RAND())*$G$7+$G$6</f>
        <v>0.00860309040799485</v>
      </c>
    </row>
    <row r="845" customFormat="false" ht="15" hidden="false" customHeight="false" outlineLevel="0" collapsed="false">
      <c r="L845" s="31" t="n">
        <f aca="true">NORMSINV(RAND())*$G$7+$G$6</f>
        <v>-0.00238584080575149</v>
      </c>
    </row>
    <row r="846" customFormat="false" ht="15" hidden="false" customHeight="false" outlineLevel="0" collapsed="false">
      <c r="L846" s="31" t="n">
        <f aca="true">NORMSINV(RAND())*$G$7+$G$6</f>
        <v>0.0060847810611346</v>
      </c>
    </row>
    <row r="847" customFormat="false" ht="15" hidden="false" customHeight="false" outlineLevel="0" collapsed="false">
      <c r="L847" s="31" t="n">
        <f aca="true">NORMSINV(RAND())*$G$7+$G$6</f>
        <v>0.00318998473117727</v>
      </c>
    </row>
    <row r="848" customFormat="false" ht="15" hidden="false" customHeight="false" outlineLevel="0" collapsed="false">
      <c r="L848" s="31" t="n">
        <f aca="true">NORMSINV(RAND())*$G$7+$G$6</f>
        <v>-0.00507802224985261</v>
      </c>
    </row>
    <row r="849" customFormat="false" ht="15" hidden="false" customHeight="false" outlineLevel="0" collapsed="false">
      <c r="L849" s="31" t="n">
        <f aca="true">NORMSINV(RAND())*$G$7+$G$6</f>
        <v>-0.0107053675899042</v>
      </c>
    </row>
    <row r="850" customFormat="false" ht="15" hidden="false" customHeight="false" outlineLevel="0" collapsed="false">
      <c r="L850" s="31" t="n">
        <f aca="true">NORMSINV(RAND())*$G$7+$G$6</f>
        <v>0.00952316090155542</v>
      </c>
    </row>
    <row r="851" customFormat="false" ht="15" hidden="false" customHeight="false" outlineLevel="0" collapsed="false">
      <c r="L851" s="31" t="n">
        <f aca="true">NORMSINV(RAND())*$G$7+$G$6</f>
        <v>0.0182517501394098</v>
      </c>
    </row>
    <row r="852" customFormat="false" ht="15" hidden="false" customHeight="false" outlineLevel="0" collapsed="false">
      <c r="L852" s="31" t="n">
        <f aca="true">NORMSINV(RAND())*$G$7+$G$6</f>
        <v>0.0222850169377436</v>
      </c>
    </row>
    <row r="853" customFormat="false" ht="15" hidden="false" customHeight="false" outlineLevel="0" collapsed="false">
      <c r="L853" s="31" t="n">
        <f aca="true">NORMSINV(RAND())*$G$7+$G$6</f>
        <v>0.0141341403030373</v>
      </c>
    </row>
    <row r="854" customFormat="false" ht="15" hidden="false" customHeight="false" outlineLevel="0" collapsed="false">
      <c r="L854" s="31" t="n">
        <f aca="true">NORMSINV(RAND())*$G$7+$G$6</f>
        <v>-0.00282540620201739</v>
      </c>
    </row>
    <row r="855" customFormat="false" ht="15" hidden="false" customHeight="false" outlineLevel="0" collapsed="false">
      <c r="L855" s="31" t="n">
        <f aca="true">NORMSINV(RAND())*$G$7+$G$6</f>
        <v>0.016331511257857</v>
      </c>
    </row>
    <row r="856" customFormat="false" ht="15" hidden="false" customHeight="false" outlineLevel="0" collapsed="false">
      <c r="L856" s="31" t="n">
        <f aca="true">NORMSINV(RAND())*$G$7+$G$6</f>
        <v>0.000837185821992769</v>
      </c>
    </row>
    <row r="857" customFormat="false" ht="15" hidden="false" customHeight="false" outlineLevel="0" collapsed="false">
      <c r="L857" s="31" t="n">
        <f aca="true">NORMSINV(RAND())*$G$7+$G$6</f>
        <v>0.00634789017328716</v>
      </c>
    </row>
    <row r="858" customFormat="false" ht="15" hidden="false" customHeight="false" outlineLevel="0" collapsed="false">
      <c r="L858" s="31" t="n">
        <f aca="true">NORMSINV(RAND())*$G$7+$G$6</f>
        <v>-0.0232022141978769</v>
      </c>
    </row>
    <row r="859" customFormat="false" ht="15" hidden="false" customHeight="false" outlineLevel="0" collapsed="false">
      <c r="L859" s="31" t="n">
        <f aca="true">NORMSINV(RAND())*$G$7+$G$6</f>
        <v>-0.00873966260377483</v>
      </c>
    </row>
    <row r="860" customFormat="false" ht="15" hidden="false" customHeight="false" outlineLevel="0" collapsed="false">
      <c r="L860" s="31" t="n">
        <f aca="true">NORMSINV(RAND())*$G$7+$G$6</f>
        <v>-0.00545783731806357</v>
      </c>
    </row>
    <row r="861" customFormat="false" ht="15" hidden="false" customHeight="false" outlineLevel="0" collapsed="false">
      <c r="L861" s="31" t="n">
        <f aca="true">NORMSINV(RAND())*$G$7+$G$6</f>
        <v>-0.0115501043272634</v>
      </c>
    </row>
    <row r="862" customFormat="false" ht="15" hidden="false" customHeight="false" outlineLevel="0" collapsed="false">
      <c r="L862" s="31" t="n">
        <f aca="true">NORMSINV(RAND())*$G$7+$G$6</f>
        <v>-0.0034568483178414</v>
      </c>
    </row>
    <row r="863" customFormat="false" ht="15" hidden="false" customHeight="false" outlineLevel="0" collapsed="false">
      <c r="L863" s="31" t="n">
        <f aca="true">NORMSINV(RAND())*$G$7+$G$6</f>
        <v>-0.0109674726938486</v>
      </c>
    </row>
    <row r="864" customFormat="false" ht="15" hidden="false" customHeight="false" outlineLevel="0" collapsed="false">
      <c r="L864" s="31" t="n">
        <f aca="true">NORMSINV(RAND())*$G$7+$G$6</f>
        <v>0.000139151219929741</v>
      </c>
    </row>
    <row r="865" customFormat="false" ht="15" hidden="false" customHeight="false" outlineLevel="0" collapsed="false">
      <c r="L865" s="31" t="n">
        <f aca="true">NORMSINV(RAND())*$G$7+$G$6</f>
        <v>0.0100778813122786</v>
      </c>
    </row>
    <row r="866" customFormat="false" ht="15" hidden="false" customHeight="false" outlineLevel="0" collapsed="false">
      <c r="L866" s="31" t="n">
        <f aca="true">NORMSINV(RAND())*$G$7+$G$6</f>
        <v>0.0181409954381502</v>
      </c>
    </row>
    <row r="867" customFormat="false" ht="15" hidden="false" customHeight="false" outlineLevel="0" collapsed="false">
      <c r="L867" s="31" t="n">
        <f aca="true">NORMSINV(RAND())*$G$7+$G$6</f>
        <v>-0.030731654209041</v>
      </c>
    </row>
    <row r="868" customFormat="false" ht="15" hidden="false" customHeight="false" outlineLevel="0" collapsed="false">
      <c r="L868" s="31" t="n">
        <f aca="true">NORMSINV(RAND())*$G$7+$G$6</f>
        <v>0.0024419744423712</v>
      </c>
    </row>
    <row r="869" customFormat="false" ht="15" hidden="false" customHeight="false" outlineLevel="0" collapsed="false">
      <c r="L869" s="31" t="n">
        <f aca="true">NORMSINV(RAND())*$G$7+$G$6</f>
        <v>0.0112286563460692</v>
      </c>
    </row>
    <row r="870" customFormat="false" ht="15" hidden="false" customHeight="false" outlineLevel="0" collapsed="false">
      <c r="L870" s="31" t="n">
        <f aca="true">NORMSINV(RAND())*$G$7+$G$6</f>
        <v>0.0127127134826792</v>
      </c>
    </row>
    <row r="871" customFormat="false" ht="15" hidden="false" customHeight="false" outlineLevel="0" collapsed="false">
      <c r="L871" s="31" t="n">
        <f aca="true">NORMSINV(RAND())*$G$7+$G$6</f>
        <v>-0.0105666672494335</v>
      </c>
    </row>
    <row r="872" customFormat="false" ht="15" hidden="false" customHeight="false" outlineLevel="0" collapsed="false">
      <c r="L872" s="31" t="n">
        <f aca="true">NORMSINV(RAND())*$G$7+$G$6</f>
        <v>0.0117761130251392</v>
      </c>
    </row>
    <row r="873" customFormat="false" ht="15" hidden="false" customHeight="false" outlineLevel="0" collapsed="false">
      <c r="L873" s="31" t="n">
        <f aca="true">NORMSINV(RAND())*$G$7+$G$6</f>
        <v>0.0106874550209335</v>
      </c>
    </row>
    <row r="874" customFormat="false" ht="15" hidden="false" customHeight="false" outlineLevel="0" collapsed="false">
      <c r="L874" s="31" t="n">
        <f aca="true">NORMSINV(RAND())*$G$7+$G$6</f>
        <v>0.00181259950326177</v>
      </c>
    </row>
    <row r="875" customFormat="false" ht="15" hidden="false" customHeight="false" outlineLevel="0" collapsed="false">
      <c r="L875" s="31" t="n">
        <f aca="true">NORMSINV(RAND())*$G$7+$G$6</f>
        <v>-0.00189389981075649</v>
      </c>
    </row>
    <row r="876" customFormat="false" ht="15" hidden="false" customHeight="false" outlineLevel="0" collapsed="false">
      <c r="L876" s="31" t="n">
        <f aca="true">NORMSINV(RAND())*$G$7+$G$6</f>
        <v>0.0211379420617374</v>
      </c>
    </row>
    <row r="877" customFormat="false" ht="15" hidden="false" customHeight="false" outlineLevel="0" collapsed="false">
      <c r="L877" s="31" t="n">
        <f aca="true">NORMSINV(RAND())*$G$7+$G$6</f>
        <v>0.0142210422737166</v>
      </c>
    </row>
    <row r="878" customFormat="false" ht="15" hidden="false" customHeight="false" outlineLevel="0" collapsed="false">
      <c r="L878" s="31" t="n">
        <f aca="true">NORMSINV(RAND())*$G$7+$G$6</f>
        <v>-0.00828112537776043</v>
      </c>
    </row>
    <row r="879" customFormat="false" ht="15" hidden="false" customHeight="false" outlineLevel="0" collapsed="false">
      <c r="L879" s="31" t="n">
        <f aca="true">NORMSINV(RAND())*$G$7+$G$6</f>
        <v>0.0234637293312089</v>
      </c>
    </row>
    <row r="880" customFormat="false" ht="15" hidden="false" customHeight="false" outlineLevel="0" collapsed="false">
      <c r="L880" s="31" t="n">
        <f aca="true">NORMSINV(RAND())*$G$7+$G$6</f>
        <v>-0.00125038813016906</v>
      </c>
    </row>
    <row r="881" customFormat="false" ht="15" hidden="false" customHeight="false" outlineLevel="0" collapsed="false">
      <c r="L881" s="31" t="n">
        <f aca="true">NORMSINV(RAND())*$G$7+$G$6</f>
        <v>0.000221681500764058</v>
      </c>
    </row>
    <row r="882" customFormat="false" ht="15" hidden="false" customHeight="false" outlineLevel="0" collapsed="false">
      <c r="L882" s="31" t="n">
        <f aca="true">NORMSINV(RAND())*$G$7+$G$6</f>
        <v>0.0126858975328449</v>
      </c>
    </row>
    <row r="883" customFormat="false" ht="15" hidden="false" customHeight="false" outlineLevel="0" collapsed="false">
      <c r="L883" s="31" t="n">
        <f aca="true">NORMSINV(RAND())*$G$7+$G$6</f>
        <v>0.0147788871182226</v>
      </c>
    </row>
    <row r="884" customFormat="false" ht="15" hidden="false" customHeight="false" outlineLevel="0" collapsed="false">
      <c r="L884" s="31" t="n">
        <f aca="true">NORMSINV(RAND())*$G$7+$G$6</f>
        <v>0.00201196386254968</v>
      </c>
    </row>
    <row r="885" customFormat="false" ht="15" hidden="false" customHeight="false" outlineLevel="0" collapsed="false">
      <c r="L885" s="31" t="n">
        <f aca="true">NORMSINV(RAND())*$G$7+$G$6</f>
        <v>-0.00612233213329883</v>
      </c>
    </row>
    <row r="886" customFormat="false" ht="15" hidden="false" customHeight="false" outlineLevel="0" collapsed="false">
      <c r="L886" s="31" t="n">
        <f aca="true">NORMSINV(RAND())*$G$7+$G$6</f>
        <v>-0.00380954086609642</v>
      </c>
    </row>
    <row r="887" customFormat="false" ht="15" hidden="false" customHeight="false" outlineLevel="0" collapsed="false">
      <c r="L887" s="31" t="n">
        <f aca="true">NORMSINV(RAND())*$G$7+$G$6</f>
        <v>-0.00425060154334337</v>
      </c>
    </row>
    <row r="888" customFormat="false" ht="15" hidden="false" customHeight="false" outlineLevel="0" collapsed="false">
      <c r="L888" s="31" t="n">
        <f aca="true">NORMSINV(RAND())*$G$7+$G$6</f>
        <v>-0.0014273235838536</v>
      </c>
    </row>
    <row r="889" customFormat="false" ht="15" hidden="false" customHeight="false" outlineLevel="0" collapsed="false">
      <c r="L889" s="31" t="n">
        <f aca="true">NORMSINV(RAND())*$G$7+$G$6</f>
        <v>-0.0195949413747966</v>
      </c>
    </row>
    <row r="890" customFormat="false" ht="15" hidden="false" customHeight="false" outlineLevel="0" collapsed="false">
      <c r="L890" s="31" t="n">
        <f aca="true">NORMSINV(RAND())*$G$7+$G$6</f>
        <v>0.0218698741900844</v>
      </c>
    </row>
    <row r="891" customFormat="false" ht="15" hidden="false" customHeight="false" outlineLevel="0" collapsed="false">
      <c r="L891" s="31" t="n">
        <f aca="true">NORMSINV(RAND())*$G$7+$G$6</f>
        <v>0.00246273997853551</v>
      </c>
    </row>
    <row r="892" customFormat="false" ht="15" hidden="false" customHeight="false" outlineLevel="0" collapsed="false">
      <c r="L892" s="31" t="n">
        <f aca="true">NORMSINV(RAND())*$G$7+$G$6</f>
        <v>-0.000212868868768465</v>
      </c>
    </row>
    <row r="893" customFormat="false" ht="15" hidden="false" customHeight="false" outlineLevel="0" collapsed="false">
      <c r="L893" s="31" t="n">
        <f aca="true">NORMSINV(RAND())*$G$7+$G$6</f>
        <v>-0.0159970812021281</v>
      </c>
    </row>
    <row r="894" customFormat="false" ht="15" hidden="false" customHeight="false" outlineLevel="0" collapsed="false">
      <c r="L894" s="31" t="n">
        <f aca="true">NORMSINV(RAND())*$G$7+$G$6</f>
        <v>0.0125562560286123</v>
      </c>
    </row>
    <row r="895" customFormat="false" ht="15" hidden="false" customHeight="false" outlineLevel="0" collapsed="false">
      <c r="L895" s="31" t="n">
        <f aca="true">NORMSINV(RAND())*$G$7+$G$6</f>
        <v>0.0129481895011127</v>
      </c>
    </row>
    <row r="896" customFormat="false" ht="15" hidden="false" customHeight="false" outlineLevel="0" collapsed="false">
      <c r="L896" s="31" t="n">
        <f aca="true">NORMSINV(RAND())*$G$7+$G$6</f>
        <v>0.000674119504735307</v>
      </c>
    </row>
    <row r="897" customFormat="false" ht="15" hidden="false" customHeight="false" outlineLevel="0" collapsed="false">
      <c r="L897" s="31" t="n">
        <f aca="true">NORMSINV(RAND())*$G$7+$G$6</f>
        <v>-0.00852585328217782</v>
      </c>
    </row>
    <row r="898" customFormat="false" ht="15" hidden="false" customHeight="false" outlineLevel="0" collapsed="false">
      <c r="L898" s="31" t="n">
        <f aca="true">NORMSINV(RAND())*$G$7+$G$6</f>
        <v>-0.01800512877736</v>
      </c>
    </row>
    <row r="899" customFormat="false" ht="15" hidden="false" customHeight="false" outlineLevel="0" collapsed="false">
      <c r="L899" s="31" t="n">
        <f aca="true">NORMSINV(RAND())*$G$7+$G$6</f>
        <v>0.00452739967210528</v>
      </c>
    </row>
    <row r="900" customFormat="false" ht="15" hidden="false" customHeight="false" outlineLevel="0" collapsed="false">
      <c r="L900" s="31" t="n">
        <f aca="true">NORMSINV(RAND())*$G$7+$G$6</f>
        <v>-0.00243479063048768</v>
      </c>
    </row>
    <row r="901" customFormat="false" ht="15" hidden="false" customHeight="false" outlineLevel="0" collapsed="false">
      <c r="L901" s="31" t="n">
        <f aca="true">NORMSINV(RAND())*$G$7+$G$6</f>
        <v>-0.0180336945578689</v>
      </c>
    </row>
    <row r="902" customFormat="false" ht="15" hidden="false" customHeight="false" outlineLevel="0" collapsed="false">
      <c r="L902" s="31" t="n">
        <f aca="true">NORMSINV(RAND())*$G$7+$G$6</f>
        <v>0.0237998123049614</v>
      </c>
    </row>
    <row r="903" customFormat="false" ht="15" hidden="false" customHeight="false" outlineLevel="0" collapsed="false">
      <c r="L903" s="31" t="n">
        <f aca="true">NORMSINV(RAND())*$G$7+$G$6</f>
        <v>0.00254590877438941</v>
      </c>
    </row>
    <row r="904" customFormat="false" ht="15" hidden="false" customHeight="false" outlineLevel="0" collapsed="false">
      <c r="L904" s="31" t="n">
        <f aca="true">NORMSINV(RAND())*$G$7+$G$6</f>
        <v>0.00167235496980497</v>
      </c>
    </row>
    <row r="905" customFormat="false" ht="15" hidden="false" customHeight="false" outlineLevel="0" collapsed="false">
      <c r="L905" s="31" t="n">
        <f aca="true">NORMSINV(RAND())*$G$7+$G$6</f>
        <v>-0.00211161674742619</v>
      </c>
    </row>
    <row r="906" customFormat="false" ht="15" hidden="false" customHeight="false" outlineLevel="0" collapsed="false">
      <c r="L906" s="31" t="n">
        <f aca="true">NORMSINV(RAND())*$G$7+$G$6</f>
        <v>0.00167350778153237</v>
      </c>
    </row>
    <row r="907" customFormat="false" ht="15" hidden="false" customHeight="false" outlineLevel="0" collapsed="false">
      <c r="L907" s="31" t="n">
        <f aca="true">NORMSINV(RAND())*$G$7+$G$6</f>
        <v>-0.0112226421170423</v>
      </c>
    </row>
    <row r="908" customFormat="false" ht="15" hidden="false" customHeight="false" outlineLevel="0" collapsed="false">
      <c r="L908" s="31" t="n">
        <f aca="true">NORMSINV(RAND())*$G$7+$G$6</f>
        <v>0.0301525743418785</v>
      </c>
    </row>
    <row r="909" customFormat="false" ht="15" hidden="false" customHeight="false" outlineLevel="0" collapsed="false">
      <c r="L909" s="31" t="n">
        <f aca="true">NORMSINV(RAND())*$G$7+$G$6</f>
        <v>0.00780798998614264</v>
      </c>
    </row>
    <row r="910" customFormat="false" ht="15" hidden="false" customHeight="false" outlineLevel="0" collapsed="false">
      <c r="L910" s="31" t="n">
        <f aca="true">NORMSINV(RAND())*$G$7+$G$6</f>
        <v>0.0139823769587338</v>
      </c>
    </row>
    <row r="911" customFormat="false" ht="15" hidden="false" customHeight="false" outlineLevel="0" collapsed="false">
      <c r="L911" s="31" t="n">
        <f aca="true">NORMSINV(RAND())*$G$7+$G$6</f>
        <v>0.00488709350269707</v>
      </c>
    </row>
    <row r="912" customFormat="false" ht="15" hidden="false" customHeight="false" outlineLevel="0" collapsed="false">
      <c r="L912" s="31" t="n">
        <f aca="true">NORMSINV(RAND())*$G$7+$G$6</f>
        <v>0.00230806932288663</v>
      </c>
    </row>
    <row r="913" customFormat="false" ht="15" hidden="false" customHeight="false" outlineLevel="0" collapsed="false">
      <c r="L913" s="31" t="n">
        <f aca="true">NORMSINV(RAND())*$G$7+$G$6</f>
        <v>0.014312201247062</v>
      </c>
    </row>
    <row r="914" customFormat="false" ht="15" hidden="false" customHeight="false" outlineLevel="0" collapsed="false">
      <c r="L914" s="31" t="n">
        <f aca="true">NORMSINV(RAND())*$G$7+$G$6</f>
        <v>0.0056562746639459</v>
      </c>
    </row>
    <row r="915" customFormat="false" ht="15" hidden="false" customHeight="false" outlineLevel="0" collapsed="false">
      <c r="L915" s="31" t="n">
        <f aca="true">NORMSINV(RAND())*$G$7+$G$6</f>
        <v>-0.00355183564232404</v>
      </c>
    </row>
    <row r="916" customFormat="false" ht="15" hidden="false" customHeight="false" outlineLevel="0" collapsed="false">
      <c r="L916" s="31" t="n">
        <f aca="true">NORMSINV(RAND())*$G$7+$G$6</f>
        <v>-0.0126059637679938</v>
      </c>
    </row>
    <row r="917" customFormat="false" ht="15" hidden="false" customHeight="false" outlineLevel="0" collapsed="false">
      <c r="L917" s="31" t="n">
        <f aca="true">NORMSINV(RAND())*$G$7+$G$6</f>
        <v>-0.00725945844111517</v>
      </c>
    </row>
    <row r="918" customFormat="false" ht="15" hidden="false" customHeight="false" outlineLevel="0" collapsed="false">
      <c r="L918" s="31" t="n">
        <f aca="true">NORMSINV(RAND())*$G$7+$G$6</f>
        <v>0.00124206769397504</v>
      </c>
    </row>
    <row r="919" customFormat="false" ht="15" hidden="false" customHeight="false" outlineLevel="0" collapsed="false">
      <c r="L919" s="31" t="n">
        <f aca="true">NORMSINV(RAND())*$G$7+$G$6</f>
        <v>0.00078115485448343</v>
      </c>
    </row>
    <row r="920" customFormat="false" ht="15" hidden="false" customHeight="false" outlineLevel="0" collapsed="false">
      <c r="L920" s="31" t="n">
        <f aca="true">NORMSINV(RAND())*$G$7+$G$6</f>
        <v>0.0114418775037291</v>
      </c>
    </row>
    <row r="921" customFormat="false" ht="15" hidden="false" customHeight="false" outlineLevel="0" collapsed="false">
      <c r="L921" s="31" t="n">
        <f aca="true">NORMSINV(RAND())*$G$7+$G$6</f>
        <v>0.0100951041947209</v>
      </c>
    </row>
    <row r="922" customFormat="false" ht="15" hidden="false" customHeight="false" outlineLevel="0" collapsed="false">
      <c r="L922" s="31" t="n">
        <f aca="true">NORMSINV(RAND())*$G$7+$G$6</f>
        <v>-0.0197867831441501</v>
      </c>
    </row>
    <row r="923" customFormat="false" ht="15" hidden="false" customHeight="false" outlineLevel="0" collapsed="false">
      <c r="L923" s="31" t="n">
        <f aca="true">NORMSINV(RAND())*$G$7+$G$6</f>
        <v>-0.00484182319679616</v>
      </c>
    </row>
    <row r="924" customFormat="false" ht="15" hidden="false" customHeight="false" outlineLevel="0" collapsed="false">
      <c r="L924" s="31" t="n">
        <f aca="true">NORMSINV(RAND())*$G$7+$G$6</f>
        <v>6.8143665252698E-005</v>
      </c>
    </row>
    <row r="925" customFormat="false" ht="15" hidden="false" customHeight="false" outlineLevel="0" collapsed="false">
      <c r="L925" s="31" t="n">
        <f aca="true">NORMSINV(RAND())*$G$7+$G$6</f>
        <v>0.00462265138643127</v>
      </c>
    </row>
    <row r="926" customFormat="false" ht="15" hidden="false" customHeight="false" outlineLevel="0" collapsed="false">
      <c r="L926" s="31" t="n">
        <f aca="true">NORMSINV(RAND())*$G$7+$G$6</f>
        <v>0.0358884184009418</v>
      </c>
    </row>
    <row r="927" customFormat="false" ht="15" hidden="false" customHeight="false" outlineLevel="0" collapsed="false">
      <c r="L927" s="31" t="n">
        <f aca="true">NORMSINV(RAND())*$G$7+$G$6</f>
        <v>-0.00271180520848008</v>
      </c>
    </row>
    <row r="928" customFormat="false" ht="15" hidden="false" customHeight="false" outlineLevel="0" collapsed="false">
      <c r="L928" s="31" t="n">
        <f aca="true">NORMSINV(RAND())*$G$7+$G$6</f>
        <v>-0.0010283306446003</v>
      </c>
    </row>
    <row r="929" customFormat="false" ht="15" hidden="false" customHeight="false" outlineLevel="0" collapsed="false">
      <c r="L929" s="31" t="n">
        <f aca="true">NORMSINV(RAND())*$G$7+$G$6</f>
        <v>-0.00298560650477677</v>
      </c>
    </row>
    <row r="930" customFormat="false" ht="15" hidden="false" customHeight="false" outlineLevel="0" collapsed="false">
      <c r="L930" s="31" t="n">
        <f aca="true">NORMSINV(RAND())*$G$7+$G$6</f>
        <v>-0.00153983969143953</v>
      </c>
    </row>
    <row r="931" customFormat="false" ht="15" hidden="false" customHeight="false" outlineLevel="0" collapsed="false">
      <c r="L931" s="31" t="n">
        <f aca="true">NORMSINV(RAND())*$G$7+$G$6</f>
        <v>0.0211278769802063</v>
      </c>
    </row>
    <row r="932" customFormat="false" ht="15" hidden="false" customHeight="false" outlineLevel="0" collapsed="false">
      <c r="L932" s="31" t="n">
        <f aca="true">NORMSINV(RAND())*$G$7+$G$6</f>
        <v>0.0155892060765064</v>
      </c>
    </row>
    <row r="933" customFormat="false" ht="15" hidden="false" customHeight="false" outlineLevel="0" collapsed="false">
      <c r="L933" s="31" t="n">
        <f aca="true">NORMSINV(RAND())*$G$7+$G$6</f>
        <v>0.00650489337100917</v>
      </c>
    </row>
    <row r="934" customFormat="false" ht="15" hidden="false" customHeight="false" outlineLevel="0" collapsed="false">
      <c r="L934" s="31" t="n">
        <f aca="true">NORMSINV(RAND())*$G$7+$G$6</f>
        <v>0.00505521913655732</v>
      </c>
    </row>
    <row r="935" customFormat="false" ht="15" hidden="false" customHeight="false" outlineLevel="0" collapsed="false">
      <c r="L935" s="31" t="n">
        <f aca="true">NORMSINV(RAND())*$G$7+$G$6</f>
        <v>-0.00778646905872858</v>
      </c>
    </row>
    <row r="936" customFormat="false" ht="15" hidden="false" customHeight="false" outlineLevel="0" collapsed="false">
      <c r="L936" s="31" t="n">
        <f aca="true">NORMSINV(RAND())*$G$7+$G$6</f>
        <v>0.0245247941920976</v>
      </c>
    </row>
    <row r="937" customFormat="false" ht="15" hidden="false" customHeight="false" outlineLevel="0" collapsed="false">
      <c r="L937" s="31" t="n">
        <f aca="true">NORMSINV(RAND())*$G$7+$G$6</f>
        <v>0.0112710888937975</v>
      </c>
    </row>
    <row r="938" customFormat="false" ht="15" hidden="false" customHeight="false" outlineLevel="0" collapsed="false">
      <c r="L938" s="31" t="n">
        <f aca="true">NORMSINV(RAND())*$G$7+$G$6</f>
        <v>0.00721448467111845</v>
      </c>
    </row>
    <row r="939" customFormat="false" ht="15" hidden="false" customHeight="false" outlineLevel="0" collapsed="false">
      <c r="L939" s="31" t="n">
        <f aca="true">NORMSINV(RAND())*$G$7+$G$6</f>
        <v>-0.00760138072563805</v>
      </c>
    </row>
    <row r="940" customFormat="false" ht="15" hidden="false" customHeight="false" outlineLevel="0" collapsed="false">
      <c r="L940" s="31" t="n">
        <f aca="true">NORMSINV(RAND())*$G$7+$G$6</f>
        <v>0.0113748967400545</v>
      </c>
    </row>
    <row r="941" customFormat="false" ht="15" hidden="false" customHeight="false" outlineLevel="0" collapsed="false">
      <c r="L941" s="31" t="n">
        <f aca="true">NORMSINV(RAND())*$G$7+$G$6</f>
        <v>0.0238889915842158</v>
      </c>
    </row>
    <row r="942" customFormat="false" ht="15" hidden="false" customHeight="false" outlineLevel="0" collapsed="false">
      <c r="L942" s="31" t="n">
        <f aca="true">NORMSINV(RAND())*$G$7+$G$6</f>
        <v>-0.0109731347067014</v>
      </c>
    </row>
    <row r="943" customFormat="false" ht="15" hidden="false" customHeight="false" outlineLevel="0" collapsed="false">
      <c r="L943" s="31" t="n">
        <f aca="true">NORMSINV(RAND())*$G$7+$G$6</f>
        <v>0.00896071998852749</v>
      </c>
    </row>
    <row r="944" customFormat="false" ht="15" hidden="false" customHeight="false" outlineLevel="0" collapsed="false">
      <c r="L944" s="31" t="n">
        <f aca="true">NORMSINV(RAND())*$G$7+$G$6</f>
        <v>0.00888666512603726</v>
      </c>
    </row>
    <row r="945" customFormat="false" ht="15" hidden="false" customHeight="false" outlineLevel="0" collapsed="false">
      <c r="L945" s="31" t="n">
        <f aca="true">NORMSINV(RAND())*$G$7+$G$6</f>
        <v>0.0200635174294561</v>
      </c>
    </row>
    <row r="946" customFormat="false" ht="15" hidden="false" customHeight="false" outlineLevel="0" collapsed="false">
      <c r="L946" s="31" t="n">
        <f aca="true">NORMSINV(RAND())*$G$7+$G$6</f>
        <v>0.0085976014934262</v>
      </c>
    </row>
    <row r="947" customFormat="false" ht="15" hidden="false" customHeight="false" outlineLevel="0" collapsed="false">
      <c r="L947" s="31" t="n">
        <f aca="true">NORMSINV(RAND())*$G$7+$G$6</f>
        <v>-0.00808185127832644</v>
      </c>
    </row>
    <row r="948" customFormat="false" ht="15" hidden="false" customHeight="false" outlineLevel="0" collapsed="false">
      <c r="L948" s="31" t="n">
        <f aca="true">NORMSINV(RAND())*$G$7+$G$6</f>
        <v>0.0117898817022152</v>
      </c>
    </row>
    <row r="949" customFormat="false" ht="15" hidden="false" customHeight="false" outlineLevel="0" collapsed="false">
      <c r="L949" s="31" t="n">
        <f aca="true">NORMSINV(RAND())*$G$7+$G$6</f>
        <v>0.0298495459337221</v>
      </c>
    </row>
    <row r="950" customFormat="false" ht="15" hidden="false" customHeight="false" outlineLevel="0" collapsed="false">
      <c r="L950" s="31" t="n">
        <f aca="true">NORMSINV(RAND())*$G$7+$G$6</f>
        <v>0.0184128790616275</v>
      </c>
    </row>
    <row r="951" customFormat="false" ht="15" hidden="false" customHeight="false" outlineLevel="0" collapsed="false">
      <c r="L951" s="31" t="n">
        <f aca="true">NORMSINV(RAND())*$G$7+$G$6</f>
        <v>0.0172584550577297</v>
      </c>
    </row>
    <row r="952" customFormat="false" ht="15" hidden="false" customHeight="false" outlineLevel="0" collapsed="false">
      <c r="L952" s="31" t="n">
        <f aca="true">NORMSINV(RAND())*$G$7+$G$6</f>
        <v>0.00668020169021468</v>
      </c>
    </row>
    <row r="953" customFormat="false" ht="15" hidden="false" customHeight="false" outlineLevel="0" collapsed="false">
      <c r="L953" s="31" t="n">
        <f aca="true">NORMSINV(RAND())*$G$7+$G$6</f>
        <v>0.0336963953848153</v>
      </c>
    </row>
    <row r="954" customFormat="false" ht="15" hidden="false" customHeight="false" outlineLevel="0" collapsed="false">
      <c r="L954" s="31" t="n">
        <f aca="true">NORMSINV(RAND())*$G$7+$G$6</f>
        <v>-0.0049178648585581</v>
      </c>
    </row>
    <row r="955" customFormat="false" ht="15" hidden="false" customHeight="false" outlineLevel="0" collapsed="false">
      <c r="L955" s="31" t="n">
        <f aca="true">NORMSINV(RAND())*$G$7+$G$6</f>
        <v>0.0200689605183523</v>
      </c>
    </row>
    <row r="956" customFormat="false" ht="15" hidden="false" customHeight="false" outlineLevel="0" collapsed="false">
      <c r="L956" s="31" t="n">
        <f aca="true">NORMSINV(RAND())*$G$7+$G$6</f>
        <v>-0.0122544701365173</v>
      </c>
    </row>
    <row r="957" customFormat="false" ht="15" hidden="false" customHeight="false" outlineLevel="0" collapsed="false">
      <c r="L957" s="31" t="n">
        <f aca="true">NORMSINV(RAND())*$G$7+$G$6</f>
        <v>0.00128704848729511</v>
      </c>
    </row>
    <row r="958" customFormat="false" ht="15" hidden="false" customHeight="false" outlineLevel="0" collapsed="false">
      <c r="L958" s="31" t="n">
        <f aca="true">NORMSINV(RAND())*$G$7+$G$6</f>
        <v>0.0183058888789287</v>
      </c>
    </row>
    <row r="959" customFormat="false" ht="15" hidden="false" customHeight="false" outlineLevel="0" collapsed="false">
      <c r="L959" s="31" t="n">
        <f aca="true">NORMSINV(RAND())*$G$7+$G$6</f>
        <v>0.0148635202398977</v>
      </c>
    </row>
    <row r="960" customFormat="false" ht="15" hidden="false" customHeight="false" outlineLevel="0" collapsed="false">
      <c r="L960" s="31" t="n">
        <f aca="true">NORMSINV(RAND())*$G$7+$G$6</f>
        <v>0.0056648993634511</v>
      </c>
    </row>
    <row r="961" customFormat="false" ht="15" hidden="false" customHeight="false" outlineLevel="0" collapsed="false">
      <c r="L961" s="31" t="n">
        <f aca="true">NORMSINV(RAND())*$G$7+$G$6</f>
        <v>0.0058526384005228</v>
      </c>
    </row>
    <row r="962" customFormat="false" ht="15" hidden="false" customHeight="false" outlineLevel="0" collapsed="false">
      <c r="L962" s="31" t="n">
        <f aca="true">NORMSINV(RAND())*$G$7+$G$6</f>
        <v>0.0223669543728888</v>
      </c>
    </row>
    <row r="963" customFormat="false" ht="15" hidden="false" customHeight="false" outlineLevel="0" collapsed="false">
      <c r="L963" s="31" t="n">
        <f aca="true">NORMSINV(RAND())*$G$7+$G$6</f>
        <v>0.00755135725242632</v>
      </c>
    </row>
    <row r="964" customFormat="false" ht="15" hidden="false" customHeight="false" outlineLevel="0" collapsed="false">
      <c r="L964" s="31" t="n">
        <f aca="true">NORMSINV(RAND())*$G$7+$G$6</f>
        <v>-0.00309315065111653</v>
      </c>
    </row>
    <row r="965" customFormat="false" ht="15" hidden="false" customHeight="false" outlineLevel="0" collapsed="false">
      <c r="L965" s="31" t="n">
        <f aca="true">NORMSINV(RAND())*$G$7+$G$6</f>
        <v>0.0170089741298559</v>
      </c>
    </row>
    <row r="966" customFormat="false" ht="15" hidden="false" customHeight="false" outlineLevel="0" collapsed="false">
      <c r="L966" s="31" t="n">
        <f aca="true">NORMSINV(RAND())*$G$7+$G$6</f>
        <v>0.00351727894775951</v>
      </c>
    </row>
    <row r="967" customFormat="false" ht="15" hidden="false" customHeight="false" outlineLevel="0" collapsed="false">
      <c r="L967" s="31" t="n">
        <f aca="true">NORMSINV(RAND())*$G$7+$G$6</f>
        <v>-0.00421917242307015</v>
      </c>
    </row>
    <row r="968" customFormat="false" ht="15" hidden="false" customHeight="false" outlineLevel="0" collapsed="false">
      <c r="L968" s="31" t="n">
        <f aca="true">NORMSINV(RAND())*$G$7+$G$6</f>
        <v>-0.00842967533017001</v>
      </c>
    </row>
    <row r="969" customFormat="false" ht="15" hidden="false" customHeight="false" outlineLevel="0" collapsed="false">
      <c r="L969" s="31" t="n">
        <f aca="true">NORMSINV(RAND())*$G$7+$G$6</f>
        <v>-0.0153191255094117</v>
      </c>
    </row>
    <row r="970" customFormat="false" ht="15" hidden="false" customHeight="false" outlineLevel="0" collapsed="false">
      <c r="L970" s="31" t="n">
        <f aca="true">NORMSINV(RAND())*$G$7+$G$6</f>
        <v>0.0209992402368961</v>
      </c>
    </row>
    <row r="971" customFormat="false" ht="15" hidden="false" customHeight="false" outlineLevel="0" collapsed="false">
      <c r="L971" s="31" t="n">
        <f aca="true">NORMSINV(RAND())*$G$7+$G$6</f>
        <v>-0.00853579074085234</v>
      </c>
    </row>
    <row r="972" customFormat="false" ht="15" hidden="false" customHeight="false" outlineLevel="0" collapsed="false">
      <c r="L972" s="31" t="n">
        <f aca="true">NORMSINV(RAND())*$G$7+$G$6</f>
        <v>0.000605913363648852</v>
      </c>
    </row>
    <row r="973" customFormat="false" ht="15" hidden="false" customHeight="false" outlineLevel="0" collapsed="false">
      <c r="L973" s="31" t="n">
        <f aca="true">NORMSINV(RAND())*$G$7+$G$6</f>
        <v>-0.00269416590850791</v>
      </c>
    </row>
    <row r="974" customFormat="false" ht="15" hidden="false" customHeight="false" outlineLevel="0" collapsed="false">
      <c r="L974" s="31" t="n">
        <f aca="true">NORMSINV(RAND())*$G$7+$G$6</f>
        <v>0.0172019040800699</v>
      </c>
    </row>
    <row r="975" customFormat="false" ht="15" hidden="false" customHeight="false" outlineLevel="0" collapsed="false">
      <c r="L975" s="31" t="n">
        <f aca="true">NORMSINV(RAND())*$G$7+$G$6</f>
        <v>0.00306487225581702</v>
      </c>
    </row>
    <row r="976" customFormat="false" ht="15" hidden="false" customHeight="false" outlineLevel="0" collapsed="false">
      <c r="L976" s="31" t="n">
        <f aca="true">NORMSINV(RAND())*$G$7+$G$6</f>
        <v>0.00379273174768286</v>
      </c>
    </row>
    <row r="977" customFormat="false" ht="15" hidden="false" customHeight="false" outlineLevel="0" collapsed="false">
      <c r="L977" s="31" t="n">
        <f aca="true">NORMSINV(RAND())*$G$7+$G$6</f>
        <v>-0.025540536259876</v>
      </c>
    </row>
    <row r="978" customFormat="false" ht="15" hidden="false" customHeight="false" outlineLevel="0" collapsed="false">
      <c r="L978" s="31" t="n">
        <f aca="true">NORMSINV(RAND())*$G$7+$G$6</f>
        <v>-0.00543688895051921</v>
      </c>
    </row>
    <row r="979" customFormat="false" ht="15" hidden="false" customHeight="false" outlineLevel="0" collapsed="false">
      <c r="L979" s="31" t="n">
        <f aca="true">NORMSINV(RAND())*$G$7+$G$6</f>
        <v>0.00857091724993386</v>
      </c>
    </row>
    <row r="980" customFormat="false" ht="15" hidden="false" customHeight="false" outlineLevel="0" collapsed="false">
      <c r="L980" s="31" t="n">
        <f aca="true">NORMSINV(RAND())*$G$7+$G$6</f>
        <v>0.00815186763424589</v>
      </c>
    </row>
    <row r="981" customFormat="false" ht="15" hidden="false" customHeight="false" outlineLevel="0" collapsed="false">
      <c r="L981" s="31" t="n">
        <f aca="true">NORMSINV(RAND())*$G$7+$G$6</f>
        <v>-0.0180733982319355</v>
      </c>
    </row>
    <row r="982" customFormat="false" ht="15" hidden="false" customHeight="false" outlineLevel="0" collapsed="false">
      <c r="L982" s="31" t="n">
        <f aca="true">NORMSINV(RAND())*$G$7+$G$6</f>
        <v>-0.00131855439581691</v>
      </c>
    </row>
    <row r="983" customFormat="false" ht="15" hidden="false" customHeight="false" outlineLevel="0" collapsed="false">
      <c r="L983" s="31" t="n">
        <f aca="true">NORMSINV(RAND())*$G$7+$G$6</f>
        <v>-0.00560373788223756</v>
      </c>
    </row>
    <row r="984" customFormat="false" ht="15" hidden="false" customHeight="false" outlineLevel="0" collapsed="false">
      <c r="L984" s="31" t="n">
        <f aca="true">NORMSINV(RAND())*$G$7+$G$6</f>
        <v>0.00851749440684017</v>
      </c>
    </row>
    <row r="985" customFormat="false" ht="15" hidden="false" customHeight="false" outlineLevel="0" collapsed="false">
      <c r="L985" s="31" t="n">
        <f aca="true">NORMSINV(RAND())*$G$7+$G$6</f>
        <v>-0.000825673027585235</v>
      </c>
    </row>
    <row r="986" customFormat="false" ht="15" hidden="false" customHeight="false" outlineLevel="0" collapsed="false">
      <c r="L986" s="31" t="n">
        <f aca="true">NORMSINV(RAND())*$G$7+$G$6</f>
        <v>-0.01245559570032</v>
      </c>
    </row>
    <row r="987" customFormat="false" ht="15" hidden="false" customHeight="false" outlineLevel="0" collapsed="false">
      <c r="L987" s="31" t="n">
        <f aca="true">NORMSINV(RAND())*$G$7+$G$6</f>
        <v>0.00415826510954372</v>
      </c>
    </row>
    <row r="988" customFormat="false" ht="15" hidden="false" customHeight="false" outlineLevel="0" collapsed="false">
      <c r="L988" s="31" t="n">
        <f aca="true">NORMSINV(RAND())*$G$7+$G$6</f>
        <v>-0.0131671342364805</v>
      </c>
    </row>
    <row r="989" customFormat="false" ht="15" hidden="false" customHeight="false" outlineLevel="0" collapsed="false">
      <c r="L989" s="31" t="n">
        <f aca="true">NORMSINV(RAND())*$G$7+$G$6</f>
        <v>0.00478363776266893</v>
      </c>
    </row>
    <row r="990" customFormat="false" ht="15" hidden="false" customHeight="false" outlineLevel="0" collapsed="false">
      <c r="L990" s="31" t="n">
        <f aca="true">NORMSINV(RAND())*$G$7+$G$6</f>
        <v>0.013557086351034</v>
      </c>
    </row>
    <row r="991" customFormat="false" ht="15" hidden="false" customHeight="false" outlineLevel="0" collapsed="false">
      <c r="L991" s="31" t="n">
        <f aca="true">NORMSINV(RAND())*$G$7+$G$6</f>
        <v>-0.00793606224740973</v>
      </c>
    </row>
    <row r="992" customFormat="false" ht="15" hidden="false" customHeight="false" outlineLevel="0" collapsed="false">
      <c r="L992" s="31" t="n">
        <f aca="true">NORMSINV(RAND())*$G$7+$G$6</f>
        <v>0.00872077776157978</v>
      </c>
    </row>
    <row r="993" customFormat="false" ht="15" hidden="false" customHeight="false" outlineLevel="0" collapsed="false">
      <c r="L993" s="31" t="n">
        <f aca="true">NORMSINV(RAND())*$G$7+$G$6</f>
        <v>-0.0067108667246612</v>
      </c>
    </row>
    <row r="994" customFormat="false" ht="15" hidden="false" customHeight="false" outlineLevel="0" collapsed="false">
      <c r="L994" s="31" t="n">
        <f aca="true">NORMSINV(RAND())*$G$7+$G$6</f>
        <v>-0.00630615619637605</v>
      </c>
    </row>
    <row r="995" customFormat="false" ht="15" hidden="false" customHeight="false" outlineLevel="0" collapsed="false">
      <c r="L995" s="31" t="n">
        <f aca="true">NORMSINV(RAND())*$G$7+$G$6</f>
        <v>0.00517373966126666</v>
      </c>
    </row>
    <row r="996" customFormat="false" ht="15" hidden="false" customHeight="false" outlineLevel="0" collapsed="false">
      <c r="L996" s="31" t="n">
        <f aca="true">NORMSINV(RAND())*$G$7+$G$6</f>
        <v>-0.0186336388169653</v>
      </c>
    </row>
    <row r="997" customFormat="false" ht="15" hidden="false" customHeight="false" outlineLevel="0" collapsed="false">
      <c r="L997" s="31" t="n">
        <f aca="true">NORMSINV(RAND())*$G$7+$G$6</f>
        <v>0.000422683190189678</v>
      </c>
    </row>
    <row r="998" customFormat="false" ht="15" hidden="false" customHeight="false" outlineLevel="0" collapsed="false">
      <c r="L998" s="31" t="n">
        <f aca="true">NORMSINV(RAND())*$G$7+$G$6</f>
        <v>0.00227063922582269</v>
      </c>
    </row>
    <row r="999" customFormat="false" ht="15" hidden="false" customHeight="false" outlineLevel="0" collapsed="false">
      <c r="L999" s="31" t="n">
        <f aca="true">NORMSINV(RAND())*$G$7+$G$6</f>
        <v>0.00436539698006531</v>
      </c>
    </row>
    <row r="1000" customFormat="false" ht="15" hidden="false" customHeight="false" outlineLevel="0" collapsed="false">
      <c r="L1000" s="31" t="n">
        <f aca="true">NORMSINV(RAND())*$G$7+$G$6</f>
        <v>-0.0140941671775618</v>
      </c>
    </row>
    <row r="1001" customFormat="false" ht="15" hidden="false" customHeight="false" outlineLevel="0" collapsed="false">
      <c r="L1001" s="31" t="n">
        <f aca="true">NORMSINV(RAND())*$G$7+$G$6</f>
        <v>-0.0152871048441866</v>
      </c>
    </row>
    <row r="1002" customFormat="false" ht="15" hidden="false" customHeight="false" outlineLevel="0" collapsed="false">
      <c r="L1002" s="31" t="n">
        <f aca="true">NORMSINV(RAND())*$G$7+$G$6</f>
        <v>-0.0119298464910287</v>
      </c>
    </row>
    <row r="1003" customFormat="false" ht="15" hidden="false" customHeight="false" outlineLevel="0" collapsed="false">
      <c r="L1003" s="31" t="n">
        <f aca="true">NORMSINV(RAND())*$G$7+$G$6</f>
        <v>-0.00643439282208712</v>
      </c>
    </row>
    <row r="1004" customFormat="false" ht="15" hidden="false" customHeight="false" outlineLevel="0" collapsed="false">
      <c r="L1004" s="31" t="n">
        <f aca="true">NORMSINV(RAND())*$G$7+$G$6</f>
        <v>0.0111075163672915</v>
      </c>
    </row>
    <row r="1005" customFormat="false" ht="15" hidden="false" customHeight="false" outlineLevel="0" collapsed="false">
      <c r="L1005" s="31" t="n">
        <f aca="true">NORMSINV(RAND())*$G$7+$G$6</f>
        <v>0.0103388600387425</v>
      </c>
    </row>
    <row r="1006" customFormat="false" ht="15" hidden="false" customHeight="false" outlineLevel="0" collapsed="false">
      <c r="L1006" s="31" t="n">
        <f aca="true">NORMSINV(RAND())*$G$7+$G$6</f>
        <v>-0.0126965314210577</v>
      </c>
    </row>
    <row r="1007" customFormat="false" ht="15" hidden="false" customHeight="false" outlineLevel="0" collapsed="false">
      <c r="L1007" s="31" t="n">
        <f aca="true">NORMSINV(RAND())*$G$7+$G$6</f>
        <v>-0.0155830926762593</v>
      </c>
    </row>
    <row r="1008" customFormat="false" ht="15" hidden="false" customHeight="false" outlineLevel="0" collapsed="false">
      <c r="L1008" s="31" t="n">
        <f aca="true">NORMSINV(RAND())*$G$7+$G$6</f>
        <v>0.00148327781992523</v>
      </c>
    </row>
    <row r="1009" customFormat="false" ht="15" hidden="false" customHeight="false" outlineLevel="0" collapsed="false">
      <c r="L1009" s="31" t="n">
        <f aca="true">NORMSINV(RAND())*$G$7+$G$6</f>
        <v>-0.0241322576474575</v>
      </c>
    </row>
    <row r="1010" customFormat="false" ht="15" hidden="false" customHeight="false" outlineLevel="0" collapsed="false">
      <c r="L1010" s="31" t="n">
        <f aca="true">NORMSINV(RAND())*$G$7+$G$6</f>
        <v>0.011129839144153</v>
      </c>
    </row>
    <row r="1011" customFormat="false" ht="15" hidden="false" customHeight="false" outlineLevel="0" collapsed="false">
      <c r="L1011" s="31" t="n">
        <f aca="true">NORMSINV(RAND())*$G$7+$G$6</f>
        <v>0.000687005181026445</v>
      </c>
    </row>
    <row r="1012" customFormat="false" ht="15" hidden="false" customHeight="false" outlineLevel="0" collapsed="false">
      <c r="L1012" s="31" t="n">
        <f aca="true">NORMSINV(RAND())*$G$7+$G$6</f>
        <v>-0.000634541196133979</v>
      </c>
    </row>
    <row r="1013" customFormat="false" ht="15" hidden="false" customHeight="false" outlineLevel="0" collapsed="false">
      <c r="L1013" s="31" t="n">
        <f aca="true">NORMSINV(RAND())*$G$7+$G$6</f>
        <v>0.00433626030554647</v>
      </c>
    </row>
    <row r="1014" customFormat="false" ht="15" hidden="false" customHeight="false" outlineLevel="0" collapsed="false">
      <c r="L1014" s="31" t="n">
        <f aca="true">NORMSINV(RAND())*$G$7+$G$6</f>
        <v>-0.00926208927825384</v>
      </c>
    </row>
    <row r="1015" customFormat="false" ht="15" hidden="false" customHeight="false" outlineLevel="0" collapsed="false">
      <c r="L1015" s="31" t="n">
        <f aca="true">NORMSINV(RAND())*$G$7+$G$6</f>
        <v>0.0101024711439438</v>
      </c>
    </row>
    <row r="1016" customFormat="false" ht="15" hidden="false" customHeight="false" outlineLevel="0" collapsed="false">
      <c r="L1016" s="31" t="n">
        <f aca="true">NORMSINV(RAND())*$G$7+$G$6</f>
        <v>0.00707517958038384</v>
      </c>
    </row>
    <row r="1017" customFormat="false" ht="15" hidden="false" customHeight="false" outlineLevel="0" collapsed="false">
      <c r="L1017" s="31" t="n">
        <f aca="true">NORMSINV(RAND())*$G$7+$G$6</f>
        <v>-0.0241875695822628</v>
      </c>
    </row>
    <row r="1018" customFormat="false" ht="15" hidden="false" customHeight="false" outlineLevel="0" collapsed="false">
      <c r="L1018" s="31" t="n">
        <f aca="true">NORMSINV(RAND())*$G$7+$G$6</f>
        <v>-0.00537480522626811</v>
      </c>
    </row>
    <row r="1019" customFormat="false" ht="15" hidden="false" customHeight="false" outlineLevel="0" collapsed="false">
      <c r="L1019" s="31" t="n">
        <f aca="true">NORMSINV(RAND())*$G$7+$G$6</f>
        <v>0.000520998715143549</v>
      </c>
    </row>
    <row r="1020" customFormat="false" ht="15" hidden="false" customHeight="false" outlineLevel="0" collapsed="false">
      <c r="L1020" s="31" t="n">
        <f aca="true">NORMSINV(RAND())*$G$7+$G$6</f>
        <v>0.00882643716724523</v>
      </c>
    </row>
    <row r="1021" customFormat="false" ht="15" hidden="false" customHeight="false" outlineLevel="0" collapsed="false">
      <c r="L1021" s="31" t="n">
        <f aca="true">NORMSINV(RAND())*$G$7+$G$6</f>
        <v>0.00671953062056072</v>
      </c>
    </row>
    <row r="1022" customFormat="false" ht="15" hidden="false" customHeight="false" outlineLevel="0" collapsed="false">
      <c r="L1022" s="31" t="n">
        <f aca="true">NORMSINV(RAND())*$G$7+$G$6</f>
        <v>-0.0282206503403181</v>
      </c>
    </row>
    <row r="1023" customFormat="false" ht="15" hidden="false" customHeight="false" outlineLevel="0" collapsed="false">
      <c r="L1023" s="31" t="n">
        <f aca="true">NORMSINV(RAND())*$G$7+$G$6</f>
        <v>0.000510963426651349</v>
      </c>
    </row>
    <row r="1024" customFormat="false" ht="15" hidden="false" customHeight="false" outlineLevel="0" collapsed="false">
      <c r="L1024" s="31" t="n">
        <f aca="true">NORMSINV(RAND())*$G$7+$G$6</f>
        <v>0.0180431459927155</v>
      </c>
    </row>
    <row r="1025" customFormat="false" ht="15" hidden="false" customHeight="false" outlineLevel="0" collapsed="false">
      <c r="L1025" s="31" t="n">
        <f aca="true">NORMSINV(RAND())*$G$7+$G$6</f>
        <v>0.0304582856532478</v>
      </c>
    </row>
    <row r="1026" customFormat="false" ht="15" hidden="false" customHeight="false" outlineLevel="0" collapsed="false">
      <c r="L1026" s="31" t="n">
        <f aca="true">NORMSINV(RAND())*$G$7+$G$6</f>
        <v>-0.00502654933371692</v>
      </c>
    </row>
    <row r="1027" customFormat="false" ht="15" hidden="false" customHeight="false" outlineLevel="0" collapsed="false">
      <c r="L1027" s="31" t="n">
        <f aca="true">NORMSINV(RAND())*$G$7+$G$6</f>
        <v>0.0109686770289879</v>
      </c>
    </row>
    <row r="1028" customFormat="false" ht="15" hidden="false" customHeight="false" outlineLevel="0" collapsed="false">
      <c r="L1028" s="31" t="n">
        <f aca="true">NORMSINV(RAND())*$G$7+$G$6</f>
        <v>-0.011190671095232</v>
      </c>
    </row>
    <row r="1029" customFormat="false" ht="15" hidden="false" customHeight="false" outlineLevel="0" collapsed="false">
      <c r="L1029" s="31" t="n">
        <f aca="true">NORMSINV(RAND())*$G$7+$G$6</f>
        <v>0.000146173017124042</v>
      </c>
    </row>
    <row r="1030" customFormat="false" ht="15" hidden="false" customHeight="false" outlineLevel="0" collapsed="false">
      <c r="L1030" s="31" t="n">
        <f aca="true">NORMSINV(RAND())*$G$7+$G$6</f>
        <v>0.0107424816365108</v>
      </c>
    </row>
    <row r="1031" customFormat="false" ht="15" hidden="false" customHeight="false" outlineLevel="0" collapsed="false">
      <c r="L1031" s="31" t="n">
        <f aca="true">NORMSINV(RAND())*$G$7+$G$6</f>
        <v>-0.00793258674030125</v>
      </c>
    </row>
    <row r="1032" customFormat="false" ht="15" hidden="false" customHeight="false" outlineLevel="0" collapsed="false">
      <c r="L1032" s="31" t="n">
        <f aca="true">NORMSINV(RAND())*$G$7+$G$6</f>
        <v>0.0185035331781837</v>
      </c>
    </row>
    <row r="1033" customFormat="false" ht="15" hidden="false" customHeight="false" outlineLevel="0" collapsed="false">
      <c r="L1033" s="31" t="n">
        <f aca="true">NORMSINV(RAND())*$G$7+$G$6</f>
        <v>0.000162395807576216</v>
      </c>
    </row>
    <row r="1034" customFormat="false" ht="15" hidden="false" customHeight="false" outlineLevel="0" collapsed="false">
      <c r="L1034" s="31" t="n">
        <f aca="true">NORMSINV(RAND())*$G$7+$G$6</f>
        <v>-0.0134618149053774</v>
      </c>
    </row>
    <row r="1035" customFormat="false" ht="15" hidden="false" customHeight="false" outlineLevel="0" collapsed="false">
      <c r="L1035" s="31" t="n">
        <f aca="true">NORMSINV(RAND())*$G$7+$G$6</f>
        <v>0.00769531422105222</v>
      </c>
    </row>
    <row r="1036" customFormat="false" ht="15" hidden="false" customHeight="false" outlineLevel="0" collapsed="false">
      <c r="L1036" s="31" t="n">
        <f aca="true">NORMSINV(RAND())*$G$7+$G$6</f>
        <v>-0.00997017736133875</v>
      </c>
    </row>
    <row r="1037" customFormat="false" ht="15" hidden="false" customHeight="false" outlineLevel="0" collapsed="false">
      <c r="L1037" s="31" t="n">
        <f aca="true">NORMSINV(RAND())*$G$7+$G$6</f>
        <v>-0.000865763742219551</v>
      </c>
    </row>
    <row r="1038" customFormat="false" ht="15" hidden="false" customHeight="false" outlineLevel="0" collapsed="false">
      <c r="L1038" s="31" t="n">
        <f aca="true">NORMSINV(RAND())*$G$7+$G$6</f>
        <v>-0.00643748052698889</v>
      </c>
    </row>
    <row r="1039" customFormat="false" ht="15" hidden="false" customHeight="false" outlineLevel="0" collapsed="false">
      <c r="L1039" s="31" t="n">
        <f aca="true">NORMSINV(RAND())*$G$7+$G$6</f>
        <v>0.0146276628732437</v>
      </c>
    </row>
    <row r="1040" customFormat="false" ht="15" hidden="false" customHeight="false" outlineLevel="0" collapsed="false">
      <c r="L1040" s="31" t="n">
        <f aca="true">NORMSINV(RAND())*$G$7+$G$6</f>
        <v>-0.00839586319892965</v>
      </c>
    </row>
    <row r="1041" customFormat="false" ht="15" hidden="false" customHeight="false" outlineLevel="0" collapsed="false">
      <c r="L1041" s="31" t="n">
        <f aca="true">NORMSINV(RAND())*$G$7+$G$6</f>
        <v>-0.0214912087448814</v>
      </c>
    </row>
    <row r="1042" customFormat="false" ht="15" hidden="false" customHeight="false" outlineLevel="0" collapsed="false">
      <c r="L1042" s="31" t="n">
        <f aca="true">NORMSINV(RAND())*$G$7+$G$6</f>
        <v>-0.0309483173492126</v>
      </c>
    </row>
    <row r="1043" customFormat="false" ht="15" hidden="false" customHeight="false" outlineLevel="0" collapsed="false">
      <c r="L1043" s="31" t="n">
        <f aca="true">NORMSINV(RAND())*$G$7+$G$6</f>
        <v>0.0161904930337522</v>
      </c>
    </row>
    <row r="1044" customFormat="false" ht="15" hidden="false" customHeight="false" outlineLevel="0" collapsed="false">
      <c r="L1044" s="31" t="n">
        <f aca="true">NORMSINV(RAND())*$G$7+$G$6</f>
        <v>-0.0150872520631153</v>
      </c>
    </row>
    <row r="1045" customFormat="false" ht="15" hidden="false" customHeight="false" outlineLevel="0" collapsed="false">
      <c r="L1045" s="31" t="n">
        <f aca="true">NORMSINV(RAND())*$G$7+$G$6</f>
        <v>0.0075973557267264</v>
      </c>
    </row>
    <row r="1046" customFormat="false" ht="15" hidden="false" customHeight="false" outlineLevel="0" collapsed="false">
      <c r="L1046" s="31" t="n">
        <f aca="true">NORMSINV(RAND())*$G$7+$G$6</f>
        <v>0.0214903903130715</v>
      </c>
    </row>
    <row r="1047" customFormat="false" ht="15" hidden="false" customHeight="false" outlineLevel="0" collapsed="false">
      <c r="L1047" s="31" t="n">
        <f aca="true">NORMSINV(RAND())*$G$7+$G$6</f>
        <v>-0.0084278899592756</v>
      </c>
    </row>
    <row r="1048" customFormat="false" ht="15" hidden="false" customHeight="false" outlineLevel="0" collapsed="false">
      <c r="L1048" s="31" t="n">
        <f aca="true">NORMSINV(RAND())*$G$7+$G$6</f>
        <v>0.00102637367508704</v>
      </c>
    </row>
    <row r="1049" customFormat="false" ht="15" hidden="false" customHeight="false" outlineLevel="0" collapsed="false">
      <c r="L1049" s="31" t="n">
        <f aca="true">NORMSINV(RAND())*$G$7+$G$6</f>
        <v>0.0119904722668654</v>
      </c>
    </row>
    <row r="1050" customFormat="false" ht="15" hidden="false" customHeight="false" outlineLevel="0" collapsed="false">
      <c r="L1050" s="31" t="n">
        <f aca="true">NORMSINV(RAND())*$G$7+$G$6</f>
        <v>0.0112568540837303</v>
      </c>
    </row>
    <row r="1051" customFormat="false" ht="15" hidden="false" customHeight="false" outlineLevel="0" collapsed="false">
      <c r="L1051" s="31" t="n">
        <f aca="true">NORMSINV(RAND())*$G$7+$G$6</f>
        <v>0.0167475792011285</v>
      </c>
    </row>
    <row r="1052" customFormat="false" ht="15" hidden="false" customHeight="false" outlineLevel="0" collapsed="false">
      <c r="L1052" s="31" t="n">
        <f aca="true">NORMSINV(RAND())*$G$7+$G$6</f>
        <v>0.0207307791228858</v>
      </c>
    </row>
    <row r="1053" customFormat="false" ht="15" hidden="false" customHeight="false" outlineLevel="0" collapsed="false">
      <c r="L1053" s="31" t="n">
        <f aca="true">NORMSINV(RAND())*$G$7+$G$6</f>
        <v>0.0259825556511667</v>
      </c>
    </row>
    <row r="1054" customFormat="false" ht="15" hidden="false" customHeight="false" outlineLevel="0" collapsed="false">
      <c r="L1054" s="31" t="n">
        <f aca="true">NORMSINV(RAND())*$G$7+$G$6</f>
        <v>0.00382633450416259</v>
      </c>
    </row>
    <row r="1055" customFormat="false" ht="15" hidden="false" customHeight="false" outlineLevel="0" collapsed="false">
      <c r="L1055" s="31" t="n">
        <f aca="true">NORMSINV(RAND())*$G$7+$G$6</f>
        <v>0.0140665468503175</v>
      </c>
    </row>
    <row r="1056" customFormat="false" ht="15" hidden="false" customHeight="false" outlineLevel="0" collapsed="false">
      <c r="L1056" s="31" t="n">
        <f aca="true">NORMSINV(RAND())*$G$7+$G$6</f>
        <v>-0.0134543571642725</v>
      </c>
    </row>
    <row r="1057" customFormat="false" ht="15" hidden="false" customHeight="false" outlineLevel="0" collapsed="false">
      <c r="L1057" s="31" t="n">
        <f aca="true">NORMSINV(RAND())*$G$7+$G$6</f>
        <v>0.00542551348005293</v>
      </c>
    </row>
    <row r="1058" customFormat="false" ht="15" hidden="false" customHeight="false" outlineLevel="0" collapsed="false">
      <c r="L1058" s="31" t="n">
        <f aca="true">NORMSINV(RAND())*$G$7+$G$6</f>
        <v>-0.0214419594536223</v>
      </c>
    </row>
    <row r="1059" customFormat="false" ht="15" hidden="false" customHeight="false" outlineLevel="0" collapsed="false">
      <c r="L1059" s="31" t="n">
        <f aca="true">NORMSINV(RAND())*$G$7+$G$6</f>
        <v>-0.00944326301991583</v>
      </c>
    </row>
    <row r="1060" customFormat="false" ht="15" hidden="false" customHeight="false" outlineLevel="0" collapsed="false">
      <c r="L1060" s="31" t="n">
        <f aca="true">NORMSINV(RAND())*$G$7+$G$6</f>
        <v>-0.00521526278857341</v>
      </c>
    </row>
    <row r="1061" customFormat="false" ht="15" hidden="false" customHeight="false" outlineLevel="0" collapsed="false">
      <c r="L1061" s="31" t="n">
        <f aca="true">NORMSINV(RAND())*$G$7+$G$6</f>
        <v>-0.0169832141194156</v>
      </c>
    </row>
    <row r="1062" customFormat="false" ht="15" hidden="false" customHeight="false" outlineLevel="0" collapsed="false">
      <c r="L1062" s="31" t="n">
        <f aca="true">NORMSINV(RAND())*$G$7+$G$6</f>
        <v>0.000195597157577069</v>
      </c>
    </row>
    <row r="1063" customFormat="false" ht="15" hidden="false" customHeight="false" outlineLevel="0" collapsed="false">
      <c r="L1063" s="31" t="n">
        <f aca="true">NORMSINV(RAND())*$G$7+$G$6</f>
        <v>-0.0143420417904151</v>
      </c>
    </row>
    <row r="1064" customFormat="false" ht="15" hidden="false" customHeight="false" outlineLevel="0" collapsed="false">
      <c r="L1064" s="31" t="n">
        <f aca="true">NORMSINV(RAND())*$G$7+$G$6</f>
        <v>0.0184443196007251</v>
      </c>
    </row>
    <row r="1065" customFormat="false" ht="15" hidden="false" customHeight="false" outlineLevel="0" collapsed="false">
      <c r="L1065" s="31" t="n">
        <f aca="true">NORMSINV(RAND())*$G$7+$G$6</f>
        <v>0.0129114473049883</v>
      </c>
    </row>
    <row r="1066" customFormat="false" ht="15" hidden="false" customHeight="false" outlineLevel="0" collapsed="false">
      <c r="L1066" s="31" t="n">
        <f aca="true">NORMSINV(RAND())*$G$7+$G$6</f>
        <v>-0.0117599955973378</v>
      </c>
    </row>
    <row r="1067" customFormat="false" ht="15" hidden="false" customHeight="false" outlineLevel="0" collapsed="false">
      <c r="L1067" s="31" t="n">
        <f aca="true">NORMSINV(RAND())*$G$7+$G$6</f>
        <v>0.0100665378486105</v>
      </c>
    </row>
    <row r="1068" customFormat="false" ht="15" hidden="false" customHeight="false" outlineLevel="0" collapsed="false">
      <c r="L1068" s="31" t="n">
        <f aca="true">NORMSINV(RAND())*$G$7+$G$6</f>
        <v>-0.00704841168021242</v>
      </c>
    </row>
    <row r="1069" customFormat="false" ht="15" hidden="false" customHeight="false" outlineLevel="0" collapsed="false">
      <c r="L1069" s="31" t="n">
        <f aca="true">NORMSINV(RAND())*$G$7+$G$6</f>
        <v>0.0185369686255075</v>
      </c>
    </row>
    <row r="1070" customFormat="false" ht="15" hidden="false" customHeight="false" outlineLevel="0" collapsed="false">
      <c r="L1070" s="31" t="n">
        <f aca="true">NORMSINV(RAND())*$G$7+$G$6</f>
        <v>0.00739918704636679</v>
      </c>
    </row>
    <row r="1071" customFormat="false" ht="15" hidden="false" customHeight="false" outlineLevel="0" collapsed="false">
      <c r="L1071" s="31" t="n">
        <f aca="true">NORMSINV(RAND())*$G$7+$G$6</f>
        <v>-6.98160575486729E-005</v>
      </c>
    </row>
    <row r="1072" customFormat="false" ht="15" hidden="false" customHeight="false" outlineLevel="0" collapsed="false">
      <c r="L1072" s="31" t="n">
        <f aca="true">NORMSINV(RAND())*$G$7+$G$6</f>
        <v>-0.0147945868085124</v>
      </c>
    </row>
    <row r="1073" customFormat="false" ht="15" hidden="false" customHeight="false" outlineLevel="0" collapsed="false">
      <c r="L1073" s="31" t="n">
        <f aca="true">NORMSINV(RAND())*$G$7+$G$6</f>
        <v>-0.0130619283971836</v>
      </c>
    </row>
    <row r="1074" customFormat="false" ht="15" hidden="false" customHeight="false" outlineLevel="0" collapsed="false">
      <c r="L1074" s="31" t="n">
        <f aca="true">NORMSINV(RAND())*$G$7+$G$6</f>
        <v>0.0279854447673008</v>
      </c>
    </row>
    <row r="1075" customFormat="false" ht="15" hidden="false" customHeight="false" outlineLevel="0" collapsed="false">
      <c r="L1075" s="31" t="n">
        <f aca="true">NORMSINV(RAND())*$G$7+$G$6</f>
        <v>0.00769027413406529</v>
      </c>
    </row>
    <row r="1076" customFormat="false" ht="15" hidden="false" customHeight="false" outlineLevel="0" collapsed="false">
      <c r="L1076" s="31" t="n">
        <f aca="true">NORMSINV(RAND())*$G$7+$G$6</f>
        <v>-0.00647519448311297</v>
      </c>
    </row>
    <row r="1077" customFormat="false" ht="15" hidden="false" customHeight="false" outlineLevel="0" collapsed="false">
      <c r="L1077" s="31" t="n">
        <f aca="true">NORMSINV(RAND())*$G$7+$G$6</f>
        <v>0.000237611856918252</v>
      </c>
    </row>
    <row r="1078" customFormat="false" ht="15" hidden="false" customHeight="false" outlineLevel="0" collapsed="false">
      <c r="L1078" s="31" t="n">
        <f aca="true">NORMSINV(RAND())*$G$7+$G$6</f>
        <v>0.0116757427127218</v>
      </c>
    </row>
    <row r="1079" customFormat="false" ht="15" hidden="false" customHeight="false" outlineLevel="0" collapsed="false">
      <c r="L1079" s="31" t="n">
        <f aca="true">NORMSINV(RAND())*$G$7+$G$6</f>
        <v>-0.00523415861906129</v>
      </c>
    </row>
    <row r="1080" customFormat="false" ht="15" hidden="false" customHeight="false" outlineLevel="0" collapsed="false">
      <c r="L1080" s="31" t="n">
        <f aca="true">NORMSINV(RAND())*$G$7+$G$6</f>
        <v>-0.00224368466995905</v>
      </c>
    </row>
    <row r="1081" customFormat="false" ht="15" hidden="false" customHeight="false" outlineLevel="0" collapsed="false">
      <c r="L1081" s="31" t="n">
        <f aca="true">NORMSINV(RAND())*$G$7+$G$6</f>
        <v>0.0061892583854476</v>
      </c>
    </row>
    <row r="1082" customFormat="false" ht="15" hidden="false" customHeight="false" outlineLevel="0" collapsed="false">
      <c r="L1082" s="31" t="n">
        <f aca="true">NORMSINV(RAND())*$G$7+$G$6</f>
        <v>0.00165188958018131</v>
      </c>
    </row>
    <row r="1083" customFormat="false" ht="15" hidden="false" customHeight="false" outlineLevel="0" collapsed="false">
      <c r="L1083" s="31" t="n">
        <f aca="true">NORMSINV(RAND())*$G$7+$G$6</f>
        <v>0.010449483431601</v>
      </c>
    </row>
    <row r="1084" customFormat="false" ht="15" hidden="false" customHeight="false" outlineLevel="0" collapsed="false">
      <c r="L1084" s="31" t="n">
        <f aca="true">NORMSINV(RAND())*$G$7+$G$6</f>
        <v>-0.0134825279389056</v>
      </c>
    </row>
    <row r="1085" customFormat="false" ht="15" hidden="false" customHeight="false" outlineLevel="0" collapsed="false">
      <c r="L1085" s="31" t="n">
        <f aca="true">NORMSINV(RAND())*$G$7+$G$6</f>
        <v>-0.0122237382651031</v>
      </c>
    </row>
    <row r="1086" customFormat="false" ht="15" hidden="false" customHeight="false" outlineLevel="0" collapsed="false">
      <c r="L1086" s="31" t="n">
        <f aca="true">NORMSINV(RAND())*$G$7+$G$6</f>
        <v>0.0242847866717138</v>
      </c>
    </row>
    <row r="1087" customFormat="false" ht="15" hidden="false" customHeight="false" outlineLevel="0" collapsed="false">
      <c r="L1087" s="31" t="n">
        <f aca="true">NORMSINV(RAND())*$G$7+$G$6</f>
        <v>0.0127150345876123</v>
      </c>
    </row>
    <row r="1088" customFormat="false" ht="15" hidden="false" customHeight="false" outlineLevel="0" collapsed="false">
      <c r="L1088" s="31" t="n">
        <f aca="true">NORMSINV(RAND())*$G$7+$G$6</f>
        <v>-0.0194965437643446</v>
      </c>
    </row>
    <row r="1089" customFormat="false" ht="15" hidden="false" customHeight="false" outlineLevel="0" collapsed="false">
      <c r="L1089" s="31" t="n">
        <f aca="true">NORMSINV(RAND())*$G$7+$G$6</f>
        <v>0.0239416542783139</v>
      </c>
    </row>
    <row r="1090" customFormat="false" ht="15" hidden="false" customHeight="false" outlineLevel="0" collapsed="false">
      <c r="L1090" s="31" t="n">
        <f aca="true">NORMSINV(RAND())*$G$7+$G$6</f>
        <v>0.0135576697109945</v>
      </c>
    </row>
    <row r="1091" customFormat="false" ht="15" hidden="false" customHeight="false" outlineLevel="0" collapsed="false">
      <c r="L1091" s="31" t="n">
        <f aca="true">NORMSINV(RAND())*$G$7+$G$6</f>
        <v>-0.0301534389409811</v>
      </c>
    </row>
    <row r="1092" customFormat="false" ht="15" hidden="false" customHeight="false" outlineLevel="0" collapsed="false">
      <c r="L1092" s="31" t="n">
        <f aca="true">NORMSINV(RAND())*$G$7+$G$6</f>
        <v>-0.0108392674617211</v>
      </c>
    </row>
    <row r="1093" customFormat="false" ht="15" hidden="false" customHeight="false" outlineLevel="0" collapsed="false">
      <c r="L1093" s="31" t="n">
        <f aca="true">NORMSINV(RAND())*$G$7+$G$6</f>
        <v>0.00833785173933567</v>
      </c>
    </row>
    <row r="1094" customFormat="false" ht="15" hidden="false" customHeight="false" outlineLevel="0" collapsed="false">
      <c r="L1094" s="31" t="n">
        <f aca="true">NORMSINV(RAND())*$G$7+$G$6</f>
        <v>0.000931699981767787</v>
      </c>
    </row>
    <row r="1095" customFormat="false" ht="15" hidden="false" customHeight="false" outlineLevel="0" collapsed="false">
      <c r="L1095" s="31" t="n">
        <f aca="true">NORMSINV(RAND())*$G$7+$G$6</f>
        <v>-0.00418275650010746</v>
      </c>
    </row>
    <row r="1096" customFormat="false" ht="15" hidden="false" customHeight="false" outlineLevel="0" collapsed="false">
      <c r="L1096" s="31" t="n">
        <f aca="true">NORMSINV(RAND())*$G$7+$G$6</f>
        <v>-0.0155584010125928</v>
      </c>
    </row>
    <row r="1097" customFormat="false" ht="15" hidden="false" customHeight="false" outlineLevel="0" collapsed="false">
      <c r="L1097" s="31" t="n">
        <f aca="true">NORMSINV(RAND())*$G$7+$G$6</f>
        <v>0.00740452221270697</v>
      </c>
    </row>
    <row r="1098" customFormat="false" ht="15" hidden="false" customHeight="false" outlineLevel="0" collapsed="false">
      <c r="L1098" s="31" t="n">
        <f aca="true">NORMSINV(RAND())*$G$7+$G$6</f>
        <v>-0.00590224742323905</v>
      </c>
    </row>
    <row r="1099" customFormat="false" ht="15" hidden="false" customHeight="false" outlineLevel="0" collapsed="false">
      <c r="L1099" s="31" t="n">
        <f aca="true">NORMSINV(RAND())*$G$7+$G$6</f>
        <v>-0.000330007054459312</v>
      </c>
    </row>
    <row r="1100" customFormat="false" ht="15" hidden="false" customHeight="false" outlineLevel="0" collapsed="false">
      <c r="L1100" s="31" t="n">
        <f aca="true">NORMSINV(RAND())*$G$7+$G$6</f>
        <v>0.0130078252855079</v>
      </c>
    </row>
    <row r="1101" customFormat="false" ht="15" hidden="false" customHeight="false" outlineLevel="0" collapsed="false">
      <c r="L1101" s="31" t="n">
        <f aca="true">NORMSINV(RAND())*$G$7+$G$6</f>
        <v>0.00359144278483853</v>
      </c>
    </row>
    <row r="1102" customFormat="false" ht="15" hidden="false" customHeight="false" outlineLevel="0" collapsed="false">
      <c r="L1102" s="31" t="n">
        <f aca="true">NORMSINV(RAND())*$G$7+$G$6</f>
        <v>0.0247398082472336</v>
      </c>
    </row>
    <row r="1103" customFormat="false" ht="15" hidden="false" customHeight="false" outlineLevel="0" collapsed="false">
      <c r="L1103" s="31" t="n">
        <f aca="true">NORMSINV(RAND())*$G$7+$G$6</f>
        <v>-0.00491991438013196</v>
      </c>
    </row>
    <row r="1104" customFormat="false" ht="15" hidden="false" customHeight="false" outlineLevel="0" collapsed="false">
      <c r="L1104" s="31" t="n">
        <f aca="true">NORMSINV(RAND())*$G$7+$G$6</f>
        <v>-0.00390307027738848</v>
      </c>
    </row>
    <row r="1105" customFormat="false" ht="15" hidden="false" customHeight="false" outlineLevel="0" collapsed="false">
      <c r="L1105" s="31" t="n">
        <f aca="true">NORMSINV(RAND())*$G$7+$G$6</f>
        <v>0.0276360638806003</v>
      </c>
    </row>
    <row r="1106" customFormat="false" ht="15" hidden="false" customHeight="false" outlineLevel="0" collapsed="false">
      <c r="L1106" s="31" t="n">
        <f aca="true">NORMSINV(RAND())*$G$7+$G$6</f>
        <v>0.0102071278100904</v>
      </c>
    </row>
    <row r="1107" customFormat="false" ht="15" hidden="false" customHeight="false" outlineLevel="0" collapsed="false">
      <c r="L1107" s="31" t="n">
        <f aca="true">NORMSINV(RAND())*$G$7+$G$6</f>
        <v>-0.0130496298071199</v>
      </c>
    </row>
    <row r="1108" customFormat="false" ht="15" hidden="false" customHeight="false" outlineLevel="0" collapsed="false">
      <c r="L1108" s="31" t="n">
        <f aca="true">NORMSINV(RAND())*$G$7+$G$6</f>
        <v>0.00952404760968344</v>
      </c>
    </row>
    <row r="1109" customFormat="false" ht="15" hidden="false" customHeight="false" outlineLevel="0" collapsed="false">
      <c r="L1109" s="31" t="n">
        <f aca="true">NORMSINV(RAND())*$G$7+$G$6</f>
        <v>-0.00451414429394253</v>
      </c>
    </row>
    <row r="1110" customFormat="false" ht="15" hidden="false" customHeight="false" outlineLevel="0" collapsed="false">
      <c r="L1110" s="31" t="n">
        <f aca="true">NORMSINV(RAND())*$G$7+$G$6</f>
        <v>-0.00843530619199423</v>
      </c>
    </row>
    <row r="1111" customFormat="false" ht="15" hidden="false" customHeight="false" outlineLevel="0" collapsed="false">
      <c r="L1111" s="31" t="n">
        <f aca="true">NORMSINV(RAND())*$G$7+$G$6</f>
        <v>-0.0179306082151815</v>
      </c>
    </row>
    <row r="1112" customFormat="false" ht="15" hidden="false" customHeight="false" outlineLevel="0" collapsed="false">
      <c r="L1112" s="31" t="n">
        <f aca="true">NORMSINV(RAND())*$G$7+$G$6</f>
        <v>0.00159933413528668</v>
      </c>
    </row>
    <row r="1113" customFormat="false" ht="15" hidden="false" customHeight="false" outlineLevel="0" collapsed="false">
      <c r="L1113" s="31" t="n">
        <f aca="true">NORMSINV(RAND())*$G$7+$G$6</f>
        <v>0.00220787483118694</v>
      </c>
    </row>
    <row r="1114" customFormat="false" ht="15" hidden="false" customHeight="false" outlineLevel="0" collapsed="false">
      <c r="L1114" s="31" t="n">
        <f aca="true">NORMSINV(RAND())*$G$7+$G$6</f>
        <v>-0.0117051537311815</v>
      </c>
    </row>
    <row r="1115" customFormat="false" ht="15" hidden="false" customHeight="false" outlineLevel="0" collapsed="false">
      <c r="L1115" s="31" t="n">
        <f aca="true">NORMSINV(RAND())*$G$7+$G$6</f>
        <v>0.00378421361177715</v>
      </c>
    </row>
    <row r="1116" customFormat="false" ht="15" hidden="false" customHeight="false" outlineLevel="0" collapsed="false">
      <c r="L1116" s="31" t="n">
        <f aca="true">NORMSINV(RAND())*$G$7+$G$6</f>
        <v>0.00759203196443322</v>
      </c>
    </row>
    <row r="1117" customFormat="false" ht="15" hidden="false" customHeight="false" outlineLevel="0" collapsed="false">
      <c r="L1117" s="31" t="n">
        <f aca="true">NORMSINV(RAND())*$G$7+$G$6</f>
        <v>0.0101138744517152</v>
      </c>
    </row>
    <row r="1118" customFormat="false" ht="15" hidden="false" customHeight="false" outlineLevel="0" collapsed="false">
      <c r="L1118" s="31" t="n">
        <f aca="true">NORMSINV(RAND())*$G$7+$G$6</f>
        <v>-0.00318155799943269</v>
      </c>
    </row>
    <row r="1119" customFormat="false" ht="15" hidden="false" customHeight="false" outlineLevel="0" collapsed="false">
      <c r="L1119" s="31" t="n">
        <f aca="true">NORMSINV(RAND())*$G$7+$G$6</f>
        <v>0.0194421228273114</v>
      </c>
    </row>
    <row r="1120" customFormat="false" ht="15" hidden="false" customHeight="false" outlineLevel="0" collapsed="false">
      <c r="L1120" s="31" t="n">
        <f aca="true">NORMSINV(RAND())*$G$7+$G$6</f>
        <v>0.0311731540151265</v>
      </c>
    </row>
    <row r="1121" customFormat="false" ht="15" hidden="false" customHeight="false" outlineLevel="0" collapsed="false">
      <c r="L1121" s="31" t="n">
        <f aca="true">NORMSINV(RAND())*$G$7+$G$6</f>
        <v>-0.00503163784339172</v>
      </c>
    </row>
    <row r="1122" customFormat="false" ht="15" hidden="false" customHeight="false" outlineLevel="0" collapsed="false">
      <c r="L1122" s="31" t="n">
        <f aca="true">NORMSINV(RAND())*$G$7+$G$6</f>
        <v>-0.015285170809059</v>
      </c>
    </row>
    <row r="1123" customFormat="false" ht="15" hidden="false" customHeight="false" outlineLevel="0" collapsed="false">
      <c r="L1123" s="31" t="n">
        <f aca="true">NORMSINV(RAND())*$G$7+$G$6</f>
        <v>-0.0189030450492507</v>
      </c>
    </row>
    <row r="1124" customFormat="false" ht="15" hidden="false" customHeight="false" outlineLevel="0" collapsed="false">
      <c r="L1124" s="31" t="n">
        <f aca="true">NORMSINV(RAND())*$G$7+$G$6</f>
        <v>0.0118711010366327</v>
      </c>
    </row>
    <row r="1125" customFormat="false" ht="15" hidden="false" customHeight="false" outlineLevel="0" collapsed="false">
      <c r="L1125" s="31" t="n">
        <f aca="true">NORMSINV(RAND())*$G$7+$G$6</f>
        <v>0.0146952129376679</v>
      </c>
    </row>
    <row r="1126" customFormat="false" ht="15" hidden="false" customHeight="false" outlineLevel="0" collapsed="false">
      <c r="L1126" s="31" t="n">
        <f aca="true">NORMSINV(RAND())*$G$7+$G$6</f>
        <v>0.0201240946446595</v>
      </c>
    </row>
    <row r="1127" customFormat="false" ht="15" hidden="false" customHeight="false" outlineLevel="0" collapsed="false">
      <c r="L1127" s="31" t="n">
        <f aca="true">NORMSINV(RAND())*$G$7+$G$6</f>
        <v>0.0187589694020684</v>
      </c>
    </row>
    <row r="1128" customFormat="false" ht="15" hidden="false" customHeight="false" outlineLevel="0" collapsed="false">
      <c r="L1128" s="31" t="n">
        <f aca="true">NORMSINV(RAND())*$G$7+$G$6</f>
        <v>0.00193815371894665</v>
      </c>
    </row>
    <row r="1129" customFormat="false" ht="15" hidden="false" customHeight="false" outlineLevel="0" collapsed="false">
      <c r="L1129" s="31" t="n">
        <f aca="true">NORMSINV(RAND())*$G$7+$G$6</f>
        <v>0.0337593722422646</v>
      </c>
    </row>
    <row r="1130" customFormat="false" ht="15" hidden="false" customHeight="false" outlineLevel="0" collapsed="false">
      <c r="L1130" s="31" t="n">
        <f aca="true">NORMSINV(RAND())*$G$7+$G$6</f>
        <v>-0.0113364945057101</v>
      </c>
    </row>
    <row r="1131" customFormat="false" ht="15" hidden="false" customHeight="false" outlineLevel="0" collapsed="false">
      <c r="L1131" s="31" t="n">
        <f aca="true">NORMSINV(RAND())*$G$7+$G$6</f>
        <v>0.00567375400634004</v>
      </c>
    </row>
    <row r="1132" customFormat="false" ht="15" hidden="false" customHeight="false" outlineLevel="0" collapsed="false">
      <c r="L1132" s="31" t="n">
        <f aca="true">NORMSINV(RAND())*$G$7+$G$6</f>
        <v>0.0181669600897744</v>
      </c>
    </row>
    <row r="1133" customFormat="false" ht="15" hidden="false" customHeight="false" outlineLevel="0" collapsed="false">
      <c r="L1133" s="31" t="n">
        <f aca="true">NORMSINV(RAND())*$G$7+$G$6</f>
        <v>0.0255990295410928</v>
      </c>
    </row>
    <row r="1134" customFormat="false" ht="15" hidden="false" customHeight="false" outlineLevel="0" collapsed="false">
      <c r="L1134" s="31" t="n">
        <f aca="true">NORMSINV(RAND())*$G$7+$G$6</f>
        <v>-0.00279129368871959</v>
      </c>
    </row>
    <row r="1135" customFormat="false" ht="15" hidden="false" customHeight="false" outlineLevel="0" collapsed="false">
      <c r="L1135" s="31" t="n">
        <f aca="true">NORMSINV(RAND())*$G$7+$G$6</f>
        <v>-0.000122739346301445</v>
      </c>
    </row>
    <row r="1136" customFormat="false" ht="15" hidden="false" customHeight="false" outlineLevel="0" collapsed="false">
      <c r="L1136" s="31" t="n">
        <f aca="true">NORMSINV(RAND())*$G$7+$G$6</f>
        <v>-0.0182558135965594</v>
      </c>
    </row>
    <row r="1137" customFormat="false" ht="15" hidden="false" customHeight="false" outlineLevel="0" collapsed="false">
      <c r="L1137" s="31" t="n">
        <f aca="true">NORMSINV(RAND())*$G$7+$G$6</f>
        <v>0.00696638017392409</v>
      </c>
    </row>
    <row r="1138" customFormat="false" ht="15" hidden="false" customHeight="false" outlineLevel="0" collapsed="false">
      <c r="L1138" s="31" t="n">
        <f aca="true">NORMSINV(RAND())*$G$7+$G$6</f>
        <v>-0.00148740168193395</v>
      </c>
    </row>
    <row r="1139" customFormat="false" ht="15" hidden="false" customHeight="false" outlineLevel="0" collapsed="false">
      <c r="L1139" s="31" t="n">
        <f aca="true">NORMSINV(RAND())*$G$7+$G$6</f>
        <v>-0.00501660141487208</v>
      </c>
    </row>
    <row r="1140" customFormat="false" ht="15" hidden="false" customHeight="false" outlineLevel="0" collapsed="false">
      <c r="L1140" s="31" t="n">
        <f aca="true">NORMSINV(RAND())*$G$7+$G$6</f>
        <v>-0.0101996729248749</v>
      </c>
    </row>
    <row r="1141" customFormat="false" ht="15" hidden="false" customHeight="false" outlineLevel="0" collapsed="false">
      <c r="L1141" s="31" t="n">
        <f aca="true">NORMSINV(RAND())*$G$7+$G$6</f>
        <v>-0.00699568178508782</v>
      </c>
    </row>
    <row r="1142" customFormat="false" ht="15" hidden="false" customHeight="false" outlineLevel="0" collapsed="false">
      <c r="L1142" s="31" t="n">
        <f aca="true">NORMSINV(RAND())*$G$7+$G$6</f>
        <v>-0.000996582623251591</v>
      </c>
    </row>
    <row r="1143" customFormat="false" ht="15" hidden="false" customHeight="false" outlineLevel="0" collapsed="false">
      <c r="L1143" s="31" t="n">
        <f aca="true">NORMSINV(RAND())*$G$7+$G$6</f>
        <v>0.00175929198772122</v>
      </c>
    </row>
    <row r="1144" customFormat="false" ht="15" hidden="false" customHeight="false" outlineLevel="0" collapsed="false">
      <c r="L1144" s="31" t="n">
        <f aca="true">NORMSINV(RAND())*$G$7+$G$6</f>
        <v>-0.0108228917824115</v>
      </c>
    </row>
    <row r="1145" customFormat="false" ht="15" hidden="false" customHeight="false" outlineLevel="0" collapsed="false">
      <c r="L1145" s="31" t="n">
        <f aca="true">NORMSINV(RAND())*$G$7+$G$6</f>
        <v>0.00270449109431216</v>
      </c>
    </row>
    <row r="1146" customFormat="false" ht="15" hidden="false" customHeight="false" outlineLevel="0" collapsed="false">
      <c r="L1146" s="31" t="n">
        <f aca="true">NORMSINV(RAND())*$G$7+$G$6</f>
        <v>0.0230490798748711</v>
      </c>
    </row>
    <row r="1147" customFormat="false" ht="15" hidden="false" customHeight="false" outlineLevel="0" collapsed="false">
      <c r="L1147" s="31" t="n">
        <f aca="true">NORMSINV(RAND())*$G$7+$G$6</f>
        <v>-0.0198372440487351</v>
      </c>
    </row>
    <row r="1148" customFormat="false" ht="15" hidden="false" customHeight="false" outlineLevel="0" collapsed="false">
      <c r="L1148" s="31" t="n">
        <f aca="true">NORMSINV(RAND())*$G$7+$G$6</f>
        <v>0.0107625296717682</v>
      </c>
    </row>
    <row r="1149" customFormat="false" ht="15" hidden="false" customHeight="false" outlineLevel="0" collapsed="false">
      <c r="L1149" s="31" t="n">
        <f aca="true">NORMSINV(RAND())*$G$7+$G$6</f>
        <v>0.00900786228759961</v>
      </c>
    </row>
    <row r="1150" customFormat="false" ht="15" hidden="false" customHeight="false" outlineLevel="0" collapsed="false">
      <c r="L1150" s="31" t="n">
        <f aca="true">NORMSINV(RAND())*$G$7+$G$6</f>
        <v>-0.00515541705633212</v>
      </c>
    </row>
    <row r="1151" customFormat="false" ht="15" hidden="false" customHeight="false" outlineLevel="0" collapsed="false">
      <c r="L1151" s="31" t="n">
        <f aca="true">NORMSINV(RAND())*$G$7+$G$6</f>
        <v>0.0267757049324688</v>
      </c>
    </row>
    <row r="1152" customFormat="false" ht="15" hidden="false" customHeight="false" outlineLevel="0" collapsed="false">
      <c r="L1152" s="31" t="n">
        <f aca="true">NORMSINV(RAND())*$G$7+$G$6</f>
        <v>0.0127713737507125</v>
      </c>
    </row>
    <row r="1153" customFormat="false" ht="15" hidden="false" customHeight="false" outlineLevel="0" collapsed="false">
      <c r="L1153" s="31" t="n">
        <f aca="true">NORMSINV(RAND())*$G$7+$G$6</f>
        <v>0.00926049494247774</v>
      </c>
    </row>
    <row r="1154" customFormat="false" ht="15" hidden="false" customHeight="false" outlineLevel="0" collapsed="false">
      <c r="L1154" s="31" t="n">
        <f aca="true">NORMSINV(RAND())*$G$7+$G$6</f>
        <v>0.0137670205747055</v>
      </c>
    </row>
    <row r="1155" customFormat="false" ht="15" hidden="false" customHeight="false" outlineLevel="0" collapsed="false">
      <c r="L1155" s="31" t="n">
        <f aca="true">NORMSINV(RAND())*$G$7+$G$6</f>
        <v>-0.00265960275128682</v>
      </c>
    </row>
    <row r="1156" customFormat="false" ht="15" hidden="false" customHeight="false" outlineLevel="0" collapsed="false">
      <c r="L1156" s="31" t="n">
        <f aca="true">NORMSINV(RAND())*$G$7+$G$6</f>
        <v>-0.0173775807794251</v>
      </c>
    </row>
    <row r="1157" customFormat="false" ht="15" hidden="false" customHeight="false" outlineLevel="0" collapsed="false">
      <c r="L1157" s="31" t="n">
        <f aca="true">NORMSINV(RAND())*$G$7+$G$6</f>
        <v>-0.00419968337798797</v>
      </c>
    </row>
    <row r="1158" customFormat="false" ht="15" hidden="false" customHeight="false" outlineLevel="0" collapsed="false">
      <c r="L1158" s="31" t="n">
        <f aca="true">NORMSINV(RAND())*$G$7+$G$6</f>
        <v>0.0082798083429514</v>
      </c>
    </row>
    <row r="1159" customFormat="false" ht="15" hidden="false" customHeight="false" outlineLevel="0" collapsed="false">
      <c r="L1159" s="31" t="n">
        <f aca="true">NORMSINV(RAND())*$G$7+$G$6</f>
        <v>-0.0013040498777334</v>
      </c>
    </row>
    <row r="1160" customFormat="false" ht="15" hidden="false" customHeight="false" outlineLevel="0" collapsed="false">
      <c r="L1160" s="31" t="n">
        <f aca="true">NORMSINV(RAND())*$G$7+$G$6</f>
        <v>-0.00301704068428814</v>
      </c>
    </row>
    <row r="1161" customFormat="false" ht="15" hidden="false" customHeight="false" outlineLevel="0" collapsed="false">
      <c r="L1161" s="31" t="n">
        <f aca="true">NORMSINV(RAND())*$G$7+$G$6</f>
        <v>0.00720769052417802</v>
      </c>
    </row>
    <row r="1162" customFormat="false" ht="15" hidden="false" customHeight="false" outlineLevel="0" collapsed="false">
      <c r="L1162" s="31" t="n">
        <f aca="true">NORMSINV(RAND())*$G$7+$G$6</f>
        <v>0.00084574898361251</v>
      </c>
    </row>
    <row r="1163" customFormat="false" ht="15" hidden="false" customHeight="false" outlineLevel="0" collapsed="false">
      <c r="L1163" s="31" t="n">
        <f aca="true">NORMSINV(RAND())*$G$7+$G$6</f>
        <v>0.0036428274484425</v>
      </c>
    </row>
    <row r="1164" customFormat="false" ht="15" hidden="false" customHeight="false" outlineLevel="0" collapsed="false">
      <c r="L1164" s="31" t="n">
        <f aca="true">NORMSINV(RAND())*$G$7+$G$6</f>
        <v>0.0129892113293152</v>
      </c>
    </row>
    <row r="1165" customFormat="false" ht="15" hidden="false" customHeight="false" outlineLevel="0" collapsed="false">
      <c r="L1165" s="31" t="n">
        <f aca="true">NORMSINV(RAND())*$G$7+$G$6</f>
        <v>0.0123122276094641</v>
      </c>
    </row>
    <row r="1166" customFormat="false" ht="15" hidden="false" customHeight="false" outlineLevel="0" collapsed="false">
      <c r="L1166" s="31" t="n">
        <f aca="true">NORMSINV(RAND())*$G$7+$G$6</f>
        <v>-0.0303532542137833</v>
      </c>
    </row>
    <row r="1167" customFormat="false" ht="15" hidden="false" customHeight="false" outlineLevel="0" collapsed="false">
      <c r="L1167" s="31" t="n">
        <f aca="true">NORMSINV(RAND())*$G$7+$G$6</f>
        <v>-0.00770618083502294</v>
      </c>
    </row>
    <row r="1168" customFormat="false" ht="15" hidden="false" customHeight="false" outlineLevel="0" collapsed="false">
      <c r="L1168" s="31" t="n">
        <f aca="true">NORMSINV(RAND())*$G$7+$G$6</f>
        <v>-0.029127193823191</v>
      </c>
    </row>
    <row r="1169" customFormat="false" ht="15" hidden="false" customHeight="false" outlineLevel="0" collapsed="false">
      <c r="L1169" s="31" t="n">
        <f aca="true">NORMSINV(RAND())*$G$7+$G$6</f>
        <v>-0.00154693799552674</v>
      </c>
    </row>
    <row r="1170" customFormat="false" ht="15" hidden="false" customHeight="false" outlineLevel="0" collapsed="false">
      <c r="L1170" s="31" t="n">
        <f aca="true">NORMSINV(RAND())*$G$7+$G$6</f>
        <v>-0.00494866902177501</v>
      </c>
    </row>
    <row r="1171" customFormat="false" ht="15" hidden="false" customHeight="false" outlineLevel="0" collapsed="false">
      <c r="L1171" s="31" t="n">
        <f aca="true">NORMSINV(RAND())*$G$7+$G$6</f>
        <v>-0.00539062850595099</v>
      </c>
    </row>
    <row r="1172" customFormat="false" ht="15" hidden="false" customHeight="false" outlineLevel="0" collapsed="false">
      <c r="L1172" s="31" t="n">
        <f aca="true">NORMSINV(RAND())*$G$7+$G$6</f>
        <v>0.0153856732621876</v>
      </c>
    </row>
    <row r="1173" customFormat="false" ht="15" hidden="false" customHeight="false" outlineLevel="0" collapsed="false">
      <c r="L1173" s="31" t="n">
        <f aca="true">NORMSINV(RAND())*$G$7+$G$6</f>
        <v>0.017053243002431</v>
      </c>
    </row>
    <row r="1174" customFormat="false" ht="15" hidden="false" customHeight="false" outlineLevel="0" collapsed="false">
      <c r="L1174" s="31" t="n">
        <f aca="true">NORMSINV(RAND())*$G$7+$G$6</f>
        <v>0.00760457583363606</v>
      </c>
    </row>
    <row r="1175" customFormat="false" ht="15" hidden="false" customHeight="false" outlineLevel="0" collapsed="false">
      <c r="L1175" s="31" t="n">
        <f aca="true">NORMSINV(RAND())*$G$7+$G$6</f>
        <v>0.00424541800317972</v>
      </c>
    </row>
    <row r="1176" customFormat="false" ht="15" hidden="false" customHeight="false" outlineLevel="0" collapsed="false">
      <c r="L1176" s="31" t="n">
        <f aca="true">NORMSINV(RAND())*$G$7+$G$6</f>
        <v>0.0147313062402271</v>
      </c>
    </row>
    <row r="1177" customFormat="false" ht="15" hidden="false" customHeight="false" outlineLevel="0" collapsed="false">
      <c r="L1177" s="31" t="n">
        <f aca="true">NORMSINV(RAND())*$G$7+$G$6</f>
        <v>-0.00416747226151116</v>
      </c>
    </row>
    <row r="1178" customFormat="false" ht="15" hidden="false" customHeight="false" outlineLevel="0" collapsed="false">
      <c r="L1178" s="31" t="n">
        <f aca="true">NORMSINV(RAND())*$G$7+$G$6</f>
        <v>-0.0125665782338552</v>
      </c>
    </row>
    <row r="1179" customFormat="false" ht="15" hidden="false" customHeight="false" outlineLevel="0" collapsed="false">
      <c r="L1179" s="31" t="n">
        <f aca="true">NORMSINV(RAND())*$G$7+$G$6</f>
        <v>0.0128534217741784</v>
      </c>
    </row>
    <row r="1180" customFormat="false" ht="15" hidden="false" customHeight="false" outlineLevel="0" collapsed="false">
      <c r="L1180" s="31" t="n">
        <f aca="true">NORMSINV(RAND())*$G$7+$G$6</f>
        <v>-0.0034148107353292</v>
      </c>
    </row>
    <row r="1181" customFormat="false" ht="15" hidden="false" customHeight="false" outlineLevel="0" collapsed="false">
      <c r="L1181" s="31" t="n">
        <f aca="true">NORMSINV(RAND())*$G$7+$G$6</f>
        <v>-0.00939565815317718</v>
      </c>
    </row>
    <row r="1182" customFormat="false" ht="15" hidden="false" customHeight="false" outlineLevel="0" collapsed="false">
      <c r="L1182" s="31" t="n">
        <f aca="true">NORMSINV(RAND())*$G$7+$G$6</f>
        <v>-0.0239897169563004</v>
      </c>
    </row>
    <row r="1183" customFormat="false" ht="15" hidden="false" customHeight="false" outlineLevel="0" collapsed="false">
      <c r="L1183" s="31" t="n">
        <f aca="true">NORMSINV(RAND())*$G$7+$G$6</f>
        <v>-0.014833492386349</v>
      </c>
    </row>
    <row r="1184" customFormat="false" ht="15" hidden="false" customHeight="false" outlineLevel="0" collapsed="false">
      <c r="L1184" s="31" t="n">
        <f aca="true">NORMSINV(RAND())*$G$7+$G$6</f>
        <v>0.00849161242635006</v>
      </c>
    </row>
    <row r="1185" customFormat="false" ht="15" hidden="false" customHeight="false" outlineLevel="0" collapsed="false">
      <c r="L1185" s="31" t="n">
        <f aca="true">NORMSINV(RAND())*$G$7+$G$6</f>
        <v>0.00328378063912287</v>
      </c>
    </row>
    <row r="1186" customFormat="false" ht="15" hidden="false" customHeight="false" outlineLevel="0" collapsed="false">
      <c r="L1186" s="31" t="n">
        <f aca="true">NORMSINV(RAND())*$G$7+$G$6</f>
        <v>-0.0132106772443652</v>
      </c>
    </row>
    <row r="1187" customFormat="false" ht="15" hidden="false" customHeight="false" outlineLevel="0" collapsed="false">
      <c r="L1187" s="31" t="n">
        <f aca="true">NORMSINV(RAND())*$G$7+$G$6</f>
        <v>-0.00805454844097529</v>
      </c>
    </row>
    <row r="1188" customFormat="false" ht="15" hidden="false" customHeight="false" outlineLevel="0" collapsed="false">
      <c r="L1188" s="31" t="n">
        <f aca="true">NORMSINV(RAND())*$G$7+$G$6</f>
        <v>0.0171126207669633</v>
      </c>
    </row>
    <row r="1189" customFormat="false" ht="15" hidden="false" customHeight="false" outlineLevel="0" collapsed="false">
      <c r="L1189" s="31" t="n">
        <f aca="true">NORMSINV(RAND())*$G$7+$G$6</f>
        <v>-0.0109493089889343</v>
      </c>
    </row>
    <row r="1190" customFormat="false" ht="15" hidden="false" customHeight="false" outlineLevel="0" collapsed="false">
      <c r="L1190" s="31" t="n">
        <f aca="true">NORMSINV(RAND())*$G$7+$G$6</f>
        <v>-0.0078966206818306</v>
      </c>
    </row>
    <row r="1191" customFormat="false" ht="15" hidden="false" customHeight="false" outlineLevel="0" collapsed="false">
      <c r="L1191" s="31" t="n">
        <f aca="true">NORMSINV(RAND())*$G$7+$G$6</f>
        <v>-0.0167820957331093</v>
      </c>
    </row>
    <row r="1192" customFormat="false" ht="15" hidden="false" customHeight="false" outlineLevel="0" collapsed="false">
      <c r="L1192" s="31" t="n">
        <f aca="true">NORMSINV(RAND())*$G$7+$G$6</f>
        <v>0.0093526450703734</v>
      </c>
    </row>
    <row r="1193" customFormat="false" ht="15" hidden="false" customHeight="false" outlineLevel="0" collapsed="false">
      <c r="L1193" s="31" t="n">
        <f aca="true">NORMSINV(RAND())*$G$7+$G$6</f>
        <v>0.00246181416437721</v>
      </c>
    </row>
    <row r="1194" customFormat="false" ht="15" hidden="false" customHeight="false" outlineLevel="0" collapsed="false">
      <c r="L1194" s="31" t="n">
        <f aca="true">NORMSINV(RAND())*$G$7+$G$6</f>
        <v>-0.00996157724955607</v>
      </c>
    </row>
    <row r="1195" customFormat="false" ht="15" hidden="false" customHeight="false" outlineLevel="0" collapsed="false">
      <c r="L1195" s="31" t="n">
        <f aca="true">NORMSINV(RAND())*$G$7+$G$6</f>
        <v>0.0164087035137708</v>
      </c>
    </row>
    <row r="1196" customFormat="false" ht="15" hidden="false" customHeight="false" outlineLevel="0" collapsed="false">
      <c r="L1196" s="31" t="n">
        <f aca="true">NORMSINV(RAND())*$G$7+$G$6</f>
        <v>-0.029124595668947</v>
      </c>
    </row>
    <row r="1197" customFormat="false" ht="15" hidden="false" customHeight="false" outlineLevel="0" collapsed="false">
      <c r="L1197" s="31" t="n">
        <f aca="true">NORMSINV(RAND())*$G$7+$G$6</f>
        <v>0.0239487880515206</v>
      </c>
    </row>
    <row r="1198" customFormat="false" ht="15" hidden="false" customHeight="false" outlineLevel="0" collapsed="false">
      <c r="L1198" s="31" t="n">
        <f aca="true">NORMSINV(RAND())*$G$7+$G$6</f>
        <v>-0.00513492702428373</v>
      </c>
    </row>
    <row r="1199" customFormat="false" ht="15" hidden="false" customHeight="false" outlineLevel="0" collapsed="false">
      <c r="L1199" s="31" t="n">
        <f aca="true">NORMSINV(RAND())*$G$7+$G$6</f>
        <v>0.0214064774296329</v>
      </c>
    </row>
    <row r="1200" customFormat="false" ht="15" hidden="false" customHeight="false" outlineLevel="0" collapsed="false">
      <c r="L1200" s="31" t="n">
        <f aca="true">NORMSINV(RAND())*$G$7+$G$6</f>
        <v>0.0103688003299175</v>
      </c>
    </row>
    <row r="1201" customFormat="false" ht="15" hidden="false" customHeight="false" outlineLevel="0" collapsed="false">
      <c r="L1201" s="31" t="n">
        <f aca="true">NORMSINV(RAND())*$G$7+$G$6</f>
        <v>-0.00865607791108108</v>
      </c>
    </row>
    <row r="1202" customFormat="false" ht="15" hidden="false" customHeight="false" outlineLevel="0" collapsed="false">
      <c r="L1202" s="31" t="n">
        <f aca="true">NORMSINV(RAND())*$G$7+$G$6</f>
        <v>-0.0113306800194847</v>
      </c>
    </row>
    <row r="1203" customFormat="false" ht="15" hidden="false" customHeight="false" outlineLevel="0" collapsed="false">
      <c r="L1203" s="31" t="n">
        <f aca="true">NORMSINV(RAND())*$G$7+$G$6</f>
        <v>0.0024170623620382</v>
      </c>
    </row>
    <row r="1204" customFormat="false" ht="15" hidden="false" customHeight="false" outlineLevel="0" collapsed="false">
      <c r="L1204" s="31" t="n">
        <f aca="true">NORMSINV(RAND())*$G$7+$G$6</f>
        <v>-0.0031830752102838</v>
      </c>
    </row>
    <row r="1205" customFormat="false" ht="15" hidden="false" customHeight="false" outlineLevel="0" collapsed="false">
      <c r="L1205" s="31" t="n">
        <f aca="true">NORMSINV(RAND())*$G$7+$G$6</f>
        <v>0.00649884574313252</v>
      </c>
    </row>
    <row r="1206" customFormat="false" ht="15" hidden="false" customHeight="false" outlineLevel="0" collapsed="false">
      <c r="L1206" s="31" t="n">
        <f aca="true">NORMSINV(RAND())*$G$7+$G$6</f>
        <v>0.019550384644071</v>
      </c>
    </row>
    <row r="1207" customFormat="false" ht="15" hidden="false" customHeight="false" outlineLevel="0" collapsed="false">
      <c r="L1207" s="31" t="n">
        <f aca="true">NORMSINV(RAND())*$G$7+$G$6</f>
        <v>0.00340413025031681</v>
      </c>
    </row>
    <row r="1208" customFormat="false" ht="15" hidden="false" customHeight="false" outlineLevel="0" collapsed="false">
      <c r="L1208" s="31" t="n">
        <f aca="true">NORMSINV(RAND())*$G$7+$G$6</f>
        <v>-0.010157797260095</v>
      </c>
    </row>
    <row r="1209" customFormat="false" ht="15" hidden="false" customHeight="false" outlineLevel="0" collapsed="false">
      <c r="L1209" s="31" t="n">
        <f aca="true">NORMSINV(RAND())*$G$7+$G$6</f>
        <v>-0.00151948176965745</v>
      </c>
    </row>
    <row r="1210" customFormat="false" ht="15" hidden="false" customHeight="false" outlineLevel="0" collapsed="false">
      <c r="L1210" s="31" t="n">
        <f aca="true">NORMSINV(RAND())*$G$7+$G$6</f>
        <v>-0.00666856938972366</v>
      </c>
    </row>
    <row r="1211" customFormat="false" ht="15" hidden="false" customHeight="false" outlineLevel="0" collapsed="false">
      <c r="L1211" s="31" t="n">
        <f aca="true">NORMSINV(RAND())*$G$7+$G$6</f>
        <v>0.00290423724145075</v>
      </c>
    </row>
    <row r="1212" customFormat="false" ht="15" hidden="false" customHeight="false" outlineLevel="0" collapsed="false">
      <c r="L1212" s="31" t="n">
        <f aca="true">NORMSINV(RAND())*$G$7+$G$6</f>
        <v>0.00978505864217557</v>
      </c>
    </row>
    <row r="1213" customFormat="false" ht="15" hidden="false" customHeight="false" outlineLevel="0" collapsed="false">
      <c r="L1213" s="31" t="n">
        <f aca="true">NORMSINV(RAND())*$G$7+$G$6</f>
        <v>0.00274753337639028</v>
      </c>
    </row>
    <row r="1214" customFormat="false" ht="15" hidden="false" customHeight="false" outlineLevel="0" collapsed="false">
      <c r="L1214" s="31" t="n">
        <f aca="true">NORMSINV(RAND())*$G$7+$G$6</f>
        <v>-0.0171933256484964</v>
      </c>
    </row>
    <row r="1215" customFormat="false" ht="15" hidden="false" customHeight="false" outlineLevel="0" collapsed="false">
      <c r="L1215" s="31" t="n">
        <f aca="true">NORMSINV(RAND())*$G$7+$G$6</f>
        <v>-0.00608826193781024</v>
      </c>
    </row>
    <row r="1216" customFormat="false" ht="15" hidden="false" customHeight="false" outlineLevel="0" collapsed="false">
      <c r="L1216" s="31" t="n">
        <f aca="true">NORMSINV(RAND())*$G$7+$G$6</f>
        <v>-0.00416841107846622</v>
      </c>
    </row>
    <row r="1217" customFormat="false" ht="15" hidden="false" customHeight="false" outlineLevel="0" collapsed="false">
      <c r="L1217" s="31" t="n">
        <f aca="true">NORMSINV(RAND())*$G$7+$G$6</f>
        <v>0.0146103562747558</v>
      </c>
    </row>
    <row r="1218" customFormat="false" ht="15" hidden="false" customHeight="false" outlineLevel="0" collapsed="false">
      <c r="L1218" s="31" t="n">
        <f aca="true">NORMSINV(RAND())*$G$7+$G$6</f>
        <v>-0.00768116584680556</v>
      </c>
    </row>
    <row r="1219" customFormat="false" ht="15" hidden="false" customHeight="false" outlineLevel="0" collapsed="false">
      <c r="L1219" s="31" t="n">
        <f aca="true">NORMSINV(RAND())*$G$7+$G$6</f>
        <v>0.00969294413394203</v>
      </c>
    </row>
    <row r="1220" customFormat="false" ht="15" hidden="false" customHeight="false" outlineLevel="0" collapsed="false">
      <c r="L1220" s="31" t="n">
        <f aca="true">NORMSINV(RAND())*$G$7+$G$6</f>
        <v>-0.00264107987669515</v>
      </c>
    </row>
    <row r="1221" customFormat="false" ht="15" hidden="false" customHeight="false" outlineLevel="0" collapsed="false">
      <c r="L1221" s="31" t="n">
        <f aca="true">NORMSINV(RAND())*$G$7+$G$6</f>
        <v>-0.00875397054902384</v>
      </c>
    </row>
    <row r="1222" customFormat="false" ht="15" hidden="false" customHeight="false" outlineLevel="0" collapsed="false">
      <c r="L1222" s="31" t="n">
        <f aca="true">NORMSINV(RAND())*$G$7+$G$6</f>
        <v>-0.000636033546883793</v>
      </c>
    </row>
    <row r="1223" customFormat="false" ht="15" hidden="false" customHeight="false" outlineLevel="0" collapsed="false">
      <c r="L1223" s="31" t="n">
        <f aca="true">NORMSINV(RAND())*$G$7+$G$6</f>
        <v>-0.00355477114288582</v>
      </c>
    </row>
    <row r="1224" customFormat="false" ht="15" hidden="false" customHeight="false" outlineLevel="0" collapsed="false">
      <c r="L1224" s="31" t="n">
        <f aca="true">NORMSINV(RAND())*$G$7+$G$6</f>
        <v>-0.0129029186788518</v>
      </c>
    </row>
    <row r="1225" customFormat="false" ht="15" hidden="false" customHeight="false" outlineLevel="0" collapsed="false">
      <c r="L1225" s="31" t="n">
        <f aca="true">NORMSINV(RAND())*$G$7+$G$6</f>
        <v>0.0111445482407132</v>
      </c>
    </row>
    <row r="1226" customFormat="false" ht="15" hidden="false" customHeight="false" outlineLevel="0" collapsed="false">
      <c r="L1226" s="31" t="n">
        <f aca="true">NORMSINV(RAND())*$G$7+$G$6</f>
        <v>-0.0178379598556524</v>
      </c>
    </row>
    <row r="1227" customFormat="false" ht="15" hidden="false" customHeight="false" outlineLevel="0" collapsed="false">
      <c r="L1227" s="31" t="n">
        <f aca="true">NORMSINV(RAND())*$G$7+$G$6</f>
        <v>0.00162936872780655</v>
      </c>
    </row>
    <row r="1228" customFormat="false" ht="15" hidden="false" customHeight="false" outlineLevel="0" collapsed="false">
      <c r="L1228" s="31" t="n">
        <f aca="true">NORMSINV(RAND())*$G$7+$G$6</f>
        <v>-0.0447498080711873</v>
      </c>
    </row>
    <row r="1229" customFormat="false" ht="15" hidden="false" customHeight="false" outlineLevel="0" collapsed="false">
      <c r="L1229" s="31" t="n">
        <f aca="true">NORMSINV(RAND())*$G$7+$G$6</f>
        <v>-0.00514512086845045</v>
      </c>
    </row>
    <row r="1230" customFormat="false" ht="15" hidden="false" customHeight="false" outlineLevel="0" collapsed="false">
      <c r="L1230" s="31" t="n">
        <f aca="true">NORMSINV(RAND())*$G$7+$G$6</f>
        <v>-0.0365085892061794</v>
      </c>
    </row>
    <row r="1231" customFormat="false" ht="15" hidden="false" customHeight="false" outlineLevel="0" collapsed="false">
      <c r="L1231" s="31" t="n">
        <f aca="true">NORMSINV(RAND())*$G$7+$G$6</f>
        <v>0.0225734837849525</v>
      </c>
    </row>
    <row r="1232" customFormat="false" ht="15" hidden="false" customHeight="false" outlineLevel="0" collapsed="false">
      <c r="L1232" s="31" t="n">
        <f aca="true">NORMSINV(RAND())*$G$7+$G$6</f>
        <v>0.0146547420215928</v>
      </c>
    </row>
    <row r="1233" customFormat="false" ht="15" hidden="false" customHeight="false" outlineLevel="0" collapsed="false">
      <c r="L1233" s="31" t="n">
        <f aca="true">NORMSINV(RAND())*$G$7+$G$6</f>
        <v>0.00465504528133066</v>
      </c>
    </row>
    <row r="1234" customFormat="false" ht="15" hidden="false" customHeight="false" outlineLevel="0" collapsed="false">
      <c r="L1234" s="31" t="n">
        <f aca="true">NORMSINV(RAND())*$G$7+$G$6</f>
        <v>-0.00356366944255429</v>
      </c>
    </row>
    <row r="1235" customFormat="false" ht="15" hidden="false" customHeight="false" outlineLevel="0" collapsed="false">
      <c r="L1235" s="31" t="n">
        <f aca="true">NORMSINV(RAND())*$G$7+$G$6</f>
        <v>-0.0246640909614051</v>
      </c>
    </row>
    <row r="1236" customFormat="false" ht="15" hidden="false" customHeight="false" outlineLevel="0" collapsed="false">
      <c r="L1236" s="31" t="n">
        <f aca="true">NORMSINV(RAND())*$G$7+$G$6</f>
        <v>-0.00983023236091585</v>
      </c>
    </row>
    <row r="1237" customFormat="false" ht="15" hidden="false" customHeight="false" outlineLevel="0" collapsed="false">
      <c r="L1237" s="31" t="n">
        <f aca="true">NORMSINV(RAND())*$G$7+$G$6</f>
        <v>-0.00155210663370339</v>
      </c>
    </row>
    <row r="1238" customFormat="false" ht="15" hidden="false" customHeight="false" outlineLevel="0" collapsed="false">
      <c r="L1238" s="31" t="n">
        <f aca="true">NORMSINV(RAND())*$G$7+$G$6</f>
        <v>0.0144823261730028</v>
      </c>
    </row>
    <row r="1239" customFormat="false" ht="15" hidden="false" customHeight="false" outlineLevel="0" collapsed="false">
      <c r="L1239" s="31" t="n">
        <f aca="true">NORMSINV(RAND())*$G$7+$G$6</f>
        <v>-0.0241668146225167</v>
      </c>
    </row>
    <row r="1240" customFormat="false" ht="15" hidden="false" customHeight="false" outlineLevel="0" collapsed="false">
      <c r="L1240" s="31" t="n">
        <f aca="true">NORMSINV(RAND())*$G$7+$G$6</f>
        <v>0.0155051877794897</v>
      </c>
    </row>
    <row r="1241" customFormat="false" ht="15" hidden="false" customHeight="false" outlineLevel="0" collapsed="false">
      <c r="L1241" s="31" t="n">
        <f aca="true">NORMSINV(RAND())*$G$7+$G$6</f>
        <v>0.0228748682515029</v>
      </c>
    </row>
    <row r="1242" customFormat="false" ht="15" hidden="false" customHeight="false" outlineLevel="0" collapsed="false">
      <c r="L1242" s="31" t="n">
        <f aca="true">NORMSINV(RAND())*$G$7+$G$6</f>
        <v>-0.00343441516907653</v>
      </c>
    </row>
    <row r="1243" customFormat="false" ht="15" hidden="false" customHeight="false" outlineLevel="0" collapsed="false">
      <c r="L1243" s="31" t="n">
        <f aca="true">NORMSINV(RAND())*$G$7+$G$6</f>
        <v>0.00316242961191434</v>
      </c>
    </row>
    <row r="1244" customFormat="false" ht="15" hidden="false" customHeight="false" outlineLevel="0" collapsed="false">
      <c r="L1244" s="31" t="n">
        <f aca="true">NORMSINV(RAND())*$G$7+$G$6</f>
        <v>-0.0150642524249686</v>
      </c>
    </row>
    <row r="1245" customFormat="false" ht="15" hidden="false" customHeight="false" outlineLevel="0" collapsed="false">
      <c r="L1245" s="31" t="n">
        <f aca="true">NORMSINV(RAND())*$G$7+$G$6</f>
        <v>0.00169518374533277</v>
      </c>
    </row>
    <row r="1246" customFormat="false" ht="15" hidden="false" customHeight="false" outlineLevel="0" collapsed="false">
      <c r="L1246" s="31" t="n">
        <f aca="true">NORMSINV(RAND())*$G$7+$G$6</f>
        <v>-0.018522619748659</v>
      </c>
    </row>
    <row r="1247" customFormat="false" ht="15" hidden="false" customHeight="false" outlineLevel="0" collapsed="false">
      <c r="L1247" s="31" t="n">
        <f aca="true">NORMSINV(RAND())*$G$7+$G$6</f>
        <v>-0.00705394663956972</v>
      </c>
    </row>
    <row r="1248" customFormat="false" ht="15" hidden="false" customHeight="false" outlineLevel="0" collapsed="false">
      <c r="L1248" s="31" t="n">
        <f aca="true">NORMSINV(RAND())*$G$7+$G$6</f>
        <v>-0.0202003993439982</v>
      </c>
    </row>
    <row r="1249" customFormat="false" ht="15" hidden="false" customHeight="false" outlineLevel="0" collapsed="false">
      <c r="L1249" s="31" t="n">
        <f aca="true">NORMSINV(RAND())*$G$7+$G$6</f>
        <v>0.00853204222520166</v>
      </c>
    </row>
    <row r="1250" customFormat="false" ht="15" hidden="false" customHeight="false" outlineLevel="0" collapsed="false">
      <c r="L1250" s="31" t="n">
        <f aca="true">NORMSINV(RAND())*$G$7+$G$6</f>
        <v>0.0177231979826891</v>
      </c>
    </row>
    <row r="1251" customFormat="false" ht="15" hidden="false" customHeight="false" outlineLevel="0" collapsed="false">
      <c r="L1251" s="31" t="n">
        <f aca="true">NORMSINV(RAND())*$G$7+$G$6</f>
        <v>-0.00651155553620516</v>
      </c>
    </row>
    <row r="1252" customFormat="false" ht="15" hidden="false" customHeight="false" outlineLevel="0" collapsed="false">
      <c r="L1252" s="31" t="n">
        <f aca="true">NORMSINV(RAND())*$G$7+$G$6</f>
        <v>0.0216620626503511</v>
      </c>
    </row>
    <row r="1253" customFormat="false" ht="15" hidden="false" customHeight="false" outlineLevel="0" collapsed="false">
      <c r="L1253" s="31" t="n">
        <f aca="true">NORMSINV(RAND())*$G$7+$G$6</f>
        <v>0.00925333266649727</v>
      </c>
    </row>
    <row r="1254" customFormat="false" ht="15" hidden="false" customHeight="false" outlineLevel="0" collapsed="false">
      <c r="L1254" s="31" t="n">
        <f aca="true">NORMSINV(RAND())*$G$7+$G$6</f>
        <v>-0.0017337122462618</v>
      </c>
    </row>
    <row r="1255" customFormat="false" ht="15" hidden="false" customHeight="false" outlineLevel="0" collapsed="false">
      <c r="L1255" s="31" t="n">
        <f aca="true">NORMSINV(RAND())*$G$7+$G$6</f>
        <v>0.00971441896764581</v>
      </c>
    </row>
    <row r="1256" customFormat="false" ht="15" hidden="false" customHeight="false" outlineLevel="0" collapsed="false">
      <c r="L1256" s="31" t="n">
        <f aca="true">NORMSINV(RAND())*$G$7+$G$6</f>
        <v>-0.0241713379364065</v>
      </c>
    </row>
    <row r="1257" customFormat="false" ht="15" hidden="false" customHeight="false" outlineLevel="0" collapsed="false">
      <c r="L1257" s="31" t="n">
        <f aca="true">NORMSINV(RAND())*$G$7+$G$6</f>
        <v>0.00745528560565351</v>
      </c>
    </row>
    <row r="1258" customFormat="false" ht="15" hidden="false" customHeight="false" outlineLevel="0" collapsed="false">
      <c r="L1258" s="31" t="n">
        <f aca="true">NORMSINV(RAND())*$G$7+$G$6</f>
        <v>0.0360403306044944</v>
      </c>
    </row>
    <row r="1259" customFormat="false" ht="15" hidden="false" customHeight="false" outlineLevel="0" collapsed="false">
      <c r="L1259" s="31" t="n">
        <f aca="true">NORMSINV(RAND())*$G$7+$G$6</f>
        <v>0.0179546394779038</v>
      </c>
    </row>
    <row r="1260" customFormat="false" ht="15" hidden="false" customHeight="false" outlineLevel="0" collapsed="false">
      <c r="L1260" s="31" t="n">
        <f aca="true">NORMSINV(RAND())*$G$7+$G$6</f>
        <v>0.00379875282606566</v>
      </c>
    </row>
    <row r="1261" customFormat="false" ht="15" hidden="false" customHeight="false" outlineLevel="0" collapsed="false">
      <c r="L1261" s="31" t="n">
        <f aca="true">NORMSINV(RAND())*$G$7+$G$6</f>
        <v>0.00843895819611813</v>
      </c>
    </row>
    <row r="1262" customFormat="false" ht="15" hidden="false" customHeight="false" outlineLevel="0" collapsed="false">
      <c r="L1262" s="31" t="n">
        <f aca="true">NORMSINV(RAND())*$G$7+$G$6</f>
        <v>0.00628980549939184</v>
      </c>
    </row>
    <row r="1263" customFormat="false" ht="15" hidden="false" customHeight="false" outlineLevel="0" collapsed="false">
      <c r="L1263" s="31" t="n">
        <f aca="true">NORMSINV(RAND())*$G$7+$G$6</f>
        <v>-0.00694557647833067</v>
      </c>
    </row>
    <row r="1264" customFormat="false" ht="15" hidden="false" customHeight="false" outlineLevel="0" collapsed="false">
      <c r="L1264" s="31" t="n">
        <f aca="true">NORMSINV(RAND())*$G$7+$G$6</f>
        <v>0.00540443563520054</v>
      </c>
    </row>
    <row r="1265" customFormat="false" ht="15" hidden="false" customHeight="false" outlineLevel="0" collapsed="false">
      <c r="L1265" s="31" t="n">
        <f aca="true">NORMSINV(RAND())*$G$7+$G$6</f>
        <v>-0.00722377325483504</v>
      </c>
    </row>
    <row r="1266" customFormat="false" ht="15" hidden="false" customHeight="false" outlineLevel="0" collapsed="false">
      <c r="L1266" s="31" t="n">
        <f aca="true">NORMSINV(RAND())*$G$7+$G$6</f>
        <v>-0.00208665211819393</v>
      </c>
    </row>
    <row r="1267" customFormat="false" ht="15" hidden="false" customHeight="false" outlineLevel="0" collapsed="false">
      <c r="L1267" s="31" t="n">
        <f aca="true">NORMSINV(RAND())*$G$7+$G$6</f>
        <v>-0.0158539464691435</v>
      </c>
    </row>
    <row r="1268" customFormat="false" ht="15" hidden="false" customHeight="false" outlineLevel="0" collapsed="false">
      <c r="L1268" s="31" t="n">
        <f aca="true">NORMSINV(RAND())*$G$7+$G$6</f>
        <v>0.0084776447403838</v>
      </c>
    </row>
    <row r="1269" customFormat="false" ht="15" hidden="false" customHeight="false" outlineLevel="0" collapsed="false">
      <c r="L1269" s="31" t="n">
        <f aca="true">NORMSINV(RAND())*$G$7+$G$6</f>
        <v>-0.00715534062594286</v>
      </c>
    </row>
    <row r="1270" customFormat="false" ht="15" hidden="false" customHeight="false" outlineLevel="0" collapsed="false">
      <c r="L1270" s="31" t="n">
        <f aca="true">NORMSINV(RAND())*$G$7+$G$6</f>
        <v>0.00736125897927974</v>
      </c>
    </row>
    <row r="1271" customFormat="false" ht="15" hidden="false" customHeight="false" outlineLevel="0" collapsed="false">
      <c r="L1271" s="31" t="n">
        <f aca="true">NORMSINV(RAND())*$G$7+$G$6</f>
        <v>-0.00658840756460235</v>
      </c>
    </row>
    <row r="1272" customFormat="false" ht="15" hidden="false" customHeight="false" outlineLevel="0" collapsed="false">
      <c r="L1272" s="31" t="n">
        <f aca="true">NORMSINV(RAND())*$G$7+$G$6</f>
        <v>-0.00288233152088625</v>
      </c>
    </row>
    <row r="1273" customFormat="false" ht="15" hidden="false" customHeight="false" outlineLevel="0" collapsed="false">
      <c r="L1273" s="31" t="n">
        <f aca="true">NORMSINV(RAND())*$G$7+$G$6</f>
        <v>-0.013713754930147</v>
      </c>
    </row>
    <row r="1274" customFormat="false" ht="15" hidden="false" customHeight="false" outlineLevel="0" collapsed="false">
      <c r="L1274" s="31" t="n">
        <f aca="true">NORMSINV(RAND())*$G$7+$G$6</f>
        <v>-0.0315248353007523</v>
      </c>
    </row>
    <row r="1275" customFormat="false" ht="15" hidden="false" customHeight="false" outlineLevel="0" collapsed="false">
      <c r="L1275" s="31" t="n">
        <f aca="true">NORMSINV(RAND())*$G$7+$G$6</f>
        <v>-0.00407567690615568</v>
      </c>
    </row>
    <row r="1276" customFormat="false" ht="15" hidden="false" customHeight="false" outlineLevel="0" collapsed="false">
      <c r="L1276" s="31" t="n">
        <f aca="true">NORMSINV(RAND())*$G$7+$G$6</f>
        <v>0.00822577255382732</v>
      </c>
    </row>
    <row r="1277" customFormat="false" ht="15" hidden="false" customHeight="false" outlineLevel="0" collapsed="false">
      <c r="L1277" s="31" t="n">
        <f aca="true">NORMSINV(RAND())*$G$7+$G$6</f>
        <v>0.000943395625488883</v>
      </c>
    </row>
    <row r="1278" customFormat="false" ht="15" hidden="false" customHeight="false" outlineLevel="0" collapsed="false">
      <c r="L1278" s="31" t="n">
        <f aca="true">NORMSINV(RAND())*$G$7+$G$6</f>
        <v>-0.00881884156363263</v>
      </c>
    </row>
    <row r="1279" customFormat="false" ht="15" hidden="false" customHeight="false" outlineLevel="0" collapsed="false">
      <c r="L1279" s="31" t="n">
        <f aca="true">NORMSINV(RAND())*$G$7+$G$6</f>
        <v>0.000408698563776789</v>
      </c>
    </row>
    <row r="1280" customFormat="false" ht="15" hidden="false" customHeight="false" outlineLevel="0" collapsed="false">
      <c r="L1280" s="31" t="n">
        <f aca="true">NORMSINV(RAND())*$G$7+$G$6</f>
        <v>0.0071844125837795</v>
      </c>
    </row>
    <row r="1281" customFormat="false" ht="15" hidden="false" customHeight="false" outlineLevel="0" collapsed="false">
      <c r="L1281" s="31" t="n">
        <f aca="true">NORMSINV(RAND())*$G$7+$G$6</f>
        <v>0.0174413598300843</v>
      </c>
    </row>
    <row r="1282" customFormat="false" ht="15" hidden="false" customHeight="false" outlineLevel="0" collapsed="false">
      <c r="L1282" s="31" t="n">
        <f aca="true">NORMSINV(RAND())*$G$7+$G$6</f>
        <v>-0.00931990979156951</v>
      </c>
    </row>
    <row r="1283" customFormat="false" ht="15" hidden="false" customHeight="false" outlineLevel="0" collapsed="false">
      <c r="L1283" s="31" t="n">
        <f aca="true">NORMSINV(RAND())*$G$7+$G$6</f>
        <v>-0.00441997174742392</v>
      </c>
    </row>
    <row r="1284" customFormat="false" ht="15" hidden="false" customHeight="false" outlineLevel="0" collapsed="false">
      <c r="L1284" s="31" t="n">
        <f aca="true">NORMSINV(RAND())*$G$7+$G$6</f>
        <v>-0.00400625508865249</v>
      </c>
    </row>
    <row r="1285" customFormat="false" ht="15" hidden="false" customHeight="false" outlineLevel="0" collapsed="false">
      <c r="L1285" s="31" t="n">
        <f aca="true">NORMSINV(RAND())*$G$7+$G$6</f>
        <v>-0.010929357795852</v>
      </c>
    </row>
    <row r="1286" customFormat="false" ht="15" hidden="false" customHeight="false" outlineLevel="0" collapsed="false">
      <c r="L1286" s="31" t="n">
        <f aca="true">NORMSINV(RAND())*$G$7+$G$6</f>
        <v>0.0107642278563154</v>
      </c>
    </row>
    <row r="1287" customFormat="false" ht="15" hidden="false" customHeight="false" outlineLevel="0" collapsed="false">
      <c r="L1287" s="31" t="n">
        <f aca="true">NORMSINV(RAND())*$G$7+$G$6</f>
        <v>-0.0100998122489793</v>
      </c>
    </row>
    <row r="1288" customFormat="false" ht="15" hidden="false" customHeight="false" outlineLevel="0" collapsed="false">
      <c r="L1288" s="31" t="n">
        <f aca="true">NORMSINV(RAND())*$G$7+$G$6</f>
        <v>-0.000687801120699725</v>
      </c>
    </row>
    <row r="1289" customFormat="false" ht="15" hidden="false" customHeight="false" outlineLevel="0" collapsed="false">
      <c r="L1289" s="31" t="n">
        <f aca="true">NORMSINV(RAND())*$G$7+$G$6</f>
        <v>0.0160947702042642</v>
      </c>
    </row>
    <row r="1290" customFormat="false" ht="15" hidden="false" customHeight="false" outlineLevel="0" collapsed="false">
      <c r="L1290" s="31" t="n">
        <f aca="true">NORMSINV(RAND())*$G$7+$G$6</f>
        <v>-0.015931329025914</v>
      </c>
    </row>
    <row r="1291" customFormat="false" ht="15" hidden="false" customHeight="false" outlineLevel="0" collapsed="false">
      <c r="L1291" s="31" t="n">
        <f aca="true">NORMSINV(RAND())*$G$7+$G$6</f>
        <v>-0.0181790232285748</v>
      </c>
    </row>
    <row r="1292" customFormat="false" ht="15" hidden="false" customHeight="false" outlineLevel="0" collapsed="false">
      <c r="L1292" s="31" t="n">
        <f aca="true">NORMSINV(RAND())*$G$7+$G$6</f>
        <v>-0.0122033215157849</v>
      </c>
    </row>
    <row r="1293" customFormat="false" ht="15" hidden="false" customHeight="false" outlineLevel="0" collapsed="false">
      <c r="L1293" s="31" t="n">
        <f aca="true">NORMSINV(RAND())*$G$7+$G$6</f>
        <v>-0.0258602179767036</v>
      </c>
    </row>
    <row r="1294" customFormat="false" ht="15" hidden="false" customHeight="false" outlineLevel="0" collapsed="false">
      <c r="L1294" s="31" t="n">
        <f aca="true">NORMSINV(RAND())*$G$7+$G$6</f>
        <v>0.0125464460647864</v>
      </c>
    </row>
    <row r="1295" customFormat="false" ht="15" hidden="false" customHeight="false" outlineLevel="0" collapsed="false">
      <c r="L1295" s="31" t="n">
        <f aca="true">NORMSINV(RAND())*$G$7+$G$6</f>
        <v>-0.0210966209884398</v>
      </c>
    </row>
    <row r="1296" customFormat="false" ht="15" hidden="false" customHeight="false" outlineLevel="0" collapsed="false">
      <c r="L1296" s="31" t="n">
        <f aca="true">NORMSINV(RAND())*$G$7+$G$6</f>
        <v>-0.00375600539494943</v>
      </c>
    </row>
    <row r="1297" customFormat="false" ht="15" hidden="false" customHeight="false" outlineLevel="0" collapsed="false">
      <c r="L1297" s="31" t="n">
        <f aca="true">NORMSINV(RAND())*$G$7+$G$6</f>
        <v>-0.0224212590862141</v>
      </c>
    </row>
    <row r="1298" customFormat="false" ht="15" hidden="false" customHeight="false" outlineLevel="0" collapsed="false">
      <c r="L1298" s="31" t="n">
        <f aca="true">NORMSINV(RAND())*$G$7+$G$6</f>
        <v>-0.00220845092965739</v>
      </c>
    </row>
    <row r="1299" customFormat="false" ht="15" hidden="false" customHeight="false" outlineLevel="0" collapsed="false">
      <c r="L1299" s="31" t="n">
        <f aca="true">NORMSINV(RAND())*$G$7+$G$6</f>
        <v>0.00682542307223441</v>
      </c>
    </row>
    <row r="1300" customFormat="false" ht="15" hidden="false" customHeight="false" outlineLevel="0" collapsed="false">
      <c r="L1300" s="31" t="n">
        <f aca="true">NORMSINV(RAND())*$G$7+$G$6</f>
        <v>0.0183620020352395</v>
      </c>
    </row>
    <row r="1301" customFormat="false" ht="15" hidden="false" customHeight="false" outlineLevel="0" collapsed="false">
      <c r="L1301" s="31" t="n">
        <f aca="true">NORMSINV(RAND())*$G$7+$G$6</f>
        <v>0.0226241954418288</v>
      </c>
    </row>
    <row r="1302" customFormat="false" ht="15" hidden="false" customHeight="false" outlineLevel="0" collapsed="false">
      <c r="L1302" s="31" t="n">
        <f aca="true">NORMSINV(RAND())*$G$7+$G$6</f>
        <v>-0.00623225850494349</v>
      </c>
    </row>
    <row r="1303" customFormat="false" ht="15" hidden="false" customHeight="false" outlineLevel="0" collapsed="false">
      <c r="L1303" s="31" t="n">
        <f aca="true">NORMSINV(RAND())*$G$7+$G$6</f>
        <v>0.0158884218922033</v>
      </c>
    </row>
    <row r="1304" customFormat="false" ht="15" hidden="false" customHeight="false" outlineLevel="0" collapsed="false">
      <c r="L1304" s="31" t="n">
        <f aca="true">NORMSINV(RAND())*$G$7+$G$6</f>
        <v>0.00548315967215543</v>
      </c>
    </row>
    <row r="1305" customFormat="false" ht="15" hidden="false" customHeight="false" outlineLevel="0" collapsed="false">
      <c r="L1305" s="31" t="n">
        <f aca="true">NORMSINV(RAND())*$G$7+$G$6</f>
        <v>0.0093560504877222</v>
      </c>
    </row>
    <row r="1306" customFormat="false" ht="15" hidden="false" customHeight="false" outlineLevel="0" collapsed="false">
      <c r="L1306" s="31" t="n">
        <f aca="true">NORMSINV(RAND())*$G$7+$G$6</f>
        <v>-0.00845625004903032</v>
      </c>
    </row>
    <row r="1307" customFormat="false" ht="15" hidden="false" customHeight="false" outlineLevel="0" collapsed="false">
      <c r="L1307" s="31" t="n">
        <f aca="true">NORMSINV(RAND())*$G$7+$G$6</f>
        <v>0.00399580367824151</v>
      </c>
    </row>
    <row r="1308" customFormat="false" ht="15" hidden="false" customHeight="false" outlineLevel="0" collapsed="false">
      <c r="L1308" s="31" t="n">
        <f aca="true">NORMSINV(RAND())*$G$7+$G$6</f>
        <v>-0.00133568231358532</v>
      </c>
    </row>
    <row r="1309" customFormat="false" ht="15" hidden="false" customHeight="false" outlineLevel="0" collapsed="false">
      <c r="L1309" s="31" t="n">
        <f aca="true">NORMSINV(RAND())*$G$7+$G$6</f>
        <v>0.00442293915338215</v>
      </c>
    </row>
    <row r="1310" customFormat="false" ht="15" hidden="false" customHeight="false" outlineLevel="0" collapsed="false">
      <c r="L1310" s="31" t="n">
        <f aca="true">NORMSINV(RAND())*$G$7+$G$6</f>
        <v>-0.00424076407916941</v>
      </c>
    </row>
    <row r="1311" customFormat="false" ht="15" hidden="false" customHeight="false" outlineLevel="0" collapsed="false">
      <c r="L1311" s="31" t="n">
        <f aca="true">NORMSINV(RAND())*$G$7+$G$6</f>
        <v>-0.00459333258237357</v>
      </c>
    </row>
    <row r="1312" customFormat="false" ht="15" hidden="false" customHeight="false" outlineLevel="0" collapsed="false">
      <c r="L1312" s="31" t="n">
        <f aca="true">NORMSINV(RAND())*$G$7+$G$6</f>
        <v>-0.0127514918674133</v>
      </c>
    </row>
    <row r="1313" customFormat="false" ht="15" hidden="false" customHeight="false" outlineLevel="0" collapsed="false">
      <c r="L1313" s="31" t="n">
        <f aca="true">NORMSINV(RAND())*$G$7+$G$6</f>
        <v>0.0178134063576823</v>
      </c>
    </row>
    <row r="1314" customFormat="false" ht="15" hidden="false" customHeight="false" outlineLevel="0" collapsed="false">
      <c r="L1314" s="31" t="n">
        <f aca="true">NORMSINV(RAND())*$G$7+$G$6</f>
        <v>0.00252775811344766</v>
      </c>
    </row>
    <row r="1315" customFormat="false" ht="15" hidden="false" customHeight="false" outlineLevel="0" collapsed="false">
      <c r="L1315" s="31" t="n">
        <f aca="true">NORMSINV(RAND())*$G$7+$G$6</f>
        <v>-0.0116960002568672</v>
      </c>
    </row>
    <row r="1316" customFormat="false" ht="15" hidden="false" customHeight="false" outlineLevel="0" collapsed="false">
      <c r="L1316" s="31" t="n">
        <f aca="true">NORMSINV(RAND())*$G$7+$G$6</f>
        <v>-0.00473486208469038</v>
      </c>
    </row>
    <row r="1317" customFormat="false" ht="15" hidden="false" customHeight="false" outlineLevel="0" collapsed="false">
      <c r="L1317" s="31" t="n">
        <f aca="true">NORMSINV(RAND())*$G$7+$G$6</f>
        <v>0.00594678710966441</v>
      </c>
    </row>
    <row r="1318" customFormat="false" ht="15" hidden="false" customHeight="false" outlineLevel="0" collapsed="false">
      <c r="L1318" s="31" t="n">
        <f aca="true">NORMSINV(RAND())*$G$7+$G$6</f>
        <v>0.00303878769239041</v>
      </c>
    </row>
    <row r="1319" customFormat="false" ht="15" hidden="false" customHeight="false" outlineLevel="0" collapsed="false">
      <c r="L1319" s="31" t="n">
        <f aca="true">NORMSINV(RAND())*$G$7+$G$6</f>
        <v>0.0322679940274318</v>
      </c>
    </row>
    <row r="1320" customFormat="false" ht="15" hidden="false" customHeight="false" outlineLevel="0" collapsed="false">
      <c r="L1320" s="31" t="n">
        <f aca="true">NORMSINV(RAND())*$G$7+$G$6</f>
        <v>-0.00568246424182565</v>
      </c>
    </row>
    <row r="1321" customFormat="false" ht="15" hidden="false" customHeight="false" outlineLevel="0" collapsed="false">
      <c r="L1321" s="31" t="n">
        <f aca="true">NORMSINV(RAND())*$G$7+$G$6</f>
        <v>-0.0091727818015332</v>
      </c>
    </row>
    <row r="1322" customFormat="false" ht="15" hidden="false" customHeight="false" outlineLevel="0" collapsed="false">
      <c r="L1322" s="31" t="n">
        <f aca="true">NORMSINV(RAND())*$G$7+$G$6</f>
        <v>0.00244804705867118</v>
      </c>
    </row>
    <row r="1323" customFormat="false" ht="15" hidden="false" customHeight="false" outlineLevel="0" collapsed="false">
      <c r="L1323" s="31" t="n">
        <f aca="true">NORMSINV(RAND())*$G$7+$G$6</f>
        <v>-0.0193841449058625</v>
      </c>
    </row>
    <row r="1324" customFormat="false" ht="15" hidden="false" customHeight="false" outlineLevel="0" collapsed="false">
      <c r="L1324" s="31" t="n">
        <f aca="true">NORMSINV(RAND())*$G$7+$G$6</f>
        <v>0.00536972086527225</v>
      </c>
    </row>
    <row r="1325" customFormat="false" ht="15" hidden="false" customHeight="false" outlineLevel="0" collapsed="false">
      <c r="L1325" s="31" t="n">
        <f aca="true">NORMSINV(RAND())*$G$7+$G$6</f>
        <v>-0.00420512079576405</v>
      </c>
    </row>
    <row r="1326" customFormat="false" ht="15" hidden="false" customHeight="false" outlineLevel="0" collapsed="false">
      <c r="L1326" s="31" t="n">
        <f aca="true">NORMSINV(RAND())*$G$7+$G$6</f>
        <v>-0.00690820019671185</v>
      </c>
    </row>
    <row r="1327" customFormat="false" ht="15" hidden="false" customHeight="false" outlineLevel="0" collapsed="false">
      <c r="L1327" s="31" t="n">
        <f aca="true">NORMSINV(RAND())*$G$7+$G$6</f>
        <v>3.02125792470435E-005</v>
      </c>
    </row>
    <row r="1328" customFormat="false" ht="15" hidden="false" customHeight="false" outlineLevel="0" collapsed="false">
      <c r="L1328" s="31" t="n">
        <f aca="true">NORMSINV(RAND())*$G$7+$G$6</f>
        <v>-0.0199901791173519</v>
      </c>
    </row>
    <row r="1329" customFormat="false" ht="15" hidden="false" customHeight="false" outlineLevel="0" collapsed="false">
      <c r="L1329" s="31" t="n">
        <f aca="true">NORMSINV(RAND())*$G$7+$G$6</f>
        <v>0.00369757146088955</v>
      </c>
    </row>
    <row r="1330" customFormat="false" ht="15" hidden="false" customHeight="false" outlineLevel="0" collapsed="false">
      <c r="L1330" s="31" t="n">
        <f aca="true">NORMSINV(RAND())*$G$7+$G$6</f>
        <v>-0.00660517673251268</v>
      </c>
    </row>
    <row r="1331" customFormat="false" ht="15" hidden="false" customHeight="false" outlineLevel="0" collapsed="false">
      <c r="L1331" s="31" t="n">
        <f aca="true">NORMSINV(RAND())*$G$7+$G$6</f>
        <v>-0.0014522957643834</v>
      </c>
    </row>
    <row r="1332" customFormat="false" ht="15" hidden="false" customHeight="false" outlineLevel="0" collapsed="false">
      <c r="L1332" s="31" t="n">
        <f aca="true">NORMSINV(RAND())*$G$7+$G$6</f>
        <v>-0.00966039168405111</v>
      </c>
    </row>
    <row r="1333" customFormat="false" ht="15" hidden="false" customHeight="false" outlineLevel="0" collapsed="false">
      <c r="L1333" s="31" t="n">
        <f aca="true">NORMSINV(RAND())*$G$7+$G$6</f>
        <v>-0.00479101291143839</v>
      </c>
    </row>
    <row r="1334" customFormat="false" ht="15" hidden="false" customHeight="false" outlineLevel="0" collapsed="false">
      <c r="L1334" s="31" t="n">
        <f aca="true">NORMSINV(RAND())*$G$7+$G$6</f>
        <v>0.00209283248465271</v>
      </c>
    </row>
    <row r="1335" customFormat="false" ht="15" hidden="false" customHeight="false" outlineLevel="0" collapsed="false">
      <c r="L1335" s="31" t="n">
        <f aca="true">NORMSINV(RAND())*$G$7+$G$6</f>
        <v>0.00919202557981564</v>
      </c>
    </row>
    <row r="1336" customFormat="false" ht="15" hidden="false" customHeight="false" outlineLevel="0" collapsed="false">
      <c r="L1336" s="31" t="n">
        <f aca="true">NORMSINV(RAND())*$G$7+$G$6</f>
        <v>0.0189451013869512</v>
      </c>
    </row>
    <row r="1337" customFormat="false" ht="15" hidden="false" customHeight="false" outlineLevel="0" collapsed="false">
      <c r="L1337" s="31" t="n">
        <f aca="true">NORMSINV(RAND())*$G$7+$G$6</f>
        <v>-0.0116094250936765</v>
      </c>
    </row>
    <row r="1338" customFormat="false" ht="15" hidden="false" customHeight="false" outlineLevel="0" collapsed="false">
      <c r="L1338" s="31" t="n">
        <f aca="true">NORMSINV(RAND())*$G$7+$G$6</f>
        <v>-0.0054290701379788</v>
      </c>
    </row>
    <row r="1339" customFormat="false" ht="15" hidden="false" customHeight="false" outlineLevel="0" collapsed="false">
      <c r="L1339" s="31" t="n">
        <f aca="true">NORMSINV(RAND())*$G$7+$G$6</f>
        <v>-0.0180290089503781</v>
      </c>
    </row>
    <row r="1340" customFormat="false" ht="15" hidden="false" customHeight="false" outlineLevel="0" collapsed="false">
      <c r="L1340" s="31" t="n">
        <f aca="true">NORMSINV(RAND())*$G$7+$G$6</f>
        <v>0.00370637233134029</v>
      </c>
    </row>
    <row r="1341" customFormat="false" ht="15" hidden="false" customHeight="false" outlineLevel="0" collapsed="false">
      <c r="L1341" s="31" t="n">
        <f aca="true">NORMSINV(RAND())*$G$7+$G$6</f>
        <v>-0.000956764699108311</v>
      </c>
    </row>
    <row r="1342" customFormat="false" ht="15" hidden="false" customHeight="false" outlineLevel="0" collapsed="false">
      <c r="L1342" s="31" t="n">
        <f aca="true">NORMSINV(RAND())*$G$7+$G$6</f>
        <v>-0.0147821686935339</v>
      </c>
    </row>
    <row r="1343" customFormat="false" ht="15" hidden="false" customHeight="false" outlineLevel="0" collapsed="false">
      <c r="L1343" s="31" t="n">
        <f aca="true">NORMSINV(RAND())*$G$7+$G$6</f>
        <v>0.00239025299405763</v>
      </c>
    </row>
    <row r="1344" customFormat="false" ht="15" hidden="false" customHeight="false" outlineLevel="0" collapsed="false">
      <c r="L1344" s="31" t="n">
        <f aca="true">NORMSINV(RAND())*$G$7+$G$6</f>
        <v>-0.0328637718531575</v>
      </c>
    </row>
    <row r="1345" customFormat="false" ht="15" hidden="false" customHeight="false" outlineLevel="0" collapsed="false">
      <c r="L1345" s="31" t="n">
        <f aca="true">NORMSINV(RAND())*$G$7+$G$6</f>
        <v>0.0176027956784395</v>
      </c>
    </row>
    <row r="1346" customFormat="false" ht="15" hidden="false" customHeight="false" outlineLevel="0" collapsed="false">
      <c r="L1346" s="31" t="n">
        <f aca="true">NORMSINV(RAND())*$G$7+$G$6</f>
        <v>0.00496385227815958</v>
      </c>
    </row>
    <row r="1347" customFormat="false" ht="15" hidden="false" customHeight="false" outlineLevel="0" collapsed="false">
      <c r="L1347" s="31" t="n">
        <f aca="true">NORMSINV(RAND())*$G$7+$G$6</f>
        <v>-0.00211753232432642</v>
      </c>
    </row>
    <row r="1348" customFormat="false" ht="15" hidden="false" customHeight="false" outlineLevel="0" collapsed="false">
      <c r="L1348" s="31" t="n">
        <f aca="true">NORMSINV(RAND())*$G$7+$G$6</f>
        <v>0.00832086961483305</v>
      </c>
    </row>
    <row r="1349" customFormat="false" ht="15" hidden="false" customHeight="false" outlineLevel="0" collapsed="false">
      <c r="L1349" s="31" t="n">
        <f aca="true">NORMSINV(RAND())*$G$7+$G$6</f>
        <v>0.0111098290058019</v>
      </c>
    </row>
    <row r="1350" customFormat="false" ht="15" hidden="false" customHeight="false" outlineLevel="0" collapsed="false">
      <c r="L1350" s="31" t="n">
        <f aca="true">NORMSINV(RAND())*$G$7+$G$6</f>
        <v>-0.00365189402881983</v>
      </c>
    </row>
    <row r="1351" customFormat="false" ht="15" hidden="false" customHeight="false" outlineLevel="0" collapsed="false">
      <c r="L1351" s="31" t="n">
        <f aca="true">NORMSINV(RAND())*$G$7+$G$6</f>
        <v>0.00816383277325307</v>
      </c>
    </row>
    <row r="1352" customFormat="false" ht="15" hidden="false" customHeight="false" outlineLevel="0" collapsed="false">
      <c r="L1352" s="31" t="n">
        <f aca="true">NORMSINV(RAND())*$G$7+$G$6</f>
        <v>-0.00842714213558738</v>
      </c>
    </row>
    <row r="1353" customFormat="false" ht="15" hidden="false" customHeight="false" outlineLevel="0" collapsed="false">
      <c r="L1353" s="31" t="n">
        <f aca="true">NORMSINV(RAND())*$G$7+$G$6</f>
        <v>0.00571725014915551</v>
      </c>
    </row>
    <row r="1354" customFormat="false" ht="15" hidden="false" customHeight="false" outlineLevel="0" collapsed="false">
      <c r="L1354" s="31" t="n">
        <f aca="true">NORMSINV(RAND())*$G$7+$G$6</f>
        <v>0.0110212774416546</v>
      </c>
    </row>
    <row r="1355" customFormat="false" ht="15" hidden="false" customHeight="false" outlineLevel="0" collapsed="false">
      <c r="L1355" s="31" t="n">
        <f aca="true">NORMSINV(RAND())*$G$7+$G$6</f>
        <v>-0.000974687746325028</v>
      </c>
    </row>
    <row r="1356" customFormat="false" ht="15" hidden="false" customHeight="false" outlineLevel="0" collapsed="false">
      <c r="L1356" s="31" t="n">
        <f aca="true">NORMSINV(RAND())*$G$7+$G$6</f>
        <v>0.00641426882265678</v>
      </c>
    </row>
    <row r="1357" customFormat="false" ht="15" hidden="false" customHeight="false" outlineLevel="0" collapsed="false">
      <c r="L1357" s="31" t="n">
        <f aca="true">NORMSINV(RAND())*$G$7+$G$6</f>
        <v>0.00389981659494096</v>
      </c>
    </row>
    <row r="1358" customFormat="false" ht="15" hidden="false" customHeight="false" outlineLevel="0" collapsed="false">
      <c r="L1358" s="31" t="n">
        <f aca="true">NORMSINV(RAND())*$G$7+$G$6</f>
        <v>-0.000271321127942054</v>
      </c>
    </row>
    <row r="1359" customFormat="false" ht="15" hidden="false" customHeight="false" outlineLevel="0" collapsed="false">
      <c r="L1359" s="31" t="n">
        <f aca="true">NORMSINV(RAND())*$G$7+$G$6</f>
        <v>0.0213367022252302</v>
      </c>
    </row>
    <row r="1360" customFormat="false" ht="15" hidden="false" customHeight="false" outlineLevel="0" collapsed="false">
      <c r="L1360" s="31" t="n">
        <f aca="true">NORMSINV(RAND())*$G$7+$G$6</f>
        <v>0.00708784757376385</v>
      </c>
    </row>
    <row r="1361" customFormat="false" ht="15" hidden="false" customHeight="false" outlineLevel="0" collapsed="false">
      <c r="L1361" s="31" t="n">
        <f aca="true">NORMSINV(RAND())*$G$7+$G$6</f>
        <v>0.00170408672454145</v>
      </c>
    </row>
    <row r="1362" customFormat="false" ht="15" hidden="false" customHeight="false" outlineLevel="0" collapsed="false">
      <c r="L1362" s="31" t="n">
        <f aca="true">NORMSINV(RAND())*$G$7+$G$6</f>
        <v>-0.0172119640920842</v>
      </c>
    </row>
    <row r="1363" customFormat="false" ht="15" hidden="false" customHeight="false" outlineLevel="0" collapsed="false">
      <c r="L1363" s="31" t="n">
        <f aca="true">NORMSINV(RAND())*$G$7+$G$6</f>
        <v>-0.0102678335892077</v>
      </c>
    </row>
    <row r="1364" customFormat="false" ht="15" hidden="false" customHeight="false" outlineLevel="0" collapsed="false">
      <c r="L1364" s="31" t="n">
        <f aca="true">NORMSINV(RAND())*$G$7+$G$6</f>
        <v>0.000845831534890228</v>
      </c>
    </row>
    <row r="1365" customFormat="false" ht="15" hidden="false" customHeight="false" outlineLevel="0" collapsed="false">
      <c r="L1365" s="31" t="n">
        <f aca="true">NORMSINV(RAND())*$G$7+$G$6</f>
        <v>-0.0139110506286265</v>
      </c>
    </row>
    <row r="1366" customFormat="false" ht="15" hidden="false" customHeight="false" outlineLevel="0" collapsed="false">
      <c r="L1366" s="31" t="n">
        <f aca="true">NORMSINV(RAND())*$G$7+$G$6</f>
        <v>0.0201641997145286</v>
      </c>
    </row>
    <row r="1367" customFormat="false" ht="15" hidden="false" customHeight="false" outlineLevel="0" collapsed="false">
      <c r="L1367" s="31" t="n">
        <f aca="true">NORMSINV(RAND())*$G$7+$G$6</f>
        <v>-0.00564877848657303</v>
      </c>
    </row>
    <row r="1368" customFormat="false" ht="15" hidden="false" customHeight="false" outlineLevel="0" collapsed="false">
      <c r="L1368" s="31" t="n">
        <f aca="true">NORMSINV(RAND())*$G$7+$G$6</f>
        <v>0.0243683845375037</v>
      </c>
    </row>
    <row r="1369" customFormat="false" ht="15" hidden="false" customHeight="false" outlineLevel="0" collapsed="false">
      <c r="L1369" s="31" t="n">
        <f aca="true">NORMSINV(RAND())*$G$7+$G$6</f>
        <v>-0.00309902158832582</v>
      </c>
    </row>
    <row r="1370" customFormat="false" ht="15" hidden="false" customHeight="false" outlineLevel="0" collapsed="false">
      <c r="L1370" s="31" t="n">
        <f aca="true">NORMSINV(RAND())*$G$7+$G$6</f>
        <v>0.00887679322535543</v>
      </c>
    </row>
    <row r="1371" customFormat="false" ht="15" hidden="false" customHeight="false" outlineLevel="0" collapsed="false">
      <c r="L1371" s="31" t="n">
        <f aca="true">NORMSINV(RAND())*$G$7+$G$6</f>
        <v>0.00366521931640816</v>
      </c>
    </row>
    <row r="1372" customFormat="false" ht="15" hidden="false" customHeight="false" outlineLevel="0" collapsed="false">
      <c r="L1372" s="31" t="n">
        <f aca="true">NORMSINV(RAND())*$G$7+$G$6</f>
        <v>0.000182906479028527</v>
      </c>
    </row>
    <row r="1373" customFormat="false" ht="15" hidden="false" customHeight="false" outlineLevel="0" collapsed="false">
      <c r="L1373" s="31" t="n">
        <f aca="true">NORMSINV(RAND())*$G$7+$G$6</f>
        <v>0.00649464602771768</v>
      </c>
    </row>
    <row r="1374" customFormat="false" ht="15" hidden="false" customHeight="false" outlineLevel="0" collapsed="false">
      <c r="L1374" s="31" t="n">
        <f aca="true">NORMSINV(RAND())*$G$7+$G$6</f>
        <v>-0.00691134200279994</v>
      </c>
    </row>
    <row r="1375" customFormat="false" ht="15" hidden="false" customHeight="false" outlineLevel="0" collapsed="false">
      <c r="L1375" s="31" t="n">
        <f aca="true">NORMSINV(RAND())*$G$7+$G$6</f>
        <v>-0.00547427723293161</v>
      </c>
    </row>
    <row r="1376" customFormat="false" ht="15" hidden="false" customHeight="false" outlineLevel="0" collapsed="false">
      <c r="L1376" s="31" t="n">
        <f aca="true">NORMSINV(RAND())*$G$7+$G$6</f>
        <v>-0.0106673557400762</v>
      </c>
    </row>
    <row r="1377" customFormat="false" ht="15" hidden="false" customHeight="false" outlineLevel="0" collapsed="false">
      <c r="L1377" s="31" t="n">
        <f aca="true">NORMSINV(RAND())*$G$7+$G$6</f>
        <v>0.0183589686539788</v>
      </c>
    </row>
    <row r="1378" customFormat="false" ht="15" hidden="false" customHeight="false" outlineLevel="0" collapsed="false">
      <c r="L1378" s="31" t="n">
        <f aca="true">NORMSINV(RAND())*$G$7+$G$6</f>
        <v>-0.0239710445191941</v>
      </c>
    </row>
    <row r="1379" customFormat="false" ht="15" hidden="false" customHeight="false" outlineLevel="0" collapsed="false">
      <c r="L1379" s="31" t="n">
        <f aca="true">NORMSINV(RAND())*$G$7+$G$6</f>
        <v>-0.0242088065323275</v>
      </c>
    </row>
    <row r="1380" customFormat="false" ht="15" hidden="false" customHeight="false" outlineLevel="0" collapsed="false">
      <c r="L1380" s="31" t="n">
        <f aca="true">NORMSINV(RAND())*$G$7+$G$6</f>
        <v>0.00546324170807295</v>
      </c>
    </row>
    <row r="1381" customFormat="false" ht="15" hidden="false" customHeight="false" outlineLevel="0" collapsed="false">
      <c r="L1381" s="31" t="n">
        <f aca="true">NORMSINV(RAND())*$G$7+$G$6</f>
        <v>-0.00813615519683145</v>
      </c>
    </row>
    <row r="1382" customFormat="false" ht="15" hidden="false" customHeight="false" outlineLevel="0" collapsed="false">
      <c r="L1382" s="31" t="n">
        <f aca="true">NORMSINV(RAND())*$G$7+$G$6</f>
        <v>0.00240442299364757</v>
      </c>
    </row>
    <row r="1383" customFormat="false" ht="15" hidden="false" customHeight="false" outlineLevel="0" collapsed="false">
      <c r="L1383" s="31" t="n">
        <f aca="true">NORMSINV(RAND())*$G$7+$G$6</f>
        <v>-0.00785769898508117</v>
      </c>
    </row>
    <row r="1384" customFormat="false" ht="15" hidden="false" customHeight="false" outlineLevel="0" collapsed="false">
      <c r="L1384" s="31" t="n">
        <f aca="true">NORMSINV(RAND())*$G$7+$G$6</f>
        <v>0.00819422660820804</v>
      </c>
    </row>
    <row r="1385" customFormat="false" ht="15" hidden="false" customHeight="false" outlineLevel="0" collapsed="false">
      <c r="L1385" s="31" t="n">
        <f aca="true">NORMSINV(RAND())*$G$7+$G$6</f>
        <v>-0.0140175304300159</v>
      </c>
    </row>
    <row r="1386" customFormat="false" ht="15" hidden="false" customHeight="false" outlineLevel="0" collapsed="false">
      <c r="L1386" s="31" t="n">
        <f aca="true">NORMSINV(RAND())*$G$7+$G$6</f>
        <v>0.029546832285627</v>
      </c>
    </row>
    <row r="1387" customFormat="false" ht="15" hidden="false" customHeight="false" outlineLevel="0" collapsed="false">
      <c r="L1387" s="31" t="n">
        <f aca="true">NORMSINV(RAND())*$G$7+$G$6</f>
        <v>0.0159794681766472</v>
      </c>
    </row>
    <row r="1388" customFormat="false" ht="15" hidden="false" customHeight="false" outlineLevel="0" collapsed="false">
      <c r="L1388" s="31" t="n">
        <f aca="true">NORMSINV(RAND())*$G$7+$G$6</f>
        <v>-0.00468912587878448</v>
      </c>
    </row>
    <row r="1389" customFormat="false" ht="15" hidden="false" customHeight="false" outlineLevel="0" collapsed="false">
      <c r="L1389" s="31" t="n">
        <f aca="true">NORMSINV(RAND())*$G$7+$G$6</f>
        <v>0.00489513684046834</v>
      </c>
    </row>
    <row r="1390" customFormat="false" ht="15" hidden="false" customHeight="false" outlineLevel="0" collapsed="false">
      <c r="L1390" s="31" t="n">
        <f aca="true">NORMSINV(RAND())*$G$7+$G$6</f>
        <v>-0.0159869531670088</v>
      </c>
    </row>
    <row r="1391" customFormat="false" ht="15" hidden="false" customHeight="false" outlineLevel="0" collapsed="false">
      <c r="L1391" s="31" t="n">
        <f aca="true">NORMSINV(RAND())*$G$7+$G$6</f>
        <v>-0.0337621089601003</v>
      </c>
    </row>
    <row r="1392" customFormat="false" ht="15" hidden="false" customHeight="false" outlineLevel="0" collapsed="false">
      <c r="L1392" s="31" t="n">
        <f aca="true">NORMSINV(RAND())*$G$7+$G$6</f>
        <v>0.000965568251712884</v>
      </c>
    </row>
    <row r="1393" customFormat="false" ht="15" hidden="false" customHeight="false" outlineLevel="0" collapsed="false">
      <c r="L1393" s="31" t="n">
        <f aca="true">NORMSINV(RAND())*$G$7+$G$6</f>
        <v>-0.0112839178172784</v>
      </c>
    </row>
    <row r="1394" customFormat="false" ht="15" hidden="false" customHeight="false" outlineLevel="0" collapsed="false">
      <c r="L1394" s="31" t="n">
        <f aca="true">NORMSINV(RAND())*$G$7+$G$6</f>
        <v>0.0152275619882401</v>
      </c>
    </row>
    <row r="1395" customFormat="false" ht="15" hidden="false" customHeight="false" outlineLevel="0" collapsed="false">
      <c r="L1395" s="31" t="n">
        <f aca="true">NORMSINV(RAND())*$G$7+$G$6</f>
        <v>0.0307326083975592</v>
      </c>
    </row>
    <row r="1396" customFormat="false" ht="15" hidden="false" customHeight="false" outlineLevel="0" collapsed="false">
      <c r="L1396" s="31" t="n">
        <f aca="true">NORMSINV(RAND())*$G$7+$G$6</f>
        <v>-0.00304423530728051</v>
      </c>
    </row>
    <row r="1397" customFormat="false" ht="15" hidden="false" customHeight="false" outlineLevel="0" collapsed="false">
      <c r="L1397" s="31" t="n">
        <f aca="true">NORMSINV(RAND())*$G$7+$G$6</f>
        <v>-0.0107201943740477</v>
      </c>
    </row>
    <row r="1398" customFormat="false" ht="15" hidden="false" customHeight="false" outlineLevel="0" collapsed="false">
      <c r="L1398" s="31" t="n">
        <f aca="true">NORMSINV(RAND())*$G$7+$G$6</f>
        <v>0.00823778462009995</v>
      </c>
    </row>
    <row r="1399" customFormat="false" ht="15" hidden="false" customHeight="false" outlineLevel="0" collapsed="false">
      <c r="L1399" s="31" t="n">
        <f aca="true">NORMSINV(RAND())*$G$7+$G$6</f>
        <v>0.000781915571490361</v>
      </c>
    </row>
    <row r="1400" customFormat="false" ht="15" hidden="false" customHeight="false" outlineLevel="0" collapsed="false">
      <c r="L1400" s="31" t="n">
        <f aca="true">NORMSINV(RAND())*$G$7+$G$6</f>
        <v>0.00480964458340004</v>
      </c>
    </row>
    <row r="1401" customFormat="false" ht="15" hidden="false" customHeight="false" outlineLevel="0" collapsed="false">
      <c r="L1401" s="31" t="n">
        <f aca="true">NORMSINV(RAND())*$G$7+$G$6</f>
        <v>0.0190076266486394</v>
      </c>
    </row>
    <row r="1402" customFormat="false" ht="15" hidden="false" customHeight="false" outlineLevel="0" collapsed="false">
      <c r="L1402" s="31" t="n">
        <f aca="true">NORMSINV(RAND())*$G$7+$G$6</f>
        <v>-0.0135015138972215</v>
      </c>
    </row>
    <row r="1403" customFormat="false" ht="15" hidden="false" customHeight="false" outlineLevel="0" collapsed="false">
      <c r="L1403" s="31" t="n">
        <f aca="true">NORMSINV(RAND())*$G$7+$G$6</f>
        <v>0.00251287385168113</v>
      </c>
    </row>
    <row r="1404" customFormat="false" ht="15" hidden="false" customHeight="false" outlineLevel="0" collapsed="false">
      <c r="L1404" s="31" t="n">
        <f aca="true">NORMSINV(RAND())*$G$7+$G$6</f>
        <v>-0.00751854811465983</v>
      </c>
    </row>
    <row r="1405" customFormat="false" ht="15" hidden="false" customHeight="false" outlineLevel="0" collapsed="false">
      <c r="L1405" s="31" t="n">
        <f aca="true">NORMSINV(RAND())*$G$7+$G$6</f>
        <v>0.0211984702351669</v>
      </c>
    </row>
    <row r="1406" customFormat="false" ht="15" hidden="false" customHeight="false" outlineLevel="0" collapsed="false">
      <c r="L1406" s="31" t="n">
        <f aca="true">NORMSINV(RAND())*$G$7+$G$6</f>
        <v>-0.00519582038469314</v>
      </c>
    </row>
    <row r="1407" customFormat="false" ht="15" hidden="false" customHeight="false" outlineLevel="0" collapsed="false">
      <c r="L1407" s="31" t="n">
        <f aca="true">NORMSINV(RAND())*$G$7+$G$6</f>
        <v>0.0136973987685403</v>
      </c>
    </row>
    <row r="1408" customFormat="false" ht="15" hidden="false" customHeight="false" outlineLevel="0" collapsed="false">
      <c r="L1408" s="31" t="n">
        <f aca="true">NORMSINV(RAND())*$G$7+$G$6</f>
        <v>0.00211631609524226</v>
      </c>
    </row>
    <row r="1409" customFormat="false" ht="15" hidden="false" customHeight="false" outlineLevel="0" collapsed="false">
      <c r="L1409" s="31" t="n">
        <f aca="true">NORMSINV(RAND())*$G$7+$G$6</f>
        <v>-0.0245307019097672</v>
      </c>
    </row>
    <row r="1410" customFormat="false" ht="15" hidden="false" customHeight="false" outlineLevel="0" collapsed="false">
      <c r="L1410" s="31" t="n">
        <f aca="true">NORMSINV(RAND())*$G$7+$G$6</f>
        <v>0.0154727349777823</v>
      </c>
    </row>
    <row r="1411" customFormat="false" ht="15" hidden="false" customHeight="false" outlineLevel="0" collapsed="false">
      <c r="L1411" s="31" t="n">
        <f aca="true">NORMSINV(RAND())*$G$7+$G$6</f>
        <v>0.00245930563072381</v>
      </c>
    </row>
    <row r="1412" customFormat="false" ht="15" hidden="false" customHeight="false" outlineLevel="0" collapsed="false">
      <c r="L1412" s="31" t="n">
        <f aca="true">NORMSINV(RAND())*$G$7+$G$6</f>
        <v>0.0175548905587199</v>
      </c>
    </row>
    <row r="1413" customFormat="false" ht="15" hidden="false" customHeight="false" outlineLevel="0" collapsed="false">
      <c r="L1413" s="31" t="n">
        <f aca="true">NORMSINV(RAND())*$G$7+$G$6</f>
        <v>3.25186431792685E-005</v>
      </c>
    </row>
    <row r="1414" customFormat="false" ht="15" hidden="false" customHeight="false" outlineLevel="0" collapsed="false">
      <c r="L1414" s="31" t="n">
        <f aca="true">NORMSINV(RAND())*$G$7+$G$6</f>
        <v>0.0178619160564229</v>
      </c>
    </row>
    <row r="1415" customFormat="false" ht="15" hidden="false" customHeight="false" outlineLevel="0" collapsed="false">
      <c r="L1415" s="31" t="n">
        <f aca="true">NORMSINV(RAND())*$G$7+$G$6</f>
        <v>0.012004586860829</v>
      </c>
    </row>
    <row r="1416" customFormat="false" ht="15" hidden="false" customHeight="false" outlineLevel="0" collapsed="false">
      <c r="L1416" s="31" t="n">
        <f aca="true">NORMSINV(RAND())*$G$7+$G$6</f>
        <v>-0.00778855744321388</v>
      </c>
    </row>
    <row r="1417" customFormat="false" ht="15" hidden="false" customHeight="false" outlineLevel="0" collapsed="false">
      <c r="L1417" s="31" t="n">
        <f aca="true">NORMSINV(RAND())*$G$7+$G$6</f>
        <v>-0.000996954972565197</v>
      </c>
    </row>
    <row r="1418" customFormat="false" ht="15" hidden="false" customHeight="false" outlineLevel="0" collapsed="false">
      <c r="L1418" s="31" t="n">
        <f aca="true">NORMSINV(RAND())*$G$7+$G$6</f>
        <v>0.00460425243028375</v>
      </c>
    </row>
    <row r="1419" customFormat="false" ht="15" hidden="false" customHeight="false" outlineLevel="0" collapsed="false">
      <c r="L1419" s="31" t="n">
        <f aca="true">NORMSINV(RAND())*$G$7+$G$6</f>
        <v>-0.0136425040079289</v>
      </c>
    </row>
    <row r="1420" customFormat="false" ht="15" hidden="false" customHeight="false" outlineLevel="0" collapsed="false">
      <c r="L1420" s="31" t="n">
        <f aca="true">NORMSINV(RAND())*$G$7+$G$6</f>
        <v>0.0115848293783777</v>
      </c>
    </row>
    <row r="1421" customFormat="false" ht="15" hidden="false" customHeight="false" outlineLevel="0" collapsed="false">
      <c r="L1421" s="31" t="n">
        <f aca="true">NORMSINV(RAND())*$G$7+$G$6</f>
        <v>0.0141488795360928</v>
      </c>
    </row>
    <row r="1422" customFormat="false" ht="15" hidden="false" customHeight="false" outlineLevel="0" collapsed="false">
      <c r="L1422" s="31" t="n">
        <f aca="true">NORMSINV(RAND())*$G$7+$G$6</f>
        <v>-0.0223345598638543</v>
      </c>
    </row>
    <row r="1423" customFormat="false" ht="15" hidden="false" customHeight="false" outlineLevel="0" collapsed="false">
      <c r="L1423" s="31" t="n">
        <f aca="true">NORMSINV(RAND())*$G$7+$G$6</f>
        <v>0.0280988386717415</v>
      </c>
    </row>
    <row r="1424" customFormat="false" ht="15" hidden="false" customHeight="false" outlineLevel="0" collapsed="false">
      <c r="L1424" s="31" t="n">
        <f aca="true">NORMSINV(RAND())*$G$7+$G$6</f>
        <v>-0.00473867187621673</v>
      </c>
    </row>
    <row r="1425" customFormat="false" ht="15" hidden="false" customHeight="false" outlineLevel="0" collapsed="false">
      <c r="L1425" s="31" t="n">
        <f aca="true">NORMSINV(RAND())*$G$7+$G$6</f>
        <v>-0.00127963206549337</v>
      </c>
    </row>
    <row r="1426" customFormat="false" ht="15" hidden="false" customHeight="false" outlineLevel="0" collapsed="false">
      <c r="L1426" s="31" t="n">
        <f aca="true">NORMSINV(RAND())*$G$7+$G$6</f>
        <v>-0.00316460562450612</v>
      </c>
    </row>
    <row r="1427" customFormat="false" ht="15" hidden="false" customHeight="false" outlineLevel="0" collapsed="false">
      <c r="L1427" s="31" t="n">
        <f aca="true">NORMSINV(RAND())*$G$7+$G$6</f>
        <v>0.00660593226804648</v>
      </c>
    </row>
    <row r="1428" customFormat="false" ht="15" hidden="false" customHeight="false" outlineLevel="0" collapsed="false">
      <c r="L1428" s="31" t="n">
        <f aca="true">NORMSINV(RAND())*$G$7+$G$6</f>
        <v>-0.0239272072059275</v>
      </c>
    </row>
    <row r="1429" customFormat="false" ht="15" hidden="false" customHeight="false" outlineLevel="0" collapsed="false">
      <c r="L1429" s="31" t="n">
        <f aca="true">NORMSINV(RAND())*$G$7+$G$6</f>
        <v>-0.00452221096101476</v>
      </c>
    </row>
    <row r="1430" customFormat="false" ht="15" hidden="false" customHeight="false" outlineLevel="0" collapsed="false">
      <c r="L1430" s="31" t="n">
        <f aca="true">NORMSINV(RAND())*$G$7+$G$6</f>
        <v>-0.00638871599229527</v>
      </c>
    </row>
    <row r="1431" customFormat="false" ht="15" hidden="false" customHeight="false" outlineLevel="0" collapsed="false">
      <c r="L1431" s="31" t="n">
        <f aca="true">NORMSINV(RAND())*$G$7+$G$6</f>
        <v>0.0116033213750802</v>
      </c>
    </row>
    <row r="1432" customFormat="false" ht="15" hidden="false" customHeight="false" outlineLevel="0" collapsed="false">
      <c r="L1432" s="31" t="n">
        <f aca="true">NORMSINV(RAND())*$G$7+$G$6</f>
        <v>0.00421247752042939</v>
      </c>
    </row>
    <row r="1433" customFormat="false" ht="15" hidden="false" customHeight="false" outlineLevel="0" collapsed="false">
      <c r="L1433" s="31" t="n">
        <f aca="true">NORMSINV(RAND())*$G$7+$G$6</f>
        <v>0.00418460041432741</v>
      </c>
    </row>
    <row r="1434" customFormat="false" ht="15" hidden="false" customHeight="false" outlineLevel="0" collapsed="false">
      <c r="L1434" s="31" t="n">
        <f aca="true">NORMSINV(RAND())*$G$7+$G$6</f>
        <v>0.0144954723795333</v>
      </c>
    </row>
    <row r="1435" customFormat="false" ht="15" hidden="false" customHeight="false" outlineLevel="0" collapsed="false">
      <c r="L1435" s="31" t="n">
        <f aca="true">NORMSINV(RAND())*$G$7+$G$6</f>
        <v>0.0125521393009051</v>
      </c>
    </row>
    <row r="1436" customFormat="false" ht="15" hidden="false" customHeight="false" outlineLevel="0" collapsed="false">
      <c r="L1436" s="31" t="n">
        <f aca="true">NORMSINV(RAND())*$G$7+$G$6</f>
        <v>0.0204540298601814</v>
      </c>
    </row>
    <row r="1437" customFormat="false" ht="15" hidden="false" customHeight="false" outlineLevel="0" collapsed="false">
      <c r="L1437" s="31" t="n">
        <f aca="true">NORMSINV(RAND())*$G$7+$G$6</f>
        <v>0.00237979424781361</v>
      </c>
    </row>
    <row r="1438" customFormat="false" ht="15" hidden="false" customHeight="false" outlineLevel="0" collapsed="false">
      <c r="L1438" s="31" t="n">
        <f aca="true">NORMSINV(RAND())*$G$7+$G$6</f>
        <v>0.00725842483477795</v>
      </c>
    </row>
    <row r="1439" customFormat="false" ht="15" hidden="false" customHeight="false" outlineLevel="0" collapsed="false">
      <c r="L1439" s="31" t="n">
        <f aca="true">NORMSINV(RAND())*$G$7+$G$6</f>
        <v>-0.00263374667746287</v>
      </c>
    </row>
    <row r="1440" customFormat="false" ht="15" hidden="false" customHeight="false" outlineLevel="0" collapsed="false">
      <c r="L1440" s="31" t="n">
        <f aca="true">NORMSINV(RAND())*$G$7+$G$6</f>
        <v>0.0058593187746153</v>
      </c>
    </row>
    <row r="1441" customFormat="false" ht="15" hidden="false" customHeight="false" outlineLevel="0" collapsed="false">
      <c r="L1441" s="31" t="n">
        <f aca="true">NORMSINV(RAND())*$G$7+$G$6</f>
        <v>-0.0082818298158478</v>
      </c>
    </row>
    <row r="1442" customFormat="false" ht="15" hidden="false" customHeight="false" outlineLevel="0" collapsed="false">
      <c r="L1442" s="31" t="n">
        <f aca="true">NORMSINV(RAND())*$G$7+$G$6</f>
        <v>0.00254074152721345</v>
      </c>
    </row>
    <row r="1443" customFormat="false" ht="15" hidden="false" customHeight="false" outlineLevel="0" collapsed="false">
      <c r="L1443" s="31" t="n">
        <f aca="true">NORMSINV(RAND())*$G$7+$G$6</f>
        <v>-0.00718957962871999</v>
      </c>
    </row>
    <row r="1444" customFormat="false" ht="15" hidden="false" customHeight="false" outlineLevel="0" collapsed="false">
      <c r="L1444" s="31" t="n">
        <f aca="true">NORMSINV(RAND())*$G$7+$G$6</f>
        <v>-0.0164552077399753</v>
      </c>
    </row>
    <row r="1445" customFormat="false" ht="15" hidden="false" customHeight="false" outlineLevel="0" collapsed="false">
      <c r="L1445" s="31" t="n">
        <f aca="true">NORMSINV(RAND())*$G$7+$G$6</f>
        <v>-0.0184295156016207</v>
      </c>
    </row>
    <row r="1446" customFormat="false" ht="15" hidden="false" customHeight="false" outlineLevel="0" collapsed="false">
      <c r="L1446" s="31" t="n">
        <f aca="true">NORMSINV(RAND())*$G$7+$G$6</f>
        <v>0.0272671247956167</v>
      </c>
    </row>
    <row r="1447" customFormat="false" ht="15" hidden="false" customHeight="false" outlineLevel="0" collapsed="false">
      <c r="L1447" s="31" t="n">
        <f aca="true">NORMSINV(RAND())*$G$7+$G$6</f>
        <v>0.00719097414520037</v>
      </c>
    </row>
    <row r="1448" customFormat="false" ht="15" hidden="false" customHeight="false" outlineLevel="0" collapsed="false">
      <c r="L1448" s="31" t="n">
        <f aca="true">NORMSINV(RAND())*$G$7+$G$6</f>
        <v>-0.00313444538040569</v>
      </c>
    </row>
    <row r="1449" customFormat="false" ht="15" hidden="false" customHeight="false" outlineLevel="0" collapsed="false">
      <c r="L1449" s="31" t="n">
        <f aca="true">NORMSINV(RAND())*$G$7+$G$6</f>
        <v>-0.000855075684740011</v>
      </c>
    </row>
    <row r="1450" customFormat="false" ht="15" hidden="false" customHeight="false" outlineLevel="0" collapsed="false">
      <c r="L1450" s="31" t="n">
        <f aca="true">NORMSINV(RAND())*$G$7+$G$6</f>
        <v>-0.0198367025634008</v>
      </c>
    </row>
    <row r="1451" customFormat="false" ht="15" hidden="false" customHeight="false" outlineLevel="0" collapsed="false">
      <c r="L1451" s="31" t="n">
        <f aca="true">NORMSINV(RAND())*$G$7+$G$6</f>
        <v>-0.00397812053812867</v>
      </c>
    </row>
    <row r="1452" customFormat="false" ht="15" hidden="false" customHeight="false" outlineLevel="0" collapsed="false">
      <c r="L1452" s="31" t="n">
        <f aca="true">NORMSINV(RAND())*$G$7+$G$6</f>
        <v>-0.0140684376431035</v>
      </c>
    </row>
    <row r="1453" customFormat="false" ht="15" hidden="false" customHeight="false" outlineLevel="0" collapsed="false">
      <c r="L1453" s="31" t="n">
        <f aca="true">NORMSINV(RAND())*$G$7+$G$6</f>
        <v>0.00517586528648157</v>
      </c>
    </row>
    <row r="1454" customFormat="false" ht="15" hidden="false" customHeight="false" outlineLevel="0" collapsed="false">
      <c r="L1454" s="31" t="n">
        <f aca="true">NORMSINV(RAND())*$G$7+$G$6</f>
        <v>0.0213088348599374</v>
      </c>
    </row>
    <row r="1455" customFormat="false" ht="15" hidden="false" customHeight="false" outlineLevel="0" collapsed="false">
      <c r="L1455" s="31" t="n">
        <f aca="true">NORMSINV(RAND())*$G$7+$G$6</f>
        <v>-0.0142942923420293</v>
      </c>
    </row>
    <row r="1456" customFormat="false" ht="15" hidden="false" customHeight="false" outlineLevel="0" collapsed="false">
      <c r="L1456" s="31" t="n">
        <f aca="true">NORMSINV(RAND())*$G$7+$G$6</f>
        <v>0.0127865417481982</v>
      </c>
    </row>
    <row r="1457" customFormat="false" ht="15" hidden="false" customHeight="false" outlineLevel="0" collapsed="false">
      <c r="L1457" s="31" t="n">
        <f aca="true">NORMSINV(RAND())*$G$7+$G$6</f>
        <v>-0.0054168530096696</v>
      </c>
    </row>
    <row r="1458" customFormat="false" ht="15" hidden="false" customHeight="false" outlineLevel="0" collapsed="false">
      <c r="L1458" s="31" t="n">
        <f aca="true">NORMSINV(RAND())*$G$7+$G$6</f>
        <v>-0.0034333399015575</v>
      </c>
    </row>
    <row r="1459" customFormat="false" ht="15" hidden="false" customHeight="false" outlineLevel="0" collapsed="false">
      <c r="L1459" s="31" t="n">
        <f aca="true">NORMSINV(RAND())*$G$7+$G$6</f>
        <v>-0.0112893211965781</v>
      </c>
    </row>
    <row r="1460" customFormat="false" ht="15" hidden="false" customHeight="false" outlineLevel="0" collapsed="false">
      <c r="L1460" s="31" t="n">
        <f aca="true">NORMSINV(RAND())*$G$7+$G$6</f>
        <v>-0.0374771950204068</v>
      </c>
    </row>
    <row r="1461" customFormat="false" ht="15" hidden="false" customHeight="false" outlineLevel="0" collapsed="false">
      <c r="L1461" s="31" t="n">
        <f aca="true">NORMSINV(RAND())*$G$7+$G$6</f>
        <v>-0.0170556276369676</v>
      </c>
    </row>
    <row r="1462" customFormat="false" ht="15" hidden="false" customHeight="false" outlineLevel="0" collapsed="false">
      <c r="L1462" s="31" t="n">
        <f aca="true">NORMSINV(RAND())*$G$7+$G$6</f>
        <v>-0.0174158803939007</v>
      </c>
    </row>
    <row r="1463" customFormat="false" ht="15" hidden="false" customHeight="false" outlineLevel="0" collapsed="false">
      <c r="L1463" s="31" t="n">
        <f aca="true">NORMSINV(RAND())*$G$7+$G$6</f>
        <v>-0.00466756545300288</v>
      </c>
    </row>
    <row r="1464" customFormat="false" ht="15" hidden="false" customHeight="false" outlineLevel="0" collapsed="false">
      <c r="L1464" s="31" t="n">
        <f aca="true">NORMSINV(RAND())*$G$7+$G$6</f>
        <v>0.00296618474365188</v>
      </c>
    </row>
    <row r="1465" customFormat="false" ht="15" hidden="false" customHeight="false" outlineLevel="0" collapsed="false">
      <c r="L1465" s="31" t="n">
        <f aca="true">NORMSINV(RAND())*$G$7+$G$6</f>
        <v>-0.00879221446053222</v>
      </c>
    </row>
    <row r="1466" customFormat="false" ht="15" hidden="false" customHeight="false" outlineLevel="0" collapsed="false">
      <c r="L1466" s="31" t="n">
        <f aca="true">NORMSINV(RAND())*$G$7+$G$6</f>
        <v>-0.0305439690887129</v>
      </c>
    </row>
    <row r="1467" customFormat="false" ht="15" hidden="false" customHeight="false" outlineLevel="0" collapsed="false">
      <c r="L1467" s="31" t="n">
        <f aca="true">NORMSINV(RAND())*$G$7+$G$6</f>
        <v>0.00299938417237337</v>
      </c>
    </row>
    <row r="1468" customFormat="false" ht="15" hidden="false" customHeight="false" outlineLevel="0" collapsed="false">
      <c r="L1468" s="31" t="n">
        <f aca="true">NORMSINV(RAND())*$G$7+$G$6</f>
        <v>0.0149672896715135</v>
      </c>
    </row>
    <row r="1469" customFormat="false" ht="15" hidden="false" customHeight="false" outlineLevel="0" collapsed="false">
      <c r="L1469" s="31" t="n">
        <f aca="true">NORMSINV(RAND())*$G$7+$G$6</f>
        <v>-0.0116201214110454</v>
      </c>
    </row>
    <row r="1470" customFormat="false" ht="15" hidden="false" customHeight="false" outlineLevel="0" collapsed="false">
      <c r="L1470" s="31" t="n">
        <f aca="true">NORMSINV(RAND())*$G$7+$G$6</f>
        <v>-0.0142438249081899</v>
      </c>
    </row>
    <row r="1471" customFormat="false" ht="15" hidden="false" customHeight="false" outlineLevel="0" collapsed="false">
      <c r="L1471" s="31" t="n">
        <f aca="true">NORMSINV(RAND())*$G$7+$G$6</f>
        <v>0.00238413108404821</v>
      </c>
    </row>
    <row r="1472" customFormat="false" ht="15" hidden="false" customHeight="false" outlineLevel="0" collapsed="false">
      <c r="L1472" s="31" t="n">
        <f aca="true">NORMSINV(RAND())*$G$7+$G$6</f>
        <v>0.00783189143491075</v>
      </c>
    </row>
    <row r="1473" customFormat="false" ht="15" hidden="false" customHeight="false" outlineLevel="0" collapsed="false">
      <c r="L1473" s="31" t="n">
        <f aca="true">NORMSINV(RAND())*$G$7+$G$6</f>
        <v>0.00502743847686622</v>
      </c>
    </row>
    <row r="1474" customFormat="false" ht="15" hidden="false" customHeight="false" outlineLevel="0" collapsed="false">
      <c r="L1474" s="31" t="n">
        <f aca="true">NORMSINV(RAND())*$G$7+$G$6</f>
        <v>-0.00535587969966785</v>
      </c>
    </row>
    <row r="1475" customFormat="false" ht="15" hidden="false" customHeight="false" outlineLevel="0" collapsed="false">
      <c r="L1475" s="31" t="n">
        <f aca="true">NORMSINV(RAND())*$G$7+$G$6</f>
        <v>0.00127813621948922</v>
      </c>
    </row>
    <row r="1476" customFormat="false" ht="15" hidden="false" customHeight="false" outlineLevel="0" collapsed="false">
      <c r="L1476" s="31" t="n">
        <f aca="true">NORMSINV(RAND())*$G$7+$G$6</f>
        <v>6.58678110478816E-005</v>
      </c>
    </row>
    <row r="1477" customFormat="false" ht="15" hidden="false" customHeight="false" outlineLevel="0" collapsed="false">
      <c r="L1477" s="31" t="n">
        <f aca="true">NORMSINV(RAND())*$G$7+$G$6</f>
        <v>0.0103684893231541</v>
      </c>
    </row>
    <row r="1478" customFormat="false" ht="15" hidden="false" customHeight="false" outlineLevel="0" collapsed="false">
      <c r="L1478" s="31" t="n">
        <f aca="true">NORMSINV(RAND())*$G$7+$G$6</f>
        <v>0.0292454924800245</v>
      </c>
    </row>
    <row r="1479" customFormat="false" ht="15" hidden="false" customHeight="false" outlineLevel="0" collapsed="false">
      <c r="L1479" s="31" t="n">
        <f aca="true">NORMSINV(RAND())*$G$7+$G$6</f>
        <v>-0.000911336391290868</v>
      </c>
    </row>
    <row r="1480" customFormat="false" ht="15" hidden="false" customHeight="false" outlineLevel="0" collapsed="false">
      <c r="L1480" s="31" t="n">
        <f aca="true">NORMSINV(RAND())*$G$7+$G$6</f>
        <v>0.00150666253035209</v>
      </c>
    </row>
    <row r="1481" customFormat="false" ht="15" hidden="false" customHeight="false" outlineLevel="0" collapsed="false">
      <c r="L1481" s="31" t="n">
        <f aca="true">NORMSINV(RAND())*$G$7+$G$6</f>
        <v>0.000188349361630661</v>
      </c>
    </row>
    <row r="1482" customFormat="false" ht="15" hidden="false" customHeight="false" outlineLevel="0" collapsed="false">
      <c r="L1482" s="31" t="n">
        <f aca="true">NORMSINV(RAND())*$G$7+$G$6</f>
        <v>0.010572723766679</v>
      </c>
    </row>
    <row r="1483" customFormat="false" ht="15" hidden="false" customHeight="false" outlineLevel="0" collapsed="false">
      <c r="L1483" s="31" t="n">
        <f aca="true">NORMSINV(RAND())*$G$7+$G$6</f>
        <v>-0.0180275289036653</v>
      </c>
    </row>
    <row r="1484" customFormat="false" ht="15" hidden="false" customHeight="false" outlineLevel="0" collapsed="false">
      <c r="L1484" s="31" t="n">
        <f aca="true">NORMSINV(RAND())*$G$7+$G$6</f>
        <v>0.00053919956851004</v>
      </c>
    </row>
    <row r="1485" customFormat="false" ht="15" hidden="false" customHeight="false" outlineLevel="0" collapsed="false">
      <c r="L1485" s="31" t="n">
        <f aca="true">NORMSINV(RAND())*$G$7+$G$6</f>
        <v>-0.0034498227211845</v>
      </c>
    </row>
    <row r="1486" customFormat="false" ht="15" hidden="false" customHeight="false" outlineLevel="0" collapsed="false">
      <c r="L1486" s="31" t="n">
        <f aca="true">NORMSINV(RAND())*$G$7+$G$6</f>
        <v>-0.013708868657628</v>
      </c>
    </row>
    <row r="1487" customFormat="false" ht="15" hidden="false" customHeight="false" outlineLevel="0" collapsed="false">
      <c r="L1487" s="31" t="n">
        <f aca="true">NORMSINV(RAND())*$G$7+$G$6</f>
        <v>-0.00158035799595542</v>
      </c>
    </row>
    <row r="1488" customFormat="false" ht="15" hidden="false" customHeight="false" outlineLevel="0" collapsed="false">
      <c r="L1488" s="31" t="n">
        <f aca="true">NORMSINV(RAND())*$G$7+$G$6</f>
        <v>-0.0195790768506693</v>
      </c>
    </row>
    <row r="1489" customFormat="false" ht="15" hidden="false" customHeight="false" outlineLevel="0" collapsed="false">
      <c r="L1489" s="31" t="n">
        <f aca="true">NORMSINV(RAND())*$G$7+$G$6</f>
        <v>-0.00414311136098423</v>
      </c>
    </row>
    <row r="1490" customFormat="false" ht="15" hidden="false" customHeight="false" outlineLevel="0" collapsed="false">
      <c r="L1490" s="31" t="n">
        <f aca="true">NORMSINV(RAND())*$G$7+$G$6</f>
        <v>-0.0139852134842447</v>
      </c>
    </row>
    <row r="1491" customFormat="false" ht="15" hidden="false" customHeight="false" outlineLevel="0" collapsed="false">
      <c r="L1491" s="31" t="n">
        <f aca="true">NORMSINV(RAND())*$G$7+$G$6</f>
        <v>0.0251197473990692</v>
      </c>
    </row>
    <row r="1492" customFormat="false" ht="15" hidden="false" customHeight="false" outlineLevel="0" collapsed="false">
      <c r="L1492" s="31" t="n">
        <f aca="true">NORMSINV(RAND())*$G$7+$G$6</f>
        <v>-0.00273849297105012</v>
      </c>
    </row>
    <row r="1493" customFormat="false" ht="15" hidden="false" customHeight="false" outlineLevel="0" collapsed="false">
      <c r="L1493" s="31" t="n">
        <f aca="true">NORMSINV(RAND())*$G$7+$G$6</f>
        <v>-0.000573243238491899</v>
      </c>
    </row>
    <row r="1494" customFormat="false" ht="15" hidden="false" customHeight="false" outlineLevel="0" collapsed="false">
      <c r="L1494" s="31" t="n">
        <f aca="true">NORMSINV(RAND())*$G$7+$G$6</f>
        <v>0.00605165725787266</v>
      </c>
    </row>
    <row r="1495" customFormat="false" ht="15" hidden="false" customHeight="false" outlineLevel="0" collapsed="false">
      <c r="L1495" s="31" t="n">
        <f aca="true">NORMSINV(RAND())*$G$7+$G$6</f>
        <v>0.00673316642690862</v>
      </c>
    </row>
    <row r="1496" customFormat="false" ht="15" hidden="false" customHeight="false" outlineLevel="0" collapsed="false">
      <c r="L1496" s="31" t="n">
        <f aca="true">NORMSINV(RAND())*$G$7+$G$6</f>
        <v>-0.0110647188069282</v>
      </c>
    </row>
    <row r="1497" customFormat="false" ht="15" hidden="false" customHeight="false" outlineLevel="0" collapsed="false">
      <c r="L1497" s="31" t="n">
        <f aca="true">NORMSINV(RAND())*$G$7+$G$6</f>
        <v>0.0161410625484189</v>
      </c>
    </row>
    <row r="1498" customFormat="false" ht="15" hidden="false" customHeight="false" outlineLevel="0" collapsed="false">
      <c r="L1498" s="31" t="n">
        <f aca="true">NORMSINV(RAND())*$G$7+$G$6</f>
        <v>-0.00355040359586314</v>
      </c>
    </row>
    <row r="1499" customFormat="false" ht="15" hidden="false" customHeight="false" outlineLevel="0" collapsed="false">
      <c r="L1499" s="31" t="n">
        <f aca="true">NORMSINV(RAND())*$G$7+$G$6</f>
        <v>0.0145666320969876</v>
      </c>
    </row>
    <row r="1500" customFormat="false" ht="15" hidden="false" customHeight="false" outlineLevel="0" collapsed="false">
      <c r="L1500" s="31" t="n">
        <f aca="true">NORMSINV(RAND())*$G$7+$G$6</f>
        <v>-0.00754454029840375</v>
      </c>
    </row>
    <row r="1501" customFormat="false" ht="15" hidden="false" customHeight="false" outlineLevel="0" collapsed="false">
      <c r="L1501" s="31" t="n">
        <f aca="true">NORMSINV(RAND())*$G$7+$G$6</f>
        <v>-0.0312028525388326</v>
      </c>
    </row>
    <row r="1502" customFormat="false" ht="15" hidden="false" customHeight="false" outlineLevel="0" collapsed="false">
      <c r="L1502" s="31" t="n">
        <f aca="true">NORMSINV(RAND())*$G$7+$G$6</f>
        <v>-0.0199375581372992</v>
      </c>
    </row>
    <row r="1503" customFormat="false" ht="15" hidden="false" customHeight="false" outlineLevel="0" collapsed="false">
      <c r="L1503" s="31" t="n">
        <f aca="true">NORMSINV(RAND())*$G$7+$G$6</f>
        <v>0.01342415504204</v>
      </c>
    </row>
    <row r="1504" customFormat="false" ht="15" hidden="false" customHeight="false" outlineLevel="0" collapsed="false">
      <c r="L1504" s="31" t="n">
        <f aca="true">NORMSINV(RAND())*$G$7+$G$6</f>
        <v>0.0108393782102296</v>
      </c>
    </row>
    <row r="1505" customFormat="false" ht="15" hidden="false" customHeight="false" outlineLevel="0" collapsed="false">
      <c r="L1505" s="31" t="n">
        <f aca="true">NORMSINV(RAND())*$G$7+$G$6</f>
        <v>0.0085901289059706</v>
      </c>
    </row>
    <row r="1506" customFormat="false" ht="15" hidden="false" customHeight="false" outlineLevel="0" collapsed="false">
      <c r="L1506" s="31" t="n">
        <f aca="true">NORMSINV(RAND())*$G$7+$G$6</f>
        <v>-0.024601332117462</v>
      </c>
    </row>
    <row r="1507" customFormat="false" ht="15" hidden="false" customHeight="false" outlineLevel="0" collapsed="false">
      <c r="L1507" s="31" t="n">
        <f aca="true">NORMSINV(RAND())*$G$7+$G$6</f>
        <v>-0.00187243770713344</v>
      </c>
    </row>
    <row r="1508" customFormat="false" ht="15" hidden="false" customHeight="false" outlineLevel="0" collapsed="false">
      <c r="L1508" s="31" t="n">
        <f aca="true">NORMSINV(RAND())*$G$7+$G$6</f>
        <v>0.000353790174671243</v>
      </c>
    </row>
    <row r="1509" customFormat="false" ht="15" hidden="false" customHeight="false" outlineLevel="0" collapsed="false">
      <c r="L1509" s="31" t="n">
        <f aca="true">NORMSINV(RAND())*$G$7+$G$6</f>
        <v>-0.0128821742072221</v>
      </c>
    </row>
    <row r="1510" customFormat="false" ht="15" hidden="false" customHeight="false" outlineLevel="0" collapsed="false">
      <c r="L1510" s="31" t="n">
        <f aca="true">NORMSINV(RAND())*$G$7+$G$6</f>
        <v>0.0145333588178321</v>
      </c>
    </row>
    <row r="1511" customFormat="false" ht="15" hidden="false" customHeight="false" outlineLevel="0" collapsed="false">
      <c r="L1511" s="31" t="n">
        <f aca="true">NORMSINV(RAND())*$G$7+$G$6</f>
        <v>0.0250063093841388</v>
      </c>
    </row>
    <row r="1512" customFormat="false" ht="15" hidden="false" customHeight="false" outlineLevel="0" collapsed="false">
      <c r="L1512" s="31" t="n">
        <f aca="true">NORMSINV(RAND())*$G$7+$G$6</f>
        <v>0.000914170228177187</v>
      </c>
    </row>
    <row r="1513" customFormat="false" ht="15" hidden="false" customHeight="false" outlineLevel="0" collapsed="false">
      <c r="L1513" s="31" t="n">
        <f aca="true">NORMSINV(RAND())*$G$7+$G$6</f>
        <v>-0.00129286336659907</v>
      </c>
    </row>
    <row r="1514" customFormat="false" ht="15" hidden="false" customHeight="false" outlineLevel="0" collapsed="false">
      <c r="L1514" s="31" t="n">
        <f aca="true">NORMSINV(RAND())*$G$7+$G$6</f>
        <v>-0.0203322662583011</v>
      </c>
    </row>
    <row r="1515" customFormat="false" ht="15" hidden="false" customHeight="false" outlineLevel="0" collapsed="false">
      <c r="L1515" s="31" t="n">
        <f aca="true">NORMSINV(RAND())*$G$7+$G$6</f>
        <v>-0.00185349468435204</v>
      </c>
    </row>
    <row r="1516" customFormat="false" ht="15" hidden="false" customHeight="false" outlineLevel="0" collapsed="false">
      <c r="L1516" s="31" t="n">
        <f aca="true">NORMSINV(RAND())*$G$7+$G$6</f>
        <v>0.0133625399467921</v>
      </c>
    </row>
    <row r="1517" customFormat="false" ht="15" hidden="false" customHeight="false" outlineLevel="0" collapsed="false">
      <c r="L1517" s="31" t="n">
        <f aca="true">NORMSINV(RAND())*$G$7+$G$6</f>
        <v>-0.023599086311918</v>
      </c>
    </row>
    <row r="1518" customFormat="false" ht="15" hidden="false" customHeight="false" outlineLevel="0" collapsed="false">
      <c r="L1518" s="31" t="n">
        <f aca="true">NORMSINV(RAND())*$G$7+$G$6</f>
        <v>0.0138741110099914</v>
      </c>
    </row>
    <row r="1519" customFormat="false" ht="15" hidden="false" customHeight="false" outlineLevel="0" collapsed="false">
      <c r="L1519" s="31" t="n">
        <f aca="true">NORMSINV(RAND())*$G$7+$G$6</f>
        <v>0.014773463697302</v>
      </c>
    </row>
    <row r="1520" customFormat="false" ht="15" hidden="false" customHeight="false" outlineLevel="0" collapsed="false">
      <c r="L1520" s="31" t="n">
        <f aca="true">NORMSINV(RAND())*$G$7+$G$6</f>
        <v>0.00826839695155268</v>
      </c>
    </row>
    <row r="1521" customFormat="false" ht="15" hidden="false" customHeight="false" outlineLevel="0" collapsed="false">
      <c r="L1521" s="31" t="n">
        <f aca="true">NORMSINV(RAND())*$G$7+$G$6</f>
        <v>0.00463287685624889</v>
      </c>
    </row>
    <row r="1522" customFormat="false" ht="15" hidden="false" customHeight="false" outlineLevel="0" collapsed="false">
      <c r="L1522" s="31" t="n">
        <f aca="true">NORMSINV(RAND())*$G$7+$G$6</f>
        <v>0.0103416854326453</v>
      </c>
    </row>
    <row r="1523" customFormat="false" ht="15" hidden="false" customHeight="false" outlineLevel="0" collapsed="false">
      <c r="L1523" s="31" t="n">
        <f aca="true">NORMSINV(RAND())*$G$7+$G$6</f>
        <v>0.00952261100361287</v>
      </c>
    </row>
    <row r="1524" customFormat="false" ht="15" hidden="false" customHeight="false" outlineLevel="0" collapsed="false">
      <c r="L1524" s="31" t="n">
        <f aca="true">NORMSINV(RAND())*$G$7+$G$6</f>
        <v>-0.005072022793661</v>
      </c>
    </row>
    <row r="1525" customFormat="false" ht="15" hidden="false" customHeight="false" outlineLevel="0" collapsed="false">
      <c r="L1525" s="31" t="n">
        <f aca="true">NORMSINV(RAND())*$G$7+$G$6</f>
        <v>-0.000941728959891298</v>
      </c>
    </row>
    <row r="1526" customFormat="false" ht="15" hidden="false" customHeight="false" outlineLevel="0" collapsed="false">
      <c r="L1526" s="31" t="n">
        <f aca="true">NORMSINV(RAND())*$G$7+$G$6</f>
        <v>-0.000683232798513115</v>
      </c>
    </row>
    <row r="1527" customFormat="false" ht="15" hidden="false" customHeight="false" outlineLevel="0" collapsed="false">
      <c r="L1527" s="31" t="n">
        <f aca="true">NORMSINV(RAND())*$G$7+$G$6</f>
        <v>0.00770148427544573</v>
      </c>
    </row>
    <row r="1528" customFormat="false" ht="15" hidden="false" customHeight="false" outlineLevel="0" collapsed="false">
      <c r="L1528" s="31" t="n">
        <f aca="true">NORMSINV(RAND())*$G$7+$G$6</f>
        <v>-0.00940108749716074</v>
      </c>
    </row>
    <row r="1529" customFormat="false" ht="15" hidden="false" customHeight="false" outlineLevel="0" collapsed="false">
      <c r="L1529" s="31" t="n">
        <f aca="true">NORMSINV(RAND())*$G$7+$G$6</f>
        <v>0.00200720181852427</v>
      </c>
    </row>
    <row r="1530" customFormat="false" ht="15" hidden="false" customHeight="false" outlineLevel="0" collapsed="false">
      <c r="L1530" s="31" t="n">
        <f aca="true">NORMSINV(RAND())*$G$7+$G$6</f>
        <v>0.0255591239199859</v>
      </c>
    </row>
    <row r="1531" customFormat="false" ht="15" hidden="false" customHeight="false" outlineLevel="0" collapsed="false">
      <c r="L1531" s="31" t="n">
        <f aca="true">NORMSINV(RAND())*$G$7+$G$6</f>
        <v>0.0185114065070887</v>
      </c>
    </row>
    <row r="1532" customFormat="false" ht="15" hidden="false" customHeight="false" outlineLevel="0" collapsed="false">
      <c r="L1532" s="31" t="n">
        <f aca="true">NORMSINV(RAND())*$G$7+$G$6</f>
        <v>0.00484889928009204</v>
      </c>
    </row>
    <row r="1533" customFormat="false" ht="15" hidden="false" customHeight="false" outlineLevel="0" collapsed="false">
      <c r="L1533" s="31" t="n">
        <f aca="true">NORMSINV(RAND())*$G$7+$G$6</f>
        <v>0.00864662387729629</v>
      </c>
    </row>
    <row r="1534" customFormat="false" ht="15" hidden="false" customHeight="false" outlineLevel="0" collapsed="false">
      <c r="L1534" s="31" t="n">
        <f aca="true">NORMSINV(RAND())*$G$7+$G$6</f>
        <v>-0.00663495165862062</v>
      </c>
    </row>
    <row r="1535" customFormat="false" ht="15" hidden="false" customHeight="false" outlineLevel="0" collapsed="false">
      <c r="L1535" s="31" t="n">
        <f aca="true">NORMSINV(RAND())*$G$7+$G$6</f>
        <v>5.3923708148738E-005</v>
      </c>
    </row>
    <row r="1536" customFormat="false" ht="15" hidden="false" customHeight="false" outlineLevel="0" collapsed="false">
      <c r="L1536" s="31" t="n">
        <f aca="true">NORMSINV(RAND())*$G$7+$G$6</f>
        <v>0.0109018773453416</v>
      </c>
    </row>
    <row r="1537" customFormat="false" ht="15" hidden="false" customHeight="false" outlineLevel="0" collapsed="false">
      <c r="L1537" s="31" t="n">
        <f aca="true">NORMSINV(RAND())*$G$7+$G$6</f>
        <v>-0.00420913300354926</v>
      </c>
    </row>
    <row r="1538" customFormat="false" ht="15" hidden="false" customHeight="false" outlineLevel="0" collapsed="false">
      <c r="L1538" s="31" t="n">
        <f aca="true">NORMSINV(RAND())*$G$7+$G$6</f>
        <v>-0.0053453931082244</v>
      </c>
    </row>
    <row r="1539" customFormat="false" ht="15" hidden="false" customHeight="false" outlineLevel="0" collapsed="false">
      <c r="L1539" s="31" t="n">
        <f aca="true">NORMSINV(RAND())*$G$7+$G$6</f>
        <v>0.0186261575875593</v>
      </c>
    </row>
    <row r="1540" customFormat="false" ht="15" hidden="false" customHeight="false" outlineLevel="0" collapsed="false">
      <c r="L1540" s="31" t="n">
        <f aca="true">NORMSINV(RAND())*$G$7+$G$6</f>
        <v>0.0200874366511608</v>
      </c>
    </row>
    <row r="1541" customFormat="false" ht="15" hidden="false" customHeight="false" outlineLevel="0" collapsed="false">
      <c r="L1541" s="31" t="n">
        <f aca="true">NORMSINV(RAND())*$G$7+$G$6</f>
        <v>0.0128100974436655</v>
      </c>
    </row>
    <row r="1542" customFormat="false" ht="15" hidden="false" customHeight="false" outlineLevel="0" collapsed="false">
      <c r="L1542" s="31" t="n">
        <f aca="true">NORMSINV(RAND())*$G$7+$G$6</f>
        <v>-0.00840786160229724</v>
      </c>
    </row>
    <row r="1543" customFormat="false" ht="15" hidden="false" customHeight="false" outlineLevel="0" collapsed="false">
      <c r="L1543" s="31" t="n">
        <f aca="true">NORMSINV(RAND())*$G$7+$G$6</f>
        <v>0.0135407595714078</v>
      </c>
    </row>
    <row r="1544" customFormat="false" ht="15" hidden="false" customHeight="false" outlineLevel="0" collapsed="false">
      <c r="L1544" s="31" t="n">
        <f aca="true">NORMSINV(RAND())*$G$7+$G$6</f>
        <v>0.00220944521588238</v>
      </c>
    </row>
    <row r="1545" customFormat="false" ht="15" hidden="false" customHeight="false" outlineLevel="0" collapsed="false">
      <c r="L1545" s="31" t="n">
        <f aca="true">NORMSINV(RAND())*$G$7+$G$6</f>
        <v>-0.0151943270827489</v>
      </c>
    </row>
    <row r="1546" customFormat="false" ht="15" hidden="false" customHeight="false" outlineLevel="0" collapsed="false">
      <c r="L1546" s="31" t="n">
        <f aca="true">NORMSINV(RAND())*$G$7+$G$6</f>
        <v>-0.00254651286682132</v>
      </c>
    </row>
    <row r="1547" customFormat="false" ht="15" hidden="false" customHeight="false" outlineLevel="0" collapsed="false">
      <c r="L1547" s="31" t="n">
        <f aca="true">NORMSINV(RAND())*$G$7+$G$6</f>
        <v>-0.00278408389407444</v>
      </c>
    </row>
    <row r="1548" customFormat="false" ht="15" hidden="false" customHeight="false" outlineLevel="0" collapsed="false">
      <c r="L1548" s="31" t="n">
        <f aca="true">NORMSINV(RAND())*$G$7+$G$6</f>
        <v>0.00072501902576395</v>
      </c>
    </row>
    <row r="1549" customFormat="false" ht="15" hidden="false" customHeight="false" outlineLevel="0" collapsed="false">
      <c r="L1549" s="31" t="n">
        <f aca="true">NORMSINV(RAND())*$G$7+$G$6</f>
        <v>0.0307476953304874</v>
      </c>
    </row>
    <row r="1550" customFormat="false" ht="15" hidden="false" customHeight="false" outlineLevel="0" collapsed="false">
      <c r="L1550" s="31" t="n">
        <f aca="true">NORMSINV(RAND())*$G$7+$G$6</f>
        <v>0.00122677919804832</v>
      </c>
    </row>
    <row r="1551" customFormat="false" ht="15" hidden="false" customHeight="false" outlineLevel="0" collapsed="false">
      <c r="L1551" s="31" t="n">
        <f aca="true">NORMSINV(RAND())*$G$7+$G$6</f>
        <v>0.0147417664771161</v>
      </c>
    </row>
    <row r="1552" customFormat="false" ht="15" hidden="false" customHeight="false" outlineLevel="0" collapsed="false">
      <c r="L1552" s="31" t="n">
        <f aca="true">NORMSINV(RAND())*$G$7+$G$6</f>
        <v>0.000732100750768222</v>
      </c>
    </row>
    <row r="1553" customFormat="false" ht="15" hidden="false" customHeight="false" outlineLevel="0" collapsed="false">
      <c r="L1553" s="31" t="n">
        <f aca="true">NORMSINV(RAND())*$G$7+$G$6</f>
        <v>-0.0141603175603396</v>
      </c>
    </row>
    <row r="1554" customFormat="false" ht="15" hidden="false" customHeight="false" outlineLevel="0" collapsed="false">
      <c r="L1554" s="31" t="n">
        <f aca="true">NORMSINV(RAND())*$G$7+$G$6</f>
        <v>-0.00664088729562984</v>
      </c>
    </row>
    <row r="1555" customFormat="false" ht="15" hidden="false" customHeight="false" outlineLevel="0" collapsed="false">
      <c r="L1555" s="31" t="n">
        <f aca="true">NORMSINV(RAND())*$G$7+$G$6</f>
        <v>0.00968667219545924</v>
      </c>
    </row>
    <row r="1556" customFormat="false" ht="15" hidden="false" customHeight="false" outlineLevel="0" collapsed="false">
      <c r="L1556" s="31" t="n">
        <f aca="true">NORMSINV(RAND())*$G$7+$G$6</f>
        <v>-0.0238145838903343</v>
      </c>
    </row>
    <row r="1557" customFormat="false" ht="15" hidden="false" customHeight="false" outlineLevel="0" collapsed="false">
      <c r="L1557" s="31" t="n">
        <f aca="true">NORMSINV(RAND())*$G$7+$G$6</f>
        <v>0.00610538197106968</v>
      </c>
    </row>
    <row r="1558" customFormat="false" ht="15" hidden="false" customHeight="false" outlineLevel="0" collapsed="false">
      <c r="L1558" s="31" t="n">
        <f aca="true">NORMSINV(RAND())*$G$7+$G$6</f>
        <v>-0.0141494475236188</v>
      </c>
    </row>
    <row r="1559" customFormat="false" ht="15" hidden="false" customHeight="false" outlineLevel="0" collapsed="false">
      <c r="L1559" s="31" t="n">
        <f aca="true">NORMSINV(RAND())*$G$7+$G$6</f>
        <v>0.000278706407090948</v>
      </c>
    </row>
    <row r="1560" customFormat="false" ht="15" hidden="false" customHeight="false" outlineLevel="0" collapsed="false">
      <c r="L1560" s="31" t="n">
        <f aca="true">NORMSINV(RAND())*$G$7+$G$6</f>
        <v>-0.00305888645322979</v>
      </c>
    </row>
    <row r="1561" customFormat="false" ht="15" hidden="false" customHeight="false" outlineLevel="0" collapsed="false">
      <c r="L1561" s="31" t="n">
        <f aca="true">NORMSINV(RAND())*$G$7+$G$6</f>
        <v>0.0256843906545021</v>
      </c>
    </row>
    <row r="1562" customFormat="false" ht="15" hidden="false" customHeight="false" outlineLevel="0" collapsed="false">
      <c r="L1562" s="31" t="n">
        <f aca="true">NORMSINV(RAND())*$G$7+$G$6</f>
        <v>-0.00772375779091203</v>
      </c>
    </row>
    <row r="1563" customFormat="false" ht="15" hidden="false" customHeight="false" outlineLevel="0" collapsed="false">
      <c r="L1563" s="31" t="n">
        <f aca="true">NORMSINV(RAND())*$G$7+$G$6</f>
        <v>-0.00726795730415948</v>
      </c>
    </row>
    <row r="1564" customFormat="false" ht="15" hidden="false" customHeight="false" outlineLevel="0" collapsed="false">
      <c r="L1564" s="31" t="n">
        <f aca="true">NORMSINV(RAND())*$G$7+$G$6</f>
        <v>0.0136081138961296</v>
      </c>
    </row>
    <row r="1565" customFormat="false" ht="15" hidden="false" customHeight="false" outlineLevel="0" collapsed="false">
      <c r="L1565" s="31" t="n">
        <f aca="true">NORMSINV(RAND())*$G$7+$G$6</f>
        <v>0.015827644769966</v>
      </c>
    </row>
    <row r="1566" customFormat="false" ht="15" hidden="false" customHeight="false" outlineLevel="0" collapsed="false">
      <c r="L1566" s="31" t="n">
        <f aca="true">NORMSINV(RAND())*$G$7+$G$6</f>
        <v>0.0380064553972976</v>
      </c>
    </row>
    <row r="1567" customFormat="false" ht="15" hidden="false" customHeight="false" outlineLevel="0" collapsed="false">
      <c r="L1567" s="31" t="n">
        <f aca="true">NORMSINV(RAND())*$G$7+$G$6</f>
        <v>-0.00581552208490405</v>
      </c>
    </row>
    <row r="1568" customFormat="false" ht="15" hidden="false" customHeight="false" outlineLevel="0" collapsed="false">
      <c r="L1568" s="31" t="n">
        <f aca="true">NORMSINV(RAND())*$G$7+$G$6</f>
        <v>0.00266858087915727</v>
      </c>
    </row>
    <row r="1569" customFormat="false" ht="15" hidden="false" customHeight="false" outlineLevel="0" collapsed="false">
      <c r="L1569" s="31" t="n">
        <f aca="true">NORMSINV(RAND())*$G$7+$G$6</f>
        <v>-0.004416952419687</v>
      </c>
    </row>
    <row r="1570" customFormat="false" ht="15" hidden="false" customHeight="false" outlineLevel="0" collapsed="false">
      <c r="L1570" s="31" t="n">
        <f aca="true">NORMSINV(RAND())*$G$7+$G$6</f>
        <v>-0.0158835816651491</v>
      </c>
    </row>
    <row r="1571" customFormat="false" ht="15" hidden="false" customHeight="false" outlineLevel="0" collapsed="false">
      <c r="L1571" s="31" t="n">
        <f aca="true">NORMSINV(RAND())*$G$7+$G$6</f>
        <v>0.00360143379228121</v>
      </c>
    </row>
    <row r="1572" customFormat="false" ht="15" hidden="false" customHeight="false" outlineLevel="0" collapsed="false">
      <c r="L1572" s="31" t="n">
        <f aca="true">NORMSINV(RAND())*$G$7+$G$6</f>
        <v>0.00154740781919971</v>
      </c>
    </row>
    <row r="1573" customFormat="false" ht="15" hidden="false" customHeight="false" outlineLevel="0" collapsed="false">
      <c r="L1573" s="31" t="n">
        <f aca="true">NORMSINV(RAND())*$G$7+$G$6</f>
        <v>0.0187433026567893</v>
      </c>
    </row>
    <row r="1574" customFormat="false" ht="15" hidden="false" customHeight="false" outlineLevel="0" collapsed="false">
      <c r="L1574" s="31" t="n">
        <f aca="true">NORMSINV(RAND())*$G$7+$G$6</f>
        <v>0.0119507811134415</v>
      </c>
    </row>
    <row r="1575" customFormat="false" ht="15" hidden="false" customHeight="false" outlineLevel="0" collapsed="false">
      <c r="L1575" s="31" t="n">
        <f aca="true">NORMSINV(RAND())*$G$7+$G$6</f>
        <v>0.0170111191835001</v>
      </c>
    </row>
    <row r="1576" customFormat="false" ht="15" hidden="false" customHeight="false" outlineLevel="0" collapsed="false">
      <c r="L1576" s="31" t="n">
        <f aca="true">NORMSINV(RAND())*$G$7+$G$6</f>
        <v>0.00517295945659951</v>
      </c>
    </row>
    <row r="1577" customFormat="false" ht="15" hidden="false" customHeight="false" outlineLevel="0" collapsed="false">
      <c r="L1577" s="31" t="n">
        <f aca="true">NORMSINV(RAND())*$G$7+$G$6</f>
        <v>0.00232068349395493</v>
      </c>
    </row>
    <row r="1578" customFormat="false" ht="15" hidden="false" customHeight="false" outlineLevel="0" collapsed="false">
      <c r="L1578" s="31" t="n">
        <f aca="true">NORMSINV(RAND())*$G$7+$G$6</f>
        <v>0.00193662445892729</v>
      </c>
    </row>
    <row r="1579" customFormat="false" ht="15" hidden="false" customHeight="false" outlineLevel="0" collapsed="false">
      <c r="L1579" s="31" t="n">
        <f aca="true">NORMSINV(RAND())*$G$7+$G$6</f>
        <v>0.00564273410658231</v>
      </c>
    </row>
    <row r="1580" customFormat="false" ht="15" hidden="false" customHeight="false" outlineLevel="0" collapsed="false">
      <c r="L1580" s="31" t="n">
        <f aca="true">NORMSINV(RAND())*$G$7+$G$6</f>
        <v>0.0180682492684608</v>
      </c>
    </row>
    <row r="1581" customFormat="false" ht="15" hidden="false" customHeight="false" outlineLevel="0" collapsed="false">
      <c r="L1581" s="31" t="n">
        <f aca="true">NORMSINV(RAND())*$G$7+$G$6</f>
        <v>0.00599398360596178</v>
      </c>
    </row>
    <row r="1582" customFormat="false" ht="15" hidden="false" customHeight="false" outlineLevel="0" collapsed="false">
      <c r="L1582" s="31" t="n">
        <f aca="true">NORMSINV(RAND())*$G$7+$G$6</f>
        <v>0.0210557935624539</v>
      </c>
    </row>
    <row r="1583" customFormat="false" ht="15" hidden="false" customHeight="false" outlineLevel="0" collapsed="false">
      <c r="L1583" s="31" t="n">
        <f aca="true">NORMSINV(RAND())*$G$7+$G$6</f>
        <v>8.77960537939194E-005</v>
      </c>
    </row>
    <row r="1584" customFormat="false" ht="15" hidden="false" customHeight="false" outlineLevel="0" collapsed="false">
      <c r="L1584" s="31" t="n">
        <f aca="true">NORMSINV(RAND())*$G$7+$G$6</f>
        <v>-0.00201085097414784</v>
      </c>
    </row>
    <row r="1585" customFormat="false" ht="15" hidden="false" customHeight="false" outlineLevel="0" collapsed="false">
      <c r="L1585" s="31" t="n">
        <f aca="true">NORMSINV(RAND())*$G$7+$G$6</f>
        <v>-0.00400627441461931</v>
      </c>
    </row>
    <row r="1586" customFormat="false" ht="15" hidden="false" customHeight="false" outlineLevel="0" collapsed="false">
      <c r="L1586" s="31" t="n">
        <f aca="true">NORMSINV(RAND())*$G$7+$G$6</f>
        <v>0.000861372832307359</v>
      </c>
    </row>
    <row r="1587" customFormat="false" ht="15" hidden="false" customHeight="false" outlineLevel="0" collapsed="false">
      <c r="L1587" s="31" t="n">
        <f aca="true">NORMSINV(RAND())*$G$7+$G$6</f>
        <v>0.00591593687878452</v>
      </c>
    </row>
    <row r="1588" customFormat="false" ht="15" hidden="false" customHeight="false" outlineLevel="0" collapsed="false">
      <c r="L1588" s="31" t="n">
        <f aca="true">NORMSINV(RAND())*$G$7+$G$6</f>
        <v>-0.0055414896878355</v>
      </c>
    </row>
    <row r="1589" customFormat="false" ht="15" hidden="false" customHeight="false" outlineLevel="0" collapsed="false">
      <c r="L1589" s="31" t="n">
        <f aca="true">NORMSINV(RAND())*$G$7+$G$6</f>
        <v>0.0117808322744087</v>
      </c>
    </row>
    <row r="1590" customFormat="false" ht="15" hidden="false" customHeight="false" outlineLevel="0" collapsed="false">
      <c r="L1590" s="31" t="n">
        <f aca="true">NORMSINV(RAND())*$G$7+$G$6</f>
        <v>0.00654468473708527</v>
      </c>
    </row>
    <row r="1591" customFormat="false" ht="15" hidden="false" customHeight="false" outlineLevel="0" collapsed="false">
      <c r="L1591" s="31" t="n">
        <f aca="true">NORMSINV(RAND())*$G$7+$G$6</f>
        <v>-0.00394159249512695</v>
      </c>
    </row>
    <row r="1592" customFormat="false" ht="15" hidden="false" customHeight="false" outlineLevel="0" collapsed="false">
      <c r="L1592" s="31" t="n">
        <f aca="true">NORMSINV(RAND())*$G$7+$G$6</f>
        <v>0.00547374748073911</v>
      </c>
    </row>
    <row r="1593" customFormat="false" ht="15" hidden="false" customHeight="false" outlineLevel="0" collapsed="false">
      <c r="L1593" s="31" t="n">
        <f aca="true">NORMSINV(RAND())*$G$7+$G$6</f>
        <v>0.00768912646551677</v>
      </c>
    </row>
    <row r="1594" customFormat="false" ht="15" hidden="false" customHeight="false" outlineLevel="0" collapsed="false">
      <c r="L1594" s="31" t="n">
        <f aca="true">NORMSINV(RAND())*$G$7+$G$6</f>
        <v>-0.00401438143006663</v>
      </c>
    </row>
    <row r="1595" customFormat="false" ht="15" hidden="false" customHeight="false" outlineLevel="0" collapsed="false">
      <c r="L1595" s="31" t="n">
        <f aca="true">NORMSINV(RAND())*$G$7+$G$6</f>
        <v>0.00268402663472667</v>
      </c>
    </row>
    <row r="1596" customFormat="false" ht="15" hidden="false" customHeight="false" outlineLevel="0" collapsed="false">
      <c r="L1596" s="31" t="n">
        <f aca="true">NORMSINV(RAND())*$G$7+$G$6</f>
        <v>0.0129634812116463</v>
      </c>
    </row>
    <row r="1597" customFormat="false" ht="15" hidden="false" customHeight="false" outlineLevel="0" collapsed="false">
      <c r="L1597" s="31" t="n">
        <f aca="true">NORMSINV(RAND())*$G$7+$G$6</f>
        <v>-0.00599043605896008</v>
      </c>
    </row>
    <row r="1598" customFormat="false" ht="15" hidden="false" customHeight="false" outlineLevel="0" collapsed="false">
      <c r="L1598" s="31" t="n">
        <f aca="true">NORMSINV(RAND())*$G$7+$G$6</f>
        <v>0.00503269823297704</v>
      </c>
    </row>
    <row r="1599" customFormat="false" ht="15" hidden="false" customHeight="false" outlineLevel="0" collapsed="false">
      <c r="L1599" s="31" t="n">
        <f aca="true">NORMSINV(RAND())*$G$7+$G$6</f>
        <v>-0.000584771946515644</v>
      </c>
    </row>
    <row r="1600" customFormat="false" ht="15" hidden="false" customHeight="false" outlineLevel="0" collapsed="false">
      <c r="L1600" s="31" t="n">
        <f aca="true">NORMSINV(RAND())*$G$7+$G$6</f>
        <v>-0.00405557351391772</v>
      </c>
    </row>
    <row r="1601" customFormat="false" ht="15" hidden="false" customHeight="false" outlineLevel="0" collapsed="false">
      <c r="L1601" s="31" t="n">
        <f aca="true">NORMSINV(RAND())*$G$7+$G$6</f>
        <v>-0.000726981104347247</v>
      </c>
    </row>
    <row r="1602" customFormat="false" ht="15" hidden="false" customHeight="false" outlineLevel="0" collapsed="false">
      <c r="L1602" s="31" t="n">
        <f aca="true">NORMSINV(RAND())*$G$7+$G$6</f>
        <v>0.00595102052551009</v>
      </c>
    </row>
    <row r="1603" customFormat="false" ht="15" hidden="false" customHeight="false" outlineLevel="0" collapsed="false">
      <c r="L1603" s="31" t="n">
        <f aca="true">NORMSINV(RAND())*$G$7+$G$6</f>
        <v>-0.00631028653968094</v>
      </c>
    </row>
    <row r="1604" customFormat="false" ht="15" hidden="false" customHeight="false" outlineLevel="0" collapsed="false">
      <c r="L1604" s="31" t="n">
        <f aca="true">NORMSINV(RAND())*$G$7+$G$6</f>
        <v>0.0192978220744165</v>
      </c>
    </row>
    <row r="1605" customFormat="false" ht="15" hidden="false" customHeight="false" outlineLevel="0" collapsed="false">
      <c r="L1605" s="31" t="n">
        <f aca="true">NORMSINV(RAND())*$G$7+$G$6</f>
        <v>0.00373926775961862</v>
      </c>
    </row>
    <row r="1606" customFormat="false" ht="15" hidden="false" customHeight="false" outlineLevel="0" collapsed="false">
      <c r="L1606" s="31" t="n">
        <f aca="true">NORMSINV(RAND())*$G$7+$G$6</f>
        <v>0.00825579626428254</v>
      </c>
    </row>
    <row r="1607" customFormat="false" ht="15" hidden="false" customHeight="false" outlineLevel="0" collapsed="false">
      <c r="L1607" s="31" t="n">
        <f aca="true">NORMSINV(RAND())*$G$7+$G$6</f>
        <v>-0.0191480174879485</v>
      </c>
    </row>
    <row r="1608" customFormat="false" ht="15" hidden="false" customHeight="false" outlineLevel="0" collapsed="false">
      <c r="L1608" s="31" t="n">
        <f aca="true">NORMSINV(RAND())*$G$7+$G$6</f>
        <v>-0.00644470128661166</v>
      </c>
    </row>
    <row r="1609" customFormat="false" ht="15" hidden="false" customHeight="false" outlineLevel="0" collapsed="false">
      <c r="L1609" s="31" t="n">
        <f aca="true">NORMSINV(RAND())*$G$7+$G$6</f>
        <v>-0.016711451269177</v>
      </c>
    </row>
    <row r="1610" customFormat="false" ht="15" hidden="false" customHeight="false" outlineLevel="0" collapsed="false">
      <c r="L1610" s="31" t="n">
        <f aca="true">NORMSINV(RAND())*$G$7+$G$6</f>
        <v>0.00737155777453978</v>
      </c>
    </row>
    <row r="1611" customFormat="false" ht="15" hidden="false" customHeight="false" outlineLevel="0" collapsed="false">
      <c r="L1611" s="31" t="n">
        <f aca="true">NORMSINV(RAND())*$G$7+$G$6</f>
        <v>0.0126881349395249</v>
      </c>
    </row>
    <row r="1612" customFormat="false" ht="15" hidden="false" customHeight="false" outlineLevel="0" collapsed="false">
      <c r="L1612" s="31" t="n">
        <f aca="true">NORMSINV(RAND())*$G$7+$G$6</f>
        <v>0.00540895869253176</v>
      </c>
    </row>
    <row r="1613" customFormat="false" ht="15" hidden="false" customHeight="false" outlineLevel="0" collapsed="false">
      <c r="L1613" s="31" t="n">
        <f aca="true">NORMSINV(RAND())*$G$7+$G$6</f>
        <v>0.00854735231515499</v>
      </c>
    </row>
    <row r="1614" customFormat="false" ht="15" hidden="false" customHeight="false" outlineLevel="0" collapsed="false">
      <c r="L1614" s="31" t="n">
        <f aca="true">NORMSINV(RAND())*$G$7+$G$6</f>
        <v>-0.0312411172155157</v>
      </c>
    </row>
    <row r="1615" customFormat="false" ht="15" hidden="false" customHeight="false" outlineLevel="0" collapsed="false">
      <c r="L1615" s="31" t="n">
        <f aca="true">NORMSINV(RAND())*$G$7+$G$6</f>
        <v>0.0140813046928172</v>
      </c>
    </row>
    <row r="1616" customFormat="false" ht="15" hidden="false" customHeight="false" outlineLevel="0" collapsed="false">
      <c r="L1616" s="31" t="n">
        <f aca="true">NORMSINV(RAND())*$G$7+$G$6</f>
        <v>-0.012281471688759</v>
      </c>
    </row>
    <row r="1617" customFormat="false" ht="15" hidden="false" customHeight="false" outlineLevel="0" collapsed="false">
      <c r="L1617" s="31" t="n">
        <f aca="true">NORMSINV(RAND())*$G$7+$G$6</f>
        <v>-0.00542076765803202</v>
      </c>
    </row>
    <row r="1618" customFormat="false" ht="15" hidden="false" customHeight="false" outlineLevel="0" collapsed="false">
      <c r="L1618" s="31" t="n">
        <f aca="true">NORMSINV(RAND())*$G$7+$G$6</f>
        <v>-0.00406443735667177</v>
      </c>
    </row>
    <row r="1619" customFormat="false" ht="15" hidden="false" customHeight="false" outlineLevel="0" collapsed="false">
      <c r="L1619" s="31" t="n">
        <f aca="true">NORMSINV(RAND())*$G$7+$G$6</f>
        <v>0.00302425630895728</v>
      </c>
    </row>
    <row r="1620" customFormat="false" ht="15" hidden="false" customHeight="false" outlineLevel="0" collapsed="false">
      <c r="L1620" s="31" t="n">
        <f aca="true">NORMSINV(RAND())*$G$7+$G$6</f>
        <v>-0.00489823496456907</v>
      </c>
    </row>
    <row r="1621" customFormat="false" ht="15" hidden="false" customHeight="false" outlineLevel="0" collapsed="false">
      <c r="L1621" s="31" t="n">
        <f aca="true">NORMSINV(RAND())*$G$7+$G$6</f>
        <v>0.0240679247638773</v>
      </c>
    </row>
    <row r="1622" customFormat="false" ht="15" hidden="false" customHeight="false" outlineLevel="0" collapsed="false">
      <c r="L1622" s="31" t="n">
        <f aca="true">NORMSINV(RAND())*$G$7+$G$6</f>
        <v>-0.00615120157452172</v>
      </c>
    </row>
    <row r="1623" customFormat="false" ht="15" hidden="false" customHeight="false" outlineLevel="0" collapsed="false">
      <c r="L1623" s="31" t="n">
        <f aca="true">NORMSINV(RAND())*$G$7+$G$6</f>
        <v>0.00995444061445498</v>
      </c>
    </row>
    <row r="1624" customFormat="false" ht="15" hidden="false" customHeight="false" outlineLevel="0" collapsed="false">
      <c r="L1624" s="31" t="n">
        <f aca="true">NORMSINV(RAND())*$G$7+$G$6</f>
        <v>0.0127397655165333</v>
      </c>
    </row>
    <row r="1625" customFormat="false" ht="15" hidden="false" customHeight="false" outlineLevel="0" collapsed="false">
      <c r="L1625" s="31" t="n">
        <f aca="true">NORMSINV(RAND())*$G$7+$G$6</f>
        <v>-0.00360131347855299</v>
      </c>
    </row>
    <row r="1626" customFormat="false" ht="15" hidden="false" customHeight="false" outlineLevel="0" collapsed="false">
      <c r="L1626" s="31" t="n">
        <f aca="true">NORMSINV(RAND())*$G$7+$G$6</f>
        <v>0.0160435555619186</v>
      </c>
    </row>
    <row r="1627" customFormat="false" ht="15" hidden="false" customHeight="false" outlineLevel="0" collapsed="false">
      <c r="L1627" s="31" t="n">
        <f aca="true">NORMSINV(RAND())*$G$7+$G$6</f>
        <v>-0.0223562194104537</v>
      </c>
    </row>
    <row r="1628" customFormat="false" ht="15" hidden="false" customHeight="false" outlineLevel="0" collapsed="false">
      <c r="L1628" s="31" t="n">
        <f aca="true">NORMSINV(RAND())*$G$7+$G$6</f>
        <v>0.00156510486753012</v>
      </c>
    </row>
    <row r="1629" customFormat="false" ht="15" hidden="false" customHeight="false" outlineLevel="0" collapsed="false">
      <c r="L1629" s="31" t="n">
        <f aca="true">NORMSINV(RAND())*$G$7+$G$6</f>
        <v>-0.013142695066979</v>
      </c>
    </row>
    <row r="1630" customFormat="false" ht="15" hidden="false" customHeight="false" outlineLevel="0" collapsed="false">
      <c r="L1630" s="31" t="n">
        <f aca="true">NORMSINV(RAND())*$G$7+$G$6</f>
        <v>-0.00847098540590899</v>
      </c>
    </row>
    <row r="1631" customFormat="false" ht="15" hidden="false" customHeight="false" outlineLevel="0" collapsed="false">
      <c r="L1631" s="31" t="n">
        <f aca="true">NORMSINV(RAND())*$G$7+$G$6</f>
        <v>0.00534437138582679</v>
      </c>
    </row>
    <row r="1632" customFormat="false" ht="15" hidden="false" customHeight="false" outlineLevel="0" collapsed="false">
      <c r="L1632" s="31" t="n">
        <f aca="true">NORMSINV(RAND())*$G$7+$G$6</f>
        <v>-0.0251994809865719</v>
      </c>
    </row>
    <row r="1633" customFormat="false" ht="15" hidden="false" customHeight="false" outlineLevel="0" collapsed="false">
      <c r="L1633" s="31" t="n">
        <f aca="true">NORMSINV(RAND())*$G$7+$G$6</f>
        <v>0.0132969810241498</v>
      </c>
    </row>
    <row r="1634" customFormat="false" ht="15" hidden="false" customHeight="false" outlineLevel="0" collapsed="false">
      <c r="L1634" s="31" t="n">
        <f aca="true">NORMSINV(RAND())*$G$7+$G$6</f>
        <v>0.0217111604568456</v>
      </c>
    </row>
    <row r="1635" customFormat="false" ht="15" hidden="false" customHeight="false" outlineLevel="0" collapsed="false">
      <c r="L1635" s="31" t="n">
        <f aca="true">NORMSINV(RAND())*$G$7+$G$6</f>
        <v>-0.000753089096552096</v>
      </c>
    </row>
    <row r="1636" customFormat="false" ht="15" hidden="false" customHeight="false" outlineLevel="0" collapsed="false">
      <c r="L1636" s="31" t="n">
        <f aca="true">NORMSINV(RAND())*$G$7+$G$6</f>
        <v>-0.00112446017586272</v>
      </c>
    </row>
    <row r="1637" customFormat="false" ht="15" hidden="false" customHeight="false" outlineLevel="0" collapsed="false">
      <c r="L1637" s="31" t="n">
        <f aca="true">NORMSINV(RAND())*$G$7+$G$6</f>
        <v>0.0263138716752044</v>
      </c>
    </row>
    <row r="1638" customFormat="false" ht="15" hidden="false" customHeight="false" outlineLevel="0" collapsed="false">
      <c r="L1638" s="31" t="n">
        <f aca="true">NORMSINV(RAND())*$G$7+$G$6</f>
        <v>0.0189400181191762</v>
      </c>
    </row>
    <row r="1639" customFormat="false" ht="15" hidden="false" customHeight="false" outlineLevel="0" collapsed="false">
      <c r="L1639" s="31" t="n">
        <f aca="true">NORMSINV(RAND())*$G$7+$G$6</f>
        <v>0.0308748500728762</v>
      </c>
    </row>
    <row r="1640" customFormat="false" ht="15" hidden="false" customHeight="false" outlineLevel="0" collapsed="false">
      <c r="L1640" s="31" t="n">
        <f aca="true">NORMSINV(RAND())*$G$7+$G$6</f>
        <v>0.00114140994135696</v>
      </c>
    </row>
    <row r="1641" customFormat="false" ht="15" hidden="false" customHeight="false" outlineLevel="0" collapsed="false">
      <c r="L1641" s="31" t="n">
        <f aca="true">NORMSINV(RAND())*$G$7+$G$6</f>
        <v>-0.00456024095761802</v>
      </c>
    </row>
    <row r="1642" customFormat="false" ht="15" hidden="false" customHeight="false" outlineLevel="0" collapsed="false">
      <c r="L1642" s="31" t="n">
        <f aca="true">NORMSINV(RAND())*$G$7+$G$6</f>
        <v>-0.000886988955543318</v>
      </c>
    </row>
    <row r="1643" customFormat="false" ht="15" hidden="false" customHeight="false" outlineLevel="0" collapsed="false">
      <c r="L1643" s="31" t="n">
        <f aca="true">NORMSINV(RAND())*$G$7+$G$6</f>
        <v>-0.00676646414696289</v>
      </c>
    </row>
    <row r="1644" customFormat="false" ht="15" hidden="false" customHeight="false" outlineLevel="0" collapsed="false">
      <c r="L1644" s="31" t="n">
        <f aca="true">NORMSINV(RAND())*$G$7+$G$6</f>
        <v>-0.00312094188005515</v>
      </c>
    </row>
    <row r="1645" customFormat="false" ht="15" hidden="false" customHeight="false" outlineLevel="0" collapsed="false">
      <c r="L1645" s="31" t="n">
        <f aca="true">NORMSINV(RAND())*$G$7+$G$6</f>
        <v>0.0206106176988508</v>
      </c>
    </row>
    <row r="1646" customFormat="false" ht="15" hidden="false" customHeight="false" outlineLevel="0" collapsed="false">
      <c r="L1646" s="31" t="n">
        <f aca="true">NORMSINV(RAND())*$G$7+$G$6</f>
        <v>-0.0143955294778071</v>
      </c>
    </row>
    <row r="1647" customFormat="false" ht="15" hidden="false" customHeight="false" outlineLevel="0" collapsed="false">
      <c r="L1647" s="31" t="n">
        <f aca="true">NORMSINV(RAND())*$G$7+$G$6</f>
        <v>0.00123057524413752</v>
      </c>
    </row>
    <row r="1648" customFormat="false" ht="15" hidden="false" customHeight="false" outlineLevel="0" collapsed="false">
      <c r="L1648" s="31" t="n">
        <f aca="true">NORMSINV(RAND())*$G$7+$G$6</f>
        <v>0.0242272765907256</v>
      </c>
    </row>
    <row r="1649" customFormat="false" ht="15" hidden="false" customHeight="false" outlineLevel="0" collapsed="false">
      <c r="L1649" s="31" t="n">
        <f aca="true">NORMSINV(RAND())*$G$7+$G$6</f>
        <v>0.0142736870919718</v>
      </c>
    </row>
    <row r="1650" customFormat="false" ht="15" hidden="false" customHeight="false" outlineLevel="0" collapsed="false">
      <c r="L1650" s="31" t="n">
        <f aca="true">NORMSINV(RAND())*$G$7+$G$6</f>
        <v>0.0129011766812359</v>
      </c>
    </row>
    <row r="1651" customFormat="false" ht="15" hidden="false" customHeight="false" outlineLevel="0" collapsed="false">
      <c r="L1651" s="31" t="n">
        <f aca="true">NORMSINV(RAND())*$G$7+$G$6</f>
        <v>-0.00691036093619393</v>
      </c>
    </row>
    <row r="1652" customFormat="false" ht="15" hidden="false" customHeight="false" outlineLevel="0" collapsed="false">
      <c r="L1652" s="31" t="n">
        <f aca="true">NORMSINV(RAND())*$G$7+$G$6</f>
        <v>-0.0177015272832395</v>
      </c>
    </row>
    <row r="1653" customFormat="false" ht="15" hidden="false" customHeight="false" outlineLevel="0" collapsed="false">
      <c r="L1653" s="31" t="n">
        <f aca="true">NORMSINV(RAND())*$G$7+$G$6</f>
        <v>0.0235023697618776</v>
      </c>
    </row>
    <row r="1654" customFormat="false" ht="15" hidden="false" customHeight="false" outlineLevel="0" collapsed="false">
      <c r="L1654" s="31" t="n">
        <f aca="true">NORMSINV(RAND())*$G$7+$G$6</f>
        <v>0.00585640206775209</v>
      </c>
    </row>
    <row r="1655" customFormat="false" ht="15" hidden="false" customHeight="false" outlineLevel="0" collapsed="false">
      <c r="L1655" s="31" t="n">
        <f aca="true">NORMSINV(RAND())*$G$7+$G$6</f>
        <v>-0.0154163748850607</v>
      </c>
    </row>
    <row r="1656" customFormat="false" ht="15" hidden="false" customHeight="false" outlineLevel="0" collapsed="false">
      <c r="L1656" s="31" t="n">
        <f aca="true">NORMSINV(RAND())*$G$7+$G$6</f>
        <v>0.0110985025795225</v>
      </c>
    </row>
    <row r="1657" customFormat="false" ht="15" hidden="false" customHeight="false" outlineLevel="0" collapsed="false">
      <c r="L1657" s="31" t="n">
        <f aca="true">NORMSINV(RAND())*$G$7+$G$6</f>
        <v>0.0122019208091897</v>
      </c>
    </row>
    <row r="1658" customFormat="false" ht="15" hidden="false" customHeight="false" outlineLevel="0" collapsed="false">
      <c r="L1658" s="31" t="n">
        <f aca="true">NORMSINV(RAND())*$G$7+$G$6</f>
        <v>0.00450701074850906</v>
      </c>
    </row>
    <row r="1659" customFormat="false" ht="15" hidden="false" customHeight="false" outlineLevel="0" collapsed="false">
      <c r="L1659" s="31" t="n">
        <f aca="true">NORMSINV(RAND())*$G$7+$G$6</f>
        <v>-0.000675106933643131</v>
      </c>
    </row>
    <row r="1660" customFormat="false" ht="15" hidden="false" customHeight="false" outlineLevel="0" collapsed="false">
      <c r="L1660" s="31" t="n">
        <f aca="true">NORMSINV(RAND())*$G$7+$G$6</f>
        <v>0.0243115694876405</v>
      </c>
    </row>
    <row r="1661" customFormat="false" ht="15" hidden="false" customHeight="false" outlineLevel="0" collapsed="false">
      <c r="L1661" s="31" t="n">
        <f aca="true">NORMSINV(RAND())*$G$7+$G$6</f>
        <v>0.0131023272585648</v>
      </c>
    </row>
    <row r="1662" customFormat="false" ht="15" hidden="false" customHeight="false" outlineLevel="0" collapsed="false">
      <c r="L1662" s="31" t="n">
        <f aca="true">NORMSINV(RAND())*$G$7+$G$6</f>
        <v>-0.0232384421193635</v>
      </c>
    </row>
    <row r="1663" customFormat="false" ht="15" hidden="false" customHeight="false" outlineLevel="0" collapsed="false">
      <c r="L1663" s="31" t="n">
        <f aca="true">NORMSINV(RAND())*$G$7+$G$6</f>
        <v>-0.0252911480405765</v>
      </c>
    </row>
    <row r="1664" customFormat="false" ht="15" hidden="false" customHeight="false" outlineLevel="0" collapsed="false">
      <c r="L1664" s="31" t="n">
        <f aca="true">NORMSINV(RAND())*$G$7+$G$6</f>
        <v>0.0148022109276412</v>
      </c>
    </row>
    <row r="1665" customFormat="false" ht="15" hidden="false" customHeight="false" outlineLevel="0" collapsed="false">
      <c r="L1665" s="31" t="n">
        <f aca="true">NORMSINV(RAND())*$G$7+$G$6</f>
        <v>0.0026764498865406</v>
      </c>
    </row>
    <row r="1666" customFormat="false" ht="15" hidden="false" customHeight="false" outlineLevel="0" collapsed="false">
      <c r="L1666" s="31" t="n">
        <f aca="true">NORMSINV(RAND())*$G$7+$G$6</f>
        <v>-0.0101167823988041</v>
      </c>
    </row>
    <row r="1667" customFormat="false" ht="15" hidden="false" customHeight="false" outlineLevel="0" collapsed="false">
      <c r="L1667" s="31" t="n">
        <f aca="true">NORMSINV(RAND())*$G$7+$G$6</f>
        <v>-0.000673453867488421</v>
      </c>
    </row>
    <row r="1668" customFormat="false" ht="15" hidden="false" customHeight="false" outlineLevel="0" collapsed="false">
      <c r="L1668" s="31" t="n">
        <f aca="true">NORMSINV(RAND())*$G$7+$G$6</f>
        <v>-0.00601451277086661</v>
      </c>
    </row>
    <row r="1669" customFormat="false" ht="15" hidden="false" customHeight="false" outlineLevel="0" collapsed="false">
      <c r="L1669" s="31" t="n">
        <f aca="true">NORMSINV(RAND())*$G$7+$G$6</f>
        <v>0.010833592122211</v>
      </c>
    </row>
    <row r="1670" customFormat="false" ht="15" hidden="false" customHeight="false" outlineLevel="0" collapsed="false">
      <c r="L1670" s="31" t="n">
        <f aca="true">NORMSINV(RAND())*$G$7+$G$6</f>
        <v>0.0288902226886394</v>
      </c>
    </row>
    <row r="1671" customFormat="false" ht="15" hidden="false" customHeight="false" outlineLevel="0" collapsed="false">
      <c r="L1671" s="31" t="n">
        <f aca="true">NORMSINV(RAND())*$G$7+$G$6</f>
        <v>0.0053644032037138</v>
      </c>
    </row>
    <row r="1672" customFormat="false" ht="15" hidden="false" customHeight="false" outlineLevel="0" collapsed="false">
      <c r="L1672" s="31" t="n">
        <f aca="true">NORMSINV(RAND())*$G$7+$G$6</f>
        <v>-0.00243840408198917</v>
      </c>
    </row>
    <row r="1673" customFormat="false" ht="15" hidden="false" customHeight="false" outlineLevel="0" collapsed="false">
      <c r="L1673" s="31" t="n">
        <f aca="true">NORMSINV(RAND())*$G$7+$G$6</f>
        <v>0.000932745293076836</v>
      </c>
    </row>
    <row r="1674" customFormat="false" ht="15" hidden="false" customHeight="false" outlineLevel="0" collapsed="false">
      <c r="L1674" s="31" t="n">
        <f aca="true">NORMSINV(RAND())*$G$7+$G$6</f>
        <v>0.00906454230545941</v>
      </c>
    </row>
    <row r="1675" customFormat="false" ht="15" hidden="false" customHeight="false" outlineLevel="0" collapsed="false">
      <c r="L1675" s="31" t="n">
        <f aca="true">NORMSINV(RAND())*$G$7+$G$6</f>
        <v>-0.010120238193885</v>
      </c>
    </row>
    <row r="1676" customFormat="false" ht="15" hidden="false" customHeight="false" outlineLevel="0" collapsed="false">
      <c r="L1676" s="31" t="n">
        <f aca="true">NORMSINV(RAND())*$G$7+$G$6</f>
        <v>-0.0139704686218781</v>
      </c>
    </row>
    <row r="1677" customFormat="false" ht="15" hidden="false" customHeight="false" outlineLevel="0" collapsed="false">
      <c r="L1677" s="31" t="n">
        <f aca="true">NORMSINV(RAND())*$G$7+$G$6</f>
        <v>-0.0036005653211751</v>
      </c>
    </row>
    <row r="1678" customFormat="false" ht="15" hidden="false" customHeight="false" outlineLevel="0" collapsed="false">
      <c r="L1678" s="31" t="n">
        <f aca="true">NORMSINV(RAND())*$G$7+$G$6</f>
        <v>0.0113469739110669</v>
      </c>
    </row>
    <row r="1679" customFormat="false" ht="15" hidden="false" customHeight="false" outlineLevel="0" collapsed="false">
      <c r="L1679" s="31" t="n">
        <f aca="true">NORMSINV(RAND())*$G$7+$G$6</f>
        <v>0.0144566820824884</v>
      </c>
    </row>
    <row r="1680" customFormat="false" ht="15" hidden="false" customHeight="false" outlineLevel="0" collapsed="false">
      <c r="L1680" s="31" t="n">
        <f aca="true">NORMSINV(RAND())*$G$7+$G$6</f>
        <v>0.0223406522317635</v>
      </c>
    </row>
    <row r="1681" customFormat="false" ht="15" hidden="false" customHeight="false" outlineLevel="0" collapsed="false">
      <c r="L1681" s="31" t="n">
        <f aca="true">NORMSINV(RAND())*$G$7+$G$6</f>
        <v>0.00515632686627145</v>
      </c>
    </row>
    <row r="1682" customFormat="false" ht="15" hidden="false" customHeight="false" outlineLevel="0" collapsed="false">
      <c r="L1682" s="31" t="n">
        <f aca="true">NORMSINV(RAND())*$G$7+$G$6</f>
        <v>-0.00802243618599932</v>
      </c>
    </row>
    <row r="1683" customFormat="false" ht="15" hidden="false" customHeight="false" outlineLevel="0" collapsed="false">
      <c r="L1683" s="31" t="n">
        <f aca="true">NORMSINV(RAND())*$G$7+$G$6</f>
        <v>-0.0125369218836629</v>
      </c>
    </row>
    <row r="1684" customFormat="false" ht="15" hidden="false" customHeight="false" outlineLevel="0" collapsed="false">
      <c r="L1684" s="31" t="n">
        <f aca="true">NORMSINV(RAND())*$G$7+$G$6</f>
        <v>0.00889633767022816</v>
      </c>
    </row>
    <row r="1685" customFormat="false" ht="15" hidden="false" customHeight="false" outlineLevel="0" collapsed="false">
      <c r="L1685" s="31" t="n">
        <f aca="true">NORMSINV(RAND())*$G$7+$G$6</f>
        <v>0.0269378578842622</v>
      </c>
    </row>
    <row r="1686" customFormat="false" ht="15" hidden="false" customHeight="false" outlineLevel="0" collapsed="false">
      <c r="L1686" s="31" t="n">
        <f aca="true">NORMSINV(RAND())*$G$7+$G$6</f>
        <v>-0.0206227154844006</v>
      </c>
    </row>
    <row r="1687" customFormat="false" ht="15" hidden="false" customHeight="false" outlineLevel="0" collapsed="false">
      <c r="L1687" s="31" t="n">
        <f aca="true">NORMSINV(RAND())*$G$7+$G$6</f>
        <v>0.000107551368298141</v>
      </c>
    </row>
    <row r="1688" customFormat="false" ht="15" hidden="false" customHeight="false" outlineLevel="0" collapsed="false">
      <c r="L1688" s="31" t="n">
        <f aca="true">NORMSINV(RAND())*$G$7+$G$6</f>
        <v>-0.0025459961546179</v>
      </c>
    </row>
    <row r="1689" customFormat="false" ht="15" hidden="false" customHeight="false" outlineLevel="0" collapsed="false">
      <c r="L1689" s="31" t="n">
        <f aca="true">NORMSINV(RAND())*$G$7+$G$6</f>
        <v>-0.0315126213733993</v>
      </c>
    </row>
    <row r="1690" customFormat="false" ht="15" hidden="false" customHeight="false" outlineLevel="0" collapsed="false">
      <c r="L1690" s="31" t="n">
        <f aca="true">NORMSINV(RAND())*$G$7+$G$6</f>
        <v>-0.00100615916075342</v>
      </c>
    </row>
    <row r="1691" customFormat="false" ht="15" hidden="false" customHeight="false" outlineLevel="0" collapsed="false">
      <c r="L1691" s="31" t="n">
        <f aca="true">NORMSINV(RAND())*$G$7+$G$6</f>
        <v>-0.0143965635875199</v>
      </c>
    </row>
    <row r="1692" customFormat="false" ht="15" hidden="false" customHeight="false" outlineLevel="0" collapsed="false">
      <c r="L1692" s="31" t="n">
        <f aca="true">NORMSINV(RAND())*$G$7+$G$6</f>
        <v>-0.00209643820809607</v>
      </c>
    </row>
    <row r="1693" customFormat="false" ht="15" hidden="false" customHeight="false" outlineLevel="0" collapsed="false">
      <c r="L1693" s="31" t="n">
        <f aca="true">NORMSINV(RAND())*$G$7+$G$6</f>
        <v>-8.12931056751067E-005</v>
      </c>
    </row>
    <row r="1694" customFormat="false" ht="15" hidden="false" customHeight="false" outlineLevel="0" collapsed="false">
      <c r="L1694" s="31" t="n">
        <f aca="true">NORMSINV(RAND())*$G$7+$G$6</f>
        <v>-0.00538794525642238</v>
      </c>
    </row>
    <row r="1695" customFormat="false" ht="15" hidden="false" customHeight="false" outlineLevel="0" collapsed="false">
      <c r="L1695" s="31" t="n">
        <f aca="true">NORMSINV(RAND())*$G$7+$G$6</f>
        <v>-0.0180805880482543</v>
      </c>
    </row>
    <row r="1696" customFormat="false" ht="15" hidden="false" customHeight="false" outlineLevel="0" collapsed="false">
      <c r="L1696" s="31" t="n">
        <f aca="true">NORMSINV(RAND())*$G$7+$G$6</f>
        <v>-0.00233267847872619</v>
      </c>
    </row>
    <row r="1697" customFormat="false" ht="15" hidden="false" customHeight="false" outlineLevel="0" collapsed="false">
      <c r="L1697" s="31" t="n">
        <f aca="true">NORMSINV(RAND())*$G$7+$G$6</f>
        <v>0.0114418655350549</v>
      </c>
    </row>
    <row r="1698" customFormat="false" ht="15" hidden="false" customHeight="false" outlineLevel="0" collapsed="false">
      <c r="L1698" s="31" t="n">
        <f aca="true">NORMSINV(RAND())*$G$7+$G$6</f>
        <v>-0.00157134303967685</v>
      </c>
    </row>
    <row r="1699" customFormat="false" ht="15" hidden="false" customHeight="false" outlineLevel="0" collapsed="false">
      <c r="L1699" s="31" t="n">
        <f aca="true">NORMSINV(RAND())*$G$7+$G$6</f>
        <v>0.0225070092462799</v>
      </c>
    </row>
    <row r="1700" customFormat="false" ht="15" hidden="false" customHeight="false" outlineLevel="0" collapsed="false">
      <c r="L1700" s="31" t="n">
        <f aca="true">NORMSINV(RAND())*$G$7+$G$6</f>
        <v>-0.00833886847648161</v>
      </c>
    </row>
    <row r="1701" customFormat="false" ht="15" hidden="false" customHeight="false" outlineLevel="0" collapsed="false">
      <c r="L1701" s="31" t="n">
        <f aca="true">NORMSINV(RAND())*$G$7+$G$6</f>
        <v>-0.0065782374133233</v>
      </c>
    </row>
    <row r="1702" customFormat="false" ht="15" hidden="false" customHeight="false" outlineLevel="0" collapsed="false">
      <c r="L1702" s="31" t="n">
        <f aca="true">NORMSINV(RAND())*$G$7+$G$6</f>
        <v>0.00109405674183884</v>
      </c>
    </row>
    <row r="1703" customFormat="false" ht="15" hidden="false" customHeight="false" outlineLevel="0" collapsed="false">
      <c r="L1703" s="31" t="n">
        <f aca="true">NORMSINV(RAND())*$G$7+$G$6</f>
        <v>-0.00175276168205424</v>
      </c>
    </row>
    <row r="1704" customFormat="false" ht="15" hidden="false" customHeight="false" outlineLevel="0" collapsed="false">
      <c r="L1704" s="31" t="n">
        <f aca="true">NORMSINV(RAND())*$G$7+$G$6</f>
        <v>-0.00737006450737103</v>
      </c>
    </row>
    <row r="1705" customFormat="false" ht="15" hidden="false" customHeight="false" outlineLevel="0" collapsed="false">
      <c r="L1705" s="31" t="n">
        <f aca="true">NORMSINV(RAND())*$G$7+$G$6</f>
        <v>0.00180808694955142</v>
      </c>
    </row>
    <row r="1706" customFormat="false" ht="15" hidden="false" customHeight="false" outlineLevel="0" collapsed="false">
      <c r="L1706" s="31" t="n">
        <f aca="true">NORMSINV(RAND())*$G$7+$G$6</f>
        <v>0.00497556771510303</v>
      </c>
    </row>
    <row r="1707" customFormat="false" ht="15" hidden="false" customHeight="false" outlineLevel="0" collapsed="false">
      <c r="L1707" s="31" t="n">
        <f aca="true">NORMSINV(RAND())*$G$7+$G$6</f>
        <v>0.00397345964179435</v>
      </c>
    </row>
    <row r="1708" customFormat="false" ht="15" hidden="false" customHeight="false" outlineLevel="0" collapsed="false">
      <c r="L1708" s="31" t="n">
        <f aca="true">NORMSINV(RAND())*$G$7+$G$6</f>
        <v>0.00547640948265403</v>
      </c>
    </row>
    <row r="1709" customFormat="false" ht="15" hidden="false" customHeight="false" outlineLevel="0" collapsed="false">
      <c r="L1709" s="31" t="n">
        <f aca="true">NORMSINV(RAND())*$G$7+$G$6</f>
        <v>0.0154575029106565</v>
      </c>
    </row>
    <row r="1710" customFormat="false" ht="15" hidden="false" customHeight="false" outlineLevel="0" collapsed="false">
      <c r="L1710" s="31" t="n">
        <f aca="true">NORMSINV(RAND())*$G$7+$G$6</f>
        <v>0.0206740745857677</v>
      </c>
    </row>
    <row r="1711" customFormat="false" ht="15" hidden="false" customHeight="false" outlineLevel="0" collapsed="false">
      <c r="L1711" s="31" t="n">
        <f aca="true">NORMSINV(RAND())*$G$7+$G$6</f>
        <v>-0.00362786165709308</v>
      </c>
    </row>
    <row r="1712" customFormat="false" ht="15" hidden="false" customHeight="false" outlineLevel="0" collapsed="false">
      <c r="L1712" s="31" t="n">
        <f aca="true">NORMSINV(RAND())*$G$7+$G$6</f>
        <v>-0.0122140522842837</v>
      </c>
    </row>
    <row r="1713" customFormat="false" ht="15" hidden="false" customHeight="false" outlineLevel="0" collapsed="false">
      <c r="L1713" s="31" t="n">
        <f aca="true">NORMSINV(RAND())*$G$7+$G$6</f>
        <v>0.0102170794108775</v>
      </c>
    </row>
    <row r="1714" customFormat="false" ht="15" hidden="false" customHeight="false" outlineLevel="0" collapsed="false">
      <c r="L1714" s="31" t="n">
        <f aca="true">NORMSINV(RAND())*$G$7+$G$6</f>
        <v>-0.0111223592832039</v>
      </c>
    </row>
    <row r="1715" customFormat="false" ht="15" hidden="false" customHeight="false" outlineLevel="0" collapsed="false">
      <c r="L1715" s="31" t="n">
        <f aca="true">NORMSINV(RAND())*$G$7+$G$6</f>
        <v>0.00562179282528109</v>
      </c>
    </row>
    <row r="1716" customFormat="false" ht="15" hidden="false" customHeight="false" outlineLevel="0" collapsed="false">
      <c r="L1716" s="31" t="n">
        <f aca="true">NORMSINV(RAND())*$G$7+$G$6</f>
        <v>0.0251022545019863</v>
      </c>
    </row>
    <row r="1717" customFormat="false" ht="15" hidden="false" customHeight="false" outlineLevel="0" collapsed="false">
      <c r="L1717" s="31" t="n">
        <f aca="true">NORMSINV(RAND())*$G$7+$G$6</f>
        <v>0.00612472667817863</v>
      </c>
    </row>
    <row r="1718" customFormat="false" ht="15" hidden="false" customHeight="false" outlineLevel="0" collapsed="false">
      <c r="L1718" s="31" t="n">
        <f aca="true">NORMSINV(RAND())*$G$7+$G$6</f>
        <v>0.00940364175746121</v>
      </c>
    </row>
    <row r="1719" customFormat="false" ht="15" hidden="false" customHeight="false" outlineLevel="0" collapsed="false">
      <c r="L1719" s="31" t="n">
        <f aca="true">NORMSINV(RAND())*$G$7+$G$6</f>
        <v>0.0226724268419689</v>
      </c>
    </row>
    <row r="1720" customFormat="false" ht="15" hidden="false" customHeight="false" outlineLevel="0" collapsed="false">
      <c r="L1720" s="31" t="n">
        <f aca="true">NORMSINV(RAND())*$G$7+$G$6</f>
        <v>-0.0348230216235531</v>
      </c>
    </row>
    <row r="1721" customFormat="false" ht="15" hidden="false" customHeight="false" outlineLevel="0" collapsed="false">
      <c r="L1721" s="31" t="n">
        <f aca="true">NORMSINV(RAND())*$G$7+$G$6</f>
        <v>0.0356933904541893</v>
      </c>
    </row>
    <row r="1722" customFormat="false" ht="15" hidden="false" customHeight="false" outlineLevel="0" collapsed="false">
      <c r="L1722" s="31" t="n">
        <f aca="true">NORMSINV(RAND())*$G$7+$G$6</f>
        <v>0.0157886498906042</v>
      </c>
    </row>
    <row r="1723" customFormat="false" ht="15" hidden="false" customHeight="false" outlineLevel="0" collapsed="false">
      <c r="L1723" s="31" t="n">
        <f aca="true">NORMSINV(RAND())*$G$7+$G$6</f>
        <v>-0.0159446347878283</v>
      </c>
    </row>
    <row r="1724" customFormat="false" ht="15" hidden="false" customHeight="false" outlineLevel="0" collapsed="false">
      <c r="L1724" s="31" t="n">
        <f aca="true">NORMSINV(RAND())*$G$7+$G$6</f>
        <v>0.0147395018867836</v>
      </c>
    </row>
    <row r="1725" customFormat="false" ht="15" hidden="false" customHeight="false" outlineLevel="0" collapsed="false">
      <c r="L1725" s="31" t="n">
        <f aca="true">NORMSINV(RAND())*$G$7+$G$6</f>
        <v>0.0174433915932903</v>
      </c>
    </row>
    <row r="1726" customFormat="false" ht="15" hidden="false" customHeight="false" outlineLevel="0" collapsed="false">
      <c r="L1726" s="31" t="n">
        <f aca="true">NORMSINV(RAND())*$G$7+$G$6</f>
        <v>0.0334866910471627</v>
      </c>
    </row>
    <row r="1727" customFormat="false" ht="15" hidden="false" customHeight="false" outlineLevel="0" collapsed="false">
      <c r="L1727" s="31" t="n">
        <f aca="true">NORMSINV(RAND())*$G$7+$G$6</f>
        <v>0.0228626345113732</v>
      </c>
    </row>
    <row r="1728" customFormat="false" ht="15" hidden="false" customHeight="false" outlineLevel="0" collapsed="false">
      <c r="L1728" s="31" t="n">
        <f aca="true">NORMSINV(RAND())*$G$7+$G$6</f>
        <v>-0.00767693755736961</v>
      </c>
    </row>
    <row r="1729" customFormat="false" ht="15" hidden="false" customHeight="false" outlineLevel="0" collapsed="false">
      <c r="L1729" s="31" t="n">
        <f aca="true">NORMSINV(RAND())*$G$7+$G$6</f>
        <v>-0.00382552116992704</v>
      </c>
    </row>
    <row r="1730" customFormat="false" ht="15" hidden="false" customHeight="false" outlineLevel="0" collapsed="false">
      <c r="L1730" s="31" t="n">
        <f aca="true">NORMSINV(RAND())*$G$7+$G$6</f>
        <v>0.00302676209203876</v>
      </c>
    </row>
    <row r="1731" customFormat="false" ht="15" hidden="false" customHeight="false" outlineLevel="0" collapsed="false">
      <c r="L1731" s="31" t="n">
        <f aca="true">NORMSINV(RAND())*$G$7+$G$6</f>
        <v>0.0153543874594023</v>
      </c>
    </row>
    <row r="1732" customFormat="false" ht="15" hidden="false" customHeight="false" outlineLevel="0" collapsed="false">
      <c r="L1732" s="31" t="n">
        <f aca="true">NORMSINV(RAND())*$G$7+$G$6</f>
        <v>0.024759098981254</v>
      </c>
    </row>
    <row r="1733" customFormat="false" ht="15" hidden="false" customHeight="false" outlineLevel="0" collapsed="false">
      <c r="L1733" s="31" t="n">
        <f aca="true">NORMSINV(RAND())*$G$7+$G$6</f>
        <v>0.0137356965540822</v>
      </c>
    </row>
    <row r="1734" customFormat="false" ht="15" hidden="false" customHeight="false" outlineLevel="0" collapsed="false">
      <c r="L1734" s="31" t="n">
        <f aca="true">NORMSINV(RAND())*$G$7+$G$6</f>
        <v>-0.0130592780790258</v>
      </c>
    </row>
    <row r="1735" customFormat="false" ht="15" hidden="false" customHeight="false" outlineLevel="0" collapsed="false">
      <c r="L1735" s="31" t="n">
        <f aca="true">NORMSINV(RAND())*$G$7+$G$6</f>
        <v>0.00770598305154338</v>
      </c>
    </row>
    <row r="1736" customFormat="false" ht="15" hidden="false" customHeight="false" outlineLevel="0" collapsed="false">
      <c r="L1736" s="31" t="n">
        <f aca="true">NORMSINV(RAND())*$G$7+$G$6</f>
        <v>0.00885683996828649</v>
      </c>
    </row>
    <row r="1737" customFormat="false" ht="15" hidden="false" customHeight="false" outlineLevel="0" collapsed="false">
      <c r="L1737" s="31" t="n">
        <f aca="true">NORMSINV(RAND())*$G$7+$G$6</f>
        <v>0.00460119119552598</v>
      </c>
    </row>
    <row r="1738" customFormat="false" ht="15" hidden="false" customHeight="false" outlineLevel="0" collapsed="false">
      <c r="L1738" s="31" t="n">
        <f aca="true">NORMSINV(RAND())*$G$7+$G$6</f>
        <v>-0.0196773461275909</v>
      </c>
    </row>
    <row r="1739" customFormat="false" ht="15" hidden="false" customHeight="false" outlineLevel="0" collapsed="false">
      <c r="L1739" s="31" t="n">
        <f aca="true">NORMSINV(RAND())*$G$7+$G$6</f>
        <v>-0.00658138805097267</v>
      </c>
    </row>
    <row r="1740" customFormat="false" ht="15" hidden="false" customHeight="false" outlineLevel="0" collapsed="false">
      <c r="L1740" s="31" t="n">
        <f aca="true">NORMSINV(RAND())*$G$7+$G$6</f>
        <v>-0.0288882785779297</v>
      </c>
    </row>
    <row r="1741" customFormat="false" ht="15" hidden="false" customHeight="false" outlineLevel="0" collapsed="false">
      <c r="L1741" s="31" t="n">
        <f aca="true">NORMSINV(RAND())*$G$7+$G$6</f>
        <v>0.00999997480240767</v>
      </c>
    </row>
    <row r="1742" customFormat="false" ht="15" hidden="false" customHeight="false" outlineLevel="0" collapsed="false">
      <c r="L1742" s="31" t="n">
        <f aca="true">NORMSINV(RAND())*$G$7+$G$6</f>
        <v>-0.00391143447438136</v>
      </c>
    </row>
    <row r="1743" customFormat="false" ht="15" hidden="false" customHeight="false" outlineLevel="0" collapsed="false">
      <c r="L1743" s="31" t="n">
        <f aca="true">NORMSINV(RAND())*$G$7+$G$6</f>
        <v>0.0322393236236009</v>
      </c>
    </row>
    <row r="1744" customFormat="false" ht="15" hidden="false" customHeight="false" outlineLevel="0" collapsed="false">
      <c r="L1744" s="31" t="n">
        <f aca="true">NORMSINV(RAND())*$G$7+$G$6</f>
        <v>0.00108823368793425</v>
      </c>
    </row>
    <row r="1745" customFormat="false" ht="15" hidden="false" customHeight="false" outlineLevel="0" collapsed="false">
      <c r="L1745" s="31" t="n">
        <f aca="true">NORMSINV(RAND())*$G$7+$G$6</f>
        <v>-0.00733680049203808</v>
      </c>
    </row>
    <row r="1746" customFormat="false" ht="15" hidden="false" customHeight="false" outlineLevel="0" collapsed="false">
      <c r="L1746" s="31" t="n">
        <f aca="true">NORMSINV(RAND())*$G$7+$G$6</f>
        <v>-0.00283844515418907</v>
      </c>
    </row>
    <row r="1747" customFormat="false" ht="15" hidden="false" customHeight="false" outlineLevel="0" collapsed="false">
      <c r="L1747" s="31" t="n">
        <f aca="true">NORMSINV(RAND())*$G$7+$G$6</f>
        <v>-0.0102651299796239</v>
      </c>
    </row>
    <row r="1748" customFormat="false" ht="15" hidden="false" customHeight="false" outlineLevel="0" collapsed="false">
      <c r="L1748" s="31" t="n">
        <f aca="true">NORMSINV(RAND())*$G$7+$G$6</f>
        <v>0.0170163882953874</v>
      </c>
    </row>
    <row r="1749" customFormat="false" ht="15" hidden="false" customHeight="false" outlineLevel="0" collapsed="false">
      <c r="L1749" s="31" t="n">
        <f aca="true">NORMSINV(RAND())*$G$7+$G$6</f>
        <v>-0.00445780280541759</v>
      </c>
    </row>
    <row r="1750" customFormat="false" ht="15" hidden="false" customHeight="false" outlineLevel="0" collapsed="false">
      <c r="L1750" s="31" t="n">
        <f aca="true">NORMSINV(RAND())*$G$7+$G$6</f>
        <v>0.00811736268605375</v>
      </c>
    </row>
    <row r="1751" customFormat="false" ht="15" hidden="false" customHeight="false" outlineLevel="0" collapsed="false">
      <c r="L1751" s="31" t="n">
        <f aca="true">NORMSINV(RAND())*$G$7+$G$6</f>
        <v>0.00924690339666905</v>
      </c>
    </row>
    <row r="1752" customFormat="false" ht="15" hidden="false" customHeight="false" outlineLevel="0" collapsed="false">
      <c r="L1752" s="31" t="n">
        <f aca="true">NORMSINV(RAND())*$G$7+$G$6</f>
        <v>0.00168113846951017</v>
      </c>
    </row>
    <row r="1753" customFormat="false" ht="15" hidden="false" customHeight="false" outlineLevel="0" collapsed="false">
      <c r="L1753" s="31" t="n">
        <f aca="true">NORMSINV(RAND())*$G$7+$G$6</f>
        <v>0.00724125331551085</v>
      </c>
    </row>
    <row r="1754" customFormat="false" ht="15" hidden="false" customHeight="false" outlineLevel="0" collapsed="false">
      <c r="L1754" s="31" t="n">
        <f aca="true">NORMSINV(RAND())*$G$7+$G$6</f>
        <v>0.00143966314144482</v>
      </c>
    </row>
    <row r="1755" customFormat="false" ht="15" hidden="false" customHeight="false" outlineLevel="0" collapsed="false">
      <c r="L1755" s="31" t="n">
        <f aca="true">NORMSINV(RAND())*$G$7+$G$6</f>
        <v>0.0223997436439512</v>
      </c>
    </row>
    <row r="1756" customFormat="false" ht="15" hidden="false" customHeight="false" outlineLevel="0" collapsed="false">
      <c r="L1756" s="31" t="n">
        <f aca="true">NORMSINV(RAND())*$G$7+$G$6</f>
        <v>0.00886930369471226</v>
      </c>
    </row>
    <row r="1757" customFormat="false" ht="15" hidden="false" customHeight="false" outlineLevel="0" collapsed="false">
      <c r="L1757" s="31" t="n">
        <f aca="true">NORMSINV(RAND())*$G$7+$G$6</f>
        <v>-0.0119676387277935</v>
      </c>
    </row>
    <row r="1758" customFormat="false" ht="15" hidden="false" customHeight="false" outlineLevel="0" collapsed="false">
      <c r="L1758" s="31" t="n">
        <f aca="true">NORMSINV(RAND())*$G$7+$G$6</f>
        <v>0.0052710233198262</v>
      </c>
    </row>
    <row r="1759" customFormat="false" ht="15" hidden="false" customHeight="false" outlineLevel="0" collapsed="false">
      <c r="L1759" s="31" t="n">
        <f aca="true">NORMSINV(RAND())*$G$7+$G$6</f>
        <v>0.00533655208180707</v>
      </c>
    </row>
    <row r="1760" customFormat="false" ht="15" hidden="false" customHeight="false" outlineLevel="0" collapsed="false">
      <c r="L1760" s="31" t="n">
        <f aca="true">NORMSINV(RAND())*$G$7+$G$6</f>
        <v>0.00342941955202134</v>
      </c>
    </row>
    <row r="1761" customFormat="false" ht="15" hidden="false" customHeight="false" outlineLevel="0" collapsed="false">
      <c r="L1761" s="31" t="n">
        <f aca="true">NORMSINV(RAND())*$G$7+$G$6</f>
        <v>-0.005795443571892</v>
      </c>
    </row>
    <row r="1762" customFormat="false" ht="15" hidden="false" customHeight="false" outlineLevel="0" collapsed="false">
      <c r="L1762" s="31" t="n">
        <f aca="true">NORMSINV(RAND())*$G$7+$G$6</f>
        <v>-0.00127030862363297</v>
      </c>
    </row>
    <row r="1763" customFormat="false" ht="15" hidden="false" customHeight="false" outlineLevel="0" collapsed="false">
      <c r="L1763" s="31" t="n">
        <f aca="true">NORMSINV(RAND())*$G$7+$G$6</f>
        <v>0.0150705993514856</v>
      </c>
    </row>
    <row r="1764" customFormat="false" ht="15" hidden="false" customHeight="false" outlineLevel="0" collapsed="false">
      <c r="L1764" s="31" t="n">
        <f aca="true">NORMSINV(RAND())*$G$7+$G$6</f>
        <v>0.0138999825303489</v>
      </c>
    </row>
    <row r="1765" customFormat="false" ht="15" hidden="false" customHeight="false" outlineLevel="0" collapsed="false">
      <c r="L1765" s="31" t="n">
        <f aca="true">NORMSINV(RAND())*$G$7+$G$6</f>
        <v>0.0244821692822043</v>
      </c>
    </row>
    <row r="1766" customFormat="false" ht="15" hidden="false" customHeight="false" outlineLevel="0" collapsed="false">
      <c r="L1766" s="31" t="n">
        <f aca="true">NORMSINV(RAND())*$G$7+$G$6</f>
        <v>0.00340629951411002</v>
      </c>
    </row>
    <row r="1767" customFormat="false" ht="15" hidden="false" customHeight="false" outlineLevel="0" collapsed="false">
      <c r="L1767" s="31" t="n">
        <f aca="true">NORMSINV(RAND())*$G$7+$G$6</f>
        <v>0.00608499221793207</v>
      </c>
    </row>
    <row r="1768" customFormat="false" ht="15" hidden="false" customHeight="false" outlineLevel="0" collapsed="false">
      <c r="L1768" s="31" t="n">
        <f aca="true">NORMSINV(RAND())*$G$7+$G$6</f>
        <v>0.0141924906796279</v>
      </c>
    </row>
    <row r="1769" customFormat="false" ht="15" hidden="false" customHeight="false" outlineLevel="0" collapsed="false">
      <c r="L1769" s="31" t="n">
        <f aca="true">NORMSINV(RAND())*$G$7+$G$6</f>
        <v>-0.0351835921024766</v>
      </c>
    </row>
    <row r="1770" customFormat="false" ht="15" hidden="false" customHeight="false" outlineLevel="0" collapsed="false">
      <c r="L1770" s="31" t="n">
        <f aca="true">NORMSINV(RAND())*$G$7+$G$6</f>
        <v>0.00240151397962122</v>
      </c>
    </row>
    <row r="1771" customFormat="false" ht="15" hidden="false" customHeight="false" outlineLevel="0" collapsed="false">
      <c r="L1771" s="31" t="n">
        <f aca="true">NORMSINV(RAND())*$G$7+$G$6</f>
        <v>-0.00622579973281079</v>
      </c>
    </row>
    <row r="1772" customFormat="false" ht="15" hidden="false" customHeight="false" outlineLevel="0" collapsed="false">
      <c r="L1772" s="31" t="n">
        <f aca="true">NORMSINV(RAND())*$G$7+$G$6</f>
        <v>0.00088714845406098</v>
      </c>
    </row>
    <row r="1773" customFormat="false" ht="15" hidden="false" customHeight="false" outlineLevel="0" collapsed="false">
      <c r="L1773" s="31" t="n">
        <f aca="true">NORMSINV(RAND())*$G$7+$G$6</f>
        <v>-0.00981035222501066</v>
      </c>
    </row>
    <row r="1774" customFormat="false" ht="15" hidden="false" customHeight="false" outlineLevel="0" collapsed="false">
      <c r="L1774" s="31" t="n">
        <f aca="true">NORMSINV(RAND())*$G$7+$G$6</f>
        <v>-0.00336216138651917</v>
      </c>
    </row>
    <row r="1775" customFormat="false" ht="15" hidden="false" customHeight="false" outlineLevel="0" collapsed="false">
      <c r="L1775" s="31" t="n">
        <f aca="true">NORMSINV(RAND())*$G$7+$G$6</f>
        <v>0.00746269166803317</v>
      </c>
    </row>
    <row r="1776" customFormat="false" ht="15" hidden="false" customHeight="false" outlineLevel="0" collapsed="false">
      <c r="L1776" s="31" t="n">
        <f aca="true">NORMSINV(RAND())*$G$7+$G$6</f>
        <v>0.00831578624955795</v>
      </c>
    </row>
    <row r="1777" customFormat="false" ht="15" hidden="false" customHeight="false" outlineLevel="0" collapsed="false">
      <c r="L1777" s="31" t="n">
        <f aca="true">NORMSINV(RAND())*$G$7+$G$6</f>
        <v>-0.0193370641267462</v>
      </c>
    </row>
    <row r="1778" customFormat="false" ht="15" hidden="false" customHeight="false" outlineLevel="0" collapsed="false">
      <c r="L1778" s="31" t="n">
        <f aca="true">NORMSINV(RAND())*$G$7+$G$6</f>
        <v>-0.00802348236778764</v>
      </c>
    </row>
    <row r="1779" customFormat="false" ht="15" hidden="false" customHeight="false" outlineLevel="0" collapsed="false">
      <c r="L1779" s="31" t="n">
        <f aca="true">NORMSINV(RAND())*$G$7+$G$6</f>
        <v>0.0191078665981301</v>
      </c>
    </row>
    <row r="1780" customFormat="false" ht="15" hidden="false" customHeight="false" outlineLevel="0" collapsed="false">
      <c r="L1780" s="31" t="n">
        <f aca="true">NORMSINV(RAND())*$G$7+$G$6</f>
        <v>-0.0181730012756491</v>
      </c>
    </row>
    <row r="1781" customFormat="false" ht="15" hidden="false" customHeight="false" outlineLevel="0" collapsed="false">
      <c r="L1781" s="31" t="n">
        <f aca="true">NORMSINV(RAND())*$G$7+$G$6</f>
        <v>0.0121710995087637</v>
      </c>
    </row>
    <row r="1782" customFormat="false" ht="15" hidden="false" customHeight="false" outlineLevel="0" collapsed="false">
      <c r="L1782" s="31" t="n">
        <f aca="true">NORMSINV(RAND())*$G$7+$G$6</f>
        <v>-0.00517404582655161</v>
      </c>
    </row>
    <row r="1783" customFormat="false" ht="15" hidden="false" customHeight="false" outlineLevel="0" collapsed="false">
      <c r="L1783" s="31" t="n">
        <f aca="true">NORMSINV(RAND())*$G$7+$G$6</f>
        <v>-0.0103454725360157</v>
      </c>
    </row>
    <row r="1784" customFormat="false" ht="15" hidden="false" customHeight="false" outlineLevel="0" collapsed="false">
      <c r="L1784" s="31" t="n">
        <f aca="true">NORMSINV(RAND())*$G$7+$G$6</f>
        <v>-0.0177571421174699</v>
      </c>
    </row>
    <row r="1785" customFormat="false" ht="15" hidden="false" customHeight="false" outlineLevel="0" collapsed="false">
      <c r="L1785" s="31" t="n">
        <f aca="true">NORMSINV(RAND())*$G$7+$G$6</f>
        <v>-0.0150228211483232</v>
      </c>
    </row>
    <row r="1786" customFormat="false" ht="15" hidden="false" customHeight="false" outlineLevel="0" collapsed="false">
      <c r="L1786" s="31" t="n">
        <f aca="true">NORMSINV(RAND())*$G$7+$G$6</f>
        <v>0.0290393885375115</v>
      </c>
    </row>
    <row r="1787" customFormat="false" ht="15" hidden="false" customHeight="false" outlineLevel="0" collapsed="false">
      <c r="L1787" s="31" t="n">
        <f aca="true">NORMSINV(RAND())*$G$7+$G$6</f>
        <v>0.00175124427936726</v>
      </c>
    </row>
    <row r="1788" customFormat="false" ht="15" hidden="false" customHeight="false" outlineLevel="0" collapsed="false">
      <c r="L1788" s="31" t="n">
        <f aca="true">NORMSINV(RAND())*$G$7+$G$6</f>
        <v>0.0170484317141137</v>
      </c>
    </row>
    <row r="1789" customFormat="false" ht="15" hidden="false" customHeight="false" outlineLevel="0" collapsed="false">
      <c r="L1789" s="31" t="n">
        <f aca="true">NORMSINV(RAND())*$G$7+$G$6</f>
        <v>-0.0105637578046014</v>
      </c>
    </row>
    <row r="1790" customFormat="false" ht="15" hidden="false" customHeight="false" outlineLevel="0" collapsed="false">
      <c r="L1790" s="31" t="n">
        <f aca="true">NORMSINV(RAND())*$G$7+$G$6</f>
        <v>-0.00540124381088755</v>
      </c>
    </row>
    <row r="1791" customFormat="false" ht="15" hidden="false" customHeight="false" outlineLevel="0" collapsed="false">
      <c r="L1791" s="31" t="n">
        <f aca="true">NORMSINV(RAND())*$G$7+$G$6</f>
        <v>-0.00444090775563025</v>
      </c>
    </row>
    <row r="1792" customFormat="false" ht="15" hidden="false" customHeight="false" outlineLevel="0" collapsed="false">
      <c r="L1792" s="31" t="n">
        <f aca="true">NORMSINV(RAND())*$G$7+$G$6</f>
        <v>-0.000712825350964035</v>
      </c>
    </row>
    <row r="1793" customFormat="false" ht="15" hidden="false" customHeight="false" outlineLevel="0" collapsed="false">
      <c r="L1793" s="31" t="n">
        <f aca="true">NORMSINV(RAND())*$G$7+$G$6</f>
        <v>0.030298486365491</v>
      </c>
    </row>
    <row r="1794" customFormat="false" ht="15" hidden="false" customHeight="false" outlineLevel="0" collapsed="false">
      <c r="L1794" s="31" t="n">
        <f aca="true">NORMSINV(RAND())*$G$7+$G$6</f>
        <v>0.00564537714305393</v>
      </c>
    </row>
    <row r="1795" customFormat="false" ht="15" hidden="false" customHeight="false" outlineLevel="0" collapsed="false">
      <c r="L1795" s="31" t="n">
        <f aca="true">NORMSINV(RAND())*$G$7+$G$6</f>
        <v>-0.00345907674500126</v>
      </c>
    </row>
    <row r="1796" customFormat="false" ht="15" hidden="false" customHeight="false" outlineLevel="0" collapsed="false">
      <c r="L1796" s="31" t="n">
        <f aca="true">NORMSINV(RAND())*$G$7+$G$6</f>
        <v>-0.00507550702441242</v>
      </c>
    </row>
    <row r="1797" customFormat="false" ht="15" hidden="false" customHeight="false" outlineLevel="0" collapsed="false">
      <c r="L1797" s="31" t="n">
        <f aca="true">NORMSINV(RAND())*$G$7+$G$6</f>
        <v>-0.00509918278392811</v>
      </c>
    </row>
    <row r="1798" customFormat="false" ht="15" hidden="false" customHeight="false" outlineLevel="0" collapsed="false">
      <c r="L1798" s="31" t="n">
        <f aca="true">NORMSINV(RAND())*$G$7+$G$6</f>
        <v>-0.00964002176233071</v>
      </c>
    </row>
    <row r="1799" customFormat="false" ht="15" hidden="false" customHeight="false" outlineLevel="0" collapsed="false">
      <c r="L1799" s="31" t="n">
        <f aca="true">NORMSINV(RAND())*$G$7+$G$6</f>
        <v>0.0147187915170333</v>
      </c>
    </row>
    <row r="1800" customFormat="false" ht="15" hidden="false" customHeight="false" outlineLevel="0" collapsed="false">
      <c r="L1800" s="31" t="n">
        <f aca="true">NORMSINV(RAND())*$G$7+$G$6</f>
        <v>-0.0122014643387831</v>
      </c>
    </row>
    <row r="1801" customFormat="false" ht="15" hidden="false" customHeight="false" outlineLevel="0" collapsed="false">
      <c r="L1801" s="31" t="n">
        <f aca="true">NORMSINV(RAND())*$G$7+$G$6</f>
        <v>0.0102984990783898</v>
      </c>
    </row>
    <row r="1802" customFormat="false" ht="15" hidden="false" customHeight="false" outlineLevel="0" collapsed="false">
      <c r="L1802" s="31" t="n">
        <f aca="true">NORMSINV(RAND())*$G$7+$G$6</f>
        <v>-0.0106458988113462</v>
      </c>
    </row>
    <row r="1803" customFormat="false" ht="15" hidden="false" customHeight="false" outlineLevel="0" collapsed="false">
      <c r="L1803" s="31" t="n">
        <f aca="true">NORMSINV(RAND())*$G$7+$G$6</f>
        <v>-0.0206058547096085</v>
      </c>
    </row>
    <row r="1804" customFormat="false" ht="15" hidden="false" customHeight="false" outlineLevel="0" collapsed="false">
      <c r="L1804" s="31" t="n">
        <f aca="true">NORMSINV(RAND())*$G$7+$G$6</f>
        <v>0.0265323149629152</v>
      </c>
    </row>
    <row r="1805" customFormat="false" ht="15" hidden="false" customHeight="false" outlineLevel="0" collapsed="false">
      <c r="L1805" s="31" t="n">
        <f aca="true">NORMSINV(RAND())*$G$7+$G$6</f>
        <v>-0.0145495561581502</v>
      </c>
    </row>
    <row r="1806" customFormat="false" ht="15" hidden="false" customHeight="false" outlineLevel="0" collapsed="false">
      <c r="L1806" s="31" t="n">
        <f aca="true">NORMSINV(RAND())*$G$7+$G$6</f>
        <v>0.00990517692807528</v>
      </c>
    </row>
    <row r="1807" customFormat="false" ht="15" hidden="false" customHeight="false" outlineLevel="0" collapsed="false">
      <c r="L1807" s="31" t="n">
        <f aca="true">NORMSINV(RAND())*$G$7+$G$6</f>
        <v>0.014324855881188</v>
      </c>
    </row>
    <row r="1808" customFormat="false" ht="15" hidden="false" customHeight="false" outlineLevel="0" collapsed="false">
      <c r="L1808" s="31" t="n">
        <f aca="true">NORMSINV(RAND())*$G$7+$G$6</f>
        <v>0.0132126075682814</v>
      </c>
    </row>
    <row r="1809" customFormat="false" ht="15" hidden="false" customHeight="false" outlineLevel="0" collapsed="false">
      <c r="L1809" s="31" t="n">
        <f aca="true">NORMSINV(RAND())*$G$7+$G$6</f>
        <v>0.00130001459350843</v>
      </c>
    </row>
    <row r="1810" customFormat="false" ht="15" hidden="false" customHeight="false" outlineLevel="0" collapsed="false">
      <c r="L1810" s="31" t="n">
        <f aca="true">NORMSINV(RAND())*$G$7+$G$6</f>
        <v>-0.000648318070227888</v>
      </c>
    </row>
    <row r="1811" customFormat="false" ht="15" hidden="false" customHeight="false" outlineLevel="0" collapsed="false">
      <c r="L1811" s="31" t="n">
        <f aca="true">NORMSINV(RAND())*$G$7+$G$6</f>
        <v>0.0338079436557293</v>
      </c>
    </row>
    <row r="1812" customFormat="false" ht="15" hidden="false" customHeight="false" outlineLevel="0" collapsed="false">
      <c r="L1812" s="31" t="n">
        <f aca="true">NORMSINV(RAND())*$G$7+$G$6</f>
        <v>0.0106261261678168</v>
      </c>
    </row>
    <row r="1813" customFormat="false" ht="15" hidden="false" customHeight="false" outlineLevel="0" collapsed="false">
      <c r="L1813" s="31" t="n">
        <f aca="true">NORMSINV(RAND())*$G$7+$G$6</f>
        <v>0.0124325911000743</v>
      </c>
    </row>
    <row r="1814" customFormat="false" ht="15" hidden="false" customHeight="false" outlineLevel="0" collapsed="false">
      <c r="L1814" s="31" t="n">
        <f aca="true">NORMSINV(RAND())*$G$7+$G$6</f>
        <v>0.0139251553304717</v>
      </c>
    </row>
    <row r="1815" customFormat="false" ht="15" hidden="false" customHeight="false" outlineLevel="0" collapsed="false">
      <c r="L1815" s="31" t="n">
        <f aca="true">NORMSINV(RAND())*$G$7+$G$6</f>
        <v>0.0116277233706153</v>
      </c>
    </row>
    <row r="1816" customFormat="false" ht="15" hidden="false" customHeight="false" outlineLevel="0" collapsed="false">
      <c r="L1816" s="31" t="n">
        <f aca="true">NORMSINV(RAND())*$G$7+$G$6</f>
        <v>-0.0188148770938307</v>
      </c>
    </row>
    <row r="1817" customFormat="false" ht="15" hidden="false" customHeight="false" outlineLevel="0" collapsed="false">
      <c r="L1817" s="31" t="n">
        <f aca="true">NORMSINV(RAND())*$G$7+$G$6</f>
        <v>0.00466884732404161</v>
      </c>
    </row>
    <row r="1818" customFormat="false" ht="15" hidden="false" customHeight="false" outlineLevel="0" collapsed="false">
      <c r="L1818" s="31" t="n">
        <f aca="true">NORMSINV(RAND())*$G$7+$G$6</f>
        <v>-0.00612999967599493</v>
      </c>
    </row>
    <row r="1819" customFormat="false" ht="15" hidden="false" customHeight="false" outlineLevel="0" collapsed="false">
      <c r="L1819" s="31" t="n">
        <f aca="true">NORMSINV(RAND())*$G$7+$G$6</f>
        <v>0.00217036265686201</v>
      </c>
    </row>
    <row r="1820" customFormat="false" ht="15" hidden="false" customHeight="false" outlineLevel="0" collapsed="false">
      <c r="L1820" s="31" t="n">
        <f aca="true">NORMSINV(RAND())*$G$7+$G$6</f>
        <v>-0.0108023877109456</v>
      </c>
    </row>
    <row r="1821" customFormat="false" ht="15" hidden="false" customHeight="false" outlineLevel="0" collapsed="false">
      <c r="L1821" s="31" t="n">
        <f aca="true">NORMSINV(RAND())*$G$7+$G$6</f>
        <v>0.0121043273320392</v>
      </c>
    </row>
    <row r="1822" customFormat="false" ht="15" hidden="false" customHeight="false" outlineLevel="0" collapsed="false">
      <c r="L1822" s="31" t="n">
        <f aca="true">NORMSINV(RAND())*$G$7+$G$6</f>
        <v>-0.0218211793239213</v>
      </c>
    </row>
    <row r="1823" customFormat="false" ht="15" hidden="false" customHeight="false" outlineLevel="0" collapsed="false">
      <c r="L1823" s="31" t="n">
        <f aca="true">NORMSINV(RAND())*$G$7+$G$6</f>
        <v>-0.0210528474876741</v>
      </c>
    </row>
    <row r="1824" customFormat="false" ht="15" hidden="false" customHeight="false" outlineLevel="0" collapsed="false">
      <c r="L1824" s="31" t="n">
        <f aca="true">NORMSINV(RAND())*$G$7+$G$6</f>
        <v>0.00415339920856092</v>
      </c>
    </row>
    <row r="1825" customFormat="false" ht="15" hidden="false" customHeight="false" outlineLevel="0" collapsed="false">
      <c r="L1825" s="31" t="n">
        <f aca="true">NORMSINV(RAND())*$G$7+$G$6</f>
        <v>-0.00280794022143574</v>
      </c>
    </row>
    <row r="1826" customFormat="false" ht="15" hidden="false" customHeight="false" outlineLevel="0" collapsed="false">
      <c r="L1826" s="31" t="n">
        <f aca="true">NORMSINV(RAND())*$G$7+$G$6</f>
        <v>-2.74490993926367E-005</v>
      </c>
    </row>
    <row r="1827" customFormat="false" ht="15" hidden="false" customHeight="false" outlineLevel="0" collapsed="false">
      <c r="L1827" s="31" t="n">
        <f aca="true">NORMSINV(RAND())*$G$7+$G$6</f>
        <v>0.00693435532528911</v>
      </c>
    </row>
    <row r="1828" customFormat="false" ht="15" hidden="false" customHeight="false" outlineLevel="0" collapsed="false">
      <c r="L1828" s="31" t="n">
        <f aca="true">NORMSINV(RAND())*$G$7+$G$6</f>
        <v>-0.0235736758585387</v>
      </c>
    </row>
    <row r="1829" customFormat="false" ht="15" hidden="false" customHeight="false" outlineLevel="0" collapsed="false">
      <c r="L1829" s="31" t="n">
        <f aca="true">NORMSINV(RAND())*$G$7+$G$6</f>
        <v>0.0315917967623765</v>
      </c>
    </row>
    <row r="1830" customFormat="false" ht="15" hidden="false" customHeight="false" outlineLevel="0" collapsed="false">
      <c r="L1830" s="31" t="n">
        <f aca="true">NORMSINV(RAND())*$G$7+$G$6</f>
        <v>0.0160847574368312</v>
      </c>
    </row>
    <row r="1831" customFormat="false" ht="15" hidden="false" customHeight="false" outlineLevel="0" collapsed="false">
      <c r="L1831" s="31" t="n">
        <f aca="true">NORMSINV(RAND())*$G$7+$G$6</f>
        <v>0.0201568553122715</v>
      </c>
    </row>
    <row r="1832" customFormat="false" ht="15" hidden="false" customHeight="false" outlineLevel="0" collapsed="false">
      <c r="L1832" s="31" t="n">
        <f aca="true">NORMSINV(RAND())*$G$7+$G$6</f>
        <v>0.00173031975787305</v>
      </c>
    </row>
    <row r="1833" customFormat="false" ht="15" hidden="false" customHeight="false" outlineLevel="0" collapsed="false">
      <c r="L1833" s="31" t="n">
        <f aca="true">NORMSINV(RAND())*$G$7+$G$6</f>
        <v>-0.00139385630840958</v>
      </c>
    </row>
    <row r="1834" customFormat="false" ht="15" hidden="false" customHeight="false" outlineLevel="0" collapsed="false">
      <c r="L1834" s="31" t="n">
        <f aca="true">NORMSINV(RAND())*$G$7+$G$6</f>
        <v>0.0160908738515978</v>
      </c>
    </row>
    <row r="1835" customFormat="false" ht="15" hidden="false" customHeight="false" outlineLevel="0" collapsed="false">
      <c r="L1835" s="31" t="n">
        <f aca="true">NORMSINV(RAND())*$G$7+$G$6</f>
        <v>-0.0316053562504911</v>
      </c>
    </row>
    <row r="1836" customFormat="false" ht="15" hidden="false" customHeight="false" outlineLevel="0" collapsed="false">
      <c r="L1836" s="31" t="n">
        <f aca="true">NORMSINV(RAND())*$G$7+$G$6</f>
        <v>-0.0055689586279039</v>
      </c>
    </row>
    <row r="1837" customFormat="false" ht="15" hidden="false" customHeight="false" outlineLevel="0" collapsed="false">
      <c r="L1837" s="31" t="n">
        <f aca="true">NORMSINV(RAND())*$G$7+$G$6</f>
        <v>-0.00458243721692702</v>
      </c>
    </row>
    <row r="1838" customFormat="false" ht="15" hidden="false" customHeight="false" outlineLevel="0" collapsed="false">
      <c r="L1838" s="31" t="n">
        <f aca="true">NORMSINV(RAND())*$G$7+$G$6</f>
        <v>0.00598438931106869</v>
      </c>
    </row>
    <row r="1839" customFormat="false" ht="15" hidden="false" customHeight="false" outlineLevel="0" collapsed="false">
      <c r="L1839" s="31" t="n">
        <f aca="true">NORMSINV(RAND())*$G$7+$G$6</f>
        <v>-0.0192928012832816</v>
      </c>
    </row>
    <row r="1840" customFormat="false" ht="15" hidden="false" customHeight="false" outlineLevel="0" collapsed="false">
      <c r="L1840" s="31" t="n">
        <f aca="true">NORMSINV(RAND())*$G$7+$G$6</f>
        <v>-0.021061745448278</v>
      </c>
    </row>
    <row r="1841" customFormat="false" ht="15" hidden="false" customHeight="false" outlineLevel="0" collapsed="false">
      <c r="L1841" s="31" t="n">
        <f aca="true">NORMSINV(RAND())*$G$7+$G$6</f>
        <v>-0.000282108288562151</v>
      </c>
    </row>
    <row r="1842" customFormat="false" ht="15" hidden="false" customHeight="false" outlineLevel="0" collapsed="false">
      <c r="L1842" s="31" t="n">
        <f aca="true">NORMSINV(RAND())*$G$7+$G$6</f>
        <v>0.00488276332114539</v>
      </c>
    </row>
    <row r="1843" customFormat="false" ht="15" hidden="false" customHeight="false" outlineLevel="0" collapsed="false">
      <c r="L1843" s="31" t="n">
        <f aca="true">NORMSINV(RAND())*$G$7+$G$6</f>
        <v>-0.0078723918760007</v>
      </c>
    </row>
    <row r="1844" customFormat="false" ht="15" hidden="false" customHeight="false" outlineLevel="0" collapsed="false">
      <c r="L1844" s="31" t="n">
        <f aca="true">NORMSINV(RAND())*$G$7+$G$6</f>
        <v>-0.00221166775652999</v>
      </c>
    </row>
    <row r="1845" customFormat="false" ht="15" hidden="false" customHeight="false" outlineLevel="0" collapsed="false">
      <c r="L1845" s="31" t="n">
        <f aca="true">NORMSINV(RAND())*$G$7+$G$6</f>
        <v>0.00884499662218834</v>
      </c>
    </row>
    <row r="1846" customFormat="false" ht="15" hidden="false" customHeight="false" outlineLevel="0" collapsed="false">
      <c r="L1846" s="31" t="n">
        <f aca="true">NORMSINV(RAND())*$G$7+$G$6</f>
        <v>-0.00926811290215589</v>
      </c>
    </row>
    <row r="1847" customFormat="false" ht="15" hidden="false" customHeight="false" outlineLevel="0" collapsed="false">
      <c r="L1847" s="31" t="n">
        <f aca="true">NORMSINV(RAND())*$G$7+$G$6</f>
        <v>-0.00920109879096759</v>
      </c>
    </row>
    <row r="1848" customFormat="false" ht="15" hidden="false" customHeight="false" outlineLevel="0" collapsed="false">
      <c r="L1848" s="31" t="n">
        <f aca="true">NORMSINV(RAND())*$G$7+$G$6</f>
        <v>0.0204350369678751</v>
      </c>
    </row>
    <row r="1849" customFormat="false" ht="15" hidden="false" customHeight="false" outlineLevel="0" collapsed="false">
      <c r="L1849" s="31" t="n">
        <f aca="true">NORMSINV(RAND())*$G$7+$G$6</f>
        <v>-0.00984490893216901</v>
      </c>
    </row>
    <row r="1850" customFormat="false" ht="15" hidden="false" customHeight="false" outlineLevel="0" collapsed="false">
      <c r="L1850" s="31" t="n">
        <f aca="true">NORMSINV(RAND())*$G$7+$G$6</f>
        <v>-0.00416771527104053</v>
      </c>
    </row>
    <row r="1851" customFormat="false" ht="15" hidden="false" customHeight="false" outlineLevel="0" collapsed="false">
      <c r="L1851" s="31" t="n">
        <f aca="true">NORMSINV(RAND())*$G$7+$G$6</f>
        <v>-0.00156276090531189</v>
      </c>
    </row>
    <row r="1852" customFormat="false" ht="15" hidden="false" customHeight="false" outlineLevel="0" collapsed="false">
      <c r="L1852" s="31" t="n">
        <f aca="true">NORMSINV(RAND())*$G$7+$G$6</f>
        <v>-0.0428537160847609</v>
      </c>
    </row>
    <row r="1853" customFormat="false" ht="15" hidden="false" customHeight="false" outlineLevel="0" collapsed="false">
      <c r="L1853" s="31" t="n">
        <f aca="true">NORMSINV(RAND())*$G$7+$G$6</f>
        <v>-0.0150881409009415</v>
      </c>
    </row>
    <row r="1854" customFormat="false" ht="15" hidden="false" customHeight="false" outlineLevel="0" collapsed="false">
      <c r="L1854" s="31" t="n">
        <f aca="true">NORMSINV(RAND())*$G$7+$G$6</f>
        <v>-0.000629653930168963</v>
      </c>
    </row>
    <row r="1855" customFormat="false" ht="15" hidden="false" customHeight="false" outlineLevel="0" collapsed="false">
      <c r="L1855" s="31" t="n">
        <f aca="true">NORMSINV(RAND())*$G$7+$G$6</f>
        <v>-0.00884548583142868</v>
      </c>
    </row>
    <row r="1856" customFormat="false" ht="15" hidden="false" customHeight="false" outlineLevel="0" collapsed="false">
      <c r="L1856" s="31" t="n">
        <f aca="true">NORMSINV(RAND())*$G$7+$G$6</f>
        <v>0.00128195944063315</v>
      </c>
    </row>
    <row r="1857" customFormat="false" ht="15" hidden="false" customHeight="false" outlineLevel="0" collapsed="false">
      <c r="L1857" s="31" t="n">
        <f aca="true">NORMSINV(RAND())*$G$7+$G$6</f>
        <v>-0.00900359161659686</v>
      </c>
    </row>
    <row r="1858" customFormat="false" ht="15" hidden="false" customHeight="false" outlineLevel="0" collapsed="false">
      <c r="L1858" s="31" t="n">
        <f aca="true">NORMSINV(RAND())*$G$7+$G$6</f>
        <v>0.00731658888069234</v>
      </c>
    </row>
    <row r="1859" customFormat="false" ht="15" hidden="false" customHeight="false" outlineLevel="0" collapsed="false">
      <c r="L1859" s="31" t="n">
        <f aca="true">NORMSINV(RAND())*$G$7+$G$6</f>
        <v>-0.00507955985909506</v>
      </c>
    </row>
    <row r="1860" customFormat="false" ht="15" hidden="false" customHeight="false" outlineLevel="0" collapsed="false">
      <c r="L1860" s="31" t="n">
        <f aca="true">NORMSINV(RAND())*$G$7+$G$6</f>
        <v>-0.0129171204773434</v>
      </c>
    </row>
    <row r="1861" customFormat="false" ht="15" hidden="false" customHeight="false" outlineLevel="0" collapsed="false">
      <c r="L1861" s="31" t="n">
        <f aca="true">NORMSINV(RAND())*$G$7+$G$6</f>
        <v>0.00269810768542304</v>
      </c>
    </row>
    <row r="1862" customFormat="false" ht="15" hidden="false" customHeight="false" outlineLevel="0" collapsed="false">
      <c r="L1862" s="31" t="n">
        <f aca="true">NORMSINV(RAND())*$G$7+$G$6</f>
        <v>0.00913276471504657</v>
      </c>
    </row>
    <row r="1863" customFormat="false" ht="15" hidden="false" customHeight="false" outlineLevel="0" collapsed="false">
      <c r="L1863" s="31" t="n">
        <f aca="true">NORMSINV(RAND())*$G$7+$G$6</f>
        <v>0.00481691969412026</v>
      </c>
    </row>
    <row r="1864" customFormat="false" ht="15" hidden="false" customHeight="false" outlineLevel="0" collapsed="false">
      <c r="L1864" s="31" t="n">
        <f aca="true">NORMSINV(RAND())*$G$7+$G$6</f>
        <v>0.00508623231360983</v>
      </c>
    </row>
    <row r="1865" customFormat="false" ht="15" hidden="false" customHeight="false" outlineLevel="0" collapsed="false">
      <c r="L1865" s="31" t="n">
        <f aca="true">NORMSINV(RAND())*$G$7+$G$6</f>
        <v>-0.00623744649182275</v>
      </c>
    </row>
    <row r="1866" customFormat="false" ht="15" hidden="false" customHeight="false" outlineLevel="0" collapsed="false">
      <c r="L1866" s="31" t="n">
        <f aca="true">NORMSINV(RAND())*$G$7+$G$6</f>
        <v>-0.00800547252039964</v>
      </c>
    </row>
    <row r="1867" customFormat="false" ht="15" hidden="false" customHeight="false" outlineLevel="0" collapsed="false">
      <c r="L1867" s="31" t="n">
        <f aca="true">NORMSINV(RAND())*$G$7+$G$6</f>
        <v>0.0241306470239288</v>
      </c>
    </row>
    <row r="1868" customFormat="false" ht="15" hidden="false" customHeight="false" outlineLevel="0" collapsed="false">
      <c r="L1868" s="31" t="n">
        <f aca="true">NORMSINV(RAND())*$G$7+$G$6</f>
        <v>-0.0128266449610832</v>
      </c>
    </row>
    <row r="1869" customFormat="false" ht="15" hidden="false" customHeight="false" outlineLevel="0" collapsed="false">
      <c r="L1869" s="31" t="n">
        <f aca="true">NORMSINV(RAND())*$G$7+$G$6</f>
        <v>-0.0297484323384947</v>
      </c>
    </row>
    <row r="1870" customFormat="false" ht="15" hidden="false" customHeight="false" outlineLevel="0" collapsed="false">
      <c r="L1870" s="31" t="n">
        <f aca="true">NORMSINV(RAND())*$G$7+$G$6</f>
        <v>-0.0112475354288088</v>
      </c>
    </row>
    <row r="1871" customFormat="false" ht="15" hidden="false" customHeight="false" outlineLevel="0" collapsed="false">
      <c r="L1871" s="31" t="n">
        <f aca="true">NORMSINV(RAND())*$G$7+$G$6</f>
        <v>0.0119414065843451</v>
      </c>
    </row>
    <row r="1872" customFormat="false" ht="15" hidden="false" customHeight="false" outlineLevel="0" collapsed="false">
      <c r="L1872" s="31" t="n">
        <f aca="true">NORMSINV(RAND())*$G$7+$G$6</f>
        <v>-0.00112052335539615</v>
      </c>
    </row>
    <row r="1873" customFormat="false" ht="15" hidden="false" customHeight="false" outlineLevel="0" collapsed="false">
      <c r="L1873" s="31" t="n">
        <f aca="true">NORMSINV(RAND())*$G$7+$G$6</f>
        <v>-0.00894236958007781</v>
      </c>
    </row>
    <row r="1874" customFormat="false" ht="15" hidden="false" customHeight="false" outlineLevel="0" collapsed="false">
      <c r="L1874" s="31" t="n">
        <f aca="true">NORMSINV(RAND())*$G$7+$G$6</f>
        <v>-0.00139592100566116</v>
      </c>
    </row>
    <row r="1875" customFormat="false" ht="15" hidden="false" customHeight="false" outlineLevel="0" collapsed="false">
      <c r="L1875" s="31" t="n">
        <f aca="true">NORMSINV(RAND())*$G$7+$G$6</f>
        <v>-0.00943506974278455</v>
      </c>
    </row>
    <row r="1876" customFormat="false" ht="15" hidden="false" customHeight="false" outlineLevel="0" collapsed="false">
      <c r="L1876" s="31" t="n">
        <f aca="true">NORMSINV(RAND())*$G$7+$G$6</f>
        <v>-0.00888555650291062</v>
      </c>
    </row>
    <row r="1877" customFormat="false" ht="15" hidden="false" customHeight="false" outlineLevel="0" collapsed="false">
      <c r="L1877" s="31" t="n">
        <f aca="true">NORMSINV(RAND())*$G$7+$G$6</f>
        <v>0.000272724626801962</v>
      </c>
    </row>
    <row r="1878" customFormat="false" ht="15" hidden="false" customHeight="false" outlineLevel="0" collapsed="false">
      <c r="L1878" s="31" t="n">
        <f aca="true">NORMSINV(RAND())*$G$7+$G$6</f>
        <v>0.00461064589802753</v>
      </c>
    </row>
    <row r="1879" customFormat="false" ht="15" hidden="false" customHeight="false" outlineLevel="0" collapsed="false">
      <c r="L1879" s="31" t="n">
        <f aca="true">NORMSINV(RAND())*$G$7+$G$6</f>
        <v>0.0198431147914143</v>
      </c>
    </row>
    <row r="1880" customFormat="false" ht="15" hidden="false" customHeight="false" outlineLevel="0" collapsed="false">
      <c r="L1880" s="31" t="n">
        <f aca="true">NORMSINV(RAND())*$G$7+$G$6</f>
        <v>0.0239428719420085</v>
      </c>
    </row>
    <row r="1881" customFormat="false" ht="15" hidden="false" customHeight="false" outlineLevel="0" collapsed="false">
      <c r="L1881" s="31" t="n">
        <f aca="true">NORMSINV(RAND())*$G$7+$G$6</f>
        <v>0.00217068252210672</v>
      </c>
    </row>
    <row r="1882" customFormat="false" ht="15" hidden="false" customHeight="false" outlineLevel="0" collapsed="false">
      <c r="L1882" s="31" t="n">
        <f aca="true">NORMSINV(RAND())*$G$7+$G$6</f>
        <v>0.0163113057659172</v>
      </c>
    </row>
    <row r="1883" customFormat="false" ht="15" hidden="false" customHeight="false" outlineLevel="0" collapsed="false">
      <c r="L1883" s="31" t="n">
        <f aca="true">NORMSINV(RAND())*$G$7+$G$6</f>
        <v>-0.00758078561470104</v>
      </c>
    </row>
    <row r="1884" customFormat="false" ht="15" hidden="false" customHeight="false" outlineLevel="0" collapsed="false">
      <c r="L1884" s="31" t="n">
        <f aca="true">NORMSINV(RAND())*$G$7+$G$6</f>
        <v>0.00175643403450904</v>
      </c>
    </row>
    <row r="1885" customFormat="false" ht="15" hidden="false" customHeight="false" outlineLevel="0" collapsed="false">
      <c r="L1885" s="31" t="n">
        <f aca="true">NORMSINV(RAND())*$G$7+$G$6</f>
        <v>-0.00829584166187347</v>
      </c>
    </row>
    <row r="1886" customFormat="false" ht="15" hidden="false" customHeight="false" outlineLevel="0" collapsed="false">
      <c r="L1886" s="31" t="n">
        <f aca="true">NORMSINV(RAND())*$G$7+$G$6</f>
        <v>0.013856194247319</v>
      </c>
    </row>
    <row r="1887" customFormat="false" ht="15" hidden="false" customHeight="false" outlineLevel="0" collapsed="false">
      <c r="L1887" s="31" t="n">
        <f aca="true">NORMSINV(RAND())*$G$7+$G$6</f>
        <v>-0.00552296789049856</v>
      </c>
    </row>
    <row r="1888" customFormat="false" ht="15" hidden="false" customHeight="false" outlineLevel="0" collapsed="false">
      <c r="L1888" s="31" t="n">
        <f aca="true">NORMSINV(RAND())*$G$7+$G$6</f>
        <v>-0.00641617024863814</v>
      </c>
    </row>
    <row r="1889" customFormat="false" ht="15" hidden="false" customHeight="false" outlineLevel="0" collapsed="false">
      <c r="L1889" s="31" t="n">
        <f aca="true">NORMSINV(RAND())*$G$7+$G$6</f>
        <v>0.00735090855968121</v>
      </c>
    </row>
    <row r="1890" customFormat="false" ht="15" hidden="false" customHeight="false" outlineLevel="0" collapsed="false">
      <c r="L1890" s="31" t="n">
        <f aca="true">NORMSINV(RAND())*$G$7+$G$6</f>
        <v>0.00472080370725311</v>
      </c>
    </row>
    <row r="1891" customFormat="false" ht="15" hidden="false" customHeight="false" outlineLevel="0" collapsed="false">
      <c r="L1891" s="31" t="n">
        <f aca="true">NORMSINV(RAND())*$G$7+$G$6</f>
        <v>0.00874200883168153</v>
      </c>
    </row>
    <row r="1892" customFormat="false" ht="15" hidden="false" customHeight="false" outlineLevel="0" collapsed="false">
      <c r="L1892" s="31" t="n">
        <f aca="true">NORMSINV(RAND())*$G$7+$G$6</f>
        <v>-0.0059363434962327</v>
      </c>
    </row>
    <row r="1893" customFormat="false" ht="15" hidden="false" customHeight="false" outlineLevel="0" collapsed="false">
      <c r="L1893" s="31" t="n">
        <f aca="true">NORMSINV(RAND())*$G$7+$G$6</f>
        <v>0.0118226030968732</v>
      </c>
    </row>
    <row r="1894" customFormat="false" ht="15" hidden="false" customHeight="false" outlineLevel="0" collapsed="false">
      <c r="L1894" s="31" t="n">
        <f aca="true">NORMSINV(RAND())*$G$7+$G$6</f>
        <v>0.00366163480878356</v>
      </c>
    </row>
    <row r="1895" customFormat="false" ht="15" hidden="false" customHeight="false" outlineLevel="0" collapsed="false">
      <c r="L1895" s="31" t="n">
        <f aca="true">NORMSINV(RAND())*$G$7+$G$6</f>
        <v>-0.00468007294959554</v>
      </c>
    </row>
    <row r="1896" customFormat="false" ht="15" hidden="false" customHeight="false" outlineLevel="0" collapsed="false">
      <c r="L1896" s="31" t="n">
        <f aca="true">NORMSINV(RAND())*$G$7+$G$6</f>
        <v>0.0011485464285942</v>
      </c>
    </row>
    <row r="1897" customFormat="false" ht="15" hidden="false" customHeight="false" outlineLevel="0" collapsed="false">
      <c r="L1897" s="31" t="n">
        <f aca="true">NORMSINV(RAND())*$G$7+$G$6</f>
        <v>0.0108347812407215</v>
      </c>
    </row>
    <row r="1898" customFormat="false" ht="15" hidden="false" customHeight="false" outlineLevel="0" collapsed="false">
      <c r="L1898" s="31" t="n">
        <f aca="true">NORMSINV(RAND())*$G$7+$G$6</f>
        <v>-0.00154358118352158</v>
      </c>
    </row>
    <row r="1899" customFormat="false" ht="15" hidden="false" customHeight="false" outlineLevel="0" collapsed="false">
      <c r="L1899" s="31" t="n">
        <f aca="true">NORMSINV(RAND())*$G$7+$G$6</f>
        <v>0.0202963967294032</v>
      </c>
    </row>
    <row r="1900" customFormat="false" ht="15" hidden="false" customHeight="false" outlineLevel="0" collapsed="false">
      <c r="L1900" s="31" t="n">
        <f aca="true">NORMSINV(RAND())*$G$7+$G$6</f>
        <v>-0.00847178821842006</v>
      </c>
    </row>
    <row r="1901" customFormat="false" ht="15" hidden="false" customHeight="false" outlineLevel="0" collapsed="false">
      <c r="L1901" s="31" t="n">
        <f aca="true">NORMSINV(RAND())*$G$7+$G$6</f>
        <v>0.000723139821525232</v>
      </c>
    </row>
    <row r="1902" customFormat="false" ht="15" hidden="false" customHeight="false" outlineLevel="0" collapsed="false">
      <c r="L1902" s="31" t="n">
        <f aca="true">NORMSINV(RAND())*$G$7+$G$6</f>
        <v>-0.00255286561249482</v>
      </c>
    </row>
    <row r="1903" customFormat="false" ht="15" hidden="false" customHeight="false" outlineLevel="0" collapsed="false">
      <c r="L1903" s="31" t="n">
        <f aca="true">NORMSINV(RAND())*$G$7+$G$6</f>
        <v>-0.0110977272289531</v>
      </c>
    </row>
    <row r="1904" customFormat="false" ht="15" hidden="false" customHeight="false" outlineLevel="0" collapsed="false">
      <c r="L1904" s="31" t="n">
        <f aca="true">NORMSINV(RAND())*$G$7+$G$6</f>
        <v>-0.00486102398690692</v>
      </c>
    </row>
    <row r="1905" customFormat="false" ht="15" hidden="false" customHeight="false" outlineLevel="0" collapsed="false">
      <c r="L1905" s="31" t="n">
        <f aca="true">NORMSINV(RAND())*$G$7+$G$6</f>
        <v>-0.000222231473680104</v>
      </c>
    </row>
    <row r="1906" customFormat="false" ht="15" hidden="false" customHeight="false" outlineLevel="0" collapsed="false">
      <c r="L1906" s="31" t="n">
        <f aca="true">NORMSINV(RAND())*$G$7+$G$6</f>
        <v>0.00639546038901619</v>
      </c>
    </row>
    <row r="1907" customFormat="false" ht="15" hidden="false" customHeight="false" outlineLevel="0" collapsed="false">
      <c r="L1907" s="31" t="n">
        <f aca="true">NORMSINV(RAND())*$G$7+$G$6</f>
        <v>0.0070757409712916</v>
      </c>
    </row>
    <row r="1908" customFormat="false" ht="15" hidden="false" customHeight="false" outlineLevel="0" collapsed="false">
      <c r="L1908" s="31" t="n">
        <f aca="true">NORMSINV(RAND())*$G$7+$G$6</f>
        <v>-0.0141871865133634</v>
      </c>
    </row>
    <row r="1909" customFormat="false" ht="15" hidden="false" customHeight="false" outlineLevel="0" collapsed="false">
      <c r="L1909" s="31" t="n">
        <f aca="true">NORMSINV(RAND())*$G$7+$G$6</f>
        <v>-0.00235703525194803</v>
      </c>
    </row>
    <row r="1910" customFormat="false" ht="15" hidden="false" customHeight="false" outlineLevel="0" collapsed="false">
      <c r="L1910" s="31" t="n">
        <f aca="true">NORMSINV(RAND())*$G$7+$G$6</f>
        <v>0.0116305070482725</v>
      </c>
    </row>
    <row r="1911" customFormat="false" ht="15" hidden="false" customHeight="false" outlineLevel="0" collapsed="false">
      <c r="L1911" s="31" t="n">
        <f aca="true">NORMSINV(RAND())*$G$7+$G$6</f>
        <v>0.00344362042922088</v>
      </c>
    </row>
    <row r="1912" customFormat="false" ht="15" hidden="false" customHeight="false" outlineLevel="0" collapsed="false">
      <c r="L1912" s="31" t="n">
        <f aca="true">NORMSINV(RAND())*$G$7+$G$6</f>
        <v>-0.00457602270504705</v>
      </c>
    </row>
    <row r="1913" customFormat="false" ht="15" hidden="false" customHeight="false" outlineLevel="0" collapsed="false">
      <c r="L1913" s="31" t="n">
        <f aca="true">NORMSINV(RAND())*$G$7+$G$6</f>
        <v>0.0279358988589237</v>
      </c>
    </row>
    <row r="1914" customFormat="false" ht="15" hidden="false" customHeight="false" outlineLevel="0" collapsed="false">
      <c r="L1914" s="31" t="n">
        <f aca="true">NORMSINV(RAND())*$G$7+$G$6</f>
        <v>-0.001385473099938</v>
      </c>
    </row>
    <row r="1915" customFormat="false" ht="15" hidden="false" customHeight="false" outlineLevel="0" collapsed="false">
      <c r="L1915" s="31" t="n">
        <f aca="true">NORMSINV(RAND())*$G$7+$G$6</f>
        <v>0.00729446794548906</v>
      </c>
    </row>
    <row r="1916" customFormat="false" ht="15" hidden="false" customHeight="false" outlineLevel="0" collapsed="false">
      <c r="L1916" s="31" t="n">
        <f aca="true">NORMSINV(RAND())*$G$7+$G$6</f>
        <v>-0.0154633779827733</v>
      </c>
    </row>
    <row r="1917" customFormat="false" ht="15" hidden="false" customHeight="false" outlineLevel="0" collapsed="false">
      <c r="L1917" s="31" t="n">
        <f aca="true">NORMSINV(RAND())*$G$7+$G$6</f>
        <v>0.000264978207837855</v>
      </c>
    </row>
    <row r="1918" customFormat="false" ht="15" hidden="false" customHeight="false" outlineLevel="0" collapsed="false">
      <c r="L1918" s="31" t="n">
        <f aca="true">NORMSINV(RAND())*$G$7+$G$6</f>
        <v>-0.00547558690493882</v>
      </c>
    </row>
    <row r="1919" customFormat="false" ht="15" hidden="false" customHeight="false" outlineLevel="0" collapsed="false">
      <c r="L1919" s="31" t="n">
        <f aca="true">NORMSINV(RAND())*$G$7+$G$6</f>
        <v>0.00725939504419385</v>
      </c>
    </row>
    <row r="1920" customFormat="false" ht="15" hidden="false" customHeight="false" outlineLevel="0" collapsed="false">
      <c r="L1920" s="31" t="n">
        <f aca="true">NORMSINV(RAND())*$G$7+$G$6</f>
        <v>0.00632334901103465</v>
      </c>
    </row>
    <row r="1921" customFormat="false" ht="15" hidden="false" customHeight="false" outlineLevel="0" collapsed="false">
      <c r="L1921" s="31" t="n">
        <f aca="true">NORMSINV(RAND())*$G$7+$G$6</f>
        <v>0.00660820262637032</v>
      </c>
    </row>
    <row r="1922" customFormat="false" ht="15" hidden="false" customHeight="false" outlineLevel="0" collapsed="false">
      <c r="L1922" s="31" t="n">
        <f aca="true">NORMSINV(RAND())*$G$7+$G$6</f>
        <v>-0.00790308049894855</v>
      </c>
    </row>
    <row r="1923" customFormat="false" ht="15" hidden="false" customHeight="false" outlineLevel="0" collapsed="false">
      <c r="L1923" s="31" t="n">
        <f aca="true">NORMSINV(RAND())*$G$7+$G$6</f>
        <v>-0.00250212898792419</v>
      </c>
    </row>
    <row r="1924" customFormat="false" ht="15" hidden="false" customHeight="false" outlineLevel="0" collapsed="false">
      <c r="L1924" s="31" t="n">
        <f aca="true">NORMSINV(RAND())*$G$7+$G$6</f>
        <v>0.00218757165415409</v>
      </c>
    </row>
    <row r="1925" customFormat="false" ht="15" hidden="false" customHeight="false" outlineLevel="0" collapsed="false">
      <c r="L1925" s="31" t="n">
        <f aca="true">NORMSINV(RAND())*$G$7+$G$6</f>
        <v>-0.0135400330991559</v>
      </c>
    </row>
    <row r="1926" customFormat="false" ht="15" hidden="false" customHeight="false" outlineLevel="0" collapsed="false">
      <c r="L1926" s="31" t="n">
        <f aca="true">NORMSINV(RAND())*$G$7+$G$6</f>
        <v>-0.0213343662254212</v>
      </c>
    </row>
    <row r="1927" customFormat="false" ht="15" hidden="false" customHeight="false" outlineLevel="0" collapsed="false">
      <c r="L1927" s="31" t="n">
        <f aca="true">NORMSINV(RAND())*$G$7+$G$6</f>
        <v>0.00978114207371448</v>
      </c>
    </row>
    <row r="1928" customFormat="false" ht="15" hidden="false" customHeight="false" outlineLevel="0" collapsed="false">
      <c r="L1928" s="31" t="n">
        <f aca="true">NORMSINV(RAND())*$G$7+$G$6</f>
        <v>0.0117693452727968</v>
      </c>
    </row>
    <row r="1929" customFormat="false" ht="15" hidden="false" customHeight="false" outlineLevel="0" collapsed="false">
      <c r="L1929" s="31" t="n">
        <f aca="true">NORMSINV(RAND())*$G$7+$G$6</f>
        <v>-0.016687074170105</v>
      </c>
    </row>
    <row r="1930" customFormat="false" ht="15" hidden="false" customHeight="false" outlineLevel="0" collapsed="false">
      <c r="L1930" s="31" t="n">
        <f aca="true">NORMSINV(RAND())*$G$7+$G$6</f>
        <v>0.000582753456995973</v>
      </c>
    </row>
    <row r="1931" customFormat="false" ht="15" hidden="false" customHeight="false" outlineLevel="0" collapsed="false">
      <c r="L1931" s="31" t="n">
        <f aca="true">NORMSINV(RAND())*$G$7+$G$6</f>
        <v>0.0114747877575858</v>
      </c>
    </row>
    <row r="1932" customFormat="false" ht="15" hidden="false" customHeight="false" outlineLevel="0" collapsed="false">
      <c r="L1932" s="31" t="n">
        <f aca="true">NORMSINV(RAND())*$G$7+$G$6</f>
        <v>0.0228029412624738</v>
      </c>
    </row>
    <row r="1933" customFormat="false" ht="15" hidden="false" customHeight="false" outlineLevel="0" collapsed="false">
      <c r="L1933" s="31" t="n">
        <f aca="true">NORMSINV(RAND())*$G$7+$G$6</f>
        <v>-0.00252177315086945</v>
      </c>
    </row>
    <row r="1934" customFormat="false" ht="15" hidden="false" customHeight="false" outlineLevel="0" collapsed="false">
      <c r="L1934" s="31" t="n">
        <f aca="true">NORMSINV(RAND())*$G$7+$G$6</f>
        <v>0.00753313611944604</v>
      </c>
    </row>
    <row r="1935" customFormat="false" ht="15" hidden="false" customHeight="false" outlineLevel="0" collapsed="false">
      <c r="L1935" s="31" t="n">
        <f aca="true">NORMSINV(RAND())*$G$7+$G$6</f>
        <v>0.00447455322427342</v>
      </c>
    </row>
    <row r="1936" customFormat="false" ht="15" hidden="false" customHeight="false" outlineLevel="0" collapsed="false">
      <c r="L1936" s="31" t="n">
        <f aca="true">NORMSINV(RAND())*$G$7+$G$6</f>
        <v>0.0106078708115782</v>
      </c>
    </row>
    <row r="1937" customFormat="false" ht="15" hidden="false" customHeight="false" outlineLevel="0" collapsed="false">
      <c r="L1937" s="31" t="n">
        <f aca="true">NORMSINV(RAND())*$G$7+$G$6</f>
        <v>-0.000586453013652017</v>
      </c>
    </row>
    <row r="1938" customFormat="false" ht="15" hidden="false" customHeight="false" outlineLevel="0" collapsed="false">
      <c r="L1938" s="31" t="n">
        <f aca="true">NORMSINV(RAND())*$G$7+$G$6</f>
        <v>0.0125400803777543</v>
      </c>
    </row>
    <row r="1939" customFormat="false" ht="15" hidden="false" customHeight="false" outlineLevel="0" collapsed="false">
      <c r="L1939" s="31" t="n">
        <f aca="true">NORMSINV(RAND())*$G$7+$G$6</f>
        <v>-0.0137582696834605</v>
      </c>
    </row>
    <row r="1940" customFormat="false" ht="15" hidden="false" customHeight="false" outlineLevel="0" collapsed="false">
      <c r="L1940" s="31" t="n">
        <f aca="true">NORMSINV(RAND())*$G$7+$G$6</f>
        <v>-0.0155298027354053</v>
      </c>
    </row>
    <row r="1941" customFormat="false" ht="15" hidden="false" customHeight="false" outlineLevel="0" collapsed="false">
      <c r="L1941" s="31" t="n">
        <f aca="true">NORMSINV(RAND())*$G$7+$G$6</f>
        <v>0.0306326399045623</v>
      </c>
    </row>
    <row r="1942" customFormat="false" ht="15" hidden="false" customHeight="false" outlineLevel="0" collapsed="false">
      <c r="L1942" s="31" t="n">
        <f aca="true">NORMSINV(RAND())*$G$7+$G$6</f>
        <v>-0.0138085109955754</v>
      </c>
    </row>
    <row r="1943" customFormat="false" ht="15" hidden="false" customHeight="false" outlineLevel="0" collapsed="false">
      <c r="L1943" s="31" t="n">
        <f aca="true">NORMSINV(RAND())*$G$7+$G$6</f>
        <v>-0.0112237596557246</v>
      </c>
    </row>
    <row r="1944" customFormat="false" ht="15" hidden="false" customHeight="false" outlineLevel="0" collapsed="false">
      <c r="L1944" s="31" t="n">
        <f aca="true">NORMSINV(RAND())*$G$7+$G$6</f>
        <v>-0.0141718213536397</v>
      </c>
    </row>
    <row r="1945" customFormat="false" ht="15" hidden="false" customHeight="false" outlineLevel="0" collapsed="false">
      <c r="L1945" s="31" t="n">
        <f aca="true">NORMSINV(RAND())*$G$7+$G$6</f>
        <v>0.0133655692512539</v>
      </c>
    </row>
    <row r="1946" customFormat="false" ht="15" hidden="false" customHeight="false" outlineLevel="0" collapsed="false">
      <c r="L1946" s="31" t="n">
        <f aca="true">NORMSINV(RAND())*$G$7+$G$6</f>
        <v>-0.00257686127532616</v>
      </c>
    </row>
    <row r="1947" customFormat="false" ht="15" hidden="false" customHeight="false" outlineLevel="0" collapsed="false">
      <c r="L1947" s="31" t="n">
        <f aca="true">NORMSINV(RAND())*$G$7+$G$6</f>
        <v>-0.00577166399989406</v>
      </c>
    </row>
    <row r="1948" customFormat="false" ht="15" hidden="false" customHeight="false" outlineLevel="0" collapsed="false">
      <c r="L1948" s="31" t="n">
        <f aca="true">NORMSINV(RAND())*$G$7+$G$6</f>
        <v>0.00188557178814439</v>
      </c>
    </row>
    <row r="1949" customFormat="false" ht="15" hidden="false" customHeight="false" outlineLevel="0" collapsed="false">
      <c r="L1949" s="31" t="n">
        <f aca="true">NORMSINV(RAND())*$G$7+$G$6</f>
        <v>-0.0221441534686179</v>
      </c>
    </row>
    <row r="1950" customFormat="false" ht="15" hidden="false" customHeight="false" outlineLevel="0" collapsed="false">
      <c r="L1950" s="31" t="n">
        <f aca="true">NORMSINV(RAND())*$G$7+$G$6</f>
        <v>-0.00908405178774628</v>
      </c>
    </row>
    <row r="1951" customFormat="false" ht="15" hidden="false" customHeight="false" outlineLevel="0" collapsed="false">
      <c r="L1951" s="31" t="n">
        <f aca="true">NORMSINV(RAND())*$G$7+$G$6</f>
        <v>0.00515723699693326</v>
      </c>
    </row>
    <row r="1952" customFormat="false" ht="15" hidden="false" customHeight="false" outlineLevel="0" collapsed="false">
      <c r="L1952" s="31" t="n">
        <f aca="true">NORMSINV(RAND())*$G$7+$G$6</f>
        <v>-0.00911712382487279</v>
      </c>
    </row>
    <row r="1953" customFormat="false" ht="15" hidden="false" customHeight="false" outlineLevel="0" collapsed="false">
      <c r="L1953" s="31" t="n">
        <f aca="true">NORMSINV(RAND())*$G$7+$G$6</f>
        <v>-0.00673756389386135</v>
      </c>
    </row>
    <row r="1954" customFormat="false" ht="15" hidden="false" customHeight="false" outlineLevel="0" collapsed="false">
      <c r="L1954" s="31" t="n">
        <f aca="true">NORMSINV(RAND())*$G$7+$G$6</f>
        <v>-3.98409607750174E-005</v>
      </c>
    </row>
    <row r="1955" customFormat="false" ht="15" hidden="false" customHeight="false" outlineLevel="0" collapsed="false">
      <c r="L1955" s="31" t="n">
        <f aca="true">NORMSINV(RAND())*$G$7+$G$6</f>
        <v>-0.00107954364737442</v>
      </c>
    </row>
    <row r="1956" customFormat="false" ht="15" hidden="false" customHeight="false" outlineLevel="0" collapsed="false">
      <c r="L1956" s="31" t="n">
        <f aca="true">NORMSINV(RAND())*$G$7+$G$6</f>
        <v>0.0127648215413179</v>
      </c>
    </row>
    <row r="1957" customFormat="false" ht="15" hidden="false" customHeight="false" outlineLevel="0" collapsed="false">
      <c r="L1957" s="31" t="n">
        <f aca="true">NORMSINV(RAND())*$G$7+$G$6</f>
        <v>0.0115265455491039</v>
      </c>
    </row>
    <row r="1958" customFormat="false" ht="15" hidden="false" customHeight="false" outlineLevel="0" collapsed="false">
      <c r="L1958" s="31" t="n">
        <f aca="true">NORMSINV(RAND())*$G$7+$G$6</f>
        <v>-0.00566007379389891</v>
      </c>
    </row>
    <row r="1959" customFormat="false" ht="15" hidden="false" customHeight="false" outlineLevel="0" collapsed="false">
      <c r="L1959" s="31" t="n">
        <f aca="true">NORMSINV(RAND())*$G$7+$G$6</f>
        <v>-0.0118500749187405</v>
      </c>
    </row>
    <row r="1960" customFormat="false" ht="15" hidden="false" customHeight="false" outlineLevel="0" collapsed="false">
      <c r="L1960" s="31" t="n">
        <f aca="true">NORMSINV(RAND())*$G$7+$G$6</f>
        <v>0.00305862391791482</v>
      </c>
    </row>
    <row r="1961" customFormat="false" ht="15" hidden="false" customHeight="false" outlineLevel="0" collapsed="false">
      <c r="L1961" s="31" t="n">
        <f aca="true">NORMSINV(RAND())*$G$7+$G$6</f>
        <v>0.0137987612106485</v>
      </c>
    </row>
    <row r="1962" customFormat="false" ht="15" hidden="false" customHeight="false" outlineLevel="0" collapsed="false">
      <c r="L1962" s="31" t="n">
        <f aca="true">NORMSINV(RAND())*$G$7+$G$6</f>
        <v>0.00150740520951963</v>
      </c>
    </row>
    <row r="1963" customFormat="false" ht="15" hidden="false" customHeight="false" outlineLevel="0" collapsed="false">
      <c r="L1963" s="31" t="n">
        <f aca="true">NORMSINV(RAND())*$G$7+$G$6</f>
        <v>0.00290436539624653</v>
      </c>
    </row>
    <row r="1964" customFormat="false" ht="15" hidden="false" customHeight="false" outlineLevel="0" collapsed="false">
      <c r="L1964" s="31" t="n">
        <f aca="true">NORMSINV(RAND())*$G$7+$G$6</f>
        <v>-0.0213133745114374</v>
      </c>
    </row>
    <row r="1965" customFormat="false" ht="15" hidden="false" customHeight="false" outlineLevel="0" collapsed="false">
      <c r="L1965" s="31" t="n">
        <f aca="true">NORMSINV(RAND())*$G$7+$G$6</f>
        <v>0.0208088558742351</v>
      </c>
    </row>
    <row r="1966" customFormat="false" ht="15" hidden="false" customHeight="false" outlineLevel="0" collapsed="false">
      <c r="L1966" s="31" t="n">
        <f aca="true">NORMSINV(RAND())*$G$7+$G$6</f>
        <v>0.00259395560348138</v>
      </c>
    </row>
    <row r="1967" customFormat="false" ht="15" hidden="false" customHeight="false" outlineLevel="0" collapsed="false">
      <c r="L1967" s="31" t="n">
        <f aca="true">NORMSINV(RAND())*$G$7+$G$6</f>
        <v>-0.012411764899695</v>
      </c>
    </row>
    <row r="1968" customFormat="false" ht="15" hidden="false" customHeight="false" outlineLevel="0" collapsed="false">
      <c r="L1968" s="31" t="n">
        <f aca="true">NORMSINV(RAND())*$G$7+$G$6</f>
        <v>0.0114661981432492</v>
      </c>
    </row>
    <row r="1969" customFormat="false" ht="15" hidden="false" customHeight="false" outlineLevel="0" collapsed="false">
      <c r="L1969" s="31" t="n">
        <f aca="true">NORMSINV(RAND())*$G$7+$G$6</f>
        <v>0.00572616152332284</v>
      </c>
    </row>
    <row r="1970" customFormat="false" ht="15" hidden="false" customHeight="false" outlineLevel="0" collapsed="false">
      <c r="L1970" s="31" t="n">
        <f aca="true">NORMSINV(RAND())*$G$7+$G$6</f>
        <v>-0.00122976116929086</v>
      </c>
    </row>
    <row r="1971" customFormat="false" ht="15" hidden="false" customHeight="false" outlineLevel="0" collapsed="false">
      <c r="L1971" s="31" t="n">
        <f aca="true">NORMSINV(RAND())*$G$7+$G$6</f>
        <v>0.00147831167042438</v>
      </c>
    </row>
    <row r="1972" customFormat="false" ht="15" hidden="false" customHeight="false" outlineLevel="0" collapsed="false">
      <c r="L1972" s="31" t="n">
        <f aca="true">NORMSINV(RAND())*$G$7+$G$6</f>
        <v>-0.00672705694980892</v>
      </c>
    </row>
    <row r="1973" customFormat="false" ht="15" hidden="false" customHeight="false" outlineLevel="0" collapsed="false">
      <c r="L1973" s="31" t="n">
        <f aca="true">NORMSINV(RAND())*$G$7+$G$6</f>
        <v>-0.00725783324012821</v>
      </c>
    </row>
    <row r="1974" customFormat="false" ht="15" hidden="false" customHeight="false" outlineLevel="0" collapsed="false">
      <c r="L1974" s="31" t="n">
        <f aca="true">NORMSINV(RAND())*$G$7+$G$6</f>
        <v>0.00331280459479902</v>
      </c>
    </row>
    <row r="1975" customFormat="false" ht="15" hidden="false" customHeight="false" outlineLevel="0" collapsed="false">
      <c r="L1975" s="31" t="n">
        <f aca="true">NORMSINV(RAND())*$G$7+$G$6</f>
        <v>-0.00929232363030296</v>
      </c>
    </row>
    <row r="1976" customFormat="false" ht="15" hidden="false" customHeight="false" outlineLevel="0" collapsed="false">
      <c r="L1976" s="31" t="n">
        <f aca="true">NORMSINV(RAND())*$G$7+$G$6</f>
        <v>-0.00548904293901707</v>
      </c>
    </row>
    <row r="1977" customFormat="false" ht="15" hidden="false" customHeight="false" outlineLevel="0" collapsed="false">
      <c r="L1977" s="31" t="n">
        <f aca="true">NORMSINV(RAND())*$G$7+$G$6</f>
        <v>0.00540128239584921</v>
      </c>
    </row>
    <row r="1978" customFormat="false" ht="15" hidden="false" customHeight="false" outlineLevel="0" collapsed="false">
      <c r="L1978" s="31" t="n">
        <f aca="true">NORMSINV(RAND())*$G$7+$G$6</f>
        <v>-0.0202434541894612</v>
      </c>
    </row>
    <row r="1979" customFormat="false" ht="15" hidden="false" customHeight="false" outlineLevel="0" collapsed="false">
      <c r="L1979" s="31" t="n">
        <f aca="true">NORMSINV(RAND())*$G$7+$G$6</f>
        <v>-0.0193866680067702</v>
      </c>
    </row>
    <row r="1980" customFormat="false" ht="15" hidden="false" customHeight="false" outlineLevel="0" collapsed="false">
      <c r="L1980" s="31" t="n">
        <f aca="true">NORMSINV(RAND())*$G$7+$G$6</f>
        <v>-0.00283016234626432</v>
      </c>
    </row>
    <row r="1981" customFormat="false" ht="15" hidden="false" customHeight="false" outlineLevel="0" collapsed="false">
      <c r="L1981" s="31" t="n">
        <f aca="true">NORMSINV(RAND())*$G$7+$G$6</f>
        <v>-0.0185696901733701</v>
      </c>
    </row>
    <row r="1982" customFormat="false" ht="15" hidden="false" customHeight="false" outlineLevel="0" collapsed="false">
      <c r="L1982" s="31" t="n">
        <f aca="true">NORMSINV(RAND())*$G$7+$G$6</f>
        <v>0.0137716350732531</v>
      </c>
    </row>
    <row r="1983" customFormat="false" ht="15" hidden="false" customHeight="false" outlineLevel="0" collapsed="false">
      <c r="L1983" s="31" t="n">
        <f aca="true">NORMSINV(RAND())*$G$7+$G$6</f>
        <v>0.00823029340888584</v>
      </c>
    </row>
    <row r="1984" customFormat="false" ht="15" hidden="false" customHeight="false" outlineLevel="0" collapsed="false">
      <c r="L1984" s="31" t="n">
        <f aca="true">NORMSINV(RAND())*$G$7+$G$6</f>
        <v>0.00407703154156621</v>
      </c>
    </row>
    <row r="1985" customFormat="false" ht="15" hidden="false" customHeight="false" outlineLevel="0" collapsed="false">
      <c r="L1985" s="31" t="n">
        <f aca="true">NORMSINV(RAND())*$G$7+$G$6</f>
        <v>-0.00688129579006559</v>
      </c>
    </row>
    <row r="1986" customFormat="false" ht="15" hidden="false" customHeight="false" outlineLevel="0" collapsed="false">
      <c r="L1986" s="31" t="n">
        <f aca="true">NORMSINV(RAND())*$G$7+$G$6</f>
        <v>-0.00652052554680734</v>
      </c>
    </row>
    <row r="1987" customFormat="false" ht="15" hidden="false" customHeight="false" outlineLevel="0" collapsed="false">
      <c r="L1987" s="31" t="n">
        <f aca="true">NORMSINV(RAND())*$G$7+$G$6</f>
        <v>-0.0114424871007908</v>
      </c>
    </row>
    <row r="1988" customFormat="false" ht="15" hidden="false" customHeight="false" outlineLevel="0" collapsed="false">
      <c r="L1988" s="31" t="n">
        <f aca="true">NORMSINV(RAND())*$G$7+$G$6</f>
        <v>0.00826965991043558</v>
      </c>
    </row>
    <row r="1989" customFormat="false" ht="15" hidden="false" customHeight="false" outlineLevel="0" collapsed="false">
      <c r="L1989" s="31" t="n">
        <f aca="true">NORMSINV(RAND())*$G$7+$G$6</f>
        <v>0.0135133354965833</v>
      </c>
    </row>
    <row r="1990" customFormat="false" ht="15" hidden="false" customHeight="false" outlineLevel="0" collapsed="false">
      <c r="L1990" s="31" t="n">
        <f aca="true">NORMSINV(RAND())*$G$7+$G$6</f>
        <v>0.000649602639629785</v>
      </c>
    </row>
    <row r="1991" customFormat="false" ht="15" hidden="false" customHeight="false" outlineLevel="0" collapsed="false">
      <c r="L1991" s="31" t="n">
        <f aca="true">NORMSINV(RAND())*$G$7+$G$6</f>
        <v>0.00773344225897739</v>
      </c>
    </row>
    <row r="1992" customFormat="false" ht="15" hidden="false" customHeight="false" outlineLevel="0" collapsed="false">
      <c r="L1992" s="31" t="n">
        <f aca="true">NORMSINV(RAND())*$G$7+$G$6</f>
        <v>0.0261280130146723</v>
      </c>
    </row>
    <row r="1993" customFormat="false" ht="15" hidden="false" customHeight="false" outlineLevel="0" collapsed="false">
      <c r="L1993" s="31" t="n">
        <f aca="true">NORMSINV(RAND())*$G$7+$G$6</f>
        <v>-0.0184394774187996</v>
      </c>
    </row>
    <row r="1994" customFormat="false" ht="15" hidden="false" customHeight="false" outlineLevel="0" collapsed="false">
      <c r="L1994" s="31" t="n">
        <f aca="true">NORMSINV(RAND())*$G$7+$G$6</f>
        <v>0.0290342964706026</v>
      </c>
    </row>
    <row r="1995" customFormat="false" ht="15" hidden="false" customHeight="false" outlineLevel="0" collapsed="false">
      <c r="L1995" s="31" t="n">
        <f aca="true">NORMSINV(RAND())*$G$7+$G$6</f>
        <v>0.00295628623984586</v>
      </c>
    </row>
    <row r="1996" customFormat="false" ht="15" hidden="false" customHeight="false" outlineLevel="0" collapsed="false">
      <c r="L1996" s="31" t="n">
        <f aca="true">NORMSINV(RAND())*$G$7+$G$6</f>
        <v>-0.0161078884987676</v>
      </c>
    </row>
    <row r="1997" customFormat="false" ht="15" hidden="false" customHeight="false" outlineLevel="0" collapsed="false">
      <c r="L1997" s="31" t="n">
        <f aca="true">NORMSINV(RAND())*$G$7+$G$6</f>
        <v>0.000860882702017138</v>
      </c>
    </row>
    <row r="1998" customFormat="false" ht="15" hidden="false" customHeight="false" outlineLevel="0" collapsed="false">
      <c r="L1998" s="31" t="n">
        <f aca="true">NORMSINV(RAND())*$G$7+$G$6</f>
        <v>0.00525459420254583</v>
      </c>
    </row>
    <row r="1999" customFormat="false" ht="15" hidden="false" customHeight="false" outlineLevel="0" collapsed="false">
      <c r="L1999" s="31" t="n">
        <f aca="true">NORMSINV(RAND())*$G$7+$G$6</f>
        <v>-0.0127590277115776</v>
      </c>
    </row>
    <row r="2000" customFormat="false" ht="15" hidden="false" customHeight="false" outlineLevel="0" collapsed="false">
      <c r="L2000" s="31" t="n">
        <f aca="true">NORMSINV(RAND())*$G$7+$G$6</f>
        <v>-0.0125109787913858</v>
      </c>
    </row>
    <row r="2001" customFormat="false" ht="15" hidden="false" customHeight="false" outlineLevel="0" collapsed="false">
      <c r="L2001" s="31" t="n">
        <f aca="true">NORMSINV(RAND())*$G$7+$G$6</f>
        <v>-0.0148152430889061</v>
      </c>
    </row>
    <row r="2002" customFormat="false" ht="15" hidden="false" customHeight="false" outlineLevel="0" collapsed="false">
      <c r="L2002" s="31" t="n">
        <f aca="true">NORMSINV(RAND())*$G$7+$G$6</f>
        <v>0.0111371505786561</v>
      </c>
    </row>
    <row r="2003" customFormat="false" ht="15" hidden="false" customHeight="false" outlineLevel="0" collapsed="false">
      <c r="L2003" s="31" t="n">
        <f aca="true">NORMSINV(RAND())*$G$7+$G$6</f>
        <v>0.0147436251238959</v>
      </c>
    </row>
    <row r="2004" customFormat="false" ht="15" hidden="false" customHeight="false" outlineLevel="0" collapsed="false">
      <c r="L2004" s="31" t="n">
        <f aca="true">NORMSINV(RAND())*$G$7+$G$6</f>
        <v>-0.000710922056282196</v>
      </c>
    </row>
    <row r="2005" customFormat="false" ht="15" hidden="false" customHeight="false" outlineLevel="0" collapsed="false">
      <c r="L2005" s="31" t="n">
        <f aca="true">NORMSINV(RAND())*$G$7+$G$6</f>
        <v>-0.00334232642078498</v>
      </c>
    </row>
    <row r="2006" customFormat="false" ht="15" hidden="false" customHeight="false" outlineLevel="0" collapsed="false">
      <c r="L2006" s="31" t="n">
        <f aca="true">NORMSINV(RAND())*$G$7+$G$6</f>
        <v>0.0182448762226213</v>
      </c>
    </row>
    <row r="2007" customFormat="false" ht="15" hidden="false" customHeight="false" outlineLevel="0" collapsed="false">
      <c r="L2007" s="31" t="n">
        <f aca="true">NORMSINV(RAND())*$G$7+$G$6</f>
        <v>0.00243439934503648</v>
      </c>
    </row>
    <row r="2008" customFormat="false" ht="15" hidden="false" customHeight="false" outlineLevel="0" collapsed="false">
      <c r="L2008" s="31" t="n">
        <f aca="true">NORMSINV(RAND())*$G$7+$G$6</f>
        <v>-0.00265412876032128</v>
      </c>
    </row>
    <row r="2009" customFormat="false" ht="15" hidden="false" customHeight="false" outlineLevel="0" collapsed="false">
      <c r="L2009" s="31" t="n">
        <f aca="true">NORMSINV(RAND())*$G$7+$G$6</f>
        <v>0.0109115894751651</v>
      </c>
    </row>
    <row r="2010" customFormat="false" ht="15" hidden="false" customHeight="false" outlineLevel="0" collapsed="false">
      <c r="L2010" s="31" t="n">
        <f aca="true">NORMSINV(RAND())*$G$7+$G$6</f>
        <v>0.0232878198875784</v>
      </c>
    </row>
    <row r="2011" customFormat="false" ht="15" hidden="false" customHeight="false" outlineLevel="0" collapsed="false">
      <c r="L2011" s="31" t="n">
        <f aca="true">NORMSINV(RAND())*$G$7+$G$6</f>
        <v>-0.0149513167044351</v>
      </c>
    </row>
    <row r="2012" customFormat="false" ht="15" hidden="false" customHeight="false" outlineLevel="0" collapsed="false">
      <c r="L2012" s="31" t="n">
        <f aca="true">NORMSINV(RAND())*$G$7+$G$6</f>
        <v>0.0140673405054101</v>
      </c>
    </row>
    <row r="2013" customFormat="false" ht="15" hidden="false" customHeight="false" outlineLevel="0" collapsed="false">
      <c r="L2013" s="31" t="n">
        <f aca="true">NORMSINV(RAND())*$G$7+$G$6</f>
        <v>0.00507784608276799</v>
      </c>
    </row>
    <row r="2014" customFormat="false" ht="15" hidden="false" customHeight="false" outlineLevel="0" collapsed="false">
      <c r="L2014" s="31" t="n">
        <f aca="true">NORMSINV(RAND())*$G$7+$G$6</f>
        <v>0.0200280971871044</v>
      </c>
    </row>
    <row r="2015" customFormat="false" ht="15" hidden="false" customHeight="false" outlineLevel="0" collapsed="false">
      <c r="L2015" s="31" t="n">
        <f aca="true">NORMSINV(RAND())*$G$7+$G$6</f>
        <v>0.0026479534433554</v>
      </c>
    </row>
    <row r="2016" customFormat="false" ht="15" hidden="false" customHeight="false" outlineLevel="0" collapsed="false">
      <c r="L2016" s="31" t="n">
        <f aca="true">NORMSINV(RAND())*$G$7+$G$6</f>
        <v>-0.00498011090848985</v>
      </c>
    </row>
    <row r="2017" customFormat="false" ht="15" hidden="false" customHeight="false" outlineLevel="0" collapsed="false">
      <c r="L2017" s="31" t="n">
        <f aca="true">NORMSINV(RAND())*$G$7+$G$6</f>
        <v>0.0104136552532572</v>
      </c>
    </row>
    <row r="2018" customFormat="false" ht="15" hidden="false" customHeight="false" outlineLevel="0" collapsed="false">
      <c r="L2018" s="31" t="n">
        <f aca="true">NORMSINV(RAND())*$G$7+$G$6</f>
        <v>-0.0137870399456671</v>
      </c>
    </row>
    <row r="2019" customFormat="false" ht="15" hidden="false" customHeight="false" outlineLevel="0" collapsed="false">
      <c r="L2019" s="31" t="n">
        <f aca="true">NORMSINV(RAND())*$G$7+$G$6</f>
        <v>-0.00505335096127067</v>
      </c>
    </row>
    <row r="2020" customFormat="false" ht="15" hidden="false" customHeight="false" outlineLevel="0" collapsed="false">
      <c r="L2020" s="31" t="n">
        <f aca="true">NORMSINV(RAND())*$G$7+$G$6</f>
        <v>0.0104435488650843</v>
      </c>
    </row>
    <row r="2021" customFormat="false" ht="15" hidden="false" customHeight="false" outlineLevel="0" collapsed="false">
      <c r="L2021" s="31" t="n">
        <f aca="true">NORMSINV(RAND())*$G$7+$G$6</f>
        <v>0.00426807868130843</v>
      </c>
    </row>
    <row r="2022" customFormat="false" ht="15" hidden="false" customHeight="false" outlineLevel="0" collapsed="false">
      <c r="L2022" s="31" t="n">
        <f aca="true">NORMSINV(RAND())*$G$7+$G$6</f>
        <v>-0.00176797175752235</v>
      </c>
    </row>
    <row r="2023" customFormat="false" ht="15" hidden="false" customHeight="false" outlineLevel="0" collapsed="false">
      <c r="L2023" s="31" t="n">
        <f aca="true">NORMSINV(RAND())*$G$7+$G$6</f>
        <v>0.0272097778726773</v>
      </c>
    </row>
    <row r="2024" customFormat="false" ht="15" hidden="false" customHeight="false" outlineLevel="0" collapsed="false">
      <c r="L2024" s="31" t="n">
        <f aca="true">NORMSINV(RAND())*$G$7+$G$6</f>
        <v>-0.00454692379833019</v>
      </c>
    </row>
    <row r="2025" customFormat="false" ht="15" hidden="false" customHeight="false" outlineLevel="0" collapsed="false">
      <c r="L2025" s="31" t="n">
        <f aca="true">NORMSINV(RAND())*$G$7+$G$6</f>
        <v>0.0169015452442266</v>
      </c>
    </row>
    <row r="2026" customFormat="false" ht="15" hidden="false" customHeight="false" outlineLevel="0" collapsed="false">
      <c r="L2026" s="31" t="n">
        <f aca="true">NORMSINV(RAND())*$G$7+$G$6</f>
        <v>-0.011147954013709</v>
      </c>
    </row>
    <row r="2027" customFormat="false" ht="15" hidden="false" customHeight="false" outlineLevel="0" collapsed="false">
      <c r="L2027" s="31" t="n">
        <f aca="true">NORMSINV(RAND())*$G$7+$G$6</f>
        <v>0.0217787578508755</v>
      </c>
    </row>
    <row r="2028" customFormat="false" ht="15" hidden="false" customHeight="false" outlineLevel="0" collapsed="false">
      <c r="L2028" s="31" t="n">
        <f aca="true">NORMSINV(RAND())*$G$7+$G$6</f>
        <v>-0.0203987783344055</v>
      </c>
    </row>
    <row r="2029" customFormat="false" ht="15" hidden="false" customHeight="false" outlineLevel="0" collapsed="false">
      <c r="L2029" s="31" t="n">
        <f aca="true">NORMSINV(RAND())*$G$7+$G$6</f>
        <v>0.000349852320762671</v>
      </c>
    </row>
    <row r="2030" customFormat="false" ht="15" hidden="false" customHeight="false" outlineLevel="0" collapsed="false">
      <c r="L2030" s="31" t="n">
        <f aca="true">NORMSINV(RAND())*$G$7+$G$6</f>
        <v>-0.00329621297257358</v>
      </c>
    </row>
    <row r="2031" customFormat="false" ht="15" hidden="false" customHeight="false" outlineLevel="0" collapsed="false">
      <c r="L2031" s="31" t="n">
        <f aca="true">NORMSINV(RAND())*$G$7+$G$6</f>
        <v>0.0022834055050902</v>
      </c>
    </row>
    <row r="2032" customFormat="false" ht="15" hidden="false" customHeight="false" outlineLevel="0" collapsed="false">
      <c r="L2032" s="31" t="n">
        <f aca="true">NORMSINV(RAND())*$G$7+$G$6</f>
        <v>-0.00331793026409318</v>
      </c>
    </row>
    <row r="2033" customFormat="false" ht="15" hidden="false" customHeight="false" outlineLevel="0" collapsed="false">
      <c r="L2033" s="31" t="n">
        <f aca="true">NORMSINV(RAND())*$G$7+$G$6</f>
        <v>0.00626418582809569</v>
      </c>
    </row>
    <row r="2034" customFormat="false" ht="15" hidden="false" customHeight="false" outlineLevel="0" collapsed="false">
      <c r="L2034" s="31" t="n">
        <f aca="true">NORMSINV(RAND())*$G$7+$G$6</f>
        <v>-0.00270536700435358</v>
      </c>
    </row>
    <row r="2035" customFormat="false" ht="15" hidden="false" customHeight="false" outlineLevel="0" collapsed="false">
      <c r="L2035" s="31" t="n">
        <f aca="true">NORMSINV(RAND())*$G$7+$G$6</f>
        <v>-0.0198267775014177</v>
      </c>
    </row>
    <row r="2036" customFormat="false" ht="15" hidden="false" customHeight="false" outlineLevel="0" collapsed="false">
      <c r="L2036" s="31" t="n">
        <f aca="true">NORMSINV(RAND())*$G$7+$G$6</f>
        <v>0.0295799861736989</v>
      </c>
    </row>
    <row r="2037" customFormat="false" ht="15" hidden="false" customHeight="false" outlineLevel="0" collapsed="false">
      <c r="L2037" s="31" t="n">
        <f aca="true">NORMSINV(RAND())*$G$7+$G$6</f>
        <v>-0.0278412698966887</v>
      </c>
    </row>
    <row r="2038" customFormat="false" ht="15" hidden="false" customHeight="false" outlineLevel="0" collapsed="false">
      <c r="L2038" s="31" t="n">
        <f aca="true">NORMSINV(RAND())*$G$7+$G$6</f>
        <v>0.0122300917145935</v>
      </c>
    </row>
    <row r="2039" customFormat="false" ht="15" hidden="false" customHeight="false" outlineLevel="0" collapsed="false">
      <c r="L2039" s="31" t="n">
        <f aca="true">NORMSINV(RAND())*$G$7+$G$6</f>
        <v>0.00475682604926711</v>
      </c>
    </row>
    <row r="2040" customFormat="false" ht="15" hidden="false" customHeight="false" outlineLevel="0" collapsed="false">
      <c r="L2040" s="31" t="n">
        <f aca="true">NORMSINV(RAND())*$G$7+$G$6</f>
        <v>0.0106633584170951</v>
      </c>
    </row>
    <row r="2041" customFormat="false" ht="15" hidden="false" customHeight="false" outlineLevel="0" collapsed="false">
      <c r="L2041" s="31" t="n">
        <f aca="true">NORMSINV(RAND())*$G$7+$G$6</f>
        <v>0.0271283178841007</v>
      </c>
    </row>
    <row r="2042" customFormat="false" ht="15" hidden="false" customHeight="false" outlineLevel="0" collapsed="false">
      <c r="L2042" s="31" t="n">
        <f aca="true">NORMSINV(RAND())*$G$7+$G$6</f>
        <v>-0.00250148837968455</v>
      </c>
    </row>
    <row r="2043" customFormat="false" ht="15" hidden="false" customHeight="false" outlineLevel="0" collapsed="false">
      <c r="L2043" s="31" t="n">
        <f aca="true">NORMSINV(RAND())*$G$7+$G$6</f>
        <v>-0.010323624084416</v>
      </c>
    </row>
    <row r="2044" customFormat="false" ht="15" hidden="false" customHeight="false" outlineLevel="0" collapsed="false">
      <c r="L2044" s="31" t="n">
        <f aca="true">NORMSINV(RAND())*$G$7+$G$6</f>
        <v>-0.0277910285785928</v>
      </c>
    </row>
    <row r="2045" customFormat="false" ht="15" hidden="false" customHeight="false" outlineLevel="0" collapsed="false">
      <c r="L2045" s="31" t="n">
        <f aca="true">NORMSINV(RAND())*$G$7+$G$6</f>
        <v>0.0115448710196731</v>
      </c>
    </row>
    <row r="2046" customFormat="false" ht="15" hidden="false" customHeight="false" outlineLevel="0" collapsed="false">
      <c r="L2046" s="31" t="n">
        <f aca="true">NORMSINV(RAND())*$G$7+$G$6</f>
        <v>-0.0119799560633295</v>
      </c>
    </row>
    <row r="2047" customFormat="false" ht="15" hidden="false" customHeight="false" outlineLevel="0" collapsed="false">
      <c r="L2047" s="31" t="n">
        <f aca="true">NORMSINV(RAND())*$G$7+$G$6</f>
        <v>-0.0021828413796459</v>
      </c>
    </row>
    <row r="2048" customFormat="false" ht="15" hidden="false" customHeight="false" outlineLevel="0" collapsed="false">
      <c r="L2048" s="31" t="n">
        <f aca="true">NORMSINV(RAND())*$G$7+$G$6</f>
        <v>-0.0184583341538647</v>
      </c>
    </row>
    <row r="2049" customFormat="false" ht="15" hidden="false" customHeight="false" outlineLevel="0" collapsed="false">
      <c r="L2049" s="31" t="n">
        <f aca="true">NORMSINV(RAND())*$G$7+$G$6</f>
        <v>-0.00504599673932701</v>
      </c>
    </row>
    <row r="2050" customFormat="false" ht="15" hidden="false" customHeight="false" outlineLevel="0" collapsed="false">
      <c r="L2050" s="31" t="n">
        <f aca="true">NORMSINV(RAND())*$G$7+$G$6</f>
        <v>0.0147237327997421</v>
      </c>
    </row>
    <row r="2051" customFormat="false" ht="15" hidden="false" customHeight="false" outlineLevel="0" collapsed="false">
      <c r="L2051" s="31" t="n">
        <f aca="true">NORMSINV(RAND())*$G$7+$G$6</f>
        <v>0.0104117066811488</v>
      </c>
    </row>
    <row r="2052" customFormat="false" ht="15" hidden="false" customHeight="false" outlineLevel="0" collapsed="false">
      <c r="L2052" s="31" t="n">
        <f aca="true">NORMSINV(RAND())*$G$7+$G$6</f>
        <v>0.0166147836829097</v>
      </c>
    </row>
    <row r="2053" customFormat="false" ht="15" hidden="false" customHeight="false" outlineLevel="0" collapsed="false">
      <c r="L2053" s="31" t="n">
        <f aca="true">NORMSINV(RAND())*$G$7+$G$6</f>
        <v>2.67965775523084E-005</v>
      </c>
    </row>
    <row r="2054" customFormat="false" ht="15" hidden="false" customHeight="false" outlineLevel="0" collapsed="false">
      <c r="L2054" s="31" t="n">
        <f aca="true">NORMSINV(RAND())*$G$7+$G$6</f>
        <v>0.0236588172550522</v>
      </c>
    </row>
    <row r="2055" customFormat="false" ht="15" hidden="false" customHeight="false" outlineLevel="0" collapsed="false">
      <c r="L2055" s="31" t="n">
        <f aca="true">NORMSINV(RAND())*$G$7+$G$6</f>
        <v>0.00541246263584803</v>
      </c>
    </row>
    <row r="2056" customFormat="false" ht="15" hidden="false" customHeight="false" outlineLevel="0" collapsed="false">
      <c r="L2056" s="31" t="n">
        <f aca="true">NORMSINV(RAND())*$G$7+$G$6</f>
        <v>0.0201016913232463</v>
      </c>
    </row>
    <row r="2057" customFormat="false" ht="15" hidden="false" customHeight="false" outlineLevel="0" collapsed="false">
      <c r="L2057" s="31" t="n">
        <f aca="true">NORMSINV(RAND())*$G$7+$G$6</f>
        <v>0.0020950951978487</v>
      </c>
    </row>
    <row r="2058" customFormat="false" ht="15" hidden="false" customHeight="false" outlineLevel="0" collapsed="false">
      <c r="L2058" s="31" t="n">
        <f aca="true">NORMSINV(RAND())*$G$7+$G$6</f>
        <v>0.00794965432662065</v>
      </c>
    </row>
    <row r="2059" customFormat="false" ht="15" hidden="false" customHeight="false" outlineLevel="0" collapsed="false">
      <c r="L2059" s="31" t="n">
        <f aca="true">NORMSINV(RAND())*$G$7+$G$6</f>
        <v>0.00326204513662531</v>
      </c>
    </row>
    <row r="2060" customFormat="false" ht="15" hidden="false" customHeight="false" outlineLevel="0" collapsed="false">
      <c r="L2060" s="31" t="n">
        <f aca="true">NORMSINV(RAND())*$G$7+$G$6</f>
        <v>-0.017257471584506</v>
      </c>
    </row>
    <row r="2061" customFormat="false" ht="15" hidden="false" customHeight="false" outlineLevel="0" collapsed="false">
      <c r="L2061" s="31" t="n">
        <f aca="true">NORMSINV(RAND())*$G$7+$G$6</f>
        <v>0.00181322866525566</v>
      </c>
    </row>
    <row r="2062" customFormat="false" ht="15" hidden="false" customHeight="false" outlineLevel="0" collapsed="false">
      <c r="L2062" s="31" t="n">
        <f aca="true">NORMSINV(RAND())*$G$7+$G$6</f>
        <v>0.0266526517021341</v>
      </c>
    </row>
    <row r="2063" customFormat="false" ht="15" hidden="false" customHeight="false" outlineLevel="0" collapsed="false">
      <c r="L2063" s="31" t="n">
        <f aca="true">NORMSINV(RAND())*$G$7+$G$6</f>
        <v>-0.0076792196796053</v>
      </c>
    </row>
    <row r="2064" customFormat="false" ht="15" hidden="false" customHeight="false" outlineLevel="0" collapsed="false">
      <c r="L2064" s="31" t="n">
        <f aca="true">NORMSINV(RAND())*$G$7+$G$6</f>
        <v>0.0115787882369234</v>
      </c>
    </row>
    <row r="2065" customFormat="false" ht="15" hidden="false" customHeight="false" outlineLevel="0" collapsed="false">
      <c r="L2065" s="31" t="n">
        <f aca="true">NORMSINV(RAND())*$G$7+$G$6</f>
        <v>-0.00501210326604111</v>
      </c>
    </row>
    <row r="2066" customFormat="false" ht="15" hidden="false" customHeight="false" outlineLevel="0" collapsed="false">
      <c r="L2066" s="31" t="n">
        <f aca="true">NORMSINV(RAND())*$G$7+$G$6</f>
        <v>0.00615406304821538</v>
      </c>
    </row>
    <row r="2067" customFormat="false" ht="15" hidden="false" customHeight="false" outlineLevel="0" collapsed="false">
      <c r="L2067" s="31" t="n">
        <f aca="true">NORMSINV(RAND())*$G$7+$G$6</f>
        <v>0.00911475287800555</v>
      </c>
    </row>
    <row r="2068" customFormat="false" ht="15" hidden="false" customHeight="false" outlineLevel="0" collapsed="false">
      <c r="L2068" s="31" t="n">
        <f aca="true">NORMSINV(RAND())*$G$7+$G$6</f>
        <v>0.00541493686553528</v>
      </c>
    </row>
    <row r="2069" customFormat="false" ht="15" hidden="false" customHeight="false" outlineLevel="0" collapsed="false">
      <c r="L2069" s="31" t="n">
        <f aca="true">NORMSINV(RAND())*$G$7+$G$6</f>
        <v>-0.00669590675365608</v>
      </c>
    </row>
    <row r="2070" customFormat="false" ht="15" hidden="false" customHeight="false" outlineLevel="0" collapsed="false">
      <c r="L2070" s="31" t="n">
        <f aca="true">NORMSINV(RAND())*$G$7+$G$6</f>
        <v>-0.010752944489483</v>
      </c>
    </row>
    <row r="2071" customFormat="false" ht="15" hidden="false" customHeight="false" outlineLevel="0" collapsed="false">
      <c r="L2071" s="31" t="n">
        <f aca="true">NORMSINV(RAND())*$G$7+$G$6</f>
        <v>-0.0043630276513189</v>
      </c>
    </row>
    <row r="2072" customFormat="false" ht="15" hidden="false" customHeight="false" outlineLevel="0" collapsed="false">
      <c r="L2072" s="31" t="n">
        <f aca="true">NORMSINV(RAND())*$G$7+$G$6</f>
        <v>0.0143867003996775</v>
      </c>
    </row>
    <row r="2073" customFormat="false" ht="15" hidden="false" customHeight="false" outlineLevel="0" collapsed="false">
      <c r="L2073" s="31" t="n">
        <f aca="true">NORMSINV(RAND())*$G$7+$G$6</f>
        <v>-0.00477964631712768</v>
      </c>
    </row>
    <row r="2074" customFormat="false" ht="15" hidden="false" customHeight="false" outlineLevel="0" collapsed="false">
      <c r="L2074" s="31" t="n">
        <f aca="true">NORMSINV(RAND())*$G$7+$G$6</f>
        <v>-0.00496050555027302</v>
      </c>
    </row>
    <row r="2075" customFormat="false" ht="15" hidden="false" customHeight="false" outlineLevel="0" collapsed="false">
      <c r="L2075" s="31" t="n">
        <f aca="true">NORMSINV(RAND())*$G$7+$G$6</f>
        <v>0.0138906961696642</v>
      </c>
    </row>
    <row r="2076" customFormat="false" ht="15" hidden="false" customHeight="false" outlineLevel="0" collapsed="false">
      <c r="L2076" s="31" t="n">
        <f aca="true">NORMSINV(RAND())*$G$7+$G$6</f>
        <v>-0.0218056956950887</v>
      </c>
    </row>
    <row r="2077" customFormat="false" ht="15" hidden="false" customHeight="false" outlineLevel="0" collapsed="false">
      <c r="L2077" s="31" t="n">
        <f aca="true">NORMSINV(RAND())*$G$7+$G$6</f>
        <v>0.00705404777335521</v>
      </c>
    </row>
    <row r="2078" customFormat="false" ht="15" hidden="false" customHeight="false" outlineLevel="0" collapsed="false">
      <c r="L2078" s="31" t="n">
        <f aca="true">NORMSINV(RAND())*$G$7+$G$6</f>
        <v>0.00896171776758717</v>
      </c>
    </row>
    <row r="2079" customFormat="false" ht="15" hidden="false" customHeight="false" outlineLevel="0" collapsed="false">
      <c r="L2079" s="31" t="n">
        <f aca="true">NORMSINV(RAND())*$G$7+$G$6</f>
        <v>0.0127149978544535</v>
      </c>
    </row>
    <row r="2080" customFormat="false" ht="15" hidden="false" customHeight="false" outlineLevel="0" collapsed="false">
      <c r="L2080" s="31" t="n">
        <f aca="true">NORMSINV(RAND())*$G$7+$G$6</f>
        <v>-0.0115838940009383</v>
      </c>
    </row>
    <row r="2081" customFormat="false" ht="15" hidden="false" customHeight="false" outlineLevel="0" collapsed="false">
      <c r="L2081" s="31" t="n">
        <f aca="true">NORMSINV(RAND())*$G$7+$G$6</f>
        <v>-0.00658048847123989</v>
      </c>
    </row>
    <row r="2082" customFormat="false" ht="15" hidden="false" customHeight="false" outlineLevel="0" collapsed="false">
      <c r="L2082" s="31" t="n">
        <f aca="true">NORMSINV(RAND())*$G$7+$G$6</f>
        <v>0.0185907047118278</v>
      </c>
    </row>
    <row r="2083" customFormat="false" ht="15" hidden="false" customHeight="false" outlineLevel="0" collapsed="false">
      <c r="L2083" s="31" t="n">
        <f aca="true">NORMSINV(RAND())*$G$7+$G$6</f>
        <v>0.0186965219729858</v>
      </c>
    </row>
    <row r="2084" customFormat="false" ht="15" hidden="false" customHeight="false" outlineLevel="0" collapsed="false">
      <c r="L2084" s="31" t="n">
        <f aca="true">NORMSINV(RAND())*$G$7+$G$6</f>
        <v>-0.0218594250080621</v>
      </c>
    </row>
    <row r="2085" customFormat="false" ht="15" hidden="false" customHeight="false" outlineLevel="0" collapsed="false">
      <c r="L2085" s="31" t="n">
        <f aca="true">NORMSINV(RAND())*$G$7+$G$6</f>
        <v>-0.0168408458766259</v>
      </c>
    </row>
    <row r="2086" customFormat="false" ht="15" hidden="false" customHeight="false" outlineLevel="0" collapsed="false">
      <c r="L2086" s="31" t="n">
        <f aca="true">NORMSINV(RAND())*$G$7+$G$6</f>
        <v>0.0133354015453745</v>
      </c>
    </row>
    <row r="2087" customFormat="false" ht="15" hidden="false" customHeight="false" outlineLevel="0" collapsed="false">
      <c r="L2087" s="31" t="n">
        <f aca="true">NORMSINV(RAND())*$G$7+$G$6</f>
        <v>-0.017295804797493</v>
      </c>
    </row>
    <row r="2088" customFormat="false" ht="15" hidden="false" customHeight="false" outlineLevel="0" collapsed="false">
      <c r="L2088" s="31" t="n">
        <f aca="true">NORMSINV(RAND())*$G$7+$G$6</f>
        <v>0.000471184104928239</v>
      </c>
    </row>
    <row r="2089" customFormat="false" ht="15" hidden="false" customHeight="false" outlineLevel="0" collapsed="false">
      <c r="L2089" s="31" t="n">
        <f aca="true">NORMSINV(RAND())*$G$7+$G$6</f>
        <v>0.00933941726551569</v>
      </c>
    </row>
    <row r="2090" customFormat="false" ht="15" hidden="false" customHeight="false" outlineLevel="0" collapsed="false">
      <c r="L2090" s="31" t="n">
        <f aca="true">NORMSINV(RAND())*$G$7+$G$6</f>
        <v>0.00843815970701899</v>
      </c>
    </row>
    <row r="2091" customFormat="false" ht="15" hidden="false" customHeight="false" outlineLevel="0" collapsed="false">
      <c r="L2091" s="31" t="n">
        <f aca="true">NORMSINV(RAND())*$G$7+$G$6</f>
        <v>-0.0143069983192381</v>
      </c>
    </row>
    <row r="2092" customFormat="false" ht="15" hidden="false" customHeight="false" outlineLevel="0" collapsed="false">
      <c r="L2092" s="31" t="n">
        <f aca="true">NORMSINV(RAND())*$G$7+$G$6</f>
        <v>0.00948182743774131</v>
      </c>
    </row>
    <row r="2093" customFormat="false" ht="15" hidden="false" customHeight="false" outlineLevel="0" collapsed="false">
      <c r="L2093" s="31" t="n">
        <f aca="true">NORMSINV(RAND())*$G$7+$G$6</f>
        <v>-0.00131381593291266</v>
      </c>
    </row>
    <row r="2094" customFormat="false" ht="15" hidden="false" customHeight="false" outlineLevel="0" collapsed="false">
      <c r="L2094" s="31" t="n">
        <f aca="true">NORMSINV(RAND())*$G$7+$G$6</f>
        <v>0.0109872986660004</v>
      </c>
    </row>
    <row r="2095" customFormat="false" ht="15" hidden="false" customHeight="false" outlineLevel="0" collapsed="false">
      <c r="L2095" s="31" t="n">
        <f aca="true">NORMSINV(RAND())*$G$7+$G$6</f>
        <v>0.0048057195168783</v>
      </c>
    </row>
    <row r="2096" customFormat="false" ht="15" hidden="false" customHeight="false" outlineLevel="0" collapsed="false">
      <c r="L2096" s="31" t="n">
        <f aca="true">NORMSINV(RAND())*$G$7+$G$6</f>
        <v>-0.00272431195153454</v>
      </c>
    </row>
    <row r="2097" customFormat="false" ht="15" hidden="false" customHeight="false" outlineLevel="0" collapsed="false">
      <c r="L2097" s="31" t="n">
        <f aca="true">NORMSINV(RAND())*$G$7+$G$6</f>
        <v>-0.0136197268490887</v>
      </c>
    </row>
    <row r="2098" customFormat="false" ht="15" hidden="false" customHeight="false" outlineLevel="0" collapsed="false">
      <c r="L2098" s="31" t="n">
        <f aca="true">NORMSINV(RAND())*$G$7+$G$6</f>
        <v>0.00159140298565828</v>
      </c>
    </row>
    <row r="2099" customFormat="false" ht="15" hidden="false" customHeight="false" outlineLevel="0" collapsed="false">
      <c r="L2099" s="31" t="n">
        <f aca="true">NORMSINV(RAND())*$G$7+$G$6</f>
        <v>0.00292842206709504</v>
      </c>
    </row>
    <row r="2100" customFormat="false" ht="15" hidden="false" customHeight="false" outlineLevel="0" collapsed="false">
      <c r="L2100" s="31" t="n">
        <f aca="true">NORMSINV(RAND())*$G$7+$G$6</f>
        <v>-0.00842592282831277</v>
      </c>
    </row>
    <row r="2101" customFormat="false" ht="15" hidden="false" customHeight="false" outlineLevel="0" collapsed="false">
      <c r="L2101" s="31" t="n">
        <f aca="true">NORMSINV(RAND())*$G$7+$G$6</f>
        <v>0.00157153107221833</v>
      </c>
    </row>
    <row r="2102" customFormat="false" ht="15" hidden="false" customHeight="false" outlineLevel="0" collapsed="false">
      <c r="L2102" s="31" t="n">
        <f aca="true">NORMSINV(RAND())*$G$7+$G$6</f>
        <v>0.0144748959369171</v>
      </c>
    </row>
    <row r="2103" customFormat="false" ht="15" hidden="false" customHeight="false" outlineLevel="0" collapsed="false">
      <c r="L2103" s="31" t="n">
        <f aca="true">NORMSINV(RAND())*$G$7+$G$6</f>
        <v>0.0151863888661369</v>
      </c>
    </row>
    <row r="2104" customFormat="false" ht="15" hidden="false" customHeight="false" outlineLevel="0" collapsed="false">
      <c r="L2104" s="31" t="n">
        <f aca="true">NORMSINV(RAND())*$G$7+$G$6</f>
        <v>-0.0117259202146101</v>
      </c>
    </row>
    <row r="2105" customFormat="false" ht="15" hidden="false" customHeight="false" outlineLevel="0" collapsed="false">
      <c r="L2105" s="31" t="n">
        <f aca="true">NORMSINV(RAND())*$G$7+$G$6</f>
        <v>0.0293914810822375</v>
      </c>
    </row>
    <row r="2106" customFormat="false" ht="15" hidden="false" customHeight="false" outlineLevel="0" collapsed="false">
      <c r="L2106" s="31" t="n">
        <f aca="true">NORMSINV(RAND())*$G$7+$G$6</f>
        <v>-0.00556345440040203</v>
      </c>
    </row>
    <row r="2107" customFormat="false" ht="15" hidden="false" customHeight="false" outlineLevel="0" collapsed="false">
      <c r="L2107" s="31" t="n">
        <f aca="true">NORMSINV(RAND())*$G$7+$G$6</f>
        <v>-0.00988361545231037</v>
      </c>
    </row>
    <row r="2108" customFormat="false" ht="15" hidden="false" customHeight="false" outlineLevel="0" collapsed="false">
      <c r="L2108" s="31" t="n">
        <f aca="true">NORMSINV(RAND())*$G$7+$G$6</f>
        <v>0.018976642327231</v>
      </c>
    </row>
    <row r="2109" customFormat="false" ht="15" hidden="false" customHeight="false" outlineLevel="0" collapsed="false">
      <c r="L2109" s="31" t="n">
        <f aca="true">NORMSINV(RAND())*$G$7+$G$6</f>
        <v>-0.0231342962384579</v>
      </c>
    </row>
    <row r="2110" customFormat="false" ht="15" hidden="false" customHeight="false" outlineLevel="0" collapsed="false">
      <c r="L2110" s="31" t="n">
        <f aca="true">NORMSINV(RAND())*$G$7+$G$6</f>
        <v>0.00130619345668111</v>
      </c>
    </row>
    <row r="2111" customFormat="false" ht="15" hidden="false" customHeight="false" outlineLevel="0" collapsed="false">
      <c r="L2111" s="31" t="n">
        <f aca="true">NORMSINV(RAND())*$G$7+$G$6</f>
        <v>-0.00691226388424513</v>
      </c>
    </row>
    <row r="2112" customFormat="false" ht="15" hidden="false" customHeight="false" outlineLevel="0" collapsed="false">
      <c r="L2112" s="31" t="n">
        <f aca="true">NORMSINV(RAND())*$G$7+$G$6</f>
        <v>0.00239261310420617</v>
      </c>
    </row>
    <row r="2113" customFormat="false" ht="15" hidden="false" customHeight="false" outlineLevel="0" collapsed="false">
      <c r="L2113" s="31" t="n">
        <f aca="true">NORMSINV(RAND())*$G$7+$G$6</f>
        <v>0.00861280724929513</v>
      </c>
    </row>
    <row r="2114" customFormat="false" ht="15" hidden="false" customHeight="false" outlineLevel="0" collapsed="false">
      <c r="L2114" s="31" t="n">
        <f aca="true">NORMSINV(RAND())*$G$7+$G$6</f>
        <v>-0.0150272703998835</v>
      </c>
    </row>
    <row r="2115" customFormat="false" ht="15" hidden="false" customHeight="false" outlineLevel="0" collapsed="false">
      <c r="L2115" s="31" t="n">
        <f aca="true">NORMSINV(RAND())*$G$7+$G$6</f>
        <v>0.00419744312313817</v>
      </c>
    </row>
    <row r="2116" customFormat="false" ht="15" hidden="false" customHeight="false" outlineLevel="0" collapsed="false">
      <c r="L2116" s="31" t="n">
        <f aca="true">NORMSINV(RAND())*$G$7+$G$6</f>
        <v>-0.00194659906361128</v>
      </c>
    </row>
    <row r="2117" customFormat="false" ht="15" hidden="false" customHeight="false" outlineLevel="0" collapsed="false">
      <c r="L2117" s="31" t="n">
        <f aca="true">NORMSINV(RAND())*$G$7+$G$6</f>
        <v>0.00429541065287872</v>
      </c>
    </row>
    <row r="2118" customFormat="false" ht="15" hidden="false" customHeight="false" outlineLevel="0" collapsed="false">
      <c r="L2118" s="31" t="n">
        <f aca="true">NORMSINV(RAND())*$G$7+$G$6</f>
        <v>0.0017290554309387</v>
      </c>
    </row>
    <row r="2119" customFormat="false" ht="15" hidden="false" customHeight="false" outlineLevel="0" collapsed="false">
      <c r="L2119" s="31" t="n">
        <f aca="true">NORMSINV(RAND())*$G$7+$G$6</f>
        <v>0.00251719489816315</v>
      </c>
    </row>
    <row r="2120" customFormat="false" ht="15" hidden="false" customHeight="false" outlineLevel="0" collapsed="false">
      <c r="L2120" s="31" t="n">
        <f aca="true">NORMSINV(RAND())*$G$7+$G$6</f>
        <v>0.0234208412704221</v>
      </c>
    </row>
    <row r="2121" customFormat="false" ht="15" hidden="false" customHeight="false" outlineLevel="0" collapsed="false">
      <c r="L2121" s="31" t="n">
        <f aca="true">NORMSINV(RAND())*$G$7+$G$6</f>
        <v>0.00354354979838466</v>
      </c>
    </row>
    <row r="2122" customFormat="false" ht="15" hidden="false" customHeight="false" outlineLevel="0" collapsed="false">
      <c r="L2122" s="31" t="n">
        <f aca="true">NORMSINV(RAND())*$G$7+$G$6</f>
        <v>-0.0118278468349781</v>
      </c>
    </row>
    <row r="2123" customFormat="false" ht="15" hidden="false" customHeight="false" outlineLevel="0" collapsed="false">
      <c r="L2123" s="31" t="n">
        <f aca="true">NORMSINV(RAND())*$G$7+$G$6</f>
        <v>0.00467996612314127</v>
      </c>
    </row>
    <row r="2124" customFormat="false" ht="15" hidden="false" customHeight="false" outlineLevel="0" collapsed="false">
      <c r="L2124" s="31" t="n">
        <f aca="true">NORMSINV(RAND())*$G$7+$G$6</f>
        <v>-0.000531798076978709</v>
      </c>
    </row>
    <row r="2125" customFormat="false" ht="15" hidden="false" customHeight="false" outlineLevel="0" collapsed="false">
      <c r="L2125" s="31" t="n">
        <f aca="true">NORMSINV(RAND())*$G$7+$G$6</f>
        <v>0.00784008668590546</v>
      </c>
    </row>
    <row r="2126" customFormat="false" ht="15" hidden="false" customHeight="false" outlineLevel="0" collapsed="false">
      <c r="L2126" s="31" t="n">
        <f aca="true">NORMSINV(RAND())*$G$7+$G$6</f>
        <v>0.0101483408204521</v>
      </c>
    </row>
    <row r="2127" customFormat="false" ht="15" hidden="false" customHeight="false" outlineLevel="0" collapsed="false">
      <c r="L2127" s="31" t="n">
        <f aca="true">NORMSINV(RAND())*$G$7+$G$6</f>
        <v>0.00798978147477606</v>
      </c>
    </row>
    <row r="2128" customFormat="false" ht="15" hidden="false" customHeight="false" outlineLevel="0" collapsed="false">
      <c r="L2128" s="31" t="n">
        <f aca="true">NORMSINV(RAND())*$G$7+$G$6</f>
        <v>-0.0182272060808268</v>
      </c>
    </row>
    <row r="2129" customFormat="false" ht="15" hidden="false" customHeight="false" outlineLevel="0" collapsed="false">
      <c r="L2129" s="31" t="n">
        <f aca="true">NORMSINV(RAND())*$G$7+$G$6</f>
        <v>-0.00669476180279798</v>
      </c>
    </row>
    <row r="2130" customFormat="false" ht="15" hidden="false" customHeight="false" outlineLevel="0" collapsed="false">
      <c r="L2130" s="31" t="n">
        <f aca="true">NORMSINV(RAND())*$G$7+$G$6</f>
        <v>-0.00353398869895874</v>
      </c>
    </row>
    <row r="2131" customFormat="false" ht="15" hidden="false" customHeight="false" outlineLevel="0" collapsed="false">
      <c r="L2131" s="31" t="n">
        <f aca="true">NORMSINV(RAND())*$G$7+$G$6</f>
        <v>0.000454268633698663</v>
      </c>
    </row>
    <row r="2132" customFormat="false" ht="15" hidden="false" customHeight="false" outlineLevel="0" collapsed="false">
      <c r="L2132" s="31" t="n">
        <f aca="true">NORMSINV(RAND())*$G$7+$G$6</f>
        <v>-0.00123635925539474</v>
      </c>
    </row>
    <row r="2133" customFormat="false" ht="15" hidden="false" customHeight="false" outlineLevel="0" collapsed="false">
      <c r="L2133" s="31" t="n">
        <f aca="true">NORMSINV(RAND())*$G$7+$G$6</f>
        <v>-0.00624883751706563</v>
      </c>
    </row>
    <row r="2134" customFormat="false" ht="15" hidden="false" customHeight="false" outlineLevel="0" collapsed="false">
      <c r="L2134" s="31" t="n">
        <f aca="true">NORMSINV(RAND())*$G$7+$G$6</f>
        <v>-0.000221355075894974</v>
      </c>
    </row>
    <row r="2135" customFormat="false" ht="15" hidden="false" customHeight="false" outlineLevel="0" collapsed="false">
      <c r="L2135" s="31" t="n">
        <f aca="true">NORMSINV(RAND())*$G$7+$G$6</f>
        <v>-0.000370802188694093</v>
      </c>
    </row>
    <row r="2136" customFormat="false" ht="15" hidden="false" customHeight="false" outlineLevel="0" collapsed="false">
      <c r="L2136" s="31" t="n">
        <f aca="true">NORMSINV(RAND())*$G$7+$G$6</f>
        <v>-0.00942615122281554</v>
      </c>
    </row>
    <row r="2137" customFormat="false" ht="15" hidden="false" customHeight="false" outlineLevel="0" collapsed="false">
      <c r="L2137" s="31" t="n">
        <f aca="true">NORMSINV(RAND())*$G$7+$G$6</f>
        <v>-0.00520437200399881</v>
      </c>
    </row>
    <row r="2138" customFormat="false" ht="15" hidden="false" customHeight="false" outlineLevel="0" collapsed="false">
      <c r="L2138" s="31" t="n">
        <f aca="true">NORMSINV(RAND())*$G$7+$G$6</f>
        <v>0.0133643923183114</v>
      </c>
    </row>
    <row r="2139" customFormat="false" ht="15" hidden="false" customHeight="false" outlineLevel="0" collapsed="false">
      <c r="L2139" s="31" t="n">
        <f aca="true">NORMSINV(RAND())*$G$7+$G$6</f>
        <v>2.21153335462958E-005</v>
      </c>
    </row>
    <row r="2140" customFormat="false" ht="15" hidden="false" customHeight="false" outlineLevel="0" collapsed="false">
      <c r="L2140" s="31" t="n">
        <f aca="true">NORMSINV(RAND())*$G$7+$G$6</f>
        <v>0.00390896812349078</v>
      </c>
    </row>
    <row r="2141" customFormat="false" ht="15" hidden="false" customHeight="false" outlineLevel="0" collapsed="false">
      <c r="L2141" s="31" t="n">
        <f aca="true">NORMSINV(RAND())*$G$7+$G$6</f>
        <v>-0.0130161647463808</v>
      </c>
    </row>
    <row r="2142" customFormat="false" ht="15" hidden="false" customHeight="false" outlineLevel="0" collapsed="false">
      <c r="L2142" s="31" t="n">
        <f aca="true">NORMSINV(RAND())*$G$7+$G$6</f>
        <v>-0.0076712929864572</v>
      </c>
    </row>
    <row r="2143" customFormat="false" ht="15" hidden="false" customHeight="false" outlineLevel="0" collapsed="false">
      <c r="L2143" s="31" t="n">
        <f aca="true">NORMSINV(RAND())*$G$7+$G$6</f>
        <v>-0.0136084436291211</v>
      </c>
    </row>
    <row r="2144" customFormat="false" ht="15" hidden="false" customHeight="false" outlineLevel="0" collapsed="false">
      <c r="L2144" s="31" t="n">
        <f aca="true">NORMSINV(RAND())*$G$7+$G$6</f>
        <v>-0.00909932001631102</v>
      </c>
    </row>
    <row r="2145" customFormat="false" ht="15" hidden="false" customHeight="false" outlineLevel="0" collapsed="false">
      <c r="L2145" s="31" t="n">
        <f aca="true">NORMSINV(RAND())*$G$7+$G$6</f>
        <v>0.00142988650422381</v>
      </c>
    </row>
    <row r="2146" customFormat="false" ht="15" hidden="false" customHeight="false" outlineLevel="0" collapsed="false">
      <c r="L2146" s="31" t="n">
        <f aca="true">NORMSINV(RAND())*$G$7+$G$6</f>
        <v>0.0023022214846268</v>
      </c>
    </row>
    <row r="2147" customFormat="false" ht="15" hidden="false" customHeight="false" outlineLevel="0" collapsed="false">
      <c r="L2147" s="31" t="n">
        <f aca="true">NORMSINV(RAND())*$G$7+$G$6</f>
        <v>-0.0173076499820201</v>
      </c>
    </row>
    <row r="2148" customFormat="false" ht="15" hidden="false" customHeight="false" outlineLevel="0" collapsed="false">
      <c r="L2148" s="31" t="n">
        <f aca="true">NORMSINV(RAND())*$G$7+$G$6</f>
        <v>-0.00706021308687302</v>
      </c>
    </row>
    <row r="2149" customFormat="false" ht="15" hidden="false" customHeight="false" outlineLevel="0" collapsed="false">
      <c r="L2149" s="31" t="n">
        <f aca="true">NORMSINV(RAND())*$G$7+$G$6</f>
        <v>-0.0187984793275506</v>
      </c>
    </row>
    <row r="2150" customFormat="false" ht="15" hidden="false" customHeight="false" outlineLevel="0" collapsed="false">
      <c r="L2150" s="31" t="n">
        <f aca="true">NORMSINV(RAND())*$G$7+$G$6</f>
        <v>0.00269480511107604</v>
      </c>
    </row>
    <row r="2151" customFormat="false" ht="15" hidden="false" customHeight="false" outlineLevel="0" collapsed="false">
      <c r="L2151" s="31" t="n">
        <f aca="true">NORMSINV(RAND())*$G$7+$G$6</f>
        <v>0.00184655210767844</v>
      </c>
    </row>
    <row r="2152" customFormat="false" ht="15" hidden="false" customHeight="false" outlineLevel="0" collapsed="false">
      <c r="L2152" s="31" t="n">
        <f aca="true">NORMSINV(RAND())*$G$7+$G$6</f>
        <v>-0.0151901392214819</v>
      </c>
    </row>
    <row r="2153" customFormat="false" ht="15" hidden="false" customHeight="false" outlineLevel="0" collapsed="false">
      <c r="L2153" s="31" t="n">
        <f aca="true">NORMSINV(RAND())*$G$7+$G$6</f>
        <v>0.0137444285631356</v>
      </c>
    </row>
    <row r="2154" customFormat="false" ht="15" hidden="false" customHeight="false" outlineLevel="0" collapsed="false">
      <c r="L2154" s="31" t="n">
        <f aca="true">NORMSINV(RAND())*$G$7+$G$6</f>
        <v>0.00862455631943387</v>
      </c>
    </row>
    <row r="2155" customFormat="false" ht="15" hidden="false" customHeight="false" outlineLevel="0" collapsed="false">
      <c r="L2155" s="31" t="n">
        <f aca="true">NORMSINV(RAND())*$G$7+$G$6</f>
        <v>0.00888774624977735</v>
      </c>
    </row>
    <row r="2156" customFormat="false" ht="15" hidden="false" customHeight="false" outlineLevel="0" collapsed="false">
      <c r="L2156" s="31" t="n">
        <f aca="true">NORMSINV(RAND())*$G$7+$G$6</f>
        <v>0.0208828652914062</v>
      </c>
    </row>
    <row r="2157" customFormat="false" ht="15" hidden="false" customHeight="false" outlineLevel="0" collapsed="false">
      <c r="L2157" s="31" t="n">
        <f aca="true">NORMSINV(RAND())*$G$7+$G$6</f>
        <v>-0.00765789198246457</v>
      </c>
    </row>
    <row r="2158" customFormat="false" ht="15" hidden="false" customHeight="false" outlineLevel="0" collapsed="false">
      <c r="L2158" s="31" t="n">
        <f aca="true">NORMSINV(RAND())*$G$7+$G$6</f>
        <v>0.0250449063245485</v>
      </c>
    </row>
    <row r="2159" customFormat="false" ht="15" hidden="false" customHeight="false" outlineLevel="0" collapsed="false">
      <c r="L2159" s="31" t="n">
        <f aca="true">NORMSINV(RAND())*$G$7+$G$6</f>
        <v>-0.00025017368927945</v>
      </c>
    </row>
    <row r="2160" customFormat="false" ht="15" hidden="false" customHeight="false" outlineLevel="0" collapsed="false">
      <c r="L2160" s="31" t="n">
        <f aca="true">NORMSINV(RAND())*$G$7+$G$6</f>
        <v>0.0067628712234633</v>
      </c>
    </row>
    <row r="2161" customFormat="false" ht="15" hidden="false" customHeight="false" outlineLevel="0" collapsed="false">
      <c r="L2161" s="31" t="n">
        <f aca="true">NORMSINV(RAND())*$G$7+$G$6</f>
        <v>-0.0184760529583319</v>
      </c>
    </row>
    <row r="2162" customFormat="false" ht="15" hidden="false" customHeight="false" outlineLevel="0" collapsed="false">
      <c r="L2162" s="31" t="n">
        <f aca="true">NORMSINV(RAND())*$G$7+$G$6</f>
        <v>0.00986766661924201</v>
      </c>
    </row>
    <row r="2163" customFormat="false" ht="15" hidden="false" customHeight="false" outlineLevel="0" collapsed="false">
      <c r="L2163" s="31" t="n">
        <f aca="true">NORMSINV(RAND())*$G$7+$G$6</f>
        <v>0.0033272220576197</v>
      </c>
    </row>
    <row r="2164" customFormat="false" ht="15" hidden="false" customHeight="false" outlineLevel="0" collapsed="false">
      <c r="L2164" s="31" t="n">
        <f aca="true">NORMSINV(RAND())*$G$7+$G$6</f>
        <v>0.00674408370310646</v>
      </c>
    </row>
    <row r="2165" customFormat="false" ht="15" hidden="false" customHeight="false" outlineLevel="0" collapsed="false">
      <c r="L2165" s="31" t="n">
        <f aca="true">NORMSINV(RAND())*$G$7+$G$6</f>
        <v>0.019104055623041</v>
      </c>
    </row>
    <row r="2166" customFormat="false" ht="15" hidden="false" customHeight="false" outlineLevel="0" collapsed="false">
      <c r="L2166" s="31" t="n">
        <f aca="true">NORMSINV(RAND())*$G$7+$G$6</f>
        <v>-0.0121538287873127</v>
      </c>
    </row>
    <row r="2167" customFormat="false" ht="15" hidden="false" customHeight="false" outlineLevel="0" collapsed="false">
      <c r="L2167" s="31" t="n">
        <f aca="true">NORMSINV(RAND())*$G$7+$G$6</f>
        <v>0.00842638919128462</v>
      </c>
    </row>
    <row r="2168" customFormat="false" ht="15" hidden="false" customHeight="false" outlineLevel="0" collapsed="false">
      <c r="L2168" s="31" t="n">
        <f aca="true">NORMSINV(RAND())*$G$7+$G$6</f>
        <v>-0.0203957406518809</v>
      </c>
    </row>
    <row r="2169" customFormat="false" ht="15" hidden="false" customHeight="false" outlineLevel="0" collapsed="false">
      <c r="L2169" s="31" t="n">
        <f aca="true">NORMSINV(RAND())*$G$7+$G$6</f>
        <v>-0.000667286968295701</v>
      </c>
    </row>
    <row r="2170" customFormat="false" ht="15" hidden="false" customHeight="false" outlineLevel="0" collapsed="false">
      <c r="L2170" s="31" t="n">
        <f aca="true">NORMSINV(RAND())*$G$7+$G$6</f>
        <v>0.00621598049155898</v>
      </c>
    </row>
    <row r="2171" customFormat="false" ht="15" hidden="false" customHeight="false" outlineLevel="0" collapsed="false">
      <c r="L2171" s="31" t="n">
        <f aca="true">NORMSINV(RAND())*$G$7+$G$6</f>
        <v>0.0118532598731631</v>
      </c>
    </row>
    <row r="2172" customFormat="false" ht="15" hidden="false" customHeight="false" outlineLevel="0" collapsed="false">
      <c r="L2172" s="31" t="n">
        <f aca="true">NORMSINV(RAND())*$G$7+$G$6</f>
        <v>-0.00898443466364534</v>
      </c>
    </row>
    <row r="2173" customFormat="false" ht="15" hidden="false" customHeight="false" outlineLevel="0" collapsed="false">
      <c r="L2173" s="31" t="n">
        <f aca="true">NORMSINV(RAND())*$G$7+$G$6</f>
        <v>0.000533924539848686</v>
      </c>
    </row>
    <row r="2174" customFormat="false" ht="15" hidden="false" customHeight="false" outlineLevel="0" collapsed="false">
      <c r="L2174" s="31" t="n">
        <f aca="true">NORMSINV(RAND())*$G$7+$G$6</f>
        <v>-0.00389190379552163</v>
      </c>
    </row>
    <row r="2175" customFormat="false" ht="15" hidden="false" customHeight="false" outlineLevel="0" collapsed="false">
      <c r="L2175" s="31" t="n">
        <f aca="true">NORMSINV(RAND())*$G$7+$G$6</f>
        <v>0.00420780008991555</v>
      </c>
    </row>
    <row r="2176" customFormat="false" ht="15" hidden="false" customHeight="false" outlineLevel="0" collapsed="false">
      <c r="L2176" s="31" t="n">
        <f aca="true">NORMSINV(RAND())*$G$7+$G$6</f>
        <v>-0.00451831749946273</v>
      </c>
    </row>
    <row r="2177" customFormat="false" ht="15" hidden="false" customHeight="false" outlineLevel="0" collapsed="false">
      <c r="L2177" s="31" t="n">
        <f aca="true">NORMSINV(RAND())*$G$7+$G$6</f>
        <v>0.00981438267454885</v>
      </c>
    </row>
    <row r="2178" customFormat="false" ht="15" hidden="false" customHeight="false" outlineLevel="0" collapsed="false">
      <c r="L2178" s="31" t="n">
        <f aca="true">NORMSINV(RAND())*$G$7+$G$6</f>
        <v>-0.00712053943409896</v>
      </c>
    </row>
    <row r="2179" customFormat="false" ht="15" hidden="false" customHeight="false" outlineLevel="0" collapsed="false">
      <c r="L2179" s="31" t="n">
        <f aca="true">NORMSINV(RAND())*$G$7+$G$6</f>
        <v>0.0195496948596622</v>
      </c>
    </row>
    <row r="2180" customFormat="false" ht="15" hidden="false" customHeight="false" outlineLevel="0" collapsed="false">
      <c r="L2180" s="31" t="n">
        <f aca="true">NORMSINV(RAND())*$G$7+$G$6</f>
        <v>0.011866387433786</v>
      </c>
    </row>
    <row r="2181" customFormat="false" ht="15" hidden="false" customHeight="false" outlineLevel="0" collapsed="false">
      <c r="L2181" s="31" t="n">
        <f aca="true">NORMSINV(RAND())*$G$7+$G$6</f>
        <v>-0.00324752203793318</v>
      </c>
    </row>
    <row r="2182" customFormat="false" ht="15" hidden="false" customHeight="false" outlineLevel="0" collapsed="false">
      <c r="L2182" s="31" t="n">
        <f aca="true">NORMSINV(RAND())*$G$7+$G$6</f>
        <v>-0.0042526696021705</v>
      </c>
    </row>
    <row r="2183" customFormat="false" ht="15" hidden="false" customHeight="false" outlineLevel="0" collapsed="false">
      <c r="L2183" s="31" t="n">
        <f aca="true">NORMSINV(RAND())*$G$7+$G$6</f>
        <v>-0.00959033098324462</v>
      </c>
    </row>
    <row r="2184" customFormat="false" ht="15" hidden="false" customHeight="false" outlineLevel="0" collapsed="false">
      <c r="L2184" s="31" t="n">
        <f aca="true">NORMSINV(RAND())*$G$7+$G$6</f>
        <v>-0.0182392763902006</v>
      </c>
    </row>
    <row r="2185" customFormat="false" ht="15" hidden="false" customHeight="false" outlineLevel="0" collapsed="false">
      <c r="L2185" s="31" t="n">
        <f aca="true">NORMSINV(RAND())*$G$7+$G$6</f>
        <v>-0.00470823651628276</v>
      </c>
    </row>
    <row r="2186" customFormat="false" ht="15" hidden="false" customHeight="false" outlineLevel="0" collapsed="false">
      <c r="L2186" s="31" t="n">
        <f aca="true">NORMSINV(RAND())*$G$7+$G$6</f>
        <v>-0.0251359112182946</v>
      </c>
    </row>
    <row r="2187" customFormat="false" ht="15" hidden="false" customHeight="false" outlineLevel="0" collapsed="false">
      <c r="L2187" s="31" t="n">
        <f aca="true">NORMSINV(RAND())*$G$7+$G$6</f>
        <v>-0.00715928266958982</v>
      </c>
    </row>
    <row r="2188" customFormat="false" ht="15" hidden="false" customHeight="false" outlineLevel="0" collapsed="false">
      <c r="L2188" s="31" t="n">
        <f aca="true">NORMSINV(RAND())*$G$7+$G$6</f>
        <v>0.00954835591021337</v>
      </c>
    </row>
    <row r="2189" customFormat="false" ht="15" hidden="false" customHeight="false" outlineLevel="0" collapsed="false">
      <c r="L2189" s="31" t="n">
        <f aca="true">NORMSINV(RAND())*$G$7+$G$6</f>
        <v>0.0174250266181437</v>
      </c>
    </row>
    <row r="2190" customFormat="false" ht="15" hidden="false" customHeight="false" outlineLevel="0" collapsed="false">
      <c r="L2190" s="31" t="n">
        <f aca="true">NORMSINV(RAND())*$G$7+$G$6</f>
        <v>0.0219572893810991</v>
      </c>
    </row>
    <row r="2191" customFormat="false" ht="15" hidden="false" customHeight="false" outlineLevel="0" collapsed="false">
      <c r="L2191" s="31" t="n">
        <f aca="true">NORMSINV(RAND())*$G$7+$G$6</f>
        <v>0.0168312679578897</v>
      </c>
    </row>
    <row r="2192" customFormat="false" ht="15" hidden="false" customHeight="false" outlineLevel="0" collapsed="false">
      <c r="L2192" s="31" t="n">
        <f aca="true">NORMSINV(RAND())*$G$7+$G$6</f>
        <v>0.0169131625294712</v>
      </c>
    </row>
    <row r="2193" customFormat="false" ht="15" hidden="false" customHeight="false" outlineLevel="0" collapsed="false">
      <c r="L2193" s="31" t="n">
        <f aca="true">NORMSINV(RAND())*$G$7+$G$6</f>
        <v>0.0146034173259977</v>
      </c>
    </row>
    <row r="2194" customFormat="false" ht="15" hidden="false" customHeight="false" outlineLevel="0" collapsed="false">
      <c r="L2194" s="31" t="n">
        <f aca="true">NORMSINV(RAND())*$G$7+$G$6</f>
        <v>-0.0128640603936625</v>
      </c>
    </row>
    <row r="2195" customFormat="false" ht="15" hidden="false" customHeight="false" outlineLevel="0" collapsed="false">
      <c r="L2195" s="31" t="n">
        <f aca="true">NORMSINV(RAND())*$G$7+$G$6</f>
        <v>0.0301733289442555</v>
      </c>
    </row>
    <row r="2196" customFormat="false" ht="15" hidden="false" customHeight="false" outlineLevel="0" collapsed="false">
      <c r="L2196" s="31" t="n">
        <f aca="true">NORMSINV(RAND())*$G$7+$G$6</f>
        <v>0.0198671696185003</v>
      </c>
    </row>
    <row r="2197" customFormat="false" ht="15" hidden="false" customHeight="false" outlineLevel="0" collapsed="false">
      <c r="L2197" s="31" t="n">
        <f aca="true">NORMSINV(RAND())*$G$7+$G$6</f>
        <v>0.00689976052967943</v>
      </c>
    </row>
    <row r="2198" customFormat="false" ht="15" hidden="false" customHeight="false" outlineLevel="0" collapsed="false">
      <c r="L2198" s="31" t="n">
        <f aca="true">NORMSINV(RAND())*$G$7+$G$6</f>
        <v>-0.0163493976215763</v>
      </c>
    </row>
    <row r="2199" customFormat="false" ht="15" hidden="false" customHeight="false" outlineLevel="0" collapsed="false">
      <c r="L2199" s="31" t="n">
        <f aca="true">NORMSINV(RAND())*$G$7+$G$6</f>
        <v>0.00716114877428911</v>
      </c>
    </row>
    <row r="2200" customFormat="false" ht="15" hidden="false" customHeight="false" outlineLevel="0" collapsed="false">
      <c r="L2200" s="31" t="n">
        <f aca="true">NORMSINV(RAND())*$G$7+$G$6</f>
        <v>0.0227159887966193</v>
      </c>
    </row>
    <row r="2201" customFormat="false" ht="15" hidden="false" customHeight="false" outlineLevel="0" collapsed="false">
      <c r="L2201" s="31" t="n">
        <f aca="true">NORMSINV(RAND())*$G$7+$G$6</f>
        <v>-0.00128687459363015</v>
      </c>
    </row>
    <row r="2202" customFormat="false" ht="15" hidden="false" customHeight="false" outlineLevel="0" collapsed="false">
      <c r="L2202" s="31" t="n">
        <f aca="true">NORMSINV(RAND())*$G$7+$G$6</f>
        <v>-0.0136852981678257</v>
      </c>
    </row>
    <row r="2203" customFormat="false" ht="15" hidden="false" customHeight="false" outlineLevel="0" collapsed="false">
      <c r="L2203" s="31" t="n">
        <f aca="true">NORMSINV(RAND())*$G$7+$G$6</f>
        <v>0.0168313035950527</v>
      </c>
    </row>
    <row r="2204" customFormat="false" ht="15" hidden="false" customHeight="false" outlineLevel="0" collapsed="false">
      <c r="L2204" s="31" t="n">
        <f aca="true">NORMSINV(RAND())*$G$7+$G$6</f>
        <v>0.00891705415800964</v>
      </c>
    </row>
    <row r="2205" customFormat="false" ht="15" hidden="false" customHeight="false" outlineLevel="0" collapsed="false">
      <c r="L2205" s="31" t="n">
        <f aca="true">NORMSINV(RAND())*$G$7+$G$6</f>
        <v>0.0375433932437752</v>
      </c>
    </row>
    <row r="2206" customFormat="false" ht="15" hidden="false" customHeight="false" outlineLevel="0" collapsed="false">
      <c r="L2206" s="31" t="n">
        <f aca="true">NORMSINV(RAND())*$G$7+$G$6</f>
        <v>0.00534091603584853</v>
      </c>
    </row>
    <row r="2207" customFormat="false" ht="15" hidden="false" customHeight="false" outlineLevel="0" collapsed="false">
      <c r="L2207" s="31" t="n">
        <f aca="true">NORMSINV(RAND())*$G$7+$G$6</f>
        <v>-0.00866690966609116</v>
      </c>
    </row>
    <row r="2208" customFormat="false" ht="15" hidden="false" customHeight="false" outlineLevel="0" collapsed="false">
      <c r="L2208" s="31" t="n">
        <f aca="true">NORMSINV(RAND())*$G$7+$G$6</f>
        <v>-0.0148442991560344</v>
      </c>
    </row>
    <row r="2209" customFormat="false" ht="15" hidden="false" customHeight="false" outlineLevel="0" collapsed="false">
      <c r="L2209" s="31" t="n">
        <f aca="true">NORMSINV(RAND())*$G$7+$G$6</f>
        <v>-0.00702463120154245</v>
      </c>
    </row>
    <row r="2210" customFormat="false" ht="15" hidden="false" customHeight="false" outlineLevel="0" collapsed="false">
      <c r="L2210" s="31" t="n">
        <f aca="true">NORMSINV(RAND())*$G$7+$G$6</f>
        <v>0.0148377047802186</v>
      </c>
    </row>
    <row r="2211" customFormat="false" ht="15" hidden="false" customHeight="false" outlineLevel="0" collapsed="false">
      <c r="L2211" s="31" t="n">
        <f aca="true">NORMSINV(RAND())*$G$7+$G$6</f>
        <v>-0.0142824590393757</v>
      </c>
    </row>
    <row r="2212" customFormat="false" ht="15" hidden="false" customHeight="false" outlineLevel="0" collapsed="false">
      <c r="L2212" s="31" t="n">
        <f aca="true">NORMSINV(RAND())*$G$7+$G$6</f>
        <v>0.0105196955830564</v>
      </c>
    </row>
    <row r="2213" customFormat="false" ht="15" hidden="false" customHeight="false" outlineLevel="0" collapsed="false">
      <c r="L2213" s="31" t="n">
        <f aca="true">NORMSINV(RAND())*$G$7+$G$6</f>
        <v>-0.00816296191896067</v>
      </c>
    </row>
    <row r="2214" customFormat="false" ht="15" hidden="false" customHeight="false" outlineLevel="0" collapsed="false">
      <c r="L2214" s="31" t="n">
        <f aca="true">NORMSINV(RAND())*$G$7+$G$6</f>
        <v>-0.013381437934603</v>
      </c>
    </row>
    <row r="2215" customFormat="false" ht="15" hidden="false" customHeight="false" outlineLevel="0" collapsed="false">
      <c r="L2215" s="31" t="n">
        <f aca="true">NORMSINV(RAND())*$G$7+$G$6</f>
        <v>0.0228007746554138</v>
      </c>
    </row>
    <row r="2216" customFormat="false" ht="15" hidden="false" customHeight="false" outlineLevel="0" collapsed="false">
      <c r="L2216" s="31" t="n">
        <f aca="true">NORMSINV(RAND())*$G$7+$G$6</f>
        <v>0.00521998010528629</v>
      </c>
    </row>
    <row r="2217" customFormat="false" ht="15" hidden="false" customHeight="false" outlineLevel="0" collapsed="false">
      <c r="L2217" s="31" t="n">
        <f aca="true">NORMSINV(RAND())*$G$7+$G$6</f>
        <v>-0.000376369849452695</v>
      </c>
    </row>
    <row r="2218" customFormat="false" ht="15" hidden="false" customHeight="false" outlineLevel="0" collapsed="false">
      <c r="L2218" s="31" t="n">
        <f aca="true">NORMSINV(RAND())*$G$7+$G$6</f>
        <v>-0.0109414158183799</v>
      </c>
    </row>
    <row r="2219" customFormat="false" ht="15" hidden="false" customHeight="false" outlineLevel="0" collapsed="false">
      <c r="L2219" s="31" t="n">
        <f aca="true">NORMSINV(RAND())*$G$7+$G$6</f>
        <v>-0.0260598078911165</v>
      </c>
    </row>
    <row r="2220" customFormat="false" ht="15" hidden="false" customHeight="false" outlineLevel="0" collapsed="false">
      <c r="L2220" s="31" t="n">
        <f aca="true">NORMSINV(RAND())*$G$7+$G$6</f>
        <v>-0.01491689009968</v>
      </c>
    </row>
    <row r="2221" customFormat="false" ht="15" hidden="false" customHeight="false" outlineLevel="0" collapsed="false">
      <c r="L2221" s="31" t="n">
        <f aca="true">NORMSINV(RAND())*$G$7+$G$6</f>
        <v>0.00390692426158763</v>
      </c>
    </row>
    <row r="2222" customFormat="false" ht="15" hidden="false" customHeight="false" outlineLevel="0" collapsed="false">
      <c r="L2222" s="31" t="n">
        <f aca="true">NORMSINV(RAND())*$G$7+$G$6</f>
        <v>-0.0111253633105544</v>
      </c>
    </row>
    <row r="2223" customFormat="false" ht="15" hidden="false" customHeight="false" outlineLevel="0" collapsed="false">
      <c r="L2223" s="31" t="n">
        <f aca="true">NORMSINV(RAND())*$G$7+$G$6</f>
        <v>0.0166147133328427</v>
      </c>
    </row>
    <row r="2224" customFormat="false" ht="15" hidden="false" customHeight="false" outlineLevel="0" collapsed="false">
      <c r="L2224" s="31" t="n">
        <f aca="true">NORMSINV(RAND())*$G$7+$G$6</f>
        <v>0.00452487617548709</v>
      </c>
    </row>
    <row r="2225" customFormat="false" ht="15" hidden="false" customHeight="false" outlineLevel="0" collapsed="false">
      <c r="L2225" s="31" t="n">
        <f aca="true">NORMSINV(RAND())*$G$7+$G$6</f>
        <v>0.0069157275547242</v>
      </c>
    </row>
    <row r="2226" customFormat="false" ht="15" hidden="false" customHeight="false" outlineLevel="0" collapsed="false">
      <c r="L2226" s="31" t="n">
        <f aca="true">NORMSINV(RAND())*$G$7+$G$6</f>
        <v>-0.00363484817597227</v>
      </c>
    </row>
    <row r="2227" customFormat="false" ht="15" hidden="false" customHeight="false" outlineLevel="0" collapsed="false">
      <c r="L2227" s="31" t="n">
        <f aca="true">NORMSINV(RAND())*$G$7+$G$6</f>
        <v>0.00884785899911465</v>
      </c>
    </row>
    <row r="2228" customFormat="false" ht="15" hidden="false" customHeight="false" outlineLevel="0" collapsed="false">
      <c r="L2228" s="31" t="n">
        <f aca="true">NORMSINV(RAND())*$G$7+$G$6</f>
        <v>-0.00211792043922868</v>
      </c>
    </row>
    <row r="2229" customFormat="false" ht="15" hidden="false" customHeight="false" outlineLevel="0" collapsed="false">
      <c r="L2229" s="31" t="n">
        <f aca="true">NORMSINV(RAND())*$G$7+$G$6</f>
        <v>0.00220725750273291</v>
      </c>
    </row>
    <row r="2230" customFormat="false" ht="15" hidden="false" customHeight="false" outlineLevel="0" collapsed="false">
      <c r="L2230" s="31" t="n">
        <f aca="true">NORMSINV(RAND())*$G$7+$G$6</f>
        <v>-0.011064010289332</v>
      </c>
    </row>
    <row r="2231" customFormat="false" ht="15" hidden="false" customHeight="false" outlineLevel="0" collapsed="false">
      <c r="L2231" s="31" t="n">
        <f aca="true">NORMSINV(RAND())*$G$7+$G$6</f>
        <v>0.00915635986141704</v>
      </c>
    </row>
    <row r="2232" customFormat="false" ht="15" hidden="false" customHeight="false" outlineLevel="0" collapsed="false">
      <c r="L2232" s="31" t="n">
        <f aca="true">NORMSINV(RAND())*$G$7+$G$6</f>
        <v>-0.00185753605509087</v>
      </c>
    </row>
    <row r="2233" customFormat="false" ht="15" hidden="false" customHeight="false" outlineLevel="0" collapsed="false">
      <c r="L2233" s="31" t="n">
        <f aca="true">NORMSINV(RAND())*$G$7+$G$6</f>
        <v>0.0123223627097456</v>
      </c>
    </row>
    <row r="2234" customFormat="false" ht="15" hidden="false" customHeight="false" outlineLevel="0" collapsed="false">
      <c r="L2234" s="31" t="n">
        <f aca="true">NORMSINV(RAND())*$G$7+$G$6</f>
        <v>0.0113448911075925</v>
      </c>
    </row>
    <row r="2235" customFormat="false" ht="15" hidden="false" customHeight="false" outlineLevel="0" collapsed="false">
      <c r="L2235" s="31" t="n">
        <f aca="true">NORMSINV(RAND())*$G$7+$G$6</f>
        <v>-0.00631409256698478</v>
      </c>
    </row>
    <row r="2236" customFormat="false" ht="15" hidden="false" customHeight="false" outlineLevel="0" collapsed="false">
      <c r="L2236" s="31" t="n">
        <f aca="true">NORMSINV(RAND())*$G$7+$G$6</f>
        <v>-0.00823085390551224</v>
      </c>
    </row>
    <row r="2237" customFormat="false" ht="15" hidden="false" customHeight="false" outlineLevel="0" collapsed="false">
      <c r="L2237" s="31" t="n">
        <f aca="true">NORMSINV(RAND())*$G$7+$G$6</f>
        <v>-0.0169644712090771</v>
      </c>
    </row>
    <row r="2238" customFormat="false" ht="15" hidden="false" customHeight="false" outlineLevel="0" collapsed="false">
      <c r="L2238" s="31" t="n">
        <f aca="true">NORMSINV(RAND())*$G$7+$G$6</f>
        <v>-0.0130751699339314</v>
      </c>
    </row>
    <row r="2239" customFormat="false" ht="15" hidden="false" customHeight="false" outlineLevel="0" collapsed="false">
      <c r="L2239" s="31" t="n">
        <f aca="true">NORMSINV(RAND())*$G$7+$G$6</f>
        <v>0.00791610730752831</v>
      </c>
    </row>
    <row r="2240" customFormat="false" ht="15" hidden="false" customHeight="false" outlineLevel="0" collapsed="false">
      <c r="L2240" s="31" t="n">
        <f aca="true">NORMSINV(RAND())*$G$7+$G$6</f>
        <v>-0.00825023712655775</v>
      </c>
    </row>
    <row r="2241" customFormat="false" ht="15" hidden="false" customHeight="false" outlineLevel="0" collapsed="false">
      <c r="L2241" s="31" t="n">
        <f aca="true">NORMSINV(RAND())*$G$7+$G$6</f>
        <v>0.0152454665842932</v>
      </c>
    </row>
    <row r="2242" customFormat="false" ht="15" hidden="false" customHeight="false" outlineLevel="0" collapsed="false">
      <c r="L2242" s="31" t="n">
        <f aca="true">NORMSINV(RAND())*$G$7+$G$6</f>
        <v>0.0125929528760012</v>
      </c>
    </row>
    <row r="2243" customFormat="false" ht="15" hidden="false" customHeight="false" outlineLevel="0" collapsed="false">
      <c r="L2243" s="31" t="n">
        <f aca="true">NORMSINV(RAND())*$G$7+$G$6</f>
        <v>-0.0111868738933414</v>
      </c>
    </row>
    <row r="2244" customFormat="false" ht="15" hidden="false" customHeight="false" outlineLevel="0" collapsed="false">
      <c r="L2244" s="31" t="n">
        <f aca="true">NORMSINV(RAND())*$G$7+$G$6</f>
        <v>-0.0157076521445633</v>
      </c>
    </row>
    <row r="2245" customFormat="false" ht="15" hidden="false" customHeight="false" outlineLevel="0" collapsed="false">
      <c r="L2245" s="31" t="n">
        <f aca="true">NORMSINV(RAND())*$G$7+$G$6</f>
        <v>-0.00235462303321377</v>
      </c>
    </row>
    <row r="2246" customFormat="false" ht="15" hidden="false" customHeight="false" outlineLevel="0" collapsed="false">
      <c r="L2246" s="31" t="n">
        <f aca="true">NORMSINV(RAND())*$G$7+$G$6</f>
        <v>-0.0189168253165488</v>
      </c>
    </row>
    <row r="2247" customFormat="false" ht="15" hidden="false" customHeight="false" outlineLevel="0" collapsed="false">
      <c r="L2247" s="31" t="n">
        <f aca="true">NORMSINV(RAND())*$G$7+$G$6</f>
        <v>-0.00192245171392362</v>
      </c>
    </row>
    <row r="2248" customFormat="false" ht="15" hidden="false" customHeight="false" outlineLevel="0" collapsed="false">
      <c r="L2248" s="31" t="n">
        <f aca="true">NORMSINV(RAND())*$G$7+$G$6</f>
        <v>-0.0102489731187798</v>
      </c>
    </row>
    <row r="2249" customFormat="false" ht="15" hidden="false" customHeight="false" outlineLevel="0" collapsed="false">
      <c r="L2249" s="31" t="n">
        <f aca="true">NORMSINV(RAND())*$G$7+$G$6</f>
        <v>-0.00213014851758057</v>
      </c>
    </row>
    <row r="2250" customFormat="false" ht="15" hidden="false" customHeight="false" outlineLevel="0" collapsed="false">
      <c r="L2250" s="31" t="n">
        <f aca="true">NORMSINV(RAND())*$G$7+$G$6</f>
        <v>0.00950936306769612</v>
      </c>
    </row>
    <row r="2251" customFormat="false" ht="15" hidden="false" customHeight="false" outlineLevel="0" collapsed="false">
      <c r="L2251" s="31" t="n">
        <f aca="true">NORMSINV(RAND())*$G$7+$G$6</f>
        <v>-0.0149072586140404</v>
      </c>
    </row>
    <row r="2252" customFormat="false" ht="15" hidden="false" customHeight="false" outlineLevel="0" collapsed="false">
      <c r="L2252" s="31" t="n">
        <f aca="true">NORMSINV(RAND())*$G$7+$G$6</f>
        <v>-0.0141905816047467</v>
      </c>
    </row>
    <row r="2253" customFormat="false" ht="15" hidden="false" customHeight="false" outlineLevel="0" collapsed="false">
      <c r="L2253" s="31" t="n">
        <f aca="true">NORMSINV(RAND())*$G$7+$G$6</f>
        <v>0.000946456062419442</v>
      </c>
    </row>
    <row r="2254" customFormat="false" ht="15" hidden="false" customHeight="false" outlineLevel="0" collapsed="false">
      <c r="L2254" s="31" t="n">
        <f aca="true">NORMSINV(RAND())*$G$7+$G$6</f>
        <v>0.0129125151507592</v>
      </c>
    </row>
    <row r="2255" customFormat="false" ht="15" hidden="false" customHeight="false" outlineLevel="0" collapsed="false">
      <c r="L2255" s="31" t="n">
        <f aca="true">NORMSINV(RAND())*$G$7+$G$6</f>
        <v>-0.00112541232925094</v>
      </c>
    </row>
    <row r="2256" customFormat="false" ht="15" hidden="false" customHeight="false" outlineLevel="0" collapsed="false">
      <c r="L2256" s="31" t="n">
        <f aca="true">NORMSINV(RAND())*$G$7+$G$6</f>
        <v>-0.027315850213863</v>
      </c>
    </row>
    <row r="2257" customFormat="false" ht="15" hidden="false" customHeight="false" outlineLevel="0" collapsed="false">
      <c r="L2257" s="31" t="n">
        <f aca="true">NORMSINV(RAND())*$G$7+$G$6</f>
        <v>-0.0109987310336637</v>
      </c>
    </row>
    <row r="2258" customFormat="false" ht="15" hidden="false" customHeight="false" outlineLevel="0" collapsed="false">
      <c r="L2258" s="31" t="n">
        <f aca="true">NORMSINV(RAND())*$G$7+$G$6</f>
        <v>-0.0148228803831466</v>
      </c>
    </row>
    <row r="2259" customFormat="false" ht="15" hidden="false" customHeight="false" outlineLevel="0" collapsed="false">
      <c r="L2259" s="31" t="n">
        <f aca="true">NORMSINV(RAND())*$G$7+$G$6</f>
        <v>-0.00484133684464472</v>
      </c>
    </row>
    <row r="2260" customFormat="false" ht="15" hidden="false" customHeight="false" outlineLevel="0" collapsed="false">
      <c r="L2260" s="31" t="n">
        <f aca="true">NORMSINV(RAND())*$G$7+$G$6</f>
        <v>0.000624532085579896</v>
      </c>
    </row>
    <row r="2261" customFormat="false" ht="15" hidden="false" customHeight="false" outlineLevel="0" collapsed="false">
      <c r="L2261" s="31" t="n">
        <f aca="true">NORMSINV(RAND())*$G$7+$G$6</f>
        <v>-0.00390490291187117</v>
      </c>
    </row>
    <row r="2262" customFormat="false" ht="15" hidden="false" customHeight="false" outlineLevel="0" collapsed="false">
      <c r="L2262" s="31" t="n">
        <f aca="true">NORMSINV(RAND())*$G$7+$G$6</f>
        <v>-0.00489855716585082</v>
      </c>
    </row>
    <row r="2263" customFormat="false" ht="15" hidden="false" customHeight="false" outlineLevel="0" collapsed="false">
      <c r="L2263" s="31" t="n">
        <f aca="true">NORMSINV(RAND())*$G$7+$G$6</f>
        <v>-6.02290096719415E-005</v>
      </c>
    </row>
    <row r="2264" customFormat="false" ht="15" hidden="false" customHeight="false" outlineLevel="0" collapsed="false">
      <c r="L2264" s="31" t="n">
        <f aca="true">NORMSINV(RAND())*$G$7+$G$6</f>
        <v>-0.00336894225921574</v>
      </c>
    </row>
    <row r="2265" customFormat="false" ht="15" hidden="false" customHeight="false" outlineLevel="0" collapsed="false">
      <c r="L2265" s="31" t="n">
        <f aca="true">NORMSINV(RAND())*$G$7+$G$6</f>
        <v>-0.0153948024724112</v>
      </c>
    </row>
    <row r="2266" customFormat="false" ht="15" hidden="false" customHeight="false" outlineLevel="0" collapsed="false">
      <c r="L2266" s="31" t="n">
        <f aca="true">NORMSINV(RAND())*$G$7+$G$6</f>
        <v>0.00312442260519413</v>
      </c>
    </row>
    <row r="2267" customFormat="false" ht="15" hidden="false" customHeight="false" outlineLevel="0" collapsed="false">
      <c r="L2267" s="31" t="n">
        <f aca="true">NORMSINV(RAND())*$G$7+$G$6</f>
        <v>0.0105708893886301</v>
      </c>
    </row>
    <row r="2268" customFormat="false" ht="15" hidden="false" customHeight="false" outlineLevel="0" collapsed="false">
      <c r="L2268" s="31" t="n">
        <f aca="true">NORMSINV(RAND())*$G$7+$G$6</f>
        <v>0.00311054396261812</v>
      </c>
    </row>
    <row r="2269" customFormat="false" ht="15" hidden="false" customHeight="false" outlineLevel="0" collapsed="false">
      <c r="L2269" s="31" t="n">
        <f aca="true">NORMSINV(RAND())*$G$7+$G$6</f>
        <v>-0.00692365329200613</v>
      </c>
    </row>
    <row r="2270" customFormat="false" ht="15" hidden="false" customHeight="false" outlineLevel="0" collapsed="false">
      <c r="L2270" s="31" t="n">
        <f aca="true">NORMSINV(RAND())*$G$7+$G$6</f>
        <v>0.0101925939434864</v>
      </c>
    </row>
    <row r="2271" customFormat="false" ht="15" hidden="false" customHeight="false" outlineLevel="0" collapsed="false">
      <c r="L2271" s="31" t="n">
        <f aca="true">NORMSINV(RAND())*$G$7+$G$6</f>
        <v>-0.00975191846035461</v>
      </c>
    </row>
    <row r="2272" customFormat="false" ht="15" hidden="false" customHeight="false" outlineLevel="0" collapsed="false">
      <c r="L2272" s="31" t="n">
        <f aca="true">NORMSINV(RAND())*$G$7+$G$6</f>
        <v>-0.0166976640290572</v>
      </c>
    </row>
    <row r="2273" customFormat="false" ht="15" hidden="false" customHeight="false" outlineLevel="0" collapsed="false">
      <c r="L2273" s="31" t="n">
        <f aca="true">NORMSINV(RAND())*$G$7+$G$6</f>
        <v>-0.0109816149892467</v>
      </c>
    </row>
    <row r="2274" customFormat="false" ht="15" hidden="false" customHeight="false" outlineLevel="0" collapsed="false">
      <c r="L2274" s="31" t="n">
        <f aca="true">NORMSINV(RAND())*$G$7+$G$6</f>
        <v>-0.00260869484363426</v>
      </c>
    </row>
    <row r="2275" customFormat="false" ht="15" hidden="false" customHeight="false" outlineLevel="0" collapsed="false">
      <c r="L2275" s="31" t="n">
        <f aca="true">NORMSINV(RAND())*$G$7+$G$6</f>
        <v>-0.00747114539374905</v>
      </c>
    </row>
    <row r="2276" customFormat="false" ht="15" hidden="false" customHeight="false" outlineLevel="0" collapsed="false">
      <c r="L2276" s="31" t="n">
        <f aca="true">NORMSINV(RAND())*$G$7+$G$6</f>
        <v>-0.00497077615256453</v>
      </c>
    </row>
    <row r="2277" customFormat="false" ht="15" hidden="false" customHeight="false" outlineLevel="0" collapsed="false">
      <c r="L2277" s="31" t="n">
        <f aca="true">NORMSINV(RAND())*$G$7+$G$6</f>
        <v>0.0155904348651095</v>
      </c>
    </row>
    <row r="2278" customFormat="false" ht="15" hidden="false" customHeight="false" outlineLevel="0" collapsed="false">
      <c r="L2278" s="31" t="n">
        <f aca="true">NORMSINV(RAND())*$G$7+$G$6</f>
        <v>0.00168888898588341</v>
      </c>
    </row>
    <row r="2279" customFormat="false" ht="15" hidden="false" customHeight="false" outlineLevel="0" collapsed="false">
      <c r="L2279" s="31" t="n">
        <f aca="true">NORMSINV(RAND())*$G$7+$G$6</f>
        <v>-0.0184371602877801</v>
      </c>
    </row>
    <row r="2280" customFormat="false" ht="15" hidden="false" customHeight="false" outlineLevel="0" collapsed="false">
      <c r="L2280" s="31" t="n">
        <f aca="true">NORMSINV(RAND())*$G$7+$G$6</f>
        <v>-0.00305976833893897</v>
      </c>
    </row>
    <row r="2281" customFormat="false" ht="15" hidden="false" customHeight="false" outlineLevel="0" collapsed="false">
      <c r="L2281" s="31" t="n">
        <f aca="true">NORMSINV(RAND())*$G$7+$G$6</f>
        <v>0.00785944898470579</v>
      </c>
    </row>
    <row r="2282" customFormat="false" ht="15" hidden="false" customHeight="false" outlineLevel="0" collapsed="false">
      <c r="L2282" s="31" t="n">
        <f aca="true">NORMSINV(RAND())*$G$7+$G$6</f>
        <v>-0.0054131023781409</v>
      </c>
    </row>
    <row r="2283" customFormat="false" ht="15" hidden="false" customHeight="false" outlineLevel="0" collapsed="false">
      <c r="L2283" s="31" t="n">
        <f aca="true">NORMSINV(RAND())*$G$7+$G$6</f>
        <v>0.00834674975999816</v>
      </c>
    </row>
    <row r="2284" customFormat="false" ht="15" hidden="false" customHeight="false" outlineLevel="0" collapsed="false">
      <c r="L2284" s="31" t="n">
        <f aca="true">NORMSINV(RAND())*$G$7+$G$6</f>
        <v>-0.00591140911646785</v>
      </c>
    </row>
    <row r="2285" customFormat="false" ht="15" hidden="false" customHeight="false" outlineLevel="0" collapsed="false">
      <c r="L2285" s="31" t="n">
        <f aca="true">NORMSINV(RAND())*$G$7+$G$6</f>
        <v>-0.0117785296360181</v>
      </c>
    </row>
    <row r="2286" customFormat="false" ht="15" hidden="false" customHeight="false" outlineLevel="0" collapsed="false">
      <c r="L2286" s="31" t="n">
        <f aca="true">NORMSINV(RAND())*$G$7+$G$6</f>
        <v>0.00514382692209557</v>
      </c>
    </row>
    <row r="2287" customFormat="false" ht="15" hidden="false" customHeight="false" outlineLevel="0" collapsed="false">
      <c r="L2287" s="31" t="n">
        <f aca="true">NORMSINV(RAND())*$G$7+$G$6</f>
        <v>-0.0148672046616039</v>
      </c>
    </row>
    <row r="2288" customFormat="false" ht="15" hidden="false" customHeight="false" outlineLevel="0" collapsed="false">
      <c r="L2288" s="31" t="n">
        <f aca="true">NORMSINV(RAND())*$G$7+$G$6</f>
        <v>0.00542127395896003</v>
      </c>
    </row>
    <row r="2289" customFormat="false" ht="15" hidden="false" customHeight="false" outlineLevel="0" collapsed="false">
      <c r="L2289" s="31" t="n">
        <f aca="true">NORMSINV(RAND())*$G$7+$G$6</f>
        <v>-0.0232629992867223</v>
      </c>
    </row>
    <row r="2290" customFormat="false" ht="15" hidden="false" customHeight="false" outlineLevel="0" collapsed="false">
      <c r="L2290" s="31" t="n">
        <f aca="true">NORMSINV(RAND())*$G$7+$G$6</f>
        <v>0.0190627973508779</v>
      </c>
    </row>
    <row r="2291" customFormat="false" ht="15" hidden="false" customHeight="false" outlineLevel="0" collapsed="false">
      <c r="L2291" s="31" t="n">
        <f aca="true">NORMSINV(RAND())*$G$7+$G$6</f>
        <v>0.00440661909402874</v>
      </c>
    </row>
    <row r="2292" customFormat="false" ht="15" hidden="false" customHeight="false" outlineLevel="0" collapsed="false">
      <c r="L2292" s="31" t="n">
        <f aca="true">NORMSINV(RAND())*$G$7+$G$6</f>
        <v>0.00324933853671351</v>
      </c>
    </row>
    <row r="2293" customFormat="false" ht="15" hidden="false" customHeight="false" outlineLevel="0" collapsed="false">
      <c r="L2293" s="31" t="n">
        <f aca="true">NORMSINV(RAND())*$G$7+$G$6</f>
        <v>0.0055454535318961</v>
      </c>
    </row>
    <row r="2294" customFormat="false" ht="15" hidden="false" customHeight="false" outlineLevel="0" collapsed="false">
      <c r="L2294" s="31" t="n">
        <f aca="true">NORMSINV(RAND())*$G$7+$G$6</f>
        <v>0.000188218735324104</v>
      </c>
    </row>
    <row r="2295" customFormat="false" ht="15" hidden="false" customHeight="false" outlineLevel="0" collapsed="false">
      <c r="L2295" s="31" t="n">
        <f aca="true">NORMSINV(RAND())*$G$7+$G$6</f>
        <v>0.0275479774709931</v>
      </c>
    </row>
    <row r="2296" customFormat="false" ht="15" hidden="false" customHeight="false" outlineLevel="0" collapsed="false">
      <c r="L2296" s="31" t="n">
        <f aca="true">NORMSINV(RAND())*$G$7+$G$6</f>
        <v>0.0186113975414603</v>
      </c>
    </row>
    <row r="2297" customFormat="false" ht="15" hidden="false" customHeight="false" outlineLevel="0" collapsed="false">
      <c r="L2297" s="31" t="n">
        <f aca="true">NORMSINV(RAND())*$G$7+$G$6</f>
        <v>0.00079590868924653</v>
      </c>
    </row>
    <row r="2298" customFormat="false" ht="15" hidden="false" customHeight="false" outlineLevel="0" collapsed="false">
      <c r="L2298" s="31" t="n">
        <f aca="true">NORMSINV(RAND())*$G$7+$G$6</f>
        <v>0.00108614076505975</v>
      </c>
    </row>
    <row r="2299" customFormat="false" ht="15" hidden="false" customHeight="false" outlineLevel="0" collapsed="false">
      <c r="L2299" s="31" t="n">
        <f aca="true">NORMSINV(RAND())*$G$7+$G$6</f>
        <v>0.0130891485852128</v>
      </c>
    </row>
    <row r="2300" customFormat="false" ht="15" hidden="false" customHeight="false" outlineLevel="0" collapsed="false">
      <c r="L2300" s="31" t="n">
        <f aca="true">NORMSINV(RAND())*$G$7+$G$6</f>
        <v>-0.0180084202237901</v>
      </c>
    </row>
    <row r="2301" customFormat="false" ht="15" hidden="false" customHeight="false" outlineLevel="0" collapsed="false">
      <c r="L2301" s="31" t="n">
        <f aca="true">NORMSINV(RAND())*$G$7+$G$6</f>
        <v>-0.00194082350901691</v>
      </c>
    </row>
    <row r="2302" customFormat="false" ht="15" hidden="false" customHeight="false" outlineLevel="0" collapsed="false">
      <c r="L2302" s="31" t="n">
        <f aca="true">NORMSINV(RAND())*$G$7+$G$6</f>
        <v>0.0141992718635087</v>
      </c>
    </row>
    <row r="2303" customFormat="false" ht="15" hidden="false" customHeight="false" outlineLevel="0" collapsed="false">
      <c r="L2303" s="31" t="n">
        <f aca="true">NORMSINV(RAND())*$G$7+$G$6</f>
        <v>-0.00312389851647402</v>
      </c>
    </row>
    <row r="2304" customFormat="false" ht="15" hidden="false" customHeight="false" outlineLevel="0" collapsed="false">
      <c r="L2304" s="31" t="n">
        <f aca="true">NORMSINV(RAND())*$G$7+$G$6</f>
        <v>-0.0095982389608518</v>
      </c>
    </row>
    <row r="2305" customFormat="false" ht="15" hidden="false" customHeight="false" outlineLevel="0" collapsed="false">
      <c r="L2305" s="31" t="n">
        <f aca="true">NORMSINV(RAND())*$G$7+$G$6</f>
        <v>-0.000411921524460885</v>
      </c>
    </row>
    <row r="2306" customFormat="false" ht="15" hidden="false" customHeight="false" outlineLevel="0" collapsed="false">
      <c r="L2306" s="31" t="n">
        <f aca="true">NORMSINV(RAND())*$G$7+$G$6</f>
        <v>-0.00346254418818133</v>
      </c>
    </row>
    <row r="2307" customFormat="false" ht="15" hidden="false" customHeight="false" outlineLevel="0" collapsed="false">
      <c r="L2307" s="31" t="n">
        <f aca="true">NORMSINV(RAND())*$G$7+$G$6</f>
        <v>-0.000272683896415051</v>
      </c>
    </row>
    <row r="2308" customFormat="false" ht="15" hidden="false" customHeight="false" outlineLevel="0" collapsed="false">
      <c r="L2308" s="31" t="n">
        <f aca="true">NORMSINV(RAND())*$G$7+$G$6</f>
        <v>0.00898680413490681</v>
      </c>
    </row>
    <row r="2309" customFormat="false" ht="15" hidden="false" customHeight="false" outlineLevel="0" collapsed="false">
      <c r="L2309" s="31" t="n">
        <f aca="true">NORMSINV(RAND())*$G$7+$G$6</f>
        <v>-0.0274715717152637</v>
      </c>
    </row>
    <row r="2310" customFormat="false" ht="15" hidden="false" customHeight="false" outlineLevel="0" collapsed="false">
      <c r="L2310" s="31" t="n">
        <f aca="true">NORMSINV(RAND())*$G$7+$G$6</f>
        <v>-0.00777957220514976</v>
      </c>
    </row>
    <row r="2311" customFormat="false" ht="15" hidden="false" customHeight="false" outlineLevel="0" collapsed="false">
      <c r="L2311" s="31" t="n">
        <f aca="true">NORMSINV(RAND())*$G$7+$G$6</f>
        <v>-0.00455741265433196</v>
      </c>
    </row>
    <row r="2312" customFormat="false" ht="15" hidden="false" customHeight="false" outlineLevel="0" collapsed="false">
      <c r="L2312" s="31" t="n">
        <f aca="true">NORMSINV(RAND())*$G$7+$G$6</f>
        <v>0.00927921058325884</v>
      </c>
    </row>
    <row r="2313" customFormat="false" ht="15" hidden="false" customHeight="false" outlineLevel="0" collapsed="false">
      <c r="L2313" s="31" t="n">
        <f aca="true">NORMSINV(RAND())*$G$7+$G$6</f>
        <v>0.00888632082708778</v>
      </c>
    </row>
    <row r="2314" customFormat="false" ht="15" hidden="false" customHeight="false" outlineLevel="0" collapsed="false">
      <c r="L2314" s="31" t="n">
        <f aca="true">NORMSINV(RAND())*$G$7+$G$6</f>
        <v>-0.00169640919958237</v>
      </c>
    </row>
    <row r="2315" customFormat="false" ht="15" hidden="false" customHeight="false" outlineLevel="0" collapsed="false">
      <c r="L2315" s="31" t="n">
        <f aca="true">NORMSINV(RAND())*$G$7+$G$6</f>
        <v>0.00163483277991477</v>
      </c>
    </row>
    <row r="2316" customFormat="false" ht="15" hidden="false" customHeight="false" outlineLevel="0" collapsed="false">
      <c r="L2316" s="31" t="n">
        <f aca="true">NORMSINV(RAND())*$G$7+$G$6</f>
        <v>0.00661398024477265</v>
      </c>
    </row>
    <row r="2317" customFormat="false" ht="15" hidden="false" customHeight="false" outlineLevel="0" collapsed="false">
      <c r="L2317" s="31" t="n">
        <f aca="true">NORMSINV(RAND())*$G$7+$G$6</f>
        <v>0.000183538075861739</v>
      </c>
    </row>
    <row r="2318" customFormat="false" ht="15" hidden="false" customHeight="false" outlineLevel="0" collapsed="false">
      <c r="L2318" s="31" t="n">
        <f aca="true">NORMSINV(RAND())*$G$7+$G$6</f>
        <v>0.00462871961948814</v>
      </c>
    </row>
    <row r="2319" customFormat="false" ht="15" hidden="false" customHeight="false" outlineLevel="0" collapsed="false">
      <c r="L2319" s="31" t="n">
        <f aca="true">NORMSINV(RAND())*$G$7+$G$6</f>
        <v>0.0142360531023095</v>
      </c>
    </row>
    <row r="2320" customFormat="false" ht="15" hidden="false" customHeight="false" outlineLevel="0" collapsed="false">
      <c r="L2320" s="31" t="n">
        <f aca="true">NORMSINV(RAND())*$G$7+$G$6</f>
        <v>0.0210364644866189</v>
      </c>
    </row>
    <row r="2321" customFormat="false" ht="15" hidden="false" customHeight="false" outlineLevel="0" collapsed="false">
      <c r="L2321" s="31" t="n">
        <f aca="true">NORMSINV(RAND())*$G$7+$G$6</f>
        <v>0.0146614141665808</v>
      </c>
    </row>
    <row r="2322" customFormat="false" ht="15" hidden="false" customHeight="false" outlineLevel="0" collapsed="false">
      <c r="L2322" s="31" t="n">
        <f aca="true">NORMSINV(RAND())*$G$7+$G$6</f>
        <v>-0.00118065469255792</v>
      </c>
    </row>
    <row r="2323" customFormat="false" ht="15" hidden="false" customHeight="false" outlineLevel="0" collapsed="false">
      <c r="L2323" s="31" t="n">
        <f aca="true">NORMSINV(RAND())*$G$7+$G$6</f>
        <v>0.0147380614225057</v>
      </c>
    </row>
    <row r="2324" customFormat="false" ht="15" hidden="false" customHeight="false" outlineLevel="0" collapsed="false">
      <c r="L2324" s="31" t="n">
        <f aca="true">NORMSINV(RAND())*$G$7+$G$6</f>
        <v>0.0194732042508431</v>
      </c>
    </row>
    <row r="2325" customFormat="false" ht="15" hidden="false" customHeight="false" outlineLevel="0" collapsed="false">
      <c r="L2325" s="31" t="n">
        <f aca="true">NORMSINV(RAND())*$G$7+$G$6</f>
        <v>-0.0204716412137572</v>
      </c>
    </row>
    <row r="2326" customFormat="false" ht="15" hidden="false" customHeight="false" outlineLevel="0" collapsed="false">
      <c r="L2326" s="31" t="n">
        <f aca="true">NORMSINV(RAND())*$G$7+$G$6</f>
        <v>-0.00826519607027669</v>
      </c>
    </row>
    <row r="2327" customFormat="false" ht="15" hidden="false" customHeight="false" outlineLevel="0" collapsed="false">
      <c r="L2327" s="31" t="n">
        <f aca="true">NORMSINV(RAND())*$G$7+$G$6</f>
        <v>-0.0113557217868472</v>
      </c>
    </row>
    <row r="2328" customFormat="false" ht="15" hidden="false" customHeight="false" outlineLevel="0" collapsed="false">
      <c r="L2328" s="31" t="n">
        <f aca="true">NORMSINV(RAND())*$G$7+$G$6</f>
        <v>-0.0118640456427594</v>
      </c>
    </row>
    <row r="2329" customFormat="false" ht="15" hidden="false" customHeight="false" outlineLevel="0" collapsed="false">
      <c r="L2329" s="31" t="n">
        <f aca="true">NORMSINV(RAND())*$G$7+$G$6</f>
        <v>0.0136928163509371</v>
      </c>
    </row>
    <row r="2330" customFormat="false" ht="15" hidden="false" customHeight="false" outlineLevel="0" collapsed="false">
      <c r="L2330" s="31" t="n">
        <f aca="true">NORMSINV(RAND())*$G$7+$G$6</f>
        <v>0.0017059324928</v>
      </c>
    </row>
    <row r="2331" customFormat="false" ht="15" hidden="false" customHeight="false" outlineLevel="0" collapsed="false">
      <c r="L2331" s="31" t="n">
        <f aca="true">NORMSINV(RAND())*$G$7+$G$6</f>
        <v>0.0273964512173853</v>
      </c>
    </row>
    <row r="2332" customFormat="false" ht="15" hidden="false" customHeight="false" outlineLevel="0" collapsed="false">
      <c r="L2332" s="31" t="n">
        <f aca="true">NORMSINV(RAND())*$G$7+$G$6</f>
        <v>0.0235365009836016</v>
      </c>
    </row>
    <row r="2333" customFormat="false" ht="15" hidden="false" customHeight="false" outlineLevel="0" collapsed="false">
      <c r="L2333" s="31" t="n">
        <f aca="true">NORMSINV(RAND())*$G$7+$G$6</f>
        <v>-0.0150381497328412</v>
      </c>
    </row>
    <row r="2334" customFormat="false" ht="15" hidden="false" customHeight="false" outlineLevel="0" collapsed="false">
      <c r="L2334" s="31" t="n">
        <f aca="true">NORMSINV(RAND())*$G$7+$G$6</f>
        <v>0.0160651562362021</v>
      </c>
    </row>
    <row r="2335" customFormat="false" ht="15" hidden="false" customHeight="false" outlineLevel="0" collapsed="false">
      <c r="L2335" s="31" t="n">
        <f aca="true">NORMSINV(RAND())*$G$7+$G$6</f>
        <v>0.00385343224410031</v>
      </c>
    </row>
    <row r="2336" customFormat="false" ht="15" hidden="false" customHeight="false" outlineLevel="0" collapsed="false">
      <c r="L2336" s="31" t="n">
        <f aca="true">NORMSINV(RAND())*$G$7+$G$6</f>
        <v>-0.0303594887886103</v>
      </c>
    </row>
    <row r="2337" customFormat="false" ht="15" hidden="false" customHeight="false" outlineLevel="0" collapsed="false">
      <c r="L2337" s="31" t="n">
        <f aca="true">NORMSINV(RAND())*$G$7+$G$6</f>
        <v>0.000661903224430529</v>
      </c>
    </row>
    <row r="2338" customFormat="false" ht="15" hidden="false" customHeight="false" outlineLevel="0" collapsed="false">
      <c r="L2338" s="31" t="n">
        <f aca="true">NORMSINV(RAND())*$G$7+$G$6</f>
        <v>0.00249909416875574</v>
      </c>
    </row>
    <row r="2339" customFormat="false" ht="15" hidden="false" customHeight="false" outlineLevel="0" collapsed="false">
      <c r="L2339" s="31" t="n">
        <f aca="true">NORMSINV(RAND())*$G$7+$G$6</f>
        <v>0.00243382114411842</v>
      </c>
    </row>
    <row r="2340" customFormat="false" ht="15" hidden="false" customHeight="false" outlineLevel="0" collapsed="false">
      <c r="L2340" s="31" t="n">
        <f aca="true">NORMSINV(RAND())*$G$7+$G$6</f>
        <v>0.00519979376562495</v>
      </c>
    </row>
    <row r="2341" customFormat="false" ht="15" hidden="false" customHeight="false" outlineLevel="0" collapsed="false">
      <c r="L2341" s="31" t="n">
        <f aca="true">NORMSINV(RAND())*$G$7+$G$6</f>
        <v>-0.00370478607662758</v>
      </c>
    </row>
    <row r="2342" customFormat="false" ht="15" hidden="false" customHeight="false" outlineLevel="0" collapsed="false">
      <c r="L2342" s="31" t="n">
        <f aca="true">NORMSINV(RAND())*$G$7+$G$6</f>
        <v>0.0225886540325492</v>
      </c>
    </row>
    <row r="2343" customFormat="false" ht="15" hidden="false" customHeight="false" outlineLevel="0" collapsed="false">
      <c r="L2343" s="31" t="n">
        <f aca="true">NORMSINV(RAND())*$G$7+$G$6</f>
        <v>0.0221553793867975</v>
      </c>
    </row>
    <row r="2344" customFormat="false" ht="15" hidden="false" customHeight="false" outlineLevel="0" collapsed="false">
      <c r="L2344" s="31" t="n">
        <f aca="true">NORMSINV(RAND())*$G$7+$G$6</f>
        <v>-0.0034158838597782</v>
      </c>
    </row>
    <row r="2345" customFormat="false" ht="15" hidden="false" customHeight="false" outlineLevel="0" collapsed="false">
      <c r="L2345" s="31" t="n">
        <f aca="true">NORMSINV(RAND())*$G$7+$G$6</f>
        <v>0.00955535449187297</v>
      </c>
    </row>
    <row r="2346" customFormat="false" ht="15" hidden="false" customHeight="false" outlineLevel="0" collapsed="false">
      <c r="L2346" s="31" t="n">
        <f aca="true">NORMSINV(RAND())*$G$7+$G$6</f>
        <v>-0.00502561397345445</v>
      </c>
    </row>
    <row r="2347" customFormat="false" ht="15" hidden="false" customHeight="false" outlineLevel="0" collapsed="false">
      <c r="L2347" s="31" t="n">
        <f aca="true">NORMSINV(RAND())*$G$7+$G$6</f>
        <v>0.0266613810782913</v>
      </c>
    </row>
    <row r="2348" customFormat="false" ht="15" hidden="false" customHeight="false" outlineLevel="0" collapsed="false">
      <c r="L2348" s="31" t="n">
        <f aca="true">NORMSINV(RAND())*$G$7+$G$6</f>
        <v>-0.0167830242621358</v>
      </c>
    </row>
    <row r="2349" customFormat="false" ht="15" hidden="false" customHeight="false" outlineLevel="0" collapsed="false">
      <c r="L2349" s="31" t="n">
        <f aca="true">NORMSINV(RAND())*$G$7+$G$6</f>
        <v>0.0198340358468087</v>
      </c>
    </row>
    <row r="2350" customFormat="false" ht="15" hidden="false" customHeight="false" outlineLevel="0" collapsed="false">
      <c r="L2350" s="31" t="n">
        <f aca="true">NORMSINV(RAND())*$G$7+$G$6</f>
        <v>-0.00482139153118296</v>
      </c>
    </row>
    <row r="2351" customFormat="false" ht="15" hidden="false" customHeight="false" outlineLevel="0" collapsed="false">
      <c r="L2351" s="31" t="n">
        <f aca="true">NORMSINV(RAND())*$G$7+$G$6</f>
        <v>0.0119861961153475</v>
      </c>
    </row>
    <row r="2352" customFormat="false" ht="15" hidden="false" customHeight="false" outlineLevel="0" collapsed="false">
      <c r="L2352" s="31" t="n">
        <f aca="true">NORMSINV(RAND())*$G$7+$G$6</f>
        <v>-0.00389714958774786</v>
      </c>
    </row>
    <row r="2353" customFormat="false" ht="15" hidden="false" customHeight="false" outlineLevel="0" collapsed="false">
      <c r="L2353" s="31" t="n">
        <f aca="true">NORMSINV(RAND())*$G$7+$G$6</f>
        <v>-0.00942104573166908</v>
      </c>
    </row>
    <row r="2354" customFormat="false" ht="15" hidden="false" customHeight="false" outlineLevel="0" collapsed="false">
      <c r="L2354" s="31" t="n">
        <f aca="true">NORMSINV(RAND())*$G$7+$G$6</f>
        <v>-0.0086517772012601</v>
      </c>
    </row>
    <row r="2355" customFormat="false" ht="15" hidden="false" customHeight="false" outlineLevel="0" collapsed="false">
      <c r="L2355" s="31" t="n">
        <f aca="true">NORMSINV(RAND())*$G$7+$G$6</f>
        <v>-0.00649413977876583</v>
      </c>
    </row>
    <row r="2356" customFormat="false" ht="15" hidden="false" customHeight="false" outlineLevel="0" collapsed="false">
      <c r="L2356" s="31" t="n">
        <f aca="true">NORMSINV(RAND())*$G$7+$G$6</f>
        <v>0.000885552147487203</v>
      </c>
    </row>
    <row r="2357" customFormat="false" ht="15" hidden="false" customHeight="false" outlineLevel="0" collapsed="false">
      <c r="L2357" s="31" t="n">
        <f aca="true">NORMSINV(RAND())*$G$7+$G$6</f>
        <v>0.00422781140772552</v>
      </c>
    </row>
    <row r="2358" customFormat="false" ht="15" hidden="false" customHeight="false" outlineLevel="0" collapsed="false">
      <c r="L2358" s="31" t="n">
        <f aca="true">NORMSINV(RAND())*$G$7+$G$6</f>
        <v>0.0191079861899288</v>
      </c>
    </row>
    <row r="2359" customFormat="false" ht="15" hidden="false" customHeight="false" outlineLevel="0" collapsed="false">
      <c r="L2359" s="31" t="n">
        <f aca="true">NORMSINV(RAND())*$G$7+$G$6</f>
        <v>0.00356426796906508</v>
      </c>
    </row>
    <row r="2360" customFormat="false" ht="15" hidden="false" customHeight="false" outlineLevel="0" collapsed="false">
      <c r="L2360" s="31" t="n">
        <f aca="true">NORMSINV(RAND())*$G$7+$G$6</f>
        <v>0.00341603867267918</v>
      </c>
    </row>
    <row r="2361" customFormat="false" ht="15" hidden="false" customHeight="false" outlineLevel="0" collapsed="false">
      <c r="L2361" s="31" t="n">
        <f aca="true">NORMSINV(RAND())*$G$7+$G$6</f>
        <v>-0.00679393140221816</v>
      </c>
    </row>
    <row r="2362" customFormat="false" ht="15" hidden="false" customHeight="false" outlineLevel="0" collapsed="false">
      <c r="L2362" s="31" t="n">
        <f aca="true">NORMSINV(RAND())*$G$7+$G$6</f>
        <v>-0.00595006396449378</v>
      </c>
    </row>
    <row r="2363" customFormat="false" ht="15" hidden="false" customHeight="false" outlineLevel="0" collapsed="false">
      <c r="L2363" s="31" t="n">
        <f aca="true">NORMSINV(RAND())*$G$7+$G$6</f>
        <v>-0.0124674081620787</v>
      </c>
    </row>
    <row r="2364" customFormat="false" ht="15" hidden="false" customHeight="false" outlineLevel="0" collapsed="false">
      <c r="L2364" s="31" t="n">
        <f aca="true">NORMSINV(RAND())*$G$7+$G$6</f>
        <v>-0.0115679524613949</v>
      </c>
    </row>
    <row r="2365" customFormat="false" ht="15" hidden="false" customHeight="false" outlineLevel="0" collapsed="false">
      <c r="L2365" s="31" t="n">
        <f aca="true">NORMSINV(RAND())*$G$7+$G$6</f>
        <v>-0.0138148748880396</v>
      </c>
    </row>
    <row r="2366" customFormat="false" ht="15" hidden="false" customHeight="false" outlineLevel="0" collapsed="false">
      <c r="L2366" s="31" t="n">
        <f aca="true">NORMSINV(RAND())*$G$7+$G$6</f>
        <v>0.0158991680972125</v>
      </c>
    </row>
    <row r="2367" customFormat="false" ht="15" hidden="false" customHeight="false" outlineLevel="0" collapsed="false">
      <c r="L2367" s="31" t="n">
        <f aca="true">NORMSINV(RAND())*$G$7+$G$6</f>
        <v>-0.0213043815212454</v>
      </c>
    </row>
    <row r="2368" customFormat="false" ht="15" hidden="false" customHeight="false" outlineLevel="0" collapsed="false">
      <c r="L2368" s="31" t="n">
        <f aca="true">NORMSINV(RAND())*$G$7+$G$6</f>
        <v>0.0226780748972305</v>
      </c>
    </row>
    <row r="2369" customFormat="false" ht="15" hidden="false" customHeight="false" outlineLevel="0" collapsed="false">
      <c r="L2369" s="31" t="n">
        <f aca="true">NORMSINV(RAND())*$G$7+$G$6</f>
        <v>-0.00974013323580987</v>
      </c>
    </row>
    <row r="2370" customFormat="false" ht="15" hidden="false" customHeight="false" outlineLevel="0" collapsed="false">
      <c r="L2370" s="31" t="n">
        <f aca="true">NORMSINV(RAND())*$G$7+$G$6</f>
        <v>-0.0214127039970418</v>
      </c>
    </row>
    <row r="2371" customFormat="false" ht="15" hidden="false" customHeight="false" outlineLevel="0" collapsed="false">
      <c r="L2371" s="31" t="n">
        <f aca="true">NORMSINV(RAND())*$G$7+$G$6</f>
        <v>0.0124885875830834</v>
      </c>
    </row>
    <row r="2372" customFormat="false" ht="15" hidden="false" customHeight="false" outlineLevel="0" collapsed="false">
      <c r="L2372" s="31" t="n">
        <f aca="true">NORMSINV(RAND())*$G$7+$G$6</f>
        <v>-0.00434462452214609</v>
      </c>
    </row>
    <row r="2373" customFormat="false" ht="15" hidden="false" customHeight="false" outlineLevel="0" collapsed="false">
      <c r="L2373" s="31" t="n">
        <f aca="true">NORMSINV(RAND())*$G$7+$G$6</f>
        <v>-0.0126772763367971</v>
      </c>
    </row>
    <row r="2374" customFormat="false" ht="15" hidden="false" customHeight="false" outlineLevel="0" collapsed="false">
      <c r="L2374" s="31" t="n">
        <f aca="true">NORMSINV(RAND())*$G$7+$G$6</f>
        <v>-0.00144349802844521</v>
      </c>
    </row>
    <row r="2375" customFormat="false" ht="15" hidden="false" customHeight="false" outlineLevel="0" collapsed="false">
      <c r="L2375" s="31" t="n">
        <f aca="true">NORMSINV(RAND())*$G$7+$G$6</f>
        <v>-0.0112806191961435</v>
      </c>
    </row>
    <row r="2376" customFormat="false" ht="15" hidden="false" customHeight="false" outlineLevel="0" collapsed="false">
      <c r="L2376" s="31" t="n">
        <f aca="true">NORMSINV(RAND())*$G$7+$G$6</f>
        <v>-0.00936019370611455</v>
      </c>
    </row>
    <row r="2377" customFormat="false" ht="15" hidden="false" customHeight="false" outlineLevel="0" collapsed="false">
      <c r="L2377" s="31" t="n">
        <f aca="true">NORMSINV(RAND())*$G$7+$G$6</f>
        <v>0.00929680360032653</v>
      </c>
    </row>
    <row r="2378" customFormat="false" ht="15" hidden="false" customHeight="false" outlineLevel="0" collapsed="false">
      <c r="L2378" s="31" t="n">
        <f aca="true">NORMSINV(RAND())*$G$7+$G$6</f>
        <v>-0.00291140028972381</v>
      </c>
    </row>
    <row r="2379" customFormat="false" ht="15" hidden="false" customHeight="false" outlineLevel="0" collapsed="false">
      <c r="L2379" s="31" t="n">
        <f aca="true">NORMSINV(RAND())*$G$7+$G$6</f>
        <v>0.0026012464002046</v>
      </c>
    </row>
    <row r="2380" customFormat="false" ht="15" hidden="false" customHeight="false" outlineLevel="0" collapsed="false">
      <c r="L2380" s="31" t="n">
        <f aca="true">NORMSINV(RAND())*$G$7+$G$6</f>
        <v>-0.0112207241734094</v>
      </c>
    </row>
    <row r="2381" customFormat="false" ht="15" hidden="false" customHeight="false" outlineLevel="0" collapsed="false">
      <c r="L2381" s="31" t="n">
        <f aca="true">NORMSINV(RAND())*$G$7+$G$6</f>
        <v>0.00212996147288419</v>
      </c>
    </row>
    <row r="2382" customFormat="false" ht="15" hidden="false" customHeight="false" outlineLevel="0" collapsed="false">
      <c r="L2382" s="31" t="n">
        <f aca="true">NORMSINV(RAND())*$G$7+$G$6</f>
        <v>0.0101918803398778</v>
      </c>
    </row>
    <row r="2383" customFormat="false" ht="15" hidden="false" customHeight="false" outlineLevel="0" collapsed="false">
      <c r="L2383" s="31" t="n">
        <f aca="true">NORMSINV(RAND())*$G$7+$G$6</f>
        <v>0.00900996769855268</v>
      </c>
    </row>
    <row r="2384" customFormat="false" ht="15" hidden="false" customHeight="false" outlineLevel="0" collapsed="false">
      <c r="L2384" s="31" t="n">
        <f aca="true">NORMSINV(RAND())*$G$7+$G$6</f>
        <v>-0.0032556682952922</v>
      </c>
    </row>
    <row r="2385" customFormat="false" ht="15" hidden="false" customHeight="false" outlineLevel="0" collapsed="false">
      <c r="L2385" s="31" t="n">
        <f aca="true">NORMSINV(RAND())*$G$7+$G$6</f>
        <v>0.00454819328850645</v>
      </c>
    </row>
    <row r="2386" customFormat="false" ht="15" hidden="false" customHeight="false" outlineLevel="0" collapsed="false">
      <c r="L2386" s="31" t="n">
        <f aca="true">NORMSINV(RAND())*$G$7+$G$6</f>
        <v>-0.000437592250375171</v>
      </c>
    </row>
    <row r="2387" customFormat="false" ht="15" hidden="false" customHeight="false" outlineLevel="0" collapsed="false">
      <c r="L2387" s="31" t="n">
        <f aca="true">NORMSINV(RAND())*$G$7+$G$6</f>
        <v>0.0231718800363884</v>
      </c>
    </row>
    <row r="2388" customFormat="false" ht="15" hidden="false" customHeight="false" outlineLevel="0" collapsed="false">
      <c r="L2388" s="31" t="n">
        <f aca="true">NORMSINV(RAND())*$G$7+$G$6</f>
        <v>0.0024321150008422</v>
      </c>
    </row>
    <row r="2389" customFormat="false" ht="15" hidden="false" customHeight="false" outlineLevel="0" collapsed="false">
      <c r="L2389" s="31" t="n">
        <f aca="true">NORMSINV(RAND())*$G$7+$G$6</f>
        <v>0.00336835632617355</v>
      </c>
    </row>
    <row r="2390" customFormat="false" ht="15" hidden="false" customHeight="false" outlineLevel="0" collapsed="false">
      <c r="L2390" s="31" t="n">
        <f aca="true">NORMSINV(RAND())*$G$7+$G$6</f>
        <v>0.0224018217752791</v>
      </c>
    </row>
    <row r="2391" customFormat="false" ht="15" hidden="false" customHeight="false" outlineLevel="0" collapsed="false">
      <c r="L2391" s="31" t="n">
        <f aca="true">NORMSINV(RAND())*$G$7+$G$6</f>
        <v>-0.00274282242465615</v>
      </c>
    </row>
    <row r="2392" customFormat="false" ht="15" hidden="false" customHeight="false" outlineLevel="0" collapsed="false">
      <c r="L2392" s="31" t="n">
        <f aca="true">NORMSINV(RAND())*$G$7+$G$6</f>
        <v>0.0339576632865112</v>
      </c>
    </row>
    <row r="2393" customFormat="false" ht="15" hidden="false" customHeight="false" outlineLevel="0" collapsed="false">
      <c r="L2393" s="31" t="n">
        <f aca="true">NORMSINV(RAND())*$G$7+$G$6</f>
        <v>0.0204758046496089</v>
      </c>
    </row>
    <row r="2394" customFormat="false" ht="15" hidden="false" customHeight="false" outlineLevel="0" collapsed="false">
      <c r="L2394" s="31" t="n">
        <f aca="true">NORMSINV(RAND())*$G$7+$G$6</f>
        <v>0.00357423743340861</v>
      </c>
    </row>
    <row r="2395" customFormat="false" ht="15" hidden="false" customHeight="false" outlineLevel="0" collapsed="false">
      <c r="L2395" s="31" t="n">
        <f aca="true">NORMSINV(RAND())*$G$7+$G$6</f>
        <v>0.00532241142485528</v>
      </c>
    </row>
    <row r="2396" customFormat="false" ht="15" hidden="false" customHeight="false" outlineLevel="0" collapsed="false">
      <c r="L2396" s="31" t="n">
        <f aca="true">NORMSINV(RAND())*$G$7+$G$6</f>
        <v>0.00908080134554554</v>
      </c>
    </row>
    <row r="2397" customFormat="false" ht="15" hidden="false" customHeight="false" outlineLevel="0" collapsed="false">
      <c r="L2397" s="31" t="n">
        <f aca="true">NORMSINV(RAND())*$G$7+$G$6</f>
        <v>-0.00598135064240854</v>
      </c>
    </row>
    <row r="2398" customFormat="false" ht="15" hidden="false" customHeight="false" outlineLevel="0" collapsed="false">
      <c r="L2398" s="31" t="n">
        <f aca="true">NORMSINV(RAND())*$G$7+$G$6</f>
        <v>0.0141272071997877</v>
      </c>
    </row>
    <row r="2399" customFormat="false" ht="15" hidden="false" customHeight="false" outlineLevel="0" collapsed="false">
      <c r="L2399" s="31" t="n">
        <f aca="true">NORMSINV(RAND())*$G$7+$G$6</f>
        <v>0.0119150981413007</v>
      </c>
    </row>
    <row r="2400" customFormat="false" ht="15" hidden="false" customHeight="false" outlineLevel="0" collapsed="false">
      <c r="L2400" s="31" t="n">
        <f aca="true">NORMSINV(RAND())*$G$7+$G$6</f>
        <v>0.0079720036471169</v>
      </c>
    </row>
    <row r="2401" customFormat="false" ht="15" hidden="false" customHeight="false" outlineLevel="0" collapsed="false">
      <c r="L2401" s="31" t="n">
        <f aca="true">NORMSINV(RAND())*$G$7+$G$6</f>
        <v>0.0145346612130897</v>
      </c>
    </row>
    <row r="2402" customFormat="false" ht="15" hidden="false" customHeight="false" outlineLevel="0" collapsed="false">
      <c r="L2402" s="31" t="n">
        <f aca="true">NORMSINV(RAND())*$G$7+$G$6</f>
        <v>0.00749209127647155</v>
      </c>
    </row>
    <row r="2403" customFormat="false" ht="15" hidden="false" customHeight="false" outlineLevel="0" collapsed="false">
      <c r="L2403" s="31" t="n">
        <f aca="true">NORMSINV(RAND())*$G$7+$G$6</f>
        <v>0.0171737590645356</v>
      </c>
    </row>
    <row r="2404" customFormat="false" ht="15" hidden="false" customHeight="false" outlineLevel="0" collapsed="false">
      <c r="L2404" s="31" t="n">
        <f aca="true">NORMSINV(RAND())*$G$7+$G$6</f>
        <v>0.013087208465961</v>
      </c>
    </row>
    <row r="2405" customFormat="false" ht="15" hidden="false" customHeight="false" outlineLevel="0" collapsed="false">
      <c r="L2405" s="31" t="n">
        <f aca="true">NORMSINV(RAND())*$G$7+$G$6</f>
        <v>-0.00286519586451357</v>
      </c>
    </row>
    <row r="2406" customFormat="false" ht="15" hidden="false" customHeight="false" outlineLevel="0" collapsed="false">
      <c r="L2406" s="31" t="n">
        <f aca="true">NORMSINV(RAND())*$G$7+$G$6</f>
        <v>0.0265501682538518</v>
      </c>
    </row>
    <row r="2407" customFormat="false" ht="15" hidden="false" customHeight="false" outlineLevel="0" collapsed="false">
      <c r="L2407" s="31" t="n">
        <f aca="true">NORMSINV(RAND())*$G$7+$G$6</f>
        <v>-0.00449495471882373</v>
      </c>
    </row>
    <row r="2408" customFormat="false" ht="15" hidden="false" customHeight="false" outlineLevel="0" collapsed="false">
      <c r="L2408" s="31" t="n">
        <f aca="true">NORMSINV(RAND())*$G$7+$G$6</f>
        <v>-0.00942244221292552</v>
      </c>
    </row>
    <row r="2409" customFormat="false" ht="15" hidden="false" customHeight="false" outlineLevel="0" collapsed="false">
      <c r="L2409" s="31" t="n">
        <f aca="true">NORMSINV(RAND())*$G$7+$G$6</f>
        <v>0.0260160527138359</v>
      </c>
    </row>
    <row r="2410" customFormat="false" ht="15" hidden="false" customHeight="false" outlineLevel="0" collapsed="false">
      <c r="L2410" s="31" t="n">
        <f aca="true">NORMSINV(RAND())*$G$7+$G$6</f>
        <v>-0.022824343357983</v>
      </c>
    </row>
    <row r="2411" customFormat="false" ht="15" hidden="false" customHeight="false" outlineLevel="0" collapsed="false">
      <c r="L2411" s="31" t="n">
        <f aca="true">NORMSINV(RAND())*$G$7+$G$6</f>
        <v>0.0162905528296083</v>
      </c>
    </row>
    <row r="2412" customFormat="false" ht="15" hidden="false" customHeight="false" outlineLevel="0" collapsed="false">
      <c r="L2412" s="31" t="n">
        <f aca="true">NORMSINV(RAND())*$G$7+$G$6</f>
        <v>0.000740061388717786</v>
      </c>
    </row>
    <row r="2413" customFormat="false" ht="15" hidden="false" customHeight="false" outlineLevel="0" collapsed="false">
      <c r="L2413" s="31" t="n">
        <f aca="true">NORMSINV(RAND())*$G$7+$G$6</f>
        <v>-0.00390144759595062</v>
      </c>
    </row>
    <row r="2414" customFormat="false" ht="15" hidden="false" customHeight="false" outlineLevel="0" collapsed="false">
      <c r="L2414" s="31" t="n">
        <f aca="true">NORMSINV(RAND())*$G$7+$G$6</f>
        <v>-0.0195531981972765</v>
      </c>
    </row>
    <row r="2415" customFormat="false" ht="15" hidden="false" customHeight="false" outlineLevel="0" collapsed="false">
      <c r="L2415" s="31" t="n">
        <f aca="true">NORMSINV(RAND())*$G$7+$G$6</f>
        <v>0.0177499411747436</v>
      </c>
    </row>
    <row r="2416" customFormat="false" ht="15" hidden="false" customHeight="false" outlineLevel="0" collapsed="false">
      <c r="L2416" s="31" t="n">
        <f aca="true">NORMSINV(RAND())*$G$7+$G$6</f>
        <v>0.00615054108351594</v>
      </c>
    </row>
    <row r="2417" customFormat="false" ht="15" hidden="false" customHeight="false" outlineLevel="0" collapsed="false">
      <c r="L2417" s="31" t="n">
        <f aca="true">NORMSINV(RAND())*$G$7+$G$6</f>
        <v>-0.00156258903679015</v>
      </c>
    </row>
    <row r="2418" customFormat="false" ht="15" hidden="false" customHeight="false" outlineLevel="0" collapsed="false">
      <c r="L2418" s="31" t="n">
        <f aca="true">NORMSINV(RAND())*$G$7+$G$6</f>
        <v>0.000717551353862231</v>
      </c>
    </row>
    <row r="2419" customFormat="false" ht="15" hidden="false" customHeight="false" outlineLevel="0" collapsed="false">
      <c r="L2419" s="31" t="n">
        <f aca="true">NORMSINV(RAND())*$G$7+$G$6</f>
        <v>-0.0314968432200878</v>
      </c>
    </row>
    <row r="2420" customFormat="false" ht="15" hidden="false" customHeight="false" outlineLevel="0" collapsed="false">
      <c r="L2420" s="31" t="n">
        <f aca="true">NORMSINV(RAND())*$G$7+$G$6</f>
        <v>-0.00323909671447946</v>
      </c>
    </row>
    <row r="2421" customFormat="false" ht="15" hidden="false" customHeight="false" outlineLevel="0" collapsed="false">
      <c r="L2421" s="31" t="n">
        <f aca="true">NORMSINV(RAND())*$G$7+$G$6</f>
        <v>0.0241508602853236</v>
      </c>
    </row>
    <row r="2422" customFormat="false" ht="15" hidden="false" customHeight="false" outlineLevel="0" collapsed="false">
      <c r="L2422" s="31" t="n">
        <f aca="true">NORMSINV(RAND())*$G$7+$G$6</f>
        <v>-0.00485511462993186</v>
      </c>
    </row>
    <row r="2423" customFormat="false" ht="15" hidden="false" customHeight="false" outlineLevel="0" collapsed="false">
      <c r="L2423" s="31" t="n">
        <f aca="true">NORMSINV(RAND())*$G$7+$G$6</f>
        <v>-0.00314323061176576</v>
      </c>
    </row>
    <row r="2424" customFormat="false" ht="15" hidden="false" customHeight="false" outlineLevel="0" collapsed="false">
      <c r="L2424" s="31" t="n">
        <f aca="true">NORMSINV(RAND())*$G$7+$G$6</f>
        <v>0.0168944458030797</v>
      </c>
    </row>
    <row r="2425" customFormat="false" ht="15" hidden="false" customHeight="false" outlineLevel="0" collapsed="false">
      <c r="L2425" s="31" t="n">
        <f aca="true">NORMSINV(RAND())*$G$7+$G$6</f>
        <v>-0.00751396187180313</v>
      </c>
    </row>
    <row r="2426" customFormat="false" ht="15" hidden="false" customHeight="false" outlineLevel="0" collapsed="false">
      <c r="L2426" s="31" t="n">
        <f aca="true">NORMSINV(RAND())*$G$7+$G$6</f>
        <v>0.026304906293472</v>
      </c>
    </row>
    <row r="2427" customFormat="false" ht="15" hidden="false" customHeight="false" outlineLevel="0" collapsed="false">
      <c r="L2427" s="31" t="n">
        <f aca="true">NORMSINV(RAND())*$G$7+$G$6</f>
        <v>-0.00121439840351159</v>
      </c>
    </row>
    <row r="2428" customFormat="false" ht="15" hidden="false" customHeight="false" outlineLevel="0" collapsed="false">
      <c r="L2428" s="31" t="n">
        <f aca="true">NORMSINV(RAND())*$G$7+$G$6</f>
        <v>-0.0199919015323371</v>
      </c>
    </row>
    <row r="2429" customFormat="false" ht="15" hidden="false" customHeight="false" outlineLevel="0" collapsed="false">
      <c r="L2429" s="31" t="n">
        <f aca="true">NORMSINV(RAND())*$G$7+$G$6</f>
        <v>-0.00310076297559942</v>
      </c>
    </row>
    <row r="2430" customFormat="false" ht="15" hidden="false" customHeight="false" outlineLevel="0" collapsed="false">
      <c r="L2430" s="31" t="n">
        <f aca="true">NORMSINV(RAND())*$G$7+$G$6</f>
        <v>-0.00201906736436035</v>
      </c>
    </row>
    <row r="2431" customFormat="false" ht="15" hidden="false" customHeight="false" outlineLevel="0" collapsed="false">
      <c r="L2431" s="31" t="n">
        <f aca="true">NORMSINV(RAND())*$G$7+$G$6</f>
        <v>-0.00987396136117633</v>
      </c>
    </row>
    <row r="2432" customFormat="false" ht="15" hidden="false" customHeight="false" outlineLevel="0" collapsed="false">
      <c r="L2432" s="31" t="n">
        <f aca="true">NORMSINV(RAND())*$G$7+$G$6</f>
        <v>0.000228802305224621</v>
      </c>
    </row>
    <row r="2433" customFormat="false" ht="15" hidden="false" customHeight="false" outlineLevel="0" collapsed="false">
      <c r="L2433" s="31" t="n">
        <f aca="true">NORMSINV(RAND())*$G$7+$G$6</f>
        <v>0.0125646435999768</v>
      </c>
    </row>
    <row r="2434" customFormat="false" ht="15" hidden="false" customHeight="false" outlineLevel="0" collapsed="false">
      <c r="L2434" s="31" t="n">
        <f aca="true">NORMSINV(RAND())*$G$7+$G$6</f>
        <v>-0.00421009834194359</v>
      </c>
    </row>
    <row r="2435" customFormat="false" ht="15" hidden="false" customHeight="false" outlineLevel="0" collapsed="false">
      <c r="L2435" s="31" t="n">
        <f aca="true">NORMSINV(RAND())*$G$7+$G$6</f>
        <v>-0.0186633336204623</v>
      </c>
    </row>
    <row r="2436" customFormat="false" ht="15" hidden="false" customHeight="false" outlineLevel="0" collapsed="false">
      <c r="L2436" s="31" t="n">
        <f aca="true">NORMSINV(RAND())*$G$7+$G$6</f>
        <v>-0.0137227294889441</v>
      </c>
    </row>
    <row r="2437" customFormat="false" ht="15" hidden="false" customHeight="false" outlineLevel="0" collapsed="false">
      <c r="L2437" s="31" t="n">
        <f aca="true">NORMSINV(RAND())*$G$7+$G$6</f>
        <v>-0.0149460414496207</v>
      </c>
    </row>
    <row r="2438" customFormat="false" ht="15" hidden="false" customHeight="false" outlineLevel="0" collapsed="false">
      <c r="L2438" s="31" t="n">
        <f aca="true">NORMSINV(RAND())*$G$7+$G$6</f>
        <v>-0.0205194713471853</v>
      </c>
    </row>
    <row r="2439" customFormat="false" ht="15" hidden="false" customHeight="false" outlineLevel="0" collapsed="false">
      <c r="L2439" s="31" t="n">
        <f aca="true">NORMSINV(RAND())*$G$7+$G$6</f>
        <v>-0.00536583273369415</v>
      </c>
    </row>
    <row r="2440" customFormat="false" ht="15" hidden="false" customHeight="false" outlineLevel="0" collapsed="false">
      <c r="L2440" s="31" t="n">
        <f aca="true">NORMSINV(RAND())*$G$7+$G$6</f>
        <v>0.0075365369744739</v>
      </c>
    </row>
    <row r="2441" customFormat="false" ht="15" hidden="false" customHeight="false" outlineLevel="0" collapsed="false">
      <c r="L2441" s="31" t="n">
        <f aca="true">NORMSINV(RAND())*$G$7+$G$6</f>
        <v>0.014614534697931</v>
      </c>
    </row>
    <row r="2442" customFormat="false" ht="15" hidden="false" customHeight="false" outlineLevel="0" collapsed="false">
      <c r="L2442" s="31" t="n">
        <f aca="true">NORMSINV(RAND())*$G$7+$G$6</f>
        <v>-4.0707341293235E-005</v>
      </c>
    </row>
    <row r="2443" customFormat="false" ht="15" hidden="false" customHeight="false" outlineLevel="0" collapsed="false">
      <c r="L2443" s="31" t="n">
        <f aca="true">NORMSINV(RAND())*$G$7+$G$6</f>
        <v>0.00462663552336141</v>
      </c>
    </row>
    <row r="2444" customFormat="false" ht="15" hidden="false" customHeight="false" outlineLevel="0" collapsed="false">
      <c r="L2444" s="31" t="n">
        <f aca="true">NORMSINV(RAND())*$G$7+$G$6</f>
        <v>-0.00730613100570672</v>
      </c>
    </row>
    <row r="2445" customFormat="false" ht="15" hidden="false" customHeight="false" outlineLevel="0" collapsed="false">
      <c r="L2445" s="31" t="n">
        <f aca="true">NORMSINV(RAND())*$G$7+$G$6</f>
        <v>-0.00553333388906958</v>
      </c>
    </row>
    <row r="2446" customFormat="false" ht="15" hidden="false" customHeight="false" outlineLevel="0" collapsed="false">
      <c r="L2446" s="31" t="n">
        <f aca="true">NORMSINV(RAND())*$G$7+$G$6</f>
        <v>-0.00491415492362878</v>
      </c>
    </row>
    <row r="2447" customFormat="false" ht="15" hidden="false" customHeight="false" outlineLevel="0" collapsed="false">
      <c r="L2447" s="31" t="n">
        <f aca="true">NORMSINV(RAND())*$G$7+$G$6</f>
        <v>0.019999067159795</v>
      </c>
    </row>
    <row r="2448" customFormat="false" ht="15" hidden="false" customHeight="false" outlineLevel="0" collapsed="false">
      <c r="L2448" s="31" t="n">
        <f aca="true">NORMSINV(RAND())*$G$7+$G$6</f>
        <v>0.00967324347610987</v>
      </c>
    </row>
    <row r="2449" customFormat="false" ht="15" hidden="false" customHeight="false" outlineLevel="0" collapsed="false">
      <c r="L2449" s="31" t="n">
        <f aca="true">NORMSINV(RAND())*$G$7+$G$6</f>
        <v>-0.00457785754030644</v>
      </c>
    </row>
    <row r="2450" customFormat="false" ht="15" hidden="false" customHeight="false" outlineLevel="0" collapsed="false">
      <c r="L2450" s="31" t="n">
        <f aca="true">NORMSINV(RAND())*$G$7+$G$6</f>
        <v>0.00990365847291366</v>
      </c>
    </row>
    <row r="2451" customFormat="false" ht="15" hidden="false" customHeight="false" outlineLevel="0" collapsed="false">
      <c r="L2451" s="31" t="n">
        <f aca="true">NORMSINV(RAND())*$G$7+$G$6</f>
        <v>0.0050704885358342</v>
      </c>
    </row>
    <row r="2452" customFormat="false" ht="15" hidden="false" customHeight="false" outlineLevel="0" collapsed="false">
      <c r="L2452" s="31" t="n">
        <f aca="true">NORMSINV(RAND())*$G$7+$G$6</f>
        <v>0.0123421459922657</v>
      </c>
    </row>
    <row r="2453" customFormat="false" ht="15" hidden="false" customHeight="false" outlineLevel="0" collapsed="false">
      <c r="L2453" s="31" t="n">
        <f aca="true">NORMSINV(RAND())*$G$7+$G$6</f>
        <v>0.00199148029118956</v>
      </c>
    </row>
    <row r="2454" customFormat="false" ht="15" hidden="false" customHeight="false" outlineLevel="0" collapsed="false">
      <c r="L2454" s="31" t="n">
        <f aca="true">NORMSINV(RAND())*$G$7+$G$6</f>
        <v>0.00538987520658749</v>
      </c>
    </row>
    <row r="2455" customFormat="false" ht="15" hidden="false" customHeight="false" outlineLevel="0" collapsed="false">
      <c r="L2455" s="31" t="n">
        <f aca="true">NORMSINV(RAND())*$G$7+$G$6</f>
        <v>0.00904587841325843</v>
      </c>
    </row>
    <row r="2456" customFormat="false" ht="15" hidden="false" customHeight="false" outlineLevel="0" collapsed="false">
      <c r="L2456" s="31" t="n">
        <f aca="true">NORMSINV(RAND())*$G$7+$G$6</f>
        <v>-0.0232333023862551</v>
      </c>
    </row>
    <row r="2457" customFormat="false" ht="15" hidden="false" customHeight="false" outlineLevel="0" collapsed="false">
      <c r="L2457" s="31" t="n">
        <f aca="true">NORMSINV(RAND())*$G$7+$G$6</f>
        <v>-0.0143608553974696</v>
      </c>
    </row>
    <row r="2458" customFormat="false" ht="15" hidden="false" customHeight="false" outlineLevel="0" collapsed="false">
      <c r="L2458" s="31" t="n">
        <f aca="true">NORMSINV(RAND())*$G$7+$G$6</f>
        <v>0.00384909798083961</v>
      </c>
    </row>
    <row r="2459" customFormat="false" ht="15" hidden="false" customHeight="false" outlineLevel="0" collapsed="false">
      <c r="L2459" s="31" t="n">
        <f aca="true">NORMSINV(RAND())*$G$7+$G$6</f>
        <v>0.0065330366631488</v>
      </c>
    </row>
    <row r="2460" customFormat="false" ht="15" hidden="false" customHeight="false" outlineLevel="0" collapsed="false">
      <c r="L2460" s="31" t="n">
        <f aca="true">NORMSINV(RAND())*$G$7+$G$6</f>
        <v>0.0180779289714636</v>
      </c>
    </row>
    <row r="2461" customFormat="false" ht="15" hidden="false" customHeight="false" outlineLevel="0" collapsed="false">
      <c r="L2461" s="31" t="n">
        <f aca="true">NORMSINV(RAND())*$G$7+$G$6</f>
        <v>0.00455235134973682</v>
      </c>
    </row>
    <row r="2462" customFormat="false" ht="15" hidden="false" customHeight="false" outlineLevel="0" collapsed="false">
      <c r="L2462" s="31" t="n">
        <f aca="true">NORMSINV(RAND())*$G$7+$G$6</f>
        <v>-0.00734318730378132</v>
      </c>
    </row>
    <row r="2463" customFormat="false" ht="15" hidden="false" customHeight="false" outlineLevel="0" collapsed="false">
      <c r="L2463" s="31" t="n">
        <f aca="true">NORMSINV(RAND())*$G$7+$G$6</f>
        <v>0.00261624499075228</v>
      </c>
    </row>
    <row r="2464" customFormat="false" ht="15" hidden="false" customHeight="false" outlineLevel="0" collapsed="false">
      <c r="L2464" s="31" t="n">
        <f aca="true">NORMSINV(RAND())*$G$7+$G$6</f>
        <v>-0.014960616078397</v>
      </c>
    </row>
    <row r="2465" customFormat="false" ht="15" hidden="false" customHeight="false" outlineLevel="0" collapsed="false">
      <c r="L2465" s="31" t="n">
        <f aca="true">NORMSINV(RAND())*$G$7+$G$6</f>
        <v>-0.00413743940358649</v>
      </c>
    </row>
    <row r="2466" customFormat="false" ht="15" hidden="false" customHeight="false" outlineLevel="0" collapsed="false">
      <c r="L2466" s="31" t="n">
        <f aca="true">NORMSINV(RAND())*$G$7+$G$6</f>
        <v>0.00657099779467553</v>
      </c>
    </row>
    <row r="2467" customFormat="false" ht="15" hidden="false" customHeight="false" outlineLevel="0" collapsed="false">
      <c r="L2467" s="31" t="n">
        <f aca="true">NORMSINV(RAND())*$G$7+$G$6</f>
        <v>0.00490857764630379</v>
      </c>
    </row>
    <row r="2468" customFormat="false" ht="15" hidden="false" customHeight="false" outlineLevel="0" collapsed="false">
      <c r="L2468" s="31" t="n">
        <f aca="true">NORMSINV(RAND())*$G$7+$G$6</f>
        <v>0.0123107686726245</v>
      </c>
    </row>
    <row r="2469" customFormat="false" ht="15" hidden="false" customHeight="false" outlineLevel="0" collapsed="false">
      <c r="L2469" s="31" t="n">
        <f aca="true">NORMSINV(RAND())*$G$7+$G$6</f>
        <v>0.00408953531013488</v>
      </c>
    </row>
    <row r="2470" customFormat="false" ht="15" hidden="false" customHeight="false" outlineLevel="0" collapsed="false">
      <c r="L2470" s="31" t="n">
        <f aca="true">NORMSINV(RAND())*$G$7+$G$6</f>
        <v>0.000626555891938258</v>
      </c>
    </row>
    <row r="2471" customFormat="false" ht="15" hidden="false" customHeight="false" outlineLevel="0" collapsed="false">
      <c r="L2471" s="31" t="n">
        <f aca="true">NORMSINV(RAND())*$G$7+$G$6</f>
        <v>0.0120208750944139</v>
      </c>
    </row>
    <row r="2472" customFormat="false" ht="15" hidden="false" customHeight="false" outlineLevel="0" collapsed="false">
      <c r="L2472" s="31" t="n">
        <f aca="true">NORMSINV(RAND())*$G$7+$G$6</f>
        <v>0.00767721561180527</v>
      </c>
    </row>
    <row r="2473" customFormat="false" ht="15" hidden="false" customHeight="false" outlineLevel="0" collapsed="false">
      <c r="L2473" s="31" t="n">
        <f aca="true">NORMSINV(RAND())*$G$7+$G$6</f>
        <v>0.0051752683112471</v>
      </c>
    </row>
    <row r="2474" customFormat="false" ht="15" hidden="false" customHeight="false" outlineLevel="0" collapsed="false">
      <c r="L2474" s="31" t="n">
        <f aca="true">NORMSINV(RAND())*$G$7+$G$6</f>
        <v>0.0181375501940772</v>
      </c>
    </row>
    <row r="2475" customFormat="false" ht="15" hidden="false" customHeight="false" outlineLevel="0" collapsed="false">
      <c r="L2475" s="31" t="n">
        <f aca="true">NORMSINV(RAND())*$G$7+$G$6</f>
        <v>0.00572701890984102</v>
      </c>
    </row>
    <row r="2476" customFormat="false" ht="15" hidden="false" customHeight="false" outlineLevel="0" collapsed="false">
      <c r="L2476" s="31" t="n">
        <f aca="true">NORMSINV(RAND())*$G$7+$G$6</f>
        <v>-0.00551569856476777</v>
      </c>
    </row>
    <row r="2477" customFormat="false" ht="15" hidden="false" customHeight="false" outlineLevel="0" collapsed="false">
      <c r="L2477" s="31" t="n">
        <f aca="true">NORMSINV(RAND())*$G$7+$G$6</f>
        <v>0.00460421946711153</v>
      </c>
    </row>
    <row r="2478" customFormat="false" ht="15" hidden="false" customHeight="false" outlineLevel="0" collapsed="false">
      <c r="L2478" s="31" t="n">
        <f aca="true">NORMSINV(RAND())*$G$7+$G$6</f>
        <v>-0.00378537796822971</v>
      </c>
    </row>
    <row r="2479" customFormat="false" ht="15" hidden="false" customHeight="false" outlineLevel="0" collapsed="false">
      <c r="L2479" s="31" t="n">
        <f aca="true">NORMSINV(RAND())*$G$7+$G$6</f>
        <v>-0.0166267834496645</v>
      </c>
    </row>
    <row r="2480" customFormat="false" ht="15" hidden="false" customHeight="false" outlineLevel="0" collapsed="false">
      <c r="L2480" s="31" t="n">
        <f aca="true">NORMSINV(RAND())*$G$7+$G$6</f>
        <v>0.0139385706106179</v>
      </c>
    </row>
    <row r="2481" customFormat="false" ht="15" hidden="false" customHeight="false" outlineLevel="0" collapsed="false">
      <c r="L2481" s="31" t="n">
        <f aca="true">NORMSINV(RAND())*$G$7+$G$6</f>
        <v>0.00744949875381748</v>
      </c>
    </row>
    <row r="2482" customFormat="false" ht="15" hidden="false" customHeight="false" outlineLevel="0" collapsed="false">
      <c r="L2482" s="31" t="n">
        <f aca="true">NORMSINV(RAND())*$G$7+$G$6</f>
        <v>-0.0270112432730687</v>
      </c>
    </row>
    <row r="2483" customFormat="false" ht="15" hidden="false" customHeight="false" outlineLevel="0" collapsed="false">
      <c r="L2483" s="31" t="n">
        <f aca="true">NORMSINV(RAND())*$G$7+$G$6</f>
        <v>-0.0134872291677018</v>
      </c>
    </row>
    <row r="2484" customFormat="false" ht="15" hidden="false" customHeight="false" outlineLevel="0" collapsed="false">
      <c r="L2484" s="31" t="n">
        <f aca="true">NORMSINV(RAND())*$G$7+$G$6</f>
        <v>0.0144477513298838</v>
      </c>
    </row>
    <row r="2485" customFormat="false" ht="15" hidden="false" customHeight="false" outlineLevel="0" collapsed="false">
      <c r="L2485" s="31" t="n">
        <f aca="true">NORMSINV(RAND())*$G$7+$G$6</f>
        <v>-0.0148654034834655</v>
      </c>
    </row>
    <row r="2486" customFormat="false" ht="15" hidden="false" customHeight="false" outlineLevel="0" collapsed="false">
      <c r="L2486" s="31" t="n">
        <f aca="true">NORMSINV(RAND())*$G$7+$G$6</f>
        <v>-0.044471957155505</v>
      </c>
    </row>
    <row r="2487" customFormat="false" ht="15" hidden="false" customHeight="false" outlineLevel="0" collapsed="false">
      <c r="L2487" s="31" t="n">
        <f aca="true">NORMSINV(RAND())*$G$7+$G$6</f>
        <v>0.0206047487068597</v>
      </c>
    </row>
    <row r="2488" customFormat="false" ht="15" hidden="false" customHeight="false" outlineLevel="0" collapsed="false">
      <c r="L2488" s="31" t="n">
        <f aca="true">NORMSINV(RAND())*$G$7+$G$6</f>
        <v>0.0185925872333904</v>
      </c>
    </row>
    <row r="2489" customFormat="false" ht="15" hidden="false" customHeight="false" outlineLevel="0" collapsed="false">
      <c r="L2489" s="31" t="n">
        <f aca="true">NORMSINV(RAND())*$G$7+$G$6</f>
        <v>0.0165546874624511</v>
      </c>
    </row>
    <row r="2490" customFormat="false" ht="15" hidden="false" customHeight="false" outlineLevel="0" collapsed="false">
      <c r="L2490" s="31" t="n">
        <f aca="true">NORMSINV(RAND())*$G$7+$G$6</f>
        <v>-0.0201121397148159</v>
      </c>
    </row>
    <row r="2491" customFormat="false" ht="15" hidden="false" customHeight="false" outlineLevel="0" collapsed="false">
      <c r="L2491" s="31" t="n">
        <f aca="true">NORMSINV(RAND())*$G$7+$G$6</f>
        <v>0.0170649256736677</v>
      </c>
    </row>
    <row r="2492" customFormat="false" ht="15" hidden="false" customHeight="false" outlineLevel="0" collapsed="false">
      <c r="L2492" s="31" t="n">
        <f aca="true">NORMSINV(RAND())*$G$7+$G$6</f>
        <v>0.00349246096315346</v>
      </c>
    </row>
    <row r="2493" customFormat="false" ht="15" hidden="false" customHeight="false" outlineLevel="0" collapsed="false">
      <c r="L2493" s="31" t="n">
        <f aca="true">NORMSINV(RAND())*$G$7+$G$6</f>
        <v>0.0179397558320887</v>
      </c>
    </row>
    <row r="2494" customFormat="false" ht="15" hidden="false" customHeight="false" outlineLevel="0" collapsed="false">
      <c r="L2494" s="31" t="n">
        <f aca="true">NORMSINV(RAND())*$G$7+$G$6</f>
        <v>0.00639228112069498</v>
      </c>
    </row>
    <row r="2495" customFormat="false" ht="15" hidden="false" customHeight="false" outlineLevel="0" collapsed="false">
      <c r="L2495" s="31" t="n">
        <f aca="true">NORMSINV(RAND())*$G$7+$G$6</f>
        <v>0.000378409176442336</v>
      </c>
    </row>
    <row r="2496" customFormat="false" ht="15" hidden="false" customHeight="false" outlineLevel="0" collapsed="false">
      <c r="L2496" s="31" t="n">
        <f aca="true">NORMSINV(RAND())*$G$7+$G$6</f>
        <v>-0.0138079911077066</v>
      </c>
    </row>
    <row r="2497" customFormat="false" ht="15" hidden="false" customHeight="false" outlineLevel="0" collapsed="false">
      <c r="L2497" s="31" t="n">
        <f aca="true">NORMSINV(RAND())*$G$7+$G$6</f>
        <v>-0.0190350782977812</v>
      </c>
    </row>
    <row r="2498" customFormat="false" ht="15" hidden="false" customHeight="false" outlineLevel="0" collapsed="false">
      <c r="L2498" s="31" t="n">
        <f aca="true">NORMSINV(RAND())*$G$7+$G$6</f>
        <v>0.00815316217240128</v>
      </c>
    </row>
    <row r="2499" customFormat="false" ht="15" hidden="false" customHeight="false" outlineLevel="0" collapsed="false">
      <c r="L2499" s="31" t="n">
        <f aca="true">NORMSINV(RAND())*$G$7+$G$6</f>
        <v>0.0105769517661699</v>
      </c>
    </row>
    <row r="2500" customFormat="false" ht="15" hidden="false" customHeight="false" outlineLevel="0" collapsed="false">
      <c r="L2500" s="31" t="n">
        <f aca="true">NORMSINV(RAND())*$G$7+$G$6</f>
        <v>0.0239176706119755</v>
      </c>
    </row>
    <row r="2501" customFormat="false" ht="15" hidden="false" customHeight="false" outlineLevel="0" collapsed="false">
      <c r="L2501" s="31" t="n">
        <f aca="true">NORMSINV(RAND())*$G$7+$G$6</f>
        <v>-0.0129509520531351</v>
      </c>
    </row>
    <row r="2502" customFormat="false" ht="15" hidden="false" customHeight="false" outlineLevel="0" collapsed="false">
      <c r="L2502" s="31" t="n">
        <f aca="true">NORMSINV(RAND())*$G$7+$G$6</f>
        <v>-0.000792183708541819</v>
      </c>
    </row>
    <row r="2503" customFormat="false" ht="15" hidden="false" customHeight="false" outlineLevel="0" collapsed="false">
      <c r="L2503" s="31" t="n">
        <f aca="true">NORMSINV(RAND())*$G$7+$G$6</f>
        <v>0.0446590651074968</v>
      </c>
    </row>
    <row r="2504" customFormat="false" ht="15" hidden="false" customHeight="false" outlineLevel="0" collapsed="false">
      <c r="L2504" s="31" t="n">
        <f aca="true">NORMSINV(RAND())*$G$7+$G$6</f>
        <v>0.00859066200162703</v>
      </c>
    </row>
    <row r="2505" customFormat="false" ht="15" hidden="false" customHeight="false" outlineLevel="0" collapsed="false">
      <c r="L2505" s="31" t="n">
        <f aca="true">NORMSINV(RAND())*$G$7+$G$6</f>
        <v>0.0127415384635781</v>
      </c>
    </row>
    <row r="2506" customFormat="false" ht="15" hidden="false" customHeight="false" outlineLevel="0" collapsed="false">
      <c r="L2506" s="31" t="n">
        <f aca="true">NORMSINV(RAND())*$G$7+$G$6</f>
        <v>-0.0102234840625972</v>
      </c>
    </row>
    <row r="2507" customFormat="false" ht="15" hidden="false" customHeight="false" outlineLevel="0" collapsed="false">
      <c r="L2507" s="31" t="n">
        <f aca="true">NORMSINV(RAND())*$G$7+$G$6</f>
        <v>-0.00417318499637771</v>
      </c>
    </row>
    <row r="2508" customFormat="false" ht="15" hidden="false" customHeight="false" outlineLevel="0" collapsed="false">
      <c r="L2508" s="31" t="n">
        <f aca="true">NORMSINV(RAND())*$G$7+$G$6</f>
        <v>-0.0206363715108885</v>
      </c>
    </row>
    <row r="2509" customFormat="false" ht="15" hidden="false" customHeight="false" outlineLevel="0" collapsed="false">
      <c r="L2509" s="31" t="n">
        <f aca="true">NORMSINV(RAND())*$G$7+$G$6</f>
        <v>0.00937221705547972</v>
      </c>
    </row>
    <row r="2510" customFormat="false" ht="15" hidden="false" customHeight="false" outlineLevel="0" collapsed="false">
      <c r="L2510" s="31" t="n">
        <f aca="true">NORMSINV(RAND())*$G$7+$G$6</f>
        <v>0.0310558380476066</v>
      </c>
    </row>
    <row r="2511" customFormat="false" ht="15" hidden="false" customHeight="false" outlineLevel="0" collapsed="false">
      <c r="L2511" s="31" t="n">
        <f aca="true">NORMSINV(RAND())*$G$7+$G$6</f>
        <v>0.00247307513316876</v>
      </c>
    </row>
    <row r="2512" customFormat="false" ht="15" hidden="false" customHeight="false" outlineLevel="0" collapsed="false">
      <c r="L2512" s="31" t="n">
        <f aca="true">NORMSINV(RAND())*$G$7+$G$6</f>
        <v>0.00972387765328791</v>
      </c>
    </row>
    <row r="2513" customFormat="false" ht="15" hidden="false" customHeight="false" outlineLevel="0" collapsed="false">
      <c r="L2513" s="31" t="n">
        <f aca="true">NORMSINV(RAND())*$G$7+$G$6</f>
        <v>-0.0055514218634012</v>
      </c>
    </row>
    <row r="2514" customFormat="false" ht="15" hidden="false" customHeight="false" outlineLevel="0" collapsed="false">
      <c r="L2514" s="31" t="n">
        <f aca="true">NORMSINV(RAND())*$G$7+$G$6</f>
        <v>-0.0129883735345987</v>
      </c>
    </row>
    <row r="2515" customFormat="false" ht="15" hidden="false" customHeight="false" outlineLevel="0" collapsed="false">
      <c r="L2515" s="31" t="n">
        <f aca="true">NORMSINV(RAND())*$G$7+$G$6</f>
        <v>0.00823179856591294</v>
      </c>
    </row>
    <row r="2516" customFormat="false" ht="15" hidden="false" customHeight="false" outlineLevel="0" collapsed="false">
      <c r="L2516" s="31" t="n">
        <f aca="true">NORMSINV(RAND())*$G$7+$G$6</f>
        <v>-0.0142017248941172</v>
      </c>
    </row>
    <row r="2517" customFormat="false" ht="15" hidden="false" customHeight="false" outlineLevel="0" collapsed="false">
      <c r="L2517" s="31" t="n">
        <f aca="true">NORMSINV(RAND())*$G$7+$G$6</f>
        <v>-0.0229122841532869</v>
      </c>
    </row>
    <row r="2518" customFormat="false" ht="15" hidden="false" customHeight="false" outlineLevel="0" collapsed="false">
      <c r="L2518" s="31" t="n">
        <f aca="true">NORMSINV(RAND())*$G$7+$G$6</f>
        <v>-0.0136347250790831</v>
      </c>
    </row>
    <row r="2519" customFormat="false" ht="15" hidden="false" customHeight="false" outlineLevel="0" collapsed="false">
      <c r="L2519" s="31" t="n">
        <f aca="true">NORMSINV(RAND())*$G$7+$G$6</f>
        <v>0.00653996404536939</v>
      </c>
    </row>
    <row r="2520" customFormat="false" ht="15" hidden="false" customHeight="false" outlineLevel="0" collapsed="false">
      <c r="L2520" s="31" t="n">
        <f aca="true">NORMSINV(RAND())*$G$7+$G$6</f>
        <v>0.0217112557672174</v>
      </c>
    </row>
    <row r="2521" customFormat="false" ht="15" hidden="false" customHeight="false" outlineLevel="0" collapsed="false">
      <c r="L2521" s="31" t="n">
        <f aca="true">NORMSINV(RAND())*$G$7+$G$6</f>
        <v>-0.00616919611717557</v>
      </c>
    </row>
    <row r="2522" customFormat="false" ht="15" hidden="false" customHeight="false" outlineLevel="0" collapsed="false">
      <c r="L2522" s="31" t="n">
        <f aca="true">NORMSINV(RAND())*$G$7+$G$6</f>
        <v>0.00642152578428809</v>
      </c>
    </row>
    <row r="2523" customFormat="false" ht="15" hidden="false" customHeight="false" outlineLevel="0" collapsed="false">
      <c r="L2523" s="31" t="n">
        <f aca="true">NORMSINV(RAND())*$G$7+$G$6</f>
        <v>0.00528281312380925</v>
      </c>
    </row>
    <row r="2524" customFormat="false" ht="15" hidden="false" customHeight="false" outlineLevel="0" collapsed="false">
      <c r="L2524" s="31" t="n">
        <f aca="true">NORMSINV(RAND())*$G$7+$G$6</f>
        <v>-0.00518279742825818</v>
      </c>
    </row>
    <row r="2525" customFormat="false" ht="15" hidden="false" customHeight="false" outlineLevel="0" collapsed="false">
      <c r="L2525" s="31" t="n">
        <f aca="true">NORMSINV(RAND())*$G$7+$G$6</f>
        <v>0.00125933158115283</v>
      </c>
    </row>
    <row r="2526" customFormat="false" ht="15" hidden="false" customHeight="false" outlineLevel="0" collapsed="false">
      <c r="L2526" s="31" t="n">
        <f aca="true">NORMSINV(RAND())*$G$7+$G$6</f>
        <v>-0.00771057079269312</v>
      </c>
    </row>
    <row r="2527" customFormat="false" ht="15" hidden="false" customHeight="false" outlineLevel="0" collapsed="false">
      <c r="L2527" s="31" t="n">
        <f aca="true">NORMSINV(RAND())*$G$7+$G$6</f>
        <v>0.00349908415772023</v>
      </c>
    </row>
    <row r="2528" customFormat="false" ht="15" hidden="false" customHeight="false" outlineLevel="0" collapsed="false">
      <c r="L2528" s="31" t="n">
        <f aca="true">NORMSINV(RAND())*$G$7+$G$6</f>
        <v>0.0103721458374438</v>
      </c>
    </row>
    <row r="2529" customFormat="false" ht="15" hidden="false" customHeight="false" outlineLevel="0" collapsed="false">
      <c r="L2529" s="31" t="n">
        <f aca="true">NORMSINV(RAND())*$G$7+$G$6</f>
        <v>0.00761095632382239</v>
      </c>
    </row>
    <row r="2530" customFormat="false" ht="15" hidden="false" customHeight="false" outlineLevel="0" collapsed="false">
      <c r="L2530" s="31" t="n">
        <f aca="true">NORMSINV(RAND())*$G$7+$G$6</f>
        <v>0.0105803247521825</v>
      </c>
    </row>
    <row r="2531" customFormat="false" ht="15" hidden="false" customHeight="false" outlineLevel="0" collapsed="false">
      <c r="L2531" s="31" t="n">
        <f aca="true">NORMSINV(RAND())*$G$7+$G$6</f>
        <v>-0.00567929842351317</v>
      </c>
    </row>
    <row r="2532" customFormat="false" ht="15" hidden="false" customHeight="false" outlineLevel="0" collapsed="false">
      <c r="L2532" s="31" t="n">
        <f aca="true">NORMSINV(RAND())*$G$7+$G$6</f>
        <v>0.0159645903435461</v>
      </c>
    </row>
    <row r="2533" customFormat="false" ht="15" hidden="false" customHeight="false" outlineLevel="0" collapsed="false">
      <c r="L2533" s="31" t="n">
        <f aca="true">NORMSINV(RAND())*$G$7+$G$6</f>
        <v>-0.0144526193080671</v>
      </c>
    </row>
    <row r="2534" customFormat="false" ht="15" hidden="false" customHeight="false" outlineLevel="0" collapsed="false">
      <c r="L2534" s="31" t="n">
        <f aca="true">NORMSINV(RAND())*$G$7+$G$6</f>
        <v>0.00438253873833032</v>
      </c>
    </row>
    <row r="2535" customFormat="false" ht="15" hidden="false" customHeight="false" outlineLevel="0" collapsed="false">
      <c r="L2535" s="31" t="n">
        <f aca="true">NORMSINV(RAND())*$G$7+$G$6</f>
        <v>-0.0150601605203332</v>
      </c>
    </row>
    <row r="2536" customFormat="false" ht="15" hidden="false" customHeight="false" outlineLevel="0" collapsed="false">
      <c r="L2536" s="31" t="n">
        <f aca="true">NORMSINV(RAND())*$G$7+$G$6</f>
        <v>0.0221384175986268</v>
      </c>
    </row>
    <row r="2537" customFormat="false" ht="15" hidden="false" customHeight="false" outlineLevel="0" collapsed="false">
      <c r="L2537" s="31" t="n">
        <f aca="true">NORMSINV(RAND())*$G$7+$G$6</f>
        <v>0.00601708877167079</v>
      </c>
    </row>
    <row r="2538" customFormat="false" ht="15" hidden="false" customHeight="false" outlineLevel="0" collapsed="false">
      <c r="L2538" s="31" t="n">
        <f aca="true">NORMSINV(RAND())*$G$7+$G$6</f>
        <v>-0.00907102885029363</v>
      </c>
    </row>
    <row r="2539" customFormat="false" ht="15" hidden="false" customHeight="false" outlineLevel="0" collapsed="false">
      <c r="L2539" s="31" t="n">
        <f aca="true">NORMSINV(RAND())*$G$7+$G$6</f>
        <v>-0.0117219929997244</v>
      </c>
    </row>
    <row r="2540" customFormat="false" ht="15" hidden="false" customHeight="false" outlineLevel="0" collapsed="false">
      <c r="L2540" s="31" t="n">
        <f aca="true">NORMSINV(RAND())*$G$7+$G$6</f>
        <v>0.0126344259452105</v>
      </c>
    </row>
    <row r="2541" customFormat="false" ht="15" hidden="false" customHeight="false" outlineLevel="0" collapsed="false">
      <c r="L2541" s="31" t="n">
        <f aca="true">NORMSINV(RAND())*$G$7+$G$6</f>
        <v>0.0206588494091292</v>
      </c>
    </row>
    <row r="2542" customFormat="false" ht="15" hidden="false" customHeight="false" outlineLevel="0" collapsed="false">
      <c r="L2542" s="31" t="n">
        <f aca="true">NORMSINV(RAND())*$G$7+$G$6</f>
        <v>0.0231796670744871</v>
      </c>
    </row>
    <row r="2543" customFormat="false" ht="15" hidden="false" customHeight="false" outlineLevel="0" collapsed="false">
      <c r="L2543" s="31" t="n">
        <f aca="true">NORMSINV(RAND())*$G$7+$G$6</f>
        <v>0.0072292153349278</v>
      </c>
    </row>
    <row r="2544" customFormat="false" ht="15" hidden="false" customHeight="false" outlineLevel="0" collapsed="false">
      <c r="L2544" s="31" t="n">
        <f aca="true">NORMSINV(RAND())*$G$7+$G$6</f>
        <v>-0.00685325400549717</v>
      </c>
    </row>
    <row r="2545" customFormat="false" ht="15" hidden="false" customHeight="false" outlineLevel="0" collapsed="false">
      <c r="L2545" s="31" t="n">
        <f aca="true">NORMSINV(RAND())*$G$7+$G$6</f>
        <v>0.0082742840190125</v>
      </c>
    </row>
    <row r="2546" customFormat="false" ht="15" hidden="false" customHeight="false" outlineLevel="0" collapsed="false">
      <c r="L2546" s="31" t="n">
        <f aca="true">NORMSINV(RAND())*$G$7+$G$6</f>
        <v>0.0198204343191505</v>
      </c>
    </row>
    <row r="2547" customFormat="false" ht="15" hidden="false" customHeight="false" outlineLevel="0" collapsed="false">
      <c r="L2547" s="31" t="n">
        <f aca="true">NORMSINV(RAND())*$G$7+$G$6</f>
        <v>0.0300907464302039</v>
      </c>
    </row>
    <row r="2548" customFormat="false" ht="15" hidden="false" customHeight="false" outlineLevel="0" collapsed="false">
      <c r="L2548" s="31" t="n">
        <f aca="true">NORMSINV(RAND())*$G$7+$G$6</f>
        <v>-0.0233496474348614</v>
      </c>
    </row>
    <row r="2549" customFormat="false" ht="15" hidden="false" customHeight="false" outlineLevel="0" collapsed="false">
      <c r="L2549" s="31" t="n">
        <f aca="true">NORMSINV(RAND())*$G$7+$G$6</f>
        <v>0.00375105234017055</v>
      </c>
    </row>
    <row r="2550" customFormat="false" ht="15" hidden="false" customHeight="false" outlineLevel="0" collapsed="false">
      <c r="L2550" s="31" t="n">
        <f aca="true">NORMSINV(RAND())*$G$7+$G$6</f>
        <v>0.000341349409900274</v>
      </c>
    </row>
    <row r="2551" customFormat="false" ht="15" hidden="false" customHeight="false" outlineLevel="0" collapsed="false">
      <c r="L2551" s="31" t="n">
        <f aca="true">NORMSINV(RAND())*$G$7+$G$6</f>
        <v>0.00781426989081973</v>
      </c>
    </row>
    <row r="2552" customFormat="false" ht="15" hidden="false" customHeight="false" outlineLevel="0" collapsed="false">
      <c r="L2552" s="31" t="n">
        <f aca="true">NORMSINV(RAND())*$G$7+$G$6</f>
        <v>-0.00250212066179068</v>
      </c>
    </row>
    <row r="2553" customFormat="false" ht="15" hidden="false" customHeight="false" outlineLevel="0" collapsed="false">
      <c r="L2553" s="31" t="n">
        <f aca="true">NORMSINV(RAND())*$G$7+$G$6</f>
        <v>-0.0248644801113582</v>
      </c>
    </row>
    <row r="2554" customFormat="false" ht="15" hidden="false" customHeight="false" outlineLevel="0" collapsed="false">
      <c r="L2554" s="31" t="n">
        <f aca="true">NORMSINV(RAND())*$G$7+$G$6</f>
        <v>-0.0177551680955604</v>
      </c>
    </row>
    <row r="2555" customFormat="false" ht="15" hidden="false" customHeight="false" outlineLevel="0" collapsed="false">
      <c r="L2555" s="31" t="n">
        <f aca="true">NORMSINV(RAND())*$G$7+$G$6</f>
        <v>0.0196542252455872</v>
      </c>
    </row>
    <row r="2556" customFormat="false" ht="15" hidden="false" customHeight="false" outlineLevel="0" collapsed="false">
      <c r="L2556" s="31" t="n">
        <f aca="true">NORMSINV(RAND())*$G$7+$G$6</f>
        <v>0.000738906830975187</v>
      </c>
    </row>
    <row r="2557" customFormat="false" ht="15" hidden="false" customHeight="false" outlineLevel="0" collapsed="false">
      <c r="L2557" s="31" t="n">
        <f aca="true">NORMSINV(RAND())*$G$7+$G$6</f>
        <v>-0.0122196475732782</v>
      </c>
    </row>
    <row r="2558" customFormat="false" ht="15" hidden="false" customHeight="false" outlineLevel="0" collapsed="false">
      <c r="L2558" s="31" t="n">
        <f aca="true">NORMSINV(RAND())*$G$7+$G$6</f>
        <v>0.00692353820409545</v>
      </c>
    </row>
    <row r="2559" customFormat="false" ht="15" hidden="false" customHeight="false" outlineLevel="0" collapsed="false">
      <c r="L2559" s="31" t="n">
        <f aca="true">NORMSINV(RAND())*$G$7+$G$6</f>
        <v>0.00713248040138434</v>
      </c>
    </row>
    <row r="2560" customFormat="false" ht="15" hidden="false" customHeight="false" outlineLevel="0" collapsed="false">
      <c r="L2560" s="31" t="n">
        <f aca="true">NORMSINV(RAND())*$G$7+$G$6</f>
        <v>0.000835116667365608</v>
      </c>
    </row>
    <row r="2561" customFormat="false" ht="15" hidden="false" customHeight="false" outlineLevel="0" collapsed="false">
      <c r="L2561" s="31" t="n">
        <f aca="true">NORMSINV(RAND())*$G$7+$G$6</f>
        <v>0.0303708670624973</v>
      </c>
    </row>
    <row r="2562" customFormat="false" ht="15" hidden="false" customHeight="false" outlineLevel="0" collapsed="false">
      <c r="L2562" s="31" t="n">
        <f aca="true">NORMSINV(RAND())*$G$7+$G$6</f>
        <v>-0.00218382727201707</v>
      </c>
    </row>
    <row r="2563" customFormat="false" ht="15" hidden="false" customHeight="false" outlineLevel="0" collapsed="false">
      <c r="L2563" s="31" t="n">
        <f aca="true">NORMSINV(RAND())*$G$7+$G$6</f>
        <v>-0.00946989106545446</v>
      </c>
    </row>
    <row r="2564" customFormat="false" ht="15" hidden="false" customHeight="false" outlineLevel="0" collapsed="false">
      <c r="L2564" s="31" t="n">
        <f aca="true">NORMSINV(RAND())*$G$7+$G$6</f>
        <v>-0.0153828424796098</v>
      </c>
    </row>
    <row r="2565" customFormat="false" ht="15" hidden="false" customHeight="false" outlineLevel="0" collapsed="false">
      <c r="L2565" s="31" t="n">
        <f aca="true">NORMSINV(RAND())*$G$7+$G$6</f>
        <v>0.00387615358995472</v>
      </c>
    </row>
    <row r="2566" customFormat="false" ht="15" hidden="false" customHeight="false" outlineLevel="0" collapsed="false">
      <c r="L2566" s="31" t="n">
        <f aca="true">NORMSINV(RAND())*$G$7+$G$6</f>
        <v>0.0100816898999115</v>
      </c>
    </row>
    <row r="2567" customFormat="false" ht="15" hidden="false" customHeight="false" outlineLevel="0" collapsed="false">
      <c r="L2567" s="31" t="n">
        <f aca="true">NORMSINV(RAND())*$G$7+$G$6</f>
        <v>0.00520345752236838</v>
      </c>
    </row>
    <row r="2568" customFormat="false" ht="15" hidden="false" customHeight="false" outlineLevel="0" collapsed="false">
      <c r="L2568" s="31" t="n">
        <f aca="true">NORMSINV(RAND())*$G$7+$G$6</f>
        <v>0.022499120399516</v>
      </c>
    </row>
    <row r="2569" customFormat="false" ht="15" hidden="false" customHeight="false" outlineLevel="0" collapsed="false">
      <c r="L2569" s="31" t="n">
        <f aca="true">NORMSINV(RAND())*$G$7+$G$6</f>
        <v>-0.0057886941527584</v>
      </c>
    </row>
    <row r="2570" customFormat="false" ht="15" hidden="false" customHeight="false" outlineLevel="0" collapsed="false">
      <c r="L2570" s="31" t="n">
        <f aca="true">NORMSINV(RAND())*$G$7+$G$6</f>
        <v>-0.00807633955345467</v>
      </c>
    </row>
    <row r="2571" customFormat="false" ht="15" hidden="false" customHeight="false" outlineLevel="0" collapsed="false">
      <c r="L2571" s="31" t="n">
        <f aca="true">NORMSINV(RAND())*$G$7+$G$6</f>
        <v>0.0124415273074459</v>
      </c>
    </row>
    <row r="2572" customFormat="false" ht="15" hidden="false" customHeight="false" outlineLevel="0" collapsed="false">
      <c r="L2572" s="31" t="n">
        <f aca="true">NORMSINV(RAND())*$G$7+$G$6</f>
        <v>-0.0078255542169303</v>
      </c>
    </row>
    <row r="2573" customFormat="false" ht="15" hidden="false" customHeight="false" outlineLevel="0" collapsed="false">
      <c r="L2573" s="31" t="n">
        <f aca="true">NORMSINV(RAND())*$G$7+$G$6</f>
        <v>-0.0131966535836552</v>
      </c>
    </row>
    <row r="2574" customFormat="false" ht="15" hidden="false" customHeight="false" outlineLevel="0" collapsed="false">
      <c r="L2574" s="31" t="n">
        <f aca="true">NORMSINV(RAND())*$G$7+$G$6</f>
        <v>-0.00344799702841883</v>
      </c>
    </row>
    <row r="2575" customFormat="false" ht="15" hidden="false" customHeight="false" outlineLevel="0" collapsed="false">
      <c r="L2575" s="31" t="n">
        <f aca="true">NORMSINV(RAND())*$G$7+$G$6</f>
        <v>0.0020309225640647</v>
      </c>
    </row>
    <row r="2576" customFormat="false" ht="15" hidden="false" customHeight="false" outlineLevel="0" collapsed="false">
      <c r="L2576" s="31" t="n">
        <f aca="true">NORMSINV(RAND())*$G$7+$G$6</f>
        <v>-0.0104009468597757</v>
      </c>
    </row>
    <row r="2577" customFormat="false" ht="15" hidden="false" customHeight="false" outlineLevel="0" collapsed="false">
      <c r="L2577" s="31" t="n">
        <f aca="true">NORMSINV(RAND())*$G$7+$G$6</f>
        <v>0.00528279353911695</v>
      </c>
    </row>
    <row r="2578" customFormat="false" ht="15" hidden="false" customHeight="false" outlineLevel="0" collapsed="false">
      <c r="L2578" s="31" t="n">
        <f aca="true">NORMSINV(RAND())*$G$7+$G$6</f>
        <v>0.0136265076123077</v>
      </c>
    </row>
    <row r="2579" customFormat="false" ht="15" hidden="false" customHeight="false" outlineLevel="0" collapsed="false">
      <c r="L2579" s="31" t="n">
        <f aca="true">NORMSINV(RAND())*$G$7+$G$6</f>
        <v>0.00789700879520032</v>
      </c>
    </row>
    <row r="2580" customFormat="false" ht="15" hidden="false" customHeight="false" outlineLevel="0" collapsed="false">
      <c r="L2580" s="31" t="n">
        <f aca="true">NORMSINV(RAND())*$G$7+$G$6</f>
        <v>-0.00589845803542284</v>
      </c>
    </row>
    <row r="2581" customFormat="false" ht="15" hidden="false" customHeight="false" outlineLevel="0" collapsed="false">
      <c r="L2581" s="31" t="n">
        <f aca="true">NORMSINV(RAND())*$G$7+$G$6</f>
        <v>0.0103416884928209</v>
      </c>
    </row>
    <row r="2582" customFormat="false" ht="15" hidden="false" customHeight="false" outlineLevel="0" collapsed="false">
      <c r="L2582" s="31" t="n">
        <f aca="true">NORMSINV(RAND())*$G$7+$G$6</f>
        <v>-0.0117888446573985</v>
      </c>
    </row>
    <row r="2583" customFormat="false" ht="15" hidden="false" customHeight="false" outlineLevel="0" collapsed="false">
      <c r="L2583" s="31" t="n">
        <f aca="true">NORMSINV(RAND())*$G$7+$G$6</f>
        <v>-0.000693099090389399</v>
      </c>
    </row>
    <row r="2584" customFormat="false" ht="15" hidden="false" customHeight="false" outlineLevel="0" collapsed="false">
      <c r="L2584" s="31" t="n">
        <f aca="true">NORMSINV(RAND())*$G$7+$G$6</f>
        <v>0.0116667875688787</v>
      </c>
    </row>
    <row r="2585" customFormat="false" ht="15" hidden="false" customHeight="false" outlineLevel="0" collapsed="false">
      <c r="L2585" s="31" t="n">
        <f aca="true">NORMSINV(RAND())*$G$7+$G$6</f>
        <v>-0.0110668599444316</v>
      </c>
    </row>
    <row r="2586" customFormat="false" ht="15" hidden="false" customHeight="false" outlineLevel="0" collapsed="false">
      <c r="L2586" s="31" t="n">
        <f aca="true">NORMSINV(RAND())*$G$7+$G$6</f>
        <v>-0.00686624918021006</v>
      </c>
    </row>
    <row r="2587" customFormat="false" ht="15" hidden="false" customHeight="false" outlineLevel="0" collapsed="false">
      <c r="L2587" s="31" t="n">
        <f aca="true">NORMSINV(RAND())*$G$7+$G$6</f>
        <v>0.00942324816139997</v>
      </c>
    </row>
    <row r="2588" customFormat="false" ht="15" hidden="false" customHeight="false" outlineLevel="0" collapsed="false">
      <c r="L2588" s="31" t="n">
        <f aca="true">NORMSINV(RAND())*$G$7+$G$6</f>
        <v>0.00562603768968773</v>
      </c>
    </row>
    <row r="2589" customFormat="false" ht="15" hidden="false" customHeight="false" outlineLevel="0" collapsed="false">
      <c r="L2589" s="31" t="n">
        <f aca="true">NORMSINV(RAND())*$G$7+$G$6</f>
        <v>0.000836059357556814</v>
      </c>
    </row>
    <row r="2590" customFormat="false" ht="15" hidden="false" customHeight="false" outlineLevel="0" collapsed="false">
      <c r="L2590" s="31" t="n">
        <f aca="true">NORMSINV(RAND())*$G$7+$G$6</f>
        <v>0.00555706644310154</v>
      </c>
    </row>
    <row r="2591" customFormat="false" ht="15" hidden="false" customHeight="false" outlineLevel="0" collapsed="false">
      <c r="L2591" s="31" t="n">
        <f aca="true">NORMSINV(RAND())*$G$7+$G$6</f>
        <v>0.00384277267545821</v>
      </c>
    </row>
    <row r="2592" customFormat="false" ht="15" hidden="false" customHeight="false" outlineLevel="0" collapsed="false">
      <c r="L2592" s="31" t="n">
        <f aca="true">NORMSINV(RAND())*$G$7+$G$6</f>
        <v>-0.0100583382991476</v>
      </c>
    </row>
    <row r="2593" customFormat="false" ht="15" hidden="false" customHeight="false" outlineLevel="0" collapsed="false">
      <c r="L2593" s="31" t="n">
        <f aca="true">NORMSINV(RAND())*$G$7+$G$6</f>
        <v>0.0074447656185023</v>
      </c>
    </row>
    <row r="2594" customFormat="false" ht="15" hidden="false" customHeight="false" outlineLevel="0" collapsed="false">
      <c r="L2594" s="31" t="n">
        <f aca="true">NORMSINV(RAND())*$G$7+$G$6</f>
        <v>0.0130883129874222</v>
      </c>
    </row>
    <row r="2595" customFormat="false" ht="15" hidden="false" customHeight="false" outlineLevel="0" collapsed="false">
      <c r="L2595" s="31" t="n">
        <f aca="true">NORMSINV(RAND())*$G$7+$G$6</f>
        <v>0.0167664006531988</v>
      </c>
    </row>
    <row r="2596" customFormat="false" ht="15" hidden="false" customHeight="false" outlineLevel="0" collapsed="false">
      <c r="L2596" s="31" t="n">
        <f aca="true">NORMSINV(RAND())*$G$7+$G$6</f>
        <v>0.0249644909456198</v>
      </c>
    </row>
    <row r="2597" customFormat="false" ht="15" hidden="false" customHeight="false" outlineLevel="0" collapsed="false">
      <c r="L2597" s="31" t="n">
        <f aca="true">NORMSINV(RAND())*$G$7+$G$6</f>
        <v>-0.00289028924872723</v>
      </c>
    </row>
    <row r="2598" customFormat="false" ht="15" hidden="false" customHeight="false" outlineLevel="0" collapsed="false">
      <c r="L2598" s="31" t="n">
        <f aca="true">NORMSINV(RAND())*$G$7+$G$6</f>
        <v>0.0221912798725836</v>
      </c>
    </row>
    <row r="2599" customFormat="false" ht="15" hidden="false" customHeight="false" outlineLevel="0" collapsed="false">
      <c r="L2599" s="31" t="n">
        <f aca="true">NORMSINV(RAND())*$G$7+$G$6</f>
        <v>-0.00731204436459539</v>
      </c>
    </row>
    <row r="2600" customFormat="false" ht="15" hidden="false" customHeight="false" outlineLevel="0" collapsed="false">
      <c r="L2600" s="31" t="n">
        <f aca="true">NORMSINV(RAND())*$G$7+$G$6</f>
        <v>0.00612840540919242</v>
      </c>
    </row>
    <row r="2601" customFormat="false" ht="15" hidden="false" customHeight="false" outlineLevel="0" collapsed="false">
      <c r="L2601" s="31" t="n">
        <f aca="true">NORMSINV(RAND())*$G$7+$G$6</f>
        <v>-0.0120517685751455</v>
      </c>
    </row>
    <row r="2602" customFormat="false" ht="15" hidden="false" customHeight="false" outlineLevel="0" collapsed="false">
      <c r="L2602" s="31" t="n">
        <f aca="true">NORMSINV(RAND())*$G$7+$G$6</f>
        <v>0.0080911865620539</v>
      </c>
    </row>
    <row r="2603" customFormat="false" ht="15" hidden="false" customHeight="false" outlineLevel="0" collapsed="false">
      <c r="L2603" s="31" t="n">
        <f aca="true">NORMSINV(RAND())*$G$7+$G$6</f>
        <v>-0.0168055452874214</v>
      </c>
    </row>
    <row r="2604" customFormat="false" ht="15" hidden="false" customHeight="false" outlineLevel="0" collapsed="false">
      <c r="L2604" s="31" t="n">
        <f aca="true">NORMSINV(RAND())*$G$7+$G$6</f>
        <v>0.00160477794839831</v>
      </c>
    </row>
    <row r="2605" customFormat="false" ht="15" hidden="false" customHeight="false" outlineLevel="0" collapsed="false">
      <c r="L2605" s="31" t="n">
        <f aca="true">NORMSINV(RAND())*$G$7+$G$6</f>
        <v>-0.0233168621366376</v>
      </c>
    </row>
    <row r="2606" customFormat="false" ht="15" hidden="false" customHeight="false" outlineLevel="0" collapsed="false">
      <c r="L2606" s="31" t="n">
        <f aca="true">NORMSINV(RAND())*$G$7+$G$6</f>
        <v>0.00991543200332202</v>
      </c>
    </row>
    <row r="2607" customFormat="false" ht="15" hidden="false" customHeight="false" outlineLevel="0" collapsed="false">
      <c r="L2607" s="31" t="n">
        <f aca="true">NORMSINV(RAND())*$G$7+$G$6</f>
        <v>-0.010517938893727</v>
      </c>
    </row>
    <row r="2608" customFormat="false" ht="15" hidden="false" customHeight="false" outlineLevel="0" collapsed="false">
      <c r="L2608" s="31" t="n">
        <f aca="true">NORMSINV(RAND())*$G$7+$G$6</f>
        <v>0.00510644335417658</v>
      </c>
    </row>
    <row r="2609" customFormat="false" ht="15" hidden="false" customHeight="false" outlineLevel="0" collapsed="false">
      <c r="L2609" s="31" t="n">
        <f aca="true">NORMSINV(RAND())*$G$7+$G$6</f>
        <v>-0.026832989934359</v>
      </c>
    </row>
    <row r="2610" customFormat="false" ht="15" hidden="false" customHeight="false" outlineLevel="0" collapsed="false">
      <c r="L2610" s="31" t="n">
        <f aca="true">NORMSINV(RAND())*$G$7+$G$6</f>
        <v>0.00416078341594518</v>
      </c>
    </row>
    <row r="2611" customFormat="false" ht="15" hidden="false" customHeight="false" outlineLevel="0" collapsed="false">
      <c r="L2611" s="31" t="n">
        <f aca="true">NORMSINV(RAND())*$G$7+$G$6</f>
        <v>3.61886765145726E-005</v>
      </c>
    </row>
    <row r="2612" customFormat="false" ht="15" hidden="false" customHeight="false" outlineLevel="0" collapsed="false">
      <c r="L2612" s="31" t="n">
        <f aca="true">NORMSINV(RAND())*$G$7+$G$6</f>
        <v>0.0206265450948632</v>
      </c>
    </row>
    <row r="2613" customFormat="false" ht="15" hidden="false" customHeight="false" outlineLevel="0" collapsed="false">
      <c r="L2613" s="31" t="n">
        <f aca="true">NORMSINV(RAND())*$G$7+$G$6</f>
        <v>0.00488466901453856</v>
      </c>
    </row>
    <row r="2614" customFormat="false" ht="15" hidden="false" customHeight="false" outlineLevel="0" collapsed="false">
      <c r="L2614" s="31" t="n">
        <f aca="true">NORMSINV(RAND())*$G$7+$G$6</f>
        <v>-0.0193556705820352</v>
      </c>
    </row>
    <row r="2615" customFormat="false" ht="15" hidden="false" customHeight="false" outlineLevel="0" collapsed="false">
      <c r="L2615" s="31" t="n">
        <f aca="true">NORMSINV(RAND())*$G$7+$G$6</f>
        <v>0.00674664182436537</v>
      </c>
    </row>
    <row r="2616" customFormat="false" ht="15" hidden="false" customHeight="false" outlineLevel="0" collapsed="false">
      <c r="L2616" s="31" t="n">
        <f aca="true">NORMSINV(RAND())*$G$7+$G$6</f>
        <v>0.00053752480445347</v>
      </c>
    </row>
    <row r="2617" customFormat="false" ht="15" hidden="false" customHeight="false" outlineLevel="0" collapsed="false">
      <c r="L2617" s="31" t="n">
        <f aca="true">NORMSINV(RAND())*$G$7+$G$6</f>
        <v>0.0116671902123231</v>
      </c>
    </row>
    <row r="2618" customFormat="false" ht="15" hidden="false" customHeight="false" outlineLevel="0" collapsed="false">
      <c r="L2618" s="31" t="n">
        <f aca="true">NORMSINV(RAND())*$G$7+$G$6</f>
        <v>-0.00148225823014945</v>
      </c>
    </row>
    <row r="2619" customFormat="false" ht="15" hidden="false" customHeight="false" outlineLevel="0" collapsed="false">
      <c r="L2619" s="31" t="n">
        <f aca="true">NORMSINV(RAND())*$G$7+$G$6</f>
        <v>-0.00233228251259169</v>
      </c>
    </row>
    <row r="2620" customFormat="false" ht="15" hidden="false" customHeight="false" outlineLevel="0" collapsed="false">
      <c r="L2620" s="31" t="n">
        <f aca="true">NORMSINV(RAND())*$G$7+$G$6</f>
        <v>0.0260885278308076</v>
      </c>
    </row>
    <row r="2621" customFormat="false" ht="15" hidden="false" customHeight="false" outlineLevel="0" collapsed="false">
      <c r="L2621" s="31" t="n">
        <f aca="true">NORMSINV(RAND())*$G$7+$G$6</f>
        <v>0.0185346988571625</v>
      </c>
    </row>
    <row r="2622" customFormat="false" ht="15" hidden="false" customHeight="false" outlineLevel="0" collapsed="false">
      <c r="L2622" s="31" t="n">
        <f aca="true">NORMSINV(RAND())*$G$7+$G$6</f>
        <v>-0.000954637714734689</v>
      </c>
    </row>
    <row r="2623" customFormat="false" ht="15" hidden="false" customHeight="false" outlineLevel="0" collapsed="false">
      <c r="L2623" s="31" t="n">
        <f aca="true">NORMSINV(RAND())*$G$7+$G$6</f>
        <v>-0.00992762385032096</v>
      </c>
    </row>
    <row r="2624" customFormat="false" ht="15" hidden="false" customHeight="false" outlineLevel="0" collapsed="false">
      <c r="L2624" s="31" t="n">
        <f aca="true">NORMSINV(RAND())*$G$7+$G$6</f>
        <v>-0.00351514755867591</v>
      </c>
    </row>
    <row r="2625" customFormat="false" ht="15" hidden="false" customHeight="false" outlineLevel="0" collapsed="false">
      <c r="L2625" s="31" t="n">
        <f aca="true">NORMSINV(RAND())*$G$7+$G$6</f>
        <v>-0.0127158878808219</v>
      </c>
    </row>
    <row r="2626" customFormat="false" ht="15" hidden="false" customHeight="false" outlineLevel="0" collapsed="false">
      <c r="L2626" s="31" t="n">
        <f aca="true">NORMSINV(RAND())*$G$7+$G$6</f>
        <v>-0.0134557540284264</v>
      </c>
    </row>
    <row r="2627" customFormat="false" ht="15" hidden="false" customHeight="false" outlineLevel="0" collapsed="false">
      <c r="L2627" s="31" t="n">
        <f aca="true">NORMSINV(RAND())*$G$7+$G$6</f>
        <v>0.00450189661573803</v>
      </c>
    </row>
    <row r="2628" customFormat="false" ht="15" hidden="false" customHeight="false" outlineLevel="0" collapsed="false">
      <c r="L2628" s="31" t="n">
        <f aca="true">NORMSINV(RAND())*$G$7+$G$6</f>
        <v>0.00107903980577678</v>
      </c>
    </row>
    <row r="2629" customFormat="false" ht="15" hidden="false" customHeight="false" outlineLevel="0" collapsed="false">
      <c r="L2629" s="31" t="n">
        <f aca="true">NORMSINV(RAND())*$G$7+$G$6</f>
        <v>-0.0305383900647404</v>
      </c>
    </row>
    <row r="2630" customFormat="false" ht="15" hidden="false" customHeight="false" outlineLevel="0" collapsed="false">
      <c r="L2630" s="31" t="n">
        <f aca="true">NORMSINV(RAND())*$G$7+$G$6</f>
        <v>-0.0168423417471031</v>
      </c>
    </row>
    <row r="2631" customFormat="false" ht="15" hidden="false" customHeight="false" outlineLevel="0" collapsed="false">
      <c r="L2631" s="31" t="n">
        <f aca="true">NORMSINV(RAND())*$G$7+$G$6</f>
        <v>-0.00580557195887166</v>
      </c>
    </row>
    <row r="2632" customFormat="false" ht="15" hidden="false" customHeight="false" outlineLevel="0" collapsed="false">
      <c r="L2632" s="31" t="n">
        <f aca="true">NORMSINV(RAND())*$G$7+$G$6</f>
        <v>-0.00862657898508129</v>
      </c>
    </row>
    <row r="2633" customFormat="false" ht="15" hidden="false" customHeight="false" outlineLevel="0" collapsed="false">
      <c r="L2633" s="31" t="n">
        <f aca="true">NORMSINV(RAND())*$G$7+$G$6</f>
        <v>0.00985303848555721</v>
      </c>
    </row>
    <row r="2634" customFormat="false" ht="15" hidden="false" customHeight="false" outlineLevel="0" collapsed="false">
      <c r="L2634" s="31" t="n">
        <f aca="true">NORMSINV(RAND())*$G$7+$G$6</f>
        <v>-0.00827908588971755</v>
      </c>
    </row>
    <row r="2635" customFormat="false" ht="15" hidden="false" customHeight="false" outlineLevel="0" collapsed="false">
      <c r="L2635" s="31" t="n">
        <f aca="true">NORMSINV(RAND())*$G$7+$G$6</f>
        <v>-0.00962716836002942</v>
      </c>
    </row>
    <row r="2636" customFormat="false" ht="15" hidden="false" customHeight="false" outlineLevel="0" collapsed="false">
      <c r="L2636" s="31" t="n">
        <f aca="true">NORMSINV(RAND())*$G$7+$G$6</f>
        <v>-0.011991476779129</v>
      </c>
    </row>
    <row r="2637" customFormat="false" ht="15" hidden="false" customHeight="false" outlineLevel="0" collapsed="false">
      <c r="L2637" s="31" t="n">
        <f aca="true">NORMSINV(RAND())*$G$7+$G$6</f>
        <v>-0.0091500803138838</v>
      </c>
    </row>
    <row r="2638" customFormat="false" ht="15" hidden="false" customHeight="false" outlineLevel="0" collapsed="false">
      <c r="L2638" s="31" t="n">
        <f aca="true">NORMSINV(RAND())*$G$7+$G$6</f>
        <v>0.0124289420284986</v>
      </c>
    </row>
    <row r="2639" customFormat="false" ht="15" hidden="false" customHeight="false" outlineLevel="0" collapsed="false">
      <c r="L2639" s="31" t="n">
        <f aca="true">NORMSINV(RAND())*$G$7+$G$6</f>
        <v>0.0192927303614339</v>
      </c>
    </row>
    <row r="2640" customFormat="false" ht="15" hidden="false" customHeight="false" outlineLevel="0" collapsed="false">
      <c r="L2640" s="31" t="n">
        <f aca="true">NORMSINV(RAND())*$G$7+$G$6</f>
        <v>-0.00974234504022257</v>
      </c>
    </row>
    <row r="2641" customFormat="false" ht="15" hidden="false" customHeight="false" outlineLevel="0" collapsed="false">
      <c r="L2641" s="31" t="n">
        <f aca="true">NORMSINV(RAND())*$G$7+$G$6</f>
        <v>0.00241387727401717</v>
      </c>
    </row>
    <row r="2642" customFormat="false" ht="15" hidden="false" customHeight="false" outlineLevel="0" collapsed="false">
      <c r="L2642" s="31" t="n">
        <f aca="true">NORMSINV(RAND())*$G$7+$G$6</f>
        <v>-0.0133244922022536</v>
      </c>
    </row>
    <row r="2643" customFormat="false" ht="15" hidden="false" customHeight="false" outlineLevel="0" collapsed="false">
      <c r="L2643" s="31" t="n">
        <f aca="true">NORMSINV(RAND())*$G$7+$G$6</f>
        <v>0.0060388836465047</v>
      </c>
    </row>
    <row r="2644" customFormat="false" ht="15" hidden="false" customHeight="false" outlineLevel="0" collapsed="false">
      <c r="L2644" s="31" t="n">
        <f aca="true">NORMSINV(RAND())*$G$7+$G$6</f>
        <v>0.0332327005616168</v>
      </c>
    </row>
    <row r="2645" customFormat="false" ht="15" hidden="false" customHeight="false" outlineLevel="0" collapsed="false">
      <c r="L2645" s="31" t="n">
        <f aca="true">NORMSINV(RAND())*$G$7+$G$6</f>
        <v>-0.0175656493349293</v>
      </c>
    </row>
    <row r="2646" customFormat="false" ht="15" hidden="false" customHeight="false" outlineLevel="0" collapsed="false">
      <c r="L2646" s="31" t="n">
        <f aca="true">NORMSINV(RAND())*$G$7+$G$6</f>
        <v>-0.0270955450079539</v>
      </c>
    </row>
    <row r="2647" customFormat="false" ht="15" hidden="false" customHeight="false" outlineLevel="0" collapsed="false">
      <c r="L2647" s="31" t="n">
        <f aca="true">NORMSINV(RAND())*$G$7+$G$6</f>
        <v>-0.0234753397545982</v>
      </c>
    </row>
    <row r="2648" customFormat="false" ht="15" hidden="false" customHeight="false" outlineLevel="0" collapsed="false">
      <c r="L2648" s="31" t="n">
        <f aca="true">NORMSINV(RAND())*$G$7+$G$6</f>
        <v>-0.0118085267737747</v>
      </c>
    </row>
    <row r="2649" customFormat="false" ht="15" hidden="false" customHeight="false" outlineLevel="0" collapsed="false">
      <c r="L2649" s="31" t="n">
        <f aca="true">NORMSINV(RAND())*$G$7+$G$6</f>
        <v>-0.0392173969516151</v>
      </c>
    </row>
    <row r="2650" customFormat="false" ht="15" hidden="false" customHeight="false" outlineLevel="0" collapsed="false">
      <c r="L2650" s="31" t="n">
        <f aca="true">NORMSINV(RAND())*$G$7+$G$6</f>
        <v>0.0106025888516556</v>
      </c>
    </row>
    <row r="2651" customFormat="false" ht="15" hidden="false" customHeight="false" outlineLevel="0" collapsed="false">
      <c r="L2651" s="31" t="n">
        <f aca="true">NORMSINV(RAND())*$G$7+$G$6</f>
        <v>-0.0250054023122703</v>
      </c>
    </row>
    <row r="2652" customFormat="false" ht="15" hidden="false" customHeight="false" outlineLevel="0" collapsed="false">
      <c r="L2652" s="31" t="n">
        <f aca="true">NORMSINV(RAND())*$G$7+$G$6</f>
        <v>-0.00303118039844596</v>
      </c>
    </row>
    <row r="2653" customFormat="false" ht="15" hidden="false" customHeight="false" outlineLevel="0" collapsed="false">
      <c r="L2653" s="31" t="n">
        <f aca="true">NORMSINV(RAND())*$G$7+$G$6</f>
        <v>0.0189966804551428</v>
      </c>
    </row>
    <row r="2654" customFormat="false" ht="15" hidden="false" customHeight="false" outlineLevel="0" collapsed="false">
      <c r="L2654" s="31" t="n">
        <f aca="true">NORMSINV(RAND())*$G$7+$G$6</f>
        <v>0.0104521532729444</v>
      </c>
    </row>
    <row r="2655" customFormat="false" ht="15" hidden="false" customHeight="false" outlineLevel="0" collapsed="false">
      <c r="L2655" s="31" t="n">
        <f aca="true">NORMSINV(RAND())*$G$7+$G$6</f>
        <v>0.00969208998291001</v>
      </c>
    </row>
    <row r="2656" customFormat="false" ht="15" hidden="false" customHeight="false" outlineLevel="0" collapsed="false">
      <c r="L2656" s="31" t="n">
        <f aca="true">NORMSINV(RAND())*$G$7+$G$6</f>
        <v>-0.0100128642129958</v>
      </c>
    </row>
    <row r="2657" customFormat="false" ht="15" hidden="false" customHeight="false" outlineLevel="0" collapsed="false">
      <c r="L2657" s="31" t="n">
        <f aca="true">NORMSINV(RAND())*$G$7+$G$6</f>
        <v>0.00855656908589838</v>
      </c>
    </row>
    <row r="2658" customFormat="false" ht="15" hidden="false" customHeight="false" outlineLevel="0" collapsed="false">
      <c r="L2658" s="31" t="n">
        <f aca="true">NORMSINV(RAND())*$G$7+$G$6</f>
        <v>-0.00775452897315623</v>
      </c>
    </row>
    <row r="2659" customFormat="false" ht="15" hidden="false" customHeight="false" outlineLevel="0" collapsed="false">
      <c r="L2659" s="31" t="n">
        <f aca="true">NORMSINV(RAND())*$G$7+$G$6</f>
        <v>-0.00955482258965055</v>
      </c>
    </row>
    <row r="2660" customFormat="false" ht="15" hidden="false" customHeight="false" outlineLevel="0" collapsed="false">
      <c r="L2660" s="31" t="n">
        <f aca="true">NORMSINV(RAND())*$G$7+$G$6</f>
        <v>0.00138799471399819</v>
      </c>
    </row>
    <row r="2661" customFormat="false" ht="15" hidden="false" customHeight="false" outlineLevel="0" collapsed="false">
      <c r="L2661" s="31" t="n">
        <f aca="true">NORMSINV(RAND())*$G$7+$G$6</f>
        <v>0.00892928166884098</v>
      </c>
    </row>
    <row r="2662" customFormat="false" ht="15" hidden="false" customHeight="false" outlineLevel="0" collapsed="false">
      <c r="L2662" s="31" t="n">
        <f aca="true">NORMSINV(RAND())*$G$7+$G$6</f>
        <v>0.00677976737362234</v>
      </c>
    </row>
    <row r="2663" customFormat="false" ht="15" hidden="false" customHeight="false" outlineLevel="0" collapsed="false">
      <c r="L2663" s="31" t="n">
        <f aca="true">NORMSINV(RAND())*$G$7+$G$6</f>
        <v>-0.00278325961938657</v>
      </c>
    </row>
    <row r="2664" customFormat="false" ht="15" hidden="false" customHeight="false" outlineLevel="0" collapsed="false">
      <c r="L2664" s="31" t="n">
        <f aca="true">NORMSINV(RAND())*$G$7+$G$6</f>
        <v>-0.00335722925897804</v>
      </c>
    </row>
    <row r="2665" customFormat="false" ht="15" hidden="false" customHeight="false" outlineLevel="0" collapsed="false">
      <c r="L2665" s="31" t="n">
        <f aca="true">NORMSINV(RAND())*$G$7+$G$6</f>
        <v>-0.0221580040318717</v>
      </c>
    </row>
    <row r="2666" customFormat="false" ht="15" hidden="false" customHeight="false" outlineLevel="0" collapsed="false">
      <c r="L2666" s="31" t="n">
        <f aca="true">NORMSINV(RAND())*$G$7+$G$6</f>
        <v>-0.00084314637776682</v>
      </c>
    </row>
    <row r="2667" customFormat="false" ht="15" hidden="false" customHeight="false" outlineLevel="0" collapsed="false">
      <c r="L2667" s="31" t="n">
        <f aca="true">NORMSINV(RAND())*$G$7+$G$6</f>
        <v>-0.0157512078003488</v>
      </c>
    </row>
    <row r="2668" customFormat="false" ht="15" hidden="false" customHeight="false" outlineLevel="0" collapsed="false">
      <c r="L2668" s="31" t="n">
        <f aca="true">NORMSINV(RAND())*$G$7+$G$6</f>
        <v>-0.0203531817878259</v>
      </c>
    </row>
    <row r="2669" customFormat="false" ht="15" hidden="false" customHeight="false" outlineLevel="0" collapsed="false">
      <c r="L2669" s="31" t="n">
        <f aca="true">NORMSINV(RAND())*$G$7+$G$6</f>
        <v>0.00321400168066004</v>
      </c>
    </row>
    <row r="2670" customFormat="false" ht="15" hidden="false" customHeight="false" outlineLevel="0" collapsed="false">
      <c r="L2670" s="31" t="n">
        <f aca="true">NORMSINV(RAND())*$G$7+$G$6</f>
        <v>0.0293733234353705</v>
      </c>
    </row>
    <row r="2671" customFormat="false" ht="15" hidden="false" customHeight="false" outlineLevel="0" collapsed="false">
      <c r="L2671" s="31" t="n">
        <f aca="true">NORMSINV(RAND())*$G$7+$G$6</f>
        <v>-0.00954576331087716</v>
      </c>
    </row>
    <row r="2672" customFormat="false" ht="15" hidden="false" customHeight="false" outlineLevel="0" collapsed="false">
      <c r="L2672" s="31" t="n">
        <f aca="true">NORMSINV(RAND())*$G$7+$G$6</f>
        <v>0.0165535487755934</v>
      </c>
    </row>
    <row r="2673" customFormat="false" ht="15" hidden="false" customHeight="false" outlineLevel="0" collapsed="false">
      <c r="L2673" s="31" t="n">
        <f aca="true">NORMSINV(RAND())*$G$7+$G$6</f>
        <v>-0.0278276285079443</v>
      </c>
    </row>
    <row r="2674" customFormat="false" ht="15" hidden="false" customHeight="false" outlineLevel="0" collapsed="false">
      <c r="L2674" s="31" t="n">
        <f aca="true">NORMSINV(RAND())*$G$7+$G$6</f>
        <v>-0.0103678888314593</v>
      </c>
    </row>
    <row r="2675" customFormat="false" ht="15" hidden="false" customHeight="false" outlineLevel="0" collapsed="false">
      <c r="L2675" s="31" t="n">
        <f aca="true">NORMSINV(RAND())*$G$7+$G$6</f>
        <v>0.00962106541031058</v>
      </c>
    </row>
    <row r="2676" customFormat="false" ht="15" hidden="false" customHeight="false" outlineLevel="0" collapsed="false">
      <c r="L2676" s="31" t="n">
        <f aca="true">NORMSINV(RAND())*$G$7+$G$6</f>
        <v>0.0130735818000245</v>
      </c>
    </row>
    <row r="2677" customFormat="false" ht="15" hidden="false" customHeight="false" outlineLevel="0" collapsed="false">
      <c r="L2677" s="31" t="n">
        <f aca="true">NORMSINV(RAND())*$G$7+$G$6</f>
        <v>0.00250734921076062</v>
      </c>
    </row>
    <row r="2678" customFormat="false" ht="15" hidden="false" customHeight="false" outlineLevel="0" collapsed="false">
      <c r="L2678" s="31" t="n">
        <f aca="true">NORMSINV(RAND())*$G$7+$G$6</f>
        <v>-0.00388671280298346</v>
      </c>
    </row>
    <row r="2679" customFormat="false" ht="15" hidden="false" customHeight="false" outlineLevel="0" collapsed="false">
      <c r="L2679" s="31" t="n">
        <f aca="true">NORMSINV(RAND())*$G$7+$G$6</f>
        <v>0.00614403387639434</v>
      </c>
    </row>
    <row r="2680" customFormat="false" ht="15" hidden="false" customHeight="false" outlineLevel="0" collapsed="false">
      <c r="L2680" s="31" t="n">
        <f aca="true">NORMSINV(RAND())*$G$7+$G$6</f>
        <v>0.0190887323120158</v>
      </c>
    </row>
    <row r="2681" customFormat="false" ht="15" hidden="false" customHeight="false" outlineLevel="0" collapsed="false">
      <c r="L2681" s="31" t="n">
        <f aca="true">NORMSINV(RAND())*$G$7+$G$6</f>
        <v>0.00276960587976427</v>
      </c>
    </row>
    <row r="2682" customFormat="false" ht="15" hidden="false" customHeight="false" outlineLevel="0" collapsed="false">
      <c r="L2682" s="31" t="n">
        <f aca="true">NORMSINV(RAND())*$G$7+$G$6</f>
        <v>-0.000953520911447797</v>
      </c>
    </row>
    <row r="2683" customFormat="false" ht="15" hidden="false" customHeight="false" outlineLevel="0" collapsed="false">
      <c r="L2683" s="31" t="n">
        <f aca="true">NORMSINV(RAND())*$G$7+$G$6</f>
        <v>0.012076807990903</v>
      </c>
    </row>
    <row r="2684" customFormat="false" ht="15" hidden="false" customHeight="false" outlineLevel="0" collapsed="false">
      <c r="L2684" s="31" t="n">
        <f aca="true">NORMSINV(RAND())*$G$7+$G$6</f>
        <v>0.0215923626029737</v>
      </c>
    </row>
    <row r="2685" customFormat="false" ht="15" hidden="false" customHeight="false" outlineLevel="0" collapsed="false">
      <c r="L2685" s="31" t="n">
        <f aca="true">NORMSINV(RAND())*$G$7+$G$6</f>
        <v>-0.00389258183062486</v>
      </c>
    </row>
    <row r="2686" customFormat="false" ht="15" hidden="false" customHeight="false" outlineLevel="0" collapsed="false">
      <c r="L2686" s="31" t="n">
        <f aca="true">NORMSINV(RAND())*$G$7+$G$6</f>
        <v>0.00845322157003524</v>
      </c>
    </row>
    <row r="2687" customFormat="false" ht="15" hidden="false" customHeight="false" outlineLevel="0" collapsed="false">
      <c r="L2687" s="31" t="n">
        <f aca="true">NORMSINV(RAND())*$G$7+$G$6</f>
        <v>0.00145311181532573</v>
      </c>
    </row>
    <row r="2688" customFormat="false" ht="15" hidden="false" customHeight="false" outlineLevel="0" collapsed="false">
      <c r="L2688" s="31" t="n">
        <f aca="true">NORMSINV(RAND())*$G$7+$G$6</f>
        <v>0.00496894060629588</v>
      </c>
    </row>
    <row r="2689" customFormat="false" ht="15" hidden="false" customHeight="false" outlineLevel="0" collapsed="false">
      <c r="L2689" s="31" t="n">
        <f aca="true">NORMSINV(RAND())*$G$7+$G$6</f>
        <v>0.00448260835855439</v>
      </c>
    </row>
    <row r="2690" customFormat="false" ht="15" hidden="false" customHeight="false" outlineLevel="0" collapsed="false">
      <c r="L2690" s="31" t="n">
        <f aca="true">NORMSINV(RAND())*$G$7+$G$6</f>
        <v>-0.0108289313077934</v>
      </c>
    </row>
    <row r="2691" customFormat="false" ht="15" hidden="false" customHeight="false" outlineLevel="0" collapsed="false">
      <c r="L2691" s="31" t="n">
        <f aca="true">NORMSINV(RAND())*$G$7+$G$6</f>
        <v>-0.00853574679930901</v>
      </c>
    </row>
    <row r="2692" customFormat="false" ht="15" hidden="false" customHeight="false" outlineLevel="0" collapsed="false">
      <c r="L2692" s="31" t="n">
        <f aca="true">NORMSINV(RAND())*$G$7+$G$6</f>
        <v>0.00208337660824435</v>
      </c>
    </row>
    <row r="2693" customFormat="false" ht="15" hidden="false" customHeight="false" outlineLevel="0" collapsed="false">
      <c r="L2693" s="31" t="n">
        <f aca="true">NORMSINV(RAND())*$G$7+$G$6</f>
        <v>-0.0243877847383063</v>
      </c>
    </row>
    <row r="2694" customFormat="false" ht="15" hidden="false" customHeight="false" outlineLevel="0" collapsed="false">
      <c r="L2694" s="31" t="n">
        <f aca="true">NORMSINV(RAND())*$G$7+$G$6</f>
        <v>-0.0105839010050202</v>
      </c>
    </row>
    <row r="2695" customFormat="false" ht="15" hidden="false" customHeight="false" outlineLevel="0" collapsed="false">
      <c r="L2695" s="31" t="n">
        <f aca="true">NORMSINV(RAND())*$G$7+$G$6</f>
        <v>0.0204093186311199</v>
      </c>
    </row>
    <row r="2696" customFormat="false" ht="15" hidden="false" customHeight="false" outlineLevel="0" collapsed="false">
      <c r="L2696" s="31" t="n">
        <f aca="true">NORMSINV(RAND())*$G$7+$G$6</f>
        <v>-0.0105453735004329</v>
      </c>
    </row>
    <row r="2697" customFormat="false" ht="15" hidden="false" customHeight="false" outlineLevel="0" collapsed="false">
      <c r="L2697" s="31" t="n">
        <f aca="true">NORMSINV(RAND())*$G$7+$G$6</f>
        <v>0.0143631130567222</v>
      </c>
    </row>
    <row r="2698" customFormat="false" ht="15" hidden="false" customHeight="false" outlineLevel="0" collapsed="false">
      <c r="L2698" s="31" t="n">
        <f aca="true">NORMSINV(RAND())*$G$7+$G$6</f>
        <v>-0.0133312846887272</v>
      </c>
    </row>
    <row r="2699" customFormat="false" ht="15" hidden="false" customHeight="false" outlineLevel="0" collapsed="false">
      <c r="L2699" s="31" t="n">
        <f aca="true">NORMSINV(RAND())*$G$7+$G$6</f>
        <v>-0.0135301989247098</v>
      </c>
    </row>
    <row r="2700" customFormat="false" ht="15" hidden="false" customHeight="false" outlineLevel="0" collapsed="false">
      <c r="L2700" s="31" t="n">
        <f aca="true">NORMSINV(RAND())*$G$7+$G$6</f>
        <v>0.00389561970083349</v>
      </c>
    </row>
    <row r="2701" customFormat="false" ht="15" hidden="false" customHeight="false" outlineLevel="0" collapsed="false">
      <c r="L2701" s="31" t="n">
        <f aca="true">NORMSINV(RAND())*$G$7+$G$6</f>
        <v>-0.0105576759118428</v>
      </c>
    </row>
    <row r="2702" customFormat="false" ht="15" hidden="false" customHeight="false" outlineLevel="0" collapsed="false">
      <c r="L2702" s="31" t="n">
        <f aca="true">NORMSINV(RAND())*$G$7+$G$6</f>
        <v>0.0196443361008371</v>
      </c>
    </row>
    <row r="2703" customFormat="false" ht="15" hidden="false" customHeight="false" outlineLevel="0" collapsed="false">
      <c r="L2703" s="31" t="n">
        <f aca="true">NORMSINV(RAND())*$G$7+$G$6</f>
        <v>-0.0281599705074701</v>
      </c>
    </row>
    <row r="2704" customFormat="false" ht="15" hidden="false" customHeight="false" outlineLevel="0" collapsed="false">
      <c r="L2704" s="31" t="n">
        <f aca="true">NORMSINV(RAND())*$G$7+$G$6</f>
        <v>-0.0100423181883932</v>
      </c>
    </row>
    <row r="2705" customFormat="false" ht="15" hidden="false" customHeight="false" outlineLevel="0" collapsed="false">
      <c r="L2705" s="31" t="n">
        <f aca="true">NORMSINV(RAND())*$G$7+$G$6</f>
        <v>-0.00801737866446963</v>
      </c>
    </row>
    <row r="2706" customFormat="false" ht="15" hidden="false" customHeight="false" outlineLevel="0" collapsed="false">
      <c r="L2706" s="31" t="n">
        <f aca="true">NORMSINV(RAND())*$G$7+$G$6</f>
        <v>0.01362918298328</v>
      </c>
    </row>
    <row r="2707" customFormat="false" ht="15" hidden="false" customHeight="false" outlineLevel="0" collapsed="false">
      <c r="L2707" s="31" t="n">
        <f aca="true">NORMSINV(RAND())*$G$7+$G$6</f>
        <v>-0.0201149011784796</v>
      </c>
    </row>
    <row r="2708" customFormat="false" ht="15" hidden="false" customHeight="false" outlineLevel="0" collapsed="false">
      <c r="L2708" s="31" t="n">
        <f aca="true">NORMSINV(RAND())*$G$7+$G$6</f>
        <v>0.00290865621670692</v>
      </c>
    </row>
    <row r="2709" customFormat="false" ht="15" hidden="false" customHeight="false" outlineLevel="0" collapsed="false">
      <c r="L2709" s="31" t="n">
        <f aca="true">NORMSINV(RAND())*$G$7+$G$6</f>
        <v>0.00352938199226293</v>
      </c>
    </row>
    <row r="2710" customFormat="false" ht="15" hidden="false" customHeight="false" outlineLevel="0" collapsed="false">
      <c r="L2710" s="31" t="n">
        <f aca="true">NORMSINV(RAND())*$G$7+$G$6</f>
        <v>-0.00452798213939312</v>
      </c>
    </row>
    <row r="2711" customFormat="false" ht="15" hidden="false" customHeight="false" outlineLevel="0" collapsed="false">
      <c r="L2711" s="31" t="n">
        <f aca="true">NORMSINV(RAND())*$G$7+$G$6</f>
        <v>-0.0176627279024559</v>
      </c>
    </row>
    <row r="2712" customFormat="false" ht="15" hidden="false" customHeight="false" outlineLevel="0" collapsed="false">
      <c r="L2712" s="31" t="n">
        <f aca="true">NORMSINV(RAND())*$G$7+$G$6</f>
        <v>0.00147827385810159</v>
      </c>
    </row>
    <row r="2713" customFormat="false" ht="15" hidden="false" customHeight="false" outlineLevel="0" collapsed="false">
      <c r="L2713" s="31" t="n">
        <f aca="true">NORMSINV(RAND())*$G$7+$G$6</f>
        <v>0.0149372725459106</v>
      </c>
    </row>
    <row r="2714" customFormat="false" ht="15" hidden="false" customHeight="false" outlineLevel="0" collapsed="false">
      <c r="L2714" s="31" t="n">
        <f aca="true">NORMSINV(RAND())*$G$7+$G$6</f>
        <v>0.00911956519159628</v>
      </c>
    </row>
    <row r="2715" customFormat="false" ht="15" hidden="false" customHeight="false" outlineLevel="0" collapsed="false">
      <c r="L2715" s="31" t="n">
        <f aca="true">NORMSINV(RAND())*$G$7+$G$6</f>
        <v>-0.0151205895519961</v>
      </c>
    </row>
    <row r="2716" customFormat="false" ht="15" hidden="false" customHeight="false" outlineLevel="0" collapsed="false">
      <c r="L2716" s="31" t="n">
        <f aca="true">NORMSINV(RAND())*$G$7+$G$6</f>
        <v>-0.0198783603502225</v>
      </c>
    </row>
    <row r="2717" customFormat="false" ht="15" hidden="false" customHeight="false" outlineLevel="0" collapsed="false">
      <c r="L2717" s="31" t="n">
        <f aca="true">NORMSINV(RAND())*$G$7+$G$6</f>
        <v>0.0119912661706585</v>
      </c>
    </row>
    <row r="2718" customFormat="false" ht="15" hidden="false" customHeight="false" outlineLevel="0" collapsed="false">
      <c r="L2718" s="31" t="n">
        <f aca="true">NORMSINV(RAND())*$G$7+$G$6</f>
        <v>-0.0121996049225207</v>
      </c>
    </row>
    <row r="2719" customFormat="false" ht="15" hidden="false" customHeight="false" outlineLevel="0" collapsed="false">
      <c r="L2719" s="31" t="n">
        <f aca="true">NORMSINV(RAND())*$G$7+$G$6</f>
        <v>-0.0208165975780768</v>
      </c>
    </row>
    <row r="2720" customFormat="false" ht="15" hidden="false" customHeight="false" outlineLevel="0" collapsed="false">
      <c r="L2720" s="31" t="n">
        <f aca="true">NORMSINV(RAND())*$G$7+$G$6</f>
        <v>0.0186925267218878</v>
      </c>
    </row>
    <row r="2721" customFormat="false" ht="15" hidden="false" customHeight="false" outlineLevel="0" collapsed="false">
      <c r="L2721" s="31" t="n">
        <f aca="true">NORMSINV(RAND())*$G$7+$G$6</f>
        <v>0.0116535394491451</v>
      </c>
    </row>
    <row r="2722" customFormat="false" ht="15" hidden="false" customHeight="false" outlineLevel="0" collapsed="false">
      <c r="L2722" s="31" t="n">
        <f aca="true">NORMSINV(RAND())*$G$7+$G$6</f>
        <v>-0.0108207921783075</v>
      </c>
    </row>
    <row r="2723" customFormat="false" ht="15" hidden="false" customHeight="false" outlineLevel="0" collapsed="false">
      <c r="L2723" s="31" t="n">
        <f aca="true">NORMSINV(RAND())*$G$7+$G$6</f>
        <v>-0.00031541192702334</v>
      </c>
    </row>
    <row r="2724" customFormat="false" ht="15" hidden="false" customHeight="false" outlineLevel="0" collapsed="false">
      <c r="L2724" s="31" t="n">
        <f aca="true">NORMSINV(RAND())*$G$7+$G$6</f>
        <v>0.00529169220659066</v>
      </c>
    </row>
    <row r="2725" customFormat="false" ht="15" hidden="false" customHeight="false" outlineLevel="0" collapsed="false">
      <c r="L2725" s="31" t="n">
        <f aca="true">NORMSINV(RAND())*$G$7+$G$6</f>
        <v>-0.00927854790304399</v>
      </c>
    </row>
    <row r="2726" customFormat="false" ht="15" hidden="false" customHeight="false" outlineLevel="0" collapsed="false">
      <c r="L2726" s="31" t="n">
        <f aca="true">NORMSINV(RAND())*$G$7+$G$6</f>
        <v>0.00139767023868501</v>
      </c>
    </row>
    <row r="2727" customFormat="false" ht="15" hidden="false" customHeight="false" outlineLevel="0" collapsed="false">
      <c r="L2727" s="31" t="n">
        <f aca="true">NORMSINV(RAND())*$G$7+$G$6</f>
        <v>0.00670971125638189</v>
      </c>
    </row>
    <row r="2728" customFormat="false" ht="15" hidden="false" customHeight="false" outlineLevel="0" collapsed="false">
      <c r="L2728" s="31" t="n">
        <f aca="true">NORMSINV(RAND())*$G$7+$G$6</f>
        <v>-2.48200284628319E-005</v>
      </c>
    </row>
    <row r="2729" customFormat="false" ht="15" hidden="false" customHeight="false" outlineLevel="0" collapsed="false">
      <c r="L2729" s="31" t="n">
        <f aca="true">NORMSINV(RAND())*$G$7+$G$6</f>
        <v>-0.0111582737877695</v>
      </c>
    </row>
    <row r="2730" customFormat="false" ht="15" hidden="false" customHeight="false" outlineLevel="0" collapsed="false">
      <c r="L2730" s="31" t="n">
        <f aca="true">NORMSINV(RAND())*$G$7+$G$6</f>
        <v>-0.00748708022339186</v>
      </c>
    </row>
    <row r="2731" customFormat="false" ht="15" hidden="false" customHeight="false" outlineLevel="0" collapsed="false">
      <c r="L2731" s="31" t="n">
        <f aca="true">NORMSINV(RAND())*$G$7+$G$6</f>
        <v>0.00682023368557867</v>
      </c>
    </row>
    <row r="2732" customFormat="false" ht="15" hidden="false" customHeight="false" outlineLevel="0" collapsed="false">
      <c r="L2732" s="31" t="n">
        <f aca="true">NORMSINV(RAND())*$G$7+$G$6</f>
        <v>0.00600659011265628</v>
      </c>
    </row>
    <row r="2733" customFormat="false" ht="15" hidden="false" customHeight="false" outlineLevel="0" collapsed="false">
      <c r="L2733" s="31" t="n">
        <f aca="true">NORMSINV(RAND())*$G$7+$G$6</f>
        <v>0.0135795468782651</v>
      </c>
    </row>
    <row r="2734" customFormat="false" ht="15" hidden="false" customHeight="false" outlineLevel="0" collapsed="false">
      <c r="L2734" s="31" t="n">
        <f aca="true">NORMSINV(RAND())*$G$7+$G$6</f>
        <v>-0.00390189625374717</v>
      </c>
    </row>
    <row r="2735" customFormat="false" ht="15" hidden="false" customHeight="false" outlineLevel="0" collapsed="false">
      <c r="L2735" s="31" t="n">
        <f aca="true">NORMSINV(RAND())*$G$7+$G$6</f>
        <v>0.00216073389759353</v>
      </c>
    </row>
    <row r="2736" customFormat="false" ht="15" hidden="false" customHeight="false" outlineLevel="0" collapsed="false">
      <c r="L2736" s="31" t="n">
        <f aca="true">NORMSINV(RAND())*$G$7+$G$6</f>
        <v>0.00927569631049359</v>
      </c>
    </row>
    <row r="2737" customFormat="false" ht="15" hidden="false" customHeight="false" outlineLevel="0" collapsed="false">
      <c r="L2737" s="31" t="n">
        <f aca="true">NORMSINV(RAND())*$G$7+$G$6</f>
        <v>0.0109453281950515</v>
      </c>
    </row>
    <row r="2738" customFormat="false" ht="15" hidden="false" customHeight="false" outlineLevel="0" collapsed="false">
      <c r="L2738" s="31" t="n">
        <f aca="true">NORMSINV(RAND())*$G$7+$G$6</f>
        <v>-0.0190541709935508</v>
      </c>
    </row>
    <row r="2739" customFormat="false" ht="15" hidden="false" customHeight="false" outlineLevel="0" collapsed="false">
      <c r="L2739" s="31" t="n">
        <f aca="true">NORMSINV(RAND())*$G$7+$G$6</f>
        <v>0.00339966684732083</v>
      </c>
    </row>
    <row r="2740" customFormat="false" ht="15" hidden="false" customHeight="false" outlineLevel="0" collapsed="false">
      <c r="L2740" s="31" t="n">
        <f aca="true">NORMSINV(RAND())*$G$7+$G$6</f>
        <v>-0.0206062832167201</v>
      </c>
    </row>
    <row r="2741" customFormat="false" ht="15" hidden="false" customHeight="false" outlineLevel="0" collapsed="false">
      <c r="L2741" s="31" t="n">
        <f aca="true">NORMSINV(RAND())*$G$7+$G$6</f>
        <v>0.000713030869266926</v>
      </c>
    </row>
    <row r="2742" customFormat="false" ht="15" hidden="false" customHeight="false" outlineLevel="0" collapsed="false">
      <c r="L2742" s="31" t="n">
        <f aca="true">NORMSINV(RAND())*$G$7+$G$6</f>
        <v>0.0127141236066183</v>
      </c>
    </row>
    <row r="2743" customFormat="false" ht="15" hidden="false" customHeight="false" outlineLevel="0" collapsed="false">
      <c r="L2743" s="31" t="n">
        <f aca="true">NORMSINV(RAND())*$G$7+$G$6</f>
        <v>-0.00374032148526678</v>
      </c>
    </row>
    <row r="2744" customFormat="false" ht="15" hidden="false" customHeight="false" outlineLevel="0" collapsed="false">
      <c r="L2744" s="31" t="n">
        <f aca="true">NORMSINV(RAND())*$G$7+$G$6</f>
        <v>0.00687927603330762</v>
      </c>
    </row>
    <row r="2745" customFormat="false" ht="15" hidden="false" customHeight="false" outlineLevel="0" collapsed="false">
      <c r="L2745" s="31" t="n">
        <f aca="true">NORMSINV(RAND())*$G$7+$G$6</f>
        <v>-0.00909392001427805</v>
      </c>
    </row>
    <row r="2746" customFormat="false" ht="15" hidden="false" customHeight="false" outlineLevel="0" collapsed="false">
      <c r="L2746" s="31" t="n">
        <f aca="true">NORMSINV(RAND())*$G$7+$G$6</f>
        <v>-0.00357774514105275</v>
      </c>
    </row>
    <row r="2747" customFormat="false" ht="15" hidden="false" customHeight="false" outlineLevel="0" collapsed="false">
      <c r="L2747" s="31" t="n">
        <f aca="true">NORMSINV(RAND())*$G$7+$G$6</f>
        <v>0.0312673388046638</v>
      </c>
    </row>
    <row r="2748" customFormat="false" ht="15" hidden="false" customHeight="false" outlineLevel="0" collapsed="false">
      <c r="L2748" s="31" t="n">
        <f aca="true">NORMSINV(RAND())*$G$7+$G$6</f>
        <v>-0.0294705315186898</v>
      </c>
    </row>
    <row r="2749" customFormat="false" ht="15" hidden="false" customHeight="false" outlineLevel="0" collapsed="false">
      <c r="L2749" s="31" t="n">
        <f aca="true">NORMSINV(RAND())*$G$7+$G$6</f>
        <v>0.00189220832727442</v>
      </c>
    </row>
    <row r="2750" customFormat="false" ht="15" hidden="false" customHeight="false" outlineLevel="0" collapsed="false">
      <c r="L2750" s="31" t="n">
        <f aca="true">NORMSINV(RAND())*$G$7+$G$6</f>
        <v>-0.00870397414595038</v>
      </c>
    </row>
    <row r="2751" customFormat="false" ht="15" hidden="false" customHeight="false" outlineLevel="0" collapsed="false">
      <c r="L2751" s="31" t="n">
        <f aca="true">NORMSINV(RAND())*$G$7+$G$6</f>
        <v>-0.00372603138039381</v>
      </c>
    </row>
    <row r="2752" customFormat="false" ht="15" hidden="false" customHeight="false" outlineLevel="0" collapsed="false">
      <c r="L2752" s="31" t="n">
        <f aca="true">NORMSINV(RAND())*$G$7+$G$6</f>
        <v>-0.00715248037623185</v>
      </c>
    </row>
    <row r="2753" customFormat="false" ht="15" hidden="false" customHeight="false" outlineLevel="0" collapsed="false">
      <c r="L2753" s="31" t="n">
        <f aca="true">NORMSINV(RAND())*$G$7+$G$6</f>
        <v>0.0037227304366064</v>
      </c>
    </row>
    <row r="2754" customFormat="false" ht="15" hidden="false" customHeight="false" outlineLevel="0" collapsed="false">
      <c r="L2754" s="31" t="n">
        <f aca="true">NORMSINV(RAND())*$G$7+$G$6</f>
        <v>-0.00849943980162189</v>
      </c>
    </row>
    <row r="2755" customFormat="false" ht="15" hidden="false" customHeight="false" outlineLevel="0" collapsed="false">
      <c r="L2755" s="31" t="n">
        <f aca="true">NORMSINV(RAND())*$G$7+$G$6</f>
        <v>-0.0137068315367249</v>
      </c>
    </row>
    <row r="2756" customFormat="false" ht="15" hidden="false" customHeight="false" outlineLevel="0" collapsed="false">
      <c r="L2756" s="31" t="n">
        <f aca="true">NORMSINV(RAND())*$G$7+$G$6</f>
        <v>0.00266223718168549</v>
      </c>
    </row>
    <row r="2757" customFormat="false" ht="15" hidden="false" customHeight="false" outlineLevel="0" collapsed="false">
      <c r="L2757" s="31" t="n">
        <f aca="true">NORMSINV(RAND())*$G$7+$G$6</f>
        <v>-0.0123590895917347</v>
      </c>
    </row>
    <row r="2758" customFormat="false" ht="15" hidden="false" customHeight="false" outlineLevel="0" collapsed="false">
      <c r="L2758" s="31" t="n">
        <f aca="true">NORMSINV(RAND())*$G$7+$G$6</f>
        <v>0.000413565272463282</v>
      </c>
    </row>
    <row r="2759" customFormat="false" ht="15" hidden="false" customHeight="false" outlineLevel="0" collapsed="false">
      <c r="L2759" s="31" t="n">
        <f aca="true">NORMSINV(RAND())*$G$7+$G$6</f>
        <v>-0.0230295356775586</v>
      </c>
    </row>
    <row r="2760" customFormat="false" ht="15" hidden="false" customHeight="false" outlineLevel="0" collapsed="false">
      <c r="L2760" s="31" t="n">
        <f aca="true">NORMSINV(RAND())*$G$7+$G$6</f>
        <v>0.030761408741306</v>
      </c>
    </row>
    <row r="2761" customFormat="false" ht="15" hidden="false" customHeight="false" outlineLevel="0" collapsed="false">
      <c r="L2761" s="31" t="n">
        <f aca="true">NORMSINV(RAND())*$G$7+$G$6</f>
        <v>-0.0353963788504774</v>
      </c>
    </row>
    <row r="2762" customFormat="false" ht="15" hidden="false" customHeight="false" outlineLevel="0" collapsed="false">
      <c r="L2762" s="31" t="n">
        <f aca="true">NORMSINV(RAND())*$G$7+$G$6</f>
        <v>-0.0164210296946437</v>
      </c>
    </row>
    <row r="2763" customFormat="false" ht="15" hidden="false" customHeight="false" outlineLevel="0" collapsed="false">
      <c r="L2763" s="31" t="n">
        <f aca="true">NORMSINV(RAND())*$G$7+$G$6</f>
        <v>0.00605932748032803</v>
      </c>
    </row>
    <row r="2764" customFormat="false" ht="15" hidden="false" customHeight="false" outlineLevel="0" collapsed="false">
      <c r="L2764" s="31" t="n">
        <f aca="true">NORMSINV(RAND())*$G$7+$G$6</f>
        <v>-0.012907161626588</v>
      </c>
    </row>
    <row r="2765" customFormat="false" ht="15" hidden="false" customHeight="false" outlineLevel="0" collapsed="false">
      <c r="L2765" s="31" t="n">
        <f aca="true">NORMSINV(RAND())*$G$7+$G$6</f>
        <v>-0.00236072671786443</v>
      </c>
    </row>
    <row r="2766" customFormat="false" ht="15" hidden="false" customHeight="false" outlineLevel="0" collapsed="false">
      <c r="L2766" s="31" t="n">
        <f aca="true">NORMSINV(RAND())*$G$7+$G$6</f>
        <v>0.00876542270304041</v>
      </c>
    </row>
    <row r="2767" customFormat="false" ht="15" hidden="false" customHeight="false" outlineLevel="0" collapsed="false">
      <c r="L2767" s="31" t="n">
        <f aca="true">NORMSINV(RAND())*$G$7+$G$6</f>
        <v>-0.00301958799189567</v>
      </c>
    </row>
    <row r="2768" customFormat="false" ht="15" hidden="false" customHeight="false" outlineLevel="0" collapsed="false">
      <c r="L2768" s="31" t="n">
        <f aca="true">NORMSINV(RAND())*$G$7+$G$6</f>
        <v>0.00314891048250334</v>
      </c>
    </row>
    <row r="2769" customFormat="false" ht="15" hidden="false" customHeight="false" outlineLevel="0" collapsed="false">
      <c r="L2769" s="31" t="n">
        <f aca="true">NORMSINV(RAND())*$G$7+$G$6</f>
        <v>0.025909435141946</v>
      </c>
    </row>
    <row r="2770" customFormat="false" ht="15" hidden="false" customHeight="false" outlineLevel="0" collapsed="false">
      <c r="L2770" s="31" t="n">
        <f aca="true">NORMSINV(RAND())*$G$7+$G$6</f>
        <v>-0.00143017987890664</v>
      </c>
    </row>
    <row r="2771" customFormat="false" ht="15" hidden="false" customHeight="false" outlineLevel="0" collapsed="false">
      <c r="L2771" s="31" t="n">
        <f aca="true">NORMSINV(RAND())*$G$7+$G$6</f>
        <v>-0.00224357243827058</v>
      </c>
    </row>
    <row r="2772" customFormat="false" ht="15" hidden="false" customHeight="false" outlineLevel="0" collapsed="false">
      <c r="L2772" s="31" t="n">
        <f aca="true">NORMSINV(RAND())*$G$7+$G$6</f>
        <v>-0.00245417144915642</v>
      </c>
    </row>
    <row r="2773" customFormat="false" ht="15" hidden="false" customHeight="false" outlineLevel="0" collapsed="false">
      <c r="L2773" s="31" t="n">
        <f aca="true">NORMSINV(RAND())*$G$7+$G$6</f>
        <v>0.0345645747507516</v>
      </c>
    </row>
    <row r="2774" customFormat="false" ht="15" hidden="false" customHeight="false" outlineLevel="0" collapsed="false">
      <c r="L2774" s="31" t="n">
        <f aca="true">NORMSINV(RAND())*$G$7+$G$6</f>
        <v>0.00525031214617914</v>
      </c>
    </row>
    <row r="2775" customFormat="false" ht="15" hidden="false" customHeight="false" outlineLevel="0" collapsed="false">
      <c r="L2775" s="31" t="n">
        <f aca="true">NORMSINV(RAND())*$G$7+$G$6</f>
        <v>0.00376908649697382</v>
      </c>
    </row>
    <row r="2776" customFormat="false" ht="15" hidden="false" customHeight="false" outlineLevel="0" collapsed="false">
      <c r="L2776" s="31" t="n">
        <f aca="true">NORMSINV(RAND())*$G$7+$G$6</f>
        <v>-0.00518217160172694</v>
      </c>
    </row>
    <row r="2777" customFormat="false" ht="15" hidden="false" customHeight="false" outlineLevel="0" collapsed="false">
      <c r="L2777" s="31" t="n">
        <f aca="true">NORMSINV(RAND())*$G$7+$G$6</f>
        <v>-0.0104375163429264</v>
      </c>
    </row>
    <row r="2778" customFormat="false" ht="15" hidden="false" customHeight="false" outlineLevel="0" collapsed="false">
      <c r="L2778" s="31" t="n">
        <f aca="true">NORMSINV(RAND())*$G$7+$G$6</f>
        <v>-0.0074224416938988</v>
      </c>
    </row>
    <row r="2779" customFormat="false" ht="15" hidden="false" customHeight="false" outlineLevel="0" collapsed="false">
      <c r="L2779" s="31" t="n">
        <f aca="true">NORMSINV(RAND())*$G$7+$G$6</f>
        <v>-0.00767768428227534</v>
      </c>
    </row>
    <row r="2780" customFormat="false" ht="15" hidden="false" customHeight="false" outlineLevel="0" collapsed="false">
      <c r="L2780" s="31" t="n">
        <f aca="true">NORMSINV(RAND())*$G$7+$G$6</f>
        <v>-0.00711692113736532</v>
      </c>
    </row>
    <row r="2781" customFormat="false" ht="15" hidden="false" customHeight="false" outlineLevel="0" collapsed="false">
      <c r="L2781" s="31" t="n">
        <f aca="true">NORMSINV(RAND())*$G$7+$G$6</f>
        <v>0.00798825824618911</v>
      </c>
    </row>
    <row r="2782" customFormat="false" ht="15" hidden="false" customHeight="false" outlineLevel="0" collapsed="false">
      <c r="L2782" s="31" t="n">
        <f aca="true">NORMSINV(RAND())*$G$7+$G$6</f>
        <v>-0.00980857574326905</v>
      </c>
    </row>
    <row r="2783" customFormat="false" ht="15" hidden="false" customHeight="false" outlineLevel="0" collapsed="false">
      <c r="L2783" s="31" t="n">
        <f aca="true">NORMSINV(RAND())*$G$7+$G$6</f>
        <v>0.0153301413275249</v>
      </c>
    </row>
    <row r="2784" customFormat="false" ht="15" hidden="false" customHeight="false" outlineLevel="0" collapsed="false">
      <c r="L2784" s="31" t="n">
        <f aca="true">NORMSINV(RAND())*$G$7+$G$6</f>
        <v>-0.00978329231665257</v>
      </c>
    </row>
    <row r="2785" customFormat="false" ht="15" hidden="false" customHeight="false" outlineLevel="0" collapsed="false">
      <c r="L2785" s="31" t="n">
        <f aca="true">NORMSINV(RAND())*$G$7+$G$6</f>
        <v>0.00667489110710841</v>
      </c>
    </row>
    <row r="2786" customFormat="false" ht="15" hidden="false" customHeight="false" outlineLevel="0" collapsed="false">
      <c r="L2786" s="31" t="n">
        <f aca="true">NORMSINV(RAND())*$G$7+$G$6</f>
        <v>0.00698914762612034</v>
      </c>
    </row>
    <row r="2787" customFormat="false" ht="15" hidden="false" customHeight="false" outlineLevel="0" collapsed="false">
      <c r="L2787" s="31" t="n">
        <f aca="true">NORMSINV(RAND())*$G$7+$G$6</f>
        <v>0.0107346967929386</v>
      </c>
    </row>
    <row r="2788" customFormat="false" ht="15" hidden="false" customHeight="false" outlineLevel="0" collapsed="false">
      <c r="L2788" s="31" t="n">
        <f aca="true">NORMSINV(RAND())*$G$7+$G$6</f>
        <v>0.00393641339208969</v>
      </c>
    </row>
    <row r="2789" customFormat="false" ht="15" hidden="false" customHeight="false" outlineLevel="0" collapsed="false">
      <c r="L2789" s="31" t="n">
        <f aca="true">NORMSINV(RAND())*$G$7+$G$6</f>
        <v>0.0228329449078067</v>
      </c>
    </row>
    <row r="2790" customFormat="false" ht="15" hidden="false" customHeight="false" outlineLevel="0" collapsed="false">
      <c r="L2790" s="31" t="n">
        <f aca="true">NORMSINV(RAND())*$G$7+$G$6</f>
        <v>0.00673264860193968</v>
      </c>
    </row>
    <row r="2791" customFormat="false" ht="15" hidden="false" customHeight="false" outlineLevel="0" collapsed="false">
      <c r="L2791" s="31" t="n">
        <f aca="true">NORMSINV(RAND())*$G$7+$G$6</f>
        <v>-0.00650156926487084</v>
      </c>
    </row>
    <row r="2792" customFormat="false" ht="15" hidden="false" customHeight="false" outlineLevel="0" collapsed="false">
      <c r="L2792" s="31" t="n">
        <f aca="true">NORMSINV(RAND())*$G$7+$G$6</f>
        <v>0.0254231741196674</v>
      </c>
    </row>
    <row r="2793" customFormat="false" ht="15" hidden="false" customHeight="false" outlineLevel="0" collapsed="false">
      <c r="L2793" s="31" t="n">
        <f aca="true">NORMSINV(RAND())*$G$7+$G$6</f>
        <v>0.0227454454629036</v>
      </c>
    </row>
    <row r="2794" customFormat="false" ht="15" hidden="false" customHeight="false" outlineLevel="0" collapsed="false">
      <c r="L2794" s="31" t="n">
        <f aca="true">NORMSINV(RAND())*$G$7+$G$6</f>
        <v>0.0125363162950664</v>
      </c>
    </row>
    <row r="2795" customFormat="false" ht="15" hidden="false" customHeight="false" outlineLevel="0" collapsed="false">
      <c r="L2795" s="31" t="n">
        <f aca="true">NORMSINV(RAND())*$G$7+$G$6</f>
        <v>0.0054079002608493</v>
      </c>
    </row>
    <row r="2796" customFormat="false" ht="15" hidden="false" customHeight="false" outlineLevel="0" collapsed="false">
      <c r="L2796" s="31" t="n">
        <f aca="true">NORMSINV(RAND())*$G$7+$G$6</f>
        <v>-0.00904663189941825</v>
      </c>
    </row>
    <row r="2797" customFormat="false" ht="15" hidden="false" customHeight="false" outlineLevel="0" collapsed="false">
      <c r="L2797" s="31" t="n">
        <f aca="true">NORMSINV(RAND())*$G$7+$G$6</f>
        <v>0.00389575217227829</v>
      </c>
    </row>
    <row r="2798" customFormat="false" ht="15" hidden="false" customHeight="false" outlineLevel="0" collapsed="false">
      <c r="L2798" s="31" t="n">
        <f aca="true">NORMSINV(RAND())*$G$7+$G$6</f>
        <v>0.0121542292512113</v>
      </c>
    </row>
    <row r="2799" customFormat="false" ht="15" hidden="false" customHeight="false" outlineLevel="0" collapsed="false">
      <c r="L2799" s="31" t="n">
        <f aca="true">NORMSINV(RAND())*$G$7+$G$6</f>
        <v>0.0176370496826214</v>
      </c>
    </row>
    <row r="2800" customFormat="false" ht="15" hidden="false" customHeight="false" outlineLevel="0" collapsed="false">
      <c r="L2800" s="31" t="n">
        <f aca="true">NORMSINV(RAND())*$G$7+$G$6</f>
        <v>-0.0177016197157076</v>
      </c>
    </row>
    <row r="2801" customFormat="false" ht="15" hidden="false" customHeight="false" outlineLevel="0" collapsed="false">
      <c r="L2801" s="31" t="n">
        <f aca="true">NORMSINV(RAND())*$G$7+$G$6</f>
        <v>0.00454289327623521</v>
      </c>
    </row>
    <row r="2802" customFormat="false" ht="15" hidden="false" customHeight="false" outlineLevel="0" collapsed="false">
      <c r="L2802" s="31" t="n">
        <f aca="true">NORMSINV(RAND())*$G$7+$G$6</f>
        <v>-0.00132771807561225</v>
      </c>
    </row>
    <row r="2803" customFormat="false" ht="15" hidden="false" customHeight="false" outlineLevel="0" collapsed="false">
      <c r="L2803" s="31" t="n">
        <f aca="true">NORMSINV(RAND())*$G$7+$G$6</f>
        <v>0.0277769933743941</v>
      </c>
    </row>
    <row r="2804" customFormat="false" ht="15" hidden="false" customHeight="false" outlineLevel="0" collapsed="false">
      <c r="L2804" s="31" t="n">
        <f aca="true">NORMSINV(RAND())*$G$7+$G$6</f>
        <v>-0.0194725476474617</v>
      </c>
    </row>
    <row r="2805" customFormat="false" ht="15" hidden="false" customHeight="false" outlineLevel="0" collapsed="false">
      <c r="L2805" s="31" t="n">
        <f aca="true">NORMSINV(RAND())*$G$7+$G$6</f>
        <v>-0.00395163335875355</v>
      </c>
    </row>
    <row r="2806" customFormat="false" ht="15" hidden="false" customHeight="false" outlineLevel="0" collapsed="false">
      <c r="L2806" s="31" t="n">
        <f aca="true">NORMSINV(RAND())*$G$7+$G$6</f>
        <v>0.00501649671577202</v>
      </c>
    </row>
    <row r="2807" customFormat="false" ht="15" hidden="false" customHeight="false" outlineLevel="0" collapsed="false">
      <c r="L2807" s="31" t="n">
        <f aca="true">NORMSINV(RAND())*$G$7+$G$6</f>
        <v>-0.0126634807308674</v>
      </c>
    </row>
    <row r="2808" customFormat="false" ht="15" hidden="false" customHeight="false" outlineLevel="0" collapsed="false">
      <c r="L2808" s="31" t="n">
        <f aca="true">NORMSINV(RAND())*$G$7+$G$6</f>
        <v>-0.0194691802477417</v>
      </c>
    </row>
    <row r="2809" customFormat="false" ht="15" hidden="false" customHeight="false" outlineLevel="0" collapsed="false">
      <c r="L2809" s="31" t="n">
        <f aca="true">NORMSINV(RAND())*$G$7+$G$6</f>
        <v>0.00889547491238032</v>
      </c>
    </row>
    <row r="2810" customFormat="false" ht="15" hidden="false" customHeight="false" outlineLevel="0" collapsed="false">
      <c r="L2810" s="31" t="n">
        <f aca="true">NORMSINV(RAND())*$G$7+$G$6</f>
        <v>-0.0156947347779862</v>
      </c>
    </row>
    <row r="2811" customFormat="false" ht="15" hidden="false" customHeight="false" outlineLevel="0" collapsed="false">
      <c r="L2811" s="31" t="n">
        <f aca="true">NORMSINV(RAND())*$G$7+$G$6</f>
        <v>-0.00595336110130564</v>
      </c>
    </row>
    <row r="2812" customFormat="false" ht="15" hidden="false" customHeight="false" outlineLevel="0" collapsed="false">
      <c r="L2812" s="31" t="n">
        <f aca="true">NORMSINV(RAND())*$G$7+$G$6</f>
        <v>0.0256548219624055</v>
      </c>
    </row>
    <row r="2813" customFormat="false" ht="15" hidden="false" customHeight="false" outlineLevel="0" collapsed="false">
      <c r="L2813" s="31" t="n">
        <f aca="true">NORMSINV(RAND())*$G$7+$G$6</f>
        <v>-0.010778520871804</v>
      </c>
    </row>
    <row r="2814" customFormat="false" ht="15" hidden="false" customHeight="false" outlineLevel="0" collapsed="false">
      <c r="L2814" s="31" t="n">
        <f aca="true">NORMSINV(RAND())*$G$7+$G$6</f>
        <v>0.00759588095176677</v>
      </c>
    </row>
    <row r="2815" customFormat="false" ht="15" hidden="false" customHeight="false" outlineLevel="0" collapsed="false">
      <c r="L2815" s="31" t="n">
        <f aca="true">NORMSINV(RAND())*$G$7+$G$6</f>
        <v>0.00795666601227368</v>
      </c>
    </row>
    <row r="2816" customFormat="false" ht="15" hidden="false" customHeight="false" outlineLevel="0" collapsed="false">
      <c r="L2816" s="31" t="n">
        <f aca="true">NORMSINV(RAND())*$G$7+$G$6</f>
        <v>0.00920053480048596</v>
      </c>
    </row>
    <row r="2817" customFormat="false" ht="15" hidden="false" customHeight="false" outlineLevel="0" collapsed="false">
      <c r="L2817" s="31" t="n">
        <f aca="true">NORMSINV(RAND())*$G$7+$G$6</f>
        <v>-0.0292430359339492</v>
      </c>
    </row>
    <row r="2818" customFormat="false" ht="15" hidden="false" customHeight="false" outlineLevel="0" collapsed="false">
      <c r="L2818" s="31" t="n">
        <f aca="true">NORMSINV(RAND())*$G$7+$G$6</f>
        <v>-0.0080653569244392</v>
      </c>
    </row>
    <row r="2819" customFormat="false" ht="15" hidden="false" customHeight="false" outlineLevel="0" collapsed="false">
      <c r="L2819" s="31" t="n">
        <f aca="true">NORMSINV(RAND())*$G$7+$G$6</f>
        <v>-0.015050328562036</v>
      </c>
    </row>
    <row r="2820" customFormat="false" ht="15" hidden="false" customHeight="false" outlineLevel="0" collapsed="false">
      <c r="L2820" s="31" t="n">
        <f aca="true">NORMSINV(RAND())*$G$7+$G$6</f>
        <v>-0.00203410928597287</v>
      </c>
    </row>
    <row r="2821" customFormat="false" ht="15" hidden="false" customHeight="false" outlineLevel="0" collapsed="false">
      <c r="L2821" s="31" t="n">
        <f aca="true">NORMSINV(RAND())*$G$7+$G$6</f>
        <v>0.00068904608318953</v>
      </c>
    </row>
    <row r="2822" customFormat="false" ht="15" hidden="false" customHeight="false" outlineLevel="0" collapsed="false">
      <c r="L2822" s="31" t="n">
        <f aca="true">NORMSINV(RAND())*$G$7+$G$6</f>
        <v>0.0171084389736753</v>
      </c>
    </row>
    <row r="2823" customFormat="false" ht="15" hidden="false" customHeight="false" outlineLevel="0" collapsed="false">
      <c r="L2823" s="31" t="n">
        <f aca="true">NORMSINV(RAND())*$G$7+$G$6</f>
        <v>0.00561503132096289</v>
      </c>
    </row>
    <row r="2824" customFormat="false" ht="15" hidden="false" customHeight="false" outlineLevel="0" collapsed="false">
      <c r="L2824" s="31" t="n">
        <f aca="true">NORMSINV(RAND())*$G$7+$G$6</f>
        <v>-0.00267610769366625</v>
      </c>
    </row>
    <row r="2825" customFormat="false" ht="15" hidden="false" customHeight="false" outlineLevel="0" collapsed="false">
      <c r="L2825" s="31" t="n">
        <f aca="true">NORMSINV(RAND())*$G$7+$G$6</f>
        <v>0.00337283653103817</v>
      </c>
    </row>
    <row r="2826" customFormat="false" ht="15" hidden="false" customHeight="false" outlineLevel="0" collapsed="false">
      <c r="L2826" s="31" t="n">
        <f aca="true">NORMSINV(RAND())*$G$7+$G$6</f>
        <v>0.00138196593655076</v>
      </c>
    </row>
    <row r="2827" customFormat="false" ht="15" hidden="false" customHeight="false" outlineLevel="0" collapsed="false">
      <c r="L2827" s="31" t="n">
        <f aca="true">NORMSINV(RAND())*$G$7+$G$6</f>
        <v>-0.0535433119425354</v>
      </c>
    </row>
    <row r="2828" customFormat="false" ht="15" hidden="false" customHeight="false" outlineLevel="0" collapsed="false">
      <c r="L2828" s="31" t="n">
        <f aca="true">NORMSINV(RAND())*$G$7+$G$6</f>
        <v>0.0212655184197088</v>
      </c>
    </row>
    <row r="2829" customFormat="false" ht="15" hidden="false" customHeight="false" outlineLevel="0" collapsed="false">
      <c r="L2829" s="31" t="n">
        <f aca="true">NORMSINV(RAND())*$G$7+$G$6</f>
        <v>-0.00835137377343452</v>
      </c>
    </row>
    <row r="2830" customFormat="false" ht="15" hidden="false" customHeight="false" outlineLevel="0" collapsed="false">
      <c r="L2830" s="31" t="n">
        <f aca="true">NORMSINV(RAND())*$G$7+$G$6</f>
        <v>0.00675422945636793</v>
      </c>
    </row>
    <row r="2831" customFormat="false" ht="15" hidden="false" customHeight="false" outlineLevel="0" collapsed="false">
      <c r="L2831" s="31" t="n">
        <f aca="true">NORMSINV(RAND())*$G$7+$G$6</f>
        <v>0.0201353917135493</v>
      </c>
    </row>
    <row r="2832" customFormat="false" ht="15" hidden="false" customHeight="false" outlineLevel="0" collapsed="false">
      <c r="L2832" s="31" t="n">
        <f aca="true">NORMSINV(RAND())*$G$7+$G$6</f>
        <v>-0.0250407380485778</v>
      </c>
    </row>
    <row r="2833" customFormat="false" ht="15" hidden="false" customHeight="false" outlineLevel="0" collapsed="false">
      <c r="L2833" s="31" t="n">
        <f aca="true">NORMSINV(RAND())*$G$7+$G$6</f>
        <v>0.000189371232339885</v>
      </c>
    </row>
    <row r="2834" customFormat="false" ht="15" hidden="false" customHeight="false" outlineLevel="0" collapsed="false">
      <c r="L2834" s="31" t="n">
        <f aca="true">NORMSINV(RAND())*$G$7+$G$6</f>
        <v>0.00245267946024447</v>
      </c>
    </row>
    <row r="2835" customFormat="false" ht="15" hidden="false" customHeight="false" outlineLevel="0" collapsed="false">
      <c r="L2835" s="31" t="n">
        <f aca="true">NORMSINV(RAND())*$G$7+$G$6</f>
        <v>0.0215084804941677</v>
      </c>
    </row>
    <row r="2836" customFormat="false" ht="15" hidden="false" customHeight="false" outlineLevel="0" collapsed="false">
      <c r="L2836" s="31" t="n">
        <f aca="true">NORMSINV(RAND())*$G$7+$G$6</f>
        <v>0.0057022131269816</v>
      </c>
    </row>
    <row r="2837" customFormat="false" ht="15" hidden="false" customHeight="false" outlineLevel="0" collapsed="false">
      <c r="L2837" s="31" t="n">
        <f aca="true">NORMSINV(RAND())*$G$7+$G$6</f>
        <v>0.0333776979915584</v>
      </c>
    </row>
    <row r="2838" customFormat="false" ht="15" hidden="false" customHeight="false" outlineLevel="0" collapsed="false">
      <c r="L2838" s="31" t="n">
        <f aca="true">NORMSINV(RAND())*$G$7+$G$6</f>
        <v>0.00263456222070777</v>
      </c>
    </row>
    <row r="2839" customFormat="false" ht="15" hidden="false" customHeight="false" outlineLevel="0" collapsed="false">
      <c r="L2839" s="31" t="n">
        <f aca="true">NORMSINV(RAND())*$G$7+$G$6</f>
        <v>0.0313399098526697</v>
      </c>
    </row>
    <row r="2840" customFormat="false" ht="15" hidden="false" customHeight="false" outlineLevel="0" collapsed="false">
      <c r="L2840" s="31" t="n">
        <f aca="true">NORMSINV(RAND())*$G$7+$G$6</f>
        <v>-0.020407984920482</v>
      </c>
    </row>
    <row r="2841" customFormat="false" ht="15" hidden="false" customHeight="false" outlineLevel="0" collapsed="false">
      <c r="L2841" s="31" t="n">
        <f aca="true">NORMSINV(RAND())*$G$7+$G$6</f>
        <v>-0.00520074009138158</v>
      </c>
    </row>
    <row r="2842" customFormat="false" ht="15" hidden="false" customHeight="false" outlineLevel="0" collapsed="false">
      <c r="L2842" s="31" t="n">
        <f aca="true">NORMSINV(RAND())*$G$7+$G$6</f>
        <v>0.00889566787393185</v>
      </c>
    </row>
    <row r="2843" customFormat="false" ht="15" hidden="false" customHeight="false" outlineLevel="0" collapsed="false">
      <c r="L2843" s="31" t="n">
        <f aca="true">NORMSINV(RAND())*$G$7+$G$6</f>
        <v>0.0184463183763569</v>
      </c>
    </row>
    <row r="2844" customFormat="false" ht="15" hidden="false" customHeight="false" outlineLevel="0" collapsed="false">
      <c r="L2844" s="31" t="n">
        <f aca="true">NORMSINV(RAND())*$G$7+$G$6</f>
        <v>0.0169287349166074</v>
      </c>
    </row>
    <row r="2845" customFormat="false" ht="15" hidden="false" customHeight="false" outlineLevel="0" collapsed="false">
      <c r="L2845" s="31" t="n">
        <f aca="true">NORMSINV(RAND())*$G$7+$G$6</f>
        <v>-0.0189116720158468</v>
      </c>
    </row>
    <row r="2846" customFormat="false" ht="15" hidden="false" customHeight="false" outlineLevel="0" collapsed="false">
      <c r="L2846" s="31" t="n">
        <f aca="true">NORMSINV(RAND())*$G$7+$G$6</f>
        <v>0.0364415672568242</v>
      </c>
    </row>
    <row r="2847" customFormat="false" ht="15" hidden="false" customHeight="false" outlineLevel="0" collapsed="false">
      <c r="L2847" s="31" t="n">
        <f aca="true">NORMSINV(RAND())*$G$7+$G$6</f>
        <v>0.0159355985098557</v>
      </c>
    </row>
    <row r="2848" customFormat="false" ht="15" hidden="false" customHeight="false" outlineLevel="0" collapsed="false">
      <c r="L2848" s="31" t="n">
        <f aca="true">NORMSINV(RAND())*$G$7+$G$6</f>
        <v>0.0146605936702211</v>
      </c>
    </row>
    <row r="2849" customFormat="false" ht="15" hidden="false" customHeight="false" outlineLevel="0" collapsed="false">
      <c r="L2849" s="31" t="n">
        <f aca="true">NORMSINV(RAND())*$G$7+$G$6</f>
        <v>-0.00152735427513931</v>
      </c>
    </row>
    <row r="2850" customFormat="false" ht="15" hidden="false" customHeight="false" outlineLevel="0" collapsed="false">
      <c r="L2850" s="31" t="n">
        <f aca="true">NORMSINV(RAND())*$G$7+$G$6</f>
        <v>0.0139222055900346</v>
      </c>
    </row>
    <row r="2851" customFormat="false" ht="15" hidden="false" customHeight="false" outlineLevel="0" collapsed="false">
      <c r="L2851" s="31" t="n">
        <f aca="true">NORMSINV(RAND())*$G$7+$G$6</f>
        <v>-0.00752332371790453</v>
      </c>
    </row>
    <row r="2852" customFormat="false" ht="15" hidden="false" customHeight="false" outlineLevel="0" collapsed="false">
      <c r="L2852" s="31" t="n">
        <f aca="true">NORMSINV(RAND())*$G$7+$G$6</f>
        <v>0.0192828115753657</v>
      </c>
    </row>
    <row r="2853" customFormat="false" ht="15" hidden="false" customHeight="false" outlineLevel="0" collapsed="false">
      <c r="L2853" s="31" t="n">
        <f aca="true">NORMSINV(RAND())*$G$7+$G$6</f>
        <v>-0.0122362674525604</v>
      </c>
    </row>
    <row r="2854" customFormat="false" ht="15" hidden="false" customHeight="false" outlineLevel="0" collapsed="false">
      <c r="L2854" s="31" t="n">
        <f aca="true">NORMSINV(RAND())*$G$7+$G$6</f>
        <v>0.00937889622264404</v>
      </c>
    </row>
    <row r="2855" customFormat="false" ht="15" hidden="false" customHeight="false" outlineLevel="0" collapsed="false">
      <c r="L2855" s="31" t="n">
        <f aca="true">NORMSINV(RAND())*$G$7+$G$6</f>
        <v>-0.0256673768798702</v>
      </c>
    </row>
    <row r="2856" customFormat="false" ht="15" hidden="false" customHeight="false" outlineLevel="0" collapsed="false">
      <c r="L2856" s="31" t="n">
        <f aca="true">NORMSINV(RAND())*$G$7+$G$6</f>
        <v>-0.014984831347857</v>
      </c>
    </row>
    <row r="2857" customFormat="false" ht="15" hidden="false" customHeight="false" outlineLevel="0" collapsed="false">
      <c r="L2857" s="31" t="n">
        <f aca="true">NORMSINV(RAND())*$G$7+$G$6</f>
        <v>-0.00120540060825309</v>
      </c>
    </row>
    <row r="2858" customFormat="false" ht="15" hidden="false" customHeight="false" outlineLevel="0" collapsed="false">
      <c r="L2858" s="31" t="n">
        <f aca="true">NORMSINV(RAND())*$G$7+$G$6</f>
        <v>-0.00451313836458524</v>
      </c>
    </row>
    <row r="2859" customFormat="false" ht="15" hidden="false" customHeight="false" outlineLevel="0" collapsed="false">
      <c r="L2859" s="31" t="n">
        <f aca="true">NORMSINV(RAND())*$G$7+$G$6</f>
        <v>0.011882344525545</v>
      </c>
    </row>
    <row r="2860" customFormat="false" ht="15" hidden="false" customHeight="false" outlineLevel="0" collapsed="false">
      <c r="L2860" s="31" t="n">
        <f aca="true">NORMSINV(RAND())*$G$7+$G$6</f>
        <v>0.0499270183924939</v>
      </c>
    </row>
    <row r="2861" customFormat="false" ht="15" hidden="false" customHeight="false" outlineLevel="0" collapsed="false">
      <c r="L2861" s="31" t="n">
        <f aca="true">NORMSINV(RAND())*$G$7+$G$6</f>
        <v>0.0273383472787446</v>
      </c>
    </row>
    <row r="2862" customFormat="false" ht="15" hidden="false" customHeight="false" outlineLevel="0" collapsed="false">
      <c r="L2862" s="31" t="n">
        <f aca="true">NORMSINV(RAND())*$G$7+$G$6</f>
        <v>0.00314594383633684</v>
      </c>
    </row>
    <row r="2863" customFormat="false" ht="15" hidden="false" customHeight="false" outlineLevel="0" collapsed="false">
      <c r="L2863" s="31" t="n">
        <f aca="true">NORMSINV(RAND())*$G$7+$G$6</f>
        <v>0.00928707949129188</v>
      </c>
    </row>
    <row r="2864" customFormat="false" ht="15" hidden="false" customHeight="false" outlineLevel="0" collapsed="false">
      <c r="L2864" s="31" t="n">
        <f aca="true">NORMSINV(RAND())*$G$7+$G$6</f>
        <v>-0.0201858445275772</v>
      </c>
    </row>
    <row r="2865" customFormat="false" ht="15" hidden="false" customHeight="false" outlineLevel="0" collapsed="false">
      <c r="L2865" s="31" t="n">
        <f aca="true">NORMSINV(RAND())*$G$7+$G$6</f>
        <v>0.0129114639197543</v>
      </c>
    </row>
    <row r="2866" customFormat="false" ht="15" hidden="false" customHeight="false" outlineLevel="0" collapsed="false">
      <c r="L2866" s="31" t="n">
        <f aca="true">NORMSINV(RAND())*$G$7+$G$6</f>
        <v>-0.012408535404178</v>
      </c>
    </row>
    <row r="2867" customFormat="false" ht="15" hidden="false" customHeight="false" outlineLevel="0" collapsed="false">
      <c r="L2867" s="31" t="n">
        <f aca="true">NORMSINV(RAND())*$G$7+$G$6</f>
        <v>-0.00637679755927326</v>
      </c>
    </row>
    <row r="2868" customFormat="false" ht="15" hidden="false" customHeight="false" outlineLevel="0" collapsed="false">
      <c r="L2868" s="31" t="n">
        <f aca="true">NORMSINV(RAND())*$G$7+$G$6</f>
        <v>0.00411061518270117</v>
      </c>
    </row>
    <row r="2869" customFormat="false" ht="15" hidden="false" customHeight="false" outlineLevel="0" collapsed="false">
      <c r="L2869" s="31" t="n">
        <f aca="true">NORMSINV(RAND())*$G$7+$G$6</f>
        <v>0.0040463587958874</v>
      </c>
    </row>
    <row r="2870" customFormat="false" ht="15" hidden="false" customHeight="false" outlineLevel="0" collapsed="false">
      <c r="L2870" s="31" t="n">
        <f aca="true">NORMSINV(RAND())*$G$7+$G$6</f>
        <v>-0.00479247606464363</v>
      </c>
    </row>
    <row r="2871" customFormat="false" ht="15" hidden="false" customHeight="false" outlineLevel="0" collapsed="false">
      <c r="L2871" s="31" t="n">
        <f aca="true">NORMSINV(RAND())*$G$7+$G$6</f>
        <v>0.0164439878962469</v>
      </c>
    </row>
    <row r="2872" customFormat="false" ht="15" hidden="false" customHeight="false" outlineLevel="0" collapsed="false">
      <c r="L2872" s="31" t="n">
        <f aca="true">NORMSINV(RAND())*$G$7+$G$6</f>
        <v>0.0147818404884916</v>
      </c>
    </row>
    <row r="2873" customFormat="false" ht="15" hidden="false" customHeight="false" outlineLevel="0" collapsed="false">
      <c r="L2873" s="31" t="n">
        <f aca="true">NORMSINV(RAND())*$G$7+$G$6</f>
        <v>0.000775082906648706</v>
      </c>
    </row>
    <row r="2874" customFormat="false" ht="15" hidden="false" customHeight="false" outlineLevel="0" collapsed="false">
      <c r="L2874" s="31" t="n">
        <f aca="true">NORMSINV(RAND())*$G$7+$G$6</f>
        <v>-0.00916273497997445</v>
      </c>
    </row>
    <row r="2875" customFormat="false" ht="15" hidden="false" customHeight="false" outlineLevel="0" collapsed="false">
      <c r="L2875" s="31" t="n">
        <f aca="true">NORMSINV(RAND())*$G$7+$G$6</f>
        <v>0.0157213558289351</v>
      </c>
    </row>
    <row r="2876" customFormat="false" ht="15" hidden="false" customHeight="false" outlineLevel="0" collapsed="false">
      <c r="L2876" s="31" t="n">
        <f aca="true">NORMSINV(RAND())*$G$7+$G$6</f>
        <v>0.0080358506235319</v>
      </c>
    </row>
    <row r="2877" customFormat="false" ht="15" hidden="false" customHeight="false" outlineLevel="0" collapsed="false">
      <c r="L2877" s="31" t="n">
        <f aca="true">NORMSINV(RAND())*$G$7+$G$6</f>
        <v>-0.00599443135987328</v>
      </c>
    </row>
    <row r="2878" customFormat="false" ht="15" hidden="false" customHeight="false" outlineLevel="0" collapsed="false">
      <c r="L2878" s="31" t="n">
        <f aca="true">NORMSINV(RAND())*$G$7+$G$6</f>
        <v>-0.016702380362305</v>
      </c>
    </row>
    <row r="2879" customFormat="false" ht="15" hidden="false" customHeight="false" outlineLevel="0" collapsed="false">
      <c r="L2879" s="31" t="n">
        <f aca="true">NORMSINV(RAND())*$G$7+$G$6</f>
        <v>0.00648508056696216</v>
      </c>
    </row>
    <row r="2880" customFormat="false" ht="15" hidden="false" customHeight="false" outlineLevel="0" collapsed="false">
      <c r="L2880" s="31" t="n">
        <f aca="true">NORMSINV(RAND())*$G$7+$G$6</f>
        <v>0.011382109208911</v>
      </c>
    </row>
    <row r="2881" customFormat="false" ht="15" hidden="false" customHeight="false" outlineLevel="0" collapsed="false">
      <c r="L2881" s="31" t="n">
        <f aca="true">NORMSINV(RAND())*$G$7+$G$6</f>
        <v>0.00498345180623246</v>
      </c>
    </row>
    <row r="2882" customFormat="false" ht="15" hidden="false" customHeight="false" outlineLevel="0" collapsed="false">
      <c r="L2882" s="31" t="n">
        <f aca="true">NORMSINV(RAND())*$G$7+$G$6</f>
        <v>0.026021369374572</v>
      </c>
    </row>
    <row r="2883" customFormat="false" ht="15" hidden="false" customHeight="false" outlineLevel="0" collapsed="false">
      <c r="L2883" s="31" t="n">
        <f aca="true">NORMSINV(RAND())*$G$7+$G$6</f>
        <v>-0.00524416161341582</v>
      </c>
    </row>
    <row r="2884" customFormat="false" ht="15" hidden="false" customHeight="false" outlineLevel="0" collapsed="false">
      <c r="L2884" s="31" t="n">
        <f aca="true">NORMSINV(RAND())*$G$7+$G$6</f>
        <v>0.00882092930589284</v>
      </c>
    </row>
    <row r="2885" customFormat="false" ht="15" hidden="false" customHeight="false" outlineLevel="0" collapsed="false">
      <c r="L2885" s="31" t="n">
        <f aca="true">NORMSINV(RAND())*$G$7+$G$6</f>
        <v>0.0153679724761942</v>
      </c>
    </row>
    <row r="2886" customFormat="false" ht="15" hidden="false" customHeight="false" outlineLevel="0" collapsed="false">
      <c r="L2886" s="31" t="n">
        <f aca="true">NORMSINV(RAND())*$G$7+$G$6</f>
        <v>-0.00838973641037367</v>
      </c>
    </row>
    <row r="2887" customFormat="false" ht="15" hidden="false" customHeight="false" outlineLevel="0" collapsed="false">
      <c r="L2887" s="31" t="n">
        <f aca="true">NORMSINV(RAND())*$G$7+$G$6</f>
        <v>0.0216041064566842</v>
      </c>
    </row>
    <row r="2888" customFormat="false" ht="15" hidden="false" customHeight="false" outlineLevel="0" collapsed="false">
      <c r="L2888" s="31" t="n">
        <f aca="true">NORMSINV(RAND())*$G$7+$G$6</f>
        <v>-0.017057868567042</v>
      </c>
    </row>
    <row r="2889" customFormat="false" ht="15" hidden="false" customHeight="false" outlineLevel="0" collapsed="false">
      <c r="L2889" s="31" t="n">
        <f aca="true">NORMSINV(RAND())*$G$7+$G$6</f>
        <v>-0.00503268872026456</v>
      </c>
    </row>
    <row r="2890" customFormat="false" ht="15" hidden="false" customHeight="false" outlineLevel="0" collapsed="false">
      <c r="L2890" s="31" t="n">
        <f aca="true">NORMSINV(RAND())*$G$7+$G$6</f>
        <v>0.0159339382314383</v>
      </c>
    </row>
    <row r="2891" customFormat="false" ht="15" hidden="false" customHeight="false" outlineLevel="0" collapsed="false">
      <c r="L2891" s="31" t="n">
        <f aca="true">NORMSINV(RAND())*$G$7+$G$6</f>
        <v>-0.0108552762936673</v>
      </c>
    </row>
    <row r="2892" customFormat="false" ht="15" hidden="false" customHeight="false" outlineLevel="0" collapsed="false">
      <c r="L2892" s="31" t="n">
        <f aca="true">NORMSINV(RAND())*$G$7+$G$6</f>
        <v>0.0143413223354923</v>
      </c>
    </row>
    <row r="2893" customFormat="false" ht="15" hidden="false" customHeight="false" outlineLevel="0" collapsed="false">
      <c r="L2893" s="31" t="n">
        <f aca="true">NORMSINV(RAND())*$G$7+$G$6</f>
        <v>-0.0208440036953449</v>
      </c>
    </row>
    <row r="2894" customFormat="false" ht="15" hidden="false" customHeight="false" outlineLevel="0" collapsed="false">
      <c r="L2894" s="31" t="n">
        <f aca="true">NORMSINV(RAND())*$G$7+$G$6</f>
        <v>-0.0133725940194454</v>
      </c>
    </row>
    <row r="2895" customFormat="false" ht="15" hidden="false" customHeight="false" outlineLevel="0" collapsed="false">
      <c r="L2895" s="31" t="n">
        <f aca="true">NORMSINV(RAND())*$G$7+$G$6</f>
        <v>-0.00222249371152602</v>
      </c>
    </row>
    <row r="2896" customFormat="false" ht="15" hidden="false" customHeight="false" outlineLevel="0" collapsed="false">
      <c r="L2896" s="31" t="n">
        <f aca="true">NORMSINV(RAND())*$G$7+$G$6</f>
        <v>-0.00132713761699693</v>
      </c>
    </row>
    <row r="2897" customFormat="false" ht="15" hidden="false" customHeight="false" outlineLevel="0" collapsed="false">
      <c r="L2897" s="31" t="n">
        <f aca="true">NORMSINV(RAND())*$G$7+$G$6</f>
        <v>-0.00625367084743389</v>
      </c>
    </row>
    <row r="2898" customFormat="false" ht="15" hidden="false" customHeight="false" outlineLevel="0" collapsed="false">
      <c r="L2898" s="31" t="n">
        <f aca="true">NORMSINV(RAND())*$G$7+$G$6</f>
        <v>-0.000576449960073038</v>
      </c>
    </row>
    <row r="2899" customFormat="false" ht="15" hidden="false" customHeight="false" outlineLevel="0" collapsed="false">
      <c r="L2899" s="31" t="n">
        <f aca="true">NORMSINV(RAND())*$G$7+$G$6</f>
        <v>0.00741490145889248</v>
      </c>
    </row>
    <row r="2900" customFormat="false" ht="15" hidden="false" customHeight="false" outlineLevel="0" collapsed="false">
      <c r="L2900" s="31" t="n">
        <f aca="true">NORMSINV(RAND())*$G$7+$G$6</f>
        <v>-0.00185732647885975</v>
      </c>
    </row>
    <row r="2901" customFormat="false" ht="15" hidden="false" customHeight="false" outlineLevel="0" collapsed="false">
      <c r="L2901" s="31" t="n">
        <f aca="true">NORMSINV(RAND())*$G$7+$G$6</f>
        <v>-0.0138240717786693</v>
      </c>
    </row>
    <row r="2902" customFormat="false" ht="15" hidden="false" customHeight="false" outlineLevel="0" collapsed="false">
      <c r="L2902" s="31" t="n">
        <f aca="true">NORMSINV(RAND())*$G$7+$G$6</f>
        <v>-0.0186743874375847</v>
      </c>
    </row>
    <row r="2903" customFormat="false" ht="15" hidden="false" customHeight="false" outlineLevel="0" collapsed="false">
      <c r="L2903" s="31" t="n">
        <f aca="true">NORMSINV(RAND())*$G$7+$G$6</f>
        <v>0.00835337672046243</v>
      </c>
    </row>
    <row r="2904" customFormat="false" ht="15" hidden="false" customHeight="false" outlineLevel="0" collapsed="false">
      <c r="L2904" s="31" t="n">
        <f aca="true">NORMSINV(RAND())*$G$7+$G$6</f>
        <v>-0.011303872539072</v>
      </c>
    </row>
    <row r="2905" customFormat="false" ht="15" hidden="false" customHeight="false" outlineLevel="0" collapsed="false">
      <c r="L2905" s="31" t="n">
        <f aca="true">NORMSINV(RAND())*$G$7+$G$6</f>
        <v>0.0173904474884974</v>
      </c>
    </row>
    <row r="2906" customFormat="false" ht="15" hidden="false" customHeight="false" outlineLevel="0" collapsed="false">
      <c r="L2906" s="31" t="n">
        <f aca="true">NORMSINV(RAND())*$G$7+$G$6</f>
        <v>0.0109319910535516</v>
      </c>
    </row>
    <row r="2907" customFormat="false" ht="15" hidden="false" customHeight="false" outlineLevel="0" collapsed="false">
      <c r="L2907" s="31" t="n">
        <f aca="true">NORMSINV(RAND())*$G$7+$G$6</f>
        <v>0.00615219101259241</v>
      </c>
    </row>
    <row r="2908" customFormat="false" ht="15" hidden="false" customHeight="false" outlineLevel="0" collapsed="false">
      <c r="L2908" s="31" t="n">
        <f aca="true">NORMSINV(RAND())*$G$7+$G$6</f>
        <v>0.00491273810209253</v>
      </c>
    </row>
    <row r="2909" customFormat="false" ht="15" hidden="false" customHeight="false" outlineLevel="0" collapsed="false">
      <c r="L2909" s="31" t="n">
        <f aca="true">NORMSINV(RAND())*$G$7+$G$6</f>
        <v>0.000740327240144275</v>
      </c>
    </row>
    <row r="2910" customFormat="false" ht="15" hidden="false" customHeight="false" outlineLevel="0" collapsed="false">
      <c r="L2910" s="31" t="n">
        <f aca="true">NORMSINV(RAND())*$G$7+$G$6</f>
        <v>-0.0257894333132164</v>
      </c>
    </row>
    <row r="2911" customFormat="false" ht="15" hidden="false" customHeight="false" outlineLevel="0" collapsed="false">
      <c r="L2911" s="31" t="n">
        <f aca="true">NORMSINV(RAND())*$G$7+$G$6</f>
        <v>0.000584082346819939</v>
      </c>
    </row>
    <row r="2912" customFormat="false" ht="15" hidden="false" customHeight="false" outlineLevel="0" collapsed="false">
      <c r="L2912" s="31" t="n">
        <f aca="true">NORMSINV(RAND())*$G$7+$G$6</f>
        <v>-0.0131052976903928</v>
      </c>
    </row>
    <row r="2913" customFormat="false" ht="15" hidden="false" customHeight="false" outlineLevel="0" collapsed="false">
      <c r="L2913" s="31" t="n">
        <f aca="true">NORMSINV(RAND())*$G$7+$G$6</f>
        <v>-0.0102911607913945</v>
      </c>
    </row>
    <row r="2914" customFormat="false" ht="15" hidden="false" customHeight="false" outlineLevel="0" collapsed="false">
      <c r="L2914" s="31" t="n">
        <f aca="true">NORMSINV(RAND())*$G$7+$G$6</f>
        <v>0.0141370609240224</v>
      </c>
    </row>
    <row r="2915" customFormat="false" ht="15" hidden="false" customHeight="false" outlineLevel="0" collapsed="false">
      <c r="L2915" s="31" t="n">
        <f aca="true">NORMSINV(RAND())*$G$7+$G$6</f>
        <v>-0.00626941843119889</v>
      </c>
    </row>
    <row r="2916" customFormat="false" ht="15" hidden="false" customHeight="false" outlineLevel="0" collapsed="false">
      <c r="L2916" s="31" t="n">
        <f aca="true">NORMSINV(RAND())*$G$7+$G$6</f>
        <v>0.0079674208286238</v>
      </c>
    </row>
    <row r="2917" customFormat="false" ht="15" hidden="false" customHeight="false" outlineLevel="0" collapsed="false">
      <c r="L2917" s="31" t="n">
        <f aca="true">NORMSINV(RAND())*$G$7+$G$6</f>
        <v>-0.0115236874676406</v>
      </c>
    </row>
    <row r="2918" customFormat="false" ht="15" hidden="false" customHeight="false" outlineLevel="0" collapsed="false">
      <c r="L2918" s="31" t="n">
        <f aca="true">NORMSINV(RAND())*$G$7+$G$6</f>
        <v>0.0239467631785817</v>
      </c>
    </row>
    <row r="2919" customFormat="false" ht="15" hidden="false" customHeight="false" outlineLevel="0" collapsed="false">
      <c r="L2919" s="31" t="n">
        <f aca="true">NORMSINV(RAND())*$G$7+$G$6</f>
        <v>0.00868416450291935</v>
      </c>
    </row>
    <row r="2920" customFormat="false" ht="15" hidden="false" customHeight="false" outlineLevel="0" collapsed="false">
      <c r="L2920" s="31" t="n">
        <f aca="true">NORMSINV(RAND())*$G$7+$G$6</f>
        <v>0.00816152992888107</v>
      </c>
    </row>
    <row r="2921" customFormat="false" ht="15" hidden="false" customHeight="false" outlineLevel="0" collapsed="false">
      <c r="L2921" s="31" t="n">
        <f aca="true">NORMSINV(RAND())*$G$7+$G$6</f>
        <v>0.00841239998353913</v>
      </c>
    </row>
    <row r="2922" customFormat="false" ht="15" hidden="false" customHeight="false" outlineLevel="0" collapsed="false">
      <c r="L2922" s="31" t="n">
        <f aca="true">NORMSINV(RAND())*$G$7+$G$6</f>
        <v>-0.00697902672123968</v>
      </c>
    </row>
    <row r="2923" customFormat="false" ht="15" hidden="false" customHeight="false" outlineLevel="0" collapsed="false">
      <c r="L2923" s="31" t="n">
        <f aca="true">NORMSINV(RAND())*$G$7+$G$6</f>
        <v>-0.019765611749033</v>
      </c>
    </row>
    <row r="2924" customFormat="false" ht="15" hidden="false" customHeight="false" outlineLevel="0" collapsed="false">
      <c r="L2924" s="31" t="n">
        <f aca="true">NORMSINV(RAND())*$G$7+$G$6</f>
        <v>0.0120331245669021</v>
      </c>
    </row>
    <row r="2925" customFormat="false" ht="15" hidden="false" customHeight="false" outlineLevel="0" collapsed="false">
      <c r="L2925" s="31" t="n">
        <f aca="true">NORMSINV(RAND())*$G$7+$G$6</f>
        <v>-0.00880058908269397</v>
      </c>
    </row>
    <row r="2926" customFormat="false" ht="15" hidden="false" customHeight="false" outlineLevel="0" collapsed="false">
      <c r="L2926" s="31" t="n">
        <f aca="true">NORMSINV(RAND())*$G$7+$G$6</f>
        <v>-0.00672337692963487</v>
      </c>
    </row>
    <row r="2927" customFormat="false" ht="15" hidden="false" customHeight="false" outlineLevel="0" collapsed="false">
      <c r="L2927" s="31" t="n">
        <f aca="true">NORMSINV(RAND())*$G$7+$G$6</f>
        <v>0.024559814952052</v>
      </c>
    </row>
    <row r="2928" customFormat="false" ht="15" hidden="false" customHeight="false" outlineLevel="0" collapsed="false">
      <c r="L2928" s="31" t="n">
        <f aca="true">NORMSINV(RAND())*$G$7+$G$6</f>
        <v>-0.0176991019977188</v>
      </c>
    </row>
    <row r="2929" customFormat="false" ht="15" hidden="false" customHeight="false" outlineLevel="0" collapsed="false">
      <c r="L2929" s="31" t="n">
        <f aca="true">NORMSINV(RAND())*$G$7+$G$6</f>
        <v>0.0100316096419465</v>
      </c>
    </row>
    <row r="2930" customFormat="false" ht="15" hidden="false" customHeight="false" outlineLevel="0" collapsed="false">
      <c r="L2930" s="31" t="n">
        <f aca="true">NORMSINV(RAND())*$G$7+$G$6</f>
        <v>-0.00802919668161984</v>
      </c>
    </row>
    <row r="2931" customFormat="false" ht="15" hidden="false" customHeight="false" outlineLevel="0" collapsed="false">
      <c r="L2931" s="31" t="n">
        <f aca="true">NORMSINV(RAND())*$G$7+$G$6</f>
        <v>0.00966773081890845</v>
      </c>
    </row>
    <row r="2932" customFormat="false" ht="15" hidden="false" customHeight="false" outlineLevel="0" collapsed="false">
      <c r="L2932" s="31" t="n">
        <f aca="true">NORMSINV(RAND())*$G$7+$G$6</f>
        <v>-0.00891117220146625</v>
      </c>
    </row>
    <row r="2933" customFormat="false" ht="15" hidden="false" customHeight="false" outlineLevel="0" collapsed="false">
      <c r="L2933" s="31" t="n">
        <f aca="true">NORMSINV(RAND())*$G$7+$G$6</f>
        <v>0.00759272621231573</v>
      </c>
    </row>
    <row r="2934" customFormat="false" ht="15" hidden="false" customHeight="false" outlineLevel="0" collapsed="false">
      <c r="L2934" s="31" t="n">
        <f aca="true">NORMSINV(RAND())*$G$7+$G$6</f>
        <v>0.0135217209029709</v>
      </c>
    </row>
    <row r="2935" customFormat="false" ht="15" hidden="false" customHeight="false" outlineLevel="0" collapsed="false">
      <c r="L2935" s="31" t="n">
        <f aca="true">NORMSINV(RAND())*$G$7+$G$6</f>
        <v>0.00887906395749861</v>
      </c>
    </row>
    <row r="2936" customFormat="false" ht="15" hidden="false" customHeight="false" outlineLevel="0" collapsed="false">
      <c r="L2936" s="31" t="n">
        <f aca="true">NORMSINV(RAND())*$G$7+$G$6</f>
        <v>0.0216572402955066</v>
      </c>
    </row>
    <row r="2937" customFormat="false" ht="15" hidden="false" customHeight="false" outlineLevel="0" collapsed="false">
      <c r="L2937" s="31" t="n">
        <f aca="true">NORMSINV(RAND())*$G$7+$G$6</f>
        <v>0.00226266285752709</v>
      </c>
    </row>
    <row r="2938" customFormat="false" ht="15" hidden="false" customHeight="false" outlineLevel="0" collapsed="false">
      <c r="L2938" s="31" t="n">
        <f aca="true">NORMSINV(RAND())*$G$7+$G$6</f>
        <v>0.0128266680796503</v>
      </c>
    </row>
    <row r="2939" customFormat="false" ht="15" hidden="false" customHeight="false" outlineLevel="0" collapsed="false">
      <c r="L2939" s="31" t="n">
        <f aca="true">NORMSINV(RAND())*$G$7+$G$6</f>
        <v>0.00682872470481642</v>
      </c>
    </row>
    <row r="2940" customFormat="false" ht="15" hidden="false" customHeight="false" outlineLevel="0" collapsed="false">
      <c r="L2940" s="31" t="n">
        <f aca="true">NORMSINV(RAND())*$G$7+$G$6</f>
        <v>-0.0136895552510415</v>
      </c>
    </row>
    <row r="2941" customFormat="false" ht="15" hidden="false" customHeight="false" outlineLevel="0" collapsed="false">
      <c r="L2941" s="31" t="n">
        <f aca="true">NORMSINV(RAND())*$G$7+$G$6</f>
        <v>0.0226112699539529</v>
      </c>
    </row>
    <row r="2942" customFormat="false" ht="15" hidden="false" customHeight="false" outlineLevel="0" collapsed="false">
      <c r="L2942" s="31" t="n">
        <f aca="true">NORMSINV(RAND())*$G$7+$G$6</f>
        <v>-0.0144971826335415</v>
      </c>
    </row>
    <row r="2943" customFormat="false" ht="15" hidden="false" customHeight="false" outlineLevel="0" collapsed="false">
      <c r="L2943" s="31" t="n">
        <f aca="true">NORMSINV(RAND())*$G$7+$G$6</f>
        <v>-0.00858757208204738</v>
      </c>
    </row>
    <row r="2944" customFormat="false" ht="15" hidden="false" customHeight="false" outlineLevel="0" collapsed="false">
      <c r="L2944" s="31" t="n">
        <f aca="true">NORMSINV(RAND())*$G$7+$G$6</f>
        <v>-0.0148733490900559</v>
      </c>
    </row>
    <row r="2945" customFormat="false" ht="15" hidden="false" customHeight="false" outlineLevel="0" collapsed="false">
      <c r="L2945" s="31" t="n">
        <f aca="true">NORMSINV(RAND())*$G$7+$G$6</f>
        <v>-0.0240749287531395</v>
      </c>
    </row>
    <row r="2946" customFormat="false" ht="15" hidden="false" customHeight="false" outlineLevel="0" collapsed="false">
      <c r="L2946" s="31" t="n">
        <f aca="true">NORMSINV(RAND())*$G$7+$G$6</f>
        <v>0.010341588833119</v>
      </c>
    </row>
    <row r="2947" customFormat="false" ht="15" hidden="false" customHeight="false" outlineLevel="0" collapsed="false">
      <c r="L2947" s="31" t="n">
        <f aca="true">NORMSINV(RAND())*$G$7+$G$6</f>
        <v>-0.0013757655778106</v>
      </c>
    </row>
    <row r="2948" customFormat="false" ht="15" hidden="false" customHeight="false" outlineLevel="0" collapsed="false">
      <c r="L2948" s="31" t="n">
        <f aca="true">NORMSINV(RAND())*$G$7+$G$6</f>
        <v>-0.00665700156685907</v>
      </c>
    </row>
    <row r="2949" customFormat="false" ht="15" hidden="false" customHeight="false" outlineLevel="0" collapsed="false">
      <c r="L2949" s="31" t="n">
        <f aca="true">NORMSINV(RAND())*$G$7+$G$6</f>
        <v>0.016787432646917</v>
      </c>
    </row>
    <row r="2950" customFormat="false" ht="15" hidden="false" customHeight="false" outlineLevel="0" collapsed="false">
      <c r="L2950" s="31" t="n">
        <f aca="true">NORMSINV(RAND())*$G$7+$G$6</f>
        <v>-0.0149360646513688</v>
      </c>
    </row>
    <row r="2951" customFormat="false" ht="15" hidden="false" customHeight="false" outlineLevel="0" collapsed="false">
      <c r="L2951" s="31" t="n">
        <f aca="true">NORMSINV(RAND())*$G$7+$G$6</f>
        <v>0.0103975264151601</v>
      </c>
    </row>
    <row r="2952" customFormat="false" ht="15" hidden="false" customHeight="false" outlineLevel="0" collapsed="false">
      <c r="L2952" s="31" t="n">
        <f aca="true">NORMSINV(RAND())*$G$7+$G$6</f>
        <v>0.0147365289213697</v>
      </c>
    </row>
    <row r="2953" customFormat="false" ht="15" hidden="false" customHeight="false" outlineLevel="0" collapsed="false">
      <c r="L2953" s="31" t="n">
        <f aca="true">NORMSINV(RAND())*$G$7+$G$6</f>
        <v>0.0161959448539692</v>
      </c>
    </row>
    <row r="2954" customFormat="false" ht="15" hidden="false" customHeight="false" outlineLevel="0" collapsed="false">
      <c r="L2954" s="31" t="n">
        <f aca="true">NORMSINV(RAND())*$G$7+$G$6</f>
        <v>-0.014239039098172</v>
      </c>
    </row>
    <row r="2955" customFormat="false" ht="15" hidden="false" customHeight="false" outlineLevel="0" collapsed="false">
      <c r="L2955" s="31" t="n">
        <f aca="true">NORMSINV(RAND())*$G$7+$G$6</f>
        <v>0.012339207514391</v>
      </c>
    </row>
    <row r="2956" customFormat="false" ht="15" hidden="false" customHeight="false" outlineLevel="0" collapsed="false">
      <c r="L2956" s="31" t="n">
        <f aca="true">NORMSINV(RAND())*$G$7+$G$6</f>
        <v>0.010119560947134</v>
      </c>
    </row>
    <row r="2957" customFormat="false" ht="15" hidden="false" customHeight="false" outlineLevel="0" collapsed="false">
      <c r="L2957" s="31" t="n">
        <f aca="true">NORMSINV(RAND())*$G$7+$G$6</f>
        <v>0.0122996011451593</v>
      </c>
    </row>
    <row r="2958" customFormat="false" ht="15" hidden="false" customHeight="false" outlineLevel="0" collapsed="false">
      <c r="L2958" s="31" t="n">
        <f aca="true">NORMSINV(RAND())*$G$7+$G$6</f>
        <v>-0.0048108166581289</v>
      </c>
    </row>
    <row r="2959" customFormat="false" ht="15" hidden="false" customHeight="false" outlineLevel="0" collapsed="false">
      <c r="L2959" s="31" t="n">
        <f aca="true">NORMSINV(RAND())*$G$7+$G$6</f>
        <v>-0.00108065605191851</v>
      </c>
    </row>
    <row r="2960" customFormat="false" ht="15" hidden="false" customHeight="false" outlineLevel="0" collapsed="false">
      <c r="L2960" s="31" t="n">
        <f aca="true">NORMSINV(RAND())*$G$7+$G$6</f>
        <v>0.0087818461341402</v>
      </c>
    </row>
    <row r="2961" customFormat="false" ht="15" hidden="false" customHeight="false" outlineLevel="0" collapsed="false">
      <c r="L2961" s="31" t="n">
        <f aca="true">NORMSINV(RAND())*$G$7+$G$6</f>
        <v>-0.0294860589453474</v>
      </c>
    </row>
    <row r="2962" customFormat="false" ht="15" hidden="false" customHeight="false" outlineLevel="0" collapsed="false">
      <c r="L2962" s="31" t="n">
        <f aca="true">NORMSINV(RAND())*$G$7+$G$6</f>
        <v>0.00934834473528752</v>
      </c>
    </row>
    <row r="2963" customFormat="false" ht="15" hidden="false" customHeight="false" outlineLevel="0" collapsed="false">
      <c r="L2963" s="31" t="n">
        <f aca="true">NORMSINV(RAND())*$G$7+$G$6</f>
        <v>0.0234024407597611</v>
      </c>
    </row>
    <row r="2964" customFormat="false" ht="15" hidden="false" customHeight="false" outlineLevel="0" collapsed="false">
      <c r="L2964" s="31" t="n">
        <f aca="true">NORMSINV(RAND())*$G$7+$G$6</f>
        <v>-0.00247603127965607</v>
      </c>
    </row>
    <row r="2965" customFormat="false" ht="15" hidden="false" customHeight="false" outlineLevel="0" collapsed="false">
      <c r="L2965" s="31" t="n">
        <f aca="true">NORMSINV(RAND())*$G$7+$G$6</f>
        <v>0.00141506823305459</v>
      </c>
    </row>
    <row r="2966" customFormat="false" ht="15" hidden="false" customHeight="false" outlineLevel="0" collapsed="false">
      <c r="L2966" s="31" t="n">
        <f aca="true">NORMSINV(RAND())*$G$7+$G$6</f>
        <v>0.00263560501329731</v>
      </c>
    </row>
    <row r="2967" customFormat="false" ht="15" hidden="false" customHeight="false" outlineLevel="0" collapsed="false">
      <c r="L2967" s="31" t="n">
        <f aca="true">NORMSINV(RAND())*$G$7+$G$6</f>
        <v>-0.00432531059338408</v>
      </c>
    </row>
    <row r="2968" customFormat="false" ht="15" hidden="false" customHeight="false" outlineLevel="0" collapsed="false">
      <c r="L2968" s="31" t="n">
        <f aca="true">NORMSINV(RAND())*$G$7+$G$6</f>
        <v>-0.00769738786701364</v>
      </c>
    </row>
    <row r="2969" customFormat="false" ht="15" hidden="false" customHeight="false" outlineLevel="0" collapsed="false">
      <c r="L2969" s="31" t="n">
        <f aca="true">NORMSINV(RAND())*$G$7+$G$6</f>
        <v>0.00809297739040488</v>
      </c>
    </row>
    <row r="2970" customFormat="false" ht="15" hidden="false" customHeight="false" outlineLevel="0" collapsed="false">
      <c r="L2970" s="31" t="n">
        <f aca="true">NORMSINV(RAND())*$G$7+$G$6</f>
        <v>0.0179464958418732</v>
      </c>
    </row>
    <row r="2971" customFormat="false" ht="15" hidden="false" customHeight="false" outlineLevel="0" collapsed="false">
      <c r="L2971" s="31" t="n">
        <f aca="true">NORMSINV(RAND())*$G$7+$G$6</f>
        <v>-0.00229072286687163</v>
      </c>
    </row>
    <row r="2972" customFormat="false" ht="15" hidden="false" customHeight="false" outlineLevel="0" collapsed="false">
      <c r="L2972" s="31" t="n">
        <f aca="true">NORMSINV(RAND())*$G$7+$G$6</f>
        <v>0.00804629851404283</v>
      </c>
    </row>
    <row r="2973" customFormat="false" ht="15" hidden="false" customHeight="false" outlineLevel="0" collapsed="false">
      <c r="L2973" s="31" t="n">
        <f aca="true">NORMSINV(RAND())*$G$7+$G$6</f>
        <v>0.00234791872787043</v>
      </c>
    </row>
    <row r="2974" customFormat="false" ht="15" hidden="false" customHeight="false" outlineLevel="0" collapsed="false">
      <c r="L2974" s="31" t="n">
        <f aca="true">NORMSINV(RAND())*$G$7+$G$6</f>
        <v>-0.0022070562587457</v>
      </c>
    </row>
    <row r="2975" customFormat="false" ht="15" hidden="false" customHeight="false" outlineLevel="0" collapsed="false">
      <c r="L2975" s="31" t="n">
        <f aca="true">NORMSINV(RAND())*$G$7+$G$6</f>
        <v>5.86771530052708E-005</v>
      </c>
    </row>
    <row r="2976" customFormat="false" ht="15" hidden="false" customHeight="false" outlineLevel="0" collapsed="false">
      <c r="L2976" s="31" t="n">
        <f aca="true">NORMSINV(RAND())*$G$7+$G$6</f>
        <v>0.00948466182322096</v>
      </c>
    </row>
    <row r="2977" customFormat="false" ht="15" hidden="false" customHeight="false" outlineLevel="0" collapsed="false">
      <c r="L2977" s="31" t="n">
        <f aca="true">NORMSINV(RAND())*$G$7+$G$6</f>
        <v>0.00866242814026973</v>
      </c>
    </row>
    <row r="2978" customFormat="false" ht="15" hidden="false" customHeight="false" outlineLevel="0" collapsed="false">
      <c r="L2978" s="31" t="n">
        <f aca="true">NORMSINV(RAND())*$G$7+$G$6</f>
        <v>0.00833656438098467</v>
      </c>
    </row>
    <row r="2979" customFormat="false" ht="15" hidden="false" customHeight="false" outlineLevel="0" collapsed="false">
      <c r="L2979" s="31" t="n">
        <f aca="true">NORMSINV(RAND())*$G$7+$G$6</f>
        <v>-0.0117447966949018</v>
      </c>
    </row>
    <row r="2980" customFormat="false" ht="15" hidden="false" customHeight="false" outlineLevel="0" collapsed="false">
      <c r="L2980" s="31" t="n">
        <f aca="true">NORMSINV(RAND())*$G$7+$G$6</f>
        <v>0.0147545006018384</v>
      </c>
    </row>
    <row r="2981" customFormat="false" ht="15" hidden="false" customHeight="false" outlineLevel="0" collapsed="false">
      <c r="L2981" s="31" t="n">
        <f aca="true">NORMSINV(RAND())*$G$7+$G$6</f>
        <v>0.0103461256175126</v>
      </c>
    </row>
    <row r="2982" customFormat="false" ht="15" hidden="false" customHeight="false" outlineLevel="0" collapsed="false">
      <c r="L2982" s="31" t="n">
        <f aca="true">NORMSINV(RAND())*$G$7+$G$6</f>
        <v>-3.29215869053313E-005</v>
      </c>
    </row>
    <row r="2983" customFormat="false" ht="15" hidden="false" customHeight="false" outlineLevel="0" collapsed="false">
      <c r="L2983" s="31" t="n">
        <f aca="true">NORMSINV(RAND())*$G$7+$G$6</f>
        <v>-0.00299686240851789</v>
      </c>
    </row>
    <row r="2984" customFormat="false" ht="15" hidden="false" customHeight="false" outlineLevel="0" collapsed="false">
      <c r="L2984" s="31" t="n">
        <f aca="true">NORMSINV(RAND())*$G$7+$G$6</f>
        <v>-0.00393669083009114</v>
      </c>
    </row>
    <row r="2985" customFormat="false" ht="15" hidden="false" customHeight="false" outlineLevel="0" collapsed="false">
      <c r="L2985" s="31" t="n">
        <f aca="true">NORMSINV(RAND())*$G$7+$G$6</f>
        <v>0.0209643191969901</v>
      </c>
    </row>
    <row r="2986" customFormat="false" ht="15" hidden="false" customHeight="false" outlineLevel="0" collapsed="false">
      <c r="L2986" s="31" t="n">
        <f aca="true">NORMSINV(RAND())*$G$7+$G$6</f>
        <v>-0.0131167778420982</v>
      </c>
    </row>
    <row r="2987" customFormat="false" ht="15" hidden="false" customHeight="false" outlineLevel="0" collapsed="false">
      <c r="L2987" s="31" t="n">
        <f aca="true">NORMSINV(RAND())*$G$7+$G$6</f>
        <v>0.00780861247672231</v>
      </c>
    </row>
    <row r="2988" customFormat="false" ht="15" hidden="false" customHeight="false" outlineLevel="0" collapsed="false">
      <c r="L2988" s="31" t="n">
        <f aca="true">NORMSINV(RAND())*$G$7+$G$6</f>
        <v>0.0146952970192439</v>
      </c>
    </row>
    <row r="2989" customFormat="false" ht="15" hidden="false" customHeight="false" outlineLevel="0" collapsed="false">
      <c r="L2989" s="31" t="n">
        <f aca="true">NORMSINV(RAND())*$G$7+$G$6</f>
        <v>-0.00595964358872263</v>
      </c>
    </row>
    <row r="2990" customFormat="false" ht="15" hidden="false" customHeight="false" outlineLevel="0" collapsed="false">
      <c r="L2990" s="31" t="n">
        <f aca="true">NORMSINV(RAND())*$G$7+$G$6</f>
        <v>0.00923125952818143</v>
      </c>
    </row>
    <row r="2991" customFormat="false" ht="15" hidden="false" customHeight="false" outlineLevel="0" collapsed="false">
      <c r="L2991" s="31" t="n">
        <f aca="true">NORMSINV(RAND())*$G$7+$G$6</f>
        <v>0.0124617734031673</v>
      </c>
    </row>
    <row r="2992" customFormat="false" ht="15" hidden="false" customHeight="false" outlineLevel="0" collapsed="false">
      <c r="L2992" s="31" t="n">
        <f aca="true">NORMSINV(RAND())*$G$7+$G$6</f>
        <v>0.00744327481336344</v>
      </c>
    </row>
    <row r="2993" customFormat="false" ht="15" hidden="false" customHeight="false" outlineLevel="0" collapsed="false">
      <c r="L2993" s="31" t="n">
        <f aca="true">NORMSINV(RAND())*$G$7+$G$6</f>
        <v>0.00372734644400084</v>
      </c>
    </row>
    <row r="2994" customFormat="false" ht="15" hidden="false" customHeight="false" outlineLevel="0" collapsed="false">
      <c r="L2994" s="31" t="n">
        <f aca="true">NORMSINV(RAND())*$G$7+$G$6</f>
        <v>-0.0127062365771988</v>
      </c>
    </row>
    <row r="2995" customFormat="false" ht="15" hidden="false" customHeight="false" outlineLevel="0" collapsed="false">
      <c r="L2995" s="31" t="n">
        <f aca="true">NORMSINV(RAND())*$G$7+$G$6</f>
        <v>-0.0125172615012026</v>
      </c>
    </row>
    <row r="2996" customFormat="false" ht="15" hidden="false" customHeight="false" outlineLevel="0" collapsed="false">
      <c r="L2996" s="31" t="n">
        <f aca="true">NORMSINV(RAND())*$G$7+$G$6</f>
        <v>-0.00135715772561223</v>
      </c>
    </row>
    <row r="2997" customFormat="false" ht="15" hidden="false" customHeight="false" outlineLevel="0" collapsed="false">
      <c r="L2997" s="31" t="n">
        <f aca="true">NORMSINV(RAND())*$G$7+$G$6</f>
        <v>-0.0192052171718153</v>
      </c>
    </row>
    <row r="2998" customFormat="false" ht="15" hidden="false" customHeight="false" outlineLevel="0" collapsed="false">
      <c r="L2998" s="31" t="n">
        <f aca="true">NORMSINV(RAND())*$G$7+$G$6</f>
        <v>-0.0264475410060443</v>
      </c>
    </row>
    <row r="2999" customFormat="false" ht="15" hidden="false" customHeight="false" outlineLevel="0" collapsed="false">
      <c r="L2999" s="31" t="n">
        <f aca="true">NORMSINV(RAND())*$G$7+$G$6</f>
        <v>0.00506620431762391</v>
      </c>
    </row>
    <row r="3000" customFormat="false" ht="15" hidden="false" customHeight="false" outlineLevel="0" collapsed="false">
      <c r="L3000" s="31" t="n">
        <f aca="true">NORMSINV(RAND())*$G$7+$G$6</f>
        <v>-0.00383588833399019</v>
      </c>
    </row>
    <row r="3001" customFormat="false" ht="15" hidden="false" customHeight="false" outlineLevel="0" collapsed="false">
      <c r="L3001" s="31" t="n">
        <f aca="true">NORMSINV(RAND())*$G$7+$G$6</f>
        <v>0.000571455424484886</v>
      </c>
    </row>
    <row r="3002" customFormat="false" ht="15" hidden="false" customHeight="false" outlineLevel="0" collapsed="false">
      <c r="L3002" s="31" t="n">
        <f aca="true">NORMSINV(RAND())*$G$7+$G$6</f>
        <v>-0.00223393261700489</v>
      </c>
    </row>
    <row r="3003" customFormat="false" ht="15" hidden="false" customHeight="false" outlineLevel="0" collapsed="false">
      <c r="L3003" s="31" t="n">
        <f aca="true">NORMSINV(RAND())*$G$7+$G$6</f>
        <v>0.00146824008183291</v>
      </c>
    </row>
    <row r="3004" customFormat="false" ht="15" hidden="false" customHeight="false" outlineLevel="0" collapsed="false">
      <c r="L3004" s="31" t="n">
        <f aca="true">NORMSINV(RAND())*$G$7+$G$6</f>
        <v>0.00697335683369011</v>
      </c>
    </row>
    <row r="3005" customFormat="false" ht="15" hidden="false" customHeight="false" outlineLevel="0" collapsed="false">
      <c r="L3005" s="31" t="n">
        <f aca="true">NORMSINV(RAND())*$G$7+$G$6</f>
        <v>0.0150127919675267</v>
      </c>
    </row>
    <row r="3006" customFormat="false" ht="15" hidden="false" customHeight="false" outlineLevel="0" collapsed="false">
      <c r="L3006" s="31" t="n">
        <f aca="true">NORMSINV(RAND())*$G$7+$G$6</f>
        <v>0.00885421560279696</v>
      </c>
    </row>
    <row r="3007" customFormat="false" ht="15" hidden="false" customHeight="false" outlineLevel="0" collapsed="false">
      <c r="L3007" s="31" t="n">
        <f aca="true">NORMSINV(RAND())*$G$7+$G$6</f>
        <v>-0.00488861732180983</v>
      </c>
    </row>
    <row r="3008" customFormat="false" ht="15" hidden="false" customHeight="false" outlineLevel="0" collapsed="false">
      <c r="L3008" s="31" t="n">
        <f aca="true">NORMSINV(RAND())*$G$7+$G$6</f>
        <v>-0.0148973013955853</v>
      </c>
    </row>
    <row r="3009" customFormat="false" ht="15" hidden="false" customHeight="false" outlineLevel="0" collapsed="false">
      <c r="L3009" s="31" t="n">
        <f aca="true">NORMSINV(RAND())*$G$7+$G$6</f>
        <v>0.00500907665742916</v>
      </c>
    </row>
    <row r="3010" customFormat="false" ht="15" hidden="false" customHeight="false" outlineLevel="0" collapsed="false">
      <c r="L3010" s="31" t="n">
        <f aca="true">NORMSINV(RAND())*$G$7+$G$6</f>
        <v>0.0149273807014084</v>
      </c>
    </row>
    <row r="3011" customFormat="false" ht="15" hidden="false" customHeight="false" outlineLevel="0" collapsed="false">
      <c r="L3011" s="31" t="n">
        <f aca="true">NORMSINV(RAND())*$G$7+$G$6</f>
        <v>0.0114850599871239</v>
      </c>
    </row>
    <row r="3012" customFormat="false" ht="15" hidden="false" customHeight="false" outlineLevel="0" collapsed="false">
      <c r="L3012" s="31" t="n">
        <f aca="true">NORMSINV(RAND())*$G$7+$G$6</f>
        <v>-0.00982089421652765</v>
      </c>
    </row>
    <row r="3013" customFormat="false" ht="15" hidden="false" customHeight="false" outlineLevel="0" collapsed="false">
      <c r="L3013" s="31" t="n">
        <f aca="true">NORMSINV(RAND())*$G$7+$G$6</f>
        <v>0.0219894752933388</v>
      </c>
    </row>
    <row r="3014" customFormat="false" ht="15" hidden="false" customHeight="false" outlineLevel="0" collapsed="false">
      <c r="L3014" s="31" t="n">
        <f aca="true">NORMSINV(RAND())*$G$7+$G$6</f>
        <v>-0.0257490688140457</v>
      </c>
    </row>
    <row r="3015" customFormat="false" ht="15" hidden="false" customHeight="false" outlineLevel="0" collapsed="false">
      <c r="L3015" s="31" t="n">
        <f aca="true">NORMSINV(RAND())*$G$7+$G$6</f>
        <v>0.0196188346428144</v>
      </c>
    </row>
    <row r="3016" customFormat="false" ht="15" hidden="false" customHeight="false" outlineLevel="0" collapsed="false">
      <c r="L3016" s="31" t="n">
        <f aca="true">NORMSINV(RAND())*$G$7+$G$6</f>
        <v>-0.0117378776200871</v>
      </c>
    </row>
    <row r="3017" customFormat="false" ht="15" hidden="false" customHeight="false" outlineLevel="0" collapsed="false">
      <c r="L3017" s="31" t="n">
        <f aca="true">NORMSINV(RAND())*$G$7+$G$6</f>
        <v>-0.0121159249169294</v>
      </c>
    </row>
    <row r="3018" customFormat="false" ht="15" hidden="false" customHeight="false" outlineLevel="0" collapsed="false">
      <c r="L3018" s="31" t="n">
        <f aca="true">NORMSINV(RAND())*$G$7+$G$6</f>
        <v>-0.016184597312285</v>
      </c>
    </row>
    <row r="3019" customFormat="false" ht="15" hidden="false" customHeight="false" outlineLevel="0" collapsed="false">
      <c r="L3019" s="31" t="n">
        <f aca="true">NORMSINV(RAND())*$G$7+$G$6</f>
        <v>-0.00595478582020931</v>
      </c>
    </row>
    <row r="3020" customFormat="false" ht="15" hidden="false" customHeight="false" outlineLevel="0" collapsed="false">
      <c r="L3020" s="31" t="n">
        <f aca="true">NORMSINV(RAND())*$G$7+$G$6</f>
        <v>0.00696268914767202</v>
      </c>
    </row>
    <row r="3021" customFormat="false" ht="15" hidden="false" customHeight="false" outlineLevel="0" collapsed="false">
      <c r="L3021" s="31" t="n">
        <f aca="true">NORMSINV(RAND())*$G$7+$G$6</f>
        <v>-0.00652757174795204</v>
      </c>
    </row>
    <row r="3022" customFormat="false" ht="15" hidden="false" customHeight="false" outlineLevel="0" collapsed="false">
      <c r="L3022" s="31" t="n">
        <f aca="true">NORMSINV(RAND())*$G$7+$G$6</f>
        <v>0.00618095136957233</v>
      </c>
    </row>
    <row r="3023" customFormat="false" ht="15" hidden="false" customHeight="false" outlineLevel="0" collapsed="false">
      <c r="L3023" s="31" t="n">
        <f aca="true">NORMSINV(RAND())*$G$7+$G$6</f>
        <v>0.00674092137132335</v>
      </c>
    </row>
    <row r="3024" customFormat="false" ht="15" hidden="false" customHeight="false" outlineLevel="0" collapsed="false">
      <c r="L3024" s="31" t="n">
        <f aca="true">NORMSINV(RAND())*$G$7+$G$6</f>
        <v>-0.00334492778642399</v>
      </c>
    </row>
    <row r="3025" customFormat="false" ht="15" hidden="false" customHeight="false" outlineLevel="0" collapsed="false">
      <c r="L3025" s="31" t="n">
        <f aca="true">NORMSINV(RAND())*$G$7+$G$6</f>
        <v>0.0248238592415378</v>
      </c>
    </row>
    <row r="3026" customFormat="false" ht="15" hidden="false" customHeight="false" outlineLevel="0" collapsed="false">
      <c r="L3026" s="31" t="n">
        <f aca="true">NORMSINV(RAND())*$G$7+$G$6</f>
        <v>0.00937941118178053</v>
      </c>
    </row>
    <row r="3027" customFormat="false" ht="15" hidden="false" customHeight="false" outlineLevel="0" collapsed="false">
      <c r="L3027" s="31" t="n">
        <f aca="true">NORMSINV(RAND())*$G$7+$G$6</f>
        <v>0.0036739204743896</v>
      </c>
    </row>
    <row r="3028" customFormat="false" ht="15" hidden="false" customHeight="false" outlineLevel="0" collapsed="false">
      <c r="L3028" s="31" t="n">
        <f aca="true">NORMSINV(RAND())*$G$7+$G$6</f>
        <v>0.0300878505509946</v>
      </c>
    </row>
    <row r="3029" customFormat="false" ht="15" hidden="false" customHeight="false" outlineLevel="0" collapsed="false">
      <c r="L3029" s="31" t="n">
        <f aca="true">NORMSINV(RAND())*$G$7+$G$6</f>
        <v>-0.00217940887187198</v>
      </c>
    </row>
    <row r="3030" customFormat="false" ht="15" hidden="false" customHeight="false" outlineLevel="0" collapsed="false">
      <c r="L3030" s="31" t="n">
        <f aca="true">NORMSINV(RAND())*$G$7+$G$6</f>
        <v>-0.000393899176046629</v>
      </c>
    </row>
    <row r="3031" customFormat="false" ht="15" hidden="false" customHeight="false" outlineLevel="0" collapsed="false">
      <c r="L3031" s="31" t="n">
        <f aca="true">NORMSINV(RAND())*$G$7+$G$6</f>
        <v>-0.00720988237949287</v>
      </c>
    </row>
    <row r="3032" customFormat="false" ht="15" hidden="false" customHeight="false" outlineLevel="0" collapsed="false">
      <c r="L3032" s="31" t="n">
        <f aca="true">NORMSINV(RAND())*$G$7+$G$6</f>
        <v>0.00271945927072393</v>
      </c>
    </row>
    <row r="3033" customFormat="false" ht="15" hidden="false" customHeight="false" outlineLevel="0" collapsed="false">
      <c r="L3033" s="31" t="n">
        <f aca="true">NORMSINV(RAND())*$G$7+$G$6</f>
        <v>0.00203350479932391</v>
      </c>
    </row>
    <row r="3034" customFormat="false" ht="15" hidden="false" customHeight="false" outlineLevel="0" collapsed="false">
      <c r="L3034" s="31" t="n">
        <f aca="true">NORMSINV(RAND())*$G$7+$G$6</f>
        <v>0.0210274193600552</v>
      </c>
    </row>
    <row r="3035" customFormat="false" ht="15" hidden="false" customHeight="false" outlineLevel="0" collapsed="false">
      <c r="L3035" s="31" t="n">
        <f aca="true">NORMSINV(RAND())*$G$7+$G$6</f>
        <v>-0.0121138671189447</v>
      </c>
    </row>
    <row r="3036" customFormat="false" ht="15" hidden="false" customHeight="false" outlineLevel="0" collapsed="false">
      <c r="L3036" s="31" t="n">
        <f aca="true">NORMSINV(RAND())*$G$7+$G$6</f>
        <v>0.00263211155049314</v>
      </c>
    </row>
    <row r="3037" customFormat="false" ht="15" hidden="false" customHeight="false" outlineLevel="0" collapsed="false">
      <c r="L3037" s="31" t="n">
        <f aca="true">NORMSINV(RAND())*$G$7+$G$6</f>
        <v>0.00481103669213162</v>
      </c>
    </row>
    <row r="3038" customFormat="false" ht="15" hidden="false" customHeight="false" outlineLevel="0" collapsed="false">
      <c r="L3038" s="31" t="n">
        <f aca="true">NORMSINV(RAND())*$G$7+$G$6</f>
        <v>0.00679027538790857</v>
      </c>
    </row>
    <row r="3039" customFormat="false" ht="15" hidden="false" customHeight="false" outlineLevel="0" collapsed="false">
      <c r="L3039" s="31" t="n">
        <f aca="true">NORMSINV(RAND())*$G$7+$G$6</f>
        <v>-0.00787021256144404</v>
      </c>
    </row>
    <row r="3040" customFormat="false" ht="15" hidden="false" customHeight="false" outlineLevel="0" collapsed="false">
      <c r="L3040" s="31" t="n">
        <f aca="true">NORMSINV(RAND())*$G$7+$G$6</f>
        <v>0.050374314777358</v>
      </c>
    </row>
    <row r="3041" customFormat="false" ht="15" hidden="false" customHeight="false" outlineLevel="0" collapsed="false">
      <c r="L3041" s="31" t="n">
        <f aca="true">NORMSINV(RAND())*$G$7+$G$6</f>
        <v>0.00237067650938406</v>
      </c>
    </row>
    <row r="3042" customFormat="false" ht="15" hidden="false" customHeight="false" outlineLevel="0" collapsed="false">
      <c r="L3042" s="31" t="n">
        <f aca="true">NORMSINV(RAND())*$G$7+$G$6</f>
        <v>0.0115345577649481</v>
      </c>
    </row>
    <row r="3043" customFormat="false" ht="15" hidden="false" customHeight="false" outlineLevel="0" collapsed="false">
      <c r="L3043" s="31" t="n">
        <f aca="true">NORMSINV(RAND())*$G$7+$G$6</f>
        <v>0.00773829987646258</v>
      </c>
    </row>
    <row r="3044" customFormat="false" ht="15" hidden="false" customHeight="false" outlineLevel="0" collapsed="false">
      <c r="L3044" s="31" t="n">
        <f aca="true">NORMSINV(RAND())*$G$7+$G$6</f>
        <v>0.00413168451184505</v>
      </c>
    </row>
    <row r="3045" customFormat="false" ht="15" hidden="false" customHeight="false" outlineLevel="0" collapsed="false">
      <c r="L3045" s="31" t="n">
        <f aca="true">NORMSINV(RAND())*$G$7+$G$6</f>
        <v>-0.00935402313182012</v>
      </c>
    </row>
    <row r="3046" customFormat="false" ht="15" hidden="false" customHeight="false" outlineLevel="0" collapsed="false">
      <c r="L3046" s="31" t="n">
        <f aca="true">NORMSINV(RAND())*$G$7+$G$6</f>
        <v>0.02528096712697</v>
      </c>
    </row>
    <row r="3047" customFormat="false" ht="15" hidden="false" customHeight="false" outlineLevel="0" collapsed="false">
      <c r="L3047" s="31" t="n">
        <f aca="true">NORMSINV(RAND())*$G$7+$G$6</f>
        <v>0.0164138857569905</v>
      </c>
    </row>
    <row r="3048" customFormat="false" ht="15" hidden="false" customHeight="false" outlineLevel="0" collapsed="false">
      <c r="L3048" s="31" t="n">
        <f aca="true">NORMSINV(RAND())*$G$7+$G$6</f>
        <v>-0.000432394189676702</v>
      </c>
    </row>
    <row r="3049" customFormat="false" ht="15" hidden="false" customHeight="false" outlineLevel="0" collapsed="false">
      <c r="L3049" s="31" t="n">
        <f aca="true">NORMSINV(RAND())*$G$7+$G$6</f>
        <v>-0.0106203432608249</v>
      </c>
    </row>
    <row r="3050" customFormat="false" ht="15" hidden="false" customHeight="false" outlineLevel="0" collapsed="false">
      <c r="L3050" s="31" t="n">
        <f aca="true">NORMSINV(RAND())*$G$7+$G$6</f>
        <v>-0.0118085234684808</v>
      </c>
    </row>
    <row r="3051" customFormat="false" ht="15" hidden="false" customHeight="false" outlineLevel="0" collapsed="false">
      <c r="L3051" s="31" t="n">
        <f aca="true">NORMSINV(RAND())*$G$7+$G$6</f>
        <v>0.000806500349106535</v>
      </c>
    </row>
    <row r="3052" customFormat="false" ht="15" hidden="false" customHeight="false" outlineLevel="0" collapsed="false">
      <c r="L3052" s="31" t="n">
        <f aca="true">NORMSINV(RAND())*$G$7+$G$6</f>
        <v>0.0157852634849592</v>
      </c>
    </row>
    <row r="3053" customFormat="false" ht="15" hidden="false" customHeight="false" outlineLevel="0" collapsed="false">
      <c r="L3053" s="31" t="n">
        <f aca="true">NORMSINV(RAND())*$G$7+$G$6</f>
        <v>0.00689980066907929</v>
      </c>
    </row>
    <row r="3054" customFormat="false" ht="15" hidden="false" customHeight="false" outlineLevel="0" collapsed="false">
      <c r="L3054" s="31" t="n">
        <f aca="true">NORMSINV(RAND())*$G$7+$G$6</f>
        <v>-0.003386961615042</v>
      </c>
    </row>
    <row r="3055" customFormat="false" ht="15" hidden="false" customHeight="false" outlineLevel="0" collapsed="false">
      <c r="L3055" s="31" t="n">
        <f aca="true">NORMSINV(RAND())*$G$7+$G$6</f>
        <v>0.0214932035007633</v>
      </c>
    </row>
    <row r="3056" customFormat="false" ht="15" hidden="false" customHeight="false" outlineLevel="0" collapsed="false">
      <c r="L3056" s="31" t="n">
        <f aca="true">NORMSINV(RAND())*$G$7+$G$6</f>
        <v>0.00298283455359993</v>
      </c>
    </row>
    <row r="3057" customFormat="false" ht="15" hidden="false" customHeight="false" outlineLevel="0" collapsed="false">
      <c r="L3057" s="31" t="n">
        <f aca="true">NORMSINV(RAND())*$G$7+$G$6</f>
        <v>0.00145563474730647</v>
      </c>
    </row>
    <row r="3058" customFormat="false" ht="15" hidden="false" customHeight="false" outlineLevel="0" collapsed="false">
      <c r="L3058" s="31" t="n">
        <f aca="true">NORMSINV(RAND())*$G$7+$G$6</f>
        <v>-0.0143698605145721</v>
      </c>
    </row>
    <row r="3059" customFormat="false" ht="15" hidden="false" customHeight="false" outlineLevel="0" collapsed="false">
      <c r="L3059" s="31" t="n">
        <f aca="true">NORMSINV(RAND())*$G$7+$G$6</f>
        <v>-0.0138944496767983</v>
      </c>
    </row>
    <row r="3060" customFormat="false" ht="15" hidden="false" customHeight="false" outlineLevel="0" collapsed="false">
      <c r="L3060" s="31" t="n">
        <f aca="true">NORMSINV(RAND())*$G$7+$G$6</f>
        <v>-0.0175148205076125</v>
      </c>
    </row>
    <row r="3061" customFormat="false" ht="15" hidden="false" customHeight="false" outlineLevel="0" collapsed="false">
      <c r="L3061" s="31" t="n">
        <f aca="true">NORMSINV(RAND())*$G$7+$G$6</f>
        <v>-0.000811352258726334</v>
      </c>
    </row>
    <row r="3062" customFormat="false" ht="15" hidden="false" customHeight="false" outlineLevel="0" collapsed="false">
      <c r="L3062" s="31" t="n">
        <f aca="true">NORMSINV(RAND())*$G$7+$G$6</f>
        <v>-0.0157659486227632</v>
      </c>
    </row>
    <row r="3063" customFormat="false" ht="15" hidden="false" customHeight="false" outlineLevel="0" collapsed="false">
      <c r="L3063" s="31" t="n">
        <f aca="true">NORMSINV(RAND())*$G$7+$G$6</f>
        <v>-0.00741476332660519</v>
      </c>
    </row>
    <row r="3064" customFormat="false" ht="15" hidden="false" customHeight="false" outlineLevel="0" collapsed="false">
      <c r="L3064" s="31" t="n">
        <f aca="true">NORMSINV(RAND())*$G$7+$G$6</f>
        <v>0.021946828844444</v>
      </c>
    </row>
    <row r="3065" customFormat="false" ht="15" hidden="false" customHeight="false" outlineLevel="0" collapsed="false">
      <c r="L3065" s="31" t="n">
        <f aca="true">NORMSINV(RAND())*$G$7+$G$6</f>
        <v>-0.0224377439344692</v>
      </c>
    </row>
    <row r="3066" customFormat="false" ht="15" hidden="false" customHeight="false" outlineLevel="0" collapsed="false">
      <c r="L3066" s="31" t="n">
        <f aca="true">NORMSINV(RAND())*$G$7+$G$6</f>
        <v>0.0191341714114614</v>
      </c>
    </row>
    <row r="3067" customFormat="false" ht="15" hidden="false" customHeight="false" outlineLevel="0" collapsed="false">
      <c r="L3067" s="31" t="n">
        <f aca="true">NORMSINV(RAND())*$G$7+$G$6</f>
        <v>-0.00684876247689649</v>
      </c>
    </row>
    <row r="3068" customFormat="false" ht="15" hidden="false" customHeight="false" outlineLevel="0" collapsed="false">
      <c r="L3068" s="31" t="n">
        <f aca="true">NORMSINV(RAND())*$G$7+$G$6</f>
        <v>-0.00033568407408316</v>
      </c>
    </row>
    <row r="3069" customFormat="false" ht="15" hidden="false" customHeight="false" outlineLevel="0" collapsed="false">
      <c r="L3069" s="31" t="n">
        <f aca="true">NORMSINV(RAND())*$G$7+$G$6</f>
        <v>0.00918171599060826</v>
      </c>
    </row>
    <row r="3070" customFormat="false" ht="15" hidden="false" customHeight="false" outlineLevel="0" collapsed="false">
      <c r="L3070" s="31" t="n">
        <f aca="true">NORMSINV(RAND())*$G$7+$G$6</f>
        <v>0.0160709071854743</v>
      </c>
    </row>
    <row r="3071" customFormat="false" ht="15" hidden="false" customHeight="false" outlineLevel="0" collapsed="false">
      <c r="L3071" s="31" t="n">
        <f aca="true">NORMSINV(RAND())*$G$7+$G$6</f>
        <v>0.0219524937991676</v>
      </c>
    </row>
    <row r="3072" customFormat="false" ht="15" hidden="false" customHeight="false" outlineLevel="0" collapsed="false">
      <c r="L3072" s="31" t="n">
        <f aca="true">NORMSINV(RAND())*$G$7+$G$6</f>
        <v>-0.0188682363786415</v>
      </c>
    </row>
    <row r="3073" customFormat="false" ht="15" hidden="false" customHeight="false" outlineLevel="0" collapsed="false">
      <c r="L3073" s="31" t="n">
        <f aca="true">NORMSINV(RAND())*$G$7+$G$6</f>
        <v>0.0110431714838344</v>
      </c>
    </row>
    <row r="3074" customFormat="false" ht="15" hidden="false" customHeight="false" outlineLevel="0" collapsed="false">
      <c r="L3074" s="31" t="n">
        <f aca="true">NORMSINV(RAND())*$G$7+$G$6</f>
        <v>-0.00379604504781215</v>
      </c>
    </row>
    <row r="3075" customFormat="false" ht="15" hidden="false" customHeight="false" outlineLevel="0" collapsed="false">
      <c r="L3075" s="31" t="n">
        <f aca="true">NORMSINV(RAND())*$G$7+$G$6</f>
        <v>0.0119948061319673</v>
      </c>
    </row>
    <row r="3076" customFormat="false" ht="15" hidden="false" customHeight="false" outlineLevel="0" collapsed="false">
      <c r="L3076" s="31" t="n">
        <f aca="true">NORMSINV(RAND())*$G$7+$G$6</f>
        <v>-0.0185338841025676</v>
      </c>
    </row>
    <row r="3077" customFormat="false" ht="15" hidden="false" customHeight="false" outlineLevel="0" collapsed="false">
      <c r="L3077" s="31" t="n">
        <f aca="true">NORMSINV(RAND())*$G$7+$G$6</f>
        <v>-0.00472873050382478</v>
      </c>
    </row>
    <row r="3078" customFormat="false" ht="15" hidden="false" customHeight="false" outlineLevel="0" collapsed="false">
      <c r="L3078" s="31" t="n">
        <f aca="true">NORMSINV(RAND())*$G$7+$G$6</f>
        <v>-0.0153188544389335</v>
      </c>
    </row>
    <row r="3079" customFormat="false" ht="15" hidden="false" customHeight="false" outlineLevel="0" collapsed="false">
      <c r="L3079" s="31" t="n">
        <f aca="true">NORMSINV(RAND())*$G$7+$G$6</f>
        <v>0.0103431854400034</v>
      </c>
    </row>
    <row r="3080" customFormat="false" ht="15" hidden="false" customHeight="false" outlineLevel="0" collapsed="false">
      <c r="L3080" s="31" t="n">
        <f aca="true">NORMSINV(RAND())*$G$7+$G$6</f>
        <v>-0.00038423086730776</v>
      </c>
    </row>
    <row r="3081" customFormat="false" ht="15" hidden="false" customHeight="false" outlineLevel="0" collapsed="false">
      <c r="L3081" s="31" t="n">
        <f aca="true">NORMSINV(RAND())*$G$7+$G$6</f>
        <v>-0.00527991807137596</v>
      </c>
    </row>
    <row r="3082" customFormat="false" ht="15" hidden="false" customHeight="false" outlineLevel="0" collapsed="false">
      <c r="L3082" s="31" t="n">
        <f aca="true">NORMSINV(RAND())*$G$7+$G$6</f>
        <v>-0.0184614270066314</v>
      </c>
    </row>
    <row r="3083" customFormat="false" ht="15" hidden="false" customHeight="false" outlineLevel="0" collapsed="false">
      <c r="L3083" s="31" t="n">
        <f aca="true">NORMSINV(RAND())*$G$7+$G$6</f>
        <v>-0.0103079748145307</v>
      </c>
    </row>
    <row r="3084" customFormat="false" ht="15" hidden="false" customHeight="false" outlineLevel="0" collapsed="false">
      <c r="L3084" s="31" t="n">
        <f aca="true">NORMSINV(RAND())*$G$7+$G$6</f>
        <v>-0.0366049560714574</v>
      </c>
    </row>
    <row r="3085" customFormat="false" ht="15" hidden="false" customHeight="false" outlineLevel="0" collapsed="false">
      <c r="L3085" s="31" t="n">
        <f aca="true">NORMSINV(RAND())*$G$7+$G$6</f>
        <v>-0.0123012876743197</v>
      </c>
    </row>
    <row r="3086" customFormat="false" ht="15" hidden="false" customHeight="false" outlineLevel="0" collapsed="false">
      <c r="L3086" s="31" t="n">
        <f aca="true">NORMSINV(RAND())*$G$7+$G$6</f>
        <v>-0.00518387419509241</v>
      </c>
    </row>
    <row r="3087" customFormat="false" ht="15" hidden="false" customHeight="false" outlineLevel="0" collapsed="false">
      <c r="L3087" s="31" t="n">
        <f aca="true">NORMSINV(RAND())*$G$7+$G$6</f>
        <v>0.0204044810361505</v>
      </c>
    </row>
    <row r="3088" customFormat="false" ht="15" hidden="false" customHeight="false" outlineLevel="0" collapsed="false">
      <c r="L3088" s="31" t="n">
        <f aca="true">NORMSINV(RAND())*$G$7+$G$6</f>
        <v>0.0122887742992085</v>
      </c>
    </row>
    <row r="3089" customFormat="false" ht="15" hidden="false" customHeight="false" outlineLevel="0" collapsed="false">
      <c r="L3089" s="31" t="n">
        <f aca="true">NORMSINV(RAND())*$G$7+$G$6</f>
        <v>-0.0204029321901794</v>
      </c>
    </row>
    <row r="3090" customFormat="false" ht="15" hidden="false" customHeight="false" outlineLevel="0" collapsed="false">
      <c r="L3090" s="31" t="n">
        <f aca="true">NORMSINV(RAND())*$G$7+$G$6</f>
        <v>-0.0165764719542421</v>
      </c>
    </row>
    <row r="3091" customFormat="false" ht="15" hidden="false" customHeight="false" outlineLevel="0" collapsed="false">
      <c r="L3091" s="31" t="n">
        <f aca="true">NORMSINV(RAND())*$G$7+$G$6</f>
        <v>0.00173902689538179</v>
      </c>
    </row>
    <row r="3092" customFormat="false" ht="15" hidden="false" customHeight="false" outlineLevel="0" collapsed="false">
      <c r="L3092" s="31" t="n">
        <f aca="true">NORMSINV(RAND())*$G$7+$G$6</f>
        <v>0.00352651952745055</v>
      </c>
    </row>
    <row r="3093" customFormat="false" ht="15" hidden="false" customHeight="false" outlineLevel="0" collapsed="false">
      <c r="L3093" s="31" t="n">
        <f aca="true">NORMSINV(RAND())*$G$7+$G$6</f>
        <v>0.000466796608770057</v>
      </c>
    </row>
    <row r="3094" customFormat="false" ht="15" hidden="false" customHeight="false" outlineLevel="0" collapsed="false">
      <c r="L3094" s="31" t="n">
        <f aca="true">NORMSINV(RAND())*$G$7+$G$6</f>
        <v>0.00179230392945679</v>
      </c>
    </row>
    <row r="3095" customFormat="false" ht="15" hidden="false" customHeight="false" outlineLevel="0" collapsed="false">
      <c r="L3095" s="31" t="n">
        <f aca="true">NORMSINV(RAND())*$G$7+$G$6</f>
        <v>-0.0187067283480944</v>
      </c>
    </row>
    <row r="3096" customFormat="false" ht="15" hidden="false" customHeight="false" outlineLevel="0" collapsed="false">
      <c r="L3096" s="31" t="n">
        <f aca="true">NORMSINV(RAND())*$G$7+$G$6</f>
        <v>0.0119098846612552</v>
      </c>
    </row>
    <row r="3097" customFormat="false" ht="15" hidden="false" customHeight="false" outlineLevel="0" collapsed="false">
      <c r="L3097" s="31" t="n">
        <f aca="true">NORMSINV(RAND())*$G$7+$G$6</f>
        <v>0.00280311899295655</v>
      </c>
    </row>
    <row r="3098" customFormat="false" ht="15" hidden="false" customHeight="false" outlineLevel="0" collapsed="false">
      <c r="L3098" s="31" t="n">
        <f aca="true">NORMSINV(RAND())*$G$7+$G$6</f>
        <v>-0.00580167409329334</v>
      </c>
    </row>
    <row r="3099" customFormat="false" ht="15" hidden="false" customHeight="false" outlineLevel="0" collapsed="false">
      <c r="L3099" s="31" t="n">
        <f aca="true">NORMSINV(RAND())*$G$7+$G$6</f>
        <v>0.0189292044191345</v>
      </c>
    </row>
    <row r="3100" customFormat="false" ht="15" hidden="false" customHeight="false" outlineLevel="0" collapsed="false">
      <c r="L3100" s="31" t="n">
        <f aca="true">NORMSINV(RAND())*$G$7+$G$6</f>
        <v>-0.00883209845222855</v>
      </c>
    </row>
    <row r="3101" customFormat="false" ht="15" hidden="false" customHeight="false" outlineLevel="0" collapsed="false">
      <c r="L3101" s="31" t="n">
        <f aca="true">NORMSINV(RAND())*$G$7+$G$6</f>
        <v>0.0223942485040121</v>
      </c>
    </row>
    <row r="3102" customFormat="false" ht="15" hidden="false" customHeight="false" outlineLevel="0" collapsed="false">
      <c r="L3102" s="31" t="n">
        <f aca="true">NORMSINV(RAND())*$G$7+$G$6</f>
        <v>0.00289966764437492</v>
      </c>
    </row>
    <row r="3103" customFormat="false" ht="15" hidden="false" customHeight="false" outlineLevel="0" collapsed="false">
      <c r="L3103" s="31" t="n">
        <f aca="true">NORMSINV(RAND())*$G$7+$G$6</f>
        <v>0.0249962520606885</v>
      </c>
    </row>
    <row r="3104" customFormat="false" ht="15" hidden="false" customHeight="false" outlineLevel="0" collapsed="false">
      <c r="L3104" s="31" t="n">
        <f aca="true">NORMSINV(RAND())*$G$7+$G$6</f>
        <v>0.00614539935768294</v>
      </c>
    </row>
    <row r="3105" customFormat="false" ht="15" hidden="false" customHeight="false" outlineLevel="0" collapsed="false">
      <c r="L3105" s="31" t="n">
        <f aca="true">NORMSINV(RAND())*$G$7+$G$6</f>
        <v>-0.00690875877435605</v>
      </c>
    </row>
    <row r="3106" customFormat="false" ht="15" hidden="false" customHeight="false" outlineLevel="0" collapsed="false">
      <c r="L3106" s="31" t="n">
        <f aca="true">NORMSINV(RAND())*$G$7+$G$6</f>
        <v>-0.00299165264509982</v>
      </c>
    </row>
    <row r="3107" customFormat="false" ht="15" hidden="false" customHeight="false" outlineLevel="0" collapsed="false">
      <c r="L3107" s="31" t="n">
        <f aca="true">NORMSINV(RAND())*$G$7+$G$6</f>
        <v>-0.0168760983006441</v>
      </c>
    </row>
    <row r="3108" customFormat="false" ht="15" hidden="false" customHeight="false" outlineLevel="0" collapsed="false">
      <c r="L3108" s="31" t="n">
        <f aca="true">NORMSINV(RAND())*$G$7+$G$6</f>
        <v>0.00185034712007641</v>
      </c>
    </row>
    <row r="3109" customFormat="false" ht="15" hidden="false" customHeight="false" outlineLevel="0" collapsed="false">
      <c r="L3109" s="31" t="n">
        <f aca="true">NORMSINV(RAND())*$G$7+$G$6</f>
        <v>-0.0131415434521565</v>
      </c>
    </row>
    <row r="3110" customFormat="false" ht="15" hidden="false" customHeight="false" outlineLevel="0" collapsed="false">
      <c r="L3110" s="31" t="n">
        <f aca="true">NORMSINV(RAND())*$G$7+$G$6</f>
        <v>1.84828052993582E-005</v>
      </c>
    </row>
    <row r="3111" customFormat="false" ht="15" hidden="false" customHeight="false" outlineLevel="0" collapsed="false">
      <c r="L3111" s="31" t="n">
        <f aca="true">NORMSINV(RAND())*$G$7+$G$6</f>
        <v>0.00997782759627844</v>
      </c>
    </row>
    <row r="3112" customFormat="false" ht="15" hidden="false" customHeight="false" outlineLevel="0" collapsed="false">
      <c r="L3112" s="31" t="n">
        <f aca="true">NORMSINV(RAND())*$G$7+$G$6</f>
        <v>0.0194267980399677</v>
      </c>
    </row>
    <row r="3113" customFormat="false" ht="15" hidden="false" customHeight="false" outlineLevel="0" collapsed="false">
      <c r="L3113" s="31" t="n">
        <f aca="true">NORMSINV(RAND())*$G$7+$G$6</f>
        <v>-0.00235992434507678</v>
      </c>
    </row>
    <row r="3114" customFormat="false" ht="15" hidden="false" customHeight="false" outlineLevel="0" collapsed="false">
      <c r="L3114" s="31" t="n">
        <f aca="true">NORMSINV(RAND())*$G$7+$G$6</f>
        <v>0.0297274497055387</v>
      </c>
    </row>
    <row r="3115" customFormat="false" ht="15" hidden="false" customHeight="false" outlineLevel="0" collapsed="false">
      <c r="L3115" s="31" t="n">
        <f aca="true">NORMSINV(RAND())*$G$7+$G$6</f>
        <v>-0.0107050388519451</v>
      </c>
    </row>
    <row r="3116" customFormat="false" ht="15" hidden="false" customHeight="false" outlineLevel="0" collapsed="false">
      <c r="L3116" s="31" t="n">
        <f aca="true">NORMSINV(RAND())*$G$7+$G$6</f>
        <v>-0.00646608971423355</v>
      </c>
    </row>
    <row r="3117" customFormat="false" ht="15" hidden="false" customHeight="false" outlineLevel="0" collapsed="false">
      <c r="L3117" s="31" t="n">
        <f aca="true">NORMSINV(RAND())*$G$7+$G$6</f>
        <v>-0.0248132106199101</v>
      </c>
    </row>
    <row r="3118" customFormat="false" ht="15" hidden="false" customHeight="false" outlineLevel="0" collapsed="false">
      <c r="L3118" s="31" t="n">
        <f aca="true">NORMSINV(RAND())*$G$7+$G$6</f>
        <v>-0.00861658667832977</v>
      </c>
    </row>
    <row r="3119" customFormat="false" ht="15" hidden="false" customHeight="false" outlineLevel="0" collapsed="false">
      <c r="L3119" s="31" t="n">
        <f aca="true">NORMSINV(RAND())*$G$7+$G$6</f>
        <v>0.00327337765803036</v>
      </c>
    </row>
    <row r="3120" customFormat="false" ht="15" hidden="false" customHeight="false" outlineLevel="0" collapsed="false">
      <c r="L3120" s="31" t="n">
        <f aca="true">NORMSINV(RAND())*$G$7+$G$6</f>
        <v>0.0128742374343334</v>
      </c>
    </row>
    <row r="3121" customFormat="false" ht="15" hidden="false" customHeight="false" outlineLevel="0" collapsed="false">
      <c r="L3121" s="31" t="n">
        <f aca="true">NORMSINV(RAND())*$G$7+$G$6</f>
        <v>-0.00135523417835934</v>
      </c>
    </row>
    <row r="3122" customFormat="false" ht="15" hidden="false" customHeight="false" outlineLevel="0" collapsed="false">
      <c r="L3122" s="31" t="n">
        <f aca="true">NORMSINV(RAND())*$G$7+$G$6</f>
        <v>-0.0165217151595043</v>
      </c>
    </row>
    <row r="3123" customFormat="false" ht="15" hidden="false" customHeight="false" outlineLevel="0" collapsed="false">
      <c r="L3123" s="31" t="n">
        <f aca="true">NORMSINV(RAND())*$G$7+$G$6</f>
        <v>-0.00658248136011952</v>
      </c>
    </row>
    <row r="3124" customFormat="false" ht="15" hidden="false" customHeight="false" outlineLevel="0" collapsed="false">
      <c r="L3124" s="31" t="n">
        <f aca="true">NORMSINV(RAND())*$G$7+$G$6</f>
        <v>-0.0228687319794161</v>
      </c>
    </row>
    <row r="3125" customFormat="false" ht="15" hidden="false" customHeight="false" outlineLevel="0" collapsed="false">
      <c r="L3125" s="31" t="n">
        <f aca="true">NORMSINV(RAND())*$G$7+$G$6</f>
        <v>-0.00604393298988581</v>
      </c>
    </row>
    <row r="3126" customFormat="false" ht="15" hidden="false" customHeight="false" outlineLevel="0" collapsed="false">
      <c r="L3126" s="31" t="n">
        <f aca="true">NORMSINV(RAND())*$G$7+$G$6</f>
        <v>-0.0129515319448317</v>
      </c>
    </row>
    <row r="3127" customFormat="false" ht="15" hidden="false" customHeight="false" outlineLevel="0" collapsed="false">
      <c r="L3127" s="31" t="n">
        <f aca="true">NORMSINV(RAND())*$G$7+$G$6</f>
        <v>0.00106857461159231</v>
      </c>
    </row>
    <row r="3128" customFormat="false" ht="15" hidden="false" customHeight="false" outlineLevel="0" collapsed="false">
      <c r="L3128" s="31" t="n">
        <f aca="true">NORMSINV(RAND())*$G$7+$G$6</f>
        <v>0.00700977221796828</v>
      </c>
    </row>
    <row r="3129" customFormat="false" ht="15" hidden="false" customHeight="false" outlineLevel="0" collapsed="false">
      <c r="L3129" s="31" t="n">
        <f aca="true">NORMSINV(RAND())*$G$7+$G$6</f>
        <v>-0.00105690275036544</v>
      </c>
    </row>
    <row r="3130" customFormat="false" ht="15" hidden="false" customHeight="false" outlineLevel="0" collapsed="false">
      <c r="L3130" s="31" t="n">
        <f aca="true">NORMSINV(RAND())*$G$7+$G$6</f>
        <v>-0.0167712324790123</v>
      </c>
    </row>
    <row r="3131" customFormat="false" ht="15" hidden="false" customHeight="false" outlineLevel="0" collapsed="false">
      <c r="L3131" s="31" t="n">
        <f aca="true">NORMSINV(RAND())*$G$7+$G$6</f>
        <v>-0.00553069517104772</v>
      </c>
    </row>
    <row r="3132" customFormat="false" ht="15" hidden="false" customHeight="false" outlineLevel="0" collapsed="false">
      <c r="L3132" s="31" t="n">
        <f aca="true">NORMSINV(RAND())*$G$7+$G$6</f>
        <v>-0.00618574020963833</v>
      </c>
    </row>
    <row r="3133" customFormat="false" ht="15" hidden="false" customHeight="false" outlineLevel="0" collapsed="false">
      <c r="L3133" s="31" t="n">
        <f aca="true">NORMSINV(RAND())*$G$7+$G$6</f>
        <v>-0.000594422474176234</v>
      </c>
    </row>
    <row r="3134" customFormat="false" ht="15" hidden="false" customHeight="false" outlineLevel="0" collapsed="false">
      <c r="L3134" s="31" t="n">
        <f aca="true">NORMSINV(RAND())*$G$7+$G$6</f>
        <v>0.0276186606139415</v>
      </c>
    </row>
    <row r="3135" customFormat="false" ht="15" hidden="false" customHeight="false" outlineLevel="0" collapsed="false">
      <c r="L3135" s="31" t="n">
        <f aca="true">NORMSINV(RAND())*$G$7+$G$6</f>
        <v>-0.00719589283726586</v>
      </c>
    </row>
    <row r="3136" customFormat="false" ht="15" hidden="false" customHeight="false" outlineLevel="0" collapsed="false">
      <c r="L3136" s="31" t="n">
        <f aca="true">NORMSINV(RAND())*$G$7+$G$6</f>
        <v>0.0162482748008033</v>
      </c>
    </row>
    <row r="3137" customFormat="false" ht="15" hidden="false" customHeight="false" outlineLevel="0" collapsed="false">
      <c r="L3137" s="31" t="n">
        <f aca="true">NORMSINV(RAND())*$G$7+$G$6</f>
        <v>-0.0191618878055765</v>
      </c>
    </row>
    <row r="3138" customFormat="false" ht="15" hidden="false" customHeight="false" outlineLevel="0" collapsed="false">
      <c r="L3138" s="31" t="n">
        <f aca="true">NORMSINV(RAND())*$G$7+$G$6</f>
        <v>0.00733891332839507</v>
      </c>
    </row>
    <row r="3139" customFormat="false" ht="15" hidden="false" customHeight="false" outlineLevel="0" collapsed="false">
      <c r="L3139" s="31" t="n">
        <f aca="true">NORMSINV(RAND())*$G$7+$G$6</f>
        <v>0.0098342854414171</v>
      </c>
    </row>
    <row r="3140" customFormat="false" ht="15" hidden="false" customHeight="false" outlineLevel="0" collapsed="false">
      <c r="L3140" s="31" t="n">
        <f aca="true">NORMSINV(RAND())*$G$7+$G$6</f>
        <v>0.0165525575255757</v>
      </c>
    </row>
    <row r="3141" customFormat="false" ht="15" hidden="false" customHeight="false" outlineLevel="0" collapsed="false">
      <c r="L3141" s="31" t="n">
        <f aca="true">NORMSINV(RAND())*$G$7+$G$6</f>
        <v>-0.0170561211351812</v>
      </c>
    </row>
    <row r="3142" customFormat="false" ht="15" hidden="false" customHeight="false" outlineLevel="0" collapsed="false">
      <c r="L3142" s="31" t="n">
        <f aca="true">NORMSINV(RAND())*$G$7+$G$6</f>
        <v>-0.00595118046583814</v>
      </c>
    </row>
    <row r="3143" customFormat="false" ht="15" hidden="false" customHeight="false" outlineLevel="0" collapsed="false">
      <c r="L3143" s="31" t="n">
        <f aca="true">NORMSINV(RAND())*$G$7+$G$6</f>
        <v>0.0244918409695676</v>
      </c>
    </row>
    <row r="3144" customFormat="false" ht="15" hidden="false" customHeight="false" outlineLevel="0" collapsed="false">
      <c r="L3144" s="31" t="n">
        <f aca="true">NORMSINV(RAND())*$G$7+$G$6</f>
        <v>-0.00859150652549784</v>
      </c>
    </row>
    <row r="3145" customFormat="false" ht="15" hidden="false" customHeight="false" outlineLevel="0" collapsed="false">
      <c r="L3145" s="31" t="n">
        <f aca="true">NORMSINV(RAND())*$G$7+$G$6</f>
        <v>-0.00561160625335082</v>
      </c>
    </row>
    <row r="3146" customFormat="false" ht="15" hidden="false" customHeight="false" outlineLevel="0" collapsed="false">
      <c r="L3146" s="31" t="n">
        <f aca="true">NORMSINV(RAND())*$G$7+$G$6</f>
        <v>0.0179270353643414</v>
      </c>
    </row>
    <row r="3147" customFormat="false" ht="15" hidden="false" customHeight="false" outlineLevel="0" collapsed="false">
      <c r="L3147" s="31" t="n">
        <f aca="true">NORMSINV(RAND())*$G$7+$G$6</f>
        <v>4.20506123087308E-005</v>
      </c>
    </row>
    <row r="3148" customFormat="false" ht="15" hidden="false" customHeight="false" outlineLevel="0" collapsed="false">
      <c r="L3148" s="31" t="n">
        <f aca="true">NORMSINV(RAND())*$G$7+$G$6</f>
        <v>0.00617233762596873</v>
      </c>
    </row>
    <row r="3149" customFormat="false" ht="15" hidden="false" customHeight="false" outlineLevel="0" collapsed="false">
      <c r="L3149" s="31" t="n">
        <f aca="true">NORMSINV(RAND())*$G$7+$G$6</f>
        <v>0.00455013589742405</v>
      </c>
    </row>
    <row r="3150" customFormat="false" ht="15" hidden="false" customHeight="false" outlineLevel="0" collapsed="false">
      <c r="L3150" s="31" t="n">
        <f aca="true">NORMSINV(RAND())*$G$7+$G$6</f>
        <v>-0.00566137662374287</v>
      </c>
    </row>
    <row r="3151" customFormat="false" ht="15" hidden="false" customHeight="false" outlineLevel="0" collapsed="false">
      <c r="L3151" s="31" t="n">
        <f aca="true">NORMSINV(RAND())*$G$7+$G$6</f>
        <v>0.006584378673877</v>
      </c>
    </row>
    <row r="3152" customFormat="false" ht="15" hidden="false" customHeight="false" outlineLevel="0" collapsed="false">
      <c r="L3152" s="31" t="n">
        <f aca="true">NORMSINV(RAND())*$G$7+$G$6</f>
        <v>0.0270032793325198</v>
      </c>
    </row>
    <row r="3153" customFormat="false" ht="15" hidden="false" customHeight="false" outlineLevel="0" collapsed="false">
      <c r="L3153" s="31" t="n">
        <f aca="true">NORMSINV(RAND())*$G$7+$G$6</f>
        <v>-0.00887175277566867</v>
      </c>
    </row>
    <row r="3154" customFormat="false" ht="15" hidden="false" customHeight="false" outlineLevel="0" collapsed="false">
      <c r="L3154" s="31" t="n">
        <f aca="true">NORMSINV(RAND())*$G$7+$G$6</f>
        <v>-0.00634354064498415</v>
      </c>
    </row>
    <row r="3155" customFormat="false" ht="15" hidden="false" customHeight="false" outlineLevel="0" collapsed="false">
      <c r="L3155" s="31" t="n">
        <f aca="true">NORMSINV(RAND())*$G$7+$G$6</f>
        <v>-0.00405395661056317</v>
      </c>
    </row>
    <row r="3156" customFormat="false" ht="15" hidden="false" customHeight="false" outlineLevel="0" collapsed="false">
      <c r="L3156" s="31" t="n">
        <f aca="true">NORMSINV(RAND())*$G$7+$G$6</f>
        <v>0.00105717871250112</v>
      </c>
    </row>
    <row r="3157" customFormat="false" ht="15" hidden="false" customHeight="false" outlineLevel="0" collapsed="false">
      <c r="L3157" s="31" t="n">
        <f aca="true">NORMSINV(RAND())*$G$7+$G$6</f>
        <v>-0.0039899188090717</v>
      </c>
    </row>
    <row r="3158" customFormat="false" ht="15" hidden="false" customHeight="false" outlineLevel="0" collapsed="false">
      <c r="L3158" s="31" t="n">
        <f aca="true">NORMSINV(RAND())*$G$7+$G$6</f>
        <v>-0.0164260837798242</v>
      </c>
    </row>
    <row r="3159" customFormat="false" ht="15" hidden="false" customHeight="false" outlineLevel="0" collapsed="false">
      <c r="L3159" s="31" t="n">
        <f aca="true">NORMSINV(RAND())*$G$7+$G$6</f>
        <v>-0.0125840602510758</v>
      </c>
    </row>
    <row r="3160" customFormat="false" ht="15" hidden="false" customHeight="false" outlineLevel="0" collapsed="false">
      <c r="L3160" s="31" t="n">
        <f aca="true">NORMSINV(RAND())*$G$7+$G$6</f>
        <v>-0.0154926676628559</v>
      </c>
    </row>
    <row r="3161" customFormat="false" ht="15" hidden="false" customHeight="false" outlineLevel="0" collapsed="false">
      <c r="L3161" s="31" t="n">
        <f aca="true">NORMSINV(RAND())*$G$7+$G$6</f>
        <v>0.0173612194951486</v>
      </c>
    </row>
    <row r="3162" customFormat="false" ht="15" hidden="false" customHeight="false" outlineLevel="0" collapsed="false">
      <c r="L3162" s="31" t="n">
        <f aca="true">NORMSINV(RAND())*$G$7+$G$6</f>
        <v>-0.000570952932275229</v>
      </c>
    </row>
    <row r="3163" customFormat="false" ht="15" hidden="false" customHeight="false" outlineLevel="0" collapsed="false">
      <c r="L3163" s="31" t="n">
        <f aca="true">NORMSINV(RAND())*$G$7+$G$6</f>
        <v>-0.0243962368933115</v>
      </c>
    </row>
    <row r="3164" customFormat="false" ht="15" hidden="false" customHeight="false" outlineLevel="0" collapsed="false">
      <c r="L3164" s="31" t="n">
        <f aca="true">NORMSINV(RAND())*$G$7+$G$6</f>
        <v>0.00999940835757717</v>
      </c>
    </row>
    <row r="3165" customFormat="false" ht="15" hidden="false" customHeight="false" outlineLevel="0" collapsed="false">
      <c r="L3165" s="31" t="n">
        <f aca="true">NORMSINV(RAND())*$G$7+$G$6</f>
        <v>0.000182004051913343</v>
      </c>
    </row>
    <row r="3166" customFormat="false" ht="15" hidden="false" customHeight="false" outlineLevel="0" collapsed="false">
      <c r="L3166" s="31" t="n">
        <f aca="true">NORMSINV(RAND())*$G$7+$G$6</f>
        <v>0.0015589003908266</v>
      </c>
    </row>
    <row r="3167" customFormat="false" ht="15" hidden="false" customHeight="false" outlineLevel="0" collapsed="false">
      <c r="L3167" s="31" t="n">
        <f aca="true">NORMSINV(RAND())*$G$7+$G$6</f>
        <v>0.00746206893863349</v>
      </c>
    </row>
    <row r="3168" customFormat="false" ht="15" hidden="false" customHeight="false" outlineLevel="0" collapsed="false">
      <c r="L3168" s="31" t="n">
        <f aca="true">NORMSINV(RAND())*$G$7+$G$6</f>
        <v>-0.000515505122247725</v>
      </c>
    </row>
    <row r="3169" customFormat="false" ht="15" hidden="false" customHeight="false" outlineLevel="0" collapsed="false">
      <c r="L3169" s="31" t="n">
        <f aca="true">NORMSINV(RAND())*$G$7+$G$6</f>
        <v>0.000405567599228589</v>
      </c>
    </row>
    <row r="3170" customFormat="false" ht="15" hidden="false" customHeight="false" outlineLevel="0" collapsed="false">
      <c r="L3170" s="31" t="n">
        <f aca="true">NORMSINV(RAND())*$G$7+$G$6</f>
        <v>-0.00788731348905838</v>
      </c>
    </row>
    <row r="3171" customFormat="false" ht="15" hidden="false" customHeight="false" outlineLevel="0" collapsed="false">
      <c r="L3171" s="31" t="n">
        <f aca="true">NORMSINV(RAND())*$G$7+$G$6</f>
        <v>-0.00428371395341407</v>
      </c>
    </row>
    <row r="3172" customFormat="false" ht="15" hidden="false" customHeight="false" outlineLevel="0" collapsed="false">
      <c r="L3172" s="31" t="n">
        <f aca="true">NORMSINV(RAND())*$G$7+$G$6</f>
        <v>0.00303977866253149</v>
      </c>
    </row>
    <row r="3173" customFormat="false" ht="15" hidden="false" customHeight="false" outlineLevel="0" collapsed="false">
      <c r="L3173" s="31" t="n">
        <f aca="true">NORMSINV(RAND())*$G$7+$G$6</f>
        <v>0.00196821183578659</v>
      </c>
    </row>
    <row r="3174" customFormat="false" ht="15" hidden="false" customHeight="false" outlineLevel="0" collapsed="false">
      <c r="L3174" s="31" t="n">
        <f aca="true">NORMSINV(RAND())*$G$7+$G$6</f>
        <v>0.0132893986906435</v>
      </c>
    </row>
    <row r="3175" customFormat="false" ht="15" hidden="false" customHeight="false" outlineLevel="0" collapsed="false">
      <c r="L3175" s="31" t="n">
        <f aca="true">NORMSINV(RAND())*$G$7+$G$6</f>
        <v>3.39579472729548E-006</v>
      </c>
    </row>
    <row r="3176" customFormat="false" ht="15" hidden="false" customHeight="false" outlineLevel="0" collapsed="false">
      <c r="L3176" s="31" t="n">
        <f aca="true">NORMSINV(RAND())*$G$7+$G$6</f>
        <v>-0.0229512412064329</v>
      </c>
    </row>
    <row r="3177" customFormat="false" ht="15" hidden="false" customHeight="false" outlineLevel="0" collapsed="false">
      <c r="L3177" s="31" t="n">
        <f aca="true">NORMSINV(RAND())*$G$7+$G$6</f>
        <v>0.00578637328044214</v>
      </c>
    </row>
    <row r="3178" customFormat="false" ht="15" hidden="false" customHeight="false" outlineLevel="0" collapsed="false">
      <c r="L3178" s="31" t="n">
        <f aca="true">NORMSINV(RAND())*$G$7+$G$6</f>
        <v>0.00980575667597196</v>
      </c>
    </row>
    <row r="3179" customFormat="false" ht="15" hidden="false" customHeight="false" outlineLevel="0" collapsed="false">
      <c r="L3179" s="31" t="n">
        <f aca="true">NORMSINV(RAND())*$G$7+$G$6</f>
        <v>0.0095317939193754</v>
      </c>
    </row>
    <row r="3180" customFormat="false" ht="15" hidden="false" customHeight="false" outlineLevel="0" collapsed="false">
      <c r="L3180" s="31" t="n">
        <f aca="true">NORMSINV(RAND())*$G$7+$G$6</f>
        <v>0.0270902644949374</v>
      </c>
    </row>
    <row r="3181" customFormat="false" ht="15" hidden="false" customHeight="false" outlineLevel="0" collapsed="false">
      <c r="L3181" s="31" t="n">
        <f aca="true">NORMSINV(RAND())*$G$7+$G$6</f>
        <v>0.0209512139468114</v>
      </c>
    </row>
    <row r="3182" customFormat="false" ht="15" hidden="false" customHeight="false" outlineLevel="0" collapsed="false">
      <c r="L3182" s="31" t="n">
        <f aca="true">NORMSINV(RAND())*$G$7+$G$6</f>
        <v>-0.000960766116637164</v>
      </c>
    </row>
    <row r="3183" customFormat="false" ht="15" hidden="false" customHeight="false" outlineLevel="0" collapsed="false">
      <c r="L3183" s="31" t="n">
        <f aca="true">NORMSINV(RAND())*$G$7+$G$6</f>
        <v>-0.00820840109472148</v>
      </c>
    </row>
    <row r="3184" customFormat="false" ht="15" hidden="false" customHeight="false" outlineLevel="0" collapsed="false">
      <c r="L3184" s="31" t="n">
        <f aca="true">NORMSINV(RAND())*$G$7+$G$6</f>
        <v>0.00129545020310555</v>
      </c>
    </row>
    <row r="3185" customFormat="false" ht="15" hidden="false" customHeight="false" outlineLevel="0" collapsed="false">
      <c r="L3185" s="31" t="n">
        <f aca="true">NORMSINV(RAND())*$G$7+$G$6</f>
        <v>0.0268178785035838</v>
      </c>
    </row>
    <row r="3186" customFormat="false" ht="15" hidden="false" customHeight="false" outlineLevel="0" collapsed="false">
      <c r="L3186" s="31" t="n">
        <f aca="true">NORMSINV(RAND())*$G$7+$G$6</f>
        <v>-0.0080617526742371</v>
      </c>
    </row>
    <row r="3187" customFormat="false" ht="15" hidden="false" customHeight="false" outlineLevel="0" collapsed="false">
      <c r="L3187" s="31" t="n">
        <f aca="true">NORMSINV(RAND())*$G$7+$G$6</f>
        <v>0.00384902851669414</v>
      </c>
    </row>
    <row r="3188" customFormat="false" ht="15" hidden="false" customHeight="false" outlineLevel="0" collapsed="false">
      <c r="L3188" s="31" t="n">
        <f aca="true">NORMSINV(RAND())*$G$7+$G$6</f>
        <v>0.003886675372456</v>
      </c>
    </row>
    <row r="3189" customFormat="false" ht="15" hidden="false" customHeight="false" outlineLevel="0" collapsed="false">
      <c r="L3189" s="31" t="n">
        <f aca="true">NORMSINV(RAND())*$G$7+$G$6</f>
        <v>-0.0154716469979818</v>
      </c>
    </row>
    <row r="3190" customFormat="false" ht="15" hidden="false" customHeight="false" outlineLevel="0" collapsed="false">
      <c r="L3190" s="31" t="n">
        <f aca="true">NORMSINV(RAND())*$G$7+$G$6</f>
        <v>0.0173483808893389</v>
      </c>
    </row>
    <row r="3191" customFormat="false" ht="15" hidden="false" customHeight="false" outlineLevel="0" collapsed="false">
      <c r="L3191" s="31" t="n">
        <f aca="true">NORMSINV(RAND())*$G$7+$G$6</f>
        <v>-0.0109695202318862</v>
      </c>
    </row>
    <row r="3192" customFormat="false" ht="15" hidden="false" customHeight="false" outlineLevel="0" collapsed="false">
      <c r="L3192" s="31" t="n">
        <f aca="true">NORMSINV(RAND())*$G$7+$G$6</f>
        <v>-0.0024857233816997</v>
      </c>
    </row>
    <row r="3193" customFormat="false" ht="15" hidden="false" customHeight="false" outlineLevel="0" collapsed="false">
      <c r="L3193" s="31" t="n">
        <f aca="true">NORMSINV(RAND())*$G$7+$G$6</f>
        <v>-0.0188138955274548</v>
      </c>
    </row>
    <row r="3194" customFormat="false" ht="15" hidden="false" customHeight="false" outlineLevel="0" collapsed="false">
      <c r="L3194" s="31" t="n">
        <f aca="true">NORMSINV(RAND())*$G$7+$G$6</f>
        <v>0.0102504142687054</v>
      </c>
    </row>
    <row r="3195" customFormat="false" ht="15" hidden="false" customHeight="false" outlineLevel="0" collapsed="false">
      <c r="L3195" s="31" t="n">
        <f aca="true">NORMSINV(RAND())*$G$7+$G$6</f>
        <v>0.00526144029671855</v>
      </c>
    </row>
    <row r="3196" customFormat="false" ht="15" hidden="false" customHeight="false" outlineLevel="0" collapsed="false">
      <c r="L3196" s="31" t="n">
        <f aca="true">NORMSINV(RAND())*$G$7+$G$6</f>
        <v>0.00876895341524822</v>
      </c>
    </row>
    <row r="3197" customFormat="false" ht="15" hidden="false" customHeight="false" outlineLevel="0" collapsed="false">
      <c r="L3197" s="31" t="n">
        <f aca="true">NORMSINV(RAND())*$G$7+$G$6</f>
        <v>-0.0151322460122813</v>
      </c>
    </row>
    <row r="3198" customFormat="false" ht="15" hidden="false" customHeight="false" outlineLevel="0" collapsed="false">
      <c r="L3198" s="31" t="n">
        <f aca="true">NORMSINV(RAND())*$G$7+$G$6</f>
        <v>0.0433098234125351</v>
      </c>
    </row>
    <row r="3199" customFormat="false" ht="15" hidden="false" customHeight="false" outlineLevel="0" collapsed="false">
      <c r="L3199" s="31" t="n">
        <f aca="true">NORMSINV(RAND())*$G$7+$G$6</f>
        <v>-0.00293053110772239</v>
      </c>
    </row>
    <row r="3200" customFormat="false" ht="15" hidden="false" customHeight="false" outlineLevel="0" collapsed="false">
      <c r="L3200" s="31" t="n">
        <f aca="true">NORMSINV(RAND())*$G$7+$G$6</f>
        <v>-0.00915966782256977</v>
      </c>
    </row>
    <row r="3201" customFormat="false" ht="15" hidden="false" customHeight="false" outlineLevel="0" collapsed="false">
      <c r="L3201" s="31" t="n">
        <f aca="true">NORMSINV(RAND())*$G$7+$G$6</f>
        <v>-0.0080768447084134</v>
      </c>
    </row>
    <row r="3202" customFormat="false" ht="15" hidden="false" customHeight="false" outlineLevel="0" collapsed="false">
      <c r="L3202" s="31" t="n">
        <f aca="true">NORMSINV(RAND())*$G$7+$G$6</f>
        <v>0.00934976810897912</v>
      </c>
    </row>
    <row r="3203" customFormat="false" ht="15" hidden="false" customHeight="false" outlineLevel="0" collapsed="false">
      <c r="L3203" s="31" t="n">
        <f aca="true">NORMSINV(RAND())*$G$7+$G$6</f>
        <v>0.0107076877294942</v>
      </c>
    </row>
    <row r="3204" customFormat="false" ht="15" hidden="false" customHeight="false" outlineLevel="0" collapsed="false">
      <c r="L3204" s="31" t="n">
        <f aca="true">NORMSINV(RAND())*$G$7+$G$6</f>
        <v>-0.00640342990633951</v>
      </c>
    </row>
    <row r="3205" customFormat="false" ht="15" hidden="false" customHeight="false" outlineLevel="0" collapsed="false">
      <c r="L3205" s="31" t="n">
        <f aca="true">NORMSINV(RAND())*$G$7+$G$6</f>
        <v>-0.00161248050293664</v>
      </c>
    </row>
    <row r="3206" customFormat="false" ht="15" hidden="false" customHeight="false" outlineLevel="0" collapsed="false">
      <c r="L3206" s="31" t="n">
        <f aca="true">NORMSINV(RAND())*$G$7+$G$6</f>
        <v>0.00445055015689846</v>
      </c>
    </row>
    <row r="3207" customFormat="false" ht="15" hidden="false" customHeight="false" outlineLevel="0" collapsed="false">
      <c r="L3207" s="31" t="n">
        <f aca="true">NORMSINV(RAND())*$G$7+$G$6</f>
        <v>0.00371492457748385</v>
      </c>
    </row>
    <row r="3208" customFormat="false" ht="15" hidden="false" customHeight="false" outlineLevel="0" collapsed="false">
      <c r="L3208" s="31" t="n">
        <f aca="true">NORMSINV(RAND())*$G$7+$G$6</f>
        <v>0.00312700641769081</v>
      </c>
    </row>
    <row r="3209" customFormat="false" ht="15" hidden="false" customHeight="false" outlineLevel="0" collapsed="false">
      <c r="L3209" s="31" t="n">
        <f aca="true">NORMSINV(RAND())*$G$7+$G$6</f>
        <v>0.00820975188964711</v>
      </c>
    </row>
    <row r="3210" customFormat="false" ht="15" hidden="false" customHeight="false" outlineLevel="0" collapsed="false">
      <c r="L3210" s="31" t="n">
        <f aca="true">NORMSINV(RAND())*$G$7+$G$6</f>
        <v>0.0129949197231935</v>
      </c>
    </row>
    <row r="3211" customFormat="false" ht="15" hidden="false" customHeight="false" outlineLevel="0" collapsed="false">
      <c r="L3211" s="31" t="n">
        <f aca="true">NORMSINV(RAND())*$G$7+$G$6</f>
        <v>-0.0220811876150503</v>
      </c>
    </row>
    <row r="3212" customFormat="false" ht="15" hidden="false" customHeight="false" outlineLevel="0" collapsed="false">
      <c r="L3212" s="31" t="n">
        <f aca="true">NORMSINV(RAND())*$G$7+$G$6</f>
        <v>-0.00106337269140211</v>
      </c>
    </row>
    <row r="3213" customFormat="false" ht="15" hidden="false" customHeight="false" outlineLevel="0" collapsed="false">
      <c r="L3213" s="31" t="n">
        <f aca="true">NORMSINV(RAND())*$G$7+$G$6</f>
        <v>0.00399432010286953</v>
      </c>
    </row>
    <row r="3214" customFormat="false" ht="15" hidden="false" customHeight="false" outlineLevel="0" collapsed="false">
      <c r="L3214" s="31" t="n">
        <f aca="true">NORMSINV(RAND())*$G$7+$G$6</f>
        <v>-0.00404630404734472</v>
      </c>
    </row>
    <row r="3215" customFormat="false" ht="15" hidden="false" customHeight="false" outlineLevel="0" collapsed="false">
      <c r="L3215" s="31" t="n">
        <f aca="true">NORMSINV(RAND())*$G$7+$G$6</f>
        <v>-0.0172535949731033</v>
      </c>
    </row>
    <row r="3216" customFormat="false" ht="15" hidden="false" customHeight="false" outlineLevel="0" collapsed="false">
      <c r="L3216" s="31" t="n">
        <f aca="true">NORMSINV(RAND())*$G$7+$G$6</f>
        <v>0.00718991554775078</v>
      </c>
    </row>
    <row r="3217" customFormat="false" ht="15" hidden="false" customHeight="false" outlineLevel="0" collapsed="false">
      <c r="L3217" s="31" t="n">
        <f aca="true">NORMSINV(RAND())*$G$7+$G$6</f>
        <v>0.00662210629665066</v>
      </c>
    </row>
    <row r="3218" customFormat="false" ht="15" hidden="false" customHeight="false" outlineLevel="0" collapsed="false">
      <c r="L3218" s="31" t="n">
        <f aca="true">NORMSINV(RAND())*$G$7+$G$6</f>
        <v>0.0117238686609938</v>
      </c>
    </row>
    <row r="3219" customFormat="false" ht="15" hidden="false" customHeight="false" outlineLevel="0" collapsed="false">
      <c r="L3219" s="31" t="n">
        <f aca="true">NORMSINV(RAND())*$G$7+$G$6</f>
        <v>-0.012427133985414</v>
      </c>
    </row>
    <row r="3220" customFormat="false" ht="15" hidden="false" customHeight="false" outlineLevel="0" collapsed="false">
      <c r="L3220" s="31" t="n">
        <f aca="true">NORMSINV(RAND())*$G$7+$G$6</f>
        <v>-0.00214243454205504</v>
      </c>
    </row>
    <row r="3221" customFormat="false" ht="15" hidden="false" customHeight="false" outlineLevel="0" collapsed="false">
      <c r="L3221" s="31" t="n">
        <f aca="true">NORMSINV(RAND())*$G$7+$G$6</f>
        <v>-0.00223638482482255</v>
      </c>
    </row>
    <row r="3222" customFormat="false" ht="15" hidden="false" customHeight="false" outlineLevel="0" collapsed="false">
      <c r="L3222" s="31" t="n">
        <f aca="true">NORMSINV(RAND())*$G$7+$G$6</f>
        <v>-0.00566799051068625</v>
      </c>
    </row>
    <row r="3223" customFormat="false" ht="15" hidden="false" customHeight="false" outlineLevel="0" collapsed="false">
      <c r="L3223" s="31" t="n">
        <f aca="true">NORMSINV(RAND())*$G$7+$G$6</f>
        <v>-0.0105350171180139</v>
      </c>
    </row>
    <row r="3224" customFormat="false" ht="15" hidden="false" customHeight="false" outlineLevel="0" collapsed="false">
      <c r="L3224" s="31" t="n">
        <f aca="true">NORMSINV(RAND())*$G$7+$G$6</f>
        <v>0.0124663514402151</v>
      </c>
    </row>
    <row r="3225" customFormat="false" ht="15" hidden="false" customHeight="false" outlineLevel="0" collapsed="false">
      <c r="L3225" s="31" t="n">
        <f aca="true">NORMSINV(RAND())*$G$7+$G$6</f>
        <v>-0.00572297933933192</v>
      </c>
    </row>
    <row r="3226" customFormat="false" ht="15" hidden="false" customHeight="false" outlineLevel="0" collapsed="false">
      <c r="L3226" s="31" t="n">
        <f aca="true">NORMSINV(RAND())*$G$7+$G$6</f>
        <v>0.0197121779861286</v>
      </c>
    </row>
    <row r="3227" customFormat="false" ht="15" hidden="false" customHeight="false" outlineLevel="0" collapsed="false">
      <c r="L3227" s="31" t="n">
        <f aca="true">NORMSINV(RAND())*$G$7+$G$6</f>
        <v>-0.00354004839572439</v>
      </c>
    </row>
    <row r="3228" customFormat="false" ht="15" hidden="false" customHeight="false" outlineLevel="0" collapsed="false">
      <c r="L3228" s="31" t="n">
        <f aca="true">NORMSINV(RAND())*$G$7+$G$6</f>
        <v>-0.0152294240012082</v>
      </c>
    </row>
    <row r="3229" customFormat="false" ht="15" hidden="false" customHeight="false" outlineLevel="0" collapsed="false">
      <c r="L3229" s="31" t="n">
        <f aca="true">NORMSINV(RAND())*$G$7+$G$6</f>
        <v>0.00197172126218371</v>
      </c>
    </row>
    <row r="3230" customFormat="false" ht="15" hidden="false" customHeight="false" outlineLevel="0" collapsed="false">
      <c r="L3230" s="31" t="n">
        <f aca="true">NORMSINV(RAND())*$G$7+$G$6</f>
        <v>-0.0178744826316648</v>
      </c>
    </row>
    <row r="3231" customFormat="false" ht="15" hidden="false" customHeight="false" outlineLevel="0" collapsed="false">
      <c r="L3231" s="31" t="n">
        <f aca="true">NORMSINV(RAND())*$G$7+$G$6</f>
        <v>0.00564766561290535</v>
      </c>
    </row>
    <row r="3232" customFormat="false" ht="15" hidden="false" customHeight="false" outlineLevel="0" collapsed="false">
      <c r="L3232" s="31" t="n">
        <f aca="true">NORMSINV(RAND())*$G$7+$G$6</f>
        <v>-0.01863852076582</v>
      </c>
    </row>
    <row r="3233" customFormat="false" ht="15" hidden="false" customHeight="false" outlineLevel="0" collapsed="false">
      <c r="L3233" s="31" t="n">
        <f aca="true">NORMSINV(RAND())*$G$7+$G$6</f>
        <v>0.0390492832041839</v>
      </c>
    </row>
    <row r="3234" customFormat="false" ht="15" hidden="false" customHeight="false" outlineLevel="0" collapsed="false">
      <c r="L3234" s="31" t="n">
        <f aca="true">NORMSINV(RAND())*$G$7+$G$6</f>
        <v>-0.00160104203615171</v>
      </c>
    </row>
    <row r="3235" customFormat="false" ht="15" hidden="false" customHeight="false" outlineLevel="0" collapsed="false">
      <c r="L3235" s="31" t="n">
        <f aca="true">NORMSINV(RAND())*$G$7+$G$6</f>
        <v>-0.00927709490499727</v>
      </c>
    </row>
    <row r="3236" customFormat="false" ht="15" hidden="false" customHeight="false" outlineLevel="0" collapsed="false">
      <c r="L3236" s="31" t="n">
        <f aca="true">NORMSINV(RAND())*$G$7+$G$6</f>
        <v>-0.00283403933020257</v>
      </c>
    </row>
    <row r="3237" customFormat="false" ht="15" hidden="false" customHeight="false" outlineLevel="0" collapsed="false">
      <c r="L3237" s="31" t="n">
        <f aca="true">NORMSINV(RAND())*$G$7+$G$6</f>
        <v>0.0084285624718626</v>
      </c>
    </row>
    <row r="3238" customFormat="false" ht="15" hidden="false" customHeight="false" outlineLevel="0" collapsed="false">
      <c r="L3238" s="31" t="n">
        <f aca="true">NORMSINV(RAND())*$G$7+$G$6</f>
        <v>0.00381655952846143</v>
      </c>
    </row>
    <row r="3239" customFormat="false" ht="15" hidden="false" customHeight="false" outlineLevel="0" collapsed="false">
      <c r="L3239" s="31" t="n">
        <f aca="true">NORMSINV(RAND())*$G$7+$G$6</f>
        <v>0.00311376708637185</v>
      </c>
    </row>
    <row r="3240" customFormat="false" ht="15" hidden="false" customHeight="false" outlineLevel="0" collapsed="false">
      <c r="L3240" s="31" t="n">
        <f aca="true">NORMSINV(RAND())*$G$7+$G$6</f>
        <v>-0.00224151750241603</v>
      </c>
    </row>
    <row r="3241" customFormat="false" ht="15" hidden="false" customHeight="false" outlineLevel="0" collapsed="false">
      <c r="L3241" s="31" t="n">
        <f aca="true">NORMSINV(RAND())*$G$7+$G$6</f>
        <v>-0.00440781468180189</v>
      </c>
    </row>
    <row r="3242" customFormat="false" ht="15" hidden="false" customHeight="false" outlineLevel="0" collapsed="false">
      <c r="L3242" s="31" t="n">
        <f aca="true">NORMSINV(RAND())*$G$7+$G$6</f>
        <v>-0.00199379103314654</v>
      </c>
    </row>
    <row r="3243" customFormat="false" ht="15" hidden="false" customHeight="false" outlineLevel="0" collapsed="false">
      <c r="L3243" s="31" t="n">
        <f aca="true">NORMSINV(RAND())*$G$7+$G$6</f>
        <v>0.0138307166401052</v>
      </c>
    </row>
    <row r="3244" customFormat="false" ht="15" hidden="false" customHeight="false" outlineLevel="0" collapsed="false">
      <c r="L3244" s="31" t="n">
        <f aca="true">NORMSINV(RAND())*$G$7+$G$6</f>
        <v>0.00342674122568859</v>
      </c>
    </row>
    <row r="3245" customFormat="false" ht="15" hidden="false" customHeight="false" outlineLevel="0" collapsed="false">
      <c r="L3245" s="31" t="n">
        <f aca="true">NORMSINV(RAND())*$G$7+$G$6</f>
        <v>0.00651281917945452</v>
      </c>
    </row>
    <row r="3246" customFormat="false" ht="15" hidden="false" customHeight="false" outlineLevel="0" collapsed="false">
      <c r="L3246" s="31" t="n">
        <f aca="true">NORMSINV(RAND())*$G$7+$G$6</f>
        <v>0.00508913869772382</v>
      </c>
    </row>
    <row r="3247" customFormat="false" ht="15" hidden="false" customHeight="false" outlineLevel="0" collapsed="false">
      <c r="L3247" s="31" t="n">
        <f aca="true">NORMSINV(RAND())*$G$7+$G$6</f>
        <v>0.0139914480789393</v>
      </c>
    </row>
    <row r="3248" customFormat="false" ht="15" hidden="false" customHeight="false" outlineLevel="0" collapsed="false">
      <c r="L3248" s="31" t="n">
        <f aca="true">NORMSINV(RAND())*$G$7+$G$6</f>
        <v>0.0145100804260292</v>
      </c>
    </row>
    <row r="3249" customFormat="false" ht="15" hidden="false" customHeight="false" outlineLevel="0" collapsed="false">
      <c r="L3249" s="31" t="n">
        <f aca="true">NORMSINV(RAND())*$G$7+$G$6</f>
        <v>-0.0117474287896993</v>
      </c>
    </row>
    <row r="3250" customFormat="false" ht="15" hidden="false" customHeight="false" outlineLevel="0" collapsed="false">
      <c r="L3250" s="31" t="n">
        <f aca="true">NORMSINV(RAND())*$G$7+$G$6</f>
        <v>-0.0141239002354748</v>
      </c>
    </row>
    <row r="3251" customFormat="false" ht="15" hidden="false" customHeight="false" outlineLevel="0" collapsed="false">
      <c r="L3251" s="31" t="n">
        <f aca="true">NORMSINV(RAND())*$G$7+$G$6</f>
        <v>0.00319337780936413</v>
      </c>
    </row>
    <row r="3252" customFormat="false" ht="15" hidden="false" customHeight="false" outlineLevel="0" collapsed="false">
      <c r="L3252" s="31" t="n">
        <f aca="true">NORMSINV(RAND())*$G$7+$G$6</f>
        <v>0.00969750868911541</v>
      </c>
    </row>
    <row r="3253" customFormat="false" ht="15" hidden="false" customHeight="false" outlineLevel="0" collapsed="false">
      <c r="L3253" s="31" t="n">
        <f aca="true">NORMSINV(RAND())*$G$7+$G$6</f>
        <v>0.0100061609127455</v>
      </c>
    </row>
    <row r="3254" customFormat="false" ht="15" hidden="false" customHeight="false" outlineLevel="0" collapsed="false">
      <c r="L3254" s="31" t="n">
        <f aca="true">NORMSINV(RAND())*$G$7+$G$6</f>
        <v>0.00651975145906982</v>
      </c>
    </row>
    <row r="3255" customFormat="false" ht="15" hidden="false" customHeight="false" outlineLevel="0" collapsed="false">
      <c r="L3255" s="31" t="n">
        <f aca="true">NORMSINV(RAND())*$G$7+$G$6</f>
        <v>-0.005746276299534</v>
      </c>
    </row>
    <row r="3256" customFormat="false" ht="15" hidden="false" customHeight="false" outlineLevel="0" collapsed="false">
      <c r="L3256" s="31" t="n">
        <f aca="true">NORMSINV(RAND())*$G$7+$G$6</f>
        <v>-0.0108855932627796</v>
      </c>
    </row>
    <row r="3257" customFormat="false" ht="15" hidden="false" customHeight="false" outlineLevel="0" collapsed="false">
      <c r="L3257" s="31" t="n">
        <f aca="true">NORMSINV(RAND())*$G$7+$G$6</f>
        <v>-0.0123508736711713</v>
      </c>
    </row>
    <row r="3258" customFormat="false" ht="15" hidden="false" customHeight="false" outlineLevel="0" collapsed="false">
      <c r="L3258" s="31" t="n">
        <f aca="true">NORMSINV(RAND())*$G$7+$G$6</f>
        <v>0.0032246386674303</v>
      </c>
    </row>
    <row r="3259" customFormat="false" ht="15" hidden="false" customHeight="false" outlineLevel="0" collapsed="false">
      <c r="L3259" s="31" t="n">
        <f aca="true">NORMSINV(RAND())*$G$7+$G$6</f>
        <v>-0.00432242756912516</v>
      </c>
    </row>
    <row r="3260" customFormat="false" ht="15" hidden="false" customHeight="false" outlineLevel="0" collapsed="false">
      <c r="L3260" s="31" t="n">
        <f aca="true">NORMSINV(RAND())*$G$7+$G$6</f>
        <v>-0.00790776711473439</v>
      </c>
    </row>
    <row r="3261" customFormat="false" ht="15" hidden="false" customHeight="false" outlineLevel="0" collapsed="false">
      <c r="L3261" s="31" t="n">
        <f aca="true">NORMSINV(RAND())*$G$7+$G$6</f>
        <v>-0.00283139823046275</v>
      </c>
    </row>
    <row r="3262" customFormat="false" ht="15" hidden="false" customHeight="false" outlineLevel="0" collapsed="false">
      <c r="L3262" s="31" t="n">
        <f aca="true">NORMSINV(RAND())*$G$7+$G$6</f>
        <v>-0.00639467853535005</v>
      </c>
    </row>
    <row r="3263" customFormat="false" ht="15" hidden="false" customHeight="false" outlineLevel="0" collapsed="false">
      <c r="L3263" s="31" t="n">
        <f aca="true">NORMSINV(RAND())*$G$7+$G$6</f>
        <v>0.0260824024248153</v>
      </c>
    </row>
    <row r="3264" customFormat="false" ht="15" hidden="false" customHeight="false" outlineLevel="0" collapsed="false">
      <c r="L3264" s="31" t="n">
        <f aca="true">NORMSINV(RAND())*$G$7+$G$6</f>
        <v>-0.00853597788471356</v>
      </c>
    </row>
    <row r="3265" customFormat="false" ht="15" hidden="false" customHeight="false" outlineLevel="0" collapsed="false">
      <c r="L3265" s="31" t="n">
        <f aca="true">NORMSINV(RAND())*$G$7+$G$6</f>
        <v>0.0261758070630568</v>
      </c>
    </row>
    <row r="3266" customFormat="false" ht="15" hidden="false" customHeight="false" outlineLevel="0" collapsed="false">
      <c r="L3266" s="31" t="n">
        <f aca="true">NORMSINV(RAND())*$G$7+$G$6</f>
        <v>0.00135391458244397</v>
      </c>
    </row>
    <row r="3267" customFormat="false" ht="15" hidden="false" customHeight="false" outlineLevel="0" collapsed="false">
      <c r="L3267" s="31" t="n">
        <f aca="true">NORMSINV(RAND())*$G$7+$G$6</f>
        <v>0.00196877461728217</v>
      </c>
    </row>
    <row r="3268" customFormat="false" ht="15" hidden="false" customHeight="false" outlineLevel="0" collapsed="false">
      <c r="L3268" s="31" t="n">
        <f aca="true">NORMSINV(RAND())*$G$7+$G$6</f>
        <v>0.0155216488658847</v>
      </c>
    </row>
    <row r="3269" customFormat="false" ht="15" hidden="false" customHeight="false" outlineLevel="0" collapsed="false">
      <c r="L3269" s="31" t="n">
        <f aca="true">NORMSINV(RAND())*$G$7+$G$6</f>
        <v>-0.000559130474605455</v>
      </c>
    </row>
    <row r="3270" customFormat="false" ht="15" hidden="false" customHeight="false" outlineLevel="0" collapsed="false">
      <c r="L3270" s="31" t="n">
        <f aca="true">NORMSINV(RAND())*$G$7+$G$6</f>
        <v>0.00498974081464388</v>
      </c>
    </row>
    <row r="3271" customFormat="false" ht="15" hidden="false" customHeight="false" outlineLevel="0" collapsed="false">
      <c r="L3271" s="31" t="n">
        <f aca="true">NORMSINV(RAND())*$G$7+$G$6</f>
        <v>-0.0365457690246207</v>
      </c>
    </row>
    <row r="3272" customFormat="false" ht="15" hidden="false" customHeight="false" outlineLevel="0" collapsed="false">
      <c r="L3272" s="31" t="n">
        <f aca="true">NORMSINV(RAND())*$G$7+$G$6</f>
        <v>0.00868636564312519</v>
      </c>
    </row>
    <row r="3273" customFormat="false" ht="15" hidden="false" customHeight="false" outlineLevel="0" collapsed="false">
      <c r="L3273" s="31" t="n">
        <f aca="true">NORMSINV(RAND())*$G$7+$G$6</f>
        <v>0.0015196862391228</v>
      </c>
    </row>
    <row r="3274" customFormat="false" ht="15" hidden="false" customHeight="false" outlineLevel="0" collapsed="false">
      <c r="L3274" s="31" t="n">
        <f aca="true">NORMSINV(RAND())*$G$7+$G$6</f>
        <v>-0.00264571887373964</v>
      </c>
    </row>
    <row r="3275" customFormat="false" ht="15" hidden="false" customHeight="false" outlineLevel="0" collapsed="false">
      <c r="L3275" s="31" t="n">
        <f aca="true">NORMSINV(RAND())*$G$7+$G$6</f>
        <v>0.00977889447178233</v>
      </c>
    </row>
    <row r="3276" customFormat="false" ht="15" hidden="false" customHeight="false" outlineLevel="0" collapsed="false">
      <c r="L3276" s="31" t="n">
        <f aca="true">NORMSINV(RAND())*$G$7+$G$6</f>
        <v>-0.0136562831630824</v>
      </c>
    </row>
    <row r="3277" customFormat="false" ht="15" hidden="false" customHeight="false" outlineLevel="0" collapsed="false">
      <c r="L3277" s="31" t="n">
        <f aca="true">NORMSINV(RAND())*$G$7+$G$6</f>
        <v>-0.0147736336901491</v>
      </c>
    </row>
    <row r="3278" customFormat="false" ht="15" hidden="false" customHeight="false" outlineLevel="0" collapsed="false">
      <c r="L3278" s="31" t="n">
        <f aca="true">NORMSINV(RAND())*$G$7+$G$6</f>
        <v>-0.0109282408287529</v>
      </c>
    </row>
    <row r="3279" customFormat="false" ht="15" hidden="false" customHeight="false" outlineLevel="0" collapsed="false">
      <c r="L3279" s="31" t="n">
        <f aca="true">NORMSINV(RAND())*$G$7+$G$6</f>
        <v>0.010891607177233</v>
      </c>
    </row>
    <row r="3280" customFormat="false" ht="15" hidden="false" customHeight="false" outlineLevel="0" collapsed="false">
      <c r="L3280" s="31" t="n">
        <f aca="true">NORMSINV(RAND())*$G$7+$G$6</f>
        <v>-0.0129972582942989</v>
      </c>
    </row>
    <row r="3281" customFormat="false" ht="15" hidden="false" customHeight="false" outlineLevel="0" collapsed="false">
      <c r="L3281" s="31" t="n">
        <f aca="true">NORMSINV(RAND())*$G$7+$G$6</f>
        <v>0.00930026331605292</v>
      </c>
    </row>
    <row r="3282" customFormat="false" ht="15" hidden="false" customHeight="false" outlineLevel="0" collapsed="false">
      <c r="L3282" s="31" t="n">
        <f aca="true">NORMSINV(RAND())*$G$7+$G$6</f>
        <v>0.00147757967662992</v>
      </c>
    </row>
    <row r="3283" customFormat="false" ht="15" hidden="false" customHeight="false" outlineLevel="0" collapsed="false">
      <c r="L3283" s="31" t="n">
        <f aca="true">NORMSINV(RAND())*$G$7+$G$6</f>
        <v>7.42578955459618E-005</v>
      </c>
    </row>
    <row r="3284" customFormat="false" ht="15" hidden="false" customHeight="false" outlineLevel="0" collapsed="false">
      <c r="L3284" s="31" t="n">
        <f aca="true">NORMSINV(RAND())*$G$7+$G$6</f>
        <v>-0.00370957432816957</v>
      </c>
    </row>
    <row r="3285" customFormat="false" ht="15" hidden="false" customHeight="false" outlineLevel="0" collapsed="false">
      <c r="L3285" s="31" t="n">
        <f aca="true">NORMSINV(RAND())*$G$7+$G$6</f>
        <v>0.00349452714290228</v>
      </c>
    </row>
    <row r="3286" customFormat="false" ht="15" hidden="false" customHeight="false" outlineLevel="0" collapsed="false">
      <c r="L3286" s="31" t="n">
        <f aca="true">NORMSINV(RAND())*$G$7+$G$6</f>
        <v>0.0173949813949352</v>
      </c>
    </row>
    <row r="3287" customFormat="false" ht="15" hidden="false" customHeight="false" outlineLevel="0" collapsed="false">
      <c r="L3287" s="31" t="n">
        <f aca="true">NORMSINV(RAND())*$G$7+$G$6</f>
        <v>0.0317596610824464</v>
      </c>
    </row>
    <row r="3288" customFormat="false" ht="15" hidden="false" customHeight="false" outlineLevel="0" collapsed="false">
      <c r="L3288" s="31" t="n">
        <f aca="true">NORMSINV(RAND())*$G$7+$G$6</f>
        <v>-0.00268238550781599</v>
      </c>
    </row>
    <row r="3289" customFormat="false" ht="15" hidden="false" customHeight="false" outlineLevel="0" collapsed="false">
      <c r="L3289" s="31" t="n">
        <f aca="true">NORMSINV(RAND())*$G$7+$G$6</f>
        <v>0.00957590543380947</v>
      </c>
    </row>
    <row r="3290" customFormat="false" ht="15" hidden="false" customHeight="false" outlineLevel="0" collapsed="false">
      <c r="L3290" s="31" t="n">
        <f aca="true">NORMSINV(RAND())*$G$7+$G$6</f>
        <v>-0.00626710969739057</v>
      </c>
    </row>
    <row r="3291" customFormat="false" ht="15" hidden="false" customHeight="false" outlineLevel="0" collapsed="false">
      <c r="L3291" s="31" t="n">
        <f aca="true">NORMSINV(RAND())*$G$7+$G$6</f>
        <v>0.0318083944929291</v>
      </c>
    </row>
    <row r="3292" customFormat="false" ht="15" hidden="false" customHeight="false" outlineLevel="0" collapsed="false">
      <c r="L3292" s="31" t="n">
        <f aca="true">NORMSINV(RAND())*$G$7+$G$6</f>
        <v>0.00248974608204631</v>
      </c>
    </row>
    <row r="3293" customFormat="false" ht="15" hidden="false" customHeight="false" outlineLevel="0" collapsed="false">
      <c r="L3293" s="31" t="n">
        <f aca="true">NORMSINV(RAND())*$G$7+$G$6</f>
        <v>0.00272659330011945</v>
      </c>
    </row>
    <row r="3294" customFormat="false" ht="15" hidden="false" customHeight="false" outlineLevel="0" collapsed="false">
      <c r="L3294" s="31" t="n">
        <f aca="true">NORMSINV(RAND())*$G$7+$G$6</f>
        <v>0.0137432011962963</v>
      </c>
    </row>
    <row r="3295" customFormat="false" ht="15" hidden="false" customHeight="false" outlineLevel="0" collapsed="false">
      <c r="L3295" s="31" t="n">
        <f aca="true">NORMSINV(RAND())*$G$7+$G$6</f>
        <v>-0.00359582090562429</v>
      </c>
    </row>
    <row r="3296" customFormat="false" ht="15" hidden="false" customHeight="false" outlineLevel="0" collapsed="false">
      <c r="L3296" s="31" t="n">
        <f aca="true">NORMSINV(RAND())*$G$7+$G$6</f>
        <v>0.0212971935411305</v>
      </c>
    </row>
    <row r="3297" customFormat="false" ht="15" hidden="false" customHeight="false" outlineLevel="0" collapsed="false">
      <c r="L3297" s="31" t="n">
        <f aca="true">NORMSINV(RAND())*$G$7+$G$6</f>
        <v>0.025024463040911</v>
      </c>
    </row>
    <row r="3298" customFormat="false" ht="15" hidden="false" customHeight="false" outlineLevel="0" collapsed="false">
      <c r="L3298" s="31" t="n">
        <f aca="true">NORMSINV(RAND())*$G$7+$G$6</f>
        <v>-0.0071937131544413</v>
      </c>
    </row>
    <row r="3299" customFormat="false" ht="15" hidden="false" customHeight="false" outlineLevel="0" collapsed="false">
      <c r="L3299" s="31" t="n">
        <f aca="true">NORMSINV(RAND())*$G$7+$G$6</f>
        <v>-0.00790893081335255</v>
      </c>
    </row>
    <row r="3300" customFormat="false" ht="15" hidden="false" customHeight="false" outlineLevel="0" collapsed="false">
      <c r="L3300" s="31" t="n">
        <f aca="true">NORMSINV(RAND())*$G$7+$G$6</f>
        <v>-0.0080357574010371</v>
      </c>
    </row>
    <row r="3301" customFormat="false" ht="15" hidden="false" customHeight="false" outlineLevel="0" collapsed="false">
      <c r="L3301" s="31" t="n">
        <f aca="true">NORMSINV(RAND())*$G$7+$G$6</f>
        <v>-0.00786236043263839</v>
      </c>
    </row>
    <row r="3302" customFormat="false" ht="15" hidden="false" customHeight="false" outlineLevel="0" collapsed="false">
      <c r="L3302" s="31" t="n">
        <f aca="true">NORMSINV(RAND())*$G$7+$G$6</f>
        <v>0.00528355817270322</v>
      </c>
    </row>
    <row r="3303" customFormat="false" ht="15" hidden="false" customHeight="false" outlineLevel="0" collapsed="false">
      <c r="L3303" s="31" t="n">
        <f aca="true">NORMSINV(RAND())*$G$7+$G$6</f>
        <v>-0.00371807197906042</v>
      </c>
    </row>
    <row r="3304" customFormat="false" ht="15" hidden="false" customHeight="false" outlineLevel="0" collapsed="false">
      <c r="L3304" s="31" t="n">
        <f aca="true">NORMSINV(RAND())*$G$7+$G$6</f>
        <v>0.00615235903875864</v>
      </c>
    </row>
    <row r="3305" customFormat="false" ht="15" hidden="false" customHeight="false" outlineLevel="0" collapsed="false">
      <c r="L3305" s="31" t="n">
        <f aca="true">NORMSINV(RAND())*$G$7+$G$6</f>
        <v>0.0297091835657343</v>
      </c>
    </row>
    <row r="3306" customFormat="false" ht="15" hidden="false" customHeight="false" outlineLevel="0" collapsed="false">
      <c r="L3306" s="31" t="n">
        <f aca="true">NORMSINV(RAND())*$G$7+$G$6</f>
        <v>0.00888347211752072</v>
      </c>
    </row>
    <row r="3307" customFormat="false" ht="15" hidden="false" customHeight="false" outlineLevel="0" collapsed="false">
      <c r="L3307" s="31" t="n">
        <f aca="true">NORMSINV(RAND())*$G$7+$G$6</f>
        <v>0.00867749279477406</v>
      </c>
    </row>
    <row r="3308" customFormat="false" ht="15" hidden="false" customHeight="false" outlineLevel="0" collapsed="false">
      <c r="L3308" s="31" t="n">
        <f aca="true">NORMSINV(RAND())*$G$7+$G$6</f>
        <v>-0.00498533683413894</v>
      </c>
    </row>
    <row r="3309" customFormat="false" ht="15" hidden="false" customHeight="false" outlineLevel="0" collapsed="false">
      <c r="L3309" s="31" t="n">
        <f aca="true">NORMSINV(RAND())*$G$7+$G$6</f>
        <v>0.00623100633092721</v>
      </c>
    </row>
    <row r="3310" customFormat="false" ht="15" hidden="false" customHeight="false" outlineLevel="0" collapsed="false">
      <c r="L3310" s="31" t="n">
        <f aca="true">NORMSINV(RAND())*$G$7+$G$6</f>
        <v>0.00769905769656424</v>
      </c>
    </row>
    <row r="3311" customFormat="false" ht="15" hidden="false" customHeight="false" outlineLevel="0" collapsed="false">
      <c r="L3311" s="31" t="n">
        <f aca="true">NORMSINV(RAND())*$G$7+$G$6</f>
        <v>0.00216970032872393</v>
      </c>
    </row>
    <row r="3312" customFormat="false" ht="15" hidden="false" customHeight="false" outlineLevel="0" collapsed="false">
      <c r="L3312" s="31" t="n">
        <f aca="true">NORMSINV(RAND())*$G$7+$G$6</f>
        <v>9.51841878004179E-005</v>
      </c>
    </row>
    <row r="3313" customFormat="false" ht="15" hidden="false" customHeight="false" outlineLevel="0" collapsed="false">
      <c r="L3313" s="31" t="n">
        <f aca="true">NORMSINV(RAND())*$G$7+$G$6</f>
        <v>-0.0156252087046506</v>
      </c>
    </row>
    <row r="3314" customFormat="false" ht="15" hidden="false" customHeight="false" outlineLevel="0" collapsed="false">
      <c r="L3314" s="31" t="n">
        <f aca="true">NORMSINV(RAND())*$G$7+$G$6</f>
        <v>0.0264608990320916</v>
      </c>
    </row>
    <row r="3315" customFormat="false" ht="15" hidden="false" customHeight="false" outlineLevel="0" collapsed="false">
      <c r="L3315" s="31" t="n">
        <f aca="true">NORMSINV(RAND())*$G$7+$G$6</f>
        <v>-0.00921945112279237</v>
      </c>
    </row>
    <row r="3316" customFormat="false" ht="15" hidden="false" customHeight="false" outlineLevel="0" collapsed="false">
      <c r="L3316" s="31" t="n">
        <f aca="true">NORMSINV(RAND())*$G$7+$G$6</f>
        <v>0.0129956815354381</v>
      </c>
    </row>
    <row r="3317" customFormat="false" ht="15" hidden="false" customHeight="false" outlineLevel="0" collapsed="false">
      <c r="L3317" s="31" t="n">
        <f aca="true">NORMSINV(RAND())*$G$7+$G$6</f>
        <v>-0.0239175681752494</v>
      </c>
    </row>
    <row r="3318" customFormat="false" ht="15" hidden="false" customHeight="false" outlineLevel="0" collapsed="false">
      <c r="L3318" s="31" t="n">
        <f aca="true">NORMSINV(RAND())*$G$7+$G$6</f>
        <v>0.0129826836885971</v>
      </c>
    </row>
    <row r="3319" customFormat="false" ht="15" hidden="false" customHeight="false" outlineLevel="0" collapsed="false">
      <c r="L3319" s="31" t="n">
        <f aca="true">NORMSINV(RAND())*$G$7+$G$6</f>
        <v>0.00541869727726946</v>
      </c>
    </row>
    <row r="3320" customFormat="false" ht="15" hidden="false" customHeight="false" outlineLevel="0" collapsed="false">
      <c r="L3320" s="31" t="n">
        <f aca="true">NORMSINV(RAND())*$G$7+$G$6</f>
        <v>0.00440524576495467</v>
      </c>
    </row>
    <row r="3321" customFormat="false" ht="15" hidden="false" customHeight="false" outlineLevel="0" collapsed="false">
      <c r="L3321" s="31" t="n">
        <f aca="true">NORMSINV(RAND())*$G$7+$G$6</f>
        <v>-0.0132476611730748</v>
      </c>
    </row>
    <row r="3322" customFormat="false" ht="15" hidden="false" customHeight="false" outlineLevel="0" collapsed="false">
      <c r="L3322" s="31" t="n">
        <f aca="true">NORMSINV(RAND())*$G$7+$G$6</f>
        <v>-0.0276644763508827</v>
      </c>
    </row>
    <row r="3323" customFormat="false" ht="15" hidden="false" customHeight="false" outlineLevel="0" collapsed="false">
      <c r="L3323" s="31" t="n">
        <f aca="true">NORMSINV(RAND())*$G$7+$G$6</f>
        <v>-0.00835144222207704</v>
      </c>
    </row>
    <row r="3324" customFormat="false" ht="15" hidden="false" customHeight="false" outlineLevel="0" collapsed="false">
      <c r="L3324" s="31" t="n">
        <f aca="true">NORMSINV(RAND())*$G$7+$G$6</f>
        <v>0.0320037908179139</v>
      </c>
    </row>
    <row r="3325" customFormat="false" ht="15" hidden="false" customHeight="false" outlineLevel="0" collapsed="false">
      <c r="L3325" s="31" t="n">
        <f aca="true">NORMSINV(RAND())*$G$7+$G$6</f>
        <v>0.00833563707106882</v>
      </c>
    </row>
    <row r="3326" customFormat="false" ht="15" hidden="false" customHeight="false" outlineLevel="0" collapsed="false">
      <c r="L3326" s="31" t="n">
        <f aca="true">NORMSINV(RAND())*$G$7+$G$6</f>
        <v>-0.000690725666140541</v>
      </c>
    </row>
    <row r="3327" customFormat="false" ht="15" hidden="false" customHeight="false" outlineLevel="0" collapsed="false">
      <c r="L3327" s="31" t="n">
        <f aca="true">NORMSINV(RAND())*$G$7+$G$6</f>
        <v>0.0118565418922288</v>
      </c>
    </row>
    <row r="3328" customFormat="false" ht="15" hidden="false" customHeight="false" outlineLevel="0" collapsed="false">
      <c r="L3328" s="31" t="n">
        <f aca="true">NORMSINV(RAND())*$G$7+$G$6</f>
        <v>0.0148926188447775</v>
      </c>
    </row>
    <row r="3329" customFormat="false" ht="15" hidden="false" customHeight="false" outlineLevel="0" collapsed="false">
      <c r="L3329" s="31" t="n">
        <f aca="true">NORMSINV(RAND())*$G$7+$G$6</f>
        <v>-0.0115027199073236</v>
      </c>
    </row>
    <row r="3330" customFormat="false" ht="15" hidden="false" customHeight="false" outlineLevel="0" collapsed="false">
      <c r="L3330" s="31" t="n">
        <f aca="true">NORMSINV(RAND())*$G$7+$G$6</f>
        <v>-0.00332377066827153</v>
      </c>
    </row>
    <row r="3331" customFormat="false" ht="15" hidden="false" customHeight="false" outlineLevel="0" collapsed="false">
      <c r="L3331" s="31" t="n">
        <f aca="true">NORMSINV(RAND())*$G$7+$G$6</f>
        <v>-0.0252606497738371</v>
      </c>
    </row>
    <row r="3332" customFormat="false" ht="15" hidden="false" customHeight="false" outlineLevel="0" collapsed="false">
      <c r="L3332" s="31" t="n">
        <f aca="true">NORMSINV(RAND())*$G$7+$G$6</f>
        <v>-0.0127172712655466</v>
      </c>
    </row>
    <row r="3333" customFormat="false" ht="15" hidden="false" customHeight="false" outlineLevel="0" collapsed="false">
      <c r="L3333" s="31" t="n">
        <f aca="true">NORMSINV(RAND())*$G$7+$G$6</f>
        <v>0.00421804433484488</v>
      </c>
    </row>
    <row r="3334" customFormat="false" ht="15" hidden="false" customHeight="false" outlineLevel="0" collapsed="false">
      <c r="L3334" s="31" t="n">
        <f aca="true">NORMSINV(RAND())*$G$7+$G$6</f>
        <v>0.0162318491696284</v>
      </c>
    </row>
    <row r="3335" customFormat="false" ht="15" hidden="false" customHeight="false" outlineLevel="0" collapsed="false">
      <c r="L3335" s="31" t="n">
        <f aca="true">NORMSINV(RAND())*$G$7+$G$6</f>
        <v>0.0172533888353635</v>
      </c>
    </row>
    <row r="3336" customFormat="false" ht="15" hidden="false" customHeight="false" outlineLevel="0" collapsed="false">
      <c r="L3336" s="31" t="n">
        <f aca="true">NORMSINV(RAND())*$G$7+$G$6</f>
        <v>0.000732042538038432</v>
      </c>
    </row>
    <row r="3337" customFormat="false" ht="15" hidden="false" customHeight="false" outlineLevel="0" collapsed="false">
      <c r="L3337" s="31" t="n">
        <f aca="true">NORMSINV(RAND())*$G$7+$G$6</f>
        <v>0.00736145964888074</v>
      </c>
    </row>
    <row r="3338" customFormat="false" ht="15" hidden="false" customHeight="false" outlineLevel="0" collapsed="false">
      <c r="L3338" s="31" t="n">
        <f aca="true">NORMSINV(RAND())*$G$7+$G$6</f>
        <v>-0.00779061612498846</v>
      </c>
    </row>
    <row r="3339" customFormat="false" ht="15" hidden="false" customHeight="false" outlineLevel="0" collapsed="false">
      <c r="L3339" s="31" t="n">
        <f aca="true">NORMSINV(RAND())*$G$7+$G$6</f>
        <v>0.0122344982927169</v>
      </c>
    </row>
    <row r="3340" customFormat="false" ht="15" hidden="false" customHeight="false" outlineLevel="0" collapsed="false">
      <c r="L3340" s="31" t="n">
        <f aca="true">NORMSINV(RAND())*$G$7+$G$6</f>
        <v>0.0102105529790605</v>
      </c>
    </row>
    <row r="3341" customFormat="false" ht="15" hidden="false" customHeight="false" outlineLevel="0" collapsed="false">
      <c r="L3341" s="31" t="n">
        <f aca="true">NORMSINV(RAND())*$G$7+$G$6</f>
        <v>0.0168567713551718</v>
      </c>
    </row>
    <row r="3342" customFormat="false" ht="15" hidden="false" customHeight="false" outlineLevel="0" collapsed="false">
      <c r="L3342" s="31" t="n">
        <f aca="true">NORMSINV(RAND())*$G$7+$G$6</f>
        <v>0.00254945172344456</v>
      </c>
    </row>
    <row r="3343" customFormat="false" ht="15" hidden="false" customHeight="false" outlineLevel="0" collapsed="false">
      <c r="L3343" s="31" t="n">
        <f aca="true">NORMSINV(RAND())*$G$7+$G$6</f>
        <v>0.00234997786343334</v>
      </c>
    </row>
    <row r="3344" customFormat="false" ht="15" hidden="false" customHeight="false" outlineLevel="0" collapsed="false">
      <c r="L3344" s="31" t="n">
        <f aca="true">NORMSINV(RAND())*$G$7+$G$6</f>
        <v>0.0205958980171422</v>
      </c>
    </row>
    <row r="3345" customFormat="false" ht="15" hidden="false" customHeight="false" outlineLevel="0" collapsed="false">
      <c r="L3345" s="31" t="n">
        <f aca="true">NORMSINV(RAND())*$G$7+$G$6</f>
        <v>0.000524890261130185</v>
      </c>
    </row>
    <row r="3346" customFormat="false" ht="15" hidden="false" customHeight="false" outlineLevel="0" collapsed="false">
      <c r="L3346" s="31" t="n">
        <f aca="true">NORMSINV(RAND())*$G$7+$G$6</f>
        <v>0.00160758338338709</v>
      </c>
    </row>
    <row r="3347" customFormat="false" ht="15" hidden="false" customHeight="false" outlineLevel="0" collapsed="false">
      <c r="L3347" s="31" t="n">
        <f aca="true">NORMSINV(RAND())*$G$7+$G$6</f>
        <v>-0.00108615656441095</v>
      </c>
    </row>
    <row r="3348" customFormat="false" ht="15" hidden="false" customHeight="false" outlineLevel="0" collapsed="false">
      <c r="L3348" s="31" t="n">
        <f aca="true">NORMSINV(RAND())*$G$7+$G$6</f>
        <v>0.000693044144346907</v>
      </c>
    </row>
    <row r="3349" customFormat="false" ht="15" hidden="false" customHeight="false" outlineLevel="0" collapsed="false">
      <c r="L3349" s="31" t="n">
        <f aca="true">NORMSINV(RAND())*$G$7+$G$6</f>
        <v>0.0125795543305574</v>
      </c>
    </row>
    <row r="3350" customFormat="false" ht="15" hidden="false" customHeight="false" outlineLevel="0" collapsed="false">
      <c r="L3350" s="31" t="n">
        <f aca="true">NORMSINV(RAND())*$G$7+$G$6</f>
        <v>0.0127347890556638</v>
      </c>
    </row>
    <row r="3351" customFormat="false" ht="15" hidden="false" customHeight="false" outlineLevel="0" collapsed="false">
      <c r="L3351" s="31" t="n">
        <f aca="true">NORMSINV(RAND())*$G$7+$G$6</f>
        <v>-0.00483362588676227</v>
      </c>
    </row>
    <row r="3352" customFormat="false" ht="15" hidden="false" customHeight="false" outlineLevel="0" collapsed="false">
      <c r="L3352" s="31" t="n">
        <f aca="true">NORMSINV(RAND())*$G$7+$G$6</f>
        <v>0.0086169710495455</v>
      </c>
    </row>
    <row r="3353" customFormat="false" ht="15" hidden="false" customHeight="false" outlineLevel="0" collapsed="false">
      <c r="L3353" s="31" t="n">
        <f aca="true">NORMSINV(RAND())*$G$7+$G$6</f>
        <v>-0.00188893993808666</v>
      </c>
    </row>
    <row r="3354" customFormat="false" ht="15" hidden="false" customHeight="false" outlineLevel="0" collapsed="false">
      <c r="L3354" s="31" t="n">
        <f aca="true">NORMSINV(RAND())*$G$7+$G$6</f>
        <v>0.00497222996865985</v>
      </c>
    </row>
    <row r="3355" customFormat="false" ht="15" hidden="false" customHeight="false" outlineLevel="0" collapsed="false">
      <c r="L3355" s="31" t="n">
        <f aca="true">NORMSINV(RAND())*$G$7+$G$6</f>
        <v>0.00335708069502083</v>
      </c>
    </row>
    <row r="3356" customFormat="false" ht="15" hidden="false" customHeight="false" outlineLevel="0" collapsed="false">
      <c r="L3356" s="31" t="n">
        <f aca="true">NORMSINV(RAND())*$G$7+$G$6</f>
        <v>-0.013726665732572</v>
      </c>
    </row>
    <row r="3357" customFormat="false" ht="15" hidden="false" customHeight="false" outlineLevel="0" collapsed="false">
      <c r="L3357" s="31" t="n">
        <f aca="true">NORMSINV(RAND())*$G$7+$G$6</f>
        <v>-0.0120951741699972</v>
      </c>
    </row>
    <row r="3358" customFormat="false" ht="15" hidden="false" customHeight="false" outlineLevel="0" collapsed="false">
      <c r="L3358" s="31" t="n">
        <f aca="true">NORMSINV(RAND())*$G$7+$G$6</f>
        <v>0.000322572237994716</v>
      </c>
    </row>
    <row r="3359" customFormat="false" ht="15" hidden="false" customHeight="false" outlineLevel="0" collapsed="false">
      <c r="L3359" s="31" t="n">
        <f aca="true">NORMSINV(RAND())*$G$7+$G$6</f>
        <v>-0.00840608938259415</v>
      </c>
    </row>
    <row r="3360" customFormat="false" ht="15" hidden="false" customHeight="false" outlineLevel="0" collapsed="false">
      <c r="L3360" s="31" t="n">
        <f aca="true">NORMSINV(RAND())*$G$7+$G$6</f>
        <v>-0.00475915882643124</v>
      </c>
    </row>
    <row r="3361" customFormat="false" ht="15" hidden="false" customHeight="false" outlineLevel="0" collapsed="false">
      <c r="L3361" s="31" t="n">
        <f aca="true">NORMSINV(RAND())*$G$7+$G$6</f>
        <v>-0.0182020138938488</v>
      </c>
    </row>
    <row r="3362" customFormat="false" ht="15" hidden="false" customHeight="false" outlineLevel="0" collapsed="false">
      <c r="L3362" s="31" t="n">
        <f aca="true">NORMSINV(RAND())*$G$7+$G$6</f>
        <v>-0.00763807541032539</v>
      </c>
    </row>
    <row r="3363" customFormat="false" ht="15" hidden="false" customHeight="false" outlineLevel="0" collapsed="false">
      <c r="L3363" s="31" t="n">
        <f aca="true">NORMSINV(RAND())*$G$7+$G$6</f>
        <v>-0.00505970057951625</v>
      </c>
    </row>
    <row r="3364" customFormat="false" ht="15" hidden="false" customHeight="false" outlineLevel="0" collapsed="false">
      <c r="L3364" s="31" t="n">
        <f aca="true">NORMSINV(RAND())*$G$7+$G$6</f>
        <v>0.0126821733646796</v>
      </c>
    </row>
    <row r="3365" customFormat="false" ht="15" hidden="false" customHeight="false" outlineLevel="0" collapsed="false">
      <c r="L3365" s="31" t="n">
        <f aca="true">NORMSINV(RAND())*$G$7+$G$6</f>
        <v>-0.010842016189633</v>
      </c>
    </row>
    <row r="3366" customFormat="false" ht="15" hidden="false" customHeight="false" outlineLevel="0" collapsed="false">
      <c r="L3366" s="31" t="n">
        <f aca="true">NORMSINV(RAND())*$G$7+$G$6</f>
        <v>-0.0135514143480165</v>
      </c>
    </row>
    <row r="3367" customFormat="false" ht="15" hidden="false" customHeight="false" outlineLevel="0" collapsed="false">
      <c r="L3367" s="31" t="n">
        <f aca="true">NORMSINV(RAND())*$G$7+$G$6</f>
        <v>-0.0048459515678071</v>
      </c>
    </row>
    <row r="3368" customFormat="false" ht="15" hidden="false" customHeight="false" outlineLevel="0" collapsed="false">
      <c r="L3368" s="31" t="n">
        <f aca="true">NORMSINV(RAND())*$G$7+$G$6</f>
        <v>-0.00121989880700454</v>
      </c>
    </row>
    <row r="3369" customFormat="false" ht="15" hidden="false" customHeight="false" outlineLevel="0" collapsed="false">
      <c r="L3369" s="31" t="n">
        <f aca="true">NORMSINV(RAND())*$G$7+$G$6</f>
        <v>-0.0244771031804617</v>
      </c>
    </row>
    <row r="3370" customFormat="false" ht="15" hidden="false" customHeight="false" outlineLevel="0" collapsed="false">
      <c r="L3370" s="31" t="n">
        <f aca="true">NORMSINV(RAND())*$G$7+$G$6</f>
        <v>0.00908201223431781</v>
      </c>
    </row>
    <row r="3371" customFormat="false" ht="15" hidden="false" customHeight="false" outlineLevel="0" collapsed="false">
      <c r="L3371" s="31" t="n">
        <f aca="true">NORMSINV(RAND())*$G$7+$G$6</f>
        <v>-0.00602315261803612</v>
      </c>
    </row>
    <row r="3372" customFormat="false" ht="15" hidden="false" customHeight="false" outlineLevel="0" collapsed="false">
      <c r="L3372" s="31" t="n">
        <f aca="true">NORMSINV(RAND())*$G$7+$G$6</f>
        <v>-0.00965991868094436</v>
      </c>
    </row>
    <row r="3373" customFormat="false" ht="15" hidden="false" customHeight="false" outlineLevel="0" collapsed="false">
      <c r="L3373" s="31" t="n">
        <f aca="true">NORMSINV(RAND())*$G$7+$G$6</f>
        <v>0.0114143071405691</v>
      </c>
    </row>
    <row r="3374" customFormat="false" ht="15" hidden="false" customHeight="false" outlineLevel="0" collapsed="false">
      <c r="L3374" s="31" t="n">
        <f aca="true">NORMSINV(RAND())*$G$7+$G$6</f>
        <v>0.0146451643141436</v>
      </c>
    </row>
    <row r="3375" customFormat="false" ht="15" hidden="false" customHeight="false" outlineLevel="0" collapsed="false">
      <c r="L3375" s="31" t="n">
        <f aca="true">NORMSINV(RAND())*$G$7+$G$6</f>
        <v>0.0226080364008608</v>
      </c>
    </row>
    <row r="3376" customFormat="false" ht="15" hidden="false" customHeight="false" outlineLevel="0" collapsed="false">
      <c r="L3376" s="31" t="n">
        <f aca="true">NORMSINV(RAND())*$G$7+$G$6</f>
        <v>0.00225361493297439</v>
      </c>
    </row>
    <row r="3377" customFormat="false" ht="15" hidden="false" customHeight="false" outlineLevel="0" collapsed="false">
      <c r="L3377" s="31" t="n">
        <f aca="true">NORMSINV(RAND())*$G$7+$G$6</f>
        <v>-0.00273336646800458</v>
      </c>
    </row>
    <row r="3378" customFormat="false" ht="15" hidden="false" customHeight="false" outlineLevel="0" collapsed="false">
      <c r="L3378" s="31" t="n">
        <f aca="true">NORMSINV(RAND())*$G$7+$G$6</f>
        <v>-0.0116224931828837</v>
      </c>
    </row>
    <row r="3379" customFormat="false" ht="15" hidden="false" customHeight="false" outlineLevel="0" collapsed="false">
      <c r="L3379" s="31" t="n">
        <f aca="true">NORMSINV(RAND())*$G$7+$G$6</f>
        <v>-0.028211437922478</v>
      </c>
    </row>
    <row r="3380" customFormat="false" ht="15" hidden="false" customHeight="false" outlineLevel="0" collapsed="false">
      <c r="L3380" s="31" t="n">
        <f aca="true">NORMSINV(RAND())*$G$7+$G$6</f>
        <v>0.00321337433259853</v>
      </c>
    </row>
    <row r="3381" customFormat="false" ht="15" hidden="false" customHeight="false" outlineLevel="0" collapsed="false">
      <c r="L3381" s="31" t="n">
        <f aca="true">NORMSINV(RAND())*$G$7+$G$6</f>
        <v>-0.0226819935069458</v>
      </c>
    </row>
    <row r="3382" customFormat="false" ht="15" hidden="false" customHeight="false" outlineLevel="0" collapsed="false">
      <c r="L3382" s="31" t="n">
        <f aca="true">NORMSINV(RAND())*$G$7+$G$6</f>
        <v>0.0061494444678057</v>
      </c>
    </row>
    <row r="3383" customFormat="false" ht="15" hidden="false" customHeight="false" outlineLevel="0" collapsed="false">
      <c r="L3383" s="31" t="n">
        <f aca="true">NORMSINV(RAND())*$G$7+$G$6</f>
        <v>0.00746394882179247</v>
      </c>
    </row>
    <row r="3384" customFormat="false" ht="15" hidden="false" customHeight="false" outlineLevel="0" collapsed="false">
      <c r="L3384" s="31" t="n">
        <f aca="true">NORMSINV(RAND())*$G$7+$G$6</f>
        <v>-0.0100793659044021</v>
      </c>
    </row>
    <row r="3385" customFormat="false" ht="15" hidden="false" customHeight="false" outlineLevel="0" collapsed="false">
      <c r="L3385" s="31" t="n">
        <f aca="true">NORMSINV(RAND())*$G$7+$G$6</f>
        <v>-0.0163831098888318</v>
      </c>
    </row>
    <row r="3386" customFormat="false" ht="15" hidden="false" customHeight="false" outlineLevel="0" collapsed="false">
      <c r="L3386" s="31" t="n">
        <f aca="true">NORMSINV(RAND())*$G$7+$G$6</f>
        <v>0.0120470258799711</v>
      </c>
    </row>
    <row r="3387" customFormat="false" ht="15" hidden="false" customHeight="false" outlineLevel="0" collapsed="false">
      <c r="L3387" s="31" t="n">
        <f aca="true">NORMSINV(RAND())*$G$7+$G$6</f>
        <v>-0.00371426352506603</v>
      </c>
    </row>
    <row r="3388" customFormat="false" ht="15" hidden="false" customHeight="false" outlineLevel="0" collapsed="false">
      <c r="L3388" s="31" t="n">
        <f aca="true">NORMSINV(RAND())*$G$7+$G$6</f>
        <v>0.00416465143322942</v>
      </c>
    </row>
    <row r="3389" customFormat="false" ht="15" hidden="false" customHeight="false" outlineLevel="0" collapsed="false">
      <c r="L3389" s="31" t="n">
        <f aca="true">NORMSINV(RAND())*$G$7+$G$6</f>
        <v>0.0124804938926032</v>
      </c>
    </row>
    <row r="3390" customFormat="false" ht="15" hidden="false" customHeight="false" outlineLevel="0" collapsed="false">
      <c r="L3390" s="31" t="n">
        <f aca="true">NORMSINV(RAND())*$G$7+$G$6</f>
        <v>0.0114510536031826</v>
      </c>
    </row>
    <row r="3391" customFormat="false" ht="15" hidden="false" customHeight="false" outlineLevel="0" collapsed="false">
      <c r="L3391" s="31" t="n">
        <f aca="true">NORMSINV(RAND())*$G$7+$G$6</f>
        <v>-0.0144881339342071</v>
      </c>
    </row>
    <row r="3392" customFormat="false" ht="15" hidden="false" customHeight="false" outlineLevel="0" collapsed="false">
      <c r="L3392" s="31" t="n">
        <f aca="true">NORMSINV(RAND())*$G$7+$G$6</f>
        <v>-0.00968997221853448</v>
      </c>
    </row>
    <row r="3393" customFormat="false" ht="15" hidden="false" customHeight="false" outlineLevel="0" collapsed="false">
      <c r="L3393" s="31" t="n">
        <f aca="true">NORMSINV(RAND())*$G$7+$G$6</f>
        <v>0.00442397818908697</v>
      </c>
    </row>
    <row r="3394" customFormat="false" ht="15" hidden="false" customHeight="false" outlineLevel="0" collapsed="false">
      <c r="L3394" s="31" t="n">
        <f aca="true">NORMSINV(RAND())*$G$7+$G$6</f>
        <v>-0.0122907792872715</v>
      </c>
    </row>
    <row r="3395" customFormat="false" ht="15" hidden="false" customHeight="false" outlineLevel="0" collapsed="false">
      <c r="L3395" s="31" t="n">
        <f aca="true">NORMSINV(RAND())*$G$7+$G$6</f>
        <v>0.0107851210494566</v>
      </c>
    </row>
    <row r="3396" customFormat="false" ht="15" hidden="false" customHeight="false" outlineLevel="0" collapsed="false">
      <c r="L3396" s="31" t="n">
        <f aca="true">NORMSINV(RAND())*$G$7+$G$6</f>
        <v>0.00542133246108532</v>
      </c>
    </row>
    <row r="3397" customFormat="false" ht="15" hidden="false" customHeight="false" outlineLevel="0" collapsed="false">
      <c r="L3397" s="31" t="n">
        <f aca="true">NORMSINV(RAND())*$G$7+$G$6</f>
        <v>0.0170512762564607</v>
      </c>
    </row>
    <row r="3398" customFormat="false" ht="15" hidden="false" customHeight="false" outlineLevel="0" collapsed="false">
      <c r="L3398" s="31" t="n">
        <f aca="true">NORMSINV(RAND())*$G$7+$G$6</f>
        <v>0.000954073561264068</v>
      </c>
    </row>
    <row r="3399" customFormat="false" ht="15" hidden="false" customHeight="false" outlineLevel="0" collapsed="false">
      <c r="L3399" s="31" t="n">
        <f aca="true">NORMSINV(RAND())*$G$7+$G$6</f>
        <v>0.0102303452748693</v>
      </c>
    </row>
    <row r="3400" customFormat="false" ht="15" hidden="false" customHeight="false" outlineLevel="0" collapsed="false">
      <c r="L3400" s="31" t="n">
        <f aca="true">NORMSINV(RAND())*$G$7+$G$6</f>
        <v>0.0267930638535377</v>
      </c>
    </row>
    <row r="3401" customFormat="false" ht="15" hidden="false" customHeight="false" outlineLevel="0" collapsed="false">
      <c r="L3401" s="31" t="n">
        <f aca="true">NORMSINV(RAND())*$G$7+$G$6</f>
        <v>0.0122782332827686</v>
      </c>
    </row>
    <row r="3402" customFormat="false" ht="15" hidden="false" customHeight="false" outlineLevel="0" collapsed="false">
      <c r="L3402" s="31" t="n">
        <f aca="true">NORMSINV(RAND())*$G$7+$G$6</f>
        <v>-0.017222457527698</v>
      </c>
    </row>
    <row r="3403" customFormat="false" ht="15" hidden="false" customHeight="false" outlineLevel="0" collapsed="false">
      <c r="L3403" s="31" t="n">
        <f aca="true">NORMSINV(RAND())*$G$7+$G$6</f>
        <v>-0.00471445834048771</v>
      </c>
    </row>
    <row r="3404" customFormat="false" ht="15" hidden="false" customHeight="false" outlineLevel="0" collapsed="false">
      <c r="L3404" s="31" t="n">
        <f aca="true">NORMSINV(RAND())*$G$7+$G$6</f>
        <v>0.0116637119481174</v>
      </c>
    </row>
    <row r="3405" customFormat="false" ht="15" hidden="false" customHeight="false" outlineLevel="0" collapsed="false">
      <c r="L3405" s="31" t="n">
        <f aca="true">NORMSINV(RAND())*$G$7+$G$6</f>
        <v>-0.0179381561676248</v>
      </c>
    </row>
    <row r="3406" customFormat="false" ht="15" hidden="false" customHeight="false" outlineLevel="0" collapsed="false">
      <c r="L3406" s="31" t="n">
        <f aca="true">NORMSINV(RAND())*$G$7+$G$6</f>
        <v>0.0180981011400992</v>
      </c>
    </row>
    <row r="3407" customFormat="false" ht="15" hidden="false" customHeight="false" outlineLevel="0" collapsed="false">
      <c r="L3407" s="31" t="n">
        <f aca="true">NORMSINV(RAND())*$G$7+$G$6</f>
        <v>-0.00130112013410851</v>
      </c>
    </row>
    <row r="3408" customFormat="false" ht="15" hidden="false" customHeight="false" outlineLevel="0" collapsed="false">
      <c r="L3408" s="31" t="n">
        <f aca="true">NORMSINV(RAND())*$G$7+$G$6</f>
        <v>0.00342767937708291</v>
      </c>
    </row>
    <row r="3409" customFormat="false" ht="15" hidden="false" customHeight="false" outlineLevel="0" collapsed="false">
      <c r="L3409" s="31" t="n">
        <f aca="true">NORMSINV(RAND())*$G$7+$G$6</f>
        <v>0.0255439605458023</v>
      </c>
    </row>
    <row r="3410" customFormat="false" ht="15" hidden="false" customHeight="false" outlineLevel="0" collapsed="false">
      <c r="L3410" s="31" t="n">
        <f aca="true">NORMSINV(RAND())*$G$7+$G$6</f>
        <v>-0.0123894194824037</v>
      </c>
    </row>
    <row r="3411" customFormat="false" ht="15" hidden="false" customHeight="false" outlineLevel="0" collapsed="false">
      <c r="L3411" s="31" t="n">
        <f aca="true">NORMSINV(RAND())*$G$7+$G$6</f>
        <v>-0.00607390467438547</v>
      </c>
    </row>
    <row r="3412" customFormat="false" ht="15" hidden="false" customHeight="false" outlineLevel="0" collapsed="false">
      <c r="L3412" s="31" t="n">
        <f aca="true">NORMSINV(RAND())*$G$7+$G$6</f>
        <v>-0.00987181975787975</v>
      </c>
    </row>
    <row r="3413" customFormat="false" ht="15" hidden="false" customHeight="false" outlineLevel="0" collapsed="false">
      <c r="L3413" s="31" t="n">
        <f aca="true">NORMSINV(RAND())*$G$7+$G$6</f>
        <v>-0.0118199721917401</v>
      </c>
    </row>
    <row r="3414" customFormat="false" ht="15" hidden="false" customHeight="false" outlineLevel="0" collapsed="false">
      <c r="L3414" s="31" t="n">
        <f aca="true">NORMSINV(RAND())*$G$7+$G$6</f>
        <v>0.00252536560980527</v>
      </c>
    </row>
    <row r="3415" customFormat="false" ht="15" hidden="false" customHeight="false" outlineLevel="0" collapsed="false">
      <c r="L3415" s="31" t="n">
        <f aca="true">NORMSINV(RAND())*$G$7+$G$6</f>
        <v>-0.0135825483524325</v>
      </c>
    </row>
    <row r="3416" customFormat="false" ht="15" hidden="false" customHeight="false" outlineLevel="0" collapsed="false">
      <c r="L3416" s="31" t="n">
        <f aca="true">NORMSINV(RAND())*$G$7+$G$6</f>
        <v>-0.000219536011724148</v>
      </c>
    </row>
    <row r="3417" customFormat="false" ht="15" hidden="false" customHeight="false" outlineLevel="0" collapsed="false">
      <c r="L3417" s="31" t="n">
        <f aca="true">NORMSINV(RAND())*$G$7+$G$6</f>
        <v>0.00421633627083066</v>
      </c>
    </row>
    <row r="3418" customFormat="false" ht="15" hidden="false" customHeight="false" outlineLevel="0" collapsed="false">
      <c r="L3418" s="31" t="n">
        <f aca="true">NORMSINV(RAND())*$G$7+$G$6</f>
        <v>-0.0166906361864666</v>
      </c>
    </row>
    <row r="3419" customFormat="false" ht="15" hidden="false" customHeight="false" outlineLevel="0" collapsed="false">
      <c r="L3419" s="31" t="n">
        <f aca="true">NORMSINV(RAND())*$G$7+$G$6</f>
        <v>-0.0142686894015055</v>
      </c>
    </row>
    <row r="3420" customFormat="false" ht="15" hidden="false" customHeight="false" outlineLevel="0" collapsed="false">
      <c r="L3420" s="31" t="n">
        <f aca="true">NORMSINV(RAND())*$G$7+$G$6</f>
        <v>0.0145001087178331</v>
      </c>
    </row>
    <row r="3421" customFormat="false" ht="15" hidden="false" customHeight="false" outlineLevel="0" collapsed="false">
      <c r="L3421" s="31" t="n">
        <f aca="true">NORMSINV(RAND())*$G$7+$G$6</f>
        <v>0.0138247636281933</v>
      </c>
    </row>
    <row r="3422" customFormat="false" ht="15" hidden="false" customHeight="false" outlineLevel="0" collapsed="false">
      <c r="L3422" s="31" t="n">
        <f aca="true">NORMSINV(RAND())*$G$7+$G$6</f>
        <v>-0.0032159655023775</v>
      </c>
    </row>
    <row r="3423" customFormat="false" ht="15" hidden="false" customHeight="false" outlineLevel="0" collapsed="false">
      <c r="L3423" s="31" t="n">
        <f aca="true">NORMSINV(RAND())*$G$7+$G$6</f>
        <v>-0.00539819194386666</v>
      </c>
    </row>
    <row r="3424" customFormat="false" ht="15" hidden="false" customHeight="false" outlineLevel="0" collapsed="false">
      <c r="L3424" s="31" t="n">
        <f aca="true">NORMSINV(RAND())*$G$7+$G$6</f>
        <v>0.00623972644275766</v>
      </c>
    </row>
    <row r="3425" customFormat="false" ht="15" hidden="false" customHeight="false" outlineLevel="0" collapsed="false">
      <c r="L3425" s="31" t="n">
        <f aca="true">NORMSINV(RAND())*$G$7+$G$6</f>
        <v>0.00710314734733813</v>
      </c>
    </row>
    <row r="3426" customFormat="false" ht="15" hidden="false" customHeight="false" outlineLevel="0" collapsed="false">
      <c r="L3426" s="31" t="n">
        <f aca="true">NORMSINV(RAND())*$G$7+$G$6</f>
        <v>0.00412933453276656</v>
      </c>
    </row>
    <row r="3427" customFormat="false" ht="15" hidden="false" customHeight="false" outlineLevel="0" collapsed="false">
      <c r="L3427" s="31" t="n">
        <f aca="true">NORMSINV(RAND())*$G$7+$G$6</f>
        <v>-0.0273516394911877</v>
      </c>
    </row>
    <row r="3428" customFormat="false" ht="15" hidden="false" customHeight="false" outlineLevel="0" collapsed="false">
      <c r="L3428" s="31" t="n">
        <f aca="true">NORMSINV(RAND())*$G$7+$G$6</f>
        <v>0.00241421665134505</v>
      </c>
    </row>
    <row r="3429" customFormat="false" ht="15" hidden="false" customHeight="false" outlineLevel="0" collapsed="false">
      <c r="L3429" s="31" t="n">
        <f aca="true">NORMSINV(RAND())*$G$7+$G$6</f>
        <v>0.0099362730002875</v>
      </c>
    </row>
    <row r="3430" customFormat="false" ht="15" hidden="false" customHeight="false" outlineLevel="0" collapsed="false">
      <c r="L3430" s="31" t="n">
        <f aca="true">NORMSINV(RAND())*$G$7+$G$6</f>
        <v>0.0149707052232038</v>
      </c>
    </row>
    <row r="3431" customFormat="false" ht="15" hidden="false" customHeight="false" outlineLevel="0" collapsed="false">
      <c r="L3431" s="31" t="n">
        <f aca="true">NORMSINV(RAND())*$G$7+$G$6</f>
        <v>-0.00313668946129749</v>
      </c>
    </row>
    <row r="3432" customFormat="false" ht="15" hidden="false" customHeight="false" outlineLevel="0" collapsed="false">
      <c r="L3432" s="31" t="n">
        <f aca="true">NORMSINV(RAND())*$G$7+$G$6</f>
        <v>0.00489571419633694</v>
      </c>
    </row>
    <row r="3433" customFormat="false" ht="15" hidden="false" customHeight="false" outlineLevel="0" collapsed="false">
      <c r="L3433" s="31" t="n">
        <f aca="true">NORMSINV(RAND())*$G$7+$G$6</f>
        <v>0.0150120869674039</v>
      </c>
    </row>
    <row r="3434" customFormat="false" ht="15" hidden="false" customHeight="false" outlineLevel="0" collapsed="false">
      <c r="L3434" s="31" t="n">
        <f aca="true">NORMSINV(RAND())*$G$7+$G$6</f>
        <v>0.0123209155809343</v>
      </c>
    </row>
    <row r="3435" customFormat="false" ht="15" hidden="false" customHeight="false" outlineLevel="0" collapsed="false">
      <c r="L3435" s="31" t="n">
        <f aca="true">NORMSINV(RAND())*$G$7+$G$6</f>
        <v>0.00246416951953563</v>
      </c>
    </row>
    <row r="3436" customFormat="false" ht="15" hidden="false" customHeight="false" outlineLevel="0" collapsed="false">
      <c r="L3436" s="31" t="n">
        <f aca="true">NORMSINV(RAND())*$G$7+$G$6</f>
        <v>0.00166808363067093</v>
      </c>
    </row>
    <row r="3437" customFormat="false" ht="15" hidden="false" customHeight="false" outlineLevel="0" collapsed="false">
      <c r="L3437" s="31" t="n">
        <f aca="true">NORMSINV(RAND())*$G$7+$G$6</f>
        <v>0.00681110632127606</v>
      </c>
    </row>
    <row r="3438" customFormat="false" ht="15" hidden="false" customHeight="false" outlineLevel="0" collapsed="false">
      <c r="L3438" s="31" t="n">
        <f aca="true">NORMSINV(RAND())*$G$7+$G$6</f>
        <v>-0.028733205277512</v>
      </c>
    </row>
    <row r="3439" customFormat="false" ht="15" hidden="false" customHeight="false" outlineLevel="0" collapsed="false">
      <c r="L3439" s="31" t="n">
        <f aca="true">NORMSINV(RAND())*$G$7+$G$6</f>
        <v>0.00883031870579289</v>
      </c>
    </row>
    <row r="3440" customFormat="false" ht="15" hidden="false" customHeight="false" outlineLevel="0" collapsed="false">
      <c r="L3440" s="31" t="n">
        <f aca="true">NORMSINV(RAND())*$G$7+$G$6</f>
        <v>0.00827806988262028</v>
      </c>
    </row>
    <row r="3441" customFormat="false" ht="15" hidden="false" customHeight="false" outlineLevel="0" collapsed="false">
      <c r="L3441" s="31" t="n">
        <f aca="true">NORMSINV(RAND())*$G$7+$G$6</f>
        <v>0.00106436770671578</v>
      </c>
    </row>
    <row r="3442" customFormat="false" ht="15" hidden="false" customHeight="false" outlineLevel="0" collapsed="false">
      <c r="L3442" s="31" t="n">
        <f aca="true">NORMSINV(RAND())*$G$7+$G$6</f>
        <v>0.0106283159240814</v>
      </c>
    </row>
    <row r="3443" customFormat="false" ht="15" hidden="false" customHeight="false" outlineLevel="0" collapsed="false">
      <c r="L3443" s="31" t="n">
        <f aca="true">NORMSINV(RAND())*$G$7+$G$6</f>
        <v>-0.0116285310909355</v>
      </c>
    </row>
    <row r="3444" customFormat="false" ht="15" hidden="false" customHeight="false" outlineLevel="0" collapsed="false">
      <c r="L3444" s="31" t="n">
        <f aca="true">NORMSINV(RAND())*$G$7+$G$6</f>
        <v>0.011585107896105</v>
      </c>
    </row>
    <row r="3445" customFormat="false" ht="15" hidden="false" customHeight="false" outlineLevel="0" collapsed="false">
      <c r="L3445" s="31" t="n">
        <f aca="true">NORMSINV(RAND())*$G$7+$G$6</f>
        <v>0.00271741501322108</v>
      </c>
    </row>
    <row r="3446" customFormat="false" ht="15" hidden="false" customHeight="false" outlineLevel="0" collapsed="false">
      <c r="L3446" s="31" t="n">
        <f aca="true">NORMSINV(RAND())*$G$7+$G$6</f>
        <v>0.0142780745511485</v>
      </c>
    </row>
    <row r="3447" customFormat="false" ht="15" hidden="false" customHeight="false" outlineLevel="0" collapsed="false">
      <c r="L3447" s="31" t="n">
        <f aca="true">NORMSINV(RAND())*$G$7+$G$6</f>
        <v>0.00894295011228839</v>
      </c>
    </row>
    <row r="3448" customFormat="false" ht="15" hidden="false" customHeight="false" outlineLevel="0" collapsed="false">
      <c r="L3448" s="31" t="n">
        <f aca="true">NORMSINV(RAND())*$G$7+$G$6</f>
        <v>-0.0391580353883531</v>
      </c>
    </row>
    <row r="3449" customFormat="false" ht="15" hidden="false" customHeight="false" outlineLevel="0" collapsed="false">
      <c r="L3449" s="31" t="n">
        <f aca="true">NORMSINV(RAND())*$G$7+$G$6</f>
        <v>0.028270788147007</v>
      </c>
    </row>
    <row r="3450" customFormat="false" ht="15" hidden="false" customHeight="false" outlineLevel="0" collapsed="false">
      <c r="L3450" s="31" t="n">
        <f aca="true">NORMSINV(RAND())*$G$7+$G$6</f>
        <v>0.000140297412853131</v>
      </c>
    </row>
    <row r="3451" customFormat="false" ht="15" hidden="false" customHeight="false" outlineLevel="0" collapsed="false">
      <c r="L3451" s="31" t="n">
        <f aca="true">NORMSINV(RAND())*$G$7+$G$6</f>
        <v>0.033468798126191</v>
      </c>
    </row>
    <row r="3452" customFormat="false" ht="15" hidden="false" customHeight="false" outlineLevel="0" collapsed="false">
      <c r="L3452" s="31" t="n">
        <f aca="true">NORMSINV(RAND())*$G$7+$G$6</f>
        <v>0.00558550934750744</v>
      </c>
    </row>
    <row r="3453" customFormat="false" ht="15" hidden="false" customHeight="false" outlineLevel="0" collapsed="false">
      <c r="L3453" s="31" t="n">
        <f aca="true">NORMSINV(RAND())*$G$7+$G$6</f>
        <v>-0.0148633940416424</v>
      </c>
    </row>
    <row r="3454" customFormat="false" ht="15" hidden="false" customHeight="false" outlineLevel="0" collapsed="false">
      <c r="L3454" s="31" t="n">
        <f aca="true">NORMSINV(RAND())*$G$7+$G$6</f>
        <v>0.00169211354081227</v>
      </c>
    </row>
    <row r="3455" customFormat="false" ht="15" hidden="false" customHeight="false" outlineLevel="0" collapsed="false">
      <c r="L3455" s="31" t="n">
        <f aca="true">NORMSINV(RAND())*$G$7+$G$6</f>
        <v>0.00608555472257102</v>
      </c>
    </row>
    <row r="3456" customFormat="false" ht="15" hidden="false" customHeight="false" outlineLevel="0" collapsed="false">
      <c r="L3456" s="31" t="n">
        <f aca="true">NORMSINV(RAND())*$G$7+$G$6</f>
        <v>0.00271316906080791</v>
      </c>
    </row>
    <row r="3457" customFormat="false" ht="15" hidden="false" customHeight="false" outlineLevel="0" collapsed="false">
      <c r="L3457" s="31" t="n">
        <f aca="true">NORMSINV(RAND())*$G$7+$G$6</f>
        <v>-0.00675188603440326</v>
      </c>
    </row>
    <row r="3458" customFormat="false" ht="15" hidden="false" customHeight="false" outlineLevel="0" collapsed="false">
      <c r="L3458" s="31" t="n">
        <f aca="true">NORMSINV(RAND())*$G$7+$G$6</f>
        <v>0.00895425126950541</v>
      </c>
    </row>
    <row r="3459" customFormat="false" ht="15" hidden="false" customHeight="false" outlineLevel="0" collapsed="false">
      <c r="L3459" s="31" t="n">
        <f aca="true">NORMSINV(RAND())*$G$7+$G$6</f>
        <v>-0.00500970050991532</v>
      </c>
    </row>
    <row r="3460" customFormat="false" ht="15" hidden="false" customHeight="false" outlineLevel="0" collapsed="false">
      <c r="L3460" s="31" t="n">
        <f aca="true">NORMSINV(RAND())*$G$7+$G$6</f>
        <v>-0.00606783947306342</v>
      </c>
    </row>
    <row r="3461" customFormat="false" ht="15" hidden="false" customHeight="false" outlineLevel="0" collapsed="false">
      <c r="L3461" s="31" t="n">
        <f aca="true">NORMSINV(RAND())*$G$7+$G$6</f>
        <v>0.00195304564034208</v>
      </c>
    </row>
    <row r="3462" customFormat="false" ht="15" hidden="false" customHeight="false" outlineLevel="0" collapsed="false">
      <c r="L3462" s="31" t="n">
        <f aca="true">NORMSINV(RAND())*$G$7+$G$6</f>
        <v>-0.0145962831509329</v>
      </c>
    </row>
    <row r="3463" customFormat="false" ht="15" hidden="false" customHeight="false" outlineLevel="0" collapsed="false">
      <c r="L3463" s="31" t="n">
        <f aca="true">NORMSINV(RAND())*$G$7+$G$6</f>
        <v>-0.0173540287170108</v>
      </c>
    </row>
    <row r="3464" customFormat="false" ht="15" hidden="false" customHeight="false" outlineLevel="0" collapsed="false">
      <c r="L3464" s="31" t="n">
        <f aca="true">NORMSINV(RAND())*$G$7+$G$6</f>
        <v>-0.0314372066015148</v>
      </c>
    </row>
    <row r="3465" customFormat="false" ht="15" hidden="false" customHeight="false" outlineLevel="0" collapsed="false">
      <c r="L3465" s="31" t="n">
        <f aca="true">NORMSINV(RAND())*$G$7+$G$6</f>
        <v>0.0085345843758228</v>
      </c>
    </row>
    <row r="3466" customFormat="false" ht="15" hidden="false" customHeight="false" outlineLevel="0" collapsed="false">
      <c r="L3466" s="31" t="n">
        <f aca="true">NORMSINV(RAND())*$G$7+$G$6</f>
        <v>-0.00393469752226192</v>
      </c>
    </row>
    <row r="3467" customFormat="false" ht="15" hidden="false" customHeight="false" outlineLevel="0" collapsed="false">
      <c r="L3467" s="31" t="n">
        <f aca="true">NORMSINV(RAND())*$G$7+$G$6</f>
        <v>-0.0326271025344862</v>
      </c>
    </row>
    <row r="3468" customFormat="false" ht="15" hidden="false" customHeight="false" outlineLevel="0" collapsed="false">
      <c r="L3468" s="31" t="n">
        <f aca="true">NORMSINV(RAND())*$G$7+$G$6</f>
        <v>-0.00786277080572748</v>
      </c>
    </row>
    <row r="3469" customFormat="false" ht="15" hidden="false" customHeight="false" outlineLevel="0" collapsed="false">
      <c r="L3469" s="31" t="n">
        <f aca="true">NORMSINV(RAND())*$G$7+$G$6</f>
        <v>-0.0433622384013863</v>
      </c>
    </row>
    <row r="3470" customFormat="false" ht="15" hidden="false" customHeight="false" outlineLevel="0" collapsed="false">
      <c r="L3470" s="31" t="n">
        <f aca="true">NORMSINV(RAND())*$G$7+$G$6</f>
        <v>-0.00926607663690286</v>
      </c>
    </row>
    <row r="3471" customFormat="false" ht="15" hidden="false" customHeight="false" outlineLevel="0" collapsed="false">
      <c r="L3471" s="31" t="n">
        <f aca="true">NORMSINV(RAND())*$G$7+$G$6</f>
        <v>-0.00579210413931063</v>
      </c>
    </row>
    <row r="3472" customFormat="false" ht="15" hidden="false" customHeight="false" outlineLevel="0" collapsed="false">
      <c r="L3472" s="31" t="n">
        <f aca="true">NORMSINV(RAND())*$G$7+$G$6</f>
        <v>-0.028629797336909</v>
      </c>
    </row>
    <row r="3473" customFormat="false" ht="15" hidden="false" customHeight="false" outlineLevel="0" collapsed="false">
      <c r="L3473" s="31" t="n">
        <f aca="true">NORMSINV(RAND())*$G$7+$G$6</f>
        <v>-0.0142065201409545</v>
      </c>
    </row>
    <row r="3474" customFormat="false" ht="15" hidden="false" customHeight="false" outlineLevel="0" collapsed="false">
      <c r="L3474" s="31" t="n">
        <f aca="true">NORMSINV(RAND())*$G$7+$G$6</f>
        <v>-0.00366197094044772</v>
      </c>
    </row>
    <row r="3475" customFormat="false" ht="15" hidden="false" customHeight="false" outlineLevel="0" collapsed="false">
      <c r="L3475" s="31" t="n">
        <f aca="true">NORMSINV(RAND())*$G$7+$G$6</f>
        <v>-0.0114115664991666</v>
      </c>
    </row>
    <row r="3476" customFormat="false" ht="15" hidden="false" customHeight="false" outlineLevel="0" collapsed="false">
      <c r="L3476" s="31" t="n">
        <f aca="true">NORMSINV(RAND())*$G$7+$G$6</f>
        <v>-0.01737593738747</v>
      </c>
    </row>
    <row r="3477" customFormat="false" ht="15" hidden="false" customHeight="false" outlineLevel="0" collapsed="false">
      <c r="L3477" s="31" t="n">
        <f aca="true">NORMSINV(RAND())*$G$7+$G$6</f>
        <v>-0.00323383791122063</v>
      </c>
    </row>
    <row r="3478" customFormat="false" ht="15" hidden="false" customHeight="false" outlineLevel="0" collapsed="false">
      <c r="L3478" s="31" t="n">
        <f aca="true">NORMSINV(RAND())*$G$7+$G$6</f>
        <v>-0.026053628397952</v>
      </c>
    </row>
    <row r="3479" customFormat="false" ht="15" hidden="false" customHeight="false" outlineLevel="0" collapsed="false">
      <c r="L3479" s="31" t="n">
        <f aca="true">NORMSINV(RAND())*$G$7+$G$6</f>
        <v>-0.00917641212740517</v>
      </c>
    </row>
    <row r="3480" customFormat="false" ht="15" hidden="false" customHeight="false" outlineLevel="0" collapsed="false">
      <c r="L3480" s="31" t="n">
        <f aca="true">NORMSINV(RAND())*$G$7+$G$6</f>
        <v>-0.0132261807331962</v>
      </c>
    </row>
    <row r="3481" customFormat="false" ht="15" hidden="false" customHeight="false" outlineLevel="0" collapsed="false">
      <c r="L3481" s="31" t="n">
        <f aca="true">NORMSINV(RAND())*$G$7+$G$6</f>
        <v>0.00571782609683027</v>
      </c>
    </row>
    <row r="3482" customFormat="false" ht="15" hidden="false" customHeight="false" outlineLevel="0" collapsed="false">
      <c r="L3482" s="31" t="n">
        <f aca="true">NORMSINV(RAND())*$G$7+$G$6</f>
        <v>0.0193577190996968</v>
      </c>
    </row>
    <row r="3483" customFormat="false" ht="15" hidden="false" customHeight="false" outlineLevel="0" collapsed="false">
      <c r="L3483" s="31" t="n">
        <f aca="true">NORMSINV(RAND())*$G$7+$G$6</f>
        <v>-0.0252858375582165</v>
      </c>
    </row>
    <row r="3484" customFormat="false" ht="15" hidden="false" customHeight="false" outlineLevel="0" collapsed="false">
      <c r="L3484" s="31" t="n">
        <f aca="true">NORMSINV(RAND())*$G$7+$G$6</f>
        <v>-0.0104837159791551</v>
      </c>
    </row>
    <row r="3485" customFormat="false" ht="15" hidden="false" customHeight="false" outlineLevel="0" collapsed="false">
      <c r="L3485" s="31" t="n">
        <f aca="true">NORMSINV(RAND())*$G$7+$G$6</f>
        <v>0.0103403576910956</v>
      </c>
    </row>
    <row r="3486" customFormat="false" ht="15" hidden="false" customHeight="false" outlineLevel="0" collapsed="false">
      <c r="L3486" s="31" t="n">
        <f aca="true">NORMSINV(RAND())*$G$7+$G$6</f>
        <v>-0.0287592895328152</v>
      </c>
    </row>
    <row r="3487" customFormat="false" ht="15" hidden="false" customHeight="false" outlineLevel="0" collapsed="false">
      <c r="L3487" s="31" t="n">
        <f aca="true">NORMSINV(RAND())*$G$7+$G$6</f>
        <v>0.00900570648881821</v>
      </c>
    </row>
    <row r="3488" customFormat="false" ht="15" hidden="false" customHeight="false" outlineLevel="0" collapsed="false">
      <c r="L3488" s="31" t="n">
        <f aca="true">NORMSINV(RAND())*$G$7+$G$6</f>
        <v>0.0171879548802168</v>
      </c>
    </row>
    <row r="3489" customFormat="false" ht="15" hidden="false" customHeight="false" outlineLevel="0" collapsed="false">
      <c r="L3489" s="31" t="n">
        <f aca="true">NORMSINV(RAND())*$G$7+$G$6</f>
        <v>0.00460553258351259</v>
      </c>
    </row>
    <row r="3490" customFormat="false" ht="15" hidden="false" customHeight="false" outlineLevel="0" collapsed="false">
      <c r="L3490" s="31" t="n">
        <f aca="true">NORMSINV(RAND())*$G$7+$G$6</f>
        <v>-0.00304243560684598</v>
      </c>
    </row>
    <row r="3491" customFormat="false" ht="15" hidden="false" customHeight="false" outlineLevel="0" collapsed="false">
      <c r="L3491" s="31" t="n">
        <f aca="true">NORMSINV(RAND())*$G$7+$G$6</f>
        <v>0.00923936350532258</v>
      </c>
    </row>
    <row r="3492" customFormat="false" ht="15" hidden="false" customHeight="false" outlineLevel="0" collapsed="false">
      <c r="L3492" s="31" t="n">
        <f aca="true">NORMSINV(RAND())*$G$7+$G$6</f>
        <v>4.1395107502919E-006</v>
      </c>
    </row>
    <row r="3493" customFormat="false" ht="15" hidden="false" customHeight="false" outlineLevel="0" collapsed="false">
      <c r="L3493" s="31" t="n">
        <f aca="true">NORMSINV(RAND())*$G$7+$G$6</f>
        <v>-0.023891259799759</v>
      </c>
    </row>
    <row r="3494" customFormat="false" ht="15" hidden="false" customHeight="false" outlineLevel="0" collapsed="false">
      <c r="L3494" s="31" t="n">
        <f aca="true">NORMSINV(RAND())*$G$7+$G$6</f>
        <v>0.00278679144746757</v>
      </c>
    </row>
    <row r="3495" customFormat="false" ht="15" hidden="false" customHeight="false" outlineLevel="0" collapsed="false">
      <c r="L3495" s="31" t="n">
        <f aca="true">NORMSINV(RAND())*$G$7+$G$6</f>
        <v>0.00519749035472125</v>
      </c>
    </row>
    <row r="3496" customFormat="false" ht="15" hidden="false" customHeight="false" outlineLevel="0" collapsed="false">
      <c r="L3496" s="31" t="n">
        <f aca="true">NORMSINV(RAND())*$G$7+$G$6</f>
        <v>0.00653463836345816</v>
      </c>
    </row>
    <row r="3497" customFormat="false" ht="15" hidden="false" customHeight="false" outlineLevel="0" collapsed="false">
      <c r="L3497" s="31" t="n">
        <f aca="true">NORMSINV(RAND())*$G$7+$G$6</f>
        <v>0.020004432902599</v>
      </c>
    </row>
    <row r="3498" customFormat="false" ht="15" hidden="false" customHeight="false" outlineLevel="0" collapsed="false">
      <c r="L3498" s="31" t="n">
        <f aca="true">NORMSINV(RAND())*$G$7+$G$6</f>
        <v>-0.000579142418786064</v>
      </c>
    </row>
    <row r="3499" customFormat="false" ht="15" hidden="false" customHeight="false" outlineLevel="0" collapsed="false">
      <c r="L3499" s="31" t="n">
        <f aca="true">NORMSINV(RAND())*$G$7+$G$6</f>
        <v>0.0127120371504626</v>
      </c>
    </row>
    <row r="3500" customFormat="false" ht="15" hidden="false" customHeight="false" outlineLevel="0" collapsed="false">
      <c r="L3500" s="31" t="n">
        <f aca="true">NORMSINV(RAND())*$G$7+$G$6</f>
        <v>0.00481886011266305</v>
      </c>
    </row>
    <row r="3501" customFormat="false" ht="15" hidden="false" customHeight="false" outlineLevel="0" collapsed="false">
      <c r="L3501" s="31" t="n">
        <f aca="true">NORMSINV(RAND())*$G$7+$G$6</f>
        <v>0.00827137862678024</v>
      </c>
    </row>
    <row r="3502" customFormat="false" ht="15" hidden="false" customHeight="false" outlineLevel="0" collapsed="false">
      <c r="L3502" s="31" t="n">
        <f aca="true">NORMSINV(RAND())*$G$7+$G$6</f>
        <v>0.00801878155487697</v>
      </c>
    </row>
    <row r="3503" customFormat="false" ht="15" hidden="false" customHeight="false" outlineLevel="0" collapsed="false">
      <c r="L3503" s="31" t="n">
        <f aca="true">NORMSINV(RAND())*$G$7+$G$6</f>
        <v>-0.00731007847041232</v>
      </c>
    </row>
    <row r="3504" customFormat="false" ht="15" hidden="false" customHeight="false" outlineLevel="0" collapsed="false">
      <c r="L3504" s="31" t="n">
        <f aca="true">NORMSINV(RAND())*$G$7+$G$6</f>
        <v>0.025039883682944</v>
      </c>
    </row>
    <row r="3505" customFormat="false" ht="15" hidden="false" customHeight="false" outlineLevel="0" collapsed="false">
      <c r="L3505" s="31" t="n">
        <f aca="true">NORMSINV(RAND())*$G$7+$G$6</f>
        <v>0.00983027170057993</v>
      </c>
    </row>
    <row r="3506" customFormat="false" ht="15" hidden="false" customHeight="false" outlineLevel="0" collapsed="false">
      <c r="L3506" s="31" t="n">
        <f aca="true">NORMSINV(RAND())*$G$7+$G$6</f>
        <v>0.0208222314297107</v>
      </c>
    </row>
    <row r="3507" customFormat="false" ht="15" hidden="false" customHeight="false" outlineLevel="0" collapsed="false">
      <c r="L3507" s="31" t="n">
        <f aca="true">NORMSINV(RAND())*$G$7+$G$6</f>
        <v>-0.0165826372027997</v>
      </c>
    </row>
    <row r="3508" customFormat="false" ht="15" hidden="false" customHeight="false" outlineLevel="0" collapsed="false">
      <c r="L3508" s="31" t="n">
        <f aca="true">NORMSINV(RAND())*$G$7+$G$6</f>
        <v>-0.00287921626463791</v>
      </c>
    </row>
    <row r="3509" customFormat="false" ht="15" hidden="false" customHeight="false" outlineLevel="0" collapsed="false">
      <c r="L3509" s="31" t="n">
        <f aca="true">NORMSINV(RAND())*$G$7+$G$6</f>
        <v>0.0194132669578128</v>
      </c>
    </row>
    <row r="3510" customFormat="false" ht="15" hidden="false" customHeight="false" outlineLevel="0" collapsed="false">
      <c r="L3510" s="31" t="n">
        <f aca="true">NORMSINV(RAND())*$G$7+$G$6</f>
        <v>0.00154415306721739</v>
      </c>
    </row>
    <row r="3511" customFormat="false" ht="15" hidden="false" customHeight="false" outlineLevel="0" collapsed="false">
      <c r="L3511" s="31" t="n">
        <f aca="true">NORMSINV(RAND())*$G$7+$G$6</f>
        <v>0.00115039799990801</v>
      </c>
    </row>
    <row r="3512" customFormat="false" ht="15" hidden="false" customHeight="false" outlineLevel="0" collapsed="false">
      <c r="L3512" s="31" t="n">
        <f aca="true">NORMSINV(RAND())*$G$7+$G$6</f>
        <v>-0.010670547036675</v>
      </c>
    </row>
    <row r="3513" customFormat="false" ht="15" hidden="false" customHeight="false" outlineLevel="0" collapsed="false">
      <c r="L3513" s="31" t="n">
        <f aca="true">NORMSINV(RAND())*$G$7+$G$6</f>
        <v>-0.027468931442417</v>
      </c>
    </row>
    <row r="3514" customFormat="false" ht="15" hidden="false" customHeight="false" outlineLevel="0" collapsed="false">
      <c r="L3514" s="31" t="n">
        <f aca="true">NORMSINV(RAND())*$G$7+$G$6</f>
        <v>0.0127335685139012</v>
      </c>
    </row>
    <row r="3515" customFormat="false" ht="15" hidden="false" customHeight="false" outlineLevel="0" collapsed="false">
      <c r="L3515" s="31" t="n">
        <f aca="true">NORMSINV(RAND())*$G$7+$G$6</f>
        <v>0.0152891101712153</v>
      </c>
    </row>
    <row r="3516" customFormat="false" ht="15" hidden="false" customHeight="false" outlineLevel="0" collapsed="false">
      <c r="L3516" s="31" t="n">
        <f aca="true">NORMSINV(RAND())*$G$7+$G$6</f>
        <v>-0.0175617376671404</v>
      </c>
    </row>
    <row r="3517" customFormat="false" ht="15" hidden="false" customHeight="false" outlineLevel="0" collapsed="false">
      <c r="L3517" s="31" t="n">
        <f aca="true">NORMSINV(RAND())*$G$7+$G$6</f>
        <v>-0.0103216614592975</v>
      </c>
    </row>
    <row r="3518" customFormat="false" ht="15" hidden="false" customHeight="false" outlineLevel="0" collapsed="false">
      <c r="L3518" s="31" t="n">
        <f aca="true">NORMSINV(RAND())*$G$7+$G$6</f>
        <v>0.00617367501232296</v>
      </c>
    </row>
    <row r="3519" customFormat="false" ht="15" hidden="false" customHeight="false" outlineLevel="0" collapsed="false">
      <c r="L3519" s="31" t="n">
        <f aca="true">NORMSINV(RAND())*$G$7+$G$6</f>
        <v>-0.0211724591052592</v>
      </c>
    </row>
    <row r="3520" customFormat="false" ht="15" hidden="false" customHeight="false" outlineLevel="0" collapsed="false">
      <c r="L3520" s="31" t="n">
        <f aca="true">NORMSINV(RAND())*$G$7+$G$6</f>
        <v>0.0281252562532336</v>
      </c>
    </row>
    <row r="3521" customFormat="false" ht="15" hidden="false" customHeight="false" outlineLevel="0" collapsed="false">
      <c r="L3521" s="31" t="n">
        <f aca="true">NORMSINV(RAND())*$G$7+$G$6</f>
        <v>0.00471336736864227</v>
      </c>
    </row>
    <row r="3522" customFormat="false" ht="15" hidden="false" customHeight="false" outlineLevel="0" collapsed="false">
      <c r="L3522" s="31" t="n">
        <f aca="true">NORMSINV(RAND())*$G$7+$G$6</f>
        <v>-0.000414167166375399</v>
      </c>
    </row>
    <row r="3523" customFormat="false" ht="15" hidden="false" customHeight="false" outlineLevel="0" collapsed="false">
      <c r="L3523" s="31" t="n">
        <f aca="true">NORMSINV(RAND())*$G$7+$G$6</f>
        <v>0.00400431696664681</v>
      </c>
    </row>
    <row r="3524" customFormat="false" ht="15" hidden="false" customHeight="false" outlineLevel="0" collapsed="false">
      <c r="L3524" s="31" t="n">
        <f aca="true">NORMSINV(RAND())*$G$7+$G$6</f>
        <v>0.00529004823892376</v>
      </c>
    </row>
    <row r="3525" customFormat="false" ht="15" hidden="false" customHeight="false" outlineLevel="0" collapsed="false">
      <c r="L3525" s="31" t="n">
        <f aca="true">NORMSINV(RAND())*$G$7+$G$6</f>
        <v>-0.00379961294886225</v>
      </c>
    </row>
    <row r="3526" customFormat="false" ht="15" hidden="false" customHeight="false" outlineLevel="0" collapsed="false">
      <c r="L3526" s="31" t="n">
        <f aca="true">NORMSINV(RAND())*$G$7+$G$6</f>
        <v>-0.0206509492827233</v>
      </c>
    </row>
    <row r="3527" customFormat="false" ht="15" hidden="false" customHeight="false" outlineLevel="0" collapsed="false">
      <c r="L3527" s="31" t="n">
        <f aca="true">NORMSINV(RAND())*$G$7+$G$6</f>
        <v>0.0130117257266484</v>
      </c>
    </row>
    <row r="3528" customFormat="false" ht="15" hidden="false" customHeight="false" outlineLevel="0" collapsed="false">
      <c r="L3528" s="31" t="n">
        <f aca="true">NORMSINV(RAND())*$G$7+$G$6</f>
        <v>0.00710776352946943</v>
      </c>
    </row>
    <row r="3529" customFormat="false" ht="15" hidden="false" customHeight="false" outlineLevel="0" collapsed="false">
      <c r="L3529" s="31" t="n">
        <f aca="true">NORMSINV(RAND())*$G$7+$G$6</f>
        <v>0.00763547277460979</v>
      </c>
    </row>
    <row r="3530" customFormat="false" ht="15" hidden="false" customHeight="false" outlineLevel="0" collapsed="false">
      <c r="L3530" s="31" t="n">
        <f aca="true">NORMSINV(RAND())*$G$7+$G$6</f>
        <v>0.0159255387625579</v>
      </c>
    </row>
    <row r="3531" customFormat="false" ht="15" hidden="false" customHeight="false" outlineLevel="0" collapsed="false">
      <c r="L3531" s="31" t="n">
        <f aca="true">NORMSINV(RAND())*$G$7+$G$6</f>
        <v>0.0153201593009938</v>
      </c>
    </row>
    <row r="3532" customFormat="false" ht="15" hidden="false" customHeight="false" outlineLevel="0" collapsed="false">
      <c r="L3532" s="31" t="n">
        <f aca="true">NORMSINV(RAND())*$G$7+$G$6</f>
        <v>-0.00685428876567304</v>
      </c>
    </row>
    <row r="3533" customFormat="false" ht="15" hidden="false" customHeight="false" outlineLevel="0" collapsed="false">
      <c r="L3533" s="31" t="n">
        <f aca="true">NORMSINV(RAND())*$G$7+$G$6</f>
        <v>-0.00144061936480653</v>
      </c>
    </row>
    <row r="3534" customFormat="false" ht="15" hidden="false" customHeight="false" outlineLevel="0" collapsed="false">
      <c r="L3534" s="31" t="n">
        <f aca="true">NORMSINV(RAND())*$G$7+$G$6</f>
        <v>0.0148062857984461</v>
      </c>
    </row>
    <row r="3535" customFormat="false" ht="15" hidden="false" customHeight="false" outlineLevel="0" collapsed="false">
      <c r="L3535" s="31" t="n">
        <f aca="true">NORMSINV(RAND())*$G$7+$G$6</f>
        <v>0.00965068255416028</v>
      </c>
    </row>
    <row r="3536" customFormat="false" ht="15" hidden="false" customHeight="false" outlineLevel="0" collapsed="false">
      <c r="L3536" s="31" t="n">
        <f aca="true">NORMSINV(RAND())*$G$7+$G$6</f>
        <v>0.00490154963459773</v>
      </c>
    </row>
    <row r="3537" customFormat="false" ht="15" hidden="false" customHeight="false" outlineLevel="0" collapsed="false">
      <c r="L3537" s="31" t="n">
        <f aca="true">NORMSINV(RAND())*$G$7+$G$6</f>
        <v>0.00396094791368804</v>
      </c>
    </row>
    <row r="3538" customFormat="false" ht="15" hidden="false" customHeight="false" outlineLevel="0" collapsed="false">
      <c r="L3538" s="31" t="n">
        <f aca="true">NORMSINV(RAND())*$G$7+$G$6</f>
        <v>0.0244014439617924</v>
      </c>
    </row>
    <row r="3539" customFormat="false" ht="15" hidden="false" customHeight="false" outlineLevel="0" collapsed="false">
      <c r="L3539" s="31" t="n">
        <f aca="true">NORMSINV(RAND())*$G$7+$G$6</f>
        <v>-0.0174000369310592</v>
      </c>
    </row>
    <row r="3540" customFormat="false" ht="15" hidden="false" customHeight="false" outlineLevel="0" collapsed="false">
      <c r="L3540" s="31" t="n">
        <f aca="true">NORMSINV(RAND())*$G$7+$G$6</f>
        <v>-0.000537875961062362</v>
      </c>
    </row>
    <row r="3541" customFormat="false" ht="15" hidden="false" customHeight="false" outlineLevel="0" collapsed="false">
      <c r="L3541" s="31" t="n">
        <f aca="true">NORMSINV(RAND())*$G$7+$G$6</f>
        <v>0.00842242808449812</v>
      </c>
    </row>
    <row r="3542" customFormat="false" ht="15" hidden="false" customHeight="false" outlineLevel="0" collapsed="false">
      <c r="L3542" s="31" t="n">
        <f aca="true">NORMSINV(RAND())*$G$7+$G$6</f>
        <v>-0.0118740425385877</v>
      </c>
    </row>
    <row r="3543" customFormat="false" ht="15" hidden="false" customHeight="false" outlineLevel="0" collapsed="false">
      <c r="L3543" s="31" t="n">
        <f aca="true">NORMSINV(RAND())*$G$7+$G$6</f>
        <v>0.00488986932898692</v>
      </c>
    </row>
    <row r="3544" customFormat="false" ht="15" hidden="false" customHeight="false" outlineLevel="0" collapsed="false">
      <c r="L3544" s="31" t="n">
        <f aca="true">NORMSINV(RAND())*$G$7+$G$6</f>
        <v>-0.000308949555176191</v>
      </c>
    </row>
    <row r="3545" customFormat="false" ht="15" hidden="false" customHeight="false" outlineLevel="0" collapsed="false">
      <c r="L3545" s="31" t="n">
        <f aca="true">NORMSINV(RAND())*$G$7+$G$6</f>
        <v>-0.00474885328794598</v>
      </c>
    </row>
    <row r="3546" customFormat="false" ht="15" hidden="false" customHeight="false" outlineLevel="0" collapsed="false">
      <c r="L3546" s="31" t="n">
        <f aca="true">NORMSINV(RAND())*$G$7+$G$6</f>
        <v>0.00107561360953514</v>
      </c>
    </row>
    <row r="3547" customFormat="false" ht="15" hidden="false" customHeight="false" outlineLevel="0" collapsed="false">
      <c r="L3547" s="31" t="n">
        <f aca="true">NORMSINV(RAND())*$G$7+$G$6</f>
        <v>0.00362462003113529</v>
      </c>
    </row>
    <row r="3548" customFormat="false" ht="15" hidden="false" customHeight="false" outlineLevel="0" collapsed="false">
      <c r="L3548" s="31" t="n">
        <f aca="true">NORMSINV(RAND())*$G$7+$G$6</f>
        <v>-0.00723063194469571</v>
      </c>
    </row>
    <row r="3549" customFormat="false" ht="15" hidden="false" customHeight="false" outlineLevel="0" collapsed="false">
      <c r="L3549" s="31" t="n">
        <f aca="true">NORMSINV(RAND())*$G$7+$G$6</f>
        <v>0.00618021404723825</v>
      </c>
    </row>
    <row r="3550" customFormat="false" ht="15" hidden="false" customHeight="false" outlineLevel="0" collapsed="false">
      <c r="L3550" s="31" t="n">
        <f aca="true">NORMSINV(RAND())*$G$7+$G$6</f>
        <v>-0.0071054134309266</v>
      </c>
    </row>
    <row r="3551" customFormat="false" ht="15" hidden="false" customHeight="false" outlineLevel="0" collapsed="false">
      <c r="L3551" s="31" t="n">
        <f aca="true">NORMSINV(RAND())*$G$7+$G$6</f>
        <v>-0.0351868099898482</v>
      </c>
    </row>
    <row r="3552" customFormat="false" ht="15" hidden="false" customHeight="false" outlineLevel="0" collapsed="false">
      <c r="L3552" s="31" t="n">
        <f aca="true">NORMSINV(RAND())*$G$7+$G$6</f>
        <v>-0.00278320880082537</v>
      </c>
    </row>
    <row r="3553" customFormat="false" ht="15" hidden="false" customHeight="false" outlineLevel="0" collapsed="false">
      <c r="L3553" s="31" t="n">
        <f aca="true">NORMSINV(RAND())*$G$7+$G$6</f>
        <v>0.0119883744398733</v>
      </c>
    </row>
    <row r="3554" customFormat="false" ht="15" hidden="false" customHeight="false" outlineLevel="0" collapsed="false">
      <c r="L3554" s="31" t="n">
        <f aca="true">NORMSINV(RAND())*$G$7+$G$6</f>
        <v>-0.0146827539480834</v>
      </c>
    </row>
    <row r="3555" customFormat="false" ht="15" hidden="false" customHeight="false" outlineLevel="0" collapsed="false">
      <c r="L3555" s="31" t="n">
        <f aca="true">NORMSINV(RAND())*$G$7+$G$6</f>
        <v>0.0161161188651355</v>
      </c>
    </row>
    <row r="3556" customFormat="false" ht="15" hidden="false" customHeight="false" outlineLevel="0" collapsed="false">
      <c r="L3556" s="31" t="n">
        <f aca="true">NORMSINV(RAND())*$G$7+$G$6</f>
        <v>-0.0159677476526351</v>
      </c>
    </row>
    <row r="3557" customFormat="false" ht="15" hidden="false" customHeight="false" outlineLevel="0" collapsed="false">
      <c r="L3557" s="31" t="n">
        <f aca="true">NORMSINV(RAND())*$G$7+$G$6</f>
        <v>-0.000428069396253587</v>
      </c>
    </row>
    <row r="3558" customFormat="false" ht="15" hidden="false" customHeight="false" outlineLevel="0" collapsed="false">
      <c r="L3558" s="31" t="n">
        <f aca="true">NORMSINV(RAND())*$G$7+$G$6</f>
        <v>0.01302443769466</v>
      </c>
    </row>
    <row r="3559" customFormat="false" ht="15" hidden="false" customHeight="false" outlineLevel="0" collapsed="false">
      <c r="L3559" s="31" t="n">
        <f aca="true">NORMSINV(RAND())*$G$7+$G$6</f>
        <v>-0.0103124130260516</v>
      </c>
    </row>
    <row r="3560" customFormat="false" ht="15" hidden="false" customHeight="false" outlineLevel="0" collapsed="false">
      <c r="L3560" s="31" t="n">
        <f aca="true">NORMSINV(RAND())*$G$7+$G$6</f>
        <v>0.00344785413367143</v>
      </c>
    </row>
    <row r="3561" customFormat="false" ht="15" hidden="false" customHeight="false" outlineLevel="0" collapsed="false">
      <c r="L3561" s="31" t="n">
        <f aca="true">NORMSINV(RAND())*$G$7+$G$6</f>
        <v>-0.00338220050149348</v>
      </c>
    </row>
    <row r="3562" customFormat="false" ht="15" hidden="false" customHeight="false" outlineLevel="0" collapsed="false">
      <c r="L3562" s="31" t="n">
        <f aca="true">NORMSINV(RAND())*$G$7+$G$6</f>
        <v>0.0215770207016259</v>
      </c>
    </row>
    <row r="3563" customFormat="false" ht="15" hidden="false" customHeight="false" outlineLevel="0" collapsed="false">
      <c r="L3563" s="31" t="n">
        <f aca="true">NORMSINV(RAND())*$G$7+$G$6</f>
        <v>-0.0224187580253677</v>
      </c>
    </row>
    <row r="3564" customFormat="false" ht="15" hidden="false" customHeight="false" outlineLevel="0" collapsed="false">
      <c r="L3564" s="31" t="n">
        <f aca="true">NORMSINV(RAND())*$G$7+$G$6</f>
        <v>-0.00093083195310761</v>
      </c>
    </row>
    <row r="3565" customFormat="false" ht="15" hidden="false" customHeight="false" outlineLevel="0" collapsed="false">
      <c r="L3565" s="31" t="n">
        <f aca="true">NORMSINV(RAND())*$G$7+$G$6</f>
        <v>-0.0289821031966446</v>
      </c>
    </row>
    <row r="3566" customFormat="false" ht="15" hidden="false" customHeight="false" outlineLevel="0" collapsed="false">
      <c r="L3566" s="31" t="n">
        <f aca="true">NORMSINV(RAND())*$G$7+$G$6</f>
        <v>-0.0100287380102079</v>
      </c>
    </row>
    <row r="3567" customFormat="false" ht="15" hidden="false" customHeight="false" outlineLevel="0" collapsed="false">
      <c r="L3567" s="31" t="n">
        <f aca="true">NORMSINV(RAND())*$G$7+$G$6</f>
        <v>0.00918784985436614</v>
      </c>
    </row>
    <row r="3568" customFormat="false" ht="15" hidden="false" customHeight="false" outlineLevel="0" collapsed="false">
      <c r="L3568" s="31" t="n">
        <f aca="true">NORMSINV(RAND())*$G$7+$G$6</f>
        <v>0.00178850474039104</v>
      </c>
    </row>
    <row r="3569" customFormat="false" ht="15" hidden="false" customHeight="false" outlineLevel="0" collapsed="false">
      <c r="L3569" s="31" t="n">
        <f aca="true">NORMSINV(RAND())*$G$7+$G$6</f>
        <v>0.0158828411124515</v>
      </c>
    </row>
    <row r="3570" customFormat="false" ht="15" hidden="false" customHeight="false" outlineLevel="0" collapsed="false">
      <c r="L3570" s="31" t="n">
        <f aca="true">NORMSINV(RAND())*$G$7+$G$6</f>
        <v>-0.00122669506516227</v>
      </c>
    </row>
    <row r="3571" customFormat="false" ht="15" hidden="false" customHeight="false" outlineLevel="0" collapsed="false">
      <c r="L3571" s="31" t="n">
        <f aca="true">NORMSINV(RAND())*$G$7+$G$6</f>
        <v>-0.00330012415399147</v>
      </c>
    </row>
    <row r="3572" customFormat="false" ht="15" hidden="false" customHeight="false" outlineLevel="0" collapsed="false">
      <c r="L3572" s="31" t="n">
        <f aca="true">NORMSINV(RAND())*$G$7+$G$6</f>
        <v>-0.00745666984482354</v>
      </c>
    </row>
    <row r="3573" customFormat="false" ht="15" hidden="false" customHeight="false" outlineLevel="0" collapsed="false">
      <c r="L3573" s="31" t="n">
        <f aca="true">NORMSINV(RAND())*$G$7+$G$6</f>
        <v>-0.025619669762375</v>
      </c>
    </row>
    <row r="3574" customFormat="false" ht="15" hidden="false" customHeight="false" outlineLevel="0" collapsed="false">
      <c r="L3574" s="31" t="n">
        <f aca="true">NORMSINV(RAND())*$G$7+$G$6</f>
        <v>0.00889024167214776</v>
      </c>
    </row>
    <row r="3575" customFormat="false" ht="15" hidden="false" customHeight="false" outlineLevel="0" collapsed="false">
      <c r="L3575" s="31" t="n">
        <f aca="true">NORMSINV(RAND())*$G$7+$G$6</f>
        <v>0.0176539221388255</v>
      </c>
    </row>
    <row r="3576" customFormat="false" ht="15" hidden="false" customHeight="false" outlineLevel="0" collapsed="false">
      <c r="L3576" s="31" t="n">
        <f aca="true">NORMSINV(RAND())*$G$7+$G$6</f>
        <v>0.0231036144566683</v>
      </c>
    </row>
    <row r="3577" customFormat="false" ht="15" hidden="false" customHeight="false" outlineLevel="0" collapsed="false">
      <c r="L3577" s="31" t="n">
        <f aca="true">NORMSINV(RAND())*$G$7+$G$6</f>
        <v>-0.00993336449108399</v>
      </c>
    </row>
    <row r="3578" customFormat="false" ht="15" hidden="false" customHeight="false" outlineLevel="0" collapsed="false">
      <c r="L3578" s="31" t="n">
        <f aca="true">NORMSINV(RAND())*$G$7+$G$6</f>
        <v>-0.0234130058364078</v>
      </c>
    </row>
    <row r="3579" customFormat="false" ht="15" hidden="false" customHeight="false" outlineLevel="0" collapsed="false">
      <c r="L3579" s="31" t="n">
        <f aca="true">NORMSINV(RAND())*$G$7+$G$6</f>
        <v>-0.00531454705470345</v>
      </c>
    </row>
    <row r="3580" customFormat="false" ht="15" hidden="false" customHeight="false" outlineLevel="0" collapsed="false">
      <c r="L3580" s="31" t="n">
        <f aca="true">NORMSINV(RAND())*$G$7+$G$6</f>
        <v>0.00686715566454037</v>
      </c>
    </row>
    <row r="3581" customFormat="false" ht="15" hidden="false" customHeight="false" outlineLevel="0" collapsed="false">
      <c r="L3581" s="31" t="n">
        <f aca="true">NORMSINV(RAND())*$G$7+$G$6</f>
        <v>0.00227590802304013</v>
      </c>
    </row>
    <row r="3582" customFormat="false" ht="15" hidden="false" customHeight="false" outlineLevel="0" collapsed="false">
      <c r="L3582" s="31" t="n">
        <f aca="true">NORMSINV(RAND())*$G$7+$G$6</f>
        <v>0.0128905032422671</v>
      </c>
    </row>
    <row r="3583" customFormat="false" ht="15" hidden="false" customHeight="false" outlineLevel="0" collapsed="false">
      <c r="L3583" s="31" t="n">
        <f aca="true">NORMSINV(RAND())*$G$7+$G$6</f>
        <v>0.0018882883041998</v>
      </c>
    </row>
    <row r="3584" customFormat="false" ht="15" hidden="false" customHeight="false" outlineLevel="0" collapsed="false">
      <c r="L3584" s="31" t="n">
        <f aca="true">NORMSINV(RAND())*$G$7+$G$6</f>
        <v>0.017046748816185</v>
      </c>
    </row>
    <row r="3585" customFormat="false" ht="15" hidden="false" customHeight="false" outlineLevel="0" collapsed="false">
      <c r="L3585" s="31" t="n">
        <f aca="true">NORMSINV(RAND())*$G$7+$G$6</f>
        <v>-0.010243962432584</v>
      </c>
    </row>
    <row r="3586" customFormat="false" ht="15" hidden="false" customHeight="false" outlineLevel="0" collapsed="false">
      <c r="L3586" s="31" t="n">
        <f aca="true">NORMSINV(RAND())*$G$7+$G$6</f>
        <v>-0.0113399407464938</v>
      </c>
    </row>
    <row r="3587" customFormat="false" ht="15" hidden="false" customHeight="false" outlineLevel="0" collapsed="false">
      <c r="L3587" s="31" t="n">
        <f aca="true">NORMSINV(RAND())*$G$7+$G$6</f>
        <v>-0.00234288482461544</v>
      </c>
    </row>
    <row r="3588" customFormat="false" ht="15" hidden="false" customHeight="false" outlineLevel="0" collapsed="false">
      <c r="L3588" s="31" t="n">
        <f aca="true">NORMSINV(RAND())*$G$7+$G$6</f>
        <v>-0.0219256325605986</v>
      </c>
    </row>
    <row r="3589" customFormat="false" ht="15" hidden="false" customHeight="false" outlineLevel="0" collapsed="false">
      <c r="L3589" s="31" t="n">
        <f aca="true">NORMSINV(RAND())*$G$7+$G$6</f>
        <v>-0.0148745077258021</v>
      </c>
    </row>
    <row r="3590" customFormat="false" ht="15" hidden="false" customHeight="false" outlineLevel="0" collapsed="false">
      <c r="L3590" s="31" t="n">
        <f aca="true">NORMSINV(RAND())*$G$7+$G$6</f>
        <v>-0.00041104814156803</v>
      </c>
    </row>
    <row r="3591" customFormat="false" ht="15" hidden="false" customHeight="false" outlineLevel="0" collapsed="false">
      <c r="L3591" s="31" t="n">
        <f aca="true">NORMSINV(RAND())*$G$7+$G$6</f>
        <v>-0.0195625447417734</v>
      </c>
    </row>
    <row r="3592" customFormat="false" ht="15" hidden="false" customHeight="false" outlineLevel="0" collapsed="false">
      <c r="L3592" s="31" t="n">
        <f aca="true">NORMSINV(RAND())*$G$7+$G$6</f>
        <v>-0.00260292834809369</v>
      </c>
    </row>
    <row r="3593" customFormat="false" ht="15" hidden="false" customHeight="false" outlineLevel="0" collapsed="false">
      <c r="L3593" s="31" t="n">
        <f aca="true">NORMSINV(RAND())*$G$7+$G$6</f>
        <v>0.00865292300891365</v>
      </c>
    </row>
    <row r="3594" customFormat="false" ht="15" hidden="false" customHeight="false" outlineLevel="0" collapsed="false">
      <c r="L3594" s="31" t="n">
        <f aca="true">NORMSINV(RAND())*$G$7+$G$6</f>
        <v>0.0132663276753389</v>
      </c>
    </row>
    <row r="3595" customFormat="false" ht="15" hidden="false" customHeight="false" outlineLevel="0" collapsed="false">
      <c r="L3595" s="31" t="n">
        <f aca="true">NORMSINV(RAND())*$G$7+$G$6</f>
        <v>0.0199166331022386</v>
      </c>
    </row>
    <row r="3596" customFormat="false" ht="15" hidden="false" customHeight="false" outlineLevel="0" collapsed="false">
      <c r="L3596" s="31" t="n">
        <f aca="true">NORMSINV(RAND())*$G$7+$G$6</f>
        <v>0.00530494039385042</v>
      </c>
    </row>
    <row r="3597" customFormat="false" ht="15" hidden="false" customHeight="false" outlineLevel="0" collapsed="false">
      <c r="L3597" s="31" t="n">
        <f aca="true">NORMSINV(RAND())*$G$7+$G$6</f>
        <v>-0.00751830162243589</v>
      </c>
    </row>
    <row r="3598" customFormat="false" ht="15" hidden="false" customHeight="false" outlineLevel="0" collapsed="false">
      <c r="L3598" s="31" t="n">
        <f aca="true">NORMSINV(RAND())*$G$7+$G$6</f>
        <v>0.00849254604554524</v>
      </c>
    </row>
    <row r="3599" customFormat="false" ht="15" hidden="false" customHeight="false" outlineLevel="0" collapsed="false">
      <c r="L3599" s="31" t="n">
        <f aca="true">NORMSINV(RAND())*$G$7+$G$6</f>
        <v>0.00972841074062216</v>
      </c>
    </row>
    <row r="3600" customFormat="false" ht="15" hidden="false" customHeight="false" outlineLevel="0" collapsed="false">
      <c r="L3600" s="31" t="n">
        <f aca="true">NORMSINV(RAND())*$G$7+$G$6</f>
        <v>0.00790659222326667</v>
      </c>
    </row>
    <row r="3601" customFormat="false" ht="15" hidden="false" customHeight="false" outlineLevel="0" collapsed="false">
      <c r="L3601" s="31" t="n">
        <f aca="true">NORMSINV(RAND())*$G$7+$G$6</f>
        <v>0.00340150962178204</v>
      </c>
    </row>
    <row r="3602" customFormat="false" ht="15" hidden="false" customHeight="false" outlineLevel="0" collapsed="false">
      <c r="L3602" s="31" t="n">
        <f aca="true">NORMSINV(RAND())*$G$7+$G$6</f>
        <v>0.0123928617231691</v>
      </c>
    </row>
    <row r="3603" customFormat="false" ht="15" hidden="false" customHeight="false" outlineLevel="0" collapsed="false">
      <c r="L3603" s="31" t="n">
        <f aca="true">NORMSINV(RAND())*$G$7+$G$6</f>
        <v>-0.0056808528418048</v>
      </c>
    </row>
    <row r="3604" customFormat="false" ht="15" hidden="false" customHeight="false" outlineLevel="0" collapsed="false">
      <c r="L3604" s="31" t="n">
        <f aca="true">NORMSINV(RAND())*$G$7+$G$6</f>
        <v>-0.00628152414227376</v>
      </c>
    </row>
    <row r="3605" customFormat="false" ht="15" hidden="false" customHeight="false" outlineLevel="0" collapsed="false">
      <c r="L3605" s="31" t="n">
        <f aca="true">NORMSINV(RAND())*$G$7+$G$6</f>
        <v>0.0108834380564619</v>
      </c>
    </row>
    <row r="3606" customFormat="false" ht="15" hidden="false" customHeight="false" outlineLevel="0" collapsed="false">
      <c r="L3606" s="31" t="n">
        <f aca="true">NORMSINV(RAND())*$G$7+$G$6</f>
        <v>0.0142679221892217</v>
      </c>
    </row>
    <row r="3607" customFormat="false" ht="15" hidden="false" customHeight="false" outlineLevel="0" collapsed="false">
      <c r="L3607" s="31" t="n">
        <f aca="true">NORMSINV(RAND())*$G$7+$G$6</f>
        <v>0.0127904700621665</v>
      </c>
    </row>
    <row r="3608" customFormat="false" ht="15" hidden="false" customHeight="false" outlineLevel="0" collapsed="false">
      <c r="L3608" s="31" t="n">
        <f aca="true">NORMSINV(RAND())*$G$7+$G$6</f>
        <v>-0.0236127338763478</v>
      </c>
    </row>
    <row r="3609" customFormat="false" ht="15" hidden="false" customHeight="false" outlineLevel="0" collapsed="false">
      <c r="L3609" s="31" t="n">
        <f aca="true">NORMSINV(RAND())*$G$7+$G$6</f>
        <v>0.0076674816404329</v>
      </c>
    </row>
    <row r="3610" customFormat="false" ht="15" hidden="false" customHeight="false" outlineLevel="0" collapsed="false">
      <c r="L3610" s="31" t="n">
        <f aca="true">NORMSINV(RAND())*$G$7+$G$6</f>
        <v>-0.0288792203865448</v>
      </c>
    </row>
    <row r="3611" customFormat="false" ht="15" hidden="false" customHeight="false" outlineLevel="0" collapsed="false">
      <c r="L3611" s="31" t="n">
        <f aca="true">NORMSINV(RAND())*$G$7+$G$6</f>
        <v>0.00312189466375683</v>
      </c>
    </row>
    <row r="3612" customFormat="false" ht="15" hidden="false" customHeight="false" outlineLevel="0" collapsed="false">
      <c r="L3612" s="31" t="n">
        <f aca="true">NORMSINV(RAND())*$G$7+$G$6</f>
        <v>0.00589880527898677</v>
      </c>
    </row>
    <row r="3613" customFormat="false" ht="15" hidden="false" customHeight="false" outlineLevel="0" collapsed="false">
      <c r="L3613" s="31" t="n">
        <f aca="true">NORMSINV(RAND())*$G$7+$G$6</f>
        <v>-0.0143870161748985</v>
      </c>
    </row>
    <row r="3614" customFormat="false" ht="15" hidden="false" customHeight="false" outlineLevel="0" collapsed="false">
      <c r="L3614" s="31" t="n">
        <f aca="true">NORMSINV(RAND())*$G$7+$G$6</f>
        <v>0.0079968111747606</v>
      </c>
    </row>
    <row r="3615" customFormat="false" ht="15" hidden="false" customHeight="false" outlineLevel="0" collapsed="false">
      <c r="L3615" s="31" t="n">
        <f aca="true">NORMSINV(RAND())*$G$7+$G$6</f>
        <v>0.000675991354593644</v>
      </c>
    </row>
    <row r="3616" customFormat="false" ht="15" hidden="false" customHeight="false" outlineLevel="0" collapsed="false">
      <c r="L3616" s="31" t="n">
        <f aca="true">NORMSINV(RAND())*$G$7+$G$6</f>
        <v>0.0085662669194828</v>
      </c>
    </row>
    <row r="3617" customFormat="false" ht="15" hidden="false" customHeight="false" outlineLevel="0" collapsed="false">
      <c r="L3617" s="31" t="n">
        <f aca="true">NORMSINV(RAND())*$G$7+$G$6</f>
        <v>0.00237630675621262</v>
      </c>
    </row>
    <row r="3618" customFormat="false" ht="15" hidden="false" customHeight="false" outlineLevel="0" collapsed="false">
      <c r="L3618" s="31" t="n">
        <f aca="true">NORMSINV(RAND())*$G$7+$G$6</f>
        <v>-0.0162588174003706</v>
      </c>
    </row>
    <row r="3619" customFormat="false" ht="15" hidden="false" customHeight="false" outlineLevel="0" collapsed="false">
      <c r="L3619" s="31" t="n">
        <f aca="true">NORMSINV(RAND())*$G$7+$G$6</f>
        <v>-0.0186565804908715</v>
      </c>
    </row>
    <row r="3620" customFormat="false" ht="15" hidden="false" customHeight="false" outlineLevel="0" collapsed="false">
      <c r="L3620" s="31" t="n">
        <f aca="true">NORMSINV(RAND())*$G$7+$G$6</f>
        <v>-0.0096560607483744</v>
      </c>
    </row>
    <row r="3621" customFormat="false" ht="15" hidden="false" customHeight="false" outlineLevel="0" collapsed="false">
      <c r="L3621" s="31" t="n">
        <f aca="true">NORMSINV(RAND())*$G$7+$G$6</f>
        <v>0.0140382272582402</v>
      </c>
    </row>
    <row r="3622" customFormat="false" ht="15" hidden="false" customHeight="false" outlineLevel="0" collapsed="false">
      <c r="L3622" s="31" t="n">
        <f aca="true">NORMSINV(RAND())*$G$7+$G$6</f>
        <v>0.00883732483687781</v>
      </c>
    </row>
    <row r="3623" customFormat="false" ht="15" hidden="false" customHeight="false" outlineLevel="0" collapsed="false">
      <c r="L3623" s="31" t="n">
        <f aca="true">NORMSINV(RAND())*$G$7+$G$6</f>
        <v>0.019182693999814</v>
      </c>
    </row>
    <row r="3624" customFormat="false" ht="15" hidden="false" customHeight="false" outlineLevel="0" collapsed="false">
      <c r="L3624" s="31" t="n">
        <f aca="true">NORMSINV(RAND())*$G$7+$G$6</f>
        <v>-0.00719897771076861</v>
      </c>
    </row>
    <row r="3625" customFormat="false" ht="15" hidden="false" customHeight="false" outlineLevel="0" collapsed="false">
      <c r="L3625" s="31" t="n">
        <f aca="true">NORMSINV(RAND())*$G$7+$G$6</f>
        <v>-0.00113442574232376</v>
      </c>
    </row>
    <row r="3626" customFormat="false" ht="15" hidden="false" customHeight="false" outlineLevel="0" collapsed="false">
      <c r="L3626" s="31" t="n">
        <f aca="true">NORMSINV(RAND())*$G$7+$G$6</f>
        <v>0.0007177789256996</v>
      </c>
    </row>
    <row r="3627" customFormat="false" ht="15" hidden="false" customHeight="false" outlineLevel="0" collapsed="false">
      <c r="L3627" s="31" t="n">
        <f aca="true">NORMSINV(RAND())*$G$7+$G$6</f>
        <v>0.00121419674230141</v>
      </c>
    </row>
    <row r="3628" customFormat="false" ht="15" hidden="false" customHeight="false" outlineLevel="0" collapsed="false">
      <c r="L3628" s="31" t="n">
        <f aca="true">NORMSINV(RAND())*$G$7+$G$6</f>
        <v>0.00433397446976659</v>
      </c>
    </row>
    <row r="3629" customFormat="false" ht="15" hidden="false" customHeight="false" outlineLevel="0" collapsed="false">
      <c r="L3629" s="31" t="n">
        <f aca="true">NORMSINV(RAND())*$G$7+$G$6</f>
        <v>-0.0077370723437083</v>
      </c>
    </row>
    <row r="3630" customFormat="false" ht="15" hidden="false" customHeight="false" outlineLevel="0" collapsed="false">
      <c r="L3630" s="31" t="n">
        <f aca="true">NORMSINV(RAND())*$G$7+$G$6</f>
        <v>-0.0050984254960229</v>
      </c>
    </row>
    <row r="3631" customFormat="false" ht="15" hidden="false" customHeight="false" outlineLevel="0" collapsed="false">
      <c r="L3631" s="31" t="n">
        <f aca="true">NORMSINV(RAND())*$G$7+$G$6</f>
        <v>-0.00209794926809999</v>
      </c>
    </row>
    <row r="3632" customFormat="false" ht="15" hidden="false" customHeight="false" outlineLevel="0" collapsed="false">
      <c r="L3632" s="31" t="n">
        <f aca="true">NORMSINV(RAND())*$G$7+$G$6</f>
        <v>-0.00107555794852596</v>
      </c>
    </row>
    <row r="3633" customFormat="false" ht="15" hidden="false" customHeight="false" outlineLevel="0" collapsed="false">
      <c r="L3633" s="31" t="n">
        <f aca="true">NORMSINV(RAND())*$G$7+$G$6</f>
        <v>-0.00382279226200514</v>
      </c>
    </row>
    <row r="3634" customFormat="false" ht="15" hidden="false" customHeight="false" outlineLevel="0" collapsed="false">
      <c r="L3634" s="31" t="n">
        <f aca="true">NORMSINV(RAND())*$G$7+$G$6</f>
        <v>-0.0113904807995873</v>
      </c>
    </row>
    <row r="3635" customFormat="false" ht="15" hidden="false" customHeight="false" outlineLevel="0" collapsed="false">
      <c r="L3635" s="31" t="n">
        <f aca="true">NORMSINV(RAND())*$G$7+$G$6</f>
        <v>-0.00421037093695343</v>
      </c>
    </row>
    <row r="3636" customFormat="false" ht="15" hidden="false" customHeight="false" outlineLevel="0" collapsed="false">
      <c r="L3636" s="31" t="n">
        <f aca="true">NORMSINV(RAND())*$G$7+$G$6</f>
        <v>-0.00103584788108693</v>
      </c>
    </row>
    <row r="3637" customFormat="false" ht="15" hidden="false" customHeight="false" outlineLevel="0" collapsed="false">
      <c r="L3637" s="31" t="n">
        <f aca="true">NORMSINV(RAND())*$G$7+$G$6</f>
        <v>-0.0101074874709806</v>
      </c>
    </row>
    <row r="3638" customFormat="false" ht="15" hidden="false" customHeight="false" outlineLevel="0" collapsed="false">
      <c r="L3638" s="31" t="n">
        <f aca="true">NORMSINV(RAND())*$G$7+$G$6</f>
        <v>0.0041986412482183</v>
      </c>
    </row>
    <row r="3639" customFormat="false" ht="15" hidden="false" customHeight="false" outlineLevel="0" collapsed="false">
      <c r="L3639" s="31" t="n">
        <f aca="true">NORMSINV(RAND())*$G$7+$G$6</f>
        <v>-0.00374076621648782</v>
      </c>
    </row>
    <row r="3640" customFormat="false" ht="15" hidden="false" customHeight="false" outlineLevel="0" collapsed="false">
      <c r="L3640" s="31" t="n">
        <f aca="true">NORMSINV(RAND())*$G$7+$G$6</f>
        <v>-0.00398867356783331</v>
      </c>
    </row>
    <row r="3641" customFormat="false" ht="15" hidden="false" customHeight="false" outlineLevel="0" collapsed="false">
      <c r="L3641" s="31" t="n">
        <f aca="true">NORMSINV(RAND())*$G$7+$G$6</f>
        <v>0.0133526160617884</v>
      </c>
    </row>
    <row r="3642" customFormat="false" ht="15" hidden="false" customHeight="false" outlineLevel="0" collapsed="false">
      <c r="L3642" s="31" t="n">
        <f aca="true">NORMSINV(RAND())*$G$7+$G$6</f>
        <v>0.00418274139318797</v>
      </c>
    </row>
    <row r="3643" customFormat="false" ht="15" hidden="false" customHeight="false" outlineLevel="0" collapsed="false">
      <c r="L3643" s="31" t="n">
        <f aca="true">NORMSINV(RAND())*$G$7+$G$6</f>
        <v>-0.0128896561418114</v>
      </c>
    </row>
    <row r="3644" customFormat="false" ht="15" hidden="false" customHeight="false" outlineLevel="0" collapsed="false">
      <c r="L3644" s="31" t="n">
        <f aca="true">NORMSINV(RAND())*$G$7+$G$6</f>
        <v>-0.0153347996075494</v>
      </c>
    </row>
    <row r="3645" customFormat="false" ht="15" hidden="false" customHeight="false" outlineLevel="0" collapsed="false">
      <c r="L3645" s="31" t="n">
        <f aca="true">NORMSINV(RAND())*$G$7+$G$6</f>
        <v>-0.00272870948671362</v>
      </c>
    </row>
    <row r="3646" customFormat="false" ht="15" hidden="false" customHeight="false" outlineLevel="0" collapsed="false">
      <c r="L3646" s="31" t="n">
        <f aca="true">NORMSINV(RAND())*$G$7+$G$6</f>
        <v>0.00395451087697562</v>
      </c>
    </row>
    <row r="3647" customFormat="false" ht="15" hidden="false" customHeight="false" outlineLevel="0" collapsed="false">
      <c r="L3647" s="31" t="n">
        <f aca="true">NORMSINV(RAND())*$G$7+$G$6</f>
        <v>0.0422682791031348</v>
      </c>
    </row>
    <row r="3648" customFormat="false" ht="15" hidden="false" customHeight="false" outlineLevel="0" collapsed="false">
      <c r="L3648" s="31" t="n">
        <f aca="true">NORMSINV(RAND())*$G$7+$G$6</f>
        <v>-0.0179514970396353</v>
      </c>
    </row>
    <row r="3649" customFormat="false" ht="15" hidden="false" customHeight="false" outlineLevel="0" collapsed="false">
      <c r="L3649" s="31" t="n">
        <f aca="true">NORMSINV(RAND())*$G$7+$G$6</f>
        <v>0.00953882944187205</v>
      </c>
    </row>
    <row r="3650" customFormat="false" ht="15" hidden="false" customHeight="false" outlineLevel="0" collapsed="false">
      <c r="L3650" s="31" t="n">
        <f aca="true">NORMSINV(RAND())*$G$7+$G$6</f>
        <v>-0.00499636435389797</v>
      </c>
    </row>
    <row r="3651" customFormat="false" ht="15" hidden="false" customHeight="false" outlineLevel="0" collapsed="false">
      <c r="L3651" s="31" t="n">
        <f aca="true">NORMSINV(RAND())*$G$7+$G$6</f>
        <v>0.0147847165834748</v>
      </c>
    </row>
    <row r="3652" customFormat="false" ht="15" hidden="false" customHeight="false" outlineLevel="0" collapsed="false">
      <c r="L3652" s="31" t="n">
        <f aca="true">NORMSINV(RAND())*$G$7+$G$6</f>
        <v>-0.0194927238081171</v>
      </c>
    </row>
    <row r="3653" customFormat="false" ht="15" hidden="false" customHeight="false" outlineLevel="0" collapsed="false">
      <c r="L3653" s="31" t="n">
        <f aca="true">NORMSINV(RAND())*$G$7+$G$6</f>
        <v>-0.00394473878139527</v>
      </c>
    </row>
    <row r="3654" customFormat="false" ht="15" hidden="false" customHeight="false" outlineLevel="0" collapsed="false">
      <c r="L3654" s="31" t="n">
        <f aca="true">NORMSINV(RAND())*$G$7+$G$6</f>
        <v>-0.00319934997889241</v>
      </c>
    </row>
    <row r="3655" customFormat="false" ht="15" hidden="false" customHeight="false" outlineLevel="0" collapsed="false">
      <c r="L3655" s="31" t="n">
        <f aca="true">NORMSINV(RAND())*$G$7+$G$6</f>
        <v>0.0354362104288566</v>
      </c>
    </row>
    <row r="3656" customFormat="false" ht="15" hidden="false" customHeight="false" outlineLevel="0" collapsed="false">
      <c r="L3656" s="31" t="n">
        <f aca="true">NORMSINV(RAND())*$G$7+$G$6</f>
        <v>-0.0221497041166868</v>
      </c>
    </row>
    <row r="3657" customFormat="false" ht="15" hidden="false" customHeight="false" outlineLevel="0" collapsed="false">
      <c r="L3657" s="31" t="n">
        <f aca="true">NORMSINV(RAND())*$G$7+$G$6</f>
        <v>-0.0115178780309807</v>
      </c>
    </row>
    <row r="3658" customFormat="false" ht="15" hidden="false" customHeight="false" outlineLevel="0" collapsed="false">
      <c r="L3658" s="31" t="n">
        <f aca="true">NORMSINV(RAND())*$G$7+$G$6</f>
        <v>-0.0168854383610938</v>
      </c>
    </row>
    <row r="3659" customFormat="false" ht="15" hidden="false" customHeight="false" outlineLevel="0" collapsed="false">
      <c r="L3659" s="31" t="n">
        <f aca="true">NORMSINV(RAND())*$G$7+$G$6</f>
        <v>0.00869673620389058</v>
      </c>
    </row>
    <row r="3660" customFormat="false" ht="15" hidden="false" customHeight="false" outlineLevel="0" collapsed="false">
      <c r="L3660" s="31" t="n">
        <f aca="true">NORMSINV(RAND())*$G$7+$G$6</f>
        <v>0.0113366836214895</v>
      </c>
    </row>
    <row r="3661" customFormat="false" ht="15" hidden="false" customHeight="false" outlineLevel="0" collapsed="false">
      <c r="L3661" s="31" t="n">
        <f aca="true">NORMSINV(RAND())*$G$7+$G$6</f>
        <v>-0.00552542059322807</v>
      </c>
    </row>
    <row r="3662" customFormat="false" ht="15" hidden="false" customHeight="false" outlineLevel="0" collapsed="false">
      <c r="L3662" s="31" t="n">
        <f aca="true">NORMSINV(RAND())*$G$7+$G$6</f>
        <v>0.00403030851472462</v>
      </c>
    </row>
    <row r="3663" customFormat="false" ht="15" hidden="false" customHeight="false" outlineLevel="0" collapsed="false">
      <c r="L3663" s="31" t="n">
        <f aca="true">NORMSINV(RAND())*$G$7+$G$6</f>
        <v>0.0187482859553603</v>
      </c>
    </row>
    <row r="3664" customFormat="false" ht="15" hidden="false" customHeight="false" outlineLevel="0" collapsed="false">
      <c r="L3664" s="31" t="n">
        <f aca="true">NORMSINV(RAND())*$G$7+$G$6</f>
        <v>-0.00701627735905583</v>
      </c>
    </row>
    <row r="3665" customFormat="false" ht="15" hidden="false" customHeight="false" outlineLevel="0" collapsed="false">
      <c r="L3665" s="31" t="n">
        <f aca="true">NORMSINV(RAND())*$G$7+$G$6</f>
        <v>0.0197422665765615</v>
      </c>
    </row>
    <row r="3666" customFormat="false" ht="15" hidden="false" customHeight="false" outlineLevel="0" collapsed="false">
      <c r="L3666" s="31" t="n">
        <f aca="true">NORMSINV(RAND())*$G$7+$G$6</f>
        <v>-0.00231458869277041</v>
      </c>
    </row>
    <row r="3667" customFormat="false" ht="15" hidden="false" customHeight="false" outlineLevel="0" collapsed="false">
      <c r="L3667" s="31" t="n">
        <f aca="true">NORMSINV(RAND())*$G$7+$G$6</f>
        <v>-0.0080710620085341</v>
      </c>
    </row>
    <row r="3668" customFormat="false" ht="15" hidden="false" customHeight="false" outlineLevel="0" collapsed="false">
      <c r="L3668" s="31" t="n">
        <f aca="true">NORMSINV(RAND())*$G$7+$G$6</f>
        <v>-0.0113303990254042</v>
      </c>
    </row>
    <row r="3669" customFormat="false" ht="15" hidden="false" customHeight="false" outlineLevel="0" collapsed="false">
      <c r="L3669" s="31" t="n">
        <f aca="true">NORMSINV(RAND())*$G$7+$G$6</f>
        <v>0.000190599263318886</v>
      </c>
    </row>
    <row r="3670" customFormat="false" ht="15" hidden="false" customHeight="false" outlineLevel="0" collapsed="false">
      <c r="L3670" s="31" t="n">
        <f aca="true">NORMSINV(RAND())*$G$7+$G$6</f>
        <v>0.00704276011917996</v>
      </c>
    </row>
    <row r="3671" customFormat="false" ht="15" hidden="false" customHeight="false" outlineLevel="0" collapsed="false">
      <c r="L3671" s="31" t="n">
        <f aca="true">NORMSINV(RAND())*$G$7+$G$6</f>
        <v>-0.00173879144517173</v>
      </c>
    </row>
    <row r="3672" customFormat="false" ht="15" hidden="false" customHeight="false" outlineLevel="0" collapsed="false">
      <c r="L3672" s="31" t="n">
        <f aca="true">NORMSINV(RAND())*$G$7+$G$6</f>
        <v>-0.0120183058239324</v>
      </c>
    </row>
    <row r="3673" customFormat="false" ht="15" hidden="false" customHeight="false" outlineLevel="0" collapsed="false">
      <c r="L3673" s="31" t="n">
        <f aca="true">NORMSINV(RAND())*$G$7+$G$6</f>
        <v>-0.0103432708089618</v>
      </c>
    </row>
    <row r="3674" customFormat="false" ht="15" hidden="false" customHeight="false" outlineLevel="0" collapsed="false">
      <c r="L3674" s="31" t="n">
        <f aca="true">NORMSINV(RAND())*$G$7+$G$6</f>
        <v>0.0111794284249511</v>
      </c>
    </row>
    <row r="3675" customFormat="false" ht="15" hidden="false" customHeight="false" outlineLevel="0" collapsed="false">
      <c r="L3675" s="31" t="n">
        <f aca="true">NORMSINV(RAND())*$G$7+$G$6</f>
        <v>0.00685098160669458</v>
      </c>
    </row>
    <row r="3676" customFormat="false" ht="15" hidden="false" customHeight="false" outlineLevel="0" collapsed="false">
      <c r="L3676" s="31" t="n">
        <f aca="true">NORMSINV(RAND())*$G$7+$G$6</f>
        <v>0.00955254477392829</v>
      </c>
    </row>
    <row r="3677" customFormat="false" ht="15" hidden="false" customHeight="false" outlineLevel="0" collapsed="false">
      <c r="L3677" s="31" t="n">
        <f aca="true">NORMSINV(RAND())*$G$7+$G$6</f>
        <v>0.0116214667233697</v>
      </c>
    </row>
    <row r="3678" customFormat="false" ht="15" hidden="false" customHeight="false" outlineLevel="0" collapsed="false">
      <c r="L3678" s="31" t="n">
        <f aca="true">NORMSINV(RAND())*$G$7+$G$6</f>
        <v>0.0111492115692504</v>
      </c>
    </row>
    <row r="3679" customFormat="false" ht="15" hidden="false" customHeight="false" outlineLevel="0" collapsed="false">
      <c r="L3679" s="31" t="n">
        <f aca="true">NORMSINV(RAND())*$G$7+$G$6</f>
        <v>0.0157019923673428</v>
      </c>
    </row>
    <row r="3680" customFormat="false" ht="15" hidden="false" customHeight="false" outlineLevel="0" collapsed="false">
      <c r="L3680" s="31" t="n">
        <f aca="true">NORMSINV(RAND())*$G$7+$G$6</f>
        <v>0.0216533921767288</v>
      </c>
    </row>
    <row r="3681" customFormat="false" ht="15" hidden="false" customHeight="false" outlineLevel="0" collapsed="false">
      <c r="L3681" s="31" t="n">
        <f aca="true">NORMSINV(RAND())*$G$7+$G$6</f>
        <v>-0.000187546868462467</v>
      </c>
    </row>
    <row r="3682" customFormat="false" ht="15" hidden="false" customHeight="false" outlineLevel="0" collapsed="false">
      <c r="L3682" s="31" t="n">
        <f aca="true">NORMSINV(RAND())*$G$7+$G$6</f>
        <v>0.0214426359941498</v>
      </c>
    </row>
    <row r="3683" customFormat="false" ht="15" hidden="false" customHeight="false" outlineLevel="0" collapsed="false">
      <c r="L3683" s="31" t="n">
        <f aca="true">NORMSINV(RAND())*$G$7+$G$6</f>
        <v>0.00257277321261221</v>
      </c>
    </row>
    <row r="3684" customFormat="false" ht="15" hidden="false" customHeight="false" outlineLevel="0" collapsed="false">
      <c r="L3684" s="31" t="n">
        <f aca="true">NORMSINV(RAND())*$G$7+$G$6</f>
        <v>0.0025837811572816</v>
      </c>
    </row>
    <row r="3685" customFormat="false" ht="15" hidden="false" customHeight="false" outlineLevel="0" collapsed="false">
      <c r="L3685" s="31" t="n">
        <f aca="true">NORMSINV(RAND())*$G$7+$G$6</f>
        <v>-0.000459909931039769</v>
      </c>
    </row>
    <row r="3686" customFormat="false" ht="15" hidden="false" customHeight="false" outlineLevel="0" collapsed="false">
      <c r="L3686" s="31" t="n">
        <f aca="true">NORMSINV(RAND())*$G$7+$G$6</f>
        <v>-0.0330102217214081</v>
      </c>
    </row>
    <row r="3687" customFormat="false" ht="15" hidden="false" customHeight="false" outlineLevel="0" collapsed="false">
      <c r="L3687" s="31" t="n">
        <f aca="true">NORMSINV(RAND())*$G$7+$G$6</f>
        <v>0.000116046489582296</v>
      </c>
    </row>
    <row r="3688" customFormat="false" ht="15" hidden="false" customHeight="false" outlineLevel="0" collapsed="false">
      <c r="L3688" s="31" t="n">
        <f aca="true">NORMSINV(RAND())*$G$7+$G$6</f>
        <v>-0.00301546496973892</v>
      </c>
    </row>
    <row r="3689" customFormat="false" ht="15" hidden="false" customHeight="false" outlineLevel="0" collapsed="false">
      <c r="L3689" s="31" t="n">
        <f aca="true">NORMSINV(RAND())*$G$7+$G$6</f>
        <v>-0.00779009348984396</v>
      </c>
    </row>
    <row r="3690" customFormat="false" ht="15" hidden="false" customHeight="false" outlineLevel="0" collapsed="false">
      <c r="L3690" s="31" t="n">
        <f aca="true">NORMSINV(RAND())*$G$7+$G$6</f>
        <v>0.00709506942233297</v>
      </c>
    </row>
    <row r="3691" customFormat="false" ht="15" hidden="false" customHeight="false" outlineLevel="0" collapsed="false">
      <c r="L3691" s="31" t="n">
        <f aca="true">NORMSINV(RAND())*$G$7+$G$6</f>
        <v>-0.00371659432140622</v>
      </c>
    </row>
    <row r="3692" customFormat="false" ht="15" hidden="false" customHeight="false" outlineLevel="0" collapsed="false">
      <c r="L3692" s="31" t="n">
        <f aca="true">NORMSINV(RAND())*$G$7+$G$6</f>
        <v>0.00115702205462766</v>
      </c>
    </row>
    <row r="3693" customFormat="false" ht="15" hidden="false" customHeight="false" outlineLevel="0" collapsed="false">
      <c r="L3693" s="31" t="n">
        <f aca="true">NORMSINV(RAND())*$G$7+$G$6</f>
        <v>0.00128364046648273</v>
      </c>
    </row>
    <row r="3694" customFormat="false" ht="15" hidden="false" customHeight="false" outlineLevel="0" collapsed="false">
      <c r="L3694" s="31" t="n">
        <f aca="true">NORMSINV(RAND())*$G$7+$G$6</f>
        <v>0.0173630898664185</v>
      </c>
    </row>
    <row r="3695" customFormat="false" ht="15" hidden="false" customHeight="false" outlineLevel="0" collapsed="false">
      <c r="L3695" s="31" t="n">
        <f aca="true">NORMSINV(RAND())*$G$7+$G$6</f>
        <v>-0.0193913294844796</v>
      </c>
    </row>
    <row r="3696" customFormat="false" ht="15" hidden="false" customHeight="false" outlineLevel="0" collapsed="false">
      <c r="L3696" s="31" t="n">
        <f aca="true">NORMSINV(RAND())*$G$7+$G$6</f>
        <v>-0.00407543312283838</v>
      </c>
    </row>
    <row r="3697" customFormat="false" ht="15" hidden="false" customHeight="false" outlineLevel="0" collapsed="false">
      <c r="L3697" s="31" t="n">
        <f aca="true">NORMSINV(RAND())*$G$7+$G$6</f>
        <v>0.0024549596172602</v>
      </c>
    </row>
    <row r="3698" customFormat="false" ht="15" hidden="false" customHeight="false" outlineLevel="0" collapsed="false">
      <c r="L3698" s="31" t="n">
        <f aca="true">NORMSINV(RAND())*$G$7+$G$6</f>
        <v>-0.0026172517930053</v>
      </c>
    </row>
    <row r="3699" customFormat="false" ht="15" hidden="false" customHeight="false" outlineLevel="0" collapsed="false">
      <c r="L3699" s="31" t="n">
        <f aca="true">NORMSINV(RAND())*$G$7+$G$6</f>
        <v>0.00982989025650247</v>
      </c>
    </row>
    <row r="3700" customFormat="false" ht="15" hidden="false" customHeight="false" outlineLevel="0" collapsed="false">
      <c r="L3700" s="31" t="n">
        <f aca="true">NORMSINV(RAND())*$G$7+$G$6</f>
        <v>-0.00642449870536402</v>
      </c>
    </row>
    <row r="3701" customFormat="false" ht="15" hidden="false" customHeight="false" outlineLevel="0" collapsed="false">
      <c r="L3701" s="31" t="n">
        <f aca="true">NORMSINV(RAND())*$G$7+$G$6</f>
        <v>0.00312330672584172</v>
      </c>
    </row>
    <row r="3702" customFormat="false" ht="15" hidden="false" customHeight="false" outlineLevel="0" collapsed="false">
      <c r="L3702" s="31" t="n">
        <f aca="true">NORMSINV(RAND())*$G$7+$G$6</f>
        <v>0.00526766269633518</v>
      </c>
    </row>
    <row r="3703" customFormat="false" ht="15" hidden="false" customHeight="false" outlineLevel="0" collapsed="false">
      <c r="L3703" s="31" t="n">
        <f aca="true">NORMSINV(RAND())*$G$7+$G$6</f>
        <v>-0.020823838210483</v>
      </c>
    </row>
    <row r="3704" customFormat="false" ht="15" hidden="false" customHeight="false" outlineLevel="0" collapsed="false">
      <c r="L3704" s="31" t="n">
        <f aca="true">NORMSINV(RAND())*$G$7+$G$6</f>
        <v>-0.000135413520621005</v>
      </c>
    </row>
    <row r="3705" customFormat="false" ht="15" hidden="false" customHeight="false" outlineLevel="0" collapsed="false">
      <c r="L3705" s="31" t="n">
        <f aca="true">NORMSINV(RAND())*$G$7+$G$6</f>
        <v>0.00484359485602734</v>
      </c>
    </row>
    <row r="3706" customFormat="false" ht="15" hidden="false" customHeight="false" outlineLevel="0" collapsed="false">
      <c r="L3706" s="31" t="n">
        <f aca="true">NORMSINV(RAND())*$G$7+$G$6</f>
        <v>0.0148210050648419</v>
      </c>
    </row>
    <row r="3707" customFormat="false" ht="15" hidden="false" customHeight="false" outlineLevel="0" collapsed="false">
      <c r="L3707" s="31" t="n">
        <f aca="true">NORMSINV(RAND())*$G$7+$G$6</f>
        <v>0.00621107691343634</v>
      </c>
    </row>
    <row r="3708" customFormat="false" ht="15" hidden="false" customHeight="false" outlineLevel="0" collapsed="false">
      <c r="L3708" s="31" t="n">
        <f aca="true">NORMSINV(RAND())*$G$7+$G$6</f>
        <v>-0.00196997321110952</v>
      </c>
    </row>
    <row r="3709" customFormat="false" ht="15" hidden="false" customHeight="false" outlineLevel="0" collapsed="false">
      <c r="L3709" s="31" t="n">
        <f aca="true">NORMSINV(RAND())*$G$7+$G$6</f>
        <v>0.0111443447741154</v>
      </c>
    </row>
    <row r="3710" customFormat="false" ht="15" hidden="false" customHeight="false" outlineLevel="0" collapsed="false">
      <c r="L3710" s="31" t="n">
        <f aca="true">NORMSINV(RAND())*$G$7+$G$6</f>
        <v>-0.00077724407618217</v>
      </c>
    </row>
    <row r="3711" customFormat="false" ht="15" hidden="false" customHeight="false" outlineLevel="0" collapsed="false">
      <c r="L3711" s="31" t="n">
        <f aca="true">NORMSINV(RAND())*$G$7+$G$6</f>
        <v>0.00767727259170472</v>
      </c>
    </row>
    <row r="3712" customFormat="false" ht="15" hidden="false" customHeight="false" outlineLevel="0" collapsed="false">
      <c r="L3712" s="31" t="n">
        <f aca="true">NORMSINV(RAND())*$G$7+$G$6</f>
        <v>0.0185479989514771</v>
      </c>
    </row>
    <row r="3713" customFormat="false" ht="15" hidden="false" customHeight="false" outlineLevel="0" collapsed="false">
      <c r="L3713" s="31" t="n">
        <f aca="true">NORMSINV(RAND())*$G$7+$G$6</f>
        <v>-0.019438058253078</v>
      </c>
    </row>
    <row r="3714" customFormat="false" ht="15" hidden="false" customHeight="false" outlineLevel="0" collapsed="false">
      <c r="L3714" s="31" t="n">
        <f aca="true">NORMSINV(RAND())*$G$7+$G$6</f>
        <v>-0.0171370820442058</v>
      </c>
    </row>
    <row r="3715" customFormat="false" ht="15" hidden="false" customHeight="false" outlineLevel="0" collapsed="false">
      <c r="L3715" s="31" t="n">
        <f aca="true">NORMSINV(RAND())*$G$7+$G$6</f>
        <v>-0.00571362114269819</v>
      </c>
    </row>
    <row r="3716" customFormat="false" ht="15" hidden="false" customHeight="false" outlineLevel="0" collapsed="false">
      <c r="L3716" s="31" t="n">
        <f aca="true">NORMSINV(RAND())*$G$7+$G$6</f>
        <v>0.0108913653062128</v>
      </c>
    </row>
    <row r="3717" customFormat="false" ht="15" hidden="false" customHeight="false" outlineLevel="0" collapsed="false">
      <c r="L3717" s="31" t="n">
        <f aca="true">NORMSINV(RAND())*$G$7+$G$6</f>
        <v>0.0120175235832724</v>
      </c>
    </row>
    <row r="3718" customFormat="false" ht="15" hidden="false" customHeight="false" outlineLevel="0" collapsed="false">
      <c r="L3718" s="31" t="n">
        <f aca="true">NORMSINV(RAND())*$G$7+$G$6</f>
        <v>-0.0101147797275211</v>
      </c>
    </row>
    <row r="3719" customFormat="false" ht="15" hidden="false" customHeight="false" outlineLevel="0" collapsed="false">
      <c r="L3719" s="31" t="n">
        <f aca="true">NORMSINV(RAND())*$G$7+$G$6</f>
        <v>-0.0199712418387206</v>
      </c>
    </row>
    <row r="3720" customFormat="false" ht="15" hidden="false" customHeight="false" outlineLevel="0" collapsed="false">
      <c r="L3720" s="31" t="n">
        <f aca="true">NORMSINV(RAND())*$G$7+$G$6</f>
        <v>-0.0100442236290782</v>
      </c>
    </row>
    <row r="3721" customFormat="false" ht="15" hidden="false" customHeight="false" outlineLevel="0" collapsed="false">
      <c r="L3721" s="31" t="n">
        <f aca="true">NORMSINV(RAND())*$G$7+$G$6</f>
        <v>-0.0192287444179923</v>
      </c>
    </row>
    <row r="3722" customFormat="false" ht="15" hidden="false" customHeight="false" outlineLevel="0" collapsed="false">
      <c r="L3722" s="31" t="n">
        <f aca="true">NORMSINV(RAND())*$G$7+$G$6</f>
        <v>-0.0285765692423473</v>
      </c>
    </row>
    <row r="3723" customFormat="false" ht="15" hidden="false" customHeight="false" outlineLevel="0" collapsed="false">
      <c r="L3723" s="31" t="n">
        <f aca="true">NORMSINV(RAND())*$G$7+$G$6</f>
        <v>-0.00591180178928561</v>
      </c>
    </row>
    <row r="3724" customFormat="false" ht="15" hidden="false" customHeight="false" outlineLevel="0" collapsed="false">
      <c r="L3724" s="31" t="n">
        <f aca="true">NORMSINV(RAND())*$G$7+$G$6</f>
        <v>0.0115388156856286</v>
      </c>
    </row>
    <row r="3725" customFormat="false" ht="15" hidden="false" customHeight="false" outlineLevel="0" collapsed="false">
      <c r="L3725" s="31" t="n">
        <f aca="true">NORMSINV(RAND())*$G$7+$G$6</f>
        <v>0.017756956065113</v>
      </c>
    </row>
    <row r="3726" customFormat="false" ht="15" hidden="false" customHeight="false" outlineLevel="0" collapsed="false">
      <c r="L3726" s="31" t="n">
        <f aca="true">NORMSINV(RAND())*$G$7+$G$6</f>
        <v>-0.015227264109504</v>
      </c>
    </row>
    <row r="3727" customFormat="false" ht="15" hidden="false" customHeight="false" outlineLevel="0" collapsed="false">
      <c r="L3727" s="31" t="n">
        <f aca="true">NORMSINV(RAND())*$G$7+$G$6</f>
        <v>-0.0152837942222197</v>
      </c>
    </row>
    <row r="3728" customFormat="false" ht="15" hidden="false" customHeight="false" outlineLevel="0" collapsed="false">
      <c r="L3728" s="31" t="n">
        <f aca="true">NORMSINV(RAND())*$G$7+$G$6</f>
        <v>0.0186052034816987</v>
      </c>
    </row>
    <row r="3729" customFormat="false" ht="15" hidden="false" customHeight="false" outlineLevel="0" collapsed="false">
      <c r="L3729" s="31" t="n">
        <f aca="true">NORMSINV(RAND())*$G$7+$G$6</f>
        <v>0.0103545900131086</v>
      </c>
    </row>
    <row r="3730" customFormat="false" ht="15" hidden="false" customHeight="false" outlineLevel="0" collapsed="false">
      <c r="L3730" s="31" t="n">
        <f aca="true">NORMSINV(RAND())*$G$7+$G$6</f>
        <v>0.00147187135664046</v>
      </c>
    </row>
    <row r="3731" customFormat="false" ht="15" hidden="false" customHeight="false" outlineLevel="0" collapsed="false">
      <c r="L3731" s="31" t="n">
        <f aca="true">NORMSINV(RAND())*$G$7+$G$6</f>
        <v>0.000620301200509585</v>
      </c>
    </row>
    <row r="3732" customFormat="false" ht="15" hidden="false" customHeight="false" outlineLevel="0" collapsed="false">
      <c r="L3732" s="31" t="n">
        <f aca="true">NORMSINV(RAND())*$G$7+$G$6</f>
        <v>-0.00345035814149209</v>
      </c>
    </row>
    <row r="3733" customFormat="false" ht="15" hidden="false" customHeight="false" outlineLevel="0" collapsed="false">
      <c r="L3733" s="31" t="n">
        <f aca="true">NORMSINV(RAND())*$G$7+$G$6</f>
        <v>0.0078246804894713</v>
      </c>
    </row>
    <row r="3734" customFormat="false" ht="15" hidden="false" customHeight="false" outlineLevel="0" collapsed="false">
      <c r="L3734" s="31" t="n">
        <f aca="true">NORMSINV(RAND())*$G$7+$G$6</f>
        <v>-0.0101629887569756</v>
      </c>
    </row>
    <row r="3735" customFormat="false" ht="15" hidden="false" customHeight="false" outlineLevel="0" collapsed="false">
      <c r="L3735" s="31" t="n">
        <f aca="true">NORMSINV(RAND())*$G$7+$G$6</f>
        <v>0.00650052902564132</v>
      </c>
    </row>
    <row r="3736" customFormat="false" ht="15" hidden="false" customHeight="false" outlineLevel="0" collapsed="false">
      <c r="L3736" s="31" t="n">
        <f aca="true">NORMSINV(RAND())*$G$7+$G$6</f>
        <v>-0.000762409596422452</v>
      </c>
    </row>
    <row r="3737" customFormat="false" ht="15" hidden="false" customHeight="false" outlineLevel="0" collapsed="false">
      <c r="L3737" s="31" t="n">
        <f aca="true">NORMSINV(RAND())*$G$7+$G$6</f>
        <v>0.00337065760495824</v>
      </c>
    </row>
    <row r="3738" customFormat="false" ht="15" hidden="false" customHeight="false" outlineLevel="0" collapsed="false">
      <c r="L3738" s="31" t="n">
        <f aca="true">NORMSINV(RAND())*$G$7+$G$6</f>
        <v>0.0269242186858541</v>
      </c>
    </row>
    <row r="3739" customFormat="false" ht="15" hidden="false" customHeight="false" outlineLevel="0" collapsed="false">
      <c r="L3739" s="31" t="n">
        <f aca="true">NORMSINV(RAND())*$G$7+$G$6</f>
        <v>0.000110852280555517</v>
      </c>
    </row>
    <row r="3740" customFormat="false" ht="15" hidden="false" customHeight="false" outlineLevel="0" collapsed="false">
      <c r="L3740" s="31" t="n">
        <f aca="true">NORMSINV(RAND())*$G$7+$G$6</f>
        <v>0.0200069961253715</v>
      </c>
    </row>
    <row r="3741" customFormat="false" ht="15" hidden="false" customHeight="false" outlineLevel="0" collapsed="false">
      <c r="L3741" s="31" t="n">
        <f aca="true">NORMSINV(RAND())*$G$7+$G$6</f>
        <v>-0.0138064356419444</v>
      </c>
    </row>
    <row r="3742" customFormat="false" ht="15" hidden="false" customHeight="false" outlineLevel="0" collapsed="false">
      <c r="L3742" s="31" t="n">
        <f aca="true">NORMSINV(RAND())*$G$7+$G$6</f>
        <v>-0.0213752767874174</v>
      </c>
    </row>
    <row r="3743" customFormat="false" ht="15" hidden="false" customHeight="false" outlineLevel="0" collapsed="false">
      <c r="L3743" s="31" t="n">
        <f aca="true">NORMSINV(RAND())*$G$7+$G$6</f>
        <v>0.0123247953555621</v>
      </c>
    </row>
    <row r="3744" customFormat="false" ht="15" hidden="false" customHeight="false" outlineLevel="0" collapsed="false">
      <c r="L3744" s="31" t="n">
        <f aca="true">NORMSINV(RAND())*$G$7+$G$6</f>
        <v>0.0167707309034582</v>
      </c>
    </row>
    <row r="3745" customFormat="false" ht="15" hidden="false" customHeight="false" outlineLevel="0" collapsed="false">
      <c r="L3745" s="31" t="n">
        <f aca="true">NORMSINV(RAND())*$G$7+$G$6</f>
        <v>0.0192480036059208</v>
      </c>
    </row>
    <row r="3746" customFormat="false" ht="15" hidden="false" customHeight="false" outlineLevel="0" collapsed="false">
      <c r="L3746" s="31" t="n">
        <f aca="true">NORMSINV(RAND())*$G$7+$G$6</f>
        <v>-0.00512166226591628</v>
      </c>
    </row>
    <row r="3747" customFormat="false" ht="15" hidden="false" customHeight="false" outlineLevel="0" collapsed="false">
      <c r="L3747" s="31" t="n">
        <f aca="true">NORMSINV(RAND())*$G$7+$G$6</f>
        <v>0.0195963718207691</v>
      </c>
    </row>
    <row r="3748" customFormat="false" ht="15" hidden="false" customHeight="false" outlineLevel="0" collapsed="false">
      <c r="L3748" s="31" t="n">
        <f aca="true">NORMSINV(RAND())*$G$7+$G$6</f>
        <v>-0.0024172891734822</v>
      </c>
    </row>
    <row r="3749" customFormat="false" ht="15" hidden="false" customHeight="false" outlineLevel="0" collapsed="false">
      <c r="L3749" s="31" t="n">
        <f aca="true">NORMSINV(RAND())*$G$7+$G$6</f>
        <v>0.00625954629278362</v>
      </c>
    </row>
    <row r="3750" customFormat="false" ht="15" hidden="false" customHeight="false" outlineLevel="0" collapsed="false">
      <c r="L3750" s="31" t="n">
        <f aca="true">NORMSINV(RAND())*$G$7+$G$6</f>
        <v>-0.0140021655727769</v>
      </c>
    </row>
    <row r="3751" customFormat="false" ht="15" hidden="false" customHeight="false" outlineLevel="0" collapsed="false">
      <c r="L3751" s="31" t="n">
        <f aca="true">NORMSINV(RAND())*$G$7+$G$6</f>
        <v>-0.00236604113341418</v>
      </c>
    </row>
    <row r="3752" customFormat="false" ht="15" hidden="false" customHeight="false" outlineLevel="0" collapsed="false">
      <c r="L3752" s="31" t="n">
        <f aca="true">NORMSINV(RAND())*$G$7+$G$6</f>
        <v>-0.000496746827265799</v>
      </c>
    </row>
    <row r="3753" customFormat="false" ht="15" hidden="false" customHeight="false" outlineLevel="0" collapsed="false">
      <c r="L3753" s="31" t="n">
        <f aca="true">NORMSINV(RAND())*$G$7+$G$6</f>
        <v>-0.000160257930327543</v>
      </c>
    </row>
    <row r="3754" customFormat="false" ht="15" hidden="false" customHeight="false" outlineLevel="0" collapsed="false">
      <c r="L3754" s="31" t="n">
        <f aca="true">NORMSINV(RAND())*$G$7+$G$6</f>
        <v>0.0164943396732235</v>
      </c>
    </row>
    <row r="3755" customFormat="false" ht="15" hidden="false" customHeight="false" outlineLevel="0" collapsed="false">
      <c r="L3755" s="31" t="n">
        <f aca="true">NORMSINV(RAND())*$G$7+$G$6</f>
        <v>-0.0151269175975357</v>
      </c>
    </row>
    <row r="3756" customFormat="false" ht="15" hidden="false" customHeight="false" outlineLevel="0" collapsed="false">
      <c r="L3756" s="31" t="n">
        <f aca="true">NORMSINV(RAND())*$G$7+$G$6</f>
        <v>0.00616704084335498</v>
      </c>
    </row>
    <row r="3757" customFormat="false" ht="15" hidden="false" customHeight="false" outlineLevel="0" collapsed="false">
      <c r="L3757" s="31" t="n">
        <f aca="true">NORMSINV(RAND())*$G$7+$G$6</f>
        <v>0.00919596867808386</v>
      </c>
    </row>
    <row r="3758" customFormat="false" ht="15" hidden="false" customHeight="false" outlineLevel="0" collapsed="false">
      <c r="L3758" s="31" t="n">
        <f aca="true">NORMSINV(RAND())*$G$7+$G$6</f>
        <v>-0.0164568150019022</v>
      </c>
    </row>
    <row r="3759" customFormat="false" ht="15" hidden="false" customHeight="false" outlineLevel="0" collapsed="false">
      <c r="L3759" s="31" t="n">
        <f aca="true">NORMSINV(RAND())*$G$7+$G$6</f>
        <v>0.0126077105876142</v>
      </c>
    </row>
    <row r="3760" customFormat="false" ht="15" hidden="false" customHeight="false" outlineLevel="0" collapsed="false">
      <c r="L3760" s="31" t="n">
        <f aca="true">NORMSINV(RAND())*$G$7+$G$6</f>
        <v>0.00721775292587673</v>
      </c>
    </row>
    <row r="3761" customFormat="false" ht="15" hidden="false" customHeight="false" outlineLevel="0" collapsed="false">
      <c r="L3761" s="31" t="n">
        <f aca="true">NORMSINV(RAND())*$G$7+$G$6</f>
        <v>-0.00438297866023562</v>
      </c>
    </row>
    <row r="3762" customFormat="false" ht="15" hidden="false" customHeight="false" outlineLevel="0" collapsed="false">
      <c r="L3762" s="31" t="n">
        <f aca="true">NORMSINV(RAND())*$G$7+$G$6</f>
        <v>-0.00487781762286345</v>
      </c>
    </row>
    <row r="3763" customFormat="false" ht="15" hidden="false" customHeight="false" outlineLevel="0" collapsed="false">
      <c r="L3763" s="31" t="n">
        <f aca="true">NORMSINV(RAND())*$G$7+$G$6</f>
        <v>-0.00256872987970838</v>
      </c>
    </row>
    <row r="3764" customFormat="false" ht="15" hidden="false" customHeight="false" outlineLevel="0" collapsed="false">
      <c r="L3764" s="31" t="n">
        <f aca="true">NORMSINV(RAND())*$G$7+$G$6</f>
        <v>0.012570727911938</v>
      </c>
    </row>
    <row r="3765" customFormat="false" ht="15" hidden="false" customHeight="false" outlineLevel="0" collapsed="false">
      <c r="L3765" s="31" t="n">
        <f aca="true">NORMSINV(RAND())*$G$7+$G$6</f>
        <v>-0.0207056630555598</v>
      </c>
    </row>
    <row r="3766" customFormat="false" ht="15" hidden="false" customHeight="false" outlineLevel="0" collapsed="false">
      <c r="L3766" s="31" t="n">
        <f aca="true">NORMSINV(RAND())*$G$7+$G$6</f>
        <v>0.0330473676957848</v>
      </c>
    </row>
    <row r="3767" customFormat="false" ht="15" hidden="false" customHeight="false" outlineLevel="0" collapsed="false">
      <c r="L3767" s="31" t="n">
        <f aca="true">NORMSINV(RAND())*$G$7+$G$6</f>
        <v>-0.0119363132948901</v>
      </c>
    </row>
    <row r="3768" customFormat="false" ht="15" hidden="false" customHeight="false" outlineLevel="0" collapsed="false">
      <c r="L3768" s="31" t="n">
        <f aca="true">NORMSINV(RAND())*$G$7+$G$6</f>
        <v>-0.0117888400105294</v>
      </c>
    </row>
    <row r="3769" customFormat="false" ht="15" hidden="false" customHeight="false" outlineLevel="0" collapsed="false">
      <c r="L3769" s="31" t="n">
        <f aca="true">NORMSINV(RAND())*$G$7+$G$6</f>
        <v>0.0336078053627173</v>
      </c>
    </row>
    <row r="3770" customFormat="false" ht="15" hidden="false" customHeight="false" outlineLevel="0" collapsed="false">
      <c r="L3770" s="31" t="n">
        <f aca="true">NORMSINV(RAND())*$G$7+$G$6</f>
        <v>-0.0177159562417582</v>
      </c>
    </row>
    <row r="3771" customFormat="false" ht="15" hidden="false" customHeight="false" outlineLevel="0" collapsed="false">
      <c r="L3771" s="31" t="n">
        <f aca="true">NORMSINV(RAND())*$G$7+$G$6</f>
        <v>0.0237149211176251</v>
      </c>
    </row>
    <row r="3772" customFormat="false" ht="15" hidden="false" customHeight="false" outlineLevel="0" collapsed="false">
      <c r="L3772" s="31" t="n">
        <f aca="true">NORMSINV(RAND())*$G$7+$G$6</f>
        <v>-0.00649345745613713</v>
      </c>
    </row>
    <row r="3773" customFormat="false" ht="15" hidden="false" customHeight="false" outlineLevel="0" collapsed="false">
      <c r="L3773" s="31" t="n">
        <f aca="true">NORMSINV(RAND())*$G$7+$G$6</f>
        <v>0.0159741488620421</v>
      </c>
    </row>
    <row r="3774" customFormat="false" ht="15" hidden="false" customHeight="false" outlineLevel="0" collapsed="false">
      <c r="L3774" s="31" t="n">
        <f aca="true">NORMSINV(RAND())*$G$7+$G$6</f>
        <v>-0.0205453748539769</v>
      </c>
    </row>
    <row r="3775" customFormat="false" ht="15" hidden="false" customHeight="false" outlineLevel="0" collapsed="false">
      <c r="L3775" s="31" t="n">
        <f aca="true">NORMSINV(RAND())*$G$7+$G$6</f>
        <v>0.00623290182618058</v>
      </c>
    </row>
    <row r="3776" customFormat="false" ht="15" hidden="false" customHeight="false" outlineLevel="0" collapsed="false">
      <c r="L3776" s="31" t="n">
        <f aca="true">NORMSINV(RAND())*$G$7+$G$6</f>
        <v>-0.00372272233648777</v>
      </c>
    </row>
    <row r="3777" customFormat="false" ht="15" hidden="false" customHeight="false" outlineLevel="0" collapsed="false">
      <c r="L3777" s="31" t="n">
        <f aca="true">NORMSINV(RAND())*$G$7+$G$6</f>
        <v>0.00596547986203134</v>
      </c>
    </row>
    <row r="3778" customFormat="false" ht="15" hidden="false" customHeight="false" outlineLevel="0" collapsed="false">
      <c r="L3778" s="31" t="n">
        <f aca="true">NORMSINV(RAND())*$G$7+$G$6</f>
        <v>-0.0143934412135366</v>
      </c>
    </row>
    <row r="3779" customFormat="false" ht="15" hidden="false" customHeight="false" outlineLevel="0" collapsed="false">
      <c r="L3779" s="31" t="n">
        <f aca="true">NORMSINV(RAND())*$G$7+$G$6</f>
        <v>-0.000988010656484862</v>
      </c>
    </row>
    <row r="3780" customFormat="false" ht="15" hidden="false" customHeight="false" outlineLevel="0" collapsed="false">
      <c r="L3780" s="31" t="n">
        <f aca="true">NORMSINV(RAND())*$G$7+$G$6</f>
        <v>-0.00870311515380835</v>
      </c>
    </row>
    <row r="3781" customFormat="false" ht="15" hidden="false" customHeight="false" outlineLevel="0" collapsed="false">
      <c r="L3781" s="31" t="n">
        <f aca="true">NORMSINV(RAND())*$G$7+$G$6</f>
        <v>-0.0173597462529799</v>
      </c>
    </row>
    <row r="3782" customFormat="false" ht="15" hidden="false" customHeight="false" outlineLevel="0" collapsed="false">
      <c r="L3782" s="31" t="n">
        <f aca="true">NORMSINV(RAND())*$G$7+$G$6</f>
        <v>0.0190681855321443</v>
      </c>
    </row>
    <row r="3783" customFormat="false" ht="15" hidden="false" customHeight="false" outlineLevel="0" collapsed="false">
      <c r="L3783" s="31" t="n">
        <f aca="true">NORMSINV(RAND())*$G$7+$G$6</f>
        <v>0.00909402767282867</v>
      </c>
    </row>
    <row r="3784" customFormat="false" ht="15" hidden="false" customHeight="false" outlineLevel="0" collapsed="false">
      <c r="L3784" s="31" t="n">
        <f aca="true">NORMSINV(RAND())*$G$7+$G$6</f>
        <v>-0.0243475516227768</v>
      </c>
    </row>
    <row r="3785" customFormat="false" ht="15" hidden="false" customHeight="false" outlineLevel="0" collapsed="false">
      <c r="L3785" s="31" t="n">
        <f aca="true">NORMSINV(RAND())*$G$7+$G$6</f>
        <v>-0.00497555819881945</v>
      </c>
    </row>
    <row r="3786" customFormat="false" ht="15" hidden="false" customHeight="false" outlineLevel="0" collapsed="false">
      <c r="L3786" s="31" t="n">
        <f aca="true">NORMSINV(RAND())*$G$7+$G$6</f>
        <v>-0.000262788597373125</v>
      </c>
    </row>
    <row r="3787" customFormat="false" ht="15" hidden="false" customHeight="false" outlineLevel="0" collapsed="false">
      <c r="L3787" s="31" t="n">
        <f aca="true">NORMSINV(RAND())*$G$7+$G$6</f>
        <v>0.0105733708831284</v>
      </c>
    </row>
    <row r="3788" customFormat="false" ht="15" hidden="false" customHeight="false" outlineLevel="0" collapsed="false">
      <c r="L3788" s="31" t="n">
        <f aca="true">NORMSINV(RAND())*$G$7+$G$6</f>
        <v>-0.00188720887176892</v>
      </c>
    </row>
    <row r="3789" customFormat="false" ht="15" hidden="false" customHeight="false" outlineLevel="0" collapsed="false">
      <c r="L3789" s="31" t="n">
        <f aca="true">NORMSINV(RAND())*$G$7+$G$6</f>
        <v>-0.00115234614949291</v>
      </c>
    </row>
    <row r="3790" customFormat="false" ht="15" hidden="false" customHeight="false" outlineLevel="0" collapsed="false">
      <c r="L3790" s="31" t="n">
        <f aca="true">NORMSINV(RAND())*$G$7+$G$6</f>
        <v>-0.00762517391494341</v>
      </c>
    </row>
    <row r="3791" customFormat="false" ht="15" hidden="false" customHeight="false" outlineLevel="0" collapsed="false">
      <c r="L3791" s="31" t="n">
        <f aca="true">NORMSINV(RAND())*$G$7+$G$6</f>
        <v>0.0101246825491751</v>
      </c>
    </row>
    <row r="3792" customFormat="false" ht="15" hidden="false" customHeight="false" outlineLevel="0" collapsed="false">
      <c r="L3792" s="31" t="n">
        <f aca="true">NORMSINV(RAND())*$G$7+$G$6</f>
        <v>-0.0248856892028192</v>
      </c>
    </row>
    <row r="3793" customFormat="false" ht="15" hidden="false" customHeight="false" outlineLevel="0" collapsed="false">
      <c r="L3793" s="31" t="n">
        <f aca="true">NORMSINV(RAND())*$G$7+$G$6</f>
        <v>-0.00345598246893078</v>
      </c>
    </row>
    <row r="3794" customFormat="false" ht="15" hidden="false" customHeight="false" outlineLevel="0" collapsed="false">
      <c r="L3794" s="31" t="n">
        <f aca="true">NORMSINV(RAND())*$G$7+$G$6</f>
        <v>-0.00427644486101626</v>
      </c>
    </row>
    <row r="3795" customFormat="false" ht="15" hidden="false" customHeight="false" outlineLevel="0" collapsed="false">
      <c r="L3795" s="31" t="n">
        <f aca="true">NORMSINV(RAND())*$G$7+$G$6</f>
        <v>0.00566437978728511</v>
      </c>
    </row>
    <row r="3796" customFormat="false" ht="15" hidden="false" customHeight="false" outlineLevel="0" collapsed="false">
      <c r="L3796" s="31" t="n">
        <f aca="true">NORMSINV(RAND())*$G$7+$G$6</f>
        <v>0.0277841729079205</v>
      </c>
    </row>
    <row r="3797" customFormat="false" ht="15" hidden="false" customHeight="false" outlineLevel="0" collapsed="false">
      <c r="L3797" s="31" t="n">
        <f aca="true">NORMSINV(RAND())*$G$7+$G$6</f>
        <v>0.0161899926815074</v>
      </c>
    </row>
    <row r="3798" customFormat="false" ht="15" hidden="false" customHeight="false" outlineLevel="0" collapsed="false">
      <c r="L3798" s="31" t="n">
        <f aca="true">NORMSINV(RAND())*$G$7+$G$6</f>
        <v>0.0258737725278301</v>
      </c>
    </row>
    <row r="3799" customFormat="false" ht="15" hidden="false" customHeight="false" outlineLevel="0" collapsed="false">
      <c r="L3799" s="31" t="n">
        <f aca="true">NORMSINV(RAND())*$G$7+$G$6</f>
        <v>0.00328850250809452</v>
      </c>
    </row>
    <row r="3800" customFormat="false" ht="15" hidden="false" customHeight="false" outlineLevel="0" collapsed="false">
      <c r="L3800" s="31" t="n">
        <f aca="true">NORMSINV(RAND())*$G$7+$G$6</f>
        <v>0.00646667796545573</v>
      </c>
    </row>
    <row r="3801" customFormat="false" ht="15" hidden="false" customHeight="false" outlineLevel="0" collapsed="false">
      <c r="L3801" s="31" t="n">
        <f aca="true">NORMSINV(RAND())*$G$7+$G$6</f>
        <v>0.00488489116320103</v>
      </c>
    </row>
    <row r="3802" customFormat="false" ht="15" hidden="false" customHeight="false" outlineLevel="0" collapsed="false">
      <c r="L3802" s="31" t="n">
        <f aca="true">NORMSINV(RAND())*$G$7+$G$6</f>
        <v>-0.020701363179779</v>
      </c>
    </row>
    <row r="3803" customFormat="false" ht="15" hidden="false" customHeight="false" outlineLevel="0" collapsed="false">
      <c r="L3803" s="31" t="n">
        <f aca="true">NORMSINV(RAND())*$G$7+$G$6</f>
        <v>-0.0121776053682862</v>
      </c>
    </row>
    <row r="3804" customFormat="false" ht="15" hidden="false" customHeight="false" outlineLevel="0" collapsed="false">
      <c r="L3804" s="31" t="n">
        <f aca="true">NORMSINV(RAND())*$G$7+$G$6</f>
        <v>0.00218408109643501</v>
      </c>
    </row>
    <row r="3805" customFormat="false" ht="15" hidden="false" customHeight="false" outlineLevel="0" collapsed="false">
      <c r="L3805" s="31" t="n">
        <f aca="true">NORMSINV(RAND())*$G$7+$G$6</f>
        <v>0.0012837973777653</v>
      </c>
    </row>
    <row r="3806" customFormat="false" ht="15" hidden="false" customHeight="false" outlineLevel="0" collapsed="false">
      <c r="L3806" s="31" t="n">
        <f aca="true">NORMSINV(RAND())*$G$7+$G$6</f>
        <v>0.0137739554437289</v>
      </c>
    </row>
    <row r="3807" customFormat="false" ht="15" hidden="false" customHeight="false" outlineLevel="0" collapsed="false">
      <c r="L3807" s="31" t="n">
        <f aca="true">NORMSINV(RAND())*$G$7+$G$6</f>
        <v>-0.00264729543765855</v>
      </c>
    </row>
    <row r="3808" customFormat="false" ht="15" hidden="false" customHeight="false" outlineLevel="0" collapsed="false">
      <c r="L3808" s="31" t="n">
        <f aca="true">NORMSINV(RAND())*$G$7+$G$6</f>
        <v>0.01117336546462</v>
      </c>
    </row>
    <row r="3809" customFormat="false" ht="15" hidden="false" customHeight="false" outlineLevel="0" collapsed="false">
      <c r="L3809" s="31" t="n">
        <f aca="true">NORMSINV(RAND())*$G$7+$G$6</f>
        <v>0.0282711875837856</v>
      </c>
    </row>
    <row r="3810" customFormat="false" ht="15" hidden="false" customHeight="false" outlineLevel="0" collapsed="false">
      <c r="L3810" s="31" t="n">
        <f aca="true">NORMSINV(RAND())*$G$7+$G$6</f>
        <v>0.0195922112125239</v>
      </c>
    </row>
    <row r="3811" customFormat="false" ht="15" hidden="false" customHeight="false" outlineLevel="0" collapsed="false">
      <c r="L3811" s="31" t="n">
        <f aca="true">NORMSINV(RAND())*$G$7+$G$6</f>
        <v>0.00281608684687125</v>
      </c>
    </row>
    <row r="3812" customFormat="false" ht="15" hidden="false" customHeight="false" outlineLevel="0" collapsed="false">
      <c r="L3812" s="31" t="n">
        <f aca="true">NORMSINV(RAND())*$G$7+$G$6</f>
        <v>0.00968335135555886</v>
      </c>
    </row>
    <row r="3813" customFormat="false" ht="15" hidden="false" customHeight="false" outlineLevel="0" collapsed="false">
      <c r="L3813" s="31" t="n">
        <f aca="true">NORMSINV(RAND())*$G$7+$G$6</f>
        <v>-0.00941189171683961</v>
      </c>
    </row>
    <row r="3814" customFormat="false" ht="15" hidden="false" customHeight="false" outlineLevel="0" collapsed="false">
      <c r="L3814" s="31" t="n">
        <f aca="true">NORMSINV(RAND())*$G$7+$G$6</f>
        <v>0.0261423727546302</v>
      </c>
    </row>
    <row r="3815" customFormat="false" ht="15" hidden="false" customHeight="false" outlineLevel="0" collapsed="false">
      <c r="L3815" s="31" t="n">
        <f aca="true">NORMSINV(RAND())*$G$7+$G$6</f>
        <v>0.0125177150657778</v>
      </c>
    </row>
    <row r="3816" customFormat="false" ht="15" hidden="false" customHeight="false" outlineLevel="0" collapsed="false">
      <c r="L3816" s="31" t="n">
        <f aca="true">NORMSINV(RAND())*$G$7+$G$6</f>
        <v>0.000389654658693158</v>
      </c>
    </row>
    <row r="3817" customFormat="false" ht="15" hidden="false" customHeight="false" outlineLevel="0" collapsed="false">
      <c r="L3817" s="31" t="n">
        <f aca="true">NORMSINV(RAND())*$G$7+$G$6</f>
        <v>0.00234562951264543</v>
      </c>
    </row>
    <row r="3818" customFormat="false" ht="15" hidden="false" customHeight="false" outlineLevel="0" collapsed="false">
      <c r="L3818" s="31" t="n">
        <f aca="true">NORMSINV(RAND())*$G$7+$G$6</f>
        <v>-0.0173525313521763</v>
      </c>
    </row>
    <row r="3819" customFormat="false" ht="15" hidden="false" customHeight="false" outlineLevel="0" collapsed="false">
      <c r="L3819" s="31" t="n">
        <f aca="true">NORMSINV(RAND())*$G$7+$G$6</f>
        <v>-0.000945918821749588</v>
      </c>
    </row>
    <row r="3820" customFormat="false" ht="15" hidden="false" customHeight="false" outlineLevel="0" collapsed="false">
      <c r="L3820" s="31" t="n">
        <f aca="true">NORMSINV(RAND())*$G$7+$G$6</f>
        <v>-0.00949018703962352</v>
      </c>
    </row>
    <row r="3821" customFormat="false" ht="15" hidden="false" customHeight="false" outlineLevel="0" collapsed="false">
      <c r="L3821" s="31" t="n">
        <f aca="true">NORMSINV(RAND())*$G$7+$G$6</f>
        <v>-0.00082505502090515</v>
      </c>
    </row>
    <row r="3822" customFormat="false" ht="15" hidden="false" customHeight="false" outlineLevel="0" collapsed="false">
      <c r="L3822" s="31" t="n">
        <f aca="true">NORMSINV(RAND())*$G$7+$G$6</f>
        <v>-0.015674369009009</v>
      </c>
    </row>
    <row r="3823" customFormat="false" ht="15" hidden="false" customHeight="false" outlineLevel="0" collapsed="false">
      <c r="L3823" s="31" t="n">
        <f aca="true">NORMSINV(RAND())*$G$7+$G$6</f>
        <v>0.0141907279760138</v>
      </c>
    </row>
    <row r="3824" customFormat="false" ht="15" hidden="false" customHeight="false" outlineLevel="0" collapsed="false">
      <c r="L3824" s="31" t="n">
        <f aca="true">NORMSINV(RAND())*$G$7+$G$6</f>
        <v>-0.00902418961882513</v>
      </c>
    </row>
    <row r="3825" customFormat="false" ht="15" hidden="false" customHeight="false" outlineLevel="0" collapsed="false">
      <c r="L3825" s="31" t="n">
        <f aca="true">NORMSINV(RAND())*$G$7+$G$6</f>
        <v>-0.0269069025242082</v>
      </c>
    </row>
    <row r="3826" customFormat="false" ht="15" hidden="false" customHeight="false" outlineLevel="0" collapsed="false">
      <c r="L3826" s="31" t="n">
        <f aca="true">NORMSINV(RAND())*$G$7+$G$6</f>
        <v>0.0367600584062888</v>
      </c>
    </row>
    <row r="3827" customFormat="false" ht="15" hidden="false" customHeight="false" outlineLevel="0" collapsed="false">
      <c r="L3827" s="31" t="n">
        <f aca="true">NORMSINV(RAND())*$G$7+$G$6</f>
        <v>-0.0209005250551331</v>
      </c>
    </row>
    <row r="3828" customFormat="false" ht="15" hidden="false" customHeight="false" outlineLevel="0" collapsed="false">
      <c r="L3828" s="31" t="n">
        <f aca="true">NORMSINV(RAND())*$G$7+$G$6</f>
        <v>0.0178545740626835</v>
      </c>
    </row>
    <row r="3829" customFormat="false" ht="15" hidden="false" customHeight="false" outlineLevel="0" collapsed="false">
      <c r="L3829" s="31" t="n">
        <f aca="true">NORMSINV(RAND())*$G$7+$G$6</f>
        <v>0.00806180820343417</v>
      </c>
    </row>
    <row r="3830" customFormat="false" ht="15" hidden="false" customHeight="false" outlineLevel="0" collapsed="false">
      <c r="L3830" s="31" t="n">
        <f aca="true">NORMSINV(RAND())*$G$7+$G$6</f>
        <v>-0.0157316489686871</v>
      </c>
    </row>
    <row r="3831" customFormat="false" ht="15" hidden="false" customHeight="false" outlineLevel="0" collapsed="false">
      <c r="L3831" s="31" t="n">
        <f aca="true">NORMSINV(RAND())*$G$7+$G$6</f>
        <v>0.00786796554395213</v>
      </c>
    </row>
    <row r="3832" customFormat="false" ht="15" hidden="false" customHeight="false" outlineLevel="0" collapsed="false">
      <c r="L3832" s="31" t="n">
        <f aca="true">NORMSINV(RAND())*$G$7+$G$6</f>
        <v>0.0106819130164983</v>
      </c>
    </row>
    <row r="3833" customFormat="false" ht="15" hidden="false" customHeight="false" outlineLevel="0" collapsed="false">
      <c r="L3833" s="31" t="n">
        <f aca="true">NORMSINV(RAND())*$G$7+$G$6</f>
        <v>-0.0242822445132519</v>
      </c>
    </row>
    <row r="3834" customFormat="false" ht="15" hidden="false" customHeight="false" outlineLevel="0" collapsed="false">
      <c r="L3834" s="31" t="n">
        <f aca="true">NORMSINV(RAND())*$G$7+$G$6</f>
        <v>-0.0302481015269506</v>
      </c>
    </row>
    <row r="3835" customFormat="false" ht="15" hidden="false" customHeight="false" outlineLevel="0" collapsed="false">
      <c r="L3835" s="31" t="n">
        <f aca="true">NORMSINV(RAND())*$G$7+$G$6</f>
        <v>-0.0114116114311835</v>
      </c>
    </row>
    <row r="3836" customFormat="false" ht="15" hidden="false" customHeight="false" outlineLevel="0" collapsed="false">
      <c r="L3836" s="31" t="n">
        <f aca="true">NORMSINV(RAND())*$G$7+$G$6</f>
        <v>0.00932269386232155</v>
      </c>
    </row>
    <row r="3837" customFormat="false" ht="15" hidden="false" customHeight="false" outlineLevel="0" collapsed="false">
      <c r="L3837" s="31" t="n">
        <f aca="true">NORMSINV(RAND())*$G$7+$G$6</f>
        <v>-0.00348591698747006</v>
      </c>
    </row>
    <row r="3838" customFormat="false" ht="15" hidden="false" customHeight="false" outlineLevel="0" collapsed="false">
      <c r="L3838" s="31" t="n">
        <f aca="true">NORMSINV(RAND())*$G$7+$G$6</f>
        <v>0.0199922973869772</v>
      </c>
    </row>
    <row r="3839" customFormat="false" ht="15" hidden="false" customHeight="false" outlineLevel="0" collapsed="false">
      <c r="L3839" s="31" t="n">
        <f aca="true">NORMSINV(RAND())*$G$7+$G$6</f>
        <v>-0.013838230250258</v>
      </c>
    </row>
    <row r="3840" customFormat="false" ht="15" hidden="false" customHeight="false" outlineLevel="0" collapsed="false">
      <c r="L3840" s="31" t="n">
        <f aca="true">NORMSINV(RAND())*$G$7+$G$6</f>
        <v>0.0133253862972333</v>
      </c>
    </row>
    <row r="3841" customFormat="false" ht="15" hidden="false" customHeight="false" outlineLevel="0" collapsed="false">
      <c r="L3841" s="31" t="n">
        <f aca="true">NORMSINV(RAND())*$G$7+$G$6</f>
        <v>0.00845149024914945</v>
      </c>
    </row>
    <row r="3842" customFormat="false" ht="15" hidden="false" customHeight="false" outlineLevel="0" collapsed="false">
      <c r="L3842" s="31" t="n">
        <f aca="true">NORMSINV(RAND())*$G$7+$G$6</f>
        <v>-0.0116820528520167</v>
      </c>
    </row>
    <row r="3843" customFormat="false" ht="15" hidden="false" customHeight="false" outlineLevel="0" collapsed="false">
      <c r="L3843" s="31" t="n">
        <f aca="true">NORMSINV(RAND())*$G$7+$G$6</f>
        <v>0.0233364720663392</v>
      </c>
    </row>
    <row r="3844" customFormat="false" ht="15" hidden="false" customHeight="false" outlineLevel="0" collapsed="false">
      <c r="L3844" s="31" t="n">
        <f aca="true">NORMSINV(RAND())*$G$7+$G$6</f>
        <v>-0.000138878210634933</v>
      </c>
    </row>
    <row r="3845" customFormat="false" ht="15" hidden="false" customHeight="false" outlineLevel="0" collapsed="false">
      <c r="L3845" s="31" t="n">
        <f aca="true">NORMSINV(RAND())*$G$7+$G$6</f>
        <v>-0.00807402230777484</v>
      </c>
    </row>
    <row r="3846" customFormat="false" ht="15" hidden="false" customHeight="false" outlineLevel="0" collapsed="false">
      <c r="L3846" s="31" t="n">
        <f aca="true">NORMSINV(RAND())*$G$7+$G$6</f>
        <v>-0.00439196227059464</v>
      </c>
    </row>
    <row r="3847" customFormat="false" ht="15" hidden="false" customHeight="false" outlineLevel="0" collapsed="false">
      <c r="L3847" s="31" t="n">
        <f aca="true">NORMSINV(RAND())*$G$7+$G$6</f>
        <v>0.010737016532707</v>
      </c>
    </row>
    <row r="3848" customFormat="false" ht="15" hidden="false" customHeight="false" outlineLevel="0" collapsed="false">
      <c r="L3848" s="31" t="n">
        <f aca="true">NORMSINV(RAND())*$G$7+$G$6</f>
        <v>-0.0244897646355914</v>
      </c>
    </row>
    <row r="3849" customFormat="false" ht="15" hidden="false" customHeight="false" outlineLevel="0" collapsed="false">
      <c r="L3849" s="31" t="n">
        <f aca="true">NORMSINV(RAND())*$G$7+$G$6</f>
        <v>0.0114371287475084</v>
      </c>
    </row>
    <row r="3850" customFormat="false" ht="15" hidden="false" customHeight="false" outlineLevel="0" collapsed="false">
      <c r="L3850" s="31" t="n">
        <f aca="true">NORMSINV(RAND())*$G$7+$G$6</f>
        <v>0.00227562788313546</v>
      </c>
    </row>
    <row r="3851" customFormat="false" ht="15" hidden="false" customHeight="false" outlineLevel="0" collapsed="false">
      <c r="L3851" s="31" t="n">
        <f aca="true">NORMSINV(RAND())*$G$7+$G$6</f>
        <v>0.0157984460369238</v>
      </c>
    </row>
    <row r="3852" customFormat="false" ht="15" hidden="false" customHeight="false" outlineLevel="0" collapsed="false">
      <c r="L3852" s="31" t="n">
        <f aca="true">NORMSINV(RAND())*$G$7+$G$6</f>
        <v>-0.00374453729779715</v>
      </c>
    </row>
    <row r="3853" customFormat="false" ht="15" hidden="false" customHeight="false" outlineLevel="0" collapsed="false">
      <c r="L3853" s="31" t="n">
        <f aca="true">NORMSINV(RAND())*$G$7+$G$6</f>
        <v>-0.0054198989309437</v>
      </c>
    </row>
    <row r="3854" customFormat="false" ht="15" hidden="false" customHeight="false" outlineLevel="0" collapsed="false">
      <c r="L3854" s="31" t="n">
        <f aca="true">NORMSINV(RAND())*$G$7+$G$6</f>
        <v>0.00482925524386728</v>
      </c>
    </row>
    <row r="3855" customFormat="false" ht="15" hidden="false" customHeight="false" outlineLevel="0" collapsed="false">
      <c r="L3855" s="31" t="n">
        <f aca="true">NORMSINV(RAND())*$G$7+$G$6</f>
        <v>-0.00261386005211078</v>
      </c>
    </row>
    <row r="3856" customFormat="false" ht="15" hidden="false" customHeight="false" outlineLevel="0" collapsed="false">
      <c r="L3856" s="31" t="n">
        <f aca="true">NORMSINV(RAND())*$G$7+$G$6</f>
        <v>0.00653797020379023</v>
      </c>
    </row>
    <row r="3857" customFormat="false" ht="15" hidden="false" customHeight="false" outlineLevel="0" collapsed="false">
      <c r="L3857" s="31" t="n">
        <f aca="true">NORMSINV(RAND())*$G$7+$G$6</f>
        <v>0.0203489170692049</v>
      </c>
    </row>
    <row r="3858" customFormat="false" ht="15" hidden="false" customHeight="false" outlineLevel="0" collapsed="false">
      <c r="L3858" s="31" t="n">
        <f aca="true">NORMSINV(RAND())*$G$7+$G$6</f>
        <v>0.0194884495736717</v>
      </c>
    </row>
    <row r="3859" customFormat="false" ht="15" hidden="false" customHeight="false" outlineLevel="0" collapsed="false">
      <c r="L3859" s="31" t="n">
        <f aca="true">NORMSINV(RAND())*$G$7+$G$6</f>
        <v>-0.00800686950839702</v>
      </c>
    </row>
    <row r="3860" customFormat="false" ht="15" hidden="false" customHeight="false" outlineLevel="0" collapsed="false">
      <c r="L3860" s="31" t="n">
        <f aca="true">NORMSINV(RAND())*$G$7+$G$6</f>
        <v>0.00656995315104425</v>
      </c>
    </row>
    <row r="3861" customFormat="false" ht="15" hidden="false" customHeight="false" outlineLevel="0" collapsed="false">
      <c r="L3861" s="31" t="n">
        <f aca="true">NORMSINV(RAND())*$G$7+$G$6</f>
        <v>0.0166300361252358</v>
      </c>
    </row>
    <row r="3862" customFormat="false" ht="15" hidden="false" customHeight="false" outlineLevel="0" collapsed="false">
      <c r="L3862" s="31" t="n">
        <f aca="true">NORMSINV(RAND())*$G$7+$G$6</f>
        <v>-0.00804729738569299</v>
      </c>
    </row>
    <row r="3863" customFormat="false" ht="15" hidden="false" customHeight="false" outlineLevel="0" collapsed="false">
      <c r="L3863" s="31" t="n">
        <f aca="true">NORMSINV(RAND())*$G$7+$G$6</f>
        <v>0.0120021067383868</v>
      </c>
    </row>
    <row r="3864" customFormat="false" ht="15" hidden="false" customHeight="false" outlineLevel="0" collapsed="false">
      <c r="L3864" s="31" t="n">
        <f aca="true">NORMSINV(RAND())*$G$7+$G$6</f>
        <v>0.0262255854523721</v>
      </c>
    </row>
    <row r="3865" customFormat="false" ht="15" hidden="false" customHeight="false" outlineLevel="0" collapsed="false">
      <c r="L3865" s="31" t="n">
        <f aca="true">NORMSINV(RAND())*$G$7+$G$6</f>
        <v>0.00264053590281315</v>
      </c>
    </row>
    <row r="3866" customFormat="false" ht="15" hidden="false" customHeight="false" outlineLevel="0" collapsed="false">
      <c r="L3866" s="31" t="n">
        <f aca="true">NORMSINV(RAND())*$G$7+$G$6</f>
        <v>-0.00336137138214455</v>
      </c>
    </row>
    <row r="3867" customFormat="false" ht="15" hidden="false" customHeight="false" outlineLevel="0" collapsed="false">
      <c r="L3867" s="31" t="n">
        <f aca="true">NORMSINV(RAND())*$G$7+$G$6</f>
        <v>0.0142714400414994</v>
      </c>
    </row>
    <row r="3868" customFormat="false" ht="15" hidden="false" customHeight="false" outlineLevel="0" collapsed="false">
      <c r="L3868" s="31" t="n">
        <f aca="true">NORMSINV(RAND())*$G$7+$G$6</f>
        <v>-0.00371051582124812</v>
      </c>
    </row>
    <row r="3869" customFormat="false" ht="15" hidden="false" customHeight="false" outlineLevel="0" collapsed="false">
      <c r="L3869" s="31" t="n">
        <f aca="true">NORMSINV(RAND())*$G$7+$G$6</f>
        <v>-0.00365430526803646</v>
      </c>
    </row>
    <row r="3870" customFormat="false" ht="15" hidden="false" customHeight="false" outlineLevel="0" collapsed="false">
      <c r="L3870" s="31" t="n">
        <f aca="true">NORMSINV(RAND())*$G$7+$G$6</f>
        <v>-0.00885468130226154</v>
      </c>
    </row>
    <row r="3871" customFormat="false" ht="15" hidden="false" customHeight="false" outlineLevel="0" collapsed="false">
      <c r="L3871" s="31" t="n">
        <f aca="true">NORMSINV(RAND())*$G$7+$G$6</f>
        <v>-0.00223060704834698</v>
      </c>
    </row>
    <row r="3872" customFormat="false" ht="15" hidden="false" customHeight="false" outlineLevel="0" collapsed="false">
      <c r="L3872" s="31" t="n">
        <f aca="true">NORMSINV(RAND())*$G$7+$G$6</f>
        <v>0.0100529265441357</v>
      </c>
    </row>
    <row r="3873" customFormat="false" ht="15" hidden="false" customHeight="false" outlineLevel="0" collapsed="false">
      <c r="L3873" s="31" t="n">
        <f aca="true">NORMSINV(RAND())*$G$7+$G$6</f>
        <v>0.00741601625331403</v>
      </c>
    </row>
    <row r="3874" customFormat="false" ht="15" hidden="false" customHeight="false" outlineLevel="0" collapsed="false">
      <c r="L3874" s="31" t="n">
        <f aca="true">NORMSINV(RAND())*$G$7+$G$6</f>
        <v>0.00803455798978593</v>
      </c>
    </row>
    <row r="3875" customFormat="false" ht="15" hidden="false" customHeight="false" outlineLevel="0" collapsed="false">
      <c r="L3875" s="31" t="n">
        <f aca="true">NORMSINV(RAND())*$G$7+$G$6</f>
        <v>-0.0113644564293913</v>
      </c>
    </row>
    <row r="3876" customFormat="false" ht="15" hidden="false" customHeight="false" outlineLevel="0" collapsed="false">
      <c r="L3876" s="31" t="n">
        <f aca="true">NORMSINV(RAND())*$G$7+$G$6</f>
        <v>0.00807095594999338</v>
      </c>
    </row>
    <row r="3877" customFormat="false" ht="15" hidden="false" customHeight="false" outlineLevel="0" collapsed="false">
      <c r="L3877" s="31" t="n">
        <f aca="true">NORMSINV(RAND())*$G$7+$G$6</f>
        <v>-0.0129548905965614</v>
      </c>
    </row>
    <row r="3878" customFormat="false" ht="15" hidden="false" customHeight="false" outlineLevel="0" collapsed="false">
      <c r="L3878" s="31" t="n">
        <f aca="true">NORMSINV(RAND())*$G$7+$G$6</f>
        <v>0.00203847217803571</v>
      </c>
    </row>
    <row r="3879" customFormat="false" ht="15" hidden="false" customHeight="false" outlineLevel="0" collapsed="false">
      <c r="L3879" s="31" t="n">
        <f aca="true">NORMSINV(RAND())*$G$7+$G$6</f>
        <v>0.0042947984112449</v>
      </c>
    </row>
    <row r="3880" customFormat="false" ht="15" hidden="false" customHeight="false" outlineLevel="0" collapsed="false">
      <c r="L3880" s="31" t="n">
        <f aca="true">NORMSINV(RAND())*$G$7+$G$6</f>
        <v>0.0118940046670938</v>
      </c>
    </row>
    <row r="3881" customFormat="false" ht="15" hidden="false" customHeight="false" outlineLevel="0" collapsed="false">
      <c r="L3881" s="31" t="n">
        <f aca="true">NORMSINV(RAND())*$G$7+$G$6</f>
        <v>-0.00653655667598143</v>
      </c>
    </row>
    <row r="3882" customFormat="false" ht="15" hidden="false" customHeight="false" outlineLevel="0" collapsed="false">
      <c r="L3882" s="31" t="n">
        <f aca="true">NORMSINV(RAND())*$G$7+$G$6</f>
        <v>-0.00594674233298782</v>
      </c>
    </row>
    <row r="3883" customFormat="false" ht="15" hidden="false" customHeight="false" outlineLevel="0" collapsed="false">
      <c r="L3883" s="31" t="n">
        <f aca="true">NORMSINV(RAND())*$G$7+$G$6</f>
        <v>0.00765157355888305</v>
      </c>
    </row>
    <row r="3884" customFormat="false" ht="15" hidden="false" customHeight="false" outlineLevel="0" collapsed="false">
      <c r="L3884" s="31" t="n">
        <f aca="true">NORMSINV(RAND())*$G$7+$G$6</f>
        <v>-0.00841830941299614</v>
      </c>
    </row>
    <row r="3885" customFormat="false" ht="15" hidden="false" customHeight="false" outlineLevel="0" collapsed="false">
      <c r="L3885" s="31" t="n">
        <f aca="true">NORMSINV(RAND())*$G$7+$G$6</f>
        <v>-0.00762215286244204</v>
      </c>
    </row>
    <row r="3886" customFormat="false" ht="15" hidden="false" customHeight="false" outlineLevel="0" collapsed="false">
      <c r="L3886" s="31" t="n">
        <f aca="true">NORMSINV(RAND())*$G$7+$G$6</f>
        <v>-0.0176961636334132</v>
      </c>
    </row>
    <row r="3887" customFormat="false" ht="15" hidden="false" customHeight="false" outlineLevel="0" collapsed="false">
      <c r="L3887" s="31" t="n">
        <f aca="true">NORMSINV(RAND())*$G$7+$G$6</f>
        <v>-0.0209827157551043</v>
      </c>
    </row>
    <row r="3888" customFormat="false" ht="15" hidden="false" customHeight="false" outlineLevel="0" collapsed="false">
      <c r="L3888" s="31" t="n">
        <f aca="true">NORMSINV(RAND())*$G$7+$G$6</f>
        <v>-0.0195363109356115</v>
      </c>
    </row>
    <row r="3889" customFormat="false" ht="15" hidden="false" customHeight="false" outlineLevel="0" collapsed="false">
      <c r="L3889" s="31" t="n">
        <f aca="true">NORMSINV(RAND())*$G$7+$G$6</f>
        <v>-0.0130188199586772</v>
      </c>
    </row>
    <row r="3890" customFormat="false" ht="15" hidden="false" customHeight="false" outlineLevel="0" collapsed="false">
      <c r="L3890" s="31" t="n">
        <f aca="true">NORMSINV(RAND())*$G$7+$G$6</f>
        <v>0.0193963408423795</v>
      </c>
    </row>
    <row r="3891" customFormat="false" ht="15" hidden="false" customHeight="false" outlineLevel="0" collapsed="false">
      <c r="L3891" s="31" t="n">
        <f aca="true">NORMSINV(RAND())*$G$7+$G$6</f>
        <v>-0.0136858566446054</v>
      </c>
    </row>
    <row r="3892" customFormat="false" ht="15" hidden="false" customHeight="false" outlineLevel="0" collapsed="false">
      <c r="L3892" s="31" t="n">
        <f aca="true">NORMSINV(RAND())*$G$7+$G$6</f>
        <v>-0.000534775299359076</v>
      </c>
    </row>
    <row r="3893" customFormat="false" ht="15" hidden="false" customHeight="false" outlineLevel="0" collapsed="false">
      <c r="L3893" s="31" t="n">
        <f aca="true">NORMSINV(RAND())*$G$7+$G$6</f>
        <v>0.025210310222088</v>
      </c>
    </row>
    <row r="3894" customFormat="false" ht="15" hidden="false" customHeight="false" outlineLevel="0" collapsed="false">
      <c r="L3894" s="31" t="n">
        <f aca="true">NORMSINV(RAND())*$G$7+$G$6</f>
        <v>0.014068416214957</v>
      </c>
    </row>
    <row r="3895" customFormat="false" ht="15" hidden="false" customHeight="false" outlineLevel="0" collapsed="false">
      <c r="L3895" s="31" t="n">
        <f aca="true">NORMSINV(RAND())*$G$7+$G$6</f>
        <v>0.0021084537955112</v>
      </c>
    </row>
    <row r="3896" customFormat="false" ht="15" hidden="false" customHeight="false" outlineLevel="0" collapsed="false">
      <c r="L3896" s="31" t="n">
        <f aca="true">NORMSINV(RAND())*$G$7+$G$6</f>
        <v>-0.0198928242864493</v>
      </c>
    </row>
    <row r="3897" customFormat="false" ht="15" hidden="false" customHeight="false" outlineLevel="0" collapsed="false">
      <c r="L3897" s="31" t="n">
        <f aca="true">NORMSINV(RAND())*$G$7+$G$6</f>
        <v>0.0165065449031559</v>
      </c>
    </row>
    <row r="3898" customFormat="false" ht="15" hidden="false" customHeight="false" outlineLevel="0" collapsed="false">
      <c r="L3898" s="31" t="n">
        <f aca="true">NORMSINV(RAND())*$G$7+$G$6</f>
        <v>-0.00217875717766162</v>
      </c>
    </row>
    <row r="3899" customFormat="false" ht="15" hidden="false" customHeight="false" outlineLevel="0" collapsed="false">
      <c r="L3899" s="31" t="n">
        <f aca="true">NORMSINV(RAND())*$G$7+$G$6</f>
        <v>-0.00255499231799068</v>
      </c>
    </row>
    <row r="3900" customFormat="false" ht="15" hidden="false" customHeight="false" outlineLevel="0" collapsed="false">
      <c r="L3900" s="31" t="n">
        <f aca="true">NORMSINV(RAND())*$G$7+$G$6</f>
        <v>-0.00497595785017152</v>
      </c>
    </row>
    <row r="3901" customFormat="false" ht="15" hidden="false" customHeight="false" outlineLevel="0" collapsed="false">
      <c r="L3901" s="31" t="n">
        <f aca="true">NORMSINV(RAND())*$G$7+$G$6</f>
        <v>0.0117529806438515</v>
      </c>
    </row>
    <row r="3902" customFormat="false" ht="15" hidden="false" customHeight="false" outlineLevel="0" collapsed="false">
      <c r="L3902" s="31" t="n">
        <f aca="true">NORMSINV(RAND())*$G$7+$G$6</f>
        <v>0.0135395647358772</v>
      </c>
    </row>
    <row r="3903" customFormat="false" ht="15" hidden="false" customHeight="false" outlineLevel="0" collapsed="false">
      <c r="L3903" s="31" t="n">
        <f aca="true">NORMSINV(RAND())*$G$7+$G$6</f>
        <v>0.0108283438107054</v>
      </c>
    </row>
    <row r="3904" customFormat="false" ht="15" hidden="false" customHeight="false" outlineLevel="0" collapsed="false">
      <c r="L3904" s="31" t="n">
        <f aca="true">NORMSINV(RAND())*$G$7+$G$6</f>
        <v>0.00669287428742673</v>
      </c>
    </row>
    <row r="3905" customFormat="false" ht="15" hidden="false" customHeight="false" outlineLevel="0" collapsed="false">
      <c r="L3905" s="31" t="n">
        <f aca="true">NORMSINV(RAND())*$G$7+$G$6</f>
        <v>0.0179962515019446</v>
      </c>
    </row>
    <row r="3906" customFormat="false" ht="15" hidden="false" customHeight="false" outlineLevel="0" collapsed="false">
      <c r="L3906" s="31" t="n">
        <f aca="true">NORMSINV(RAND())*$G$7+$G$6</f>
        <v>0.0246451229984283</v>
      </c>
    </row>
    <row r="3907" customFormat="false" ht="15" hidden="false" customHeight="false" outlineLevel="0" collapsed="false">
      <c r="L3907" s="31" t="n">
        <f aca="true">NORMSINV(RAND())*$G$7+$G$6</f>
        <v>0.00813100039452109</v>
      </c>
    </row>
    <row r="3908" customFormat="false" ht="15" hidden="false" customHeight="false" outlineLevel="0" collapsed="false">
      <c r="L3908" s="31" t="n">
        <f aca="true">NORMSINV(RAND())*$G$7+$G$6</f>
        <v>-0.00692796229965016</v>
      </c>
    </row>
    <row r="3909" customFormat="false" ht="15" hidden="false" customHeight="false" outlineLevel="0" collapsed="false">
      <c r="L3909" s="31" t="n">
        <f aca="true">NORMSINV(RAND())*$G$7+$G$6</f>
        <v>-0.0244698860241886</v>
      </c>
    </row>
    <row r="3910" customFormat="false" ht="15" hidden="false" customHeight="false" outlineLevel="0" collapsed="false">
      <c r="L3910" s="31" t="n">
        <f aca="true">NORMSINV(RAND())*$G$7+$G$6</f>
        <v>0.0188591490903886</v>
      </c>
    </row>
    <row r="3911" customFormat="false" ht="15" hidden="false" customHeight="false" outlineLevel="0" collapsed="false">
      <c r="L3911" s="31" t="n">
        <f aca="true">NORMSINV(RAND())*$G$7+$G$6</f>
        <v>0.0429686919846379</v>
      </c>
    </row>
    <row r="3912" customFormat="false" ht="15" hidden="false" customHeight="false" outlineLevel="0" collapsed="false">
      <c r="L3912" s="31" t="n">
        <f aca="true">NORMSINV(RAND())*$G$7+$G$6</f>
        <v>0.00891755544638667</v>
      </c>
    </row>
    <row r="3913" customFormat="false" ht="15" hidden="false" customHeight="false" outlineLevel="0" collapsed="false">
      <c r="L3913" s="31" t="n">
        <f aca="true">NORMSINV(RAND())*$G$7+$G$6</f>
        <v>0.00024422429083577</v>
      </c>
    </row>
    <row r="3914" customFormat="false" ht="15" hidden="false" customHeight="false" outlineLevel="0" collapsed="false">
      <c r="L3914" s="31" t="n">
        <f aca="true">NORMSINV(RAND())*$G$7+$G$6</f>
        <v>0.0126611846460282</v>
      </c>
    </row>
    <row r="3915" customFormat="false" ht="15" hidden="false" customHeight="false" outlineLevel="0" collapsed="false">
      <c r="L3915" s="31" t="n">
        <f aca="true">NORMSINV(RAND())*$G$7+$G$6</f>
        <v>0.020851520898888</v>
      </c>
    </row>
    <row r="3916" customFormat="false" ht="15" hidden="false" customHeight="false" outlineLevel="0" collapsed="false">
      <c r="L3916" s="31" t="n">
        <f aca="true">NORMSINV(RAND())*$G$7+$G$6</f>
        <v>0.0102549431985726</v>
      </c>
    </row>
    <row r="3917" customFormat="false" ht="15" hidden="false" customHeight="false" outlineLevel="0" collapsed="false">
      <c r="L3917" s="31" t="n">
        <f aca="true">NORMSINV(RAND())*$G$7+$G$6</f>
        <v>-0.00184764487087822</v>
      </c>
    </row>
    <row r="3918" customFormat="false" ht="15" hidden="false" customHeight="false" outlineLevel="0" collapsed="false">
      <c r="L3918" s="31" t="n">
        <f aca="true">NORMSINV(RAND())*$G$7+$G$6</f>
        <v>-0.00179936753334141</v>
      </c>
    </row>
    <row r="3919" customFormat="false" ht="15" hidden="false" customHeight="false" outlineLevel="0" collapsed="false">
      <c r="L3919" s="31" t="n">
        <f aca="true">NORMSINV(RAND())*$G$7+$G$6</f>
        <v>0.00707889382601155</v>
      </c>
    </row>
    <row r="3920" customFormat="false" ht="15" hidden="false" customHeight="false" outlineLevel="0" collapsed="false">
      <c r="L3920" s="31" t="n">
        <f aca="true">NORMSINV(RAND())*$G$7+$G$6</f>
        <v>-0.00501996820055297</v>
      </c>
    </row>
    <row r="3921" customFormat="false" ht="15" hidden="false" customHeight="false" outlineLevel="0" collapsed="false">
      <c r="L3921" s="31" t="n">
        <f aca="true">NORMSINV(RAND())*$G$7+$G$6</f>
        <v>-0.00339201008321597</v>
      </c>
    </row>
    <row r="3922" customFormat="false" ht="15" hidden="false" customHeight="false" outlineLevel="0" collapsed="false">
      <c r="L3922" s="31" t="n">
        <f aca="true">NORMSINV(RAND())*$G$7+$G$6</f>
        <v>0.0336643411511619</v>
      </c>
    </row>
    <row r="3923" customFormat="false" ht="15" hidden="false" customHeight="false" outlineLevel="0" collapsed="false">
      <c r="L3923" s="31" t="n">
        <f aca="true">NORMSINV(RAND())*$G$7+$G$6</f>
        <v>0.0213816979018608</v>
      </c>
    </row>
    <row r="3924" customFormat="false" ht="15" hidden="false" customHeight="false" outlineLevel="0" collapsed="false">
      <c r="L3924" s="31" t="n">
        <f aca="true">NORMSINV(RAND())*$G$7+$G$6</f>
        <v>-0.0171630812090976</v>
      </c>
    </row>
    <row r="3925" customFormat="false" ht="15" hidden="false" customHeight="false" outlineLevel="0" collapsed="false">
      <c r="L3925" s="31" t="n">
        <f aca="true">NORMSINV(RAND())*$G$7+$G$6</f>
        <v>-0.00810721315381729</v>
      </c>
    </row>
    <row r="3926" customFormat="false" ht="15" hidden="false" customHeight="false" outlineLevel="0" collapsed="false">
      <c r="L3926" s="31" t="n">
        <f aca="true">NORMSINV(RAND())*$G$7+$G$6</f>
        <v>0.0103919849059017</v>
      </c>
    </row>
    <row r="3927" customFormat="false" ht="15" hidden="false" customHeight="false" outlineLevel="0" collapsed="false">
      <c r="L3927" s="31" t="n">
        <f aca="true">NORMSINV(RAND())*$G$7+$G$6</f>
        <v>-0.014394720433894</v>
      </c>
    </row>
    <row r="3928" customFormat="false" ht="15" hidden="false" customHeight="false" outlineLevel="0" collapsed="false">
      <c r="L3928" s="31" t="n">
        <f aca="true">NORMSINV(RAND())*$G$7+$G$6</f>
        <v>0.0182144477689757</v>
      </c>
    </row>
    <row r="3929" customFormat="false" ht="15" hidden="false" customHeight="false" outlineLevel="0" collapsed="false">
      <c r="L3929" s="31" t="n">
        <f aca="true">NORMSINV(RAND())*$G$7+$G$6</f>
        <v>-0.0221733498574662</v>
      </c>
    </row>
    <row r="3930" customFormat="false" ht="15" hidden="false" customHeight="false" outlineLevel="0" collapsed="false">
      <c r="L3930" s="31" t="n">
        <f aca="true">NORMSINV(RAND())*$G$7+$G$6</f>
        <v>-0.0125179161499475</v>
      </c>
    </row>
    <row r="3931" customFormat="false" ht="15" hidden="false" customHeight="false" outlineLevel="0" collapsed="false">
      <c r="L3931" s="31" t="n">
        <f aca="true">NORMSINV(RAND())*$G$7+$G$6</f>
        <v>0.0317315357146471</v>
      </c>
    </row>
    <row r="3932" customFormat="false" ht="15" hidden="false" customHeight="false" outlineLevel="0" collapsed="false">
      <c r="L3932" s="31" t="n">
        <f aca="true">NORMSINV(RAND())*$G$7+$G$6</f>
        <v>0.00155813435993854</v>
      </c>
    </row>
    <row r="3933" customFormat="false" ht="15" hidden="false" customHeight="false" outlineLevel="0" collapsed="false">
      <c r="L3933" s="31" t="n">
        <f aca="true">NORMSINV(RAND())*$G$7+$G$6</f>
        <v>0.0153912815132108</v>
      </c>
    </row>
    <row r="3934" customFormat="false" ht="15" hidden="false" customHeight="false" outlineLevel="0" collapsed="false">
      <c r="L3934" s="31" t="n">
        <f aca="true">NORMSINV(RAND())*$G$7+$G$6</f>
        <v>-0.00576774620864439</v>
      </c>
    </row>
    <row r="3935" customFormat="false" ht="15" hidden="false" customHeight="false" outlineLevel="0" collapsed="false">
      <c r="L3935" s="31" t="n">
        <f aca="true">NORMSINV(RAND())*$G$7+$G$6</f>
        <v>-0.0190712866900203</v>
      </c>
    </row>
    <row r="3936" customFormat="false" ht="15" hidden="false" customHeight="false" outlineLevel="0" collapsed="false">
      <c r="L3936" s="31" t="n">
        <f aca="true">NORMSINV(RAND())*$G$7+$G$6</f>
        <v>-0.024675756124522</v>
      </c>
    </row>
    <row r="3937" customFormat="false" ht="15" hidden="false" customHeight="false" outlineLevel="0" collapsed="false">
      <c r="L3937" s="31" t="n">
        <f aca="true">NORMSINV(RAND())*$G$7+$G$6</f>
        <v>0.00914583279158368</v>
      </c>
    </row>
    <row r="3938" customFormat="false" ht="15" hidden="false" customHeight="false" outlineLevel="0" collapsed="false">
      <c r="L3938" s="31" t="n">
        <f aca="true">NORMSINV(RAND())*$G$7+$G$6</f>
        <v>-0.0347471143722461</v>
      </c>
    </row>
    <row r="3939" customFormat="false" ht="15" hidden="false" customHeight="false" outlineLevel="0" collapsed="false">
      <c r="L3939" s="31" t="n">
        <f aca="true">NORMSINV(RAND())*$G$7+$G$6</f>
        <v>-0.00317057591070577</v>
      </c>
    </row>
    <row r="3940" customFormat="false" ht="15" hidden="false" customHeight="false" outlineLevel="0" collapsed="false">
      <c r="L3940" s="31" t="n">
        <f aca="true">NORMSINV(RAND())*$G$7+$G$6</f>
        <v>0.0028160815560329</v>
      </c>
    </row>
    <row r="3941" customFormat="false" ht="15" hidden="false" customHeight="false" outlineLevel="0" collapsed="false">
      <c r="L3941" s="31" t="n">
        <f aca="true">NORMSINV(RAND())*$G$7+$G$6</f>
        <v>0.0118069325718654</v>
      </c>
    </row>
    <row r="3942" customFormat="false" ht="15" hidden="false" customHeight="false" outlineLevel="0" collapsed="false">
      <c r="L3942" s="31" t="n">
        <f aca="true">NORMSINV(RAND())*$G$7+$G$6</f>
        <v>0.00362984467201024</v>
      </c>
    </row>
    <row r="3943" customFormat="false" ht="15" hidden="false" customHeight="false" outlineLevel="0" collapsed="false">
      <c r="L3943" s="31" t="n">
        <f aca="true">NORMSINV(RAND())*$G$7+$G$6</f>
        <v>-0.0128804891824328</v>
      </c>
    </row>
    <row r="3944" customFormat="false" ht="15" hidden="false" customHeight="false" outlineLevel="0" collapsed="false">
      <c r="L3944" s="31" t="n">
        <f aca="true">NORMSINV(RAND())*$G$7+$G$6</f>
        <v>0.00814320879889401</v>
      </c>
    </row>
    <row r="3945" customFormat="false" ht="15" hidden="false" customHeight="false" outlineLevel="0" collapsed="false">
      <c r="L3945" s="31" t="n">
        <f aca="true">NORMSINV(RAND())*$G$7+$G$6</f>
        <v>0.00294757106407583</v>
      </c>
    </row>
    <row r="3946" customFormat="false" ht="15" hidden="false" customHeight="false" outlineLevel="0" collapsed="false">
      <c r="L3946" s="31" t="n">
        <f aca="true">NORMSINV(RAND())*$G$7+$G$6</f>
        <v>-0.0145760342740199</v>
      </c>
    </row>
    <row r="3947" customFormat="false" ht="15" hidden="false" customHeight="false" outlineLevel="0" collapsed="false">
      <c r="L3947" s="31" t="n">
        <f aca="true">NORMSINV(RAND())*$G$7+$G$6</f>
        <v>-0.0213221020411996</v>
      </c>
    </row>
    <row r="3948" customFormat="false" ht="15" hidden="false" customHeight="false" outlineLevel="0" collapsed="false">
      <c r="L3948" s="31" t="n">
        <f aca="true">NORMSINV(RAND())*$G$7+$G$6</f>
        <v>0.00199183168678886</v>
      </c>
    </row>
    <row r="3949" customFormat="false" ht="15" hidden="false" customHeight="false" outlineLevel="0" collapsed="false">
      <c r="L3949" s="31" t="n">
        <f aca="true">NORMSINV(RAND())*$G$7+$G$6</f>
        <v>-0.00249700610342333</v>
      </c>
    </row>
    <row r="3950" customFormat="false" ht="15" hidden="false" customHeight="false" outlineLevel="0" collapsed="false">
      <c r="L3950" s="31" t="n">
        <f aca="true">NORMSINV(RAND())*$G$7+$G$6</f>
        <v>0.00691427352602757</v>
      </c>
    </row>
    <row r="3951" customFormat="false" ht="15" hidden="false" customHeight="false" outlineLevel="0" collapsed="false">
      <c r="L3951" s="31" t="n">
        <f aca="true">NORMSINV(RAND())*$G$7+$G$6</f>
        <v>0.00685227844759112</v>
      </c>
    </row>
    <row r="3952" customFormat="false" ht="15" hidden="false" customHeight="false" outlineLevel="0" collapsed="false">
      <c r="L3952" s="31" t="n">
        <f aca="true">NORMSINV(RAND())*$G$7+$G$6</f>
        <v>-0.00723915947992013</v>
      </c>
    </row>
    <row r="3953" customFormat="false" ht="15" hidden="false" customHeight="false" outlineLevel="0" collapsed="false">
      <c r="L3953" s="31" t="n">
        <f aca="true">NORMSINV(RAND())*$G$7+$G$6</f>
        <v>0.0486890908760557</v>
      </c>
    </row>
    <row r="3954" customFormat="false" ht="15" hidden="false" customHeight="false" outlineLevel="0" collapsed="false">
      <c r="L3954" s="31" t="n">
        <f aca="true">NORMSINV(RAND())*$G$7+$G$6</f>
        <v>0.0161579770710553</v>
      </c>
    </row>
    <row r="3955" customFormat="false" ht="15" hidden="false" customHeight="false" outlineLevel="0" collapsed="false">
      <c r="L3955" s="31" t="n">
        <f aca="true">NORMSINV(RAND())*$G$7+$G$6</f>
        <v>0.0161371671196396</v>
      </c>
    </row>
    <row r="3956" customFormat="false" ht="15" hidden="false" customHeight="false" outlineLevel="0" collapsed="false">
      <c r="L3956" s="31" t="n">
        <f aca="true">NORMSINV(RAND())*$G$7+$G$6</f>
        <v>0.00479716091456328</v>
      </c>
    </row>
    <row r="3957" customFormat="false" ht="15" hidden="false" customHeight="false" outlineLevel="0" collapsed="false">
      <c r="L3957" s="31" t="n">
        <f aca="true">NORMSINV(RAND())*$G$7+$G$6</f>
        <v>0.0173343115295213</v>
      </c>
    </row>
    <row r="3958" customFormat="false" ht="15" hidden="false" customHeight="false" outlineLevel="0" collapsed="false">
      <c r="L3958" s="31" t="n">
        <f aca="true">NORMSINV(RAND())*$G$7+$G$6</f>
        <v>-0.00211516679408456</v>
      </c>
    </row>
    <row r="3959" customFormat="false" ht="15" hidden="false" customHeight="false" outlineLevel="0" collapsed="false">
      <c r="L3959" s="31" t="n">
        <f aca="true">NORMSINV(RAND())*$G$7+$G$6</f>
        <v>-0.00667372356294609</v>
      </c>
    </row>
    <row r="3960" customFormat="false" ht="15" hidden="false" customHeight="false" outlineLevel="0" collapsed="false">
      <c r="L3960" s="31" t="n">
        <f aca="true">NORMSINV(RAND())*$G$7+$G$6</f>
        <v>0.0176996110092567</v>
      </c>
    </row>
    <row r="3961" customFormat="false" ht="15" hidden="false" customHeight="false" outlineLevel="0" collapsed="false">
      <c r="L3961" s="31" t="n">
        <f aca="true">NORMSINV(RAND())*$G$7+$G$6</f>
        <v>0.00758317779727303</v>
      </c>
    </row>
    <row r="3962" customFormat="false" ht="15" hidden="false" customHeight="false" outlineLevel="0" collapsed="false">
      <c r="L3962" s="31" t="n">
        <f aca="true">NORMSINV(RAND())*$G$7+$G$6</f>
        <v>0.00728286066842939</v>
      </c>
    </row>
    <row r="3963" customFormat="false" ht="15" hidden="false" customHeight="false" outlineLevel="0" collapsed="false">
      <c r="L3963" s="31" t="n">
        <f aca="true">NORMSINV(RAND())*$G$7+$G$6</f>
        <v>-0.0010063635363943</v>
      </c>
    </row>
    <row r="3964" customFormat="false" ht="15" hidden="false" customHeight="false" outlineLevel="0" collapsed="false">
      <c r="L3964" s="31" t="n">
        <f aca="true">NORMSINV(RAND())*$G$7+$G$6</f>
        <v>-0.0109655875483109</v>
      </c>
    </row>
    <row r="3965" customFormat="false" ht="15" hidden="false" customHeight="false" outlineLevel="0" collapsed="false">
      <c r="L3965" s="31" t="n">
        <f aca="true">NORMSINV(RAND())*$G$7+$G$6</f>
        <v>0.015905110659214</v>
      </c>
    </row>
    <row r="3966" customFormat="false" ht="15" hidden="false" customHeight="false" outlineLevel="0" collapsed="false">
      <c r="L3966" s="31" t="n">
        <f aca="true">NORMSINV(RAND())*$G$7+$G$6</f>
        <v>-0.0170539786019519</v>
      </c>
    </row>
    <row r="3967" customFormat="false" ht="15" hidden="false" customHeight="false" outlineLevel="0" collapsed="false">
      <c r="L3967" s="31" t="n">
        <f aca="true">NORMSINV(RAND())*$G$7+$G$6</f>
        <v>-0.0256827605091738</v>
      </c>
    </row>
    <row r="3968" customFormat="false" ht="15" hidden="false" customHeight="false" outlineLevel="0" collapsed="false">
      <c r="L3968" s="31" t="n">
        <f aca="true">NORMSINV(RAND())*$G$7+$G$6</f>
        <v>-0.0138976544662185</v>
      </c>
    </row>
    <row r="3969" customFormat="false" ht="15" hidden="false" customHeight="false" outlineLevel="0" collapsed="false">
      <c r="L3969" s="31" t="n">
        <f aca="true">NORMSINV(RAND())*$G$7+$G$6</f>
        <v>0.00790708886553142</v>
      </c>
    </row>
    <row r="3970" customFormat="false" ht="15" hidden="false" customHeight="false" outlineLevel="0" collapsed="false">
      <c r="L3970" s="31" t="n">
        <f aca="true">NORMSINV(RAND())*$G$7+$G$6</f>
        <v>0.0190541812930423</v>
      </c>
    </row>
    <row r="3971" customFormat="false" ht="15" hidden="false" customHeight="false" outlineLevel="0" collapsed="false">
      <c r="L3971" s="31" t="n">
        <f aca="true">NORMSINV(RAND())*$G$7+$G$6</f>
        <v>0.0164941746622337</v>
      </c>
    </row>
    <row r="3972" customFormat="false" ht="15" hidden="false" customHeight="false" outlineLevel="0" collapsed="false">
      <c r="L3972" s="31" t="n">
        <f aca="true">NORMSINV(RAND())*$G$7+$G$6</f>
        <v>-0.0138173132830042</v>
      </c>
    </row>
    <row r="3973" customFormat="false" ht="15" hidden="false" customHeight="false" outlineLevel="0" collapsed="false">
      <c r="L3973" s="31" t="n">
        <f aca="true">NORMSINV(RAND())*$G$7+$G$6</f>
        <v>0.0204079987791232</v>
      </c>
    </row>
    <row r="3974" customFormat="false" ht="15" hidden="false" customHeight="false" outlineLevel="0" collapsed="false">
      <c r="L3974" s="31" t="n">
        <f aca="true">NORMSINV(RAND())*$G$7+$G$6</f>
        <v>0.0158411551326648</v>
      </c>
    </row>
    <row r="3975" customFormat="false" ht="15" hidden="false" customHeight="false" outlineLevel="0" collapsed="false">
      <c r="L3975" s="31" t="n">
        <f aca="true">NORMSINV(RAND())*$G$7+$G$6</f>
        <v>0.00652501627198015</v>
      </c>
    </row>
    <row r="3976" customFormat="false" ht="15" hidden="false" customHeight="false" outlineLevel="0" collapsed="false">
      <c r="L3976" s="31" t="n">
        <f aca="true">NORMSINV(RAND())*$G$7+$G$6</f>
        <v>0.0108369273197514</v>
      </c>
    </row>
    <row r="3977" customFormat="false" ht="15" hidden="false" customHeight="false" outlineLevel="0" collapsed="false">
      <c r="L3977" s="31" t="n">
        <f aca="true">NORMSINV(RAND())*$G$7+$G$6</f>
        <v>0.00545274660715327</v>
      </c>
    </row>
    <row r="3978" customFormat="false" ht="15" hidden="false" customHeight="false" outlineLevel="0" collapsed="false">
      <c r="L3978" s="31" t="n">
        <f aca="true">NORMSINV(RAND())*$G$7+$G$6</f>
        <v>-0.00394753178123694</v>
      </c>
    </row>
    <row r="3979" customFormat="false" ht="15" hidden="false" customHeight="false" outlineLevel="0" collapsed="false">
      <c r="L3979" s="31" t="n">
        <f aca="true">NORMSINV(RAND())*$G$7+$G$6</f>
        <v>-0.00138165303997625</v>
      </c>
    </row>
    <row r="3980" customFormat="false" ht="15" hidden="false" customHeight="false" outlineLevel="0" collapsed="false">
      <c r="L3980" s="31" t="n">
        <f aca="true">NORMSINV(RAND())*$G$7+$G$6</f>
        <v>0.00563259051287202</v>
      </c>
    </row>
    <row r="3981" customFormat="false" ht="15" hidden="false" customHeight="false" outlineLevel="0" collapsed="false">
      <c r="L3981" s="31" t="n">
        <f aca="true">NORMSINV(RAND())*$G$7+$G$6</f>
        <v>0.0109337987500029</v>
      </c>
    </row>
    <row r="3982" customFormat="false" ht="15" hidden="false" customHeight="false" outlineLevel="0" collapsed="false">
      <c r="L3982" s="31" t="n">
        <f aca="true">NORMSINV(RAND())*$G$7+$G$6</f>
        <v>0.00543223454752505</v>
      </c>
    </row>
    <row r="3983" customFormat="false" ht="15" hidden="false" customHeight="false" outlineLevel="0" collapsed="false">
      <c r="L3983" s="31" t="n">
        <f aca="true">NORMSINV(RAND())*$G$7+$G$6</f>
        <v>0.0100821336419841</v>
      </c>
    </row>
    <row r="3984" customFormat="false" ht="15" hidden="false" customHeight="false" outlineLevel="0" collapsed="false">
      <c r="L3984" s="31" t="n">
        <f aca="true">NORMSINV(RAND())*$G$7+$G$6</f>
        <v>-0.00688676240489587</v>
      </c>
    </row>
    <row r="3985" customFormat="false" ht="15" hidden="false" customHeight="false" outlineLevel="0" collapsed="false">
      <c r="L3985" s="31" t="n">
        <f aca="true">NORMSINV(RAND())*$G$7+$G$6</f>
        <v>-0.0101840065736881</v>
      </c>
    </row>
    <row r="3986" customFormat="false" ht="15" hidden="false" customHeight="false" outlineLevel="0" collapsed="false">
      <c r="L3986" s="31" t="n">
        <f aca="true">NORMSINV(RAND())*$G$7+$G$6</f>
        <v>0.0262707054341159</v>
      </c>
    </row>
    <row r="3987" customFormat="false" ht="15" hidden="false" customHeight="false" outlineLevel="0" collapsed="false">
      <c r="L3987" s="31" t="n">
        <f aca="true">NORMSINV(RAND())*$G$7+$G$6</f>
        <v>0.0112020398916038</v>
      </c>
    </row>
    <row r="3988" customFormat="false" ht="15" hidden="false" customHeight="false" outlineLevel="0" collapsed="false">
      <c r="L3988" s="31" t="n">
        <f aca="true">NORMSINV(RAND())*$G$7+$G$6</f>
        <v>-0.00127308855980343</v>
      </c>
    </row>
    <row r="3989" customFormat="false" ht="15" hidden="false" customHeight="false" outlineLevel="0" collapsed="false">
      <c r="L3989" s="31" t="n">
        <f aca="true">NORMSINV(RAND())*$G$7+$G$6</f>
        <v>-0.0187081675131871</v>
      </c>
    </row>
    <row r="3990" customFormat="false" ht="15" hidden="false" customHeight="false" outlineLevel="0" collapsed="false">
      <c r="L3990" s="31" t="n">
        <f aca="true">NORMSINV(RAND())*$G$7+$G$6</f>
        <v>-0.00191816225094049</v>
      </c>
    </row>
    <row r="3991" customFormat="false" ht="15" hidden="false" customHeight="false" outlineLevel="0" collapsed="false">
      <c r="L3991" s="31" t="n">
        <f aca="true">NORMSINV(RAND())*$G$7+$G$6</f>
        <v>0.0253853651705895</v>
      </c>
    </row>
    <row r="3992" customFormat="false" ht="15" hidden="false" customHeight="false" outlineLevel="0" collapsed="false">
      <c r="L3992" s="31" t="n">
        <f aca="true">NORMSINV(RAND())*$G$7+$G$6</f>
        <v>0.00511953228699449</v>
      </c>
    </row>
    <row r="3993" customFormat="false" ht="15" hidden="false" customHeight="false" outlineLevel="0" collapsed="false">
      <c r="L3993" s="31" t="n">
        <f aca="true">NORMSINV(RAND())*$G$7+$G$6</f>
        <v>-0.0278381515482056</v>
      </c>
    </row>
    <row r="3994" customFormat="false" ht="15" hidden="false" customHeight="false" outlineLevel="0" collapsed="false">
      <c r="L3994" s="31" t="n">
        <f aca="true">NORMSINV(RAND())*$G$7+$G$6</f>
        <v>0.00477662268257284</v>
      </c>
    </row>
    <row r="3995" customFormat="false" ht="15" hidden="false" customHeight="false" outlineLevel="0" collapsed="false">
      <c r="L3995" s="31" t="n">
        <f aca="true">NORMSINV(RAND())*$G$7+$G$6</f>
        <v>0.00134524970835951</v>
      </c>
    </row>
    <row r="3996" customFormat="false" ht="15" hidden="false" customHeight="false" outlineLevel="0" collapsed="false">
      <c r="L3996" s="31" t="n">
        <f aca="true">NORMSINV(RAND())*$G$7+$G$6</f>
        <v>0.00337795099562693</v>
      </c>
    </row>
    <row r="3997" customFormat="false" ht="15" hidden="false" customHeight="false" outlineLevel="0" collapsed="false">
      <c r="L3997" s="31" t="n">
        <f aca="true">NORMSINV(RAND())*$G$7+$G$6</f>
        <v>0.00535191680244353</v>
      </c>
    </row>
    <row r="3998" customFormat="false" ht="15" hidden="false" customHeight="false" outlineLevel="0" collapsed="false">
      <c r="L3998" s="31" t="n">
        <f aca="true">NORMSINV(RAND())*$G$7+$G$6</f>
        <v>-0.0334548361941313</v>
      </c>
    </row>
    <row r="3999" customFormat="false" ht="15" hidden="false" customHeight="false" outlineLevel="0" collapsed="false">
      <c r="L3999" s="31" t="n">
        <f aca="true">NORMSINV(RAND())*$G$7+$G$6</f>
        <v>-0.0175472580074804</v>
      </c>
    </row>
    <row r="4000" customFormat="false" ht="15" hidden="false" customHeight="false" outlineLevel="0" collapsed="false">
      <c r="L4000" s="31" t="n">
        <f aca="true">NORMSINV(RAND())*$G$7+$G$6</f>
        <v>0.0140571002698084</v>
      </c>
    </row>
    <row r="4001" customFormat="false" ht="15" hidden="false" customHeight="false" outlineLevel="0" collapsed="false">
      <c r="L4001" s="31" t="n">
        <f aca="true">NORMSINV(RAND())*$G$7+$G$6</f>
        <v>0.00422211994659474</v>
      </c>
    </row>
    <row r="4002" customFormat="false" ht="15" hidden="false" customHeight="false" outlineLevel="0" collapsed="false">
      <c r="L4002" s="31" t="n">
        <f aca="true">NORMSINV(RAND())*$G$7+$G$6</f>
        <v>-0.00265123537915955</v>
      </c>
    </row>
    <row r="4003" customFormat="false" ht="15" hidden="false" customHeight="false" outlineLevel="0" collapsed="false">
      <c r="L4003" s="31" t="n">
        <f aca="true">NORMSINV(RAND())*$G$7+$G$6</f>
        <v>0.000424726071387354</v>
      </c>
    </row>
    <row r="4004" customFormat="false" ht="15" hidden="false" customHeight="false" outlineLevel="0" collapsed="false">
      <c r="L4004" s="31" t="n">
        <f aca="true">NORMSINV(RAND())*$G$7+$G$6</f>
        <v>-0.0162086367304847</v>
      </c>
    </row>
    <row r="4005" customFormat="false" ht="15" hidden="false" customHeight="false" outlineLevel="0" collapsed="false">
      <c r="L4005" s="31" t="n">
        <f aca="true">NORMSINV(RAND())*$G$7+$G$6</f>
        <v>0.0124957666908869</v>
      </c>
    </row>
    <row r="4006" customFormat="false" ht="15" hidden="false" customHeight="false" outlineLevel="0" collapsed="false">
      <c r="L4006" s="31" t="n">
        <f aca="true">NORMSINV(RAND())*$G$7+$G$6</f>
        <v>-0.0211764376836623</v>
      </c>
    </row>
    <row r="4007" customFormat="false" ht="15" hidden="false" customHeight="false" outlineLevel="0" collapsed="false">
      <c r="L4007" s="31" t="n">
        <f aca="true">NORMSINV(RAND())*$G$7+$G$6</f>
        <v>-0.00706260207424339</v>
      </c>
    </row>
    <row r="4008" customFormat="false" ht="15" hidden="false" customHeight="false" outlineLevel="0" collapsed="false">
      <c r="L4008" s="31" t="n">
        <f aca="true">NORMSINV(RAND())*$G$7+$G$6</f>
        <v>-0.00261570754345868</v>
      </c>
    </row>
    <row r="4009" customFormat="false" ht="15" hidden="false" customHeight="false" outlineLevel="0" collapsed="false">
      <c r="L4009" s="31" t="n">
        <f aca="true">NORMSINV(RAND())*$G$7+$G$6</f>
        <v>0.00276579952352035</v>
      </c>
    </row>
    <row r="4010" customFormat="false" ht="15" hidden="false" customHeight="false" outlineLevel="0" collapsed="false">
      <c r="L4010" s="31" t="n">
        <f aca="true">NORMSINV(RAND())*$G$7+$G$6</f>
        <v>-0.0172912955888614</v>
      </c>
    </row>
    <row r="4011" customFormat="false" ht="15" hidden="false" customHeight="false" outlineLevel="0" collapsed="false">
      <c r="L4011" s="31" t="n">
        <f aca="true">NORMSINV(RAND())*$G$7+$G$6</f>
        <v>-0.00740923394310197</v>
      </c>
    </row>
    <row r="4012" customFormat="false" ht="15" hidden="false" customHeight="false" outlineLevel="0" collapsed="false">
      <c r="L4012" s="31" t="n">
        <f aca="true">NORMSINV(RAND())*$G$7+$G$6</f>
        <v>0.0203915131194072</v>
      </c>
    </row>
    <row r="4013" customFormat="false" ht="15" hidden="false" customHeight="false" outlineLevel="0" collapsed="false">
      <c r="L4013" s="31" t="n">
        <f aca="true">NORMSINV(RAND())*$G$7+$G$6</f>
        <v>0.00625367274751101</v>
      </c>
    </row>
    <row r="4014" customFormat="false" ht="15" hidden="false" customHeight="false" outlineLevel="0" collapsed="false">
      <c r="L4014" s="31" t="n">
        <f aca="true">NORMSINV(RAND())*$G$7+$G$6</f>
        <v>-0.0323974950430273</v>
      </c>
    </row>
    <row r="4015" customFormat="false" ht="15" hidden="false" customHeight="false" outlineLevel="0" collapsed="false">
      <c r="L4015" s="31" t="n">
        <f aca="true">NORMSINV(RAND())*$G$7+$G$6</f>
        <v>0.00698387395809675</v>
      </c>
    </row>
    <row r="4016" customFormat="false" ht="15" hidden="false" customHeight="false" outlineLevel="0" collapsed="false">
      <c r="L4016" s="31" t="n">
        <f aca="true">NORMSINV(RAND())*$G$7+$G$6</f>
        <v>0.0110986620650516</v>
      </c>
    </row>
    <row r="4017" customFormat="false" ht="15" hidden="false" customHeight="false" outlineLevel="0" collapsed="false">
      <c r="L4017" s="31" t="n">
        <f aca="true">NORMSINV(RAND())*$G$7+$G$6</f>
        <v>0.0204348139809612</v>
      </c>
    </row>
    <row r="4018" customFormat="false" ht="15" hidden="false" customHeight="false" outlineLevel="0" collapsed="false">
      <c r="L4018" s="31" t="n">
        <f aca="true">NORMSINV(RAND())*$G$7+$G$6</f>
        <v>-0.00886539189158997</v>
      </c>
    </row>
    <row r="4019" customFormat="false" ht="15" hidden="false" customHeight="false" outlineLevel="0" collapsed="false">
      <c r="L4019" s="31" t="n">
        <f aca="true">NORMSINV(RAND())*$G$7+$G$6</f>
        <v>-0.00916839208577154</v>
      </c>
    </row>
    <row r="4020" customFormat="false" ht="15" hidden="false" customHeight="false" outlineLevel="0" collapsed="false">
      <c r="L4020" s="31" t="n">
        <f aca="true">NORMSINV(RAND())*$G$7+$G$6</f>
        <v>-0.0108193404234823</v>
      </c>
    </row>
    <row r="4021" customFormat="false" ht="15" hidden="false" customHeight="false" outlineLevel="0" collapsed="false">
      <c r="L4021" s="31" t="n">
        <f aca="true">NORMSINV(RAND())*$G$7+$G$6</f>
        <v>0.00940436154651062</v>
      </c>
    </row>
    <row r="4022" customFormat="false" ht="15" hidden="false" customHeight="false" outlineLevel="0" collapsed="false">
      <c r="L4022" s="31" t="n">
        <f aca="true">NORMSINV(RAND())*$G$7+$G$6</f>
        <v>0.00788120547127658</v>
      </c>
    </row>
    <row r="4023" customFormat="false" ht="15" hidden="false" customHeight="false" outlineLevel="0" collapsed="false">
      <c r="L4023" s="31" t="n">
        <f aca="true">NORMSINV(RAND())*$G$7+$G$6</f>
        <v>-0.0086181639171846</v>
      </c>
    </row>
    <row r="4024" customFormat="false" ht="15" hidden="false" customHeight="false" outlineLevel="0" collapsed="false">
      <c r="L4024" s="31" t="n">
        <f aca="true">NORMSINV(RAND())*$G$7+$G$6</f>
        <v>0.00304427682512251</v>
      </c>
    </row>
    <row r="4025" customFormat="false" ht="15" hidden="false" customHeight="false" outlineLevel="0" collapsed="false">
      <c r="L4025" s="31" t="n">
        <f aca="true">NORMSINV(RAND())*$G$7+$G$6</f>
        <v>-0.0109300871623695</v>
      </c>
    </row>
    <row r="4026" customFormat="false" ht="15" hidden="false" customHeight="false" outlineLevel="0" collapsed="false">
      <c r="L4026" s="31" t="n">
        <f aca="true">NORMSINV(RAND())*$G$7+$G$6</f>
        <v>0.013401817632543</v>
      </c>
    </row>
    <row r="4027" customFormat="false" ht="15" hidden="false" customHeight="false" outlineLevel="0" collapsed="false">
      <c r="L4027" s="31" t="n">
        <f aca="true">NORMSINV(RAND())*$G$7+$G$6</f>
        <v>0.00228207046837388</v>
      </c>
    </row>
    <row r="4028" customFormat="false" ht="15" hidden="false" customHeight="false" outlineLevel="0" collapsed="false">
      <c r="L4028" s="31" t="n">
        <f aca="true">NORMSINV(RAND())*$G$7+$G$6</f>
        <v>0.0100685568164714</v>
      </c>
    </row>
    <row r="4029" customFormat="false" ht="15" hidden="false" customHeight="false" outlineLevel="0" collapsed="false">
      <c r="L4029" s="31" t="n">
        <f aca="true">NORMSINV(RAND())*$G$7+$G$6</f>
        <v>0.0115249114961511</v>
      </c>
    </row>
    <row r="4030" customFormat="false" ht="15" hidden="false" customHeight="false" outlineLevel="0" collapsed="false">
      <c r="L4030" s="31" t="n">
        <f aca="true">NORMSINV(RAND())*$G$7+$G$6</f>
        <v>0.0100153306688023</v>
      </c>
    </row>
    <row r="4031" customFormat="false" ht="15" hidden="false" customHeight="false" outlineLevel="0" collapsed="false">
      <c r="L4031" s="31" t="n">
        <f aca="true">NORMSINV(RAND())*$G$7+$G$6</f>
        <v>-0.0209004274527204</v>
      </c>
    </row>
    <row r="4032" customFormat="false" ht="15" hidden="false" customHeight="false" outlineLevel="0" collapsed="false">
      <c r="L4032" s="31" t="n">
        <f aca="true">NORMSINV(RAND())*$G$7+$G$6</f>
        <v>0.00666515544885963</v>
      </c>
    </row>
    <row r="4033" customFormat="false" ht="15" hidden="false" customHeight="false" outlineLevel="0" collapsed="false">
      <c r="L4033" s="31" t="n">
        <f aca="true">NORMSINV(RAND())*$G$7+$G$6</f>
        <v>-0.00630419854782912</v>
      </c>
    </row>
    <row r="4034" customFormat="false" ht="15" hidden="false" customHeight="false" outlineLevel="0" collapsed="false">
      <c r="L4034" s="31" t="n">
        <f aca="true">NORMSINV(RAND())*$G$7+$G$6</f>
        <v>0.0127944899456022</v>
      </c>
    </row>
    <row r="4035" customFormat="false" ht="15" hidden="false" customHeight="false" outlineLevel="0" collapsed="false">
      <c r="L4035" s="31" t="n">
        <f aca="true">NORMSINV(RAND())*$G$7+$G$6</f>
        <v>-0.0305723548462715</v>
      </c>
    </row>
    <row r="4036" customFormat="false" ht="15" hidden="false" customHeight="false" outlineLevel="0" collapsed="false">
      <c r="L4036" s="31" t="n">
        <f aca="true">NORMSINV(RAND())*$G$7+$G$6</f>
        <v>0.00156946555915754</v>
      </c>
    </row>
    <row r="4037" customFormat="false" ht="15" hidden="false" customHeight="false" outlineLevel="0" collapsed="false">
      <c r="L4037" s="31" t="n">
        <f aca="true">NORMSINV(RAND())*$G$7+$G$6</f>
        <v>0.0209248329946061</v>
      </c>
    </row>
    <row r="4038" customFormat="false" ht="15" hidden="false" customHeight="false" outlineLevel="0" collapsed="false">
      <c r="L4038" s="31" t="n">
        <f aca="true">NORMSINV(RAND())*$G$7+$G$6</f>
        <v>-0.0192500627596185</v>
      </c>
    </row>
    <row r="4039" customFormat="false" ht="15" hidden="false" customHeight="false" outlineLevel="0" collapsed="false">
      <c r="L4039" s="31" t="n">
        <f aca="true">NORMSINV(RAND())*$G$7+$G$6</f>
        <v>-0.00576585165399273</v>
      </c>
    </row>
    <row r="4040" customFormat="false" ht="15" hidden="false" customHeight="false" outlineLevel="0" collapsed="false">
      <c r="L4040" s="31" t="n">
        <f aca="true">NORMSINV(RAND())*$G$7+$G$6</f>
        <v>-0.00448883691267792</v>
      </c>
    </row>
    <row r="4041" customFormat="false" ht="15" hidden="false" customHeight="false" outlineLevel="0" collapsed="false">
      <c r="L4041" s="31" t="n">
        <f aca="true">NORMSINV(RAND())*$G$7+$G$6</f>
        <v>-0.0306116122286374</v>
      </c>
    </row>
    <row r="4042" customFormat="false" ht="15" hidden="false" customHeight="false" outlineLevel="0" collapsed="false">
      <c r="L4042" s="31" t="n">
        <f aca="true">NORMSINV(RAND())*$G$7+$G$6</f>
        <v>-1.77203226724396E-005</v>
      </c>
    </row>
    <row r="4043" customFormat="false" ht="15" hidden="false" customHeight="false" outlineLevel="0" collapsed="false">
      <c r="L4043" s="31" t="n">
        <f aca="true">NORMSINV(RAND())*$G$7+$G$6</f>
        <v>-0.0120777711246672</v>
      </c>
    </row>
    <row r="4044" customFormat="false" ht="15" hidden="false" customHeight="false" outlineLevel="0" collapsed="false">
      <c r="L4044" s="31" t="n">
        <f aca="true">NORMSINV(RAND())*$G$7+$G$6</f>
        <v>0.0278826091510297</v>
      </c>
    </row>
    <row r="4045" customFormat="false" ht="15" hidden="false" customHeight="false" outlineLevel="0" collapsed="false">
      <c r="L4045" s="31" t="n">
        <f aca="true">NORMSINV(RAND())*$G$7+$G$6</f>
        <v>0.014638743228122</v>
      </c>
    </row>
    <row r="4046" customFormat="false" ht="15" hidden="false" customHeight="false" outlineLevel="0" collapsed="false">
      <c r="L4046" s="31" t="n">
        <f aca="true">NORMSINV(RAND())*$G$7+$G$6</f>
        <v>0.0012742061986213</v>
      </c>
    </row>
    <row r="4047" customFormat="false" ht="15" hidden="false" customHeight="false" outlineLevel="0" collapsed="false">
      <c r="L4047" s="31" t="n">
        <f aca="true">NORMSINV(RAND())*$G$7+$G$6</f>
        <v>0.016859011097965</v>
      </c>
    </row>
    <row r="4048" customFormat="false" ht="15" hidden="false" customHeight="false" outlineLevel="0" collapsed="false">
      <c r="L4048" s="31" t="n">
        <f aca="true">NORMSINV(RAND())*$G$7+$G$6</f>
        <v>0.0344932478698467</v>
      </c>
    </row>
    <row r="4049" customFormat="false" ht="15" hidden="false" customHeight="false" outlineLevel="0" collapsed="false">
      <c r="L4049" s="31" t="n">
        <f aca="true">NORMSINV(RAND())*$G$7+$G$6</f>
        <v>-0.0240583080252523</v>
      </c>
    </row>
    <row r="4050" customFormat="false" ht="15" hidden="false" customHeight="false" outlineLevel="0" collapsed="false">
      <c r="L4050" s="31" t="n">
        <f aca="true">NORMSINV(RAND())*$G$7+$G$6</f>
        <v>-0.0176200502713579</v>
      </c>
    </row>
    <row r="4051" customFormat="false" ht="15" hidden="false" customHeight="false" outlineLevel="0" collapsed="false">
      <c r="L4051" s="31" t="n">
        <f aca="true">NORMSINV(RAND())*$G$7+$G$6</f>
        <v>-0.0105960212290197</v>
      </c>
    </row>
    <row r="4052" customFormat="false" ht="15" hidden="false" customHeight="false" outlineLevel="0" collapsed="false">
      <c r="L4052" s="31" t="n">
        <f aca="true">NORMSINV(RAND())*$G$7+$G$6</f>
        <v>-0.00801520613717254</v>
      </c>
    </row>
    <row r="4053" customFormat="false" ht="15" hidden="false" customHeight="false" outlineLevel="0" collapsed="false">
      <c r="L4053" s="31" t="n">
        <f aca="true">NORMSINV(RAND())*$G$7+$G$6</f>
        <v>0.0113654292922812</v>
      </c>
    </row>
    <row r="4054" customFormat="false" ht="15" hidden="false" customHeight="false" outlineLevel="0" collapsed="false">
      <c r="L4054" s="31" t="n">
        <f aca="true">NORMSINV(RAND())*$G$7+$G$6</f>
        <v>-0.0138960759945182</v>
      </c>
    </row>
    <row r="4055" customFormat="false" ht="15" hidden="false" customHeight="false" outlineLevel="0" collapsed="false">
      <c r="L4055" s="31" t="n">
        <f aca="true">NORMSINV(RAND())*$G$7+$G$6</f>
        <v>0.00535872597349536</v>
      </c>
    </row>
    <row r="4056" customFormat="false" ht="15" hidden="false" customHeight="false" outlineLevel="0" collapsed="false">
      <c r="L4056" s="31" t="n">
        <f aca="true">NORMSINV(RAND())*$G$7+$G$6</f>
        <v>0.00888390924485782</v>
      </c>
    </row>
    <row r="4057" customFormat="false" ht="15" hidden="false" customHeight="false" outlineLevel="0" collapsed="false">
      <c r="L4057" s="31" t="n">
        <f aca="true">NORMSINV(RAND())*$G$7+$G$6</f>
        <v>-0.00248265428032088</v>
      </c>
    </row>
    <row r="4058" customFormat="false" ht="15" hidden="false" customHeight="false" outlineLevel="0" collapsed="false">
      <c r="L4058" s="31" t="n">
        <f aca="true">NORMSINV(RAND())*$G$7+$G$6</f>
        <v>0.00425607886525967</v>
      </c>
    </row>
    <row r="4059" customFormat="false" ht="15" hidden="false" customHeight="false" outlineLevel="0" collapsed="false">
      <c r="L4059" s="31" t="n">
        <f aca="true">NORMSINV(RAND())*$G$7+$G$6</f>
        <v>0.00884378250410541</v>
      </c>
    </row>
    <row r="4060" customFormat="false" ht="15" hidden="false" customHeight="false" outlineLevel="0" collapsed="false">
      <c r="L4060" s="31" t="n">
        <f aca="true">NORMSINV(RAND())*$G$7+$G$6</f>
        <v>0.0147126184821994</v>
      </c>
    </row>
    <row r="4061" customFormat="false" ht="15" hidden="false" customHeight="false" outlineLevel="0" collapsed="false">
      <c r="L4061" s="31" t="n">
        <f aca="true">NORMSINV(RAND())*$G$7+$G$6</f>
        <v>0.00608535166524468</v>
      </c>
    </row>
    <row r="4062" customFormat="false" ht="15" hidden="false" customHeight="false" outlineLevel="0" collapsed="false">
      <c r="L4062" s="31" t="n">
        <f aca="true">NORMSINV(RAND())*$G$7+$G$6</f>
        <v>0.0130907310267247</v>
      </c>
    </row>
    <row r="4063" customFormat="false" ht="15" hidden="false" customHeight="false" outlineLevel="0" collapsed="false">
      <c r="L4063" s="31" t="n">
        <f aca="true">NORMSINV(RAND())*$G$7+$G$6</f>
        <v>0.0200876871793757</v>
      </c>
    </row>
    <row r="4064" customFormat="false" ht="15" hidden="false" customHeight="false" outlineLevel="0" collapsed="false">
      <c r="L4064" s="31" t="n">
        <f aca="true">NORMSINV(RAND())*$G$7+$G$6</f>
        <v>-0.000693609579877568</v>
      </c>
    </row>
    <row r="4065" customFormat="false" ht="15" hidden="false" customHeight="false" outlineLevel="0" collapsed="false">
      <c r="L4065" s="31" t="n">
        <f aca="true">NORMSINV(RAND())*$G$7+$G$6</f>
        <v>-0.00325616182420579</v>
      </c>
    </row>
    <row r="4066" customFormat="false" ht="15" hidden="false" customHeight="false" outlineLevel="0" collapsed="false">
      <c r="L4066" s="31" t="n">
        <f aca="true">NORMSINV(RAND())*$G$7+$G$6</f>
        <v>-0.0308924132500629</v>
      </c>
    </row>
    <row r="4067" customFormat="false" ht="15" hidden="false" customHeight="false" outlineLevel="0" collapsed="false">
      <c r="L4067" s="31" t="n">
        <f aca="true">NORMSINV(RAND())*$G$7+$G$6</f>
        <v>0.0177427884908874</v>
      </c>
    </row>
    <row r="4068" customFormat="false" ht="15" hidden="false" customHeight="false" outlineLevel="0" collapsed="false">
      <c r="L4068" s="31" t="n">
        <f aca="true">NORMSINV(RAND())*$G$7+$G$6</f>
        <v>0.01684939491</v>
      </c>
    </row>
    <row r="4069" customFormat="false" ht="15" hidden="false" customHeight="false" outlineLevel="0" collapsed="false">
      <c r="L4069" s="31" t="n">
        <f aca="true">NORMSINV(RAND())*$G$7+$G$6</f>
        <v>-0.00521107170446749</v>
      </c>
    </row>
    <row r="4070" customFormat="false" ht="15" hidden="false" customHeight="false" outlineLevel="0" collapsed="false">
      <c r="L4070" s="31" t="n">
        <f aca="true">NORMSINV(RAND())*$G$7+$G$6</f>
        <v>0.00663251021591298</v>
      </c>
    </row>
    <row r="4071" customFormat="false" ht="15" hidden="false" customHeight="false" outlineLevel="0" collapsed="false">
      <c r="L4071" s="31" t="n">
        <f aca="true">NORMSINV(RAND())*$G$7+$G$6</f>
        <v>-0.0198320342248161</v>
      </c>
    </row>
    <row r="4072" customFormat="false" ht="15" hidden="false" customHeight="false" outlineLevel="0" collapsed="false">
      <c r="L4072" s="31" t="n">
        <f aca="true">NORMSINV(RAND())*$G$7+$G$6</f>
        <v>-0.0179330570351643</v>
      </c>
    </row>
    <row r="4073" customFormat="false" ht="15" hidden="false" customHeight="false" outlineLevel="0" collapsed="false">
      <c r="L4073" s="31" t="n">
        <f aca="true">NORMSINV(RAND())*$G$7+$G$6</f>
        <v>0.000340050889159056</v>
      </c>
    </row>
    <row r="4074" customFormat="false" ht="15" hidden="false" customHeight="false" outlineLevel="0" collapsed="false">
      <c r="L4074" s="31" t="n">
        <f aca="true">NORMSINV(RAND())*$G$7+$G$6</f>
        <v>0.00964822444384918</v>
      </c>
    </row>
    <row r="4075" customFormat="false" ht="15" hidden="false" customHeight="false" outlineLevel="0" collapsed="false">
      <c r="L4075" s="31" t="n">
        <f aca="true">NORMSINV(RAND())*$G$7+$G$6</f>
        <v>-0.0169300029328727</v>
      </c>
    </row>
    <row r="4076" customFormat="false" ht="15" hidden="false" customHeight="false" outlineLevel="0" collapsed="false">
      <c r="L4076" s="31" t="n">
        <f aca="true">NORMSINV(RAND())*$G$7+$G$6</f>
        <v>-0.0159443044127319</v>
      </c>
    </row>
    <row r="4077" customFormat="false" ht="15" hidden="false" customHeight="false" outlineLevel="0" collapsed="false">
      <c r="L4077" s="31" t="n">
        <f aca="true">NORMSINV(RAND())*$G$7+$G$6</f>
        <v>-0.0211228115087418</v>
      </c>
    </row>
    <row r="4078" customFormat="false" ht="15" hidden="false" customHeight="false" outlineLevel="0" collapsed="false">
      <c r="L4078" s="31" t="n">
        <f aca="true">NORMSINV(RAND())*$G$7+$G$6</f>
        <v>-0.00827515023541529</v>
      </c>
    </row>
    <row r="4079" customFormat="false" ht="15" hidden="false" customHeight="false" outlineLevel="0" collapsed="false">
      <c r="L4079" s="31" t="n">
        <f aca="true">NORMSINV(RAND())*$G$7+$G$6</f>
        <v>-0.00732601389981773</v>
      </c>
    </row>
    <row r="4080" customFormat="false" ht="15" hidden="false" customHeight="false" outlineLevel="0" collapsed="false">
      <c r="L4080" s="31" t="n">
        <f aca="true">NORMSINV(RAND())*$G$7+$G$6</f>
        <v>0.0186783352515229</v>
      </c>
    </row>
    <row r="4081" customFormat="false" ht="15" hidden="false" customHeight="false" outlineLevel="0" collapsed="false">
      <c r="L4081" s="31" t="n">
        <f aca="true">NORMSINV(RAND())*$G$7+$G$6</f>
        <v>0.0145440117720609</v>
      </c>
    </row>
    <row r="4082" customFormat="false" ht="15" hidden="false" customHeight="false" outlineLevel="0" collapsed="false">
      <c r="L4082" s="31" t="n">
        <f aca="true">NORMSINV(RAND())*$G$7+$G$6</f>
        <v>0.00573556579669689</v>
      </c>
    </row>
    <row r="4083" customFormat="false" ht="15" hidden="false" customHeight="false" outlineLevel="0" collapsed="false">
      <c r="L4083" s="31" t="n">
        <f aca="true">NORMSINV(RAND())*$G$7+$G$6</f>
        <v>0.011880440830177</v>
      </c>
    </row>
    <row r="4084" customFormat="false" ht="15" hidden="false" customHeight="false" outlineLevel="0" collapsed="false">
      <c r="L4084" s="31" t="n">
        <f aca="true">NORMSINV(RAND())*$G$7+$G$6</f>
        <v>-0.00874873301383217</v>
      </c>
    </row>
    <row r="4085" customFormat="false" ht="15" hidden="false" customHeight="false" outlineLevel="0" collapsed="false">
      <c r="L4085" s="31" t="n">
        <f aca="true">NORMSINV(RAND())*$G$7+$G$6</f>
        <v>-0.0291525637755872</v>
      </c>
    </row>
    <row r="4086" customFormat="false" ht="15" hidden="false" customHeight="false" outlineLevel="0" collapsed="false">
      <c r="L4086" s="31" t="n">
        <f aca="true">NORMSINV(RAND())*$G$7+$G$6</f>
        <v>0.0018772633811856</v>
      </c>
    </row>
    <row r="4087" customFormat="false" ht="15" hidden="false" customHeight="false" outlineLevel="0" collapsed="false">
      <c r="L4087" s="31" t="n">
        <f aca="true">NORMSINV(RAND())*$G$7+$G$6</f>
        <v>0.0104796165634289</v>
      </c>
    </row>
    <row r="4088" customFormat="false" ht="15" hidden="false" customHeight="false" outlineLevel="0" collapsed="false">
      <c r="L4088" s="31" t="n">
        <f aca="true">NORMSINV(RAND())*$G$7+$G$6</f>
        <v>-0.011850428944544</v>
      </c>
    </row>
    <row r="4089" customFormat="false" ht="15" hidden="false" customHeight="false" outlineLevel="0" collapsed="false">
      <c r="L4089" s="31" t="n">
        <f aca="true">NORMSINV(RAND())*$G$7+$G$6</f>
        <v>0.0148474433075511</v>
      </c>
    </row>
    <row r="4090" customFormat="false" ht="15" hidden="false" customHeight="false" outlineLevel="0" collapsed="false">
      <c r="L4090" s="31" t="n">
        <f aca="true">NORMSINV(RAND())*$G$7+$G$6</f>
        <v>0.000778097940140301</v>
      </c>
    </row>
    <row r="4091" customFormat="false" ht="15" hidden="false" customHeight="false" outlineLevel="0" collapsed="false">
      <c r="L4091" s="31" t="n">
        <f aca="true">NORMSINV(RAND())*$G$7+$G$6</f>
        <v>-0.0038962404197914</v>
      </c>
    </row>
    <row r="4092" customFormat="false" ht="15" hidden="false" customHeight="false" outlineLevel="0" collapsed="false">
      <c r="L4092" s="31" t="n">
        <f aca="true">NORMSINV(RAND())*$G$7+$G$6</f>
        <v>0.00648064133778347</v>
      </c>
    </row>
    <row r="4093" customFormat="false" ht="15" hidden="false" customHeight="false" outlineLevel="0" collapsed="false">
      <c r="L4093" s="31" t="n">
        <f aca="true">NORMSINV(RAND())*$G$7+$G$6</f>
        <v>0.00825556804698419</v>
      </c>
    </row>
    <row r="4094" customFormat="false" ht="15" hidden="false" customHeight="false" outlineLevel="0" collapsed="false">
      <c r="L4094" s="31" t="n">
        <f aca="true">NORMSINV(RAND())*$G$7+$G$6</f>
        <v>-0.0115343341052531</v>
      </c>
    </row>
    <row r="4095" customFormat="false" ht="15" hidden="false" customHeight="false" outlineLevel="0" collapsed="false">
      <c r="L4095" s="31" t="n">
        <f aca="true">NORMSINV(RAND())*$G$7+$G$6</f>
        <v>0.0304650205216475</v>
      </c>
    </row>
    <row r="4096" customFormat="false" ht="15" hidden="false" customHeight="false" outlineLevel="0" collapsed="false">
      <c r="L4096" s="31" t="n">
        <f aca="true">NORMSINV(RAND())*$G$7+$G$6</f>
        <v>0.00628916101254912</v>
      </c>
    </row>
    <row r="4097" customFormat="false" ht="15" hidden="false" customHeight="false" outlineLevel="0" collapsed="false">
      <c r="L4097" s="31" t="n">
        <f aca="true">NORMSINV(RAND())*$G$7+$G$6</f>
        <v>-0.00370905647790469</v>
      </c>
    </row>
    <row r="4098" customFormat="false" ht="15" hidden="false" customHeight="false" outlineLevel="0" collapsed="false">
      <c r="L4098" s="31" t="n">
        <f aca="true">NORMSINV(RAND())*$G$7+$G$6</f>
        <v>-0.0135475013561096</v>
      </c>
    </row>
    <row r="4099" customFormat="false" ht="15" hidden="false" customHeight="false" outlineLevel="0" collapsed="false">
      <c r="L4099" s="31" t="n">
        <f aca="true">NORMSINV(RAND())*$G$7+$G$6</f>
        <v>0.00416211892436113</v>
      </c>
    </row>
    <row r="4100" customFormat="false" ht="15" hidden="false" customHeight="false" outlineLevel="0" collapsed="false">
      <c r="L4100" s="31" t="n">
        <f aca="true">NORMSINV(RAND())*$G$7+$G$6</f>
        <v>-0.0136167091458262</v>
      </c>
    </row>
    <row r="4101" customFormat="false" ht="15" hidden="false" customHeight="false" outlineLevel="0" collapsed="false">
      <c r="L4101" s="31" t="n">
        <f aca="true">NORMSINV(RAND())*$G$7+$G$6</f>
        <v>-0.017776570325911</v>
      </c>
    </row>
    <row r="4102" customFormat="false" ht="15" hidden="false" customHeight="false" outlineLevel="0" collapsed="false">
      <c r="L4102" s="31" t="n">
        <f aca="true">NORMSINV(RAND())*$G$7+$G$6</f>
        <v>0.015628363121561</v>
      </c>
    </row>
    <row r="4103" customFormat="false" ht="15" hidden="false" customHeight="false" outlineLevel="0" collapsed="false">
      <c r="L4103" s="31" t="n">
        <f aca="true">NORMSINV(RAND())*$G$7+$G$6</f>
        <v>0.0212572038822334</v>
      </c>
    </row>
    <row r="4104" customFormat="false" ht="15" hidden="false" customHeight="false" outlineLevel="0" collapsed="false">
      <c r="L4104" s="31" t="n">
        <f aca="true">NORMSINV(RAND())*$G$7+$G$6</f>
        <v>-0.0225632515193112</v>
      </c>
    </row>
    <row r="4105" customFormat="false" ht="15" hidden="false" customHeight="false" outlineLevel="0" collapsed="false">
      <c r="L4105" s="31" t="n">
        <f aca="true">NORMSINV(RAND())*$G$7+$G$6</f>
        <v>-0.00724322903215132</v>
      </c>
    </row>
    <row r="4106" customFormat="false" ht="15" hidden="false" customHeight="false" outlineLevel="0" collapsed="false">
      <c r="L4106" s="31" t="n">
        <f aca="true">NORMSINV(RAND())*$G$7+$G$6</f>
        <v>-0.0073763937753234</v>
      </c>
    </row>
    <row r="4107" customFormat="false" ht="15" hidden="false" customHeight="false" outlineLevel="0" collapsed="false">
      <c r="L4107" s="31" t="n">
        <f aca="true">NORMSINV(RAND())*$G$7+$G$6</f>
        <v>0.016481532204597</v>
      </c>
    </row>
    <row r="4108" customFormat="false" ht="15" hidden="false" customHeight="false" outlineLevel="0" collapsed="false">
      <c r="L4108" s="31" t="n">
        <f aca="true">NORMSINV(RAND())*$G$7+$G$6</f>
        <v>0.00663658618090542</v>
      </c>
    </row>
    <row r="4109" customFormat="false" ht="15" hidden="false" customHeight="false" outlineLevel="0" collapsed="false">
      <c r="L4109" s="31" t="n">
        <f aca="true">NORMSINV(RAND())*$G$7+$G$6</f>
        <v>-0.00152892792619046</v>
      </c>
    </row>
    <row r="4110" customFormat="false" ht="15" hidden="false" customHeight="false" outlineLevel="0" collapsed="false">
      <c r="L4110" s="31" t="n">
        <f aca="true">NORMSINV(RAND())*$G$7+$G$6</f>
        <v>-0.0129778797414325</v>
      </c>
    </row>
    <row r="4111" customFormat="false" ht="15" hidden="false" customHeight="false" outlineLevel="0" collapsed="false">
      <c r="L4111" s="31" t="n">
        <f aca="true">NORMSINV(RAND())*$G$7+$G$6</f>
        <v>-0.0136112260696258</v>
      </c>
    </row>
    <row r="4112" customFormat="false" ht="15" hidden="false" customHeight="false" outlineLevel="0" collapsed="false">
      <c r="L4112" s="31" t="n">
        <f aca="true">NORMSINV(RAND())*$G$7+$G$6</f>
        <v>0.0047773153653368</v>
      </c>
    </row>
    <row r="4113" customFormat="false" ht="15" hidden="false" customHeight="false" outlineLevel="0" collapsed="false">
      <c r="L4113" s="31" t="n">
        <f aca="true">NORMSINV(RAND())*$G$7+$G$6</f>
        <v>0.0178430742425252</v>
      </c>
    </row>
    <row r="4114" customFormat="false" ht="15" hidden="false" customHeight="false" outlineLevel="0" collapsed="false">
      <c r="L4114" s="31" t="n">
        <f aca="true">NORMSINV(RAND())*$G$7+$G$6</f>
        <v>0.0125613308684946</v>
      </c>
    </row>
    <row r="4115" customFormat="false" ht="15" hidden="false" customHeight="false" outlineLevel="0" collapsed="false">
      <c r="L4115" s="31" t="n">
        <f aca="true">NORMSINV(RAND())*$G$7+$G$6</f>
        <v>-0.000461937908043396</v>
      </c>
    </row>
    <row r="4116" customFormat="false" ht="15" hidden="false" customHeight="false" outlineLevel="0" collapsed="false">
      <c r="L4116" s="31" t="n">
        <f aca="true">NORMSINV(RAND())*$G$7+$G$6</f>
        <v>0.0213196212092484</v>
      </c>
    </row>
    <row r="4117" customFormat="false" ht="15" hidden="false" customHeight="false" outlineLevel="0" collapsed="false">
      <c r="L4117" s="31" t="n">
        <f aca="true">NORMSINV(RAND())*$G$7+$G$6</f>
        <v>0.000650405575881655</v>
      </c>
    </row>
    <row r="4118" customFormat="false" ht="15" hidden="false" customHeight="false" outlineLevel="0" collapsed="false">
      <c r="L4118" s="31" t="n">
        <f aca="true">NORMSINV(RAND())*$G$7+$G$6</f>
        <v>-0.0071160897492357</v>
      </c>
    </row>
    <row r="4119" customFormat="false" ht="15" hidden="false" customHeight="false" outlineLevel="0" collapsed="false">
      <c r="L4119" s="31" t="n">
        <f aca="true">NORMSINV(RAND())*$G$7+$G$6</f>
        <v>-0.0172182836376476</v>
      </c>
    </row>
    <row r="4120" customFormat="false" ht="15" hidden="false" customHeight="false" outlineLevel="0" collapsed="false">
      <c r="L4120" s="31" t="n">
        <f aca="true">NORMSINV(RAND())*$G$7+$G$6</f>
        <v>0.00670199617751929</v>
      </c>
    </row>
    <row r="4121" customFormat="false" ht="15" hidden="false" customHeight="false" outlineLevel="0" collapsed="false">
      <c r="L4121" s="31" t="n">
        <f aca="true">NORMSINV(RAND())*$G$7+$G$6</f>
        <v>0.00355154635009236</v>
      </c>
    </row>
    <row r="4122" customFormat="false" ht="15" hidden="false" customHeight="false" outlineLevel="0" collapsed="false">
      <c r="L4122" s="31" t="n">
        <f aca="true">NORMSINV(RAND())*$G$7+$G$6</f>
        <v>0.0129009531855885</v>
      </c>
    </row>
    <row r="4123" customFormat="false" ht="15" hidden="false" customHeight="false" outlineLevel="0" collapsed="false">
      <c r="L4123" s="31" t="n">
        <f aca="true">NORMSINV(RAND())*$G$7+$G$6</f>
        <v>0.00532370288782993</v>
      </c>
    </row>
    <row r="4124" customFormat="false" ht="15" hidden="false" customHeight="false" outlineLevel="0" collapsed="false">
      <c r="L4124" s="31" t="n">
        <f aca="true">NORMSINV(RAND())*$G$7+$G$6</f>
        <v>0.00113787476526161</v>
      </c>
    </row>
    <row r="4125" customFormat="false" ht="15" hidden="false" customHeight="false" outlineLevel="0" collapsed="false">
      <c r="L4125" s="31" t="n">
        <f aca="true">NORMSINV(RAND())*$G$7+$G$6</f>
        <v>-0.00260699355547659</v>
      </c>
    </row>
    <row r="4126" customFormat="false" ht="15" hidden="false" customHeight="false" outlineLevel="0" collapsed="false">
      <c r="L4126" s="31" t="n">
        <f aca="true">NORMSINV(RAND())*$G$7+$G$6</f>
        <v>0.0124082668818881</v>
      </c>
    </row>
    <row r="4127" customFormat="false" ht="15" hidden="false" customHeight="false" outlineLevel="0" collapsed="false">
      <c r="L4127" s="31" t="n">
        <f aca="true">NORMSINV(RAND())*$G$7+$G$6</f>
        <v>0.00809955340169831</v>
      </c>
    </row>
    <row r="4128" customFormat="false" ht="15" hidden="false" customHeight="false" outlineLevel="0" collapsed="false">
      <c r="L4128" s="31" t="n">
        <f aca="true">NORMSINV(RAND())*$G$7+$G$6</f>
        <v>-0.00242023543976314</v>
      </c>
    </row>
    <row r="4129" customFormat="false" ht="15" hidden="false" customHeight="false" outlineLevel="0" collapsed="false">
      <c r="L4129" s="31" t="n">
        <f aca="true">NORMSINV(RAND())*$G$7+$G$6</f>
        <v>0.0141247821025789</v>
      </c>
    </row>
    <row r="4130" customFormat="false" ht="15" hidden="false" customHeight="false" outlineLevel="0" collapsed="false">
      <c r="L4130" s="31" t="n">
        <f aca="true">NORMSINV(RAND())*$G$7+$G$6</f>
        <v>-0.0216452982338717</v>
      </c>
    </row>
    <row r="4131" customFormat="false" ht="15" hidden="false" customHeight="false" outlineLevel="0" collapsed="false">
      <c r="L4131" s="31" t="n">
        <f aca="true">NORMSINV(RAND())*$G$7+$G$6</f>
        <v>0.00360899366661376</v>
      </c>
    </row>
    <row r="4132" customFormat="false" ht="15" hidden="false" customHeight="false" outlineLevel="0" collapsed="false">
      <c r="L4132" s="31" t="n">
        <f aca="true">NORMSINV(RAND())*$G$7+$G$6</f>
        <v>0.0204415753685341</v>
      </c>
    </row>
    <row r="4133" customFormat="false" ht="15" hidden="false" customHeight="false" outlineLevel="0" collapsed="false">
      <c r="L4133" s="31" t="n">
        <f aca="true">NORMSINV(RAND())*$G$7+$G$6</f>
        <v>0.00067989529543015</v>
      </c>
    </row>
    <row r="4134" customFormat="false" ht="15" hidden="false" customHeight="false" outlineLevel="0" collapsed="false">
      <c r="L4134" s="31" t="n">
        <f aca="true">NORMSINV(RAND())*$G$7+$G$6</f>
        <v>0.0197268559523971</v>
      </c>
    </row>
    <row r="4135" customFormat="false" ht="15" hidden="false" customHeight="false" outlineLevel="0" collapsed="false">
      <c r="L4135" s="31" t="n">
        <f aca="true">NORMSINV(RAND())*$G$7+$G$6</f>
        <v>-4.2782014877713E-005</v>
      </c>
    </row>
    <row r="4136" customFormat="false" ht="15" hidden="false" customHeight="false" outlineLevel="0" collapsed="false">
      <c r="L4136" s="31" t="n">
        <f aca="true">NORMSINV(RAND())*$G$7+$G$6</f>
        <v>0.0119425300381963</v>
      </c>
    </row>
    <row r="4137" customFormat="false" ht="15" hidden="false" customHeight="false" outlineLevel="0" collapsed="false">
      <c r="L4137" s="31" t="n">
        <f aca="true">NORMSINV(RAND())*$G$7+$G$6</f>
        <v>-0.00119769024075899</v>
      </c>
    </row>
    <row r="4138" customFormat="false" ht="15" hidden="false" customHeight="false" outlineLevel="0" collapsed="false">
      <c r="L4138" s="31" t="n">
        <f aca="true">NORMSINV(RAND())*$G$7+$G$6</f>
        <v>-0.00284408072604315</v>
      </c>
    </row>
    <row r="4139" customFormat="false" ht="15" hidden="false" customHeight="false" outlineLevel="0" collapsed="false">
      <c r="L4139" s="31" t="n">
        <f aca="true">NORMSINV(RAND())*$G$7+$G$6</f>
        <v>0.00978152247393165</v>
      </c>
    </row>
    <row r="4140" customFormat="false" ht="15" hidden="false" customHeight="false" outlineLevel="0" collapsed="false">
      <c r="L4140" s="31" t="n">
        <f aca="true">NORMSINV(RAND())*$G$7+$G$6</f>
        <v>0.00622785203918705</v>
      </c>
    </row>
    <row r="4141" customFormat="false" ht="15" hidden="false" customHeight="false" outlineLevel="0" collapsed="false">
      <c r="L4141" s="31" t="n">
        <f aca="true">NORMSINV(RAND())*$G$7+$G$6</f>
        <v>0.0223739310681398</v>
      </c>
    </row>
    <row r="4142" customFormat="false" ht="15" hidden="false" customHeight="false" outlineLevel="0" collapsed="false">
      <c r="L4142" s="31" t="n">
        <f aca="true">NORMSINV(RAND())*$G$7+$G$6</f>
        <v>0.00456140801465777</v>
      </c>
    </row>
    <row r="4143" customFormat="false" ht="15" hidden="false" customHeight="false" outlineLevel="0" collapsed="false">
      <c r="L4143" s="31" t="n">
        <f aca="true">NORMSINV(RAND())*$G$7+$G$6</f>
        <v>0.0142404109408309</v>
      </c>
    </row>
    <row r="4144" customFormat="false" ht="15" hidden="false" customHeight="false" outlineLevel="0" collapsed="false">
      <c r="L4144" s="31" t="n">
        <f aca="true">NORMSINV(RAND())*$G$7+$G$6</f>
        <v>0.00808202042865558</v>
      </c>
    </row>
    <row r="4145" customFormat="false" ht="15" hidden="false" customHeight="false" outlineLevel="0" collapsed="false">
      <c r="L4145" s="31" t="n">
        <f aca="true">NORMSINV(RAND())*$G$7+$G$6</f>
        <v>-0.00833842762806684</v>
      </c>
    </row>
    <row r="4146" customFormat="false" ht="15" hidden="false" customHeight="false" outlineLevel="0" collapsed="false">
      <c r="L4146" s="31" t="n">
        <f aca="true">NORMSINV(RAND())*$G$7+$G$6</f>
        <v>-0.00269257368369893</v>
      </c>
    </row>
    <row r="4147" customFormat="false" ht="15" hidden="false" customHeight="false" outlineLevel="0" collapsed="false">
      <c r="L4147" s="31" t="n">
        <f aca="true">NORMSINV(RAND())*$G$7+$G$6</f>
        <v>-0.0281484440090681</v>
      </c>
    </row>
    <row r="4148" customFormat="false" ht="15" hidden="false" customHeight="false" outlineLevel="0" collapsed="false">
      <c r="L4148" s="31" t="n">
        <f aca="true">NORMSINV(RAND())*$G$7+$G$6</f>
        <v>-0.00415592254690189</v>
      </c>
    </row>
    <row r="4149" customFormat="false" ht="15" hidden="false" customHeight="false" outlineLevel="0" collapsed="false">
      <c r="L4149" s="31" t="n">
        <f aca="true">NORMSINV(RAND())*$G$7+$G$6</f>
        <v>0.00770866438912866</v>
      </c>
    </row>
    <row r="4150" customFormat="false" ht="15" hidden="false" customHeight="false" outlineLevel="0" collapsed="false">
      <c r="L4150" s="31" t="n">
        <f aca="true">NORMSINV(RAND())*$G$7+$G$6</f>
        <v>-0.00492222387882588</v>
      </c>
    </row>
    <row r="4151" customFormat="false" ht="15" hidden="false" customHeight="false" outlineLevel="0" collapsed="false">
      <c r="L4151" s="31" t="n">
        <f aca="true">NORMSINV(RAND())*$G$7+$G$6</f>
        <v>0.0214281755039148</v>
      </c>
    </row>
    <row r="4152" customFormat="false" ht="15" hidden="false" customHeight="false" outlineLevel="0" collapsed="false">
      <c r="L4152" s="31" t="n">
        <f aca="true">NORMSINV(RAND())*$G$7+$G$6</f>
        <v>-0.015337292466971</v>
      </c>
    </row>
    <row r="4153" customFormat="false" ht="15" hidden="false" customHeight="false" outlineLevel="0" collapsed="false">
      <c r="L4153" s="31" t="n">
        <f aca="true">NORMSINV(RAND())*$G$7+$G$6</f>
        <v>-0.00767839034915178</v>
      </c>
    </row>
    <row r="4154" customFormat="false" ht="15" hidden="false" customHeight="false" outlineLevel="0" collapsed="false">
      <c r="L4154" s="31" t="n">
        <f aca="true">NORMSINV(RAND())*$G$7+$G$6</f>
        <v>0.0172080064153573</v>
      </c>
    </row>
    <row r="4155" customFormat="false" ht="15" hidden="false" customHeight="false" outlineLevel="0" collapsed="false">
      <c r="L4155" s="31" t="n">
        <f aca="true">NORMSINV(RAND())*$G$7+$G$6</f>
        <v>0.0391972795705198</v>
      </c>
    </row>
    <row r="4156" customFormat="false" ht="15" hidden="false" customHeight="false" outlineLevel="0" collapsed="false">
      <c r="L4156" s="31" t="n">
        <f aca="true">NORMSINV(RAND())*$G$7+$G$6</f>
        <v>-0.000741188388271733</v>
      </c>
    </row>
    <row r="4157" customFormat="false" ht="15" hidden="false" customHeight="false" outlineLevel="0" collapsed="false">
      <c r="L4157" s="31" t="n">
        <f aca="true">NORMSINV(RAND())*$G$7+$G$6</f>
        <v>-0.0286670194183002</v>
      </c>
    </row>
    <row r="4158" customFormat="false" ht="15" hidden="false" customHeight="false" outlineLevel="0" collapsed="false">
      <c r="L4158" s="31" t="n">
        <f aca="true">NORMSINV(RAND())*$G$7+$G$6</f>
        <v>0.0126953478814077</v>
      </c>
    </row>
    <row r="4159" customFormat="false" ht="15" hidden="false" customHeight="false" outlineLevel="0" collapsed="false">
      <c r="L4159" s="31" t="n">
        <f aca="true">NORMSINV(RAND())*$G$7+$G$6</f>
        <v>0.0136809110938016</v>
      </c>
    </row>
    <row r="4160" customFormat="false" ht="15" hidden="false" customHeight="false" outlineLevel="0" collapsed="false">
      <c r="L4160" s="31" t="n">
        <f aca="true">NORMSINV(RAND())*$G$7+$G$6</f>
        <v>0.00430070901517194</v>
      </c>
    </row>
    <row r="4161" customFormat="false" ht="15" hidden="false" customHeight="false" outlineLevel="0" collapsed="false">
      <c r="L4161" s="31" t="n">
        <f aca="true">NORMSINV(RAND())*$G$7+$G$6</f>
        <v>0.0109883423520867</v>
      </c>
    </row>
    <row r="4162" customFormat="false" ht="15" hidden="false" customHeight="false" outlineLevel="0" collapsed="false">
      <c r="L4162" s="31" t="n">
        <f aca="true">NORMSINV(RAND())*$G$7+$G$6</f>
        <v>-0.00214541688275944</v>
      </c>
    </row>
    <row r="4163" customFormat="false" ht="15" hidden="false" customHeight="false" outlineLevel="0" collapsed="false">
      <c r="L4163" s="31" t="n">
        <f aca="true">NORMSINV(RAND())*$G$7+$G$6</f>
        <v>-0.0229010764560434</v>
      </c>
    </row>
    <row r="4164" customFormat="false" ht="15" hidden="false" customHeight="false" outlineLevel="0" collapsed="false">
      <c r="L4164" s="31" t="n">
        <f aca="true">NORMSINV(RAND())*$G$7+$G$6</f>
        <v>-0.0112989308461974</v>
      </c>
    </row>
    <row r="4165" customFormat="false" ht="15" hidden="false" customHeight="false" outlineLevel="0" collapsed="false">
      <c r="L4165" s="31" t="n">
        <f aca="true">NORMSINV(RAND())*$G$7+$G$6</f>
        <v>-0.00398398593266795</v>
      </c>
    </row>
    <row r="4166" customFormat="false" ht="15" hidden="false" customHeight="false" outlineLevel="0" collapsed="false">
      <c r="L4166" s="31" t="n">
        <f aca="true">NORMSINV(RAND())*$G$7+$G$6</f>
        <v>-0.0308666629318579</v>
      </c>
    </row>
    <row r="4167" customFormat="false" ht="15" hidden="false" customHeight="false" outlineLevel="0" collapsed="false">
      <c r="L4167" s="31" t="n">
        <f aca="true">NORMSINV(RAND())*$G$7+$G$6</f>
        <v>0.0105816501205631</v>
      </c>
    </row>
    <row r="4168" customFormat="false" ht="15" hidden="false" customHeight="false" outlineLevel="0" collapsed="false">
      <c r="L4168" s="31" t="n">
        <f aca="true">NORMSINV(RAND())*$G$7+$G$6</f>
        <v>-0.00334500468751421</v>
      </c>
    </row>
    <row r="4169" customFormat="false" ht="15" hidden="false" customHeight="false" outlineLevel="0" collapsed="false">
      <c r="L4169" s="31" t="n">
        <f aca="true">NORMSINV(RAND())*$G$7+$G$6</f>
        <v>-0.0297180682528556</v>
      </c>
    </row>
    <row r="4170" customFormat="false" ht="15" hidden="false" customHeight="false" outlineLevel="0" collapsed="false">
      <c r="L4170" s="31" t="n">
        <f aca="true">NORMSINV(RAND())*$G$7+$G$6</f>
        <v>0.00369368337658732</v>
      </c>
    </row>
    <row r="4171" customFormat="false" ht="15" hidden="false" customHeight="false" outlineLevel="0" collapsed="false">
      <c r="L4171" s="31" t="n">
        <f aca="true">NORMSINV(RAND())*$G$7+$G$6</f>
        <v>0.00517881373011152</v>
      </c>
    </row>
    <row r="4172" customFormat="false" ht="15" hidden="false" customHeight="false" outlineLevel="0" collapsed="false">
      <c r="L4172" s="31" t="n">
        <f aca="true">NORMSINV(RAND())*$G$7+$G$6</f>
        <v>-0.0134783179237441</v>
      </c>
    </row>
    <row r="4173" customFormat="false" ht="15" hidden="false" customHeight="false" outlineLevel="0" collapsed="false">
      <c r="L4173" s="31" t="n">
        <f aca="true">NORMSINV(RAND())*$G$7+$G$6</f>
        <v>-0.0178665070347211</v>
      </c>
    </row>
    <row r="4174" customFormat="false" ht="15" hidden="false" customHeight="false" outlineLevel="0" collapsed="false">
      <c r="L4174" s="31" t="n">
        <f aca="true">NORMSINV(RAND())*$G$7+$G$6</f>
        <v>0.00434550771859482</v>
      </c>
    </row>
    <row r="4175" customFormat="false" ht="15" hidden="false" customHeight="false" outlineLevel="0" collapsed="false">
      <c r="L4175" s="31" t="n">
        <f aca="true">NORMSINV(RAND())*$G$7+$G$6</f>
        <v>-0.0180184565993079</v>
      </c>
    </row>
    <row r="4176" customFormat="false" ht="15" hidden="false" customHeight="false" outlineLevel="0" collapsed="false">
      <c r="L4176" s="31" t="n">
        <f aca="true">NORMSINV(RAND())*$G$7+$G$6</f>
        <v>-0.0193332386993412</v>
      </c>
    </row>
    <row r="4177" customFormat="false" ht="15" hidden="false" customHeight="false" outlineLevel="0" collapsed="false">
      <c r="L4177" s="31" t="n">
        <f aca="true">NORMSINV(RAND())*$G$7+$G$6</f>
        <v>0.0205709550164848</v>
      </c>
    </row>
    <row r="4178" customFormat="false" ht="15" hidden="false" customHeight="false" outlineLevel="0" collapsed="false">
      <c r="L4178" s="31" t="n">
        <f aca="true">NORMSINV(RAND())*$G$7+$G$6</f>
        <v>0.012303574625108</v>
      </c>
    </row>
    <row r="4179" customFormat="false" ht="15" hidden="false" customHeight="false" outlineLevel="0" collapsed="false">
      <c r="L4179" s="31" t="n">
        <f aca="true">NORMSINV(RAND())*$G$7+$G$6</f>
        <v>-0.00497484285406037</v>
      </c>
    </row>
    <row r="4180" customFormat="false" ht="15" hidden="false" customHeight="false" outlineLevel="0" collapsed="false">
      <c r="L4180" s="31" t="n">
        <f aca="true">NORMSINV(RAND())*$G$7+$G$6</f>
        <v>-0.00523847410012293</v>
      </c>
    </row>
    <row r="4181" customFormat="false" ht="15" hidden="false" customHeight="false" outlineLevel="0" collapsed="false">
      <c r="L4181" s="31" t="n">
        <f aca="true">NORMSINV(RAND())*$G$7+$G$6</f>
        <v>-0.0035468520571449</v>
      </c>
    </row>
    <row r="4182" customFormat="false" ht="15" hidden="false" customHeight="false" outlineLevel="0" collapsed="false">
      <c r="L4182" s="31" t="n">
        <f aca="true">NORMSINV(RAND())*$G$7+$G$6</f>
        <v>-0.0312148751783396</v>
      </c>
    </row>
    <row r="4183" customFormat="false" ht="15" hidden="false" customHeight="false" outlineLevel="0" collapsed="false">
      <c r="L4183" s="31" t="n">
        <f aca="true">NORMSINV(RAND())*$G$7+$G$6</f>
        <v>-0.013534382577904</v>
      </c>
    </row>
    <row r="4184" customFormat="false" ht="15" hidden="false" customHeight="false" outlineLevel="0" collapsed="false">
      <c r="L4184" s="31" t="n">
        <f aca="true">NORMSINV(RAND())*$G$7+$G$6</f>
        <v>-0.0140371262994212</v>
      </c>
    </row>
    <row r="4185" customFormat="false" ht="15" hidden="false" customHeight="false" outlineLevel="0" collapsed="false">
      <c r="L4185" s="31" t="n">
        <f aca="true">NORMSINV(RAND())*$G$7+$G$6</f>
        <v>-0.00407879165305779</v>
      </c>
    </row>
    <row r="4186" customFormat="false" ht="15" hidden="false" customHeight="false" outlineLevel="0" collapsed="false">
      <c r="L4186" s="31" t="n">
        <f aca="true">NORMSINV(RAND())*$G$7+$G$6</f>
        <v>-0.0225004712853113</v>
      </c>
    </row>
    <row r="4187" customFormat="false" ht="15" hidden="false" customHeight="false" outlineLevel="0" collapsed="false">
      <c r="L4187" s="31" t="n">
        <f aca="true">NORMSINV(RAND())*$G$7+$G$6</f>
        <v>0.00494318766081751</v>
      </c>
    </row>
    <row r="4188" customFormat="false" ht="15" hidden="false" customHeight="false" outlineLevel="0" collapsed="false">
      <c r="L4188" s="31" t="n">
        <f aca="true">NORMSINV(RAND())*$G$7+$G$6</f>
        <v>-0.00278824479499607</v>
      </c>
    </row>
    <row r="4189" customFormat="false" ht="15" hidden="false" customHeight="false" outlineLevel="0" collapsed="false">
      <c r="L4189" s="31" t="n">
        <f aca="true">NORMSINV(RAND())*$G$7+$G$6</f>
        <v>0.00260010133375636</v>
      </c>
    </row>
    <row r="4190" customFormat="false" ht="15" hidden="false" customHeight="false" outlineLevel="0" collapsed="false">
      <c r="L4190" s="31" t="n">
        <f aca="true">NORMSINV(RAND())*$G$7+$G$6</f>
        <v>0.0128144138609398</v>
      </c>
    </row>
    <row r="4191" customFormat="false" ht="15" hidden="false" customHeight="false" outlineLevel="0" collapsed="false">
      <c r="L4191" s="31" t="n">
        <f aca="true">NORMSINV(RAND())*$G$7+$G$6</f>
        <v>-0.0175269439742167</v>
      </c>
    </row>
    <row r="4192" customFormat="false" ht="15" hidden="false" customHeight="false" outlineLevel="0" collapsed="false">
      <c r="L4192" s="31" t="n">
        <f aca="true">NORMSINV(RAND())*$G$7+$G$6</f>
        <v>-0.0122267217178285</v>
      </c>
    </row>
    <row r="4193" customFormat="false" ht="15" hidden="false" customHeight="false" outlineLevel="0" collapsed="false">
      <c r="L4193" s="31" t="n">
        <f aca="true">NORMSINV(RAND())*$G$7+$G$6</f>
        <v>-0.00924120714291429</v>
      </c>
    </row>
    <row r="4194" customFormat="false" ht="15" hidden="false" customHeight="false" outlineLevel="0" collapsed="false">
      <c r="L4194" s="31" t="n">
        <f aca="true">NORMSINV(RAND())*$G$7+$G$6</f>
        <v>0.0277636097799507</v>
      </c>
    </row>
    <row r="4195" customFormat="false" ht="15" hidden="false" customHeight="false" outlineLevel="0" collapsed="false">
      <c r="L4195" s="31" t="n">
        <f aca="true">NORMSINV(RAND())*$G$7+$G$6</f>
        <v>-7.66666834115659E-005</v>
      </c>
    </row>
    <row r="4196" customFormat="false" ht="15" hidden="false" customHeight="false" outlineLevel="0" collapsed="false">
      <c r="L4196" s="31" t="n">
        <f aca="true">NORMSINV(RAND())*$G$7+$G$6</f>
        <v>-0.00644040120123686</v>
      </c>
    </row>
    <row r="4197" customFormat="false" ht="15" hidden="false" customHeight="false" outlineLevel="0" collapsed="false">
      <c r="L4197" s="31" t="n">
        <f aca="true">NORMSINV(RAND())*$G$7+$G$6</f>
        <v>0.0163911178827499</v>
      </c>
    </row>
    <row r="4198" customFormat="false" ht="15" hidden="false" customHeight="false" outlineLevel="0" collapsed="false">
      <c r="L4198" s="31" t="n">
        <f aca="true">NORMSINV(RAND())*$G$7+$G$6</f>
        <v>0.00278394451651101</v>
      </c>
    </row>
    <row r="4199" customFormat="false" ht="15" hidden="false" customHeight="false" outlineLevel="0" collapsed="false">
      <c r="L4199" s="31" t="n">
        <f aca="true">NORMSINV(RAND())*$G$7+$G$6</f>
        <v>0.0148563792835531</v>
      </c>
    </row>
    <row r="4200" customFormat="false" ht="15" hidden="false" customHeight="false" outlineLevel="0" collapsed="false">
      <c r="L4200" s="31" t="n">
        <f aca="true">NORMSINV(RAND())*$G$7+$G$6</f>
        <v>-0.0109916315071966</v>
      </c>
    </row>
    <row r="4201" customFormat="false" ht="15" hidden="false" customHeight="false" outlineLevel="0" collapsed="false">
      <c r="L4201" s="31" t="n">
        <f aca="true">NORMSINV(RAND())*$G$7+$G$6</f>
        <v>-0.0109115798231426</v>
      </c>
    </row>
    <row r="4202" customFormat="false" ht="15" hidden="false" customHeight="false" outlineLevel="0" collapsed="false">
      <c r="L4202" s="31" t="n">
        <f aca="true">NORMSINV(RAND())*$G$7+$G$6</f>
        <v>-0.00656585887772385</v>
      </c>
    </row>
    <row r="4203" customFormat="false" ht="15" hidden="false" customHeight="false" outlineLevel="0" collapsed="false">
      <c r="L4203" s="31" t="n">
        <f aca="true">NORMSINV(RAND())*$G$7+$G$6</f>
        <v>0.00584832486480119</v>
      </c>
    </row>
    <row r="4204" customFormat="false" ht="15" hidden="false" customHeight="false" outlineLevel="0" collapsed="false">
      <c r="L4204" s="31" t="n">
        <f aca="true">NORMSINV(RAND())*$G$7+$G$6</f>
        <v>0.000289680669613325</v>
      </c>
    </row>
    <row r="4205" customFormat="false" ht="15" hidden="false" customHeight="false" outlineLevel="0" collapsed="false">
      <c r="L4205" s="31" t="n">
        <f aca="true">NORMSINV(RAND())*$G$7+$G$6</f>
        <v>0.0145577272998706</v>
      </c>
    </row>
    <row r="4206" customFormat="false" ht="15" hidden="false" customHeight="false" outlineLevel="0" collapsed="false">
      <c r="L4206" s="31" t="n">
        <f aca="true">NORMSINV(RAND())*$G$7+$G$6</f>
        <v>-0.00426518695016928</v>
      </c>
    </row>
    <row r="4207" customFormat="false" ht="15" hidden="false" customHeight="false" outlineLevel="0" collapsed="false">
      <c r="L4207" s="31" t="n">
        <f aca="true">NORMSINV(RAND())*$G$7+$G$6</f>
        <v>0.0161750644974565</v>
      </c>
    </row>
    <row r="4208" customFormat="false" ht="15" hidden="false" customHeight="false" outlineLevel="0" collapsed="false">
      <c r="L4208" s="31" t="n">
        <f aca="true">NORMSINV(RAND())*$G$7+$G$6</f>
        <v>0.00306312146711952</v>
      </c>
    </row>
    <row r="4209" customFormat="false" ht="15" hidden="false" customHeight="false" outlineLevel="0" collapsed="false">
      <c r="L4209" s="31" t="n">
        <f aca="true">NORMSINV(RAND())*$G$7+$G$6</f>
        <v>0.0175950705138139</v>
      </c>
    </row>
    <row r="4210" customFormat="false" ht="15" hidden="false" customHeight="false" outlineLevel="0" collapsed="false">
      <c r="L4210" s="31" t="n">
        <f aca="true">NORMSINV(RAND())*$G$7+$G$6</f>
        <v>-0.000997830918076676</v>
      </c>
    </row>
    <row r="4211" customFormat="false" ht="15" hidden="false" customHeight="false" outlineLevel="0" collapsed="false">
      <c r="L4211" s="31" t="n">
        <f aca="true">NORMSINV(RAND())*$G$7+$G$6</f>
        <v>-0.00640805952473997</v>
      </c>
    </row>
    <row r="4212" customFormat="false" ht="15" hidden="false" customHeight="false" outlineLevel="0" collapsed="false">
      <c r="L4212" s="31" t="n">
        <f aca="true">NORMSINV(RAND())*$G$7+$G$6</f>
        <v>-0.0105671078312348</v>
      </c>
    </row>
    <row r="4213" customFormat="false" ht="15" hidden="false" customHeight="false" outlineLevel="0" collapsed="false">
      <c r="L4213" s="31" t="n">
        <f aca="true">NORMSINV(RAND())*$G$7+$G$6</f>
        <v>-0.012112644943235</v>
      </c>
    </row>
    <row r="4214" customFormat="false" ht="15" hidden="false" customHeight="false" outlineLevel="0" collapsed="false">
      <c r="L4214" s="31" t="n">
        <f aca="true">NORMSINV(RAND())*$G$7+$G$6</f>
        <v>0.00376764839424354</v>
      </c>
    </row>
    <row r="4215" customFormat="false" ht="15" hidden="false" customHeight="false" outlineLevel="0" collapsed="false">
      <c r="L4215" s="31" t="n">
        <f aca="true">NORMSINV(RAND())*$G$7+$G$6</f>
        <v>-0.00872018015157224</v>
      </c>
    </row>
    <row r="4216" customFormat="false" ht="15" hidden="false" customHeight="false" outlineLevel="0" collapsed="false">
      <c r="L4216" s="31" t="n">
        <f aca="true">NORMSINV(RAND())*$G$7+$G$6</f>
        <v>0.0114460683395201</v>
      </c>
    </row>
    <row r="4217" customFormat="false" ht="15" hidden="false" customHeight="false" outlineLevel="0" collapsed="false">
      <c r="L4217" s="31" t="n">
        <f aca="true">NORMSINV(RAND())*$G$7+$G$6</f>
        <v>-0.00489275039252842</v>
      </c>
    </row>
    <row r="4218" customFormat="false" ht="15" hidden="false" customHeight="false" outlineLevel="0" collapsed="false">
      <c r="L4218" s="31" t="n">
        <f aca="true">NORMSINV(RAND())*$G$7+$G$6</f>
        <v>0.00308999955774575</v>
      </c>
    </row>
    <row r="4219" customFormat="false" ht="15" hidden="false" customHeight="false" outlineLevel="0" collapsed="false">
      <c r="L4219" s="31" t="n">
        <f aca="true">NORMSINV(RAND())*$G$7+$G$6</f>
        <v>0.00426838107798639</v>
      </c>
    </row>
    <row r="4220" customFormat="false" ht="15" hidden="false" customHeight="false" outlineLevel="0" collapsed="false">
      <c r="L4220" s="31" t="n">
        <f aca="true">NORMSINV(RAND())*$G$7+$G$6</f>
        <v>-0.0192592057158967</v>
      </c>
    </row>
    <row r="4221" customFormat="false" ht="15" hidden="false" customHeight="false" outlineLevel="0" collapsed="false">
      <c r="L4221" s="31" t="n">
        <f aca="true">NORMSINV(RAND())*$G$7+$G$6</f>
        <v>0.0223709427858956</v>
      </c>
    </row>
    <row r="4222" customFormat="false" ht="15" hidden="false" customHeight="false" outlineLevel="0" collapsed="false">
      <c r="L4222" s="31" t="n">
        <f aca="true">NORMSINV(RAND())*$G$7+$G$6</f>
        <v>0.00792781574188664</v>
      </c>
    </row>
    <row r="4223" customFormat="false" ht="15" hidden="false" customHeight="false" outlineLevel="0" collapsed="false">
      <c r="L4223" s="31" t="n">
        <f aca="true">NORMSINV(RAND())*$G$7+$G$6</f>
        <v>-0.0143396490128195</v>
      </c>
    </row>
    <row r="4224" customFormat="false" ht="15" hidden="false" customHeight="false" outlineLevel="0" collapsed="false">
      <c r="L4224" s="31" t="n">
        <f aca="true">NORMSINV(RAND())*$G$7+$G$6</f>
        <v>0.0259648651761461</v>
      </c>
    </row>
    <row r="4225" customFormat="false" ht="15" hidden="false" customHeight="false" outlineLevel="0" collapsed="false">
      <c r="L4225" s="31" t="n">
        <f aca="true">NORMSINV(RAND())*$G$7+$G$6</f>
        <v>-0.023604979577459</v>
      </c>
    </row>
    <row r="4226" customFormat="false" ht="15" hidden="false" customHeight="false" outlineLevel="0" collapsed="false">
      <c r="L4226" s="31" t="n">
        <f aca="true">NORMSINV(RAND())*$G$7+$G$6</f>
        <v>0.0100114985140984</v>
      </c>
    </row>
    <row r="4227" customFormat="false" ht="15" hidden="false" customHeight="false" outlineLevel="0" collapsed="false">
      <c r="L4227" s="31" t="n">
        <f aca="true">NORMSINV(RAND())*$G$7+$G$6</f>
        <v>-0.000942536124183288</v>
      </c>
    </row>
    <row r="4228" customFormat="false" ht="15" hidden="false" customHeight="false" outlineLevel="0" collapsed="false">
      <c r="L4228" s="31" t="n">
        <f aca="true">NORMSINV(RAND())*$G$7+$G$6</f>
        <v>0.00987376184823577</v>
      </c>
    </row>
    <row r="4229" customFormat="false" ht="15" hidden="false" customHeight="false" outlineLevel="0" collapsed="false">
      <c r="L4229" s="31" t="n">
        <f aca="true">NORMSINV(RAND())*$G$7+$G$6</f>
        <v>-0.0191412335651211</v>
      </c>
    </row>
    <row r="4230" customFormat="false" ht="15" hidden="false" customHeight="false" outlineLevel="0" collapsed="false">
      <c r="L4230" s="31" t="n">
        <f aca="true">NORMSINV(RAND())*$G$7+$G$6</f>
        <v>0.0166123640142507</v>
      </c>
    </row>
    <row r="4231" customFormat="false" ht="15" hidden="false" customHeight="false" outlineLevel="0" collapsed="false">
      <c r="L4231" s="31" t="n">
        <f aca="true">NORMSINV(RAND())*$G$7+$G$6</f>
        <v>0.00049368001085285</v>
      </c>
    </row>
    <row r="4232" customFormat="false" ht="15" hidden="false" customHeight="false" outlineLevel="0" collapsed="false">
      <c r="L4232" s="31" t="n">
        <f aca="true">NORMSINV(RAND())*$G$7+$G$6</f>
        <v>-0.0100476442454078</v>
      </c>
    </row>
    <row r="4233" customFormat="false" ht="15" hidden="false" customHeight="false" outlineLevel="0" collapsed="false">
      <c r="L4233" s="31" t="n">
        <f aca="true">NORMSINV(RAND())*$G$7+$G$6</f>
        <v>-0.0116592446773345</v>
      </c>
    </row>
    <row r="4234" customFormat="false" ht="15" hidden="false" customHeight="false" outlineLevel="0" collapsed="false">
      <c r="L4234" s="31" t="n">
        <f aca="true">NORMSINV(RAND())*$G$7+$G$6</f>
        <v>-0.00903186473620003</v>
      </c>
    </row>
    <row r="4235" customFormat="false" ht="15" hidden="false" customHeight="false" outlineLevel="0" collapsed="false">
      <c r="L4235" s="31" t="n">
        <f aca="true">NORMSINV(RAND())*$G$7+$G$6</f>
        <v>-0.00326143484781064</v>
      </c>
    </row>
    <row r="4236" customFormat="false" ht="15" hidden="false" customHeight="false" outlineLevel="0" collapsed="false">
      <c r="L4236" s="31" t="n">
        <f aca="true">NORMSINV(RAND())*$G$7+$G$6</f>
        <v>-0.00180846857499844</v>
      </c>
    </row>
    <row r="4237" customFormat="false" ht="15" hidden="false" customHeight="false" outlineLevel="0" collapsed="false">
      <c r="L4237" s="31" t="n">
        <f aca="true">NORMSINV(RAND())*$G$7+$G$6</f>
        <v>-0.00504656313173823</v>
      </c>
    </row>
    <row r="4238" customFormat="false" ht="15" hidden="false" customHeight="false" outlineLevel="0" collapsed="false">
      <c r="L4238" s="31" t="n">
        <f aca="true">NORMSINV(RAND())*$G$7+$G$6</f>
        <v>0.00639667379415095</v>
      </c>
    </row>
    <row r="4239" customFormat="false" ht="15" hidden="false" customHeight="false" outlineLevel="0" collapsed="false">
      <c r="L4239" s="31" t="n">
        <f aca="true">NORMSINV(RAND())*$G$7+$G$6</f>
        <v>-0.0138032384939006</v>
      </c>
    </row>
    <row r="4240" customFormat="false" ht="15" hidden="false" customHeight="false" outlineLevel="0" collapsed="false">
      <c r="L4240" s="31" t="n">
        <f aca="true">NORMSINV(RAND())*$G$7+$G$6</f>
        <v>-0.00584345830592487</v>
      </c>
    </row>
    <row r="4241" customFormat="false" ht="15" hidden="false" customHeight="false" outlineLevel="0" collapsed="false">
      <c r="L4241" s="31" t="n">
        <f aca="true">NORMSINV(RAND())*$G$7+$G$6</f>
        <v>-0.0172873094673737</v>
      </c>
    </row>
    <row r="4242" customFormat="false" ht="15" hidden="false" customHeight="false" outlineLevel="0" collapsed="false">
      <c r="L4242" s="31" t="n">
        <f aca="true">NORMSINV(RAND())*$G$7+$G$6</f>
        <v>0.00941079023678737</v>
      </c>
    </row>
    <row r="4243" customFormat="false" ht="15" hidden="false" customHeight="false" outlineLevel="0" collapsed="false">
      <c r="L4243" s="31" t="n">
        <f aca="true">NORMSINV(RAND())*$G$7+$G$6</f>
        <v>0.018867652525005</v>
      </c>
    </row>
    <row r="4244" customFormat="false" ht="15" hidden="false" customHeight="false" outlineLevel="0" collapsed="false">
      <c r="L4244" s="31" t="n">
        <f aca="true">NORMSINV(RAND())*$G$7+$G$6</f>
        <v>0.0121732106419143</v>
      </c>
    </row>
    <row r="4245" customFormat="false" ht="15" hidden="false" customHeight="false" outlineLevel="0" collapsed="false">
      <c r="L4245" s="31" t="n">
        <f aca="true">NORMSINV(RAND())*$G$7+$G$6</f>
        <v>-0.0166403918516077</v>
      </c>
    </row>
    <row r="4246" customFormat="false" ht="15" hidden="false" customHeight="false" outlineLevel="0" collapsed="false">
      <c r="L4246" s="31" t="n">
        <f aca="true">NORMSINV(RAND())*$G$7+$G$6</f>
        <v>0.0105910702225397</v>
      </c>
    </row>
    <row r="4247" customFormat="false" ht="15" hidden="false" customHeight="false" outlineLevel="0" collapsed="false">
      <c r="L4247" s="31" t="n">
        <f aca="true">NORMSINV(RAND())*$G$7+$G$6</f>
        <v>0.0100472882727482</v>
      </c>
    </row>
    <row r="4248" customFormat="false" ht="15" hidden="false" customHeight="false" outlineLevel="0" collapsed="false">
      <c r="L4248" s="31" t="n">
        <f aca="true">NORMSINV(RAND())*$G$7+$G$6</f>
        <v>-0.0179872259783964</v>
      </c>
    </row>
    <row r="4249" customFormat="false" ht="15" hidden="false" customHeight="false" outlineLevel="0" collapsed="false">
      <c r="L4249" s="31" t="n">
        <f aca="true">NORMSINV(RAND())*$G$7+$G$6</f>
        <v>-0.0142505028850607</v>
      </c>
    </row>
    <row r="4250" customFormat="false" ht="15" hidden="false" customHeight="false" outlineLevel="0" collapsed="false">
      <c r="L4250" s="31" t="n">
        <f aca="true">NORMSINV(RAND())*$G$7+$G$6</f>
        <v>0.000334336440072432</v>
      </c>
    </row>
    <row r="4251" customFormat="false" ht="15" hidden="false" customHeight="false" outlineLevel="0" collapsed="false">
      <c r="L4251" s="31" t="n">
        <f aca="true">NORMSINV(RAND())*$G$7+$G$6</f>
        <v>0.00659734557113629</v>
      </c>
    </row>
    <row r="4252" customFormat="false" ht="15" hidden="false" customHeight="false" outlineLevel="0" collapsed="false">
      <c r="L4252" s="31" t="n">
        <f aca="true">NORMSINV(RAND())*$G$7+$G$6</f>
        <v>-0.0102831441864636</v>
      </c>
    </row>
    <row r="4253" customFormat="false" ht="15" hidden="false" customHeight="false" outlineLevel="0" collapsed="false">
      <c r="L4253" s="31" t="n">
        <f aca="true">NORMSINV(RAND())*$G$7+$G$6</f>
        <v>-0.0127906492885802</v>
      </c>
    </row>
    <row r="4254" customFormat="false" ht="15" hidden="false" customHeight="false" outlineLevel="0" collapsed="false">
      <c r="L4254" s="31" t="n">
        <f aca="true">NORMSINV(RAND())*$G$7+$G$6</f>
        <v>-0.0160336652564549</v>
      </c>
    </row>
    <row r="4255" customFormat="false" ht="15" hidden="false" customHeight="false" outlineLevel="0" collapsed="false">
      <c r="L4255" s="31" t="n">
        <f aca="true">NORMSINV(RAND())*$G$7+$G$6</f>
        <v>-0.0127944987183984</v>
      </c>
    </row>
    <row r="4256" customFormat="false" ht="15" hidden="false" customHeight="false" outlineLevel="0" collapsed="false">
      <c r="L4256" s="31" t="n">
        <f aca="true">NORMSINV(RAND())*$G$7+$G$6</f>
        <v>-0.000520758800723492</v>
      </c>
    </row>
    <row r="4257" customFormat="false" ht="15" hidden="false" customHeight="false" outlineLevel="0" collapsed="false">
      <c r="L4257" s="31" t="n">
        <f aca="true">NORMSINV(RAND())*$G$7+$G$6</f>
        <v>-0.000892026398199619</v>
      </c>
    </row>
    <row r="4258" customFormat="false" ht="15" hidden="false" customHeight="false" outlineLevel="0" collapsed="false">
      <c r="L4258" s="31" t="n">
        <f aca="true">NORMSINV(RAND())*$G$7+$G$6</f>
        <v>0.0115300611039889</v>
      </c>
    </row>
    <row r="4259" customFormat="false" ht="15" hidden="false" customHeight="false" outlineLevel="0" collapsed="false">
      <c r="L4259" s="31" t="n">
        <f aca="true">NORMSINV(RAND())*$G$7+$G$6</f>
        <v>0.00291328128606774</v>
      </c>
    </row>
    <row r="4260" customFormat="false" ht="15" hidden="false" customHeight="false" outlineLevel="0" collapsed="false">
      <c r="L4260" s="31" t="n">
        <f aca="true">NORMSINV(RAND())*$G$7+$G$6</f>
        <v>-0.0030084346310718</v>
      </c>
    </row>
    <row r="4261" customFormat="false" ht="15" hidden="false" customHeight="false" outlineLevel="0" collapsed="false">
      <c r="L4261" s="31" t="n">
        <f aca="true">NORMSINV(RAND())*$G$7+$G$6</f>
        <v>0.0176684600565202</v>
      </c>
    </row>
    <row r="4262" customFormat="false" ht="15" hidden="false" customHeight="false" outlineLevel="0" collapsed="false">
      <c r="L4262" s="31" t="n">
        <f aca="true">NORMSINV(RAND())*$G$7+$G$6</f>
        <v>-0.00608093795454494</v>
      </c>
    </row>
    <row r="4263" customFormat="false" ht="15" hidden="false" customHeight="false" outlineLevel="0" collapsed="false">
      <c r="L4263" s="31" t="n">
        <f aca="true">NORMSINV(RAND())*$G$7+$G$6</f>
        <v>0.0202032150314882</v>
      </c>
    </row>
    <row r="4264" customFormat="false" ht="15" hidden="false" customHeight="false" outlineLevel="0" collapsed="false">
      <c r="L4264" s="31" t="n">
        <f aca="true">NORMSINV(RAND())*$G$7+$G$6</f>
        <v>0.0083691923321172</v>
      </c>
    </row>
    <row r="4265" customFormat="false" ht="15" hidden="false" customHeight="false" outlineLevel="0" collapsed="false">
      <c r="L4265" s="31" t="n">
        <f aca="true">NORMSINV(RAND())*$G$7+$G$6</f>
        <v>0.0065730605567592</v>
      </c>
    </row>
    <row r="4266" customFormat="false" ht="15" hidden="false" customHeight="false" outlineLevel="0" collapsed="false">
      <c r="L4266" s="31" t="n">
        <f aca="true">NORMSINV(RAND())*$G$7+$G$6</f>
        <v>0.0120040819063232</v>
      </c>
    </row>
    <row r="4267" customFormat="false" ht="15" hidden="false" customHeight="false" outlineLevel="0" collapsed="false">
      <c r="L4267" s="31" t="n">
        <f aca="true">NORMSINV(RAND())*$G$7+$G$6</f>
        <v>-0.00883839490788111</v>
      </c>
    </row>
    <row r="4268" customFormat="false" ht="15" hidden="false" customHeight="false" outlineLevel="0" collapsed="false">
      <c r="L4268" s="31" t="n">
        <f aca="true">NORMSINV(RAND())*$G$7+$G$6</f>
        <v>0.015065781758613</v>
      </c>
    </row>
    <row r="4269" customFormat="false" ht="15" hidden="false" customHeight="false" outlineLevel="0" collapsed="false">
      <c r="L4269" s="31" t="n">
        <f aca="true">NORMSINV(RAND())*$G$7+$G$6</f>
        <v>0.00405681944751822</v>
      </c>
    </row>
    <row r="4270" customFormat="false" ht="15" hidden="false" customHeight="false" outlineLevel="0" collapsed="false">
      <c r="L4270" s="31" t="n">
        <f aca="true">NORMSINV(RAND())*$G$7+$G$6</f>
        <v>0.0051517500161561</v>
      </c>
    </row>
    <row r="4271" customFormat="false" ht="15" hidden="false" customHeight="false" outlineLevel="0" collapsed="false">
      <c r="L4271" s="31" t="n">
        <f aca="true">NORMSINV(RAND())*$G$7+$G$6</f>
        <v>0.00307925954802708</v>
      </c>
    </row>
    <row r="4272" customFormat="false" ht="15" hidden="false" customHeight="false" outlineLevel="0" collapsed="false">
      <c r="L4272" s="31" t="n">
        <f aca="true">NORMSINV(RAND())*$G$7+$G$6</f>
        <v>-0.00437692250287607</v>
      </c>
    </row>
    <row r="4273" customFormat="false" ht="15" hidden="false" customHeight="false" outlineLevel="0" collapsed="false">
      <c r="L4273" s="31" t="n">
        <f aca="true">NORMSINV(RAND())*$G$7+$G$6</f>
        <v>0.0191970598832493</v>
      </c>
    </row>
    <row r="4274" customFormat="false" ht="15" hidden="false" customHeight="false" outlineLevel="0" collapsed="false">
      <c r="L4274" s="31" t="n">
        <f aca="true">NORMSINV(RAND())*$G$7+$G$6</f>
        <v>-0.0114896471370613</v>
      </c>
    </row>
    <row r="4275" customFormat="false" ht="15" hidden="false" customHeight="false" outlineLevel="0" collapsed="false">
      <c r="L4275" s="31" t="n">
        <f aca="true">NORMSINV(RAND())*$G$7+$G$6</f>
        <v>-0.00166998789534402</v>
      </c>
    </row>
    <row r="4276" customFormat="false" ht="15" hidden="false" customHeight="false" outlineLevel="0" collapsed="false">
      <c r="L4276" s="31" t="n">
        <f aca="true">NORMSINV(RAND())*$G$7+$G$6</f>
        <v>0.0183856842549725</v>
      </c>
    </row>
    <row r="4277" customFormat="false" ht="15" hidden="false" customHeight="false" outlineLevel="0" collapsed="false">
      <c r="L4277" s="31" t="n">
        <f aca="true">NORMSINV(RAND())*$G$7+$G$6</f>
        <v>0.0221434979079894</v>
      </c>
    </row>
    <row r="4278" customFormat="false" ht="15" hidden="false" customHeight="false" outlineLevel="0" collapsed="false">
      <c r="L4278" s="31" t="n">
        <f aca="true">NORMSINV(RAND())*$G$7+$G$6</f>
        <v>0.0118468666174765</v>
      </c>
    </row>
    <row r="4279" customFormat="false" ht="15" hidden="false" customHeight="false" outlineLevel="0" collapsed="false">
      <c r="L4279" s="31" t="n">
        <f aca="true">NORMSINV(RAND())*$G$7+$G$6</f>
        <v>0.0174399688236322</v>
      </c>
    </row>
    <row r="4280" customFormat="false" ht="15" hidden="false" customHeight="false" outlineLevel="0" collapsed="false">
      <c r="L4280" s="31" t="n">
        <f aca="true">NORMSINV(RAND())*$G$7+$G$6</f>
        <v>0.00425379041925907</v>
      </c>
    </row>
    <row r="4281" customFormat="false" ht="15" hidden="false" customHeight="false" outlineLevel="0" collapsed="false">
      <c r="L4281" s="31" t="n">
        <f aca="true">NORMSINV(RAND())*$G$7+$G$6</f>
        <v>-0.00613165676990987</v>
      </c>
    </row>
    <row r="4282" customFormat="false" ht="15" hidden="false" customHeight="false" outlineLevel="0" collapsed="false">
      <c r="L4282" s="31" t="n">
        <f aca="true">NORMSINV(RAND())*$G$7+$G$6</f>
        <v>-0.0239149985210588</v>
      </c>
    </row>
    <row r="4283" customFormat="false" ht="15" hidden="false" customHeight="false" outlineLevel="0" collapsed="false">
      <c r="L4283" s="31" t="n">
        <f aca="true">NORMSINV(RAND())*$G$7+$G$6</f>
        <v>0.0123784966736645</v>
      </c>
    </row>
    <row r="4284" customFormat="false" ht="15" hidden="false" customHeight="false" outlineLevel="0" collapsed="false">
      <c r="L4284" s="31" t="n">
        <f aca="true">NORMSINV(RAND())*$G$7+$G$6</f>
        <v>-0.00447685499539719</v>
      </c>
    </row>
    <row r="4285" customFormat="false" ht="15" hidden="false" customHeight="false" outlineLevel="0" collapsed="false">
      <c r="L4285" s="31" t="n">
        <f aca="true">NORMSINV(RAND())*$G$7+$G$6</f>
        <v>0.00149513222817503</v>
      </c>
    </row>
    <row r="4286" customFormat="false" ht="15" hidden="false" customHeight="false" outlineLevel="0" collapsed="false">
      <c r="L4286" s="31" t="n">
        <f aca="true">NORMSINV(RAND())*$G$7+$G$6</f>
        <v>0.00753402668787543</v>
      </c>
    </row>
    <row r="4287" customFormat="false" ht="15" hidden="false" customHeight="false" outlineLevel="0" collapsed="false">
      <c r="L4287" s="31" t="n">
        <f aca="true">NORMSINV(RAND())*$G$7+$G$6</f>
        <v>0.00906099245171159</v>
      </c>
    </row>
    <row r="4288" customFormat="false" ht="15" hidden="false" customHeight="false" outlineLevel="0" collapsed="false">
      <c r="L4288" s="31" t="n">
        <f aca="true">NORMSINV(RAND())*$G$7+$G$6</f>
        <v>-0.0224378250776916</v>
      </c>
    </row>
    <row r="4289" customFormat="false" ht="15" hidden="false" customHeight="false" outlineLevel="0" collapsed="false">
      <c r="L4289" s="31" t="n">
        <f aca="true">NORMSINV(RAND())*$G$7+$G$6</f>
        <v>-0.00618876307845381</v>
      </c>
    </row>
    <row r="4290" customFormat="false" ht="15" hidden="false" customHeight="false" outlineLevel="0" collapsed="false">
      <c r="L4290" s="31" t="n">
        <f aca="true">NORMSINV(RAND())*$G$7+$G$6</f>
        <v>0.00323960334078452</v>
      </c>
    </row>
    <row r="4291" customFormat="false" ht="15" hidden="false" customHeight="false" outlineLevel="0" collapsed="false">
      <c r="L4291" s="31" t="n">
        <f aca="true">NORMSINV(RAND())*$G$7+$G$6</f>
        <v>-0.00331392851632769</v>
      </c>
    </row>
    <row r="4292" customFormat="false" ht="15" hidden="false" customHeight="false" outlineLevel="0" collapsed="false">
      <c r="L4292" s="31" t="n">
        <f aca="true">NORMSINV(RAND())*$G$7+$G$6</f>
        <v>0.0112374736533011</v>
      </c>
    </row>
    <row r="4293" customFormat="false" ht="15" hidden="false" customHeight="false" outlineLevel="0" collapsed="false">
      <c r="L4293" s="31" t="n">
        <f aca="true">NORMSINV(RAND())*$G$7+$G$6</f>
        <v>0.00951243546300117</v>
      </c>
    </row>
    <row r="4294" customFormat="false" ht="15" hidden="false" customHeight="false" outlineLevel="0" collapsed="false">
      <c r="L4294" s="31" t="n">
        <f aca="true">NORMSINV(RAND())*$G$7+$G$6</f>
        <v>0.00189728884943782</v>
      </c>
    </row>
    <row r="4295" customFormat="false" ht="15" hidden="false" customHeight="false" outlineLevel="0" collapsed="false">
      <c r="L4295" s="31" t="n">
        <f aca="true">NORMSINV(RAND())*$G$7+$G$6</f>
        <v>0.0293506920450117</v>
      </c>
    </row>
    <row r="4296" customFormat="false" ht="15" hidden="false" customHeight="false" outlineLevel="0" collapsed="false">
      <c r="L4296" s="31" t="n">
        <f aca="true">NORMSINV(RAND())*$G$7+$G$6</f>
        <v>-0.00836816460984385</v>
      </c>
    </row>
    <row r="4297" customFormat="false" ht="15" hidden="false" customHeight="false" outlineLevel="0" collapsed="false">
      <c r="L4297" s="31" t="n">
        <f aca="true">NORMSINV(RAND())*$G$7+$G$6</f>
        <v>-0.0293444294706555</v>
      </c>
    </row>
    <row r="4298" customFormat="false" ht="15" hidden="false" customHeight="false" outlineLevel="0" collapsed="false">
      <c r="L4298" s="31" t="n">
        <f aca="true">NORMSINV(RAND())*$G$7+$G$6</f>
        <v>0.00742509871511663</v>
      </c>
    </row>
    <row r="4299" customFormat="false" ht="15" hidden="false" customHeight="false" outlineLevel="0" collapsed="false">
      <c r="L4299" s="31" t="n">
        <f aca="true">NORMSINV(RAND())*$G$7+$G$6</f>
        <v>0.0286420812197664</v>
      </c>
    </row>
    <row r="4300" customFormat="false" ht="15" hidden="false" customHeight="false" outlineLevel="0" collapsed="false">
      <c r="L4300" s="31" t="n">
        <f aca="true">NORMSINV(RAND())*$G$7+$G$6</f>
        <v>-0.00815774720684436</v>
      </c>
    </row>
    <row r="4301" customFormat="false" ht="15" hidden="false" customHeight="false" outlineLevel="0" collapsed="false">
      <c r="L4301" s="31" t="n">
        <f aca="true">NORMSINV(RAND())*$G$7+$G$6</f>
        <v>0.00216386568383889</v>
      </c>
    </row>
    <row r="4302" customFormat="false" ht="15" hidden="false" customHeight="false" outlineLevel="0" collapsed="false">
      <c r="L4302" s="31" t="n">
        <f aca="true">NORMSINV(RAND())*$G$7+$G$6</f>
        <v>0.0190674359237943</v>
      </c>
    </row>
    <row r="4303" customFormat="false" ht="15" hidden="false" customHeight="false" outlineLevel="0" collapsed="false">
      <c r="L4303" s="31" t="n">
        <f aca="true">NORMSINV(RAND())*$G$7+$G$6</f>
        <v>0.00982568174214472</v>
      </c>
    </row>
    <row r="4304" customFormat="false" ht="15" hidden="false" customHeight="false" outlineLevel="0" collapsed="false">
      <c r="L4304" s="31" t="n">
        <f aca="true">NORMSINV(RAND())*$G$7+$G$6</f>
        <v>-0.00862485300307572</v>
      </c>
    </row>
    <row r="4305" customFormat="false" ht="15" hidden="false" customHeight="false" outlineLevel="0" collapsed="false">
      <c r="L4305" s="31" t="n">
        <f aca="true">NORMSINV(RAND())*$G$7+$G$6</f>
        <v>-0.00122148096544081</v>
      </c>
    </row>
    <row r="4306" customFormat="false" ht="15" hidden="false" customHeight="false" outlineLevel="0" collapsed="false">
      <c r="L4306" s="31" t="n">
        <f aca="true">NORMSINV(RAND())*$G$7+$G$6</f>
        <v>-0.00257537514012295</v>
      </c>
    </row>
    <row r="4307" customFormat="false" ht="15" hidden="false" customHeight="false" outlineLevel="0" collapsed="false">
      <c r="L4307" s="31" t="n">
        <f aca="true">NORMSINV(RAND())*$G$7+$G$6</f>
        <v>0.00232408791499428</v>
      </c>
    </row>
    <row r="4308" customFormat="false" ht="15" hidden="false" customHeight="false" outlineLevel="0" collapsed="false">
      <c r="L4308" s="31" t="n">
        <f aca="true">NORMSINV(RAND())*$G$7+$G$6</f>
        <v>0.00953753058468975</v>
      </c>
    </row>
    <row r="4309" customFormat="false" ht="15" hidden="false" customHeight="false" outlineLevel="0" collapsed="false">
      <c r="L4309" s="31" t="n">
        <f aca="true">NORMSINV(RAND())*$G$7+$G$6</f>
        <v>0.00239852838549659</v>
      </c>
    </row>
    <row r="4310" customFormat="false" ht="15" hidden="false" customHeight="false" outlineLevel="0" collapsed="false">
      <c r="L4310" s="31" t="n">
        <f aca="true">NORMSINV(RAND())*$G$7+$G$6</f>
        <v>0.0146842012339974</v>
      </c>
    </row>
    <row r="4311" customFormat="false" ht="15" hidden="false" customHeight="false" outlineLevel="0" collapsed="false">
      <c r="L4311" s="31" t="n">
        <f aca="true">NORMSINV(RAND())*$G$7+$G$6</f>
        <v>0.0144202539966272</v>
      </c>
    </row>
    <row r="4312" customFormat="false" ht="15" hidden="false" customHeight="false" outlineLevel="0" collapsed="false">
      <c r="L4312" s="31" t="n">
        <f aca="true">NORMSINV(RAND())*$G$7+$G$6</f>
        <v>0.00405727820001204</v>
      </c>
    </row>
    <row r="4313" customFormat="false" ht="15" hidden="false" customHeight="false" outlineLevel="0" collapsed="false">
      <c r="L4313" s="31" t="n">
        <f aca="true">NORMSINV(RAND())*$G$7+$G$6</f>
        <v>0.00815895649594523</v>
      </c>
    </row>
    <row r="4314" customFormat="false" ht="15" hidden="false" customHeight="false" outlineLevel="0" collapsed="false">
      <c r="L4314" s="31" t="n">
        <f aca="true">NORMSINV(RAND())*$G$7+$G$6</f>
        <v>-0.0526206785412493</v>
      </c>
    </row>
    <row r="4315" customFormat="false" ht="15" hidden="false" customHeight="false" outlineLevel="0" collapsed="false">
      <c r="L4315" s="31" t="n">
        <f aca="true">NORMSINV(RAND())*$G$7+$G$6</f>
        <v>0.0095380606886398</v>
      </c>
    </row>
    <row r="4316" customFormat="false" ht="15" hidden="false" customHeight="false" outlineLevel="0" collapsed="false">
      <c r="L4316" s="31" t="n">
        <f aca="true">NORMSINV(RAND())*$G$7+$G$6</f>
        <v>0.00291079555819183</v>
      </c>
    </row>
    <row r="4317" customFormat="false" ht="15" hidden="false" customHeight="false" outlineLevel="0" collapsed="false">
      <c r="L4317" s="31" t="n">
        <f aca="true">NORMSINV(RAND())*$G$7+$G$6</f>
        <v>0.00144022515969937</v>
      </c>
    </row>
    <row r="4318" customFormat="false" ht="15" hidden="false" customHeight="false" outlineLevel="0" collapsed="false">
      <c r="L4318" s="31" t="n">
        <f aca="true">NORMSINV(RAND())*$G$7+$G$6</f>
        <v>0.0191746396542131</v>
      </c>
    </row>
    <row r="4319" customFormat="false" ht="15" hidden="false" customHeight="false" outlineLevel="0" collapsed="false">
      <c r="L4319" s="31" t="n">
        <f aca="true">NORMSINV(RAND())*$G$7+$G$6</f>
        <v>-0.013078510775589</v>
      </c>
    </row>
    <row r="4320" customFormat="false" ht="15" hidden="false" customHeight="false" outlineLevel="0" collapsed="false">
      <c r="L4320" s="31" t="n">
        <f aca="true">NORMSINV(RAND())*$G$7+$G$6</f>
        <v>-0.00777869900231673</v>
      </c>
    </row>
    <row r="4321" customFormat="false" ht="15" hidden="false" customHeight="false" outlineLevel="0" collapsed="false">
      <c r="L4321" s="31" t="n">
        <f aca="true">NORMSINV(RAND())*$G$7+$G$6</f>
        <v>0.00419751296510656</v>
      </c>
    </row>
    <row r="4322" customFormat="false" ht="15" hidden="false" customHeight="false" outlineLevel="0" collapsed="false">
      <c r="L4322" s="31" t="n">
        <f aca="true">NORMSINV(RAND())*$G$7+$G$6</f>
        <v>0.0170449830839384</v>
      </c>
    </row>
    <row r="4323" customFormat="false" ht="15" hidden="false" customHeight="false" outlineLevel="0" collapsed="false">
      <c r="L4323" s="31" t="n">
        <f aca="true">NORMSINV(RAND())*$G$7+$G$6</f>
        <v>-0.0191689377084032</v>
      </c>
    </row>
    <row r="4324" customFormat="false" ht="15" hidden="false" customHeight="false" outlineLevel="0" collapsed="false">
      <c r="L4324" s="31" t="n">
        <f aca="true">NORMSINV(RAND())*$G$7+$G$6</f>
        <v>-0.0137589371531662</v>
      </c>
    </row>
    <row r="4325" customFormat="false" ht="15" hidden="false" customHeight="false" outlineLevel="0" collapsed="false">
      <c r="L4325" s="31" t="n">
        <f aca="true">NORMSINV(RAND())*$G$7+$G$6</f>
        <v>0.0220940800892077</v>
      </c>
    </row>
    <row r="4326" customFormat="false" ht="15" hidden="false" customHeight="false" outlineLevel="0" collapsed="false">
      <c r="L4326" s="31" t="n">
        <f aca="true">NORMSINV(RAND())*$G$7+$G$6</f>
        <v>0.00854156676321602</v>
      </c>
    </row>
    <row r="4327" customFormat="false" ht="15" hidden="false" customHeight="false" outlineLevel="0" collapsed="false">
      <c r="L4327" s="31" t="n">
        <f aca="true">NORMSINV(RAND())*$G$7+$G$6</f>
        <v>-0.00216587831727064</v>
      </c>
    </row>
    <row r="4328" customFormat="false" ht="15" hidden="false" customHeight="false" outlineLevel="0" collapsed="false">
      <c r="L4328" s="31" t="n">
        <f aca="true">NORMSINV(RAND())*$G$7+$G$6</f>
        <v>-0.0128821328447656</v>
      </c>
    </row>
    <row r="4329" customFormat="false" ht="15" hidden="false" customHeight="false" outlineLevel="0" collapsed="false">
      <c r="L4329" s="31" t="n">
        <f aca="true">NORMSINV(RAND())*$G$7+$G$6</f>
        <v>0.0200389959917888</v>
      </c>
    </row>
    <row r="4330" customFormat="false" ht="15" hidden="false" customHeight="false" outlineLevel="0" collapsed="false">
      <c r="L4330" s="31" t="n">
        <f aca="true">NORMSINV(RAND())*$G$7+$G$6</f>
        <v>-0.0156710675120211</v>
      </c>
    </row>
    <row r="4331" customFormat="false" ht="15" hidden="false" customHeight="false" outlineLevel="0" collapsed="false">
      <c r="L4331" s="31" t="n">
        <f aca="true">NORMSINV(RAND())*$G$7+$G$6</f>
        <v>0.0177193423040244</v>
      </c>
    </row>
    <row r="4332" customFormat="false" ht="15" hidden="false" customHeight="false" outlineLevel="0" collapsed="false">
      <c r="L4332" s="31" t="n">
        <f aca="true">NORMSINV(RAND())*$G$7+$G$6</f>
        <v>-0.00657865986397795</v>
      </c>
    </row>
    <row r="4333" customFormat="false" ht="15" hidden="false" customHeight="false" outlineLevel="0" collapsed="false">
      <c r="L4333" s="31" t="n">
        <f aca="true">NORMSINV(RAND())*$G$7+$G$6</f>
        <v>0.00654635141173832</v>
      </c>
    </row>
    <row r="4334" customFormat="false" ht="15" hidden="false" customHeight="false" outlineLevel="0" collapsed="false">
      <c r="L4334" s="31" t="n">
        <f aca="true">NORMSINV(RAND())*$G$7+$G$6</f>
        <v>0.0143487788545424</v>
      </c>
    </row>
    <row r="4335" customFormat="false" ht="15" hidden="false" customHeight="false" outlineLevel="0" collapsed="false">
      <c r="L4335" s="31" t="n">
        <f aca="true">NORMSINV(RAND())*$G$7+$G$6</f>
        <v>-0.0117495764999085</v>
      </c>
    </row>
    <row r="4336" customFormat="false" ht="15" hidden="false" customHeight="false" outlineLevel="0" collapsed="false">
      <c r="L4336" s="31" t="n">
        <f aca="true">NORMSINV(RAND())*$G$7+$G$6</f>
        <v>0.00241042022988035</v>
      </c>
    </row>
    <row r="4337" customFormat="false" ht="15" hidden="false" customHeight="false" outlineLevel="0" collapsed="false">
      <c r="L4337" s="31" t="n">
        <f aca="true">NORMSINV(RAND())*$G$7+$G$6</f>
        <v>0.00922536970108413</v>
      </c>
    </row>
    <row r="4338" customFormat="false" ht="15" hidden="false" customHeight="false" outlineLevel="0" collapsed="false">
      <c r="L4338" s="31" t="n">
        <f aca="true">NORMSINV(RAND())*$G$7+$G$6</f>
        <v>0.00484149930019837</v>
      </c>
    </row>
    <row r="4339" customFormat="false" ht="15" hidden="false" customHeight="false" outlineLevel="0" collapsed="false">
      <c r="L4339" s="31" t="n">
        <f aca="true">NORMSINV(RAND())*$G$7+$G$6</f>
        <v>0.0242816400782013</v>
      </c>
    </row>
    <row r="4340" customFormat="false" ht="15" hidden="false" customHeight="false" outlineLevel="0" collapsed="false">
      <c r="L4340" s="31" t="n">
        <f aca="true">NORMSINV(RAND())*$G$7+$G$6</f>
        <v>0.0133328113053609</v>
      </c>
    </row>
    <row r="4341" customFormat="false" ht="15" hidden="false" customHeight="false" outlineLevel="0" collapsed="false">
      <c r="L4341" s="31" t="n">
        <f aca="true">NORMSINV(RAND())*$G$7+$G$6</f>
        <v>0.0237563181918031</v>
      </c>
    </row>
    <row r="4342" customFormat="false" ht="15" hidden="false" customHeight="false" outlineLevel="0" collapsed="false">
      <c r="L4342" s="31" t="n">
        <f aca="true">NORMSINV(RAND())*$G$7+$G$6</f>
        <v>0.0243748468401496</v>
      </c>
    </row>
    <row r="4343" customFormat="false" ht="15" hidden="false" customHeight="false" outlineLevel="0" collapsed="false">
      <c r="L4343" s="31" t="n">
        <f aca="true">NORMSINV(RAND())*$G$7+$G$6</f>
        <v>0.00319176990840548</v>
      </c>
    </row>
    <row r="4344" customFormat="false" ht="15" hidden="false" customHeight="false" outlineLevel="0" collapsed="false">
      <c r="L4344" s="31" t="n">
        <f aca="true">NORMSINV(RAND())*$G$7+$G$6</f>
        <v>0.00412302859886334</v>
      </c>
    </row>
    <row r="4345" customFormat="false" ht="15" hidden="false" customHeight="false" outlineLevel="0" collapsed="false">
      <c r="L4345" s="31" t="n">
        <f aca="true">NORMSINV(RAND())*$G$7+$G$6</f>
        <v>-0.00640282406973699</v>
      </c>
    </row>
    <row r="4346" customFormat="false" ht="15" hidden="false" customHeight="false" outlineLevel="0" collapsed="false">
      <c r="L4346" s="31" t="n">
        <f aca="true">NORMSINV(RAND())*$G$7+$G$6</f>
        <v>-0.00367224125848936</v>
      </c>
    </row>
    <row r="4347" customFormat="false" ht="15" hidden="false" customHeight="false" outlineLevel="0" collapsed="false">
      <c r="L4347" s="31" t="n">
        <f aca="true">NORMSINV(RAND())*$G$7+$G$6</f>
        <v>0.00774677818192974</v>
      </c>
    </row>
    <row r="4348" customFormat="false" ht="15" hidden="false" customHeight="false" outlineLevel="0" collapsed="false">
      <c r="L4348" s="31" t="n">
        <f aca="true">NORMSINV(RAND())*$G$7+$G$6</f>
        <v>-0.0369551201205641</v>
      </c>
    </row>
    <row r="4349" customFormat="false" ht="15" hidden="false" customHeight="false" outlineLevel="0" collapsed="false">
      <c r="L4349" s="31" t="n">
        <f aca="true">NORMSINV(RAND())*$G$7+$G$6</f>
        <v>0.00183899097231645</v>
      </c>
    </row>
    <row r="4350" customFormat="false" ht="15" hidden="false" customHeight="false" outlineLevel="0" collapsed="false">
      <c r="L4350" s="31" t="n">
        <f aca="true">NORMSINV(RAND())*$G$7+$G$6</f>
        <v>0.0116063576330513</v>
      </c>
    </row>
    <row r="4351" customFormat="false" ht="15" hidden="false" customHeight="false" outlineLevel="0" collapsed="false">
      <c r="L4351" s="31" t="n">
        <f aca="true">NORMSINV(RAND())*$G$7+$G$6</f>
        <v>0.00170008122835492</v>
      </c>
    </row>
    <row r="4352" customFormat="false" ht="15" hidden="false" customHeight="false" outlineLevel="0" collapsed="false">
      <c r="L4352" s="31" t="n">
        <f aca="true">NORMSINV(RAND())*$G$7+$G$6</f>
        <v>-0.000441251760400264</v>
      </c>
    </row>
    <row r="4353" customFormat="false" ht="15" hidden="false" customHeight="false" outlineLevel="0" collapsed="false">
      <c r="L4353" s="31" t="n">
        <f aca="true">NORMSINV(RAND())*$G$7+$G$6</f>
        <v>-0.000525904804324194</v>
      </c>
    </row>
    <row r="4354" customFormat="false" ht="15" hidden="false" customHeight="false" outlineLevel="0" collapsed="false">
      <c r="L4354" s="31" t="n">
        <f aca="true">NORMSINV(RAND())*$G$7+$G$6</f>
        <v>-0.00895757543490329</v>
      </c>
    </row>
    <row r="4355" customFormat="false" ht="15" hidden="false" customHeight="false" outlineLevel="0" collapsed="false">
      <c r="L4355" s="31" t="n">
        <f aca="true">NORMSINV(RAND())*$G$7+$G$6</f>
        <v>0.00119704515736014</v>
      </c>
    </row>
    <row r="4356" customFormat="false" ht="15" hidden="false" customHeight="false" outlineLevel="0" collapsed="false">
      <c r="L4356" s="31" t="n">
        <f aca="true">NORMSINV(RAND())*$G$7+$G$6</f>
        <v>0.00566144280440227</v>
      </c>
    </row>
    <row r="4357" customFormat="false" ht="15" hidden="false" customHeight="false" outlineLevel="0" collapsed="false">
      <c r="L4357" s="31" t="n">
        <f aca="true">NORMSINV(RAND())*$G$7+$G$6</f>
        <v>0.000841566985042311</v>
      </c>
    </row>
    <row r="4358" customFormat="false" ht="15" hidden="false" customHeight="false" outlineLevel="0" collapsed="false">
      <c r="L4358" s="31" t="n">
        <f aca="true">NORMSINV(RAND())*$G$7+$G$6</f>
        <v>0.00488869982232888</v>
      </c>
    </row>
    <row r="4359" customFormat="false" ht="15" hidden="false" customHeight="false" outlineLevel="0" collapsed="false">
      <c r="L4359" s="31" t="n">
        <f aca="true">NORMSINV(RAND())*$G$7+$G$6</f>
        <v>-0.0211502831516986</v>
      </c>
    </row>
    <row r="4360" customFormat="false" ht="15" hidden="false" customHeight="false" outlineLevel="0" collapsed="false">
      <c r="L4360" s="31" t="n">
        <f aca="true">NORMSINV(RAND())*$G$7+$G$6</f>
        <v>-0.00324024842389093</v>
      </c>
    </row>
    <row r="4361" customFormat="false" ht="15" hidden="false" customHeight="false" outlineLevel="0" collapsed="false">
      <c r="L4361" s="31" t="n">
        <f aca="true">NORMSINV(RAND())*$G$7+$G$6</f>
        <v>0.00780621382569661</v>
      </c>
    </row>
    <row r="4362" customFormat="false" ht="15" hidden="false" customHeight="false" outlineLevel="0" collapsed="false">
      <c r="L4362" s="31" t="n">
        <f aca="true">NORMSINV(RAND())*$G$7+$G$6</f>
        <v>0.011112178428231</v>
      </c>
    </row>
    <row r="4363" customFormat="false" ht="15" hidden="false" customHeight="false" outlineLevel="0" collapsed="false">
      <c r="L4363" s="31" t="n">
        <f aca="true">NORMSINV(RAND())*$G$7+$G$6</f>
        <v>-0.0153797336613433</v>
      </c>
    </row>
    <row r="4364" customFormat="false" ht="15" hidden="false" customHeight="false" outlineLevel="0" collapsed="false">
      <c r="L4364" s="31" t="n">
        <f aca="true">NORMSINV(RAND())*$G$7+$G$6</f>
        <v>-0.0150928949047434</v>
      </c>
    </row>
    <row r="4365" customFormat="false" ht="15" hidden="false" customHeight="false" outlineLevel="0" collapsed="false">
      <c r="L4365" s="31" t="n">
        <f aca="true">NORMSINV(RAND())*$G$7+$G$6</f>
        <v>0.00561048125314474</v>
      </c>
    </row>
    <row r="4366" customFormat="false" ht="15" hidden="false" customHeight="false" outlineLevel="0" collapsed="false">
      <c r="L4366" s="31" t="n">
        <f aca="true">NORMSINV(RAND())*$G$7+$G$6</f>
        <v>-0.022462999558762</v>
      </c>
    </row>
    <row r="4367" customFormat="false" ht="15" hidden="false" customHeight="false" outlineLevel="0" collapsed="false">
      <c r="L4367" s="31" t="n">
        <f aca="true">NORMSINV(RAND())*$G$7+$G$6</f>
        <v>0.0111679625248631</v>
      </c>
    </row>
    <row r="4368" customFormat="false" ht="15" hidden="false" customHeight="false" outlineLevel="0" collapsed="false">
      <c r="L4368" s="31" t="n">
        <f aca="true">NORMSINV(RAND())*$G$7+$G$6</f>
        <v>-0.00536597019945111</v>
      </c>
    </row>
    <row r="4369" customFormat="false" ht="15" hidden="false" customHeight="false" outlineLevel="0" collapsed="false">
      <c r="L4369" s="31" t="n">
        <f aca="true">NORMSINV(RAND())*$G$7+$G$6</f>
        <v>-0.00912892573412132</v>
      </c>
    </row>
    <row r="4370" customFormat="false" ht="15" hidden="false" customHeight="false" outlineLevel="0" collapsed="false">
      <c r="L4370" s="31" t="n">
        <f aca="true">NORMSINV(RAND())*$G$7+$G$6</f>
        <v>0.00447552865053489</v>
      </c>
    </row>
    <row r="4371" customFormat="false" ht="15" hidden="false" customHeight="false" outlineLevel="0" collapsed="false">
      <c r="L4371" s="31" t="n">
        <f aca="true">NORMSINV(RAND())*$G$7+$G$6</f>
        <v>-0.0249949182861168</v>
      </c>
    </row>
    <row r="4372" customFormat="false" ht="15" hidden="false" customHeight="false" outlineLevel="0" collapsed="false">
      <c r="L4372" s="31" t="n">
        <f aca="true">NORMSINV(RAND())*$G$7+$G$6</f>
        <v>-0.0198500050267676</v>
      </c>
    </row>
    <row r="4373" customFormat="false" ht="15" hidden="false" customHeight="false" outlineLevel="0" collapsed="false">
      <c r="L4373" s="31" t="n">
        <f aca="true">NORMSINV(RAND())*$G$7+$G$6</f>
        <v>-0.0184607321476106</v>
      </c>
    </row>
    <row r="4374" customFormat="false" ht="15" hidden="false" customHeight="false" outlineLevel="0" collapsed="false">
      <c r="L4374" s="31" t="n">
        <f aca="true">NORMSINV(RAND())*$G$7+$G$6</f>
        <v>-0.0167721338407715</v>
      </c>
    </row>
    <row r="4375" customFormat="false" ht="15" hidden="false" customHeight="false" outlineLevel="0" collapsed="false">
      <c r="L4375" s="31" t="n">
        <f aca="true">NORMSINV(RAND())*$G$7+$G$6</f>
        <v>0.00432299023843371</v>
      </c>
    </row>
    <row r="4376" customFormat="false" ht="15" hidden="false" customHeight="false" outlineLevel="0" collapsed="false">
      <c r="L4376" s="31" t="n">
        <f aca="true">NORMSINV(RAND())*$G$7+$G$6</f>
        <v>0.0149793451308608</v>
      </c>
    </row>
    <row r="4377" customFormat="false" ht="15" hidden="false" customHeight="false" outlineLevel="0" collapsed="false">
      <c r="L4377" s="31" t="n">
        <f aca="true">NORMSINV(RAND())*$G$7+$G$6</f>
        <v>-0.014753308998162</v>
      </c>
    </row>
    <row r="4378" customFormat="false" ht="15" hidden="false" customHeight="false" outlineLevel="0" collapsed="false">
      <c r="L4378" s="31" t="n">
        <f aca="true">NORMSINV(RAND())*$G$7+$G$6</f>
        <v>-0.000551836226895683</v>
      </c>
    </row>
    <row r="4379" customFormat="false" ht="15" hidden="false" customHeight="false" outlineLevel="0" collapsed="false">
      <c r="L4379" s="31" t="n">
        <f aca="true">NORMSINV(RAND())*$G$7+$G$6</f>
        <v>0.0204285539948981</v>
      </c>
    </row>
    <row r="4380" customFormat="false" ht="15" hidden="false" customHeight="false" outlineLevel="0" collapsed="false">
      <c r="L4380" s="31" t="n">
        <f aca="true">NORMSINV(RAND())*$G$7+$G$6</f>
        <v>-0.00116018721567454</v>
      </c>
    </row>
    <row r="4381" customFormat="false" ht="15" hidden="false" customHeight="false" outlineLevel="0" collapsed="false">
      <c r="L4381" s="31" t="n">
        <f aca="true">NORMSINV(RAND())*$G$7+$G$6</f>
        <v>0.00207432123824066</v>
      </c>
    </row>
    <row r="4382" customFormat="false" ht="15" hidden="false" customHeight="false" outlineLevel="0" collapsed="false">
      <c r="L4382" s="31" t="n">
        <f aca="true">NORMSINV(RAND())*$G$7+$G$6</f>
        <v>0.00465435441201621</v>
      </c>
    </row>
    <row r="4383" customFormat="false" ht="15" hidden="false" customHeight="false" outlineLevel="0" collapsed="false">
      <c r="L4383" s="31" t="n">
        <f aca="true">NORMSINV(RAND())*$G$7+$G$6</f>
        <v>-0.0158972938518139</v>
      </c>
    </row>
    <row r="4384" customFormat="false" ht="15" hidden="false" customHeight="false" outlineLevel="0" collapsed="false">
      <c r="L4384" s="31" t="n">
        <f aca="true">NORMSINV(RAND())*$G$7+$G$6</f>
        <v>-0.00823118393761142</v>
      </c>
    </row>
    <row r="4385" customFormat="false" ht="15" hidden="false" customHeight="false" outlineLevel="0" collapsed="false">
      <c r="L4385" s="31" t="n">
        <f aca="true">NORMSINV(RAND())*$G$7+$G$6</f>
        <v>-0.00797691481688367</v>
      </c>
    </row>
    <row r="4386" customFormat="false" ht="15" hidden="false" customHeight="false" outlineLevel="0" collapsed="false">
      <c r="L4386" s="31" t="n">
        <f aca="true">NORMSINV(RAND())*$G$7+$G$6</f>
        <v>-0.00795984358323917</v>
      </c>
    </row>
    <row r="4387" customFormat="false" ht="15" hidden="false" customHeight="false" outlineLevel="0" collapsed="false">
      <c r="L4387" s="31" t="n">
        <f aca="true">NORMSINV(RAND())*$G$7+$G$6</f>
        <v>0.00194147046867759</v>
      </c>
    </row>
    <row r="4388" customFormat="false" ht="15" hidden="false" customHeight="false" outlineLevel="0" collapsed="false">
      <c r="L4388" s="31" t="n">
        <f aca="true">NORMSINV(RAND())*$G$7+$G$6</f>
        <v>0.00491564569249797</v>
      </c>
    </row>
    <row r="4389" customFormat="false" ht="15" hidden="false" customHeight="false" outlineLevel="0" collapsed="false">
      <c r="L4389" s="31" t="n">
        <f aca="true">NORMSINV(RAND())*$G$7+$G$6</f>
        <v>-0.00649440623441816</v>
      </c>
    </row>
    <row r="4390" customFormat="false" ht="15" hidden="false" customHeight="false" outlineLevel="0" collapsed="false">
      <c r="L4390" s="31" t="n">
        <f aca="true">NORMSINV(RAND())*$G$7+$G$6</f>
        <v>0.00755014715671017</v>
      </c>
    </row>
    <row r="4391" customFormat="false" ht="15" hidden="false" customHeight="false" outlineLevel="0" collapsed="false">
      <c r="L4391" s="31" t="n">
        <f aca="true">NORMSINV(RAND())*$G$7+$G$6</f>
        <v>-0.0121728710783227</v>
      </c>
    </row>
    <row r="4392" customFormat="false" ht="15" hidden="false" customHeight="false" outlineLevel="0" collapsed="false">
      <c r="L4392" s="31" t="n">
        <f aca="true">NORMSINV(RAND())*$G$7+$G$6</f>
        <v>-0.011201210136086</v>
      </c>
    </row>
    <row r="4393" customFormat="false" ht="15" hidden="false" customHeight="false" outlineLevel="0" collapsed="false">
      <c r="L4393" s="31" t="n">
        <f aca="true">NORMSINV(RAND())*$G$7+$G$6</f>
        <v>-0.00730221973415091</v>
      </c>
    </row>
    <row r="4394" customFormat="false" ht="15" hidden="false" customHeight="false" outlineLevel="0" collapsed="false">
      <c r="L4394" s="31" t="n">
        <f aca="true">NORMSINV(RAND())*$G$7+$G$6</f>
        <v>0.00713663307031625</v>
      </c>
    </row>
    <row r="4395" customFormat="false" ht="15" hidden="false" customHeight="false" outlineLevel="0" collapsed="false">
      <c r="L4395" s="31" t="n">
        <f aca="true">NORMSINV(RAND())*$G$7+$G$6</f>
        <v>-0.00186996846929145</v>
      </c>
    </row>
    <row r="4396" customFormat="false" ht="15" hidden="false" customHeight="false" outlineLevel="0" collapsed="false">
      <c r="L4396" s="31" t="n">
        <f aca="true">NORMSINV(RAND())*$G$7+$G$6</f>
        <v>0.0254414458025253</v>
      </c>
    </row>
    <row r="4397" customFormat="false" ht="15" hidden="false" customHeight="false" outlineLevel="0" collapsed="false">
      <c r="L4397" s="31" t="n">
        <f aca="true">NORMSINV(RAND())*$G$7+$G$6</f>
        <v>-0.0242153783588386</v>
      </c>
    </row>
    <row r="4398" customFormat="false" ht="15" hidden="false" customHeight="false" outlineLevel="0" collapsed="false">
      <c r="L4398" s="31" t="n">
        <f aca="true">NORMSINV(RAND())*$G$7+$G$6</f>
        <v>-0.0195259261330912</v>
      </c>
    </row>
    <row r="4399" customFormat="false" ht="15" hidden="false" customHeight="false" outlineLevel="0" collapsed="false">
      <c r="L4399" s="31" t="n">
        <f aca="true">NORMSINV(RAND())*$G$7+$G$6</f>
        <v>-0.0029926325290879</v>
      </c>
    </row>
    <row r="4400" customFormat="false" ht="15" hidden="false" customHeight="false" outlineLevel="0" collapsed="false">
      <c r="L4400" s="31" t="n">
        <f aca="true">NORMSINV(RAND())*$G$7+$G$6</f>
        <v>0.0165775236223121</v>
      </c>
    </row>
    <row r="4401" customFormat="false" ht="15" hidden="false" customHeight="false" outlineLevel="0" collapsed="false">
      <c r="L4401" s="31" t="n">
        <f aca="true">NORMSINV(RAND())*$G$7+$G$6</f>
        <v>0.00539336174710511</v>
      </c>
    </row>
    <row r="4402" customFormat="false" ht="15" hidden="false" customHeight="false" outlineLevel="0" collapsed="false">
      <c r="L4402" s="31" t="n">
        <f aca="true">NORMSINV(RAND())*$G$7+$G$6</f>
        <v>-0.000162469209711956</v>
      </c>
    </row>
    <row r="4403" customFormat="false" ht="15" hidden="false" customHeight="false" outlineLevel="0" collapsed="false">
      <c r="L4403" s="31" t="n">
        <f aca="true">NORMSINV(RAND())*$G$7+$G$6</f>
        <v>0.0310807003986451</v>
      </c>
    </row>
    <row r="4404" customFormat="false" ht="15" hidden="false" customHeight="false" outlineLevel="0" collapsed="false">
      <c r="L4404" s="31" t="n">
        <f aca="true">NORMSINV(RAND())*$G$7+$G$6</f>
        <v>-0.00135233714923536</v>
      </c>
    </row>
    <row r="4405" customFormat="false" ht="15" hidden="false" customHeight="false" outlineLevel="0" collapsed="false">
      <c r="L4405" s="31" t="n">
        <f aca="true">NORMSINV(RAND())*$G$7+$G$6</f>
        <v>0.00498050111057635</v>
      </c>
    </row>
    <row r="4406" customFormat="false" ht="15" hidden="false" customHeight="false" outlineLevel="0" collapsed="false">
      <c r="L4406" s="31" t="n">
        <f aca="true">NORMSINV(RAND())*$G$7+$G$6</f>
        <v>0.00664068812148346</v>
      </c>
    </row>
    <row r="4407" customFormat="false" ht="15" hidden="false" customHeight="false" outlineLevel="0" collapsed="false">
      <c r="L4407" s="31" t="n">
        <f aca="true">NORMSINV(RAND())*$G$7+$G$6</f>
        <v>-0.00886332704267193</v>
      </c>
    </row>
    <row r="4408" customFormat="false" ht="15" hidden="false" customHeight="false" outlineLevel="0" collapsed="false">
      <c r="L4408" s="31" t="n">
        <f aca="true">NORMSINV(RAND())*$G$7+$G$6</f>
        <v>-0.00312549210209581</v>
      </c>
    </row>
    <row r="4409" customFormat="false" ht="15" hidden="false" customHeight="false" outlineLevel="0" collapsed="false">
      <c r="L4409" s="31" t="n">
        <f aca="true">NORMSINV(RAND())*$G$7+$G$6</f>
        <v>0.00449101775343373</v>
      </c>
    </row>
    <row r="4410" customFormat="false" ht="15" hidden="false" customHeight="false" outlineLevel="0" collapsed="false">
      <c r="L4410" s="31" t="n">
        <f aca="true">NORMSINV(RAND())*$G$7+$G$6</f>
        <v>0.00853464215075469</v>
      </c>
    </row>
    <row r="4411" customFormat="false" ht="15" hidden="false" customHeight="false" outlineLevel="0" collapsed="false">
      <c r="L4411" s="31" t="n">
        <f aca="true">NORMSINV(RAND())*$G$7+$G$6</f>
        <v>-0.0165510332184448</v>
      </c>
    </row>
    <row r="4412" customFormat="false" ht="15" hidden="false" customHeight="false" outlineLevel="0" collapsed="false">
      <c r="L4412" s="31" t="n">
        <f aca="true">NORMSINV(RAND())*$G$7+$G$6</f>
        <v>0.00576461855336551</v>
      </c>
    </row>
    <row r="4413" customFormat="false" ht="15" hidden="false" customHeight="false" outlineLevel="0" collapsed="false">
      <c r="L4413" s="31" t="n">
        <f aca="true">NORMSINV(RAND())*$G$7+$G$6</f>
        <v>-0.0432557441378903</v>
      </c>
    </row>
    <row r="4414" customFormat="false" ht="15" hidden="false" customHeight="false" outlineLevel="0" collapsed="false">
      <c r="L4414" s="31" t="n">
        <f aca="true">NORMSINV(RAND())*$G$7+$G$6</f>
        <v>0.00338534662073742</v>
      </c>
    </row>
    <row r="4415" customFormat="false" ht="15" hidden="false" customHeight="false" outlineLevel="0" collapsed="false">
      <c r="L4415" s="31" t="n">
        <f aca="true">NORMSINV(RAND())*$G$7+$G$6</f>
        <v>-0.00675307125529912</v>
      </c>
    </row>
    <row r="4416" customFormat="false" ht="15" hidden="false" customHeight="false" outlineLevel="0" collapsed="false">
      <c r="L4416" s="31" t="n">
        <f aca="true">NORMSINV(RAND())*$G$7+$G$6</f>
        <v>-0.0241589125111775</v>
      </c>
    </row>
    <row r="4417" customFormat="false" ht="15" hidden="false" customHeight="false" outlineLevel="0" collapsed="false">
      <c r="L4417" s="31" t="n">
        <f aca="true">NORMSINV(RAND())*$G$7+$G$6</f>
        <v>-0.0102459845576447</v>
      </c>
    </row>
    <row r="4418" customFormat="false" ht="15" hidden="false" customHeight="false" outlineLevel="0" collapsed="false">
      <c r="L4418" s="31" t="n">
        <f aca="true">NORMSINV(RAND())*$G$7+$G$6</f>
        <v>0.0133608549150316</v>
      </c>
    </row>
    <row r="4419" customFormat="false" ht="15" hidden="false" customHeight="false" outlineLevel="0" collapsed="false">
      <c r="L4419" s="31" t="n">
        <f aca="true">NORMSINV(RAND())*$G$7+$G$6</f>
        <v>0.020788349557369</v>
      </c>
    </row>
    <row r="4420" customFormat="false" ht="15" hidden="false" customHeight="false" outlineLevel="0" collapsed="false">
      <c r="L4420" s="31" t="n">
        <f aca="true">NORMSINV(RAND())*$G$7+$G$6</f>
        <v>0.00600852788631914</v>
      </c>
    </row>
    <row r="4421" customFormat="false" ht="15" hidden="false" customHeight="false" outlineLevel="0" collapsed="false">
      <c r="L4421" s="31" t="n">
        <f aca="true">NORMSINV(RAND())*$G$7+$G$6</f>
        <v>0.0203273921265392</v>
      </c>
    </row>
    <row r="4422" customFormat="false" ht="15" hidden="false" customHeight="false" outlineLevel="0" collapsed="false">
      <c r="L4422" s="31" t="n">
        <f aca="true">NORMSINV(RAND())*$G$7+$G$6</f>
        <v>0.00386331506071787</v>
      </c>
    </row>
    <row r="4423" customFormat="false" ht="15" hidden="false" customHeight="false" outlineLevel="0" collapsed="false">
      <c r="L4423" s="31" t="n">
        <f aca="true">NORMSINV(RAND())*$G$7+$G$6</f>
        <v>0.0227769912840029</v>
      </c>
    </row>
    <row r="4424" customFormat="false" ht="15" hidden="false" customHeight="false" outlineLevel="0" collapsed="false">
      <c r="L4424" s="31" t="n">
        <f aca="true">NORMSINV(RAND())*$G$7+$G$6</f>
        <v>-0.014684199510542</v>
      </c>
    </row>
    <row r="4425" customFormat="false" ht="15" hidden="false" customHeight="false" outlineLevel="0" collapsed="false">
      <c r="L4425" s="31" t="n">
        <f aca="true">NORMSINV(RAND())*$G$7+$G$6</f>
        <v>0.0150221554174246</v>
      </c>
    </row>
    <row r="4426" customFormat="false" ht="15" hidden="false" customHeight="false" outlineLevel="0" collapsed="false">
      <c r="L4426" s="31" t="n">
        <f aca="true">NORMSINV(RAND())*$G$7+$G$6</f>
        <v>-0.00615061195125195</v>
      </c>
    </row>
    <row r="4427" customFormat="false" ht="15" hidden="false" customHeight="false" outlineLevel="0" collapsed="false">
      <c r="L4427" s="31" t="n">
        <f aca="true">NORMSINV(RAND())*$G$7+$G$6</f>
        <v>-0.00599532380601882</v>
      </c>
    </row>
    <row r="4428" customFormat="false" ht="15" hidden="false" customHeight="false" outlineLevel="0" collapsed="false">
      <c r="L4428" s="31" t="n">
        <f aca="true">NORMSINV(RAND())*$G$7+$G$6</f>
        <v>-0.00210175832670576</v>
      </c>
    </row>
    <row r="4429" customFormat="false" ht="15" hidden="false" customHeight="false" outlineLevel="0" collapsed="false">
      <c r="L4429" s="31" t="n">
        <f aca="true">NORMSINV(RAND())*$G$7+$G$6</f>
        <v>0.0226917547031188</v>
      </c>
    </row>
    <row r="4430" customFormat="false" ht="15" hidden="false" customHeight="false" outlineLevel="0" collapsed="false">
      <c r="L4430" s="31" t="n">
        <f aca="true">NORMSINV(RAND())*$G$7+$G$6</f>
        <v>0.00225274823956736</v>
      </c>
    </row>
    <row r="4431" customFormat="false" ht="15" hidden="false" customHeight="false" outlineLevel="0" collapsed="false">
      <c r="L4431" s="31" t="n">
        <f aca="true">NORMSINV(RAND())*$G$7+$G$6</f>
        <v>0.01085970335285</v>
      </c>
    </row>
    <row r="4432" customFormat="false" ht="15" hidden="false" customHeight="false" outlineLevel="0" collapsed="false">
      <c r="L4432" s="31" t="n">
        <f aca="true">NORMSINV(RAND())*$G$7+$G$6</f>
        <v>0.00923131645641009</v>
      </c>
    </row>
    <row r="4433" customFormat="false" ht="15" hidden="false" customHeight="false" outlineLevel="0" collapsed="false">
      <c r="L4433" s="31" t="n">
        <f aca="true">NORMSINV(RAND())*$G$7+$G$6</f>
        <v>0.00130899970984978</v>
      </c>
    </row>
    <row r="4434" customFormat="false" ht="15" hidden="false" customHeight="false" outlineLevel="0" collapsed="false">
      <c r="L4434" s="31" t="n">
        <f aca="true">NORMSINV(RAND())*$G$7+$G$6</f>
        <v>0.0160210272185085</v>
      </c>
    </row>
    <row r="4435" customFormat="false" ht="15" hidden="false" customHeight="false" outlineLevel="0" collapsed="false">
      <c r="L4435" s="31" t="n">
        <f aca="true">NORMSINV(RAND())*$G$7+$G$6</f>
        <v>0.0105406757683428</v>
      </c>
    </row>
    <row r="4436" customFormat="false" ht="15" hidden="false" customHeight="false" outlineLevel="0" collapsed="false">
      <c r="L4436" s="31" t="n">
        <f aca="true">NORMSINV(RAND())*$G$7+$G$6</f>
        <v>0.0171424254370205</v>
      </c>
    </row>
    <row r="4437" customFormat="false" ht="15" hidden="false" customHeight="false" outlineLevel="0" collapsed="false">
      <c r="L4437" s="31" t="n">
        <f aca="true">NORMSINV(RAND())*$G$7+$G$6</f>
        <v>0.022093085312636</v>
      </c>
    </row>
    <row r="4438" customFormat="false" ht="15" hidden="false" customHeight="false" outlineLevel="0" collapsed="false">
      <c r="L4438" s="31" t="n">
        <f aca="true">NORMSINV(RAND())*$G$7+$G$6</f>
        <v>-0.0203416548018742</v>
      </c>
    </row>
    <row r="4439" customFormat="false" ht="15" hidden="false" customHeight="false" outlineLevel="0" collapsed="false">
      <c r="L4439" s="31" t="n">
        <f aca="true">NORMSINV(RAND())*$G$7+$G$6</f>
        <v>-0.00691706557543065</v>
      </c>
    </row>
    <row r="4440" customFormat="false" ht="15" hidden="false" customHeight="false" outlineLevel="0" collapsed="false">
      <c r="L4440" s="31" t="n">
        <f aca="true">NORMSINV(RAND())*$G$7+$G$6</f>
        <v>-0.0255737123337127</v>
      </c>
    </row>
    <row r="4441" customFormat="false" ht="15" hidden="false" customHeight="false" outlineLevel="0" collapsed="false">
      <c r="L4441" s="31" t="n">
        <f aca="true">NORMSINV(RAND())*$G$7+$G$6</f>
        <v>-0.0065520703996556</v>
      </c>
    </row>
    <row r="4442" customFormat="false" ht="15" hidden="false" customHeight="false" outlineLevel="0" collapsed="false">
      <c r="L4442" s="31" t="n">
        <f aca="true">NORMSINV(RAND())*$G$7+$G$6</f>
        <v>-0.00598872148317013</v>
      </c>
    </row>
    <row r="4443" customFormat="false" ht="15" hidden="false" customHeight="false" outlineLevel="0" collapsed="false">
      <c r="L4443" s="31" t="n">
        <f aca="true">NORMSINV(RAND())*$G$7+$G$6</f>
        <v>-0.00472036306838415</v>
      </c>
    </row>
    <row r="4444" customFormat="false" ht="15" hidden="false" customHeight="false" outlineLevel="0" collapsed="false">
      <c r="L4444" s="31" t="n">
        <f aca="true">NORMSINV(RAND())*$G$7+$G$6</f>
        <v>-0.00672104524190607</v>
      </c>
    </row>
    <row r="4445" customFormat="false" ht="15" hidden="false" customHeight="false" outlineLevel="0" collapsed="false">
      <c r="L4445" s="31" t="n">
        <f aca="true">NORMSINV(RAND())*$G$7+$G$6</f>
        <v>-0.00508888064092857</v>
      </c>
    </row>
    <row r="4446" customFormat="false" ht="15" hidden="false" customHeight="false" outlineLevel="0" collapsed="false">
      <c r="L4446" s="31" t="n">
        <f aca="true">NORMSINV(RAND())*$G$7+$G$6</f>
        <v>-0.0272960267374044</v>
      </c>
    </row>
    <row r="4447" customFormat="false" ht="15" hidden="false" customHeight="false" outlineLevel="0" collapsed="false">
      <c r="L4447" s="31" t="n">
        <f aca="true">NORMSINV(RAND())*$G$7+$G$6</f>
        <v>-0.00289439213239827</v>
      </c>
    </row>
    <row r="4448" customFormat="false" ht="15" hidden="false" customHeight="false" outlineLevel="0" collapsed="false">
      <c r="L4448" s="31" t="n">
        <f aca="true">NORMSINV(RAND())*$G$7+$G$6</f>
        <v>0.0117607917877929</v>
      </c>
    </row>
    <row r="4449" customFormat="false" ht="15" hidden="false" customHeight="false" outlineLevel="0" collapsed="false">
      <c r="L4449" s="31" t="n">
        <f aca="true">NORMSINV(RAND())*$G$7+$G$6</f>
        <v>0.00237137991853982</v>
      </c>
    </row>
    <row r="4450" customFormat="false" ht="15" hidden="false" customHeight="false" outlineLevel="0" collapsed="false">
      <c r="L4450" s="31" t="n">
        <f aca="true">NORMSINV(RAND())*$G$7+$G$6</f>
        <v>-0.0176381452345807</v>
      </c>
    </row>
    <row r="4451" customFormat="false" ht="15" hidden="false" customHeight="false" outlineLevel="0" collapsed="false">
      <c r="L4451" s="31" t="n">
        <f aca="true">NORMSINV(RAND())*$G$7+$G$6</f>
        <v>-0.0167671916160633</v>
      </c>
    </row>
    <row r="4452" customFormat="false" ht="15" hidden="false" customHeight="false" outlineLevel="0" collapsed="false">
      <c r="L4452" s="31" t="n">
        <f aca="true">NORMSINV(RAND())*$G$7+$G$6</f>
        <v>0.017715827051418</v>
      </c>
    </row>
    <row r="4453" customFormat="false" ht="15" hidden="false" customHeight="false" outlineLevel="0" collapsed="false">
      <c r="L4453" s="31" t="n">
        <f aca="true">NORMSINV(RAND())*$G$7+$G$6</f>
        <v>-0.0181284377903462</v>
      </c>
    </row>
    <row r="4454" customFormat="false" ht="15" hidden="false" customHeight="false" outlineLevel="0" collapsed="false">
      <c r="L4454" s="31" t="n">
        <f aca="true">NORMSINV(RAND())*$G$7+$G$6</f>
        <v>-0.0169139499953575</v>
      </c>
    </row>
    <row r="4455" customFormat="false" ht="15" hidden="false" customHeight="false" outlineLevel="0" collapsed="false">
      <c r="L4455" s="31" t="n">
        <f aca="true">NORMSINV(RAND())*$G$7+$G$6</f>
        <v>0.0212253763046517</v>
      </c>
    </row>
    <row r="4456" customFormat="false" ht="15" hidden="false" customHeight="false" outlineLevel="0" collapsed="false">
      <c r="L4456" s="31" t="n">
        <f aca="true">NORMSINV(RAND())*$G$7+$G$6</f>
        <v>-0.0122211848767418</v>
      </c>
    </row>
    <row r="4457" customFormat="false" ht="15" hidden="false" customHeight="false" outlineLevel="0" collapsed="false">
      <c r="L4457" s="31" t="n">
        <f aca="true">NORMSINV(RAND())*$G$7+$G$6</f>
        <v>-0.00559124397198146</v>
      </c>
    </row>
    <row r="4458" customFormat="false" ht="15" hidden="false" customHeight="false" outlineLevel="0" collapsed="false">
      <c r="L4458" s="31" t="n">
        <f aca="true">NORMSINV(RAND())*$G$7+$G$6</f>
        <v>-0.00190440001782086</v>
      </c>
    </row>
    <row r="4459" customFormat="false" ht="15" hidden="false" customHeight="false" outlineLevel="0" collapsed="false">
      <c r="L4459" s="31" t="n">
        <f aca="true">NORMSINV(RAND())*$G$7+$G$6</f>
        <v>-0.00392441726406093</v>
      </c>
    </row>
    <row r="4460" customFormat="false" ht="15" hidden="false" customHeight="false" outlineLevel="0" collapsed="false">
      <c r="L4460" s="31" t="n">
        <f aca="true">NORMSINV(RAND())*$G$7+$G$6</f>
        <v>-0.00402563115162855</v>
      </c>
    </row>
    <row r="4461" customFormat="false" ht="15" hidden="false" customHeight="false" outlineLevel="0" collapsed="false">
      <c r="L4461" s="31" t="n">
        <f aca="true">NORMSINV(RAND())*$G$7+$G$6</f>
        <v>0.0178505905978134</v>
      </c>
    </row>
    <row r="4462" customFormat="false" ht="15" hidden="false" customHeight="false" outlineLevel="0" collapsed="false">
      <c r="L4462" s="31" t="n">
        <f aca="true">NORMSINV(RAND())*$G$7+$G$6</f>
        <v>0.00721051283572033</v>
      </c>
    </row>
    <row r="4463" customFormat="false" ht="15" hidden="false" customHeight="false" outlineLevel="0" collapsed="false">
      <c r="L4463" s="31" t="n">
        <f aca="true">NORMSINV(RAND())*$G$7+$G$6</f>
        <v>-0.00314120038097597</v>
      </c>
    </row>
    <row r="4464" customFormat="false" ht="15" hidden="false" customHeight="false" outlineLevel="0" collapsed="false">
      <c r="L4464" s="31" t="n">
        <f aca="true">NORMSINV(RAND())*$G$7+$G$6</f>
        <v>-0.00465854412898129</v>
      </c>
    </row>
    <row r="4465" customFormat="false" ht="15" hidden="false" customHeight="false" outlineLevel="0" collapsed="false">
      <c r="L4465" s="31" t="n">
        <f aca="true">NORMSINV(RAND())*$G$7+$G$6</f>
        <v>0.0109464985808806</v>
      </c>
    </row>
    <row r="4466" customFormat="false" ht="15" hidden="false" customHeight="false" outlineLevel="0" collapsed="false">
      <c r="L4466" s="31" t="n">
        <f aca="true">NORMSINV(RAND())*$G$7+$G$6</f>
        <v>0.0161511909904203</v>
      </c>
    </row>
    <row r="4467" customFormat="false" ht="15" hidden="false" customHeight="false" outlineLevel="0" collapsed="false">
      <c r="L4467" s="31" t="n">
        <f aca="true">NORMSINV(RAND())*$G$7+$G$6</f>
        <v>0.0158486588800863</v>
      </c>
    </row>
    <row r="4468" customFormat="false" ht="15" hidden="false" customHeight="false" outlineLevel="0" collapsed="false">
      <c r="L4468" s="31" t="n">
        <f aca="true">NORMSINV(RAND())*$G$7+$G$6</f>
        <v>-0.0316430337832296</v>
      </c>
    </row>
    <row r="4469" customFormat="false" ht="15" hidden="false" customHeight="false" outlineLevel="0" collapsed="false">
      <c r="L4469" s="31" t="n">
        <f aca="true">NORMSINV(RAND())*$G$7+$G$6</f>
        <v>-0.0137521079702024</v>
      </c>
    </row>
    <row r="4470" customFormat="false" ht="15" hidden="false" customHeight="false" outlineLevel="0" collapsed="false">
      <c r="L4470" s="31" t="n">
        <f aca="true">NORMSINV(RAND())*$G$7+$G$6</f>
        <v>-0.00673442536661704</v>
      </c>
    </row>
    <row r="4471" customFormat="false" ht="15" hidden="false" customHeight="false" outlineLevel="0" collapsed="false">
      <c r="L4471" s="31" t="n">
        <f aca="true">NORMSINV(RAND())*$G$7+$G$6</f>
        <v>0.00289323047011432</v>
      </c>
    </row>
    <row r="4472" customFormat="false" ht="15" hidden="false" customHeight="false" outlineLevel="0" collapsed="false">
      <c r="L4472" s="31" t="n">
        <f aca="true">NORMSINV(RAND())*$G$7+$G$6</f>
        <v>-0.0169553310794475</v>
      </c>
    </row>
    <row r="4473" customFormat="false" ht="15" hidden="false" customHeight="false" outlineLevel="0" collapsed="false">
      <c r="L4473" s="31" t="n">
        <f aca="true">NORMSINV(RAND())*$G$7+$G$6</f>
        <v>0.00204690804538968</v>
      </c>
    </row>
    <row r="4474" customFormat="false" ht="15" hidden="false" customHeight="false" outlineLevel="0" collapsed="false">
      <c r="L4474" s="31" t="n">
        <f aca="true">NORMSINV(RAND())*$G$7+$G$6</f>
        <v>0.0179747277446369</v>
      </c>
    </row>
    <row r="4475" customFormat="false" ht="15" hidden="false" customHeight="false" outlineLevel="0" collapsed="false">
      <c r="L4475" s="31" t="n">
        <f aca="true">NORMSINV(RAND())*$G$7+$G$6</f>
        <v>-0.0017523458619028</v>
      </c>
    </row>
    <row r="4476" customFormat="false" ht="15" hidden="false" customHeight="false" outlineLevel="0" collapsed="false">
      <c r="L4476" s="31" t="n">
        <f aca="true">NORMSINV(RAND())*$G$7+$G$6</f>
        <v>0.00283964375010069</v>
      </c>
    </row>
    <row r="4477" customFormat="false" ht="15" hidden="false" customHeight="false" outlineLevel="0" collapsed="false">
      <c r="L4477" s="31" t="n">
        <f aca="true">NORMSINV(RAND())*$G$7+$G$6</f>
        <v>0.00380286653572558</v>
      </c>
    </row>
    <row r="4478" customFormat="false" ht="15" hidden="false" customHeight="false" outlineLevel="0" collapsed="false">
      <c r="L4478" s="31" t="n">
        <f aca="true">NORMSINV(RAND())*$G$7+$G$6</f>
        <v>-0.00809051236830739</v>
      </c>
    </row>
    <row r="4479" customFormat="false" ht="15" hidden="false" customHeight="false" outlineLevel="0" collapsed="false">
      <c r="L4479" s="31" t="n">
        <f aca="true">NORMSINV(RAND())*$G$7+$G$6</f>
        <v>-0.00618508835743479</v>
      </c>
    </row>
    <row r="4480" customFormat="false" ht="15" hidden="false" customHeight="false" outlineLevel="0" collapsed="false">
      <c r="L4480" s="31" t="n">
        <f aca="true">NORMSINV(RAND())*$G$7+$G$6</f>
        <v>-0.0234431566268572</v>
      </c>
    </row>
    <row r="4481" customFormat="false" ht="15" hidden="false" customHeight="false" outlineLevel="0" collapsed="false">
      <c r="L4481" s="31" t="n">
        <f aca="true">NORMSINV(RAND())*$G$7+$G$6</f>
        <v>0.0264562632407746</v>
      </c>
    </row>
    <row r="4482" customFormat="false" ht="15" hidden="false" customHeight="false" outlineLevel="0" collapsed="false">
      <c r="L4482" s="31" t="n">
        <f aca="true">NORMSINV(RAND())*$G$7+$G$6</f>
        <v>-0.0115121448123457</v>
      </c>
    </row>
    <row r="4483" customFormat="false" ht="15" hidden="false" customHeight="false" outlineLevel="0" collapsed="false">
      <c r="L4483" s="31" t="n">
        <f aca="true">NORMSINV(RAND())*$G$7+$G$6</f>
        <v>0.00876565110627225</v>
      </c>
    </row>
    <row r="4484" customFormat="false" ht="15" hidden="false" customHeight="false" outlineLevel="0" collapsed="false">
      <c r="L4484" s="31" t="n">
        <f aca="true">NORMSINV(RAND())*$G$7+$G$6</f>
        <v>0.00926537804226403</v>
      </c>
    </row>
    <row r="4485" customFormat="false" ht="15" hidden="false" customHeight="false" outlineLevel="0" collapsed="false">
      <c r="L4485" s="31" t="n">
        <f aca="true">NORMSINV(RAND())*$G$7+$G$6</f>
        <v>-0.0256107941950468</v>
      </c>
    </row>
    <row r="4486" customFormat="false" ht="15" hidden="false" customHeight="false" outlineLevel="0" collapsed="false">
      <c r="L4486" s="31" t="n">
        <f aca="true">NORMSINV(RAND())*$G$7+$G$6</f>
        <v>0.023452726849067</v>
      </c>
    </row>
    <row r="4487" customFormat="false" ht="15" hidden="false" customHeight="false" outlineLevel="0" collapsed="false">
      <c r="L4487" s="31" t="n">
        <f aca="true">NORMSINV(RAND())*$G$7+$G$6</f>
        <v>0.00435029997696901</v>
      </c>
    </row>
    <row r="4488" customFormat="false" ht="15" hidden="false" customHeight="false" outlineLevel="0" collapsed="false">
      <c r="L4488" s="31" t="n">
        <f aca="true">NORMSINV(RAND())*$G$7+$G$6</f>
        <v>0.000315340179114235</v>
      </c>
    </row>
    <row r="4489" customFormat="false" ht="15" hidden="false" customHeight="false" outlineLevel="0" collapsed="false">
      <c r="L4489" s="31" t="n">
        <f aca="true">NORMSINV(RAND())*$G$7+$G$6</f>
        <v>0.00778584927548503</v>
      </c>
    </row>
    <row r="4490" customFormat="false" ht="15" hidden="false" customHeight="false" outlineLevel="0" collapsed="false">
      <c r="L4490" s="31" t="n">
        <f aca="true">NORMSINV(RAND())*$G$7+$G$6</f>
        <v>0.00942171042527951</v>
      </c>
    </row>
    <row r="4491" customFormat="false" ht="15" hidden="false" customHeight="false" outlineLevel="0" collapsed="false">
      <c r="L4491" s="31" t="n">
        <f aca="true">NORMSINV(RAND())*$G$7+$G$6</f>
        <v>0.00581985094371545</v>
      </c>
    </row>
    <row r="4492" customFormat="false" ht="15" hidden="false" customHeight="false" outlineLevel="0" collapsed="false">
      <c r="L4492" s="31" t="n">
        <f aca="true">NORMSINV(RAND())*$G$7+$G$6</f>
        <v>-0.0222295171342604</v>
      </c>
    </row>
    <row r="4493" customFormat="false" ht="15" hidden="false" customHeight="false" outlineLevel="0" collapsed="false">
      <c r="L4493" s="31" t="n">
        <f aca="true">NORMSINV(RAND())*$G$7+$G$6</f>
        <v>0.0120647196865963</v>
      </c>
    </row>
    <row r="4494" customFormat="false" ht="15" hidden="false" customHeight="false" outlineLevel="0" collapsed="false">
      <c r="L4494" s="31" t="n">
        <f aca="true">NORMSINV(RAND())*$G$7+$G$6</f>
        <v>0.0103395677336577</v>
      </c>
    </row>
    <row r="4495" customFormat="false" ht="15" hidden="false" customHeight="false" outlineLevel="0" collapsed="false">
      <c r="L4495" s="31" t="n">
        <f aca="true">NORMSINV(RAND())*$G$7+$G$6</f>
        <v>0.0127673510454677</v>
      </c>
    </row>
    <row r="4496" customFormat="false" ht="15" hidden="false" customHeight="false" outlineLevel="0" collapsed="false">
      <c r="L4496" s="31" t="n">
        <f aca="true">NORMSINV(RAND())*$G$7+$G$6</f>
        <v>0.00100165984922256</v>
      </c>
    </row>
    <row r="4497" customFormat="false" ht="15" hidden="false" customHeight="false" outlineLevel="0" collapsed="false">
      <c r="L4497" s="31" t="n">
        <f aca="true">NORMSINV(RAND())*$G$7+$G$6</f>
        <v>-0.0144306177318157</v>
      </c>
    </row>
    <row r="4498" customFormat="false" ht="15" hidden="false" customHeight="false" outlineLevel="0" collapsed="false">
      <c r="L4498" s="31" t="n">
        <f aca="true">NORMSINV(RAND())*$G$7+$G$6</f>
        <v>0.0320649194845225</v>
      </c>
    </row>
    <row r="4499" customFormat="false" ht="15" hidden="false" customHeight="false" outlineLevel="0" collapsed="false">
      <c r="L4499" s="31" t="n">
        <f aca="true">NORMSINV(RAND())*$G$7+$G$6</f>
        <v>-0.0269364410765211</v>
      </c>
    </row>
    <row r="4500" customFormat="false" ht="15" hidden="false" customHeight="false" outlineLevel="0" collapsed="false">
      <c r="L4500" s="31" t="n">
        <f aca="true">NORMSINV(RAND())*$G$7+$G$6</f>
        <v>0.0147624166272851</v>
      </c>
    </row>
    <row r="4501" customFormat="false" ht="15" hidden="false" customHeight="false" outlineLevel="0" collapsed="false">
      <c r="L4501" s="31" t="n">
        <f aca="true">NORMSINV(RAND())*$G$7+$G$6</f>
        <v>-0.00760291296211328</v>
      </c>
    </row>
    <row r="4502" customFormat="false" ht="15" hidden="false" customHeight="false" outlineLevel="0" collapsed="false">
      <c r="L4502" s="31" t="n">
        <f aca="true">NORMSINV(RAND())*$G$7+$G$6</f>
        <v>0.0208841638007191</v>
      </c>
    </row>
    <row r="4503" customFormat="false" ht="15" hidden="false" customHeight="false" outlineLevel="0" collapsed="false">
      <c r="L4503" s="31" t="n">
        <f aca="true">NORMSINV(RAND())*$G$7+$G$6</f>
        <v>0.00170810878126197</v>
      </c>
    </row>
    <row r="4504" customFormat="false" ht="15" hidden="false" customHeight="false" outlineLevel="0" collapsed="false">
      <c r="L4504" s="31" t="n">
        <f aca="true">NORMSINV(RAND())*$G$7+$G$6</f>
        <v>-0.00995601770986669</v>
      </c>
    </row>
    <row r="4505" customFormat="false" ht="15" hidden="false" customHeight="false" outlineLevel="0" collapsed="false">
      <c r="L4505" s="31" t="n">
        <f aca="true">NORMSINV(RAND())*$G$7+$G$6</f>
        <v>0.0337986610415134</v>
      </c>
    </row>
    <row r="4506" customFormat="false" ht="15" hidden="false" customHeight="false" outlineLevel="0" collapsed="false">
      <c r="L4506" s="31" t="n">
        <f aca="true">NORMSINV(RAND())*$G$7+$G$6</f>
        <v>-0.0113611450448239</v>
      </c>
    </row>
    <row r="4507" customFormat="false" ht="15" hidden="false" customHeight="false" outlineLevel="0" collapsed="false">
      <c r="L4507" s="31" t="n">
        <f aca="true">NORMSINV(RAND())*$G$7+$G$6</f>
        <v>-0.0200068680181406</v>
      </c>
    </row>
    <row r="4508" customFormat="false" ht="15" hidden="false" customHeight="false" outlineLevel="0" collapsed="false">
      <c r="L4508" s="31" t="n">
        <f aca="true">NORMSINV(RAND())*$G$7+$G$6</f>
        <v>0.0199353586150948</v>
      </c>
    </row>
    <row r="4509" customFormat="false" ht="15" hidden="false" customHeight="false" outlineLevel="0" collapsed="false">
      <c r="L4509" s="31" t="n">
        <f aca="true">NORMSINV(RAND())*$G$7+$G$6</f>
        <v>-0.00317225666084633</v>
      </c>
    </row>
    <row r="4510" customFormat="false" ht="15" hidden="false" customHeight="false" outlineLevel="0" collapsed="false">
      <c r="L4510" s="31" t="n">
        <f aca="true">NORMSINV(RAND())*$G$7+$G$6</f>
        <v>-0.0201909726576555</v>
      </c>
    </row>
    <row r="4511" customFormat="false" ht="15" hidden="false" customHeight="false" outlineLevel="0" collapsed="false">
      <c r="L4511" s="31" t="n">
        <f aca="true">NORMSINV(RAND())*$G$7+$G$6</f>
        <v>-0.0153847392665366</v>
      </c>
    </row>
    <row r="4512" customFormat="false" ht="15" hidden="false" customHeight="false" outlineLevel="0" collapsed="false">
      <c r="L4512" s="31" t="n">
        <f aca="true">NORMSINV(RAND())*$G$7+$G$6</f>
        <v>-0.00459608559295152</v>
      </c>
    </row>
    <row r="4513" customFormat="false" ht="15" hidden="false" customHeight="false" outlineLevel="0" collapsed="false">
      <c r="L4513" s="31" t="n">
        <f aca="true">NORMSINV(RAND())*$G$7+$G$6</f>
        <v>0.0127179324140246</v>
      </c>
    </row>
    <row r="4514" customFormat="false" ht="15" hidden="false" customHeight="false" outlineLevel="0" collapsed="false">
      <c r="L4514" s="31" t="n">
        <f aca="true">NORMSINV(RAND())*$G$7+$G$6</f>
        <v>-0.00273002554175742</v>
      </c>
    </row>
    <row r="4515" customFormat="false" ht="15" hidden="false" customHeight="false" outlineLevel="0" collapsed="false">
      <c r="L4515" s="31" t="n">
        <f aca="true">NORMSINV(RAND())*$G$7+$G$6</f>
        <v>0.0102412372774705</v>
      </c>
    </row>
    <row r="4516" customFormat="false" ht="15" hidden="false" customHeight="false" outlineLevel="0" collapsed="false">
      <c r="L4516" s="31" t="n">
        <f aca="true">NORMSINV(RAND())*$G$7+$G$6</f>
        <v>-0.0271435490978318</v>
      </c>
    </row>
    <row r="4517" customFormat="false" ht="15" hidden="false" customHeight="false" outlineLevel="0" collapsed="false">
      <c r="L4517" s="31" t="n">
        <f aca="true">NORMSINV(RAND())*$G$7+$G$6</f>
        <v>0.0096650690547778</v>
      </c>
    </row>
    <row r="4518" customFormat="false" ht="15" hidden="false" customHeight="false" outlineLevel="0" collapsed="false">
      <c r="L4518" s="31" t="n">
        <f aca="true">NORMSINV(RAND())*$G$7+$G$6</f>
        <v>-0.00143973795287871</v>
      </c>
    </row>
    <row r="4519" customFormat="false" ht="15" hidden="false" customHeight="false" outlineLevel="0" collapsed="false">
      <c r="L4519" s="31" t="n">
        <f aca="true">NORMSINV(RAND())*$G$7+$G$6</f>
        <v>0.000969922208240109</v>
      </c>
    </row>
    <row r="4520" customFormat="false" ht="15" hidden="false" customHeight="false" outlineLevel="0" collapsed="false">
      <c r="L4520" s="31" t="n">
        <f aca="true">NORMSINV(RAND())*$G$7+$G$6</f>
        <v>0.0123931902132872</v>
      </c>
    </row>
    <row r="4521" customFormat="false" ht="15" hidden="false" customHeight="false" outlineLevel="0" collapsed="false">
      <c r="L4521" s="31" t="n">
        <f aca="true">NORMSINV(RAND())*$G$7+$G$6</f>
        <v>-0.0222573887995356</v>
      </c>
    </row>
    <row r="4522" customFormat="false" ht="15" hidden="false" customHeight="false" outlineLevel="0" collapsed="false">
      <c r="L4522" s="31" t="n">
        <f aca="true">NORMSINV(RAND())*$G$7+$G$6</f>
        <v>-0.00407959757343718</v>
      </c>
    </row>
    <row r="4523" customFormat="false" ht="15" hidden="false" customHeight="false" outlineLevel="0" collapsed="false">
      <c r="L4523" s="31" t="n">
        <f aca="true">NORMSINV(RAND())*$G$7+$G$6</f>
        <v>0.0108345534009637</v>
      </c>
    </row>
    <row r="4524" customFormat="false" ht="15" hidden="false" customHeight="false" outlineLevel="0" collapsed="false">
      <c r="L4524" s="31" t="n">
        <f aca="true">NORMSINV(RAND())*$G$7+$G$6</f>
        <v>-0.00777933299606172</v>
      </c>
    </row>
    <row r="4525" customFormat="false" ht="15" hidden="false" customHeight="false" outlineLevel="0" collapsed="false">
      <c r="L4525" s="31" t="n">
        <f aca="true">NORMSINV(RAND())*$G$7+$G$6</f>
        <v>-0.00434283430667646</v>
      </c>
    </row>
    <row r="4526" customFormat="false" ht="15" hidden="false" customHeight="false" outlineLevel="0" collapsed="false">
      <c r="L4526" s="31" t="n">
        <f aca="true">NORMSINV(RAND())*$G$7+$G$6</f>
        <v>0.0307636990855839</v>
      </c>
    </row>
    <row r="4527" customFormat="false" ht="15" hidden="false" customHeight="false" outlineLevel="0" collapsed="false">
      <c r="L4527" s="31" t="n">
        <f aca="true">NORMSINV(RAND())*$G$7+$G$6</f>
        <v>-0.00306236317135289</v>
      </c>
    </row>
    <row r="4528" customFormat="false" ht="15" hidden="false" customHeight="false" outlineLevel="0" collapsed="false">
      <c r="L4528" s="31" t="n">
        <f aca="true">NORMSINV(RAND())*$G$7+$G$6</f>
        <v>0.00496605885905922</v>
      </c>
    </row>
    <row r="4529" customFormat="false" ht="15" hidden="false" customHeight="false" outlineLevel="0" collapsed="false">
      <c r="L4529" s="31" t="n">
        <f aca="true">NORMSINV(RAND())*$G$7+$G$6</f>
        <v>-0.00516334423240072</v>
      </c>
    </row>
    <row r="4530" customFormat="false" ht="15" hidden="false" customHeight="false" outlineLevel="0" collapsed="false">
      <c r="L4530" s="31" t="n">
        <f aca="true">NORMSINV(RAND())*$G$7+$G$6</f>
        <v>-0.0273101503016749</v>
      </c>
    </row>
    <row r="4531" customFormat="false" ht="15" hidden="false" customHeight="false" outlineLevel="0" collapsed="false">
      <c r="L4531" s="31" t="n">
        <f aca="true">NORMSINV(RAND())*$G$7+$G$6</f>
        <v>0.0132316288548167</v>
      </c>
    </row>
    <row r="4532" customFormat="false" ht="15" hidden="false" customHeight="false" outlineLevel="0" collapsed="false">
      <c r="L4532" s="31" t="n">
        <f aca="true">NORMSINV(RAND())*$G$7+$G$6</f>
        <v>-0.00510535500766492</v>
      </c>
    </row>
    <row r="4533" customFormat="false" ht="15" hidden="false" customHeight="false" outlineLevel="0" collapsed="false">
      <c r="L4533" s="31" t="n">
        <f aca="true">NORMSINV(RAND())*$G$7+$G$6</f>
        <v>-0.0166847941641669</v>
      </c>
    </row>
    <row r="4534" customFormat="false" ht="15" hidden="false" customHeight="false" outlineLevel="0" collapsed="false">
      <c r="L4534" s="31" t="n">
        <f aca="true">NORMSINV(RAND())*$G$7+$G$6</f>
        <v>-0.00708665848893968</v>
      </c>
    </row>
    <row r="4535" customFormat="false" ht="15" hidden="false" customHeight="false" outlineLevel="0" collapsed="false">
      <c r="L4535" s="31" t="n">
        <f aca="true">NORMSINV(RAND())*$G$7+$G$6</f>
        <v>0.0088379900317254</v>
      </c>
    </row>
    <row r="4536" customFormat="false" ht="15" hidden="false" customHeight="false" outlineLevel="0" collapsed="false">
      <c r="L4536" s="31" t="n">
        <f aca="true">NORMSINV(RAND())*$G$7+$G$6</f>
        <v>0.0132862696517914</v>
      </c>
    </row>
    <row r="4537" customFormat="false" ht="15" hidden="false" customHeight="false" outlineLevel="0" collapsed="false">
      <c r="L4537" s="31" t="n">
        <f aca="true">NORMSINV(RAND())*$G$7+$G$6</f>
        <v>-0.023950051357489</v>
      </c>
    </row>
    <row r="4538" customFormat="false" ht="15" hidden="false" customHeight="false" outlineLevel="0" collapsed="false">
      <c r="L4538" s="31" t="n">
        <f aca="true">NORMSINV(RAND())*$G$7+$G$6</f>
        <v>-0.0317977715384266</v>
      </c>
    </row>
    <row r="4539" customFormat="false" ht="15" hidden="false" customHeight="false" outlineLevel="0" collapsed="false">
      <c r="L4539" s="31" t="n">
        <f aca="true">NORMSINV(RAND())*$G$7+$G$6</f>
        <v>-0.0277553179472205</v>
      </c>
    </row>
    <row r="4540" customFormat="false" ht="15" hidden="false" customHeight="false" outlineLevel="0" collapsed="false">
      <c r="L4540" s="31" t="n">
        <f aca="true">NORMSINV(RAND())*$G$7+$G$6</f>
        <v>0.00261938621869348</v>
      </c>
    </row>
    <row r="4541" customFormat="false" ht="15" hidden="false" customHeight="false" outlineLevel="0" collapsed="false">
      <c r="L4541" s="31" t="n">
        <f aca="true">NORMSINV(RAND())*$G$7+$G$6</f>
        <v>-0.0130382285806843</v>
      </c>
    </row>
    <row r="4542" customFormat="false" ht="15" hidden="false" customHeight="false" outlineLevel="0" collapsed="false">
      <c r="L4542" s="31" t="n">
        <f aca="true">NORMSINV(RAND())*$G$7+$G$6</f>
        <v>-0.0103304769417733</v>
      </c>
    </row>
    <row r="4543" customFormat="false" ht="15" hidden="false" customHeight="false" outlineLevel="0" collapsed="false">
      <c r="L4543" s="31" t="n">
        <f aca="true">NORMSINV(RAND())*$G$7+$G$6</f>
        <v>-0.00822104425724108</v>
      </c>
    </row>
    <row r="4544" customFormat="false" ht="15" hidden="false" customHeight="false" outlineLevel="0" collapsed="false">
      <c r="L4544" s="31" t="n">
        <f aca="true">NORMSINV(RAND())*$G$7+$G$6</f>
        <v>0.00417211043707141</v>
      </c>
    </row>
    <row r="4545" customFormat="false" ht="15" hidden="false" customHeight="false" outlineLevel="0" collapsed="false">
      <c r="L4545" s="31" t="n">
        <f aca="true">NORMSINV(RAND())*$G$7+$G$6</f>
        <v>-0.021320170215779</v>
      </c>
    </row>
    <row r="4546" customFormat="false" ht="15" hidden="false" customHeight="false" outlineLevel="0" collapsed="false">
      <c r="L4546" s="31" t="n">
        <f aca="true">NORMSINV(RAND())*$G$7+$G$6</f>
        <v>-0.0112152201165248</v>
      </c>
    </row>
    <row r="4547" customFormat="false" ht="15" hidden="false" customHeight="false" outlineLevel="0" collapsed="false">
      <c r="L4547" s="31" t="n">
        <f aca="true">NORMSINV(RAND())*$G$7+$G$6</f>
        <v>0.0161124998470436</v>
      </c>
    </row>
    <row r="4548" customFormat="false" ht="15" hidden="false" customHeight="false" outlineLevel="0" collapsed="false">
      <c r="L4548" s="31" t="n">
        <f aca="true">NORMSINV(RAND())*$G$7+$G$6</f>
        <v>0.00452084359067602</v>
      </c>
    </row>
    <row r="4549" customFormat="false" ht="15" hidden="false" customHeight="false" outlineLevel="0" collapsed="false">
      <c r="L4549" s="31" t="n">
        <f aca="true">NORMSINV(RAND())*$G$7+$G$6</f>
        <v>0.0142588778838985</v>
      </c>
    </row>
    <row r="4550" customFormat="false" ht="15" hidden="false" customHeight="false" outlineLevel="0" collapsed="false">
      <c r="L4550" s="31" t="n">
        <f aca="true">NORMSINV(RAND())*$G$7+$G$6</f>
        <v>-0.00827435209642023</v>
      </c>
    </row>
    <row r="4551" customFormat="false" ht="15" hidden="false" customHeight="false" outlineLevel="0" collapsed="false">
      <c r="L4551" s="31" t="n">
        <f aca="true">NORMSINV(RAND())*$G$7+$G$6</f>
        <v>0.0193332163735978</v>
      </c>
    </row>
    <row r="4552" customFormat="false" ht="15" hidden="false" customHeight="false" outlineLevel="0" collapsed="false">
      <c r="L4552" s="31" t="n">
        <f aca="true">NORMSINV(RAND())*$G$7+$G$6</f>
        <v>-0.00585991135609785</v>
      </c>
    </row>
    <row r="4553" customFormat="false" ht="15" hidden="false" customHeight="false" outlineLevel="0" collapsed="false">
      <c r="L4553" s="31" t="n">
        <f aca="true">NORMSINV(RAND())*$G$7+$G$6</f>
        <v>-0.0029873507789507</v>
      </c>
    </row>
    <row r="4554" customFormat="false" ht="15" hidden="false" customHeight="false" outlineLevel="0" collapsed="false">
      <c r="L4554" s="31" t="n">
        <f aca="true">NORMSINV(RAND())*$G$7+$G$6</f>
        <v>-0.000979516663288072</v>
      </c>
    </row>
    <row r="4555" customFormat="false" ht="15" hidden="false" customHeight="false" outlineLevel="0" collapsed="false">
      <c r="L4555" s="31" t="n">
        <f aca="true">NORMSINV(RAND())*$G$7+$G$6</f>
        <v>0.02651376061138</v>
      </c>
    </row>
    <row r="4556" customFormat="false" ht="15" hidden="false" customHeight="false" outlineLevel="0" collapsed="false">
      <c r="L4556" s="31" t="n">
        <f aca="true">NORMSINV(RAND())*$G$7+$G$6</f>
        <v>0.0162761169240989</v>
      </c>
    </row>
    <row r="4557" customFormat="false" ht="15" hidden="false" customHeight="false" outlineLevel="0" collapsed="false">
      <c r="L4557" s="31" t="n">
        <f aca="true">NORMSINV(RAND())*$G$7+$G$6</f>
        <v>0.000324279265096808</v>
      </c>
    </row>
    <row r="4558" customFormat="false" ht="15" hidden="false" customHeight="false" outlineLevel="0" collapsed="false">
      <c r="L4558" s="31" t="n">
        <f aca="true">NORMSINV(RAND())*$G$7+$G$6</f>
        <v>0.00235943127639374</v>
      </c>
    </row>
    <row r="4559" customFormat="false" ht="15" hidden="false" customHeight="false" outlineLevel="0" collapsed="false">
      <c r="L4559" s="31" t="n">
        <f aca="true">NORMSINV(RAND())*$G$7+$G$6</f>
        <v>-0.00387384982723077</v>
      </c>
    </row>
    <row r="4560" customFormat="false" ht="15" hidden="false" customHeight="false" outlineLevel="0" collapsed="false">
      <c r="L4560" s="31" t="n">
        <f aca="true">NORMSINV(RAND())*$G$7+$G$6</f>
        <v>-0.00498501389582846</v>
      </c>
    </row>
    <row r="4561" customFormat="false" ht="15" hidden="false" customHeight="false" outlineLevel="0" collapsed="false">
      <c r="L4561" s="31" t="n">
        <f aca="true">NORMSINV(RAND())*$G$7+$G$6</f>
        <v>-0.00254230284212304</v>
      </c>
    </row>
    <row r="4562" customFormat="false" ht="15" hidden="false" customHeight="false" outlineLevel="0" collapsed="false">
      <c r="L4562" s="31" t="n">
        <f aca="true">NORMSINV(RAND())*$G$7+$G$6</f>
        <v>0.00683471975008563</v>
      </c>
    </row>
    <row r="4563" customFormat="false" ht="15" hidden="false" customHeight="false" outlineLevel="0" collapsed="false">
      <c r="L4563" s="31" t="n">
        <f aca="true">NORMSINV(RAND())*$G$7+$G$6</f>
        <v>0.00855674769375644</v>
      </c>
    </row>
    <row r="4564" customFormat="false" ht="15" hidden="false" customHeight="false" outlineLevel="0" collapsed="false">
      <c r="L4564" s="31" t="n">
        <f aca="true">NORMSINV(RAND())*$G$7+$G$6</f>
        <v>0.00579959848788116</v>
      </c>
    </row>
    <row r="4565" customFormat="false" ht="15" hidden="false" customHeight="false" outlineLevel="0" collapsed="false">
      <c r="L4565" s="31" t="n">
        <f aca="true">NORMSINV(RAND())*$G$7+$G$6</f>
        <v>0.0272011451621796</v>
      </c>
    </row>
    <row r="4566" customFormat="false" ht="15" hidden="false" customHeight="false" outlineLevel="0" collapsed="false">
      <c r="L4566" s="31" t="n">
        <f aca="true">NORMSINV(RAND())*$G$7+$G$6</f>
        <v>0.000200909566491383</v>
      </c>
    </row>
    <row r="4567" customFormat="false" ht="15" hidden="false" customHeight="false" outlineLevel="0" collapsed="false">
      <c r="L4567" s="31" t="n">
        <f aca="true">NORMSINV(RAND())*$G$7+$G$6</f>
        <v>-0.00632598318555218</v>
      </c>
    </row>
    <row r="4568" customFormat="false" ht="15" hidden="false" customHeight="false" outlineLevel="0" collapsed="false">
      <c r="L4568" s="31" t="n">
        <f aca="true">NORMSINV(RAND())*$G$7+$G$6</f>
        <v>-0.00913470590314687</v>
      </c>
    </row>
    <row r="4569" customFormat="false" ht="15" hidden="false" customHeight="false" outlineLevel="0" collapsed="false">
      <c r="L4569" s="31" t="n">
        <f aca="true">NORMSINV(RAND())*$G$7+$G$6</f>
        <v>-0.00751583417506541</v>
      </c>
    </row>
    <row r="4570" customFormat="false" ht="15" hidden="false" customHeight="false" outlineLevel="0" collapsed="false">
      <c r="L4570" s="31" t="n">
        <f aca="true">NORMSINV(RAND())*$G$7+$G$6</f>
        <v>0.00459482182491756</v>
      </c>
    </row>
    <row r="4571" customFormat="false" ht="15" hidden="false" customHeight="false" outlineLevel="0" collapsed="false">
      <c r="L4571" s="31" t="n">
        <f aca="true">NORMSINV(RAND())*$G$7+$G$6</f>
        <v>-0.00810030912102797</v>
      </c>
    </row>
    <row r="4572" customFormat="false" ht="15" hidden="false" customHeight="false" outlineLevel="0" collapsed="false">
      <c r="L4572" s="31" t="n">
        <f aca="true">NORMSINV(RAND())*$G$7+$G$6</f>
        <v>0.00347639390777515</v>
      </c>
    </row>
    <row r="4573" customFormat="false" ht="15" hidden="false" customHeight="false" outlineLevel="0" collapsed="false">
      <c r="L4573" s="31" t="n">
        <f aca="true">NORMSINV(RAND())*$G$7+$G$6</f>
        <v>-0.00448465312412367</v>
      </c>
    </row>
    <row r="4574" customFormat="false" ht="15" hidden="false" customHeight="false" outlineLevel="0" collapsed="false">
      <c r="L4574" s="31" t="n">
        <f aca="true">NORMSINV(RAND())*$G$7+$G$6</f>
        <v>-0.00860984214180961</v>
      </c>
    </row>
    <row r="4575" customFormat="false" ht="15" hidden="false" customHeight="false" outlineLevel="0" collapsed="false">
      <c r="L4575" s="31" t="n">
        <f aca="true">NORMSINV(RAND())*$G$7+$G$6</f>
        <v>0.00942455477045378</v>
      </c>
    </row>
    <row r="4576" customFormat="false" ht="15" hidden="false" customHeight="false" outlineLevel="0" collapsed="false">
      <c r="L4576" s="31" t="n">
        <f aca="true">NORMSINV(RAND())*$G$7+$G$6</f>
        <v>-0.00740467141291637</v>
      </c>
    </row>
    <row r="4577" customFormat="false" ht="15" hidden="false" customHeight="false" outlineLevel="0" collapsed="false">
      <c r="L4577" s="31" t="n">
        <f aca="true">NORMSINV(RAND())*$G$7+$G$6</f>
        <v>0.0192773218551253</v>
      </c>
    </row>
    <row r="4578" customFormat="false" ht="15" hidden="false" customHeight="false" outlineLevel="0" collapsed="false">
      <c r="L4578" s="31" t="n">
        <f aca="true">NORMSINV(RAND())*$G$7+$G$6</f>
        <v>-0.00399781131709385</v>
      </c>
    </row>
    <row r="4579" customFormat="false" ht="15" hidden="false" customHeight="false" outlineLevel="0" collapsed="false">
      <c r="L4579" s="31" t="n">
        <f aca="true">NORMSINV(RAND())*$G$7+$G$6</f>
        <v>0.0192480303517652</v>
      </c>
    </row>
    <row r="4580" customFormat="false" ht="15" hidden="false" customHeight="false" outlineLevel="0" collapsed="false">
      <c r="L4580" s="31" t="n">
        <f aca="true">NORMSINV(RAND())*$G$7+$G$6</f>
        <v>0.0151140748395977</v>
      </c>
    </row>
    <row r="4581" customFormat="false" ht="15" hidden="false" customHeight="false" outlineLevel="0" collapsed="false">
      <c r="L4581" s="31" t="n">
        <f aca="true">NORMSINV(RAND())*$G$7+$G$6</f>
        <v>0.017097168507477</v>
      </c>
    </row>
    <row r="4582" customFormat="false" ht="15" hidden="false" customHeight="false" outlineLevel="0" collapsed="false">
      <c r="L4582" s="31" t="n">
        <f aca="true">NORMSINV(RAND())*$G$7+$G$6</f>
        <v>0.00279853052614973</v>
      </c>
    </row>
    <row r="4583" customFormat="false" ht="15" hidden="false" customHeight="false" outlineLevel="0" collapsed="false">
      <c r="L4583" s="31" t="n">
        <f aca="true">NORMSINV(RAND())*$G$7+$G$6</f>
        <v>-0.000632655373992639</v>
      </c>
    </row>
    <row r="4584" customFormat="false" ht="15" hidden="false" customHeight="false" outlineLevel="0" collapsed="false">
      <c r="L4584" s="31" t="n">
        <f aca="true">NORMSINV(RAND())*$G$7+$G$6</f>
        <v>0.00296340633221212</v>
      </c>
    </row>
    <row r="4585" customFormat="false" ht="15" hidden="false" customHeight="false" outlineLevel="0" collapsed="false">
      <c r="L4585" s="31" t="n">
        <f aca="true">NORMSINV(RAND())*$G$7+$G$6</f>
        <v>0.000310797198708986</v>
      </c>
    </row>
    <row r="4586" customFormat="false" ht="15" hidden="false" customHeight="false" outlineLevel="0" collapsed="false">
      <c r="L4586" s="31" t="n">
        <f aca="true">NORMSINV(RAND())*$G$7+$G$6</f>
        <v>0.0207905295490451</v>
      </c>
    </row>
    <row r="4587" customFormat="false" ht="15" hidden="false" customHeight="false" outlineLevel="0" collapsed="false">
      <c r="L4587" s="31" t="n">
        <f aca="true">NORMSINV(RAND())*$G$7+$G$6</f>
        <v>0.00121703303927644</v>
      </c>
    </row>
    <row r="4588" customFormat="false" ht="15" hidden="false" customHeight="false" outlineLevel="0" collapsed="false">
      <c r="L4588" s="31" t="n">
        <f aca="true">NORMSINV(RAND())*$G$7+$G$6</f>
        <v>0.00619268608498144</v>
      </c>
    </row>
    <row r="4589" customFormat="false" ht="15" hidden="false" customHeight="false" outlineLevel="0" collapsed="false">
      <c r="L4589" s="31" t="n">
        <f aca="true">NORMSINV(RAND())*$G$7+$G$6</f>
        <v>0.0138597269080723</v>
      </c>
    </row>
    <row r="4590" customFormat="false" ht="15" hidden="false" customHeight="false" outlineLevel="0" collapsed="false">
      <c r="L4590" s="31" t="n">
        <f aca="true">NORMSINV(RAND())*$G$7+$G$6</f>
        <v>0.0104488605691043</v>
      </c>
    </row>
    <row r="4591" customFormat="false" ht="15" hidden="false" customHeight="false" outlineLevel="0" collapsed="false">
      <c r="L4591" s="31" t="n">
        <f aca="true">NORMSINV(RAND())*$G$7+$G$6</f>
        <v>-0.0230422523788514</v>
      </c>
    </row>
    <row r="4592" customFormat="false" ht="15" hidden="false" customHeight="false" outlineLevel="0" collapsed="false">
      <c r="L4592" s="31" t="n">
        <f aca="true">NORMSINV(RAND())*$G$7+$G$6</f>
        <v>0.00690250455809453</v>
      </c>
    </row>
    <row r="4593" customFormat="false" ht="15" hidden="false" customHeight="false" outlineLevel="0" collapsed="false">
      <c r="L4593" s="31" t="n">
        <f aca="true">NORMSINV(RAND())*$G$7+$G$6</f>
        <v>-0.0277202489625655</v>
      </c>
    </row>
    <row r="4594" customFormat="false" ht="15" hidden="false" customHeight="false" outlineLevel="0" collapsed="false">
      <c r="L4594" s="31" t="n">
        <f aca="true">NORMSINV(RAND())*$G$7+$G$6</f>
        <v>0.0111843061301237</v>
      </c>
    </row>
    <row r="4595" customFormat="false" ht="15" hidden="false" customHeight="false" outlineLevel="0" collapsed="false">
      <c r="L4595" s="31" t="n">
        <f aca="true">NORMSINV(RAND())*$G$7+$G$6</f>
        <v>0.000318339095212628</v>
      </c>
    </row>
    <row r="4596" customFormat="false" ht="15" hidden="false" customHeight="false" outlineLevel="0" collapsed="false">
      <c r="L4596" s="31" t="n">
        <f aca="true">NORMSINV(RAND())*$G$7+$G$6</f>
        <v>-0.00610986067600873</v>
      </c>
    </row>
    <row r="4597" customFormat="false" ht="15" hidden="false" customHeight="false" outlineLevel="0" collapsed="false">
      <c r="L4597" s="31" t="n">
        <f aca="true">NORMSINV(RAND())*$G$7+$G$6</f>
        <v>-0.00539111239614712</v>
      </c>
    </row>
    <row r="4598" customFormat="false" ht="15" hidden="false" customHeight="false" outlineLevel="0" collapsed="false">
      <c r="L4598" s="31" t="n">
        <f aca="true">NORMSINV(RAND())*$G$7+$G$6</f>
        <v>0.000523335800116929</v>
      </c>
    </row>
    <row r="4599" customFormat="false" ht="15" hidden="false" customHeight="false" outlineLevel="0" collapsed="false">
      <c r="L4599" s="31" t="n">
        <f aca="true">NORMSINV(RAND())*$G$7+$G$6</f>
        <v>0.0103477512859685</v>
      </c>
    </row>
    <row r="4600" customFormat="false" ht="15" hidden="false" customHeight="false" outlineLevel="0" collapsed="false">
      <c r="L4600" s="31" t="n">
        <f aca="true">NORMSINV(RAND())*$G$7+$G$6</f>
        <v>-0.00134834479049271</v>
      </c>
    </row>
    <row r="4601" customFormat="false" ht="15" hidden="false" customHeight="false" outlineLevel="0" collapsed="false">
      <c r="L4601" s="31" t="n">
        <f aca="true">NORMSINV(RAND())*$G$7+$G$6</f>
        <v>0.0111341009421343</v>
      </c>
    </row>
    <row r="4602" customFormat="false" ht="15" hidden="false" customHeight="false" outlineLevel="0" collapsed="false">
      <c r="L4602" s="31" t="n">
        <f aca="true">NORMSINV(RAND())*$G$7+$G$6</f>
        <v>-0.020180208100927</v>
      </c>
    </row>
    <row r="4603" customFormat="false" ht="15" hidden="false" customHeight="false" outlineLevel="0" collapsed="false">
      <c r="L4603" s="31" t="n">
        <f aca="true">NORMSINV(RAND())*$G$7+$G$6</f>
        <v>-0.0113897736811878</v>
      </c>
    </row>
    <row r="4604" customFormat="false" ht="15" hidden="false" customHeight="false" outlineLevel="0" collapsed="false">
      <c r="L4604" s="31" t="n">
        <f aca="true">NORMSINV(RAND())*$G$7+$G$6</f>
        <v>-0.019433710796409</v>
      </c>
    </row>
    <row r="4605" customFormat="false" ht="15" hidden="false" customHeight="false" outlineLevel="0" collapsed="false">
      <c r="L4605" s="31" t="n">
        <f aca="true">NORMSINV(RAND())*$G$7+$G$6</f>
        <v>0.0157567479458402</v>
      </c>
    </row>
    <row r="4606" customFormat="false" ht="15" hidden="false" customHeight="false" outlineLevel="0" collapsed="false">
      <c r="L4606" s="31" t="n">
        <f aca="true">NORMSINV(RAND())*$G$7+$G$6</f>
        <v>0.0297586403252949</v>
      </c>
    </row>
    <row r="4607" customFormat="false" ht="15" hidden="false" customHeight="false" outlineLevel="0" collapsed="false">
      <c r="L4607" s="31" t="n">
        <f aca="true">NORMSINV(RAND())*$G$7+$G$6</f>
        <v>0.0246914325118063</v>
      </c>
    </row>
    <row r="4608" customFormat="false" ht="15" hidden="false" customHeight="false" outlineLevel="0" collapsed="false">
      <c r="L4608" s="31" t="n">
        <f aca="true">NORMSINV(RAND())*$G$7+$G$6</f>
        <v>0.0057163564686609</v>
      </c>
    </row>
    <row r="4609" customFormat="false" ht="15" hidden="false" customHeight="false" outlineLevel="0" collapsed="false">
      <c r="L4609" s="31" t="n">
        <f aca="true">NORMSINV(RAND())*$G$7+$G$6</f>
        <v>-0.0240038564518395</v>
      </c>
    </row>
    <row r="4610" customFormat="false" ht="15" hidden="false" customHeight="false" outlineLevel="0" collapsed="false">
      <c r="L4610" s="31" t="n">
        <f aca="true">NORMSINV(RAND())*$G$7+$G$6</f>
        <v>0.00816574795355334</v>
      </c>
    </row>
    <row r="4611" customFormat="false" ht="15" hidden="false" customHeight="false" outlineLevel="0" collapsed="false">
      <c r="L4611" s="31" t="n">
        <f aca="true">NORMSINV(RAND())*$G$7+$G$6</f>
        <v>0.00256766237717889</v>
      </c>
    </row>
    <row r="4612" customFormat="false" ht="15" hidden="false" customHeight="false" outlineLevel="0" collapsed="false">
      <c r="L4612" s="31" t="n">
        <f aca="true">NORMSINV(RAND())*$G$7+$G$6</f>
        <v>-0.0196190808226143</v>
      </c>
    </row>
    <row r="4613" customFormat="false" ht="15" hidden="false" customHeight="false" outlineLevel="0" collapsed="false">
      <c r="L4613" s="31" t="n">
        <f aca="true">NORMSINV(RAND())*$G$7+$G$6</f>
        <v>0.0112078163745109</v>
      </c>
    </row>
    <row r="4614" customFormat="false" ht="15" hidden="false" customHeight="false" outlineLevel="0" collapsed="false">
      <c r="L4614" s="31" t="n">
        <f aca="true">NORMSINV(RAND())*$G$7+$G$6</f>
        <v>-0.00394263368606774</v>
      </c>
    </row>
    <row r="4615" customFormat="false" ht="15" hidden="false" customHeight="false" outlineLevel="0" collapsed="false">
      <c r="L4615" s="31" t="n">
        <f aca="true">NORMSINV(RAND())*$G$7+$G$6</f>
        <v>0.00532440748310919</v>
      </c>
    </row>
    <row r="4616" customFormat="false" ht="15" hidden="false" customHeight="false" outlineLevel="0" collapsed="false">
      <c r="L4616" s="31" t="n">
        <f aca="true">NORMSINV(RAND())*$G$7+$G$6</f>
        <v>0.00943730699158733</v>
      </c>
    </row>
    <row r="4617" customFormat="false" ht="15" hidden="false" customHeight="false" outlineLevel="0" collapsed="false">
      <c r="L4617" s="31" t="n">
        <f aca="true">NORMSINV(RAND())*$G$7+$G$6</f>
        <v>0.0217058408434658</v>
      </c>
    </row>
    <row r="4618" customFormat="false" ht="15" hidden="false" customHeight="false" outlineLevel="0" collapsed="false">
      <c r="L4618" s="31" t="n">
        <f aca="true">NORMSINV(RAND())*$G$7+$G$6</f>
        <v>-0.0113796513388156</v>
      </c>
    </row>
    <row r="4619" customFormat="false" ht="15" hidden="false" customHeight="false" outlineLevel="0" collapsed="false">
      <c r="L4619" s="31" t="n">
        <f aca="true">NORMSINV(RAND())*$G$7+$G$6</f>
        <v>-0.0108588745930045</v>
      </c>
    </row>
    <row r="4620" customFormat="false" ht="15" hidden="false" customHeight="false" outlineLevel="0" collapsed="false">
      <c r="L4620" s="31" t="n">
        <f aca="true">NORMSINV(RAND())*$G$7+$G$6</f>
        <v>-0.0149916144226165</v>
      </c>
    </row>
    <row r="4621" customFormat="false" ht="15" hidden="false" customHeight="false" outlineLevel="0" collapsed="false">
      <c r="L4621" s="31" t="n">
        <f aca="true">NORMSINV(RAND())*$G$7+$G$6</f>
        <v>0.00834659767264903</v>
      </c>
    </row>
    <row r="4622" customFormat="false" ht="15" hidden="false" customHeight="false" outlineLevel="0" collapsed="false">
      <c r="L4622" s="31" t="n">
        <f aca="true">NORMSINV(RAND())*$G$7+$G$6</f>
        <v>-0.00673826237841358</v>
      </c>
    </row>
    <row r="4623" customFormat="false" ht="15" hidden="false" customHeight="false" outlineLevel="0" collapsed="false">
      <c r="L4623" s="31" t="n">
        <f aca="true">NORMSINV(RAND())*$G$7+$G$6</f>
        <v>-0.0142124840299499</v>
      </c>
    </row>
    <row r="4624" customFormat="false" ht="15" hidden="false" customHeight="false" outlineLevel="0" collapsed="false">
      <c r="L4624" s="31" t="n">
        <f aca="true">NORMSINV(RAND())*$G$7+$G$6</f>
        <v>-0.0196659607546031</v>
      </c>
    </row>
    <row r="4625" customFormat="false" ht="15" hidden="false" customHeight="false" outlineLevel="0" collapsed="false">
      <c r="L4625" s="31" t="n">
        <f aca="true">NORMSINV(RAND())*$G$7+$G$6</f>
        <v>-0.0129124179357874</v>
      </c>
    </row>
    <row r="4626" customFormat="false" ht="15" hidden="false" customHeight="false" outlineLevel="0" collapsed="false">
      <c r="L4626" s="31" t="n">
        <f aca="true">NORMSINV(RAND())*$G$7+$G$6</f>
        <v>-0.0150796094005647</v>
      </c>
    </row>
    <row r="4627" customFormat="false" ht="15" hidden="false" customHeight="false" outlineLevel="0" collapsed="false">
      <c r="L4627" s="31" t="n">
        <f aca="true">NORMSINV(RAND())*$G$7+$G$6</f>
        <v>0.00050461800434533</v>
      </c>
    </row>
    <row r="4628" customFormat="false" ht="15" hidden="false" customHeight="false" outlineLevel="0" collapsed="false">
      <c r="L4628" s="31" t="n">
        <f aca="true">NORMSINV(RAND())*$G$7+$G$6</f>
        <v>-0.0169263399150432</v>
      </c>
    </row>
    <row r="4629" customFormat="false" ht="15" hidden="false" customHeight="false" outlineLevel="0" collapsed="false">
      <c r="L4629" s="31" t="n">
        <f aca="true">NORMSINV(RAND())*$G$7+$G$6</f>
        <v>-0.00453533290261469</v>
      </c>
    </row>
    <row r="4630" customFormat="false" ht="15" hidden="false" customHeight="false" outlineLevel="0" collapsed="false">
      <c r="L4630" s="31" t="n">
        <f aca="true">NORMSINV(RAND())*$G$7+$G$6</f>
        <v>0.0055992119404837</v>
      </c>
    </row>
    <row r="4631" customFormat="false" ht="15" hidden="false" customHeight="false" outlineLevel="0" collapsed="false">
      <c r="L4631" s="31" t="n">
        <f aca="true">NORMSINV(RAND())*$G$7+$G$6</f>
        <v>-0.00342109048014464</v>
      </c>
    </row>
    <row r="4632" customFormat="false" ht="15" hidden="false" customHeight="false" outlineLevel="0" collapsed="false">
      <c r="L4632" s="31" t="n">
        <f aca="true">NORMSINV(RAND())*$G$7+$G$6</f>
        <v>-0.0219490614560534</v>
      </c>
    </row>
    <row r="4633" customFormat="false" ht="15" hidden="false" customHeight="false" outlineLevel="0" collapsed="false">
      <c r="L4633" s="31" t="n">
        <f aca="true">NORMSINV(RAND())*$G$7+$G$6</f>
        <v>0.00712771359460497</v>
      </c>
    </row>
    <row r="4634" customFormat="false" ht="15" hidden="false" customHeight="false" outlineLevel="0" collapsed="false">
      <c r="L4634" s="31" t="n">
        <f aca="true">NORMSINV(RAND())*$G$7+$G$6</f>
        <v>-0.00284952039242061</v>
      </c>
    </row>
    <row r="4635" customFormat="false" ht="15" hidden="false" customHeight="false" outlineLevel="0" collapsed="false">
      <c r="L4635" s="31" t="n">
        <f aca="true">NORMSINV(RAND())*$G$7+$G$6</f>
        <v>0.00259773797175216</v>
      </c>
    </row>
    <row r="4636" customFormat="false" ht="15" hidden="false" customHeight="false" outlineLevel="0" collapsed="false">
      <c r="L4636" s="31" t="n">
        <f aca="true">NORMSINV(RAND())*$G$7+$G$6</f>
        <v>-0.000322750342811241</v>
      </c>
    </row>
    <row r="4637" customFormat="false" ht="15" hidden="false" customHeight="false" outlineLevel="0" collapsed="false">
      <c r="L4637" s="31" t="n">
        <f aca="true">NORMSINV(RAND())*$G$7+$G$6</f>
        <v>-0.0200366561249419</v>
      </c>
    </row>
    <row r="4638" customFormat="false" ht="15" hidden="false" customHeight="false" outlineLevel="0" collapsed="false">
      <c r="L4638" s="31" t="n">
        <f aca="true">NORMSINV(RAND())*$G$7+$G$6</f>
        <v>0.0140291454231686</v>
      </c>
    </row>
    <row r="4639" customFormat="false" ht="15" hidden="false" customHeight="false" outlineLevel="0" collapsed="false">
      <c r="L4639" s="31" t="n">
        <f aca="true">NORMSINV(RAND())*$G$7+$G$6</f>
        <v>0.00098260908813279</v>
      </c>
    </row>
    <row r="4640" customFormat="false" ht="15" hidden="false" customHeight="false" outlineLevel="0" collapsed="false">
      <c r="L4640" s="31" t="n">
        <f aca="true">NORMSINV(RAND())*$G$7+$G$6</f>
        <v>-0.00717679260362726</v>
      </c>
    </row>
    <row r="4641" customFormat="false" ht="15" hidden="false" customHeight="false" outlineLevel="0" collapsed="false">
      <c r="L4641" s="31" t="n">
        <f aca="true">NORMSINV(RAND())*$G$7+$G$6</f>
        <v>-0.00699073226405366</v>
      </c>
    </row>
    <row r="4642" customFormat="false" ht="15" hidden="false" customHeight="false" outlineLevel="0" collapsed="false">
      <c r="L4642" s="31" t="n">
        <f aca="true">NORMSINV(RAND())*$G$7+$G$6</f>
        <v>0.0104936844994428</v>
      </c>
    </row>
    <row r="4643" customFormat="false" ht="15" hidden="false" customHeight="false" outlineLevel="0" collapsed="false">
      <c r="L4643" s="31" t="n">
        <f aca="true">NORMSINV(RAND())*$G$7+$G$6</f>
        <v>-0.0149264261317853</v>
      </c>
    </row>
    <row r="4644" customFormat="false" ht="15" hidden="false" customHeight="false" outlineLevel="0" collapsed="false">
      <c r="L4644" s="31" t="n">
        <f aca="true">NORMSINV(RAND())*$G$7+$G$6</f>
        <v>0.00275028803029003</v>
      </c>
    </row>
    <row r="4645" customFormat="false" ht="15" hidden="false" customHeight="false" outlineLevel="0" collapsed="false">
      <c r="L4645" s="31" t="n">
        <f aca="true">NORMSINV(RAND())*$G$7+$G$6</f>
        <v>0.00463155778060527</v>
      </c>
    </row>
    <row r="4646" customFormat="false" ht="15" hidden="false" customHeight="false" outlineLevel="0" collapsed="false">
      <c r="L4646" s="31" t="n">
        <f aca="true">NORMSINV(RAND())*$G$7+$G$6</f>
        <v>0.011837065609776</v>
      </c>
    </row>
    <row r="4647" customFormat="false" ht="15" hidden="false" customHeight="false" outlineLevel="0" collapsed="false">
      <c r="L4647" s="31" t="n">
        <f aca="true">NORMSINV(RAND())*$G$7+$G$6</f>
        <v>-0.0059651765615014</v>
      </c>
    </row>
    <row r="4648" customFormat="false" ht="15" hidden="false" customHeight="false" outlineLevel="0" collapsed="false">
      <c r="L4648" s="31" t="n">
        <f aca="true">NORMSINV(RAND())*$G$7+$G$6</f>
        <v>0.00281794229712918</v>
      </c>
    </row>
    <row r="4649" customFormat="false" ht="15" hidden="false" customHeight="false" outlineLevel="0" collapsed="false">
      <c r="L4649" s="31" t="n">
        <f aca="true">NORMSINV(RAND())*$G$7+$G$6</f>
        <v>-0.00970193995886733</v>
      </c>
    </row>
    <row r="4650" customFormat="false" ht="15" hidden="false" customHeight="false" outlineLevel="0" collapsed="false">
      <c r="L4650" s="31" t="n">
        <f aca="true">NORMSINV(RAND())*$G$7+$G$6</f>
        <v>0.0118174678071772</v>
      </c>
    </row>
    <row r="4651" customFormat="false" ht="15" hidden="false" customHeight="false" outlineLevel="0" collapsed="false">
      <c r="L4651" s="31" t="n">
        <f aca="true">NORMSINV(RAND())*$G$7+$G$6</f>
        <v>0.007179430860421</v>
      </c>
    </row>
    <row r="4652" customFormat="false" ht="15" hidden="false" customHeight="false" outlineLevel="0" collapsed="false">
      <c r="L4652" s="31" t="n">
        <f aca="true">NORMSINV(RAND())*$G$7+$G$6</f>
        <v>-0.0047416534060088</v>
      </c>
    </row>
    <row r="4653" customFormat="false" ht="15" hidden="false" customHeight="false" outlineLevel="0" collapsed="false">
      <c r="L4653" s="31" t="n">
        <f aca="true">NORMSINV(RAND())*$G$7+$G$6</f>
        <v>-0.00878495758819913</v>
      </c>
    </row>
    <row r="4654" customFormat="false" ht="15" hidden="false" customHeight="false" outlineLevel="0" collapsed="false">
      <c r="L4654" s="31" t="n">
        <f aca="true">NORMSINV(RAND())*$G$7+$G$6</f>
        <v>0.0283304277112705</v>
      </c>
    </row>
    <row r="4655" customFormat="false" ht="15" hidden="false" customHeight="false" outlineLevel="0" collapsed="false">
      <c r="L4655" s="31" t="n">
        <f aca="true">NORMSINV(RAND())*$G$7+$G$6</f>
        <v>-0.0117630894163731</v>
      </c>
    </row>
    <row r="4656" customFormat="false" ht="15" hidden="false" customHeight="false" outlineLevel="0" collapsed="false">
      <c r="L4656" s="31" t="n">
        <f aca="true">NORMSINV(RAND())*$G$7+$G$6</f>
        <v>-0.0211121514364322</v>
      </c>
    </row>
    <row r="4657" customFormat="false" ht="15" hidden="false" customHeight="false" outlineLevel="0" collapsed="false">
      <c r="L4657" s="31" t="n">
        <f aca="true">NORMSINV(RAND())*$G$7+$G$6</f>
        <v>-0.00314356278550835</v>
      </c>
    </row>
    <row r="4658" customFormat="false" ht="15" hidden="false" customHeight="false" outlineLevel="0" collapsed="false">
      <c r="L4658" s="31" t="n">
        <f aca="true">NORMSINV(RAND())*$G$7+$G$6</f>
        <v>-0.0123851219684263</v>
      </c>
    </row>
    <row r="4659" customFormat="false" ht="15" hidden="false" customHeight="false" outlineLevel="0" collapsed="false">
      <c r="L4659" s="31" t="n">
        <f aca="true">NORMSINV(RAND())*$G$7+$G$6</f>
        <v>0.00894316342208235</v>
      </c>
    </row>
    <row r="4660" customFormat="false" ht="15" hidden="false" customHeight="false" outlineLevel="0" collapsed="false">
      <c r="L4660" s="31" t="n">
        <f aca="true">NORMSINV(RAND())*$G$7+$G$6</f>
        <v>0.00631033643284189</v>
      </c>
    </row>
    <row r="4661" customFormat="false" ht="15" hidden="false" customHeight="false" outlineLevel="0" collapsed="false">
      <c r="L4661" s="31" t="n">
        <f aca="true">NORMSINV(RAND())*$G$7+$G$6</f>
        <v>0.010823364120581</v>
      </c>
    </row>
    <row r="4662" customFormat="false" ht="15" hidden="false" customHeight="false" outlineLevel="0" collapsed="false">
      <c r="L4662" s="31" t="n">
        <f aca="true">NORMSINV(RAND())*$G$7+$G$6</f>
        <v>0.00557830688908918</v>
      </c>
    </row>
    <row r="4663" customFormat="false" ht="15" hidden="false" customHeight="false" outlineLevel="0" collapsed="false">
      <c r="L4663" s="31" t="n">
        <f aca="true">NORMSINV(RAND())*$G$7+$G$6</f>
        <v>0.00482176320291052</v>
      </c>
    </row>
    <row r="4664" customFormat="false" ht="15" hidden="false" customHeight="false" outlineLevel="0" collapsed="false">
      <c r="L4664" s="31" t="n">
        <f aca="true">NORMSINV(RAND())*$G$7+$G$6</f>
        <v>0.0133577317860131</v>
      </c>
    </row>
    <row r="4665" customFormat="false" ht="15" hidden="false" customHeight="false" outlineLevel="0" collapsed="false">
      <c r="L4665" s="31" t="n">
        <f aca="true">NORMSINV(RAND())*$G$7+$G$6</f>
        <v>0.00237711459016529</v>
      </c>
    </row>
    <row r="4666" customFormat="false" ht="15" hidden="false" customHeight="false" outlineLevel="0" collapsed="false">
      <c r="L4666" s="31" t="n">
        <f aca="true">NORMSINV(RAND())*$G$7+$G$6</f>
        <v>-0.0208888917135089</v>
      </c>
    </row>
    <row r="4667" customFormat="false" ht="15" hidden="false" customHeight="false" outlineLevel="0" collapsed="false">
      <c r="L4667" s="31" t="n">
        <f aca="true">NORMSINV(RAND())*$G$7+$G$6</f>
        <v>0.00230312301605041</v>
      </c>
    </row>
    <row r="4668" customFormat="false" ht="15" hidden="false" customHeight="false" outlineLevel="0" collapsed="false">
      <c r="L4668" s="31" t="n">
        <f aca="true">NORMSINV(RAND())*$G$7+$G$6</f>
        <v>0.00526877510730298</v>
      </c>
    </row>
    <row r="4669" customFormat="false" ht="15" hidden="false" customHeight="false" outlineLevel="0" collapsed="false">
      <c r="L4669" s="31" t="n">
        <f aca="true">NORMSINV(RAND())*$G$7+$G$6</f>
        <v>0.0208004327772637</v>
      </c>
    </row>
    <row r="4670" customFormat="false" ht="15" hidden="false" customHeight="false" outlineLevel="0" collapsed="false">
      <c r="L4670" s="31" t="n">
        <f aca="true">NORMSINV(RAND())*$G$7+$G$6</f>
        <v>-0.0082226447027597</v>
      </c>
    </row>
    <row r="4671" customFormat="false" ht="15" hidden="false" customHeight="false" outlineLevel="0" collapsed="false">
      <c r="L4671" s="31" t="n">
        <f aca="true">NORMSINV(RAND())*$G$7+$G$6</f>
        <v>0.000218184383630753</v>
      </c>
    </row>
    <row r="4672" customFormat="false" ht="15" hidden="false" customHeight="false" outlineLevel="0" collapsed="false">
      <c r="L4672" s="31" t="n">
        <f aca="true">NORMSINV(RAND())*$G$7+$G$6</f>
        <v>0.0187477165991243</v>
      </c>
    </row>
    <row r="4673" customFormat="false" ht="15" hidden="false" customHeight="false" outlineLevel="0" collapsed="false">
      <c r="L4673" s="31" t="n">
        <f aca="true">NORMSINV(RAND())*$G$7+$G$6</f>
        <v>0.014886063049405</v>
      </c>
    </row>
    <row r="4674" customFormat="false" ht="15" hidden="false" customHeight="false" outlineLevel="0" collapsed="false">
      <c r="L4674" s="31" t="n">
        <f aca="true">NORMSINV(RAND())*$G$7+$G$6</f>
        <v>0.0144399746286074</v>
      </c>
    </row>
    <row r="4675" customFormat="false" ht="15" hidden="false" customHeight="false" outlineLevel="0" collapsed="false">
      <c r="L4675" s="31" t="n">
        <f aca="true">NORMSINV(RAND())*$G$7+$G$6</f>
        <v>0.0112809267412169</v>
      </c>
    </row>
    <row r="4676" customFormat="false" ht="15" hidden="false" customHeight="false" outlineLevel="0" collapsed="false">
      <c r="L4676" s="31" t="n">
        <f aca="true">NORMSINV(RAND())*$G$7+$G$6</f>
        <v>-0.016401489674435</v>
      </c>
    </row>
    <row r="4677" customFormat="false" ht="15" hidden="false" customHeight="false" outlineLevel="0" collapsed="false">
      <c r="L4677" s="31" t="n">
        <f aca="true">NORMSINV(RAND())*$G$7+$G$6</f>
        <v>-0.0189337049275831</v>
      </c>
    </row>
    <row r="4678" customFormat="false" ht="15" hidden="false" customHeight="false" outlineLevel="0" collapsed="false">
      <c r="L4678" s="31" t="n">
        <f aca="true">NORMSINV(RAND())*$G$7+$G$6</f>
        <v>-0.00483766769392708</v>
      </c>
    </row>
    <row r="4679" customFormat="false" ht="15" hidden="false" customHeight="false" outlineLevel="0" collapsed="false">
      <c r="L4679" s="31" t="n">
        <f aca="true">NORMSINV(RAND())*$G$7+$G$6</f>
        <v>0.0219629406689698</v>
      </c>
    </row>
    <row r="4680" customFormat="false" ht="15" hidden="false" customHeight="false" outlineLevel="0" collapsed="false">
      <c r="L4680" s="31" t="n">
        <f aca="true">NORMSINV(RAND())*$G$7+$G$6</f>
        <v>0.0135669358737963</v>
      </c>
    </row>
    <row r="4681" customFormat="false" ht="15" hidden="false" customHeight="false" outlineLevel="0" collapsed="false">
      <c r="L4681" s="31" t="n">
        <f aca="true">NORMSINV(RAND())*$G$7+$G$6</f>
        <v>0.0292466433497082</v>
      </c>
    </row>
    <row r="4682" customFormat="false" ht="15" hidden="false" customHeight="false" outlineLevel="0" collapsed="false">
      <c r="L4682" s="31" t="n">
        <f aca="true">NORMSINV(RAND())*$G$7+$G$6</f>
        <v>-0.0140745907790666</v>
      </c>
    </row>
    <row r="4683" customFormat="false" ht="15" hidden="false" customHeight="false" outlineLevel="0" collapsed="false">
      <c r="L4683" s="31" t="n">
        <f aca="true">NORMSINV(RAND())*$G$7+$G$6</f>
        <v>0.00844148856559954</v>
      </c>
    </row>
    <row r="4684" customFormat="false" ht="15" hidden="false" customHeight="false" outlineLevel="0" collapsed="false">
      <c r="L4684" s="31" t="n">
        <f aca="true">NORMSINV(RAND())*$G$7+$G$6</f>
        <v>0.00165471827658795</v>
      </c>
    </row>
    <row r="4685" customFormat="false" ht="15" hidden="false" customHeight="false" outlineLevel="0" collapsed="false">
      <c r="L4685" s="31" t="n">
        <f aca="true">NORMSINV(RAND())*$G$7+$G$6</f>
        <v>-0.000732305086744658</v>
      </c>
    </row>
    <row r="4686" customFormat="false" ht="15" hidden="false" customHeight="false" outlineLevel="0" collapsed="false">
      <c r="L4686" s="31" t="n">
        <f aca="true">NORMSINV(RAND())*$G$7+$G$6</f>
        <v>-0.0188076784755595</v>
      </c>
    </row>
    <row r="4687" customFormat="false" ht="15" hidden="false" customHeight="false" outlineLevel="0" collapsed="false">
      <c r="L4687" s="31" t="n">
        <f aca="true">NORMSINV(RAND())*$G$7+$G$6</f>
        <v>0.0253623871101915</v>
      </c>
    </row>
    <row r="4688" customFormat="false" ht="15" hidden="false" customHeight="false" outlineLevel="0" collapsed="false">
      <c r="L4688" s="31" t="n">
        <f aca="true">NORMSINV(RAND())*$G$7+$G$6</f>
        <v>-0.00613746378026791</v>
      </c>
    </row>
    <row r="4689" customFormat="false" ht="15" hidden="false" customHeight="false" outlineLevel="0" collapsed="false">
      <c r="L4689" s="31" t="n">
        <f aca="true">NORMSINV(RAND())*$G$7+$G$6</f>
        <v>0.0203117225529834</v>
      </c>
    </row>
    <row r="4690" customFormat="false" ht="15" hidden="false" customHeight="false" outlineLevel="0" collapsed="false">
      <c r="L4690" s="31" t="n">
        <f aca="true">NORMSINV(RAND())*$G$7+$G$6</f>
        <v>0.00030161802818457</v>
      </c>
    </row>
    <row r="4691" customFormat="false" ht="15" hidden="false" customHeight="false" outlineLevel="0" collapsed="false">
      <c r="L4691" s="31" t="n">
        <f aca="true">NORMSINV(RAND())*$G$7+$G$6</f>
        <v>0.0225467779485739</v>
      </c>
    </row>
    <row r="4692" customFormat="false" ht="15" hidden="false" customHeight="false" outlineLevel="0" collapsed="false">
      <c r="L4692" s="31" t="n">
        <f aca="true">NORMSINV(RAND())*$G$7+$G$6</f>
        <v>-0.0102547209037851</v>
      </c>
    </row>
    <row r="4693" customFormat="false" ht="15" hidden="false" customHeight="false" outlineLevel="0" collapsed="false">
      <c r="L4693" s="31" t="n">
        <f aca="true">NORMSINV(RAND())*$G$7+$G$6</f>
        <v>0.00733613365961813</v>
      </c>
    </row>
    <row r="4694" customFormat="false" ht="15" hidden="false" customHeight="false" outlineLevel="0" collapsed="false">
      <c r="L4694" s="31" t="n">
        <f aca="true">NORMSINV(RAND())*$G$7+$G$6</f>
        <v>0.0134808446633416</v>
      </c>
    </row>
    <row r="4695" customFormat="false" ht="15" hidden="false" customHeight="false" outlineLevel="0" collapsed="false">
      <c r="L4695" s="31" t="n">
        <f aca="true">NORMSINV(RAND())*$G$7+$G$6</f>
        <v>0.0091869583323644</v>
      </c>
    </row>
    <row r="4696" customFormat="false" ht="15" hidden="false" customHeight="false" outlineLevel="0" collapsed="false">
      <c r="L4696" s="31" t="n">
        <f aca="true">NORMSINV(RAND())*$G$7+$G$6</f>
        <v>-0.0110352178822592</v>
      </c>
    </row>
    <row r="4697" customFormat="false" ht="15" hidden="false" customHeight="false" outlineLevel="0" collapsed="false">
      <c r="L4697" s="31" t="n">
        <f aca="true">NORMSINV(RAND())*$G$7+$G$6</f>
        <v>0.00624100183831251</v>
      </c>
    </row>
    <row r="4698" customFormat="false" ht="15" hidden="false" customHeight="false" outlineLevel="0" collapsed="false">
      <c r="L4698" s="31" t="n">
        <f aca="true">NORMSINV(RAND())*$G$7+$G$6</f>
        <v>-0.0080233881386352</v>
      </c>
    </row>
    <row r="4699" customFormat="false" ht="15" hidden="false" customHeight="false" outlineLevel="0" collapsed="false">
      <c r="L4699" s="31" t="n">
        <f aca="true">NORMSINV(RAND())*$G$7+$G$6</f>
        <v>-0.0211463881748012</v>
      </c>
    </row>
    <row r="4700" customFormat="false" ht="15" hidden="false" customHeight="false" outlineLevel="0" collapsed="false">
      <c r="L4700" s="31" t="n">
        <f aca="true">NORMSINV(RAND())*$G$7+$G$6</f>
        <v>0.00313764496383502</v>
      </c>
    </row>
    <row r="4701" customFormat="false" ht="15" hidden="false" customHeight="false" outlineLevel="0" collapsed="false">
      <c r="L4701" s="31" t="n">
        <f aca="true">NORMSINV(RAND())*$G$7+$G$6</f>
        <v>-0.00270590987354311</v>
      </c>
    </row>
    <row r="4702" customFormat="false" ht="15" hidden="false" customHeight="false" outlineLevel="0" collapsed="false">
      <c r="L4702" s="31" t="n">
        <f aca="true">NORMSINV(RAND())*$G$7+$G$6</f>
        <v>-0.0102064575434542</v>
      </c>
    </row>
    <row r="4703" customFormat="false" ht="15" hidden="false" customHeight="false" outlineLevel="0" collapsed="false">
      <c r="L4703" s="31" t="n">
        <f aca="true">NORMSINV(RAND())*$G$7+$G$6</f>
        <v>0.00774962295914807</v>
      </c>
    </row>
    <row r="4704" customFormat="false" ht="15" hidden="false" customHeight="false" outlineLevel="0" collapsed="false">
      <c r="L4704" s="31" t="n">
        <f aca="true">NORMSINV(RAND())*$G$7+$G$6</f>
        <v>0.00805961751428076</v>
      </c>
    </row>
    <row r="4705" customFormat="false" ht="15" hidden="false" customHeight="false" outlineLevel="0" collapsed="false">
      <c r="L4705" s="31" t="n">
        <f aca="true">NORMSINV(RAND())*$G$7+$G$6</f>
        <v>0.0156619469685576</v>
      </c>
    </row>
    <row r="4706" customFormat="false" ht="15" hidden="false" customHeight="false" outlineLevel="0" collapsed="false">
      <c r="L4706" s="31" t="n">
        <f aca="true">NORMSINV(RAND())*$G$7+$G$6</f>
        <v>-0.00636043928516831</v>
      </c>
    </row>
    <row r="4707" customFormat="false" ht="15" hidden="false" customHeight="false" outlineLevel="0" collapsed="false">
      <c r="L4707" s="31" t="n">
        <f aca="true">NORMSINV(RAND())*$G$7+$G$6</f>
        <v>-0.0266641708118799</v>
      </c>
    </row>
    <row r="4708" customFormat="false" ht="15" hidden="false" customHeight="false" outlineLevel="0" collapsed="false">
      <c r="L4708" s="31" t="n">
        <f aca="true">NORMSINV(RAND())*$G$7+$G$6</f>
        <v>0.00445753716594703</v>
      </c>
    </row>
    <row r="4709" customFormat="false" ht="15" hidden="false" customHeight="false" outlineLevel="0" collapsed="false">
      <c r="L4709" s="31" t="n">
        <f aca="true">NORMSINV(RAND())*$G$7+$G$6</f>
        <v>-0.0215295202503741</v>
      </c>
    </row>
    <row r="4710" customFormat="false" ht="15" hidden="false" customHeight="false" outlineLevel="0" collapsed="false">
      <c r="L4710" s="31" t="n">
        <f aca="true">NORMSINV(RAND())*$G$7+$G$6</f>
        <v>0.0264035718955788</v>
      </c>
    </row>
    <row r="4711" customFormat="false" ht="15" hidden="false" customHeight="false" outlineLevel="0" collapsed="false">
      <c r="L4711" s="31" t="n">
        <f aca="true">NORMSINV(RAND())*$G$7+$G$6</f>
        <v>0.00382931785753409</v>
      </c>
    </row>
    <row r="4712" customFormat="false" ht="15" hidden="false" customHeight="false" outlineLevel="0" collapsed="false">
      <c r="L4712" s="31" t="n">
        <f aca="true">NORMSINV(RAND())*$G$7+$G$6</f>
        <v>-0.00246355518615113</v>
      </c>
    </row>
    <row r="4713" customFormat="false" ht="15" hidden="false" customHeight="false" outlineLevel="0" collapsed="false">
      <c r="L4713" s="31" t="n">
        <f aca="true">NORMSINV(RAND())*$G$7+$G$6</f>
        <v>-0.00865331751195649</v>
      </c>
    </row>
    <row r="4714" customFormat="false" ht="15" hidden="false" customHeight="false" outlineLevel="0" collapsed="false">
      <c r="L4714" s="31" t="n">
        <f aca="true">NORMSINV(RAND())*$G$7+$G$6</f>
        <v>-0.000182722938107768</v>
      </c>
    </row>
    <row r="4715" customFormat="false" ht="15" hidden="false" customHeight="false" outlineLevel="0" collapsed="false">
      <c r="L4715" s="31" t="n">
        <f aca="true">NORMSINV(RAND())*$G$7+$G$6</f>
        <v>0.00523899187831989</v>
      </c>
    </row>
    <row r="4716" customFormat="false" ht="15" hidden="false" customHeight="false" outlineLevel="0" collapsed="false">
      <c r="L4716" s="31" t="n">
        <f aca="true">NORMSINV(RAND())*$G$7+$G$6</f>
        <v>-0.0114997454081551</v>
      </c>
    </row>
    <row r="4717" customFormat="false" ht="15" hidden="false" customHeight="false" outlineLevel="0" collapsed="false">
      <c r="L4717" s="31" t="n">
        <f aca="true">NORMSINV(RAND())*$G$7+$G$6</f>
        <v>-0.0106561050277918</v>
      </c>
    </row>
    <row r="4718" customFormat="false" ht="15" hidden="false" customHeight="false" outlineLevel="0" collapsed="false">
      <c r="L4718" s="31" t="n">
        <f aca="true">NORMSINV(RAND())*$G$7+$G$6</f>
        <v>-0.021461774515297</v>
      </c>
    </row>
    <row r="4719" customFormat="false" ht="15" hidden="false" customHeight="false" outlineLevel="0" collapsed="false">
      <c r="L4719" s="31" t="n">
        <f aca="true">NORMSINV(RAND())*$G$7+$G$6</f>
        <v>-0.0177779815406043</v>
      </c>
    </row>
    <row r="4720" customFormat="false" ht="15" hidden="false" customHeight="false" outlineLevel="0" collapsed="false">
      <c r="L4720" s="31" t="n">
        <f aca="true">NORMSINV(RAND())*$G$7+$G$6</f>
        <v>-0.00800390655909702</v>
      </c>
    </row>
    <row r="4721" customFormat="false" ht="15" hidden="false" customHeight="false" outlineLevel="0" collapsed="false">
      <c r="L4721" s="31" t="n">
        <f aca="true">NORMSINV(RAND())*$G$7+$G$6</f>
        <v>-0.00395306122225051</v>
      </c>
    </row>
    <row r="4722" customFormat="false" ht="15" hidden="false" customHeight="false" outlineLevel="0" collapsed="false">
      <c r="L4722" s="31" t="n">
        <f aca="true">NORMSINV(RAND())*$G$7+$G$6</f>
        <v>-0.0065875195982704</v>
      </c>
    </row>
    <row r="4723" customFormat="false" ht="15" hidden="false" customHeight="false" outlineLevel="0" collapsed="false">
      <c r="L4723" s="31" t="n">
        <f aca="true">NORMSINV(RAND())*$G$7+$G$6</f>
        <v>0.0121136149743372</v>
      </c>
    </row>
    <row r="4724" customFormat="false" ht="15" hidden="false" customHeight="false" outlineLevel="0" collapsed="false">
      <c r="L4724" s="31" t="n">
        <f aca="true">NORMSINV(RAND())*$G$7+$G$6</f>
        <v>-0.0107100320279597</v>
      </c>
    </row>
    <row r="4725" customFormat="false" ht="15" hidden="false" customHeight="false" outlineLevel="0" collapsed="false">
      <c r="L4725" s="31" t="n">
        <f aca="true">NORMSINV(RAND())*$G$7+$G$6</f>
        <v>-0.00076269550228378</v>
      </c>
    </row>
    <row r="4726" customFormat="false" ht="15" hidden="false" customHeight="false" outlineLevel="0" collapsed="false">
      <c r="L4726" s="31" t="n">
        <f aca="true">NORMSINV(RAND())*$G$7+$G$6</f>
        <v>-0.0119821940187755</v>
      </c>
    </row>
    <row r="4727" customFormat="false" ht="15" hidden="false" customHeight="false" outlineLevel="0" collapsed="false">
      <c r="L4727" s="31" t="n">
        <f aca="true">NORMSINV(RAND())*$G$7+$G$6</f>
        <v>0.0148718787110942</v>
      </c>
    </row>
    <row r="4728" customFormat="false" ht="15" hidden="false" customHeight="false" outlineLevel="0" collapsed="false">
      <c r="L4728" s="31" t="n">
        <f aca="true">NORMSINV(RAND())*$G$7+$G$6</f>
        <v>-0.0061918866872204</v>
      </c>
    </row>
    <row r="4729" customFormat="false" ht="15" hidden="false" customHeight="false" outlineLevel="0" collapsed="false">
      <c r="L4729" s="31" t="n">
        <f aca="true">NORMSINV(RAND())*$G$7+$G$6</f>
        <v>-0.00195659770160828</v>
      </c>
    </row>
    <row r="4730" customFormat="false" ht="15" hidden="false" customHeight="false" outlineLevel="0" collapsed="false">
      <c r="L4730" s="31" t="n">
        <f aca="true">NORMSINV(RAND())*$G$7+$G$6</f>
        <v>0.00128883007933315</v>
      </c>
    </row>
    <row r="4731" customFormat="false" ht="15" hidden="false" customHeight="false" outlineLevel="0" collapsed="false">
      <c r="L4731" s="31" t="n">
        <f aca="true">NORMSINV(RAND())*$G$7+$G$6</f>
        <v>-0.00916473867050436</v>
      </c>
    </row>
    <row r="4732" customFormat="false" ht="15" hidden="false" customHeight="false" outlineLevel="0" collapsed="false">
      <c r="L4732" s="31" t="n">
        <f aca="true">NORMSINV(RAND())*$G$7+$G$6</f>
        <v>0.00455530881091155</v>
      </c>
    </row>
    <row r="4733" customFormat="false" ht="15" hidden="false" customHeight="false" outlineLevel="0" collapsed="false">
      <c r="L4733" s="31" t="n">
        <f aca="true">NORMSINV(RAND())*$G$7+$G$6</f>
        <v>0.0210800615476819</v>
      </c>
    </row>
    <row r="4734" customFormat="false" ht="15" hidden="false" customHeight="false" outlineLevel="0" collapsed="false">
      <c r="L4734" s="31" t="n">
        <f aca="true">NORMSINV(RAND())*$G$7+$G$6</f>
        <v>0.00380656507864505</v>
      </c>
    </row>
    <row r="4735" customFormat="false" ht="15" hidden="false" customHeight="false" outlineLevel="0" collapsed="false">
      <c r="L4735" s="31" t="n">
        <f aca="true">NORMSINV(RAND())*$G$7+$G$6</f>
        <v>0.00162542963952504</v>
      </c>
    </row>
    <row r="4736" customFormat="false" ht="15" hidden="false" customHeight="false" outlineLevel="0" collapsed="false">
      <c r="L4736" s="31" t="n">
        <f aca="true">NORMSINV(RAND())*$G$7+$G$6</f>
        <v>-0.027794211603457</v>
      </c>
    </row>
    <row r="4737" customFormat="false" ht="15" hidden="false" customHeight="false" outlineLevel="0" collapsed="false">
      <c r="L4737" s="31" t="n">
        <f aca="true">NORMSINV(RAND())*$G$7+$G$6</f>
        <v>-0.00820039503368508</v>
      </c>
    </row>
    <row r="4738" customFormat="false" ht="15" hidden="false" customHeight="false" outlineLevel="0" collapsed="false">
      <c r="L4738" s="31" t="n">
        <f aca="true">NORMSINV(RAND())*$G$7+$G$6</f>
        <v>4.39240026329929E-005</v>
      </c>
    </row>
    <row r="4739" customFormat="false" ht="15" hidden="false" customHeight="false" outlineLevel="0" collapsed="false">
      <c r="L4739" s="31" t="n">
        <f aca="true">NORMSINV(RAND())*$G$7+$G$6</f>
        <v>0.00417026520668749</v>
      </c>
    </row>
    <row r="4740" customFormat="false" ht="15" hidden="false" customHeight="false" outlineLevel="0" collapsed="false">
      <c r="L4740" s="31" t="n">
        <f aca="true">NORMSINV(RAND())*$G$7+$G$6</f>
        <v>0.00755417881105441</v>
      </c>
    </row>
    <row r="4741" customFormat="false" ht="15" hidden="false" customHeight="false" outlineLevel="0" collapsed="false">
      <c r="L4741" s="31" t="n">
        <f aca="true">NORMSINV(RAND())*$G$7+$G$6</f>
        <v>-0.011900680687897</v>
      </c>
    </row>
    <row r="4742" customFormat="false" ht="15" hidden="false" customHeight="false" outlineLevel="0" collapsed="false">
      <c r="L4742" s="31" t="n">
        <f aca="true">NORMSINV(RAND())*$G$7+$G$6</f>
        <v>0.00289040446259766</v>
      </c>
    </row>
    <row r="4743" customFormat="false" ht="15" hidden="false" customHeight="false" outlineLevel="0" collapsed="false">
      <c r="L4743" s="31" t="n">
        <f aca="true">NORMSINV(RAND())*$G$7+$G$6</f>
        <v>0.000147604777574736</v>
      </c>
    </row>
    <row r="4744" customFormat="false" ht="15" hidden="false" customHeight="false" outlineLevel="0" collapsed="false">
      <c r="L4744" s="31" t="n">
        <f aca="true">NORMSINV(RAND())*$G$7+$G$6</f>
        <v>0.0101210744937799</v>
      </c>
    </row>
    <row r="4745" customFormat="false" ht="15" hidden="false" customHeight="false" outlineLevel="0" collapsed="false">
      <c r="L4745" s="31" t="n">
        <f aca="true">NORMSINV(RAND())*$G$7+$G$6</f>
        <v>-0.00122204774247077</v>
      </c>
    </row>
    <row r="4746" customFormat="false" ht="15" hidden="false" customHeight="false" outlineLevel="0" collapsed="false">
      <c r="L4746" s="31" t="n">
        <f aca="true">NORMSINV(RAND())*$G$7+$G$6</f>
        <v>0.00499415320902796</v>
      </c>
    </row>
    <row r="4747" customFormat="false" ht="15" hidden="false" customHeight="false" outlineLevel="0" collapsed="false">
      <c r="L4747" s="31" t="n">
        <f aca="true">NORMSINV(RAND())*$G$7+$G$6</f>
        <v>-0.00968078130911129</v>
      </c>
    </row>
    <row r="4748" customFormat="false" ht="15" hidden="false" customHeight="false" outlineLevel="0" collapsed="false">
      <c r="L4748" s="31" t="n">
        <f aca="true">NORMSINV(RAND())*$G$7+$G$6</f>
        <v>-0.0125644318747055</v>
      </c>
    </row>
    <row r="4749" customFormat="false" ht="15" hidden="false" customHeight="false" outlineLevel="0" collapsed="false">
      <c r="L4749" s="31" t="n">
        <f aca="true">NORMSINV(RAND())*$G$7+$G$6</f>
        <v>0.00197713524038331</v>
      </c>
    </row>
    <row r="4750" customFormat="false" ht="15" hidden="false" customHeight="false" outlineLevel="0" collapsed="false">
      <c r="L4750" s="31" t="n">
        <f aca="true">NORMSINV(RAND())*$G$7+$G$6</f>
        <v>0.00679501435261028</v>
      </c>
    </row>
    <row r="4751" customFormat="false" ht="15" hidden="false" customHeight="false" outlineLevel="0" collapsed="false">
      <c r="L4751" s="31" t="n">
        <f aca="true">NORMSINV(RAND())*$G$7+$G$6</f>
        <v>-0.00478678351500662</v>
      </c>
    </row>
    <row r="4752" customFormat="false" ht="15" hidden="false" customHeight="false" outlineLevel="0" collapsed="false">
      <c r="L4752" s="31" t="n">
        <f aca="true">NORMSINV(RAND())*$G$7+$G$6</f>
        <v>0.00309318927927509</v>
      </c>
    </row>
    <row r="4753" customFormat="false" ht="15" hidden="false" customHeight="false" outlineLevel="0" collapsed="false">
      <c r="L4753" s="31" t="n">
        <f aca="true">NORMSINV(RAND())*$G$7+$G$6</f>
        <v>-0.0142366868527654</v>
      </c>
    </row>
    <row r="4754" customFormat="false" ht="15" hidden="false" customHeight="false" outlineLevel="0" collapsed="false">
      <c r="L4754" s="31" t="n">
        <f aca="true">NORMSINV(RAND())*$G$7+$G$6</f>
        <v>0.0119342725012867</v>
      </c>
    </row>
    <row r="4755" customFormat="false" ht="15" hidden="false" customHeight="false" outlineLevel="0" collapsed="false">
      <c r="L4755" s="31" t="n">
        <f aca="true">NORMSINV(RAND())*$G$7+$G$6</f>
        <v>0.00413429468960823</v>
      </c>
    </row>
    <row r="4756" customFormat="false" ht="15" hidden="false" customHeight="false" outlineLevel="0" collapsed="false">
      <c r="L4756" s="31" t="n">
        <f aca="true">NORMSINV(RAND())*$G$7+$G$6</f>
        <v>0.00389584264718509</v>
      </c>
    </row>
    <row r="4757" customFormat="false" ht="15" hidden="false" customHeight="false" outlineLevel="0" collapsed="false">
      <c r="L4757" s="31" t="n">
        <f aca="true">NORMSINV(RAND())*$G$7+$G$6</f>
        <v>-0.0114443953387056</v>
      </c>
    </row>
    <row r="4758" customFormat="false" ht="15" hidden="false" customHeight="false" outlineLevel="0" collapsed="false">
      <c r="L4758" s="31" t="n">
        <f aca="true">NORMSINV(RAND())*$G$7+$G$6</f>
        <v>0.0074980521504796</v>
      </c>
    </row>
    <row r="4759" customFormat="false" ht="15" hidden="false" customHeight="false" outlineLevel="0" collapsed="false">
      <c r="L4759" s="31" t="n">
        <f aca="true">NORMSINV(RAND())*$G$7+$G$6</f>
        <v>0.0229390820058322</v>
      </c>
    </row>
    <row r="4760" customFormat="false" ht="15" hidden="false" customHeight="false" outlineLevel="0" collapsed="false">
      <c r="L4760" s="31" t="n">
        <f aca="true">NORMSINV(RAND())*$G$7+$G$6</f>
        <v>0.0140058114384407</v>
      </c>
    </row>
    <row r="4761" customFormat="false" ht="15" hidden="false" customHeight="false" outlineLevel="0" collapsed="false">
      <c r="L4761" s="31" t="n">
        <f aca="true">NORMSINV(RAND())*$G$7+$G$6</f>
        <v>-0.000526854390822343</v>
      </c>
    </row>
    <row r="4762" customFormat="false" ht="15" hidden="false" customHeight="false" outlineLevel="0" collapsed="false">
      <c r="L4762" s="31" t="n">
        <f aca="true">NORMSINV(RAND())*$G$7+$G$6</f>
        <v>-0.0137933175199534</v>
      </c>
    </row>
    <row r="4763" customFormat="false" ht="15" hidden="false" customHeight="false" outlineLevel="0" collapsed="false">
      <c r="L4763" s="31" t="n">
        <f aca="true">NORMSINV(RAND())*$G$7+$G$6</f>
        <v>0.0157258745464711</v>
      </c>
    </row>
    <row r="4764" customFormat="false" ht="15" hidden="false" customHeight="false" outlineLevel="0" collapsed="false">
      <c r="L4764" s="31" t="n">
        <f aca="true">NORMSINV(RAND())*$G$7+$G$6</f>
        <v>0.0140856558323772</v>
      </c>
    </row>
    <row r="4765" customFormat="false" ht="15" hidden="false" customHeight="false" outlineLevel="0" collapsed="false">
      <c r="L4765" s="31" t="n">
        <f aca="true">NORMSINV(RAND())*$G$7+$G$6</f>
        <v>-0.0067765340343211</v>
      </c>
    </row>
    <row r="4766" customFormat="false" ht="15" hidden="false" customHeight="false" outlineLevel="0" collapsed="false">
      <c r="L4766" s="31" t="n">
        <f aca="true">NORMSINV(RAND())*$G$7+$G$6</f>
        <v>-0.0169752829817389</v>
      </c>
    </row>
    <row r="4767" customFormat="false" ht="15" hidden="false" customHeight="false" outlineLevel="0" collapsed="false">
      <c r="L4767" s="31" t="n">
        <f aca="true">NORMSINV(RAND())*$G$7+$G$6</f>
        <v>0.0154340998705432</v>
      </c>
    </row>
    <row r="4768" customFormat="false" ht="15" hidden="false" customHeight="false" outlineLevel="0" collapsed="false">
      <c r="L4768" s="31" t="n">
        <f aca="true">NORMSINV(RAND())*$G$7+$G$6</f>
        <v>0.00313980080563939</v>
      </c>
    </row>
    <row r="4769" customFormat="false" ht="15" hidden="false" customHeight="false" outlineLevel="0" collapsed="false">
      <c r="L4769" s="31" t="n">
        <f aca="true">NORMSINV(RAND())*$G$7+$G$6</f>
        <v>-0.00721105575561384</v>
      </c>
    </row>
    <row r="4770" customFormat="false" ht="15" hidden="false" customHeight="false" outlineLevel="0" collapsed="false">
      <c r="L4770" s="31" t="n">
        <f aca="true">NORMSINV(RAND())*$G$7+$G$6</f>
        <v>-0.0264062647294968</v>
      </c>
    </row>
    <row r="4771" customFormat="false" ht="15" hidden="false" customHeight="false" outlineLevel="0" collapsed="false">
      <c r="L4771" s="31" t="n">
        <f aca="true">NORMSINV(RAND())*$G$7+$G$6</f>
        <v>0.00788883623521795</v>
      </c>
    </row>
    <row r="4772" customFormat="false" ht="15" hidden="false" customHeight="false" outlineLevel="0" collapsed="false">
      <c r="L4772" s="31" t="n">
        <f aca="true">NORMSINV(RAND())*$G$7+$G$6</f>
        <v>-0.0133618680540094</v>
      </c>
    </row>
    <row r="4773" customFormat="false" ht="15" hidden="false" customHeight="false" outlineLevel="0" collapsed="false">
      <c r="L4773" s="31" t="n">
        <f aca="true">NORMSINV(RAND())*$G$7+$G$6</f>
        <v>0.00544295005399696</v>
      </c>
    </row>
    <row r="4774" customFormat="false" ht="15" hidden="false" customHeight="false" outlineLevel="0" collapsed="false">
      <c r="L4774" s="31" t="n">
        <f aca="true">NORMSINV(RAND())*$G$7+$G$6</f>
        <v>-0.00518310211257853</v>
      </c>
    </row>
    <row r="4775" customFormat="false" ht="15" hidden="false" customHeight="false" outlineLevel="0" collapsed="false">
      <c r="L4775" s="31" t="n">
        <f aca="true">NORMSINV(RAND())*$G$7+$G$6</f>
        <v>0.0108200851217669</v>
      </c>
    </row>
    <row r="4776" customFormat="false" ht="15" hidden="false" customHeight="false" outlineLevel="0" collapsed="false">
      <c r="L4776" s="31" t="n">
        <f aca="true">NORMSINV(RAND())*$G$7+$G$6</f>
        <v>-0.000460003803636768</v>
      </c>
    </row>
    <row r="4777" customFormat="false" ht="15" hidden="false" customHeight="false" outlineLevel="0" collapsed="false">
      <c r="L4777" s="31" t="n">
        <f aca="true">NORMSINV(RAND())*$G$7+$G$6</f>
        <v>-0.0098279268614974</v>
      </c>
    </row>
    <row r="4778" customFormat="false" ht="15" hidden="false" customHeight="false" outlineLevel="0" collapsed="false">
      <c r="L4778" s="31" t="n">
        <f aca="true">NORMSINV(RAND())*$G$7+$G$6</f>
        <v>0.00930700430925989</v>
      </c>
    </row>
    <row r="4779" customFormat="false" ht="15" hidden="false" customHeight="false" outlineLevel="0" collapsed="false">
      <c r="L4779" s="31" t="n">
        <f aca="true">NORMSINV(RAND())*$G$7+$G$6</f>
        <v>0.00340345032711409</v>
      </c>
    </row>
    <row r="4780" customFormat="false" ht="15" hidden="false" customHeight="false" outlineLevel="0" collapsed="false">
      <c r="L4780" s="31" t="n">
        <f aca="true">NORMSINV(RAND())*$G$7+$G$6</f>
        <v>-0.0087337311335106</v>
      </c>
    </row>
    <row r="4781" customFormat="false" ht="15" hidden="false" customHeight="false" outlineLevel="0" collapsed="false">
      <c r="L4781" s="31" t="n">
        <f aca="true">NORMSINV(RAND())*$G$7+$G$6</f>
        <v>-0.00942817468387334</v>
      </c>
    </row>
    <row r="4782" customFormat="false" ht="15" hidden="false" customHeight="false" outlineLevel="0" collapsed="false">
      <c r="L4782" s="31" t="n">
        <f aca="true">NORMSINV(RAND())*$G$7+$G$6</f>
        <v>-0.000458694736203966</v>
      </c>
    </row>
    <row r="4783" customFormat="false" ht="15" hidden="false" customHeight="false" outlineLevel="0" collapsed="false">
      <c r="L4783" s="31" t="n">
        <f aca="true">NORMSINV(RAND())*$G$7+$G$6</f>
        <v>0.0174604050018917</v>
      </c>
    </row>
    <row r="4784" customFormat="false" ht="15" hidden="false" customHeight="false" outlineLevel="0" collapsed="false">
      <c r="L4784" s="31" t="n">
        <f aca="true">NORMSINV(RAND())*$G$7+$G$6</f>
        <v>-0.0220016599289898</v>
      </c>
    </row>
    <row r="4785" customFormat="false" ht="15" hidden="false" customHeight="false" outlineLevel="0" collapsed="false">
      <c r="L4785" s="31" t="n">
        <f aca="true">NORMSINV(RAND())*$G$7+$G$6</f>
        <v>0.00349955358016924</v>
      </c>
    </row>
    <row r="4786" customFormat="false" ht="15" hidden="false" customHeight="false" outlineLevel="0" collapsed="false">
      <c r="L4786" s="31" t="n">
        <f aca="true">NORMSINV(RAND())*$G$7+$G$6</f>
        <v>0.0124754962761416</v>
      </c>
    </row>
    <row r="4787" customFormat="false" ht="15" hidden="false" customHeight="false" outlineLevel="0" collapsed="false">
      <c r="L4787" s="31" t="n">
        <f aca="true">NORMSINV(RAND())*$G$7+$G$6</f>
        <v>0.000602155323986293</v>
      </c>
    </row>
    <row r="4788" customFormat="false" ht="15" hidden="false" customHeight="false" outlineLevel="0" collapsed="false">
      <c r="L4788" s="31" t="n">
        <f aca="true">NORMSINV(RAND())*$G$7+$G$6</f>
        <v>-0.00249769068760891</v>
      </c>
    </row>
    <row r="4789" customFormat="false" ht="15" hidden="false" customHeight="false" outlineLevel="0" collapsed="false">
      <c r="L4789" s="31" t="n">
        <f aca="true">NORMSINV(RAND())*$G$7+$G$6</f>
        <v>-0.037320664889118</v>
      </c>
    </row>
    <row r="4790" customFormat="false" ht="15" hidden="false" customHeight="false" outlineLevel="0" collapsed="false">
      <c r="L4790" s="31" t="n">
        <f aca="true">NORMSINV(RAND())*$G$7+$G$6</f>
        <v>-0.0160260649860809</v>
      </c>
    </row>
    <row r="4791" customFormat="false" ht="15" hidden="false" customHeight="false" outlineLevel="0" collapsed="false">
      <c r="L4791" s="31" t="n">
        <f aca="true">NORMSINV(RAND())*$G$7+$G$6</f>
        <v>0.0125666243001328</v>
      </c>
    </row>
    <row r="4792" customFormat="false" ht="15" hidden="false" customHeight="false" outlineLevel="0" collapsed="false">
      <c r="L4792" s="31" t="n">
        <f aca="true">NORMSINV(RAND())*$G$7+$G$6</f>
        <v>-0.0121414637552833</v>
      </c>
    </row>
    <row r="4793" customFormat="false" ht="15" hidden="false" customHeight="false" outlineLevel="0" collapsed="false">
      <c r="L4793" s="31" t="n">
        <f aca="true">NORMSINV(RAND())*$G$7+$G$6</f>
        <v>-0.00134052802473182</v>
      </c>
    </row>
    <row r="4794" customFormat="false" ht="15" hidden="false" customHeight="false" outlineLevel="0" collapsed="false">
      <c r="L4794" s="31" t="n">
        <f aca="true">NORMSINV(RAND())*$G$7+$G$6</f>
        <v>0.00323392247337061</v>
      </c>
    </row>
    <row r="4795" customFormat="false" ht="15" hidden="false" customHeight="false" outlineLevel="0" collapsed="false">
      <c r="L4795" s="31" t="n">
        <f aca="true">NORMSINV(RAND())*$G$7+$G$6</f>
        <v>0.00169579820648909</v>
      </c>
    </row>
    <row r="4796" customFormat="false" ht="15" hidden="false" customHeight="false" outlineLevel="0" collapsed="false">
      <c r="L4796" s="31" t="n">
        <f aca="true">NORMSINV(RAND())*$G$7+$G$6</f>
        <v>-0.0047989272202094</v>
      </c>
    </row>
    <row r="4797" customFormat="false" ht="15" hidden="false" customHeight="false" outlineLevel="0" collapsed="false">
      <c r="L4797" s="31" t="n">
        <f aca="true">NORMSINV(RAND())*$G$7+$G$6</f>
        <v>-0.00787640380455085</v>
      </c>
    </row>
    <row r="4798" customFormat="false" ht="15" hidden="false" customHeight="false" outlineLevel="0" collapsed="false">
      <c r="L4798" s="31" t="n">
        <f aca="true">NORMSINV(RAND())*$G$7+$G$6</f>
        <v>0.0272591914200703</v>
      </c>
    </row>
    <row r="4799" customFormat="false" ht="15" hidden="false" customHeight="false" outlineLevel="0" collapsed="false">
      <c r="L4799" s="31" t="n">
        <f aca="true">NORMSINV(RAND())*$G$7+$G$6</f>
        <v>0.0185103440038485</v>
      </c>
    </row>
    <row r="4800" customFormat="false" ht="15" hidden="false" customHeight="false" outlineLevel="0" collapsed="false">
      <c r="L4800" s="31" t="n">
        <f aca="true">NORMSINV(RAND())*$G$7+$G$6</f>
        <v>0.0323953149152004</v>
      </c>
    </row>
    <row r="4801" customFormat="false" ht="15" hidden="false" customHeight="false" outlineLevel="0" collapsed="false">
      <c r="L4801" s="31" t="n">
        <f aca="true">NORMSINV(RAND())*$G$7+$G$6</f>
        <v>0.00405320135044374</v>
      </c>
    </row>
    <row r="4802" customFormat="false" ht="15" hidden="false" customHeight="false" outlineLevel="0" collapsed="false">
      <c r="L4802" s="31" t="n">
        <f aca="true">NORMSINV(RAND())*$G$7+$G$6</f>
        <v>0.0209617086491162</v>
      </c>
    </row>
    <row r="4803" customFormat="false" ht="15" hidden="false" customHeight="false" outlineLevel="0" collapsed="false">
      <c r="L4803" s="31" t="n">
        <f aca="true">NORMSINV(RAND())*$G$7+$G$6</f>
        <v>-0.00173724227340438</v>
      </c>
    </row>
    <row r="4804" customFormat="false" ht="15" hidden="false" customHeight="false" outlineLevel="0" collapsed="false">
      <c r="L4804" s="31" t="n">
        <f aca="true">NORMSINV(RAND())*$G$7+$G$6</f>
        <v>0.0223001939471582</v>
      </c>
    </row>
    <row r="4805" customFormat="false" ht="15" hidden="false" customHeight="false" outlineLevel="0" collapsed="false">
      <c r="L4805" s="31" t="n">
        <f aca="true">NORMSINV(RAND())*$G$7+$G$6</f>
        <v>0.0015083340849522</v>
      </c>
    </row>
    <row r="4806" customFormat="false" ht="15" hidden="false" customHeight="false" outlineLevel="0" collapsed="false">
      <c r="L4806" s="31" t="n">
        <f aca="true">NORMSINV(RAND())*$G$7+$G$6</f>
        <v>-0.00445409292505844</v>
      </c>
    </row>
    <row r="4807" customFormat="false" ht="15" hidden="false" customHeight="false" outlineLevel="0" collapsed="false">
      <c r="L4807" s="31" t="n">
        <f aca="true">NORMSINV(RAND())*$G$7+$G$6</f>
        <v>0.00668495147673675</v>
      </c>
    </row>
    <row r="4808" customFormat="false" ht="15" hidden="false" customHeight="false" outlineLevel="0" collapsed="false">
      <c r="L4808" s="31" t="n">
        <f aca="true">NORMSINV(RAND())*$G$7+$G$6</f>
        <v>0.00176027836160474</v>
      </c>
    </row>
    <row r="4809" customFormat="false" ht="15" hidden="false" customHeight="false" outlineLevel="0" collapsed="false">
      <c r="L4809" s="31" t="n">
        <f aca="true">NORMSINV(RAND())*$G$7+$G$6</f>
        <v>0.00717702123073738</v>
      </c>
    </row>
    <row r="4810" customFormat="false" ht="15" hidden="false" customHeight="false" outlineLevel="0" collapsed="false">
      <c r="L4810" s="31" t="n">
        <f aca="true">NORMSINV(RAND())*$G$7+$G$6</f>
        <v>0.00799190402874837</v>
      </c>
    </row>
    <row r="4811" customFormat="false" ht="15" hidden="false" customHeight="false" outlineLevel="0" collapsed="false">
      <c r="L4811" s="31" t="n">
        <f aca="true">NORMSINV(RAND())*$G$7+$G$6</f>
        <v>0.0163702187074936</v>
      </c>
    </row>
    <row r="4812" customFormat="false" ht="15" hidden="false" customHeight="false" outlineLevel="0" collapsed="false">
      <c r="L4812" s="31" t="n">
        <f aca="true">NORMSINV(RAND())*$G$7+$G$6</f>
        <v>0.00512522636919893</v>
      </c>
    </row>
    <row r="4813" customFormat="false" ht="15" hidden="false" customHeight="false" outlineLevel="0" collapsed="false">
      <c r="L4813" s="31" t="n">
        <f aca="true">NORMSINV(RAND())*$G$7+$G$6</f>
        <v>0.0179479622791914</v>
      </c>
    </row>
    <row r="4814" customFormat="false" ht="15" hidden="false" customHeight="false" outlineLevel="0" collapsed="false">
      <c r="L4814" s="31" t="n">
        <f aca="true">NORMSINV(RAND())*$G$7+$G$6</f>
        <v>-0.000872161764232542</v>
      </c>
    </row>
    <row r="4815" customFormat="false" ht="15" hidden="false" customHeight="false" outlineLevel="0" collapsed="false">
      <c r="L4815" s="31" t="n">
        <f aca="true">NORMSINV(RAND())*$G$7+$G$6</f>
        <v>-0.00696310447560783</v>
      </c>
    </row>
    <row r="4816" customFormat="false" ht="15" hidden="false" customHeight="false" outlineLevel="0" collapsed="false">
      <c r="L4816" s="31" t="n">
        <f aca="true">NORMSINV(RAND())*$G$7+$G$6</f>
        <v>0.0111134497337637</v>
      </c>
    </row>
    <row r="4817" customFormat="false" ht="15" hidden="false" customHeight="false" outlineLevel="0" collapsed="false">
      <c r="L4817" s="31" t="n">
        <f aca="true">NORMSINV(RAND())*$G$7+$G$6</f>
        <v>0.0202381486977272</v>
      </c>
    </row>
    <row r="4818" customFormat="false" ht="15" hidden="false" customHeight="false" outlineLevel="0" collapsed="false">
      <c r="L4818" s="31" t="n">
        <f aca="true">NORMSINV(RAND())*$G$7+$G$6</f>
        <v>0.00553367496709432</v>
      </c>
    </row>
    <row r="4819" customFormat="false" ht="15" hidden="false" customHeight="false" outlineLevel="0" collapsed="false">
      <c r="L4819" s="31" t="n">
        <f aca="true">NORMSINV(RAND())*$G$7+$G$6</f>
        <v>-0.00725344793828299</v>
      </c>
    </row>
    <row r="4820" customFormat="false" ht="15" hidden="false" customHeight="false" outlineLevel="0" collapsed="false">
      <c r="L4820" s="31" t="n">
        <f aca="true">NORMSINV(RAND())*$G$7+$G$6</f>
        <v>0.0204760513250763</v>
      </c>
    </row>
    <row r="4821" customFormat="false" ht="15" hidden="false" customHeight="false" outlineLevel="0" collapsed="false">
      <c r="L4821" s="31" t="n">
        <f aca="true">NORMSINV(RAND())*$G$7+$G$6</f>
        <v>0.00714231685975388</v>
      </c>
    </row>
    <row r="4822" customFormat="false" ht="15" hidden="false" customHeight="false" outlineLevel="0" collapsed="false">
      <c r="L4822" s="31" t="n">
        <f aca="true">NORMSINV(RAND())*$G$7+$G$6</f>
        <v>-0.00665339140776482</v>
      </c>
    </row>
    <row r="4823" customFormat="false" ht="15" hidden="false" customHeight="false" outlineLevel="0" collapsed="false">
      <c r="L4823" s="31" t="n">
        <f aca="true">NORMSINV(RAND())*$G$7+$G$6</f>
        <v>-0.016540198036039</v>
      </c>
    </row>
    <row r="4824" customFormat="false" ht="15" hidden="false" customHeight="false" outlineLevel="0" collapsed="false">
      <c r="L4824" s="31" t="n">
        <f aca="true">NORMSINV(RAND())*$G$7+$G$6</f>
        <v>0.00112344519770214</v>
      </c>
    </row>
    <row r="4825" customFormat="false" ht="15" hidden="false" customHeight="false" outlineLevel="0" collapsed="false">
      <c r="L4825" s="31" t="n">
        <f aca="true">NORMSINV(RAND())*$G$7+$G$6</f>
        <v>0.000406234860657513</v>
      </c>
    </row>
    <row r="4826" customFormat="false" ht="15" hidden="false" customHeight="false" outlineLevel="0" collapsed="false">
      <c r="L4826" s="31" t="n">
        <f aca="true">NORMSINV(RAND())*$G$7+$G$6</f>
        <v>-0.0177008350431111</v>
      </c>
    </row>
    <row r="4827" customFormat="false" ht="15" hidden="false" customHeight="false" outlineLevel="0" collapsed="false">
      <c r="L4827" s="31" t="n">
        <f aca="true">NORMSINV(RAND())*$G$7+$G$6</f>
        <v>-0.00218328125964507</v>
      </c>
    </row>
    <row r="4828" customFormat="false" ht="15" hidden="false" customHeight="false" outlineLevel="0" collapsed="false">
      <c r="L4828" s="31" t="n">
        <f aca="true">NORMSINV(RAND())*$G$7+$G$6</f>
        <v>0.006643410551296</v>
      </c>
    </row>
    <row r="4829" customFormat="false" ht="15" hidden="false" customHeight="false" outlineLevel="0" collapsed="false">
      <c r="L4829" s="31" t="n">
        <f aca="true">NORMSINV(RAND())*$G$7+$G$6</f>
        <v>-0.0163902178760141</v>
      </c>
    </row>
    <row r="4830" customFormat="false" ht="15" hidden="false" customHeight="false" outlineLevel="0" collapsed="false">
      <c r="L4830" s="31" t="n">
        <f aca="true">NORMSINV(RAND())*$G$7+$G$6</f>
        <v>0.0209102344415684</v>
      </c>
    </row>
    <row r="4831" customFormat="false" ht="15" hidden="false" customHeight="false" outlineLevel="0" collapsed="false">
      <c r="L4831" s="31" t="n">
        <f aca="true">NORMSINV(RAND())*$G$7+$G$6</f>
        <v>-0.0184634070081307</v>
      </c>
    </row>
    <row r="4832" customFormat="false" ht="15" hidden="false" customHeight="false" outlineLevel="0" collapsed="false">
      <c r="L4832" s="31" t="n">
        <f aca="true">NORMSINV(RAND())*$G$7+$G$6</f>
        <v>0.0196159393821509</v>
      </c>
    </row>
    <row r="4833" customFormat="false" ht="15" hidden="false" customHeight="false" outlineLevel="0" collapsed="false">
      <c r="L4833" s="31" t="n">
        <f aca="true">NORMSINV(RAND())*$G$7+$G$6</f>
        <v>0.0180638373205983</v>
      </c>
    </row>
    <row r="4834" customFormat="false" ht="15" hidden="false" customHeight="false" outlineLevel="0" collapsed="false">
      <c r="L4834" s="31" t="n">
        <f aca="true">NORMSINV(RAND())*$G$7+$G$6</f>
        <v>-0.00297792478087108</v>
      </c>
    </row>
    <row r="4835" customFormat="false" ht="15" hidden="false" customHeight="false" outlineLevel="0" collapsed="false">
      <c r="L4835" s="31" t="n">
        <f aca="true">NORMSINV(RAND())*$G$7+$G$6</f>
        <v>0.000888586583839985</v>
      </c>
    </row>
    <row r="4836" customFormat="false" ht="15" hidden="false" customHeight="false" outlineLevel="0" collapsed="false">
      <c r="L4836" s="31" t="n">
        <f aca="true">NORMSINV(RAND())*$G$7+$G$6</f>
        <v>0.0286440690502899</v>
      </c>
    </row>
    <row r="4837" customFormat="false" ht="15" hidden="false" customHeight="false" outlineLevel="0" collapsed="false">
      <c r="L4837" s="31" t="n">
        <f aca="true">NORMSINV(RAND())*$G$7+$G$6</f>
        <v>0.00851433942983546</v>
      </c>
    </row>
    <row r="4838" customFormat="false" ht="15" hidden="false" customHeight="false" outlineLevel="0" collapsed="false">
      <c r="L4838" s="31" t="n">
        <f aca="true">NORMSINV(RAND())*$G$7+$G$6</f>
        <v>0.00205487116729672</v>
      </c>
    </row>
    <row r="4839" customFormat="false" ht="15" hidden="false" customHeight="false" outlineLevel="0" collapsed="false">
      <c r="L4839" s="31" t="n">
        <f aca="true">NORMSINV(RAND())*$G$7+$G$6</f>
        <v>0.00923479276761165</v>
      </c>
    </row>
    <row r="4840" customFormat="false" ht="15" hidden="false" customHeight="false" outlineLevel="0" collapsed="false">
      <c r="L4840" s="31" t="n">
        <f aca="true">NORMSINV(RAND())*$G$7+$G$6</f>
        <v>0.00899140926815558</v>
      </c>
    </row>
    <row r="4841" customFormat="false" ht="15" hidden="false" customHeight="false" outlineLevel="0" collapsed="false">
      <c r="L4841" s="31" t="n">
        <f aca="true">NORMSINV(RAND())*$G$7+$G$6</f>
        <v>-0.0230712503945121</v>
      </c>
    </row>
    <row r="4842" customFormat="false" ht="15" hidden="false" customHeight="false" outlineLevel="0" collapsed="false">
      <c r="L4842" s="31" t="n">
        <f aca="true">NORMSINV(RAND())*$G$7+$G$6</f>
        <v>-0.0154422532456248</v>
      </c>
    </row>
    <row r="4843" customFormat="false" ht="15" hidden="false" customHeight="false" outlineLevel="0" collapsed="false">
      <c r="L4843" s="31" t="n">
        <f aca="true">NORMSINV(RAND())*$G$7+$G$6</f>
        <v>-0.00442605718904907</v>
      </c>
    </row>
    <row r="4844" customFormat="false" ht="15" hidden="false" customHeight="false" outlineLevel="0" collapsed="false">
      <c r="L4844" s="31" t="n">
        <f aca="true">NORMSINV(RAND())*$G$7+$G$6</f>
        <v>0.0120406166234622</v>
      </c>
    </row>
    <row r="4845" customFormat="false" ht="15" hidden="false" customHeight="false" outlineLevel="0" collapsed="false">
      <c r="L4845" s="31" t="n">
        <f aca="true">NORMSINV(RAND())*$G$7+$G$6</f>
        <v>0.0231855188816383</v>
      </c>
    </row>
    <row r="4846" customFormat="false" ht="15" hidden="false" customHeight="false" outlineLevel="0" collapsed="false">
      <c r="L4846" s="31" t="n">
        <f aca="true">NORMSINV(RAND())*$G$7+$G$6</f>
        <v>0.00374298879096621</v>
      </c>
    </row>
    <row r="4847" customFormat="false" ht="15" hidden="false" customHeight="false" outlineLevel="0" collapsed="false">
      <c r="L4847" s="31" t="n">
        <f aca="true">NORMSINV(RAND())*$G$7+$G$6</f>
        <v>0.0273299181796709</v>
      </c>
    </row>
    <row r="4848" customFormat="false" ht="15" hidden="false" customHeight="false" outlineLevel="0" collapsed="false">
      <c r="L4848" s="31" t="n">
        <f aca="true">NORMSINV(RAND())*$G$7+$G$6</f>
        <v>-0.0140912123157174</v>
      </c>
    </row>
    <row r="4849" customFormat="false" ht="15" hidden="false" customHeight="false" outlineLevel="0" collapsed="false">
      <c r="L4849" s="31" t="n">
        <f aca="true">NORMSINV(RAND())*$G$7+$G$6</f>
        <v>-0.0021444622565695</v>
      </c>
    </row>
    <row r="4850" customFormat="false" ht="15" hidden="false" customHeight="false" outlineLevel="0" collapsed="false">
      <c r="L4850" s="31" t="n">
        <f aca="true">NORMSINV(RAND())*$G$7+$G$6</f>
        <v>-0.017290134914649</v>
      </c>
    </row>
    <row r="4851" customFormat="false" ht="15" hidden="false" customHeight="false" outlineLevel="0" collapsed="false">
      <c r="L4851" s="31" t="n">
        <f aca="true">NORMSINV(RAND())*$G$7+$G$6</f>
        <v>-0.0255523847715722</v>
      </c>
    </row>
    <row r="4852" customFormat="false" ht="15" hidden="false" customHeight="false" outlineLevel="0" collapsed="false">
      <c r="L4852" s="31" t="n">
        <f aca="true">NORMSINV(RAND())*$G$7+$G$6</f>
        <v>-0.00377668952378004</v>
      </c>
    </row>
    <row r="4853" customFormat="false" ht="15" hidden="false" customHeight="false" outlineLevel="0" collapsed="false">
      <c r="L4853" s="31" t="n">
        <f aca="true">NORMSINV(RAND())*$G$7+$G$6</f>
        <v>0.0266059695314088</v>
      </c>
    </row>
    <row r="4854" customFormat="false" ht="15" hidden="false" customHeight="false" outlineLevel="0" collapsed="false">
      <c r="L4854" s="31" t="n">
        <f aca="true">NORMSINV(RAND())*$G$7+$G$6</f>
        <v>-0.00305190250555667</v>
      </c>
    </row>
    <row r="4855" customFormat="false" ht="15" hidden="false" customHeight="false" outlineLevel="0" collapsed="false">
      <c r="L4855" s="31" t="n">
        <f aca="true">NORMSINV(RAND())*$G$7+$G$6</f>
        <v>0.00442392340460344</v>
      </c>
    </row>
    <row r="4856" customFormat="false" ht="15" hidden="false" customHeight="false" outlineLevel="0" collapsed="false">
      <c r="L4856" s="31" t="n">
        <f aca="true">NORMSINV(RAND())*$G$7+$G$6</f>
        <v>0.0177509075348887</v>
      </c>
    </row>
    <row r="4857" customFormat="false" ht="15" hidden="false" customHeight="false" outlineLevel="0" collapsed="false">
      <c r="L4857" s="31" t="n">
        <f aca="true">NORMSINV(RAND())*$G$7+$G$6</f>
        <v>0.0126327941219259</v>
      </c>
    </row>
    <row r="4858" customFormat="false" ht="15" hidden="false" customHeight="false" outlineLevel="0" collapsed="false">
      <c r="L4858" s="31" t="n">
        <f aca="true">NORMSINV(RAND())*$G$7+$G$6</f>
        <v>-0.0205466823120288</v>
      </c>
    </row>
    <row r="4859" customFormat="false" ht="15" hidden="false" customHeight="false" outlineLevel="0" collapsed="false">
      <c r="L4859" s="31" t="n">
        <f aca="true">NORMSINV(RAND())*$G$7+$G$6</f>
        <v>-0.0100440688566855</v>
      </c>
    </row>
    <row r="4860" customFormat="false" ht="15" hidden="false" customHeight="false" outlineLevel="0" collapsed="false">
      <c r="L4860" s="31" t="n">
        <f aca="true">NORMSINV(RAND())*$G$7+$G$6</f>
        <v>0.00452899858449333</v>
      </c>
    </row>
    <row r="4861" customFormat="false" ht="15" hidden="false" customHeight="false" outlineLevel="0" collapsed="false">
      <c r="L4861" s="31" t="n">
        <f aca="true">NORMSINV(RAND())*$G$7+$G$6</f>
        <v>-0.00757346609062132</v>
      </c>
    </row>
    <row r="4862" customFormat="false" ht="15" hidden="false" customHeight="false" outlineLevel="0" collapsed="false">
      <c r="L4862" s="31" t="n">
        <f aca="true">NORMSINV(RAND())*$G$7+$G$6</f>
        <v>-0.00668213458407535</v>
      </c>
    </row>
    <row r="4863" customFormat="false" ht="15" hidden="false" customHeight="false" outlineLevel="0" collapsed="false">
      <c r="L4863" s="31" t="n">
        <f aca="true">NORMSINV(RAND())*$G$7+$G$6</f>
        <v>0.0104211997229228</v>
      </c>
    </row>
    <row r="4864" customFormat="false" ht="15" hidden="false" customHeight="false" outlineLevel="0" collapsed="false">
      <c r="L4864" s="31" t="n">
        <f aca="true">NORMSINV(RAND())*$G$7+$G$6</f>
        <v>-0.0192444709690742</v>
      </c>
    </row>
    <row r="4865" customFormat="false" ht="15" hidden="false" customHeight="false" outlineLevel="0" collapsed="false">
      <c r="L4865" s="31" t="n">
        <f aca="true">NORMSINV(RAND())*$G$7+$G$6</f>
        <v>-0.0203496460922409</v>
      </c>
    </row>
    <row r="4866" customFormat="false" ht="15" hidden="false" customHeight="false" outlineLevel="0" collapsed="false">
      <c r="L4866" s="31" t="n">
        <f aca="true">NORMSINV(RAND())*$G$7+$G$6</f>
        <v>-0.00363715572941754</v>
      </c>
    </row>
    <row r="4867" customFormat="false" ht="15" hidden="false" customHeight="false" outlineLevel="0" collapsed="false">
      <c r="L4867" s="31" t="n">
        <f aca="true">NORMSINV(RAND())*$G$7+$G$6</f>
        <v>0.0304408302638927</v>
      </c>
    </row>
    <row r="4868" customFormat="false" ht="15" hidden="false" customHeight="false" outlineLevel="0" collapsed="false">
      <c r="L4868" s="31" t="n">
        <f aca="true">NORMSINV(RAND())*$G$7+$G$6</f>
        <v>0.00240086087040115</v>
      </c>
    </row>
    <row r="4869" customFormat="false" ht="15" hidden="false" customHeight="false" outlineLevel="0" collapsed="false">
      <c r="L4869" s="31" t="n">
        <f aca="true">NORMSINV(RAND())*$G$7+$G$6</f>
        <v>-0.00862094320349955</v>
      </c>
    </row>
    <row r="4870" customFormat="false" ht="15" hidden="false" customHeight="false" outlineLevel="0" collapsed="false">
      <c r="L4870" s="31" t="n">
        <f aca="true">NORMSINV(RAND())*$G$7+$G$6</f>
        <v>0.0113685298574896</v>
      </c>
    </row>
    <row r="4871" customFormat="false" ht="15" hidden="false" customHeight="false" outlineLevel="0" collapsed="false">
      <c r="L4871" s="31" t="n">
        <f aca="true">NORMSINV(RAND())*$G$7+$G$6</f>
        <v>-0.00574160368758747</v>
      </c>
    </row>
    <row r="4872" customFormat="false" ht="15" hidden="false" customHeight="false" outlineLevel="0" collapsed="false">
      <c r="L4872" s="31" t="n">
        <f aca="true">NORMSINV(RAND())*$G$7+$G$6</f>
        <v>-0.00351546875885011</v>
      </c>
    </row>
    <row r="4873" customFormat="false" ht="15" hidden="false" customHeight="false" outlineLevel="0" collapsed="false">
      <c r="L4873" s="31" t="n">
        <f aca="true">NORMSINV(RAND())*$G$7+$G$6</f>
        <v>-0.00425226282143853</v>
      </c>
    </row>
    <row r="4874" customFormat="false" ht="15" hidden="false" customHeight="false" outlineLevel="0" collapsed="false">
      <c r="L4874" s="31" t="n">
        <f aca="true">NORMSINV(RAND())*$G$7+$G$6</f>
        <v>0.0261712566174319</v>
      </c>
    </row>
    <row r="4875" customFormat="false" ht="15" hidden="false" customHeight="false" outlineLevel="0" collapsed="false">
      <c r="L4875" s="31" t="n">
        <f aca="true">NORMSINV(RAND())*$G$7+$G$6</f>
        <v>-0.00441303916903899</v>
      </c>
    </row>
    <row r="4876" customFormat="false" ht="15" hidden="false" customHeight="false" outlineLevel="0" collapsed="false">
      <c r="L4876" s="31" t="n">
        <f aca="true">NORMSINV(RAND())*$G$7+$G$6</f>
        <v>-0.0361756771674036</v>
      </c>
    </row>
    <row r="4877" customFormat="false" ht="15" hidden="false" customHeight="false" outlineLevel="0" collapsed="false">
      <c r="L4877" s="31" t="n">
        <f aca="true">NORMSINV(RAND())*$G$7+$G$6</f>
        <v>-0.00490977627089584</v>
      </c>
    </row>
    <row r="4878" customFormat="false" ht="15" hidden="false" customHeight="false" outlineLevel="0" collapsed="false">
      <c r="L4878" s="31" t="n">
        <f aca="true">NORMSINV(RAND())*$G$7+$G$6</f>
        <v>0.00924151273113671</v>
      </c>
    </row>
    <row r="4879" customFormat="false" ht="15" hidden="false" customHeight="false" outlineLevel="0" collapsed="false">
      <c r="L4879" s="31" t="n">
        <f aca="true">NORMSINV(RAND())*$G$7+$G$6</f>
        <v>0.00981424247843896</v>
      </c>
    </row>
    <row r="4880" customFormat="false" ht="15" hidden="false" customHeight="false" outlineLevel="0" collapsed="false">
      <c r="L4880" s="31" t="n">
        <f aca="true">NORMSINV(RAND())*$G$7+$G$6</f>
        <v>-0.000136679363302662</v>
      </c>
    </row>
    <row r="4881" customFormat="false" ht="15" hidden="false" customHeight="false" outlineLevel="0" collapsed="false">
      <c r="L4881" s="31" t="n">
        <f aca="true">NORMSINV(RAND())*$G$7+$G$6</f>
        <v>0.00430939164169446</v>
      </c>
    </row>
    <row r="4882" customFormat="false" ht="15" hidden="false" customHeight="false" outlineLevel="0" collapsed="false">
      <c r="L4882" s="31" t="n">
        <f aca="true">NORMSINV(RAND())*$G$7+$G$6</f>
        <v>0.014383179234108</v>
      </c>
    </row>
    <row r="4883" customFormat="false" ht="15" hidden="false" customHeight="false" outlineLevel="0" collapsed="false">
      <c r="L4883" s="31" t="n">
        <f aca="true">NORMSINV(RAND())*$G$7+$G$6</f>
        <v>0.0214948980265377</v>
      </c>
    </row>
    <row r="4884" customFormat="false" ht="15" hidden="false" customHeight="false" outlineLevel="0" collapsed="false">
      <c r="L4884" s="31" t="n">
        <f aca="true">NORMSINV(RAND())*$G$7+$G$6</f>
        <v>-0.0139348925497251</v>
      </c>
    </row>
    <row r="4885" customFormat="false" ht="15" hidden="false" customHeight="false" outlineLevel="0" collapsed="false">
      <c r="L4885" s="31" t="n">
        <f aca="true">NORMSINV(RAND())*$G$7+$G$6</f>
        <v>-0.0183664848767105</v>
      </c>
    </row>
    <row r="4886" customFormat="false" ht="15" hidden="false" customHeight="false" outlineLevel="0" collapsed="false">
      <c r="L4886" s="31" t="n">
        <f aca="true">NORMSINV(RAND())*$G$7+$G$6</f>
        <v>-0.0038068288505026</v>
      </c>
    </row>
    <row r="4887" customFormat="false" ht="15" hidden="false" customHeight="false" outlineLevel="0" collapsed="false">
      <c r="L4887" s="31" t="n">
        <f aca="true">NORMSINV(RAND())*$G$7+$G$6</f>
        <v>0.0050940784893342</v>
      </c>
    </row>
    <row r="4888" customFormat="false" ht="15" hidden="false" customHeight="false" outlineLevel="0" collapsed="false">
      <c r="L4888" s="31" t="n">
        <f aca="true">NORMSINV(RAND())*$G$7+$G$6</f>
        <v>0.0179733167480202</v>
      </c>
    </row>
    <row r="4889" customFormat="false" ht="15" hidden="false" customHeight="false" outlineLevel="0" collapsed="false">
      <c r="L4889" s="31" t="n">
        <f aca="true">NORMSINV(RAND())*$G$7+$G$6</f>
        <v>0.0088383651742613</v>
      </c>
    </row>
    <row r="4890" customFormat="false" ht="15" hidden="false" customHeight="false" outlineLevel="0" collapsed="false">
      <c r="L4890" s="31" t="n">
        <f aca="true">NORMSINV(RAND())*$G$7+$G$6</f>
        <v>0.00283078095008392</v>
      </c>
    </row>
    <row r="4891" customFormat="false" ht="15" hidden="false" customHeight="false" outlineLevel="0" collapsed="false">
      <c r="L4891" s="31" t="n">
        <f aca="true">NORMSINV(RAND())*$G$7+$G$6</f>
        <v>0.0041570982012899</v>
      </c>
    </row>
    <row r="4892" customFormat="false" ht="15" hidden="false" customHeight="false" outlineLevel="0" collapsed="false">
      <c r="L4892" s="31" t="n">
        <f aca="true">NORMSINV(RAND())*$G$7+$G$6</f>
        <v>-0.0313123170385141</v>
      </c>
    </row>
    <row r="4893" customFormat="false" ht="15" hidden="false" customHeight="false" outlineLevel="0" collapsed="false">
      <c r="L4893" s="31" t="n">
        <f aca="true">NORMSINV(RAND())*$G$7+$G$6</f>
        <v>-0.0068966905390661</v>
      </c>
    </row>
    <row r="4894" customFormat="false" ht="15" hidden="false" customHeight="false" outlineLevel="0" collapsed="false">
      <c r="L4894" s="31" t="n">
        <f aca="true">NORMSINV(RAND())*$G$7+$G$6</f>
        <v>0.00051372996714812</v>
      </c>
    </row>
    <row r="4895" customFormat="false" ht="15" hidden="false" customHeight="false" outlineLevel="0" collapsed="false">
      <c r="L4895" s="31" t="n">
        <f aca="true">NORMSINV(RAND())*$G$7+$G$6</f>
        <v>-0.0117605919937912</v>
      </c>
    </row>
    <row r="4896" customFormat="false" ht="15" hidden="false" customHeight="false" outlineLevel="0" collapsed="false">
      <c r="L4896" s="31" t="n">
        <f aca="true">NORMSINV(RAND())*$G$7+$G$6</f>
        <v>-0.00162209329909863</v>
      </c>
    </row>
    <row r="4897" customFormat="false" ht="15" hidden="false" customHeight="false" outlineLevel="0" collapsed="false">
      <c r="L4897" s="31" t="n">
        <f aca="true">NORMSINV(RAND())*$G$7+$G$6</f>
        <v>0.00135352326879973</v>
      </c>
    </row>
    <row r="4898" customFormat="false" ht="15" hidden="false" customHeight="false" outlineLevel="0" collapsed="false">
      <c r="L4898" s="31" t="n">
        <f aca="true">NORMSINV(RAND())*$G$7+$G$6</f>
        <v>0.018532147077793</v>
      </c>
    </row>
    <row r="4899" customFormat="false" ht="15" hidden="false" customHeight="false" outlineLevel="0" collapsed="false">
      <c r="L4899" s="31" t="n">
        <f aca="true">NORMSINV(RAND())*$G$7+$G$6</f>
        <v>0.00405956359347528</v>
      </c>
    </row>
    <row r="4900" customFormat="false" ht="15" hidden="false" customHeight="false" outlineLevel="0" collapsed="false">
      <c r="L4900" s="31" t="n">
        <f aca="true">NORMSINV(RAND())*$G$7+$G$6</f>
        <v>0.00846591863625883</v>
      </c>
    </row>
    <row r="4901" customFormat="false" ht="15" hidden="false" customHeight="false" outlineLevel="0" collapsed="false">
      <c r="L4901" s="31" t="n">
        <f aca="true">NORMSINV(RAND())*$G$7+$G$6</f>
        <v>0.0149886898373425</v>
      </c>
    </row>
    <row r="4902" customFormat="false" ht="15" hidden="false" customHeight="false" outlineLevel="0" collapsed="false">
      <c r="L4902" s="31" t="n">
        <f aca="true">NORMSINV(RAND())*$G$7+$G$6</f>
        <v>-0.00587559569414914</v>
      </c>
    </row>
    <row r="4903" customFormat="false" ht="15" hidden="false" customHeight="false" outlineLevel="0" collapsed="false">
      <c r="L4903" s="31" t="n">
        <f aca="true">NORMSINV(RAND())*$G$7+$G$6</f>
        <v>-0.0100599511199925</v>
      </c>
    </row>
    <row r="4904" customFormat="false" ht="15" hidden="false" customHeight="false" outlineLevel="0" collapsed="false">
      <c r="L4904" s="31" t="n">
        <f aca="true">NORMSINV(RAND())*$G$7+$G$6</f>
        <v>-0.00851558481912036</v>
      </c>
    </row>
    <row r="4905" customFormat="false" ht="15" hidden="false" customHeight="false" outlineLevel="0" collapsed="false">
      <c r="L4905" s="31" t="n">
        <f aca="true">NORMSINV(RAND())*$G$7+$G$6</f>
        <v>-0.00910556560923948</v>
      </c>
    </row>
    <row r="4906" customFormat="false" ht="15" hidden="false" customHeight="false" outlineLevel="0" collapsed="false">
      <c r="L4906" s="31" t="n">
        <f aca="true">NORMSINV(RAND())*$G$7+$G$6</f>
        <v>-0.00551697538797805</v>
      </c>
    </row>
    <row r="4907" customFormat="false" ht="15" hidden="false" customHeight="false" outlineLevel="0" collapsed="false">
      <c r="L4907" s="31" t="n">
        <f aca="true">NORMSINV(RAND())*$G$7+$G$6</f>
        <v>-0.00377722648200755</v>
      </c>
    </row>
    <row r="4908" customFormat="false" ht="15" hidden="false" customHeight="false" outlineLevel="0" collapsed="false">
      <c r="L4908" s="31" t="n">
        <f aca="true">NORMSINV(RAND())*$G$7+$G$6</f>
        <v>-0.00467331403029069</v>
      </c>
    </row>
    <row r="4909" customFormat="false" ht="15" hidden="false" customHeight="false" outlineLevel="0" collapsed="false">
      <c r="L4909" s="31" t="n">
        <f aca="true">NORMSINV(RAND())*$G$7+$G$6</f>
        <v>-0.000647493510908632</v>
      </c>
    </row>
    <row r="4910" customFormat="false" ht="15" hidden="false" customHeight="false" outlineLevel="0" collapsed="false">
      <c r="L4910" s="31" t="n">
        <f aca="true">NORMSINV(RAND())*$G$7+$G$6</f>
        <v>0.0108756372562265</v>
      </c>
    </row>
    <row r="4911" customFormat="false" ht="15" hidden="false" customHeight="false" outlineLevel="0" collapsed="false">
      <c r="L4911" s="31" t="n">
        <f aca="true">NORMSINV(RAND())*$G$7+$G$6</f>
        <v>0.00439589986255234</v>
      </c>
    </row>
    <row r="4912" customFormat="false" ht="15" hidden="false" customHeight="false" outlineLevel="0" collapsed="false">
      <c r="L4912" s="31" t="n">
        <f aca="true">NORMSINV(RAND())*$G$7+$G$6</f>
        <v>0.00730042974074</v>
      </c>
    </row>
    <row r="4913" customFormat="false" ht="15" hidden="false" customHeight="false" outlineLevel="0" collapsed="false">
      <c r="L4913" s="31" t="n">
        <f aca="true">NORMSINV(RAND())*$G$7+$G$6</f>
        <v>-0.00380693165949373</v>
      </c>
    </row>
    <row r="4914" customFormat="false" ht="15" hidden="false" customHeight="false" outlineLevel="0" collapsed="false">
      <c r="L4914" s="31" t="n">
        <f aca="true">NORMSINV(RAND())*$G$7+$G$6</f>
        <v>-0.0119755640771016</v>
      </c>
    </row>
    <row r="4915" customFormat="false" ht="15" hidden="false" customHeight="false" outlineLevel="0" collapsed="false">
      <c r="L4915" s="31" t="n">
        <f aca="true">NORMSINV(RAND())*$G$7+$G$6</f>
        <v>0.0197233149571439</v>
      </c>
    </row>
    <row r="4916" customFormat="false" ht="15" hidden="false" customHeight="false" outlineLevel="0" collapsed="false">
      <c r="L4916" s="31" t="n">
        <f aca="true">NORMSINV(RAND())*$G$7+$G$6</f>
        <v>-0.00893353387630511</v>
      </c>
    </row>
    <row r="4917" customFormat="false" ht="15" hidden="false" customHeight="false" outlineLevel="0" collapsed="false">
      <c r="L4917" s="31" t="n">
        <f aca="true">NORMSINV(RAND())*$G$7+$G$6</f>
        <v>0.0213494619500912</v>
      </c>
    </row>
    <row r="4918" customFormat="false" ht="15" hidden="false" customHeight="false" outlineLevel="0" collapsed="false">
      <c r="L4918" s="31" t="n">
        <f aca="true">NORMSINV(RAND())*$G$7+$G$6</f>
        <v>-0.00533693288810264</v>
      </c>
    </row>
    <row r="4919" customFormat="false" ht="15" hidden="false" customHeight="false" outlineLevel="0" collapsed="false">
      <c r="L4919" s="31" t="n">
        <f aca="true">NORMSINV(RAND())*$G$7+$G$6</f>
        <v>0.0250772029032372</v>
      </c>
    </row>
    <row r="4920" customFormat="false" ht="15" hidden="false" customHeight="false" outlineLevel="0" collapsed="false">
      <c r="L4920" s="31" t="n">
        <f aca="true">NORMSINV(RAND())*$G$7+$G$6</f>
        <v>0.0100451478139588</v>
      </c>
    </row>
    <row r="4921" customFormat="false" ht="15" hidden="false" customHeight="false" outlineLevel="0" collapsed="false">
      <c r="L4921" s="31" t="n">
        <f aca="true">NORMSINV(RAND())*$G$7+$G$6</f>
        <v>0.00463742435032467</v>
      </c>
    </row>
    <row r="4922" customFormat="false" ht="15" hidden="false" customHeight="false" outlineLevel="0" collapsed="false">
      <c r="L4922" s="31" t="n">
        <f aca="true">NORMSINV(RAND())*$G$7+$G$6</f>
        <v>0.0254642529405491</v>
      </c>
    </row>
    <row r="4923" customFormat="false" ht="15" hidden="false" customHeight="false" outlineLevel="0" collapsed="false">
      <c r="L4923" s="31" t="n">
        <f aca="true">NORMSINV(RAND())*$G$7+$G$6</f>
        <v>0.000965409760309617</v>
      </c>
    </row>
    <row r="4924" customFormat="false" ht="15" hidden="false" customHeight="false" outlineLevel="0" collapsed="false">
      <c r="L4924" s="31" t="n">
        <f aca="true">NORMSINV(RAND())*$G$7+$G$6</f>
        <v>-3.37173965526779E-005</v>
      </c>
    </row>
    <row r="4925" customFormat="false" ht="15" hidden="false" customHeight="false" outlineLevel="0" collapsed="false">
      <c r="L4925" s="31" t="n">
        <f aca="true">NORMSINV(RAND())*$G$7+$G$6</f>
        <v>-0.00246715717430776</v>
      </c>
    </row>
    <row r="4926" customFormat="false" ht="15" hidden="false" customHeight="false" outlineLevel="0" collapsed="false">
      <c r="L4926" s="31" t="n">
        <f aca="true">NORMSINV(RAND())*$G$7+$G$6</f>
        <v>0.0145570847474996</v>
      </c>
    </row>
    <row r="4927" customFormat="false" ht="15" hidden="false" customHeight="false" outlineLevel="0" collapsed="false">
      <c r="L4927" s="31" t="n">
        <f aca="true">NORMSINV(RAND())*$G$7+$G$6</f>
        <v>-5.62612159277616E-005</v>
      </c>
    </row>
    <row r="4928" customFormat="false" ht="15" hidden="false" customHeight="false" outlineLevel="0" collapsed="false">
      <c r="L4928" s="31" t="n">
        <f aca="true">NORMSINV(RAND())*$G$7+$G$6</f>
        <v>-0.0206097108717005</v>
      </c>
    </row>
    <row r="4929" customFormat="false" ht="15" hidden="false" customHeight="false" outlineLevel="0" collapsed="false">
      <c r="L4929" s="31" t="n">
        <f aca="true">NORMSINV(RAND())*$G$7+$G$6</f>
        <v>-0.031447343267079</v>
      </c>
    </row>
    <row r="4930" customFormat="false" ht="15" hidden="false" customHeight="false" outlineLevel="0" collapsed="false">
      <c r="L4930" s="31" t="n">
        <f aca="true">NORMSINV(RAND())*$G$7+$G$6</f>
        <v>-0.013296035561882</v>
      </c>
    </row>
    <row r="4931" customFormat="false" ht="15" hidden="false" customHeight="false" outlineLevel="0" collapsed="false">
      <c r="L4931" s="31" t="n">
        <f aca="true">NORMSINV(RAND())*$G$7+$G$6</f>
        <v>0.0214386026709945</v>
      </c>
    </row>
    <row r="4932" customFormat="false" ht="15" hidden="false" customHeight="false" outlineLevel="0" collapsed="false">
      <c r="L4932" s="31" t="n">
        <f aca="true">NORMSINV(RAND())*$G$7+$G$6</f>
        <v>-0.0128678086620208</v>
      </c>
    </row>
    <row r="4933" customFormat="false" ht="15" hidden="false" customHeight="false" outlineLevel="0" collapsed="false">
      <c r="L4933" s="31" t="n">
        <f aca="true">NORMSINV(RAND())*$G$7+$G$6</f>
        <v>-0.0069617086939975</v>
      </c>
    </row>
    <row r="4934" customFormat="false" ht="15" hidden="false" customHeight="false" outlineLevel="0" collapsed="false">
      <c r="L4934" s="31" t="n">
        <f aca="true">NORMSINV(RAND())*$G$7+$G$6</f>
        <v>0.012910391831719</v>
      </c>
    </row>
    <row r="4935" customFormat="false" ht="15" hidden="false" customHeight="false" outlineLevel="0" collapsed="false">
      <c r="L4935" s="31" t="n">
        <f aca="true">NORMSINV(RAND())*$G$7+$G$6</f>
        <v>0.0437671454778741</v>
      </c>
    </row>
    <row r="4936" customFormat="false" ht="15" hidden="false" customHeight="false" outlineLevel="0" collapsed="false">
      <c r="L4936" s="31" t="n">
        <f aca="true">NORMSINV(RAND())*$G$7+$G$6</f>
        <v>-0.000674784860886353</v>
      </c>
    </row>
    <row r="4937" customFormat="false" ht="15" hidden="false" customHeight="false" outlineLevel="0" collapsed="false">
      <c r="L4937" s="31" t="n">
        <f aca="true">NORMSINV(RAND())*$G$7+$G$6</f>
        <v>-0.00830846134198852</v>
      </c>
    </row>
    <row r="4938" customFormat="false" ht="15" hidden="false" customHeight="false" outlineLevel="0" collapsed="false">
      <c r="L4938" s="31" t="n">
        <f aca="true">NORMSINV(RAND())*$G$7+$G$6</f>
        <v>-0.0134647609054169</v>
      </c>
    </row>
    <row r="4939" customFormat="false" ht="15" hidden="false" customHeight="false" outlineLevel="0" collapsed="false">
      <c r="L4939" s="31" t="n">
        <f aca="true">NORMSINV(RAND())*$G$7+$G$6</f>
        <v>0.0108946419033086</v>
      </c>
    </row>
    <row r="4940" customFormat="false" ht="15" hidden="false" customHeight="false" outlineLevel="0" collapsed="false">
      <c r="L4940" s="31" t="n">
        <f aca="true">NORMSINV(RAND())*$G$7+$G$6</f>
        <v>-0.0271318259979786</v>
      </c>
    </row>
    <row r="4941" customFormat="false" ht="15" hidden="false" customHeight="false" outlineLevel="0" collapsed="false">
      <c r="L4941" s="31" t="n">
        <f aca="true">NORMSINV(RAND())*$G$7+$G$6</f>
        <v>0.00295888105776984</v>
      </c>
    </row>
    <row r="4942" customFormat="false" ht="15" hidden="false" customHeight="false" outlineLevel="0" collapsed="false">
      <c r="L4942" s="31" t="n">
        <f aca="true">NORMSINV(RAND())*$G$7+$G$6</f>
        <v>0.00542202249346427</v>
      </c>
    </row>
    <row r="4943" customFormat="false" ht="15" hidden="false" customHeight="false" outlineLevel="0" collapsed="false">
      <c r="L4943" s="31" t="n">
        <f aca="true">NORMSINV(RAND())*$G$7+$G$6</f>
        <v>0.0279069286376904</v>
      </c>
    </row>
    <row r="4944" customFormat="false" ht="15" hidden="false" customHeight="false" outlineLevel="0" collapsed="false">
      <c r="L4944" s="31" t="n">
        <f aca="true">NORMSINV(RAND())*$G$7+$G$6</f>
        <v>-0.00546637317900862</v>
      </c>
    </row>
    <row r="4945" customFormat="false" ht="15" hidden="false" customHeight="false" outlineLevel="0" collapsed="false">
      <c r="L4945" s="31" t="n">
        <f aca="true">NORMSINV(RAND())*$G$7+$G$6</f>
        <v>0.022773007890092</v>
      </c>
    </row>
    <row r="4946" customFormat="false" ht="15" hidden="false" customHeight="false" outlineLevel="0" collapsed="false">
      <c r="L4946" s="31" t="n">
        <f aca="true">NORMSINV(RAND())*$G$7+$G$6</f>
        <v>-0.00492019130226128</v>
      </c>
    </row>
    <row r="4947" customFormat="false" ht="15" hidden="false" customHeight="false" outlineLevel="0" collapsed="false">
      <c r="L4947" s="31" t="n">
        <f aca="true">NORMSINV(RAND())*$G$7+$G$6</f>
        <v>-0.0218938151852294</v>
      </c>
    </row>
    <row r="4948" customFormat="false" ht="15" hidden="false" customHeight="false" outlineLevel="0" collapsed="false">
      <c r="L4948" s="31" t="n">
        <f aca="true">NORMSINV(RAND())*$G$7+$G$6</f>
        <v>-0.0123708546427274</v>
      </c>
    </row>
    <row r="4949" customFormat="false" ht="15" hidden="false" customHeight="false" outlineLevel="0" collapsed="false">
      <c r="L4949" s="31" t="n">
        <f aca="true">NORMSINV(RAND())*$G$7+$G$6</f>
        <v>-0.000960745179824456</v>
      </c>
    </row>
    <row r="4950" customFormat="false" ht="15" hidden="false" customHeight="false" outlineLevel="0" collapsed="false">
      <c r="L4950" s="31" t="n">
        <f aca="true">NORMSINV(RAND())*$G$7+$G$6</f>
        <v>0.00274102285374282</v>
      </c>
    </row>
    <row r="4951" customFormat="false" ht="15" hidden="false" customHeight="false" outlineLevel="0" collapsed="false">
      <c r="L4951" s="31" t="n">
        <f aca="true">NORMSINV(RAND())*$G$7+$G$6</f>
        <v>-0.00892032675922297</v>
      </c>
    </row>
    <row r="4952" customFormat="false" ht="15" hidden="false" customHeight="false" outlineLevel="0" collapsed="false">
      <c r="L4952" s="31" t="n">
        <f aca="true">NORMSINV(RAND())*$G$7+$G$6</f>
        <v>-0.00329742805185346</v>
      </c>
    </row>
    <row r="4953" customFormat="false" ht="15" hidden="false" customHeight="false" outlineLevel="0" collapsed="false">
      <c r="L4953" s="31" t="n">
        <f aca="true">NORMSINV(RAND())*$G$7+$G$6</f>
        <v>0.00080933742210696</v>
      </c>
    </row>
    <row r="4954" customFormat="false" ht="15" hidden="false" customHeight="false" outlineLevel="0" collapsed="false">
      <c r="L4954" s="31" t="n">
        <f aca="true">NORMSINV(RAND())*$G$7+$G$6</f>
        <v>0.0131830732705954</v>
      </c>
    </row>
    <row r="4955" customFormat="false" ht="15" hidden="false" customHeight="false" outlineLevel="0" collapsed="false">
      <c r="L4955" s="31" t="n">
        <f aca="true">NORMSINV(RAND())*$G$7+$G$6</f>
        <v>0.00683981390635638</v>
      </c>
    </row>
    <row r="4956" customFormat="false" ht="15" hidden="false" customHeight="false" outlineLevel="0" collapsed="false">
      <c r="L4956" s="31" t="n">
        <f aca="true">NORMSINV(RAND())*$G$7+$G$6</f>
        <v>0.000504475405367119</v>
      </c>
    </row>
    <row r="4957" customFormat="false" ht="15" hidden="false" customHeight="false" outlineLevel="0" collapsed="false">
      <c r="L4957" s="31" t="n">
        <f aca="true">NORMSINV(RAND())*$G$7+$G$6</f>
        <v>0.0102642795833176</v>
      </c>
    </row>
    <row r="4958" customFormat="false" ht="15" hidden="false" customHeight="false" outlineLevel="0" collapsed="false">
      <c r="L4958" s="31" t="n">
        <f aca="true">NORMSINV(RAND())*$G$7+$G$6</f>
        <v>-0.0097935737221641</v>
      </c>
    </row>
    <row r="4959" customFormat="false" ht="15" hidden="false" customHeight="false" outlineLevel="0" collapsed="false">
      <c r="L4959" s="31" t="n">
        <f aca="true">NORMSINV(RAND())*$G$7+$G$6</f>
        <v>-0.00167098232085916</v>
      </c>
    </row>
    <row r="4960" customFormat="false" ht="15" hidden="false" customHeight="false" outlineLevel="0" collapsed="false">
      <c r="L4960" s="31" t="n">
        <f aca="true">NORMSINV(RAND())*$G$7+$G$6</f>
        <v>-0.0208476678470185</v>
      </c>
    </row>
    <row r="4961" customFormat="false" ht="15" hidden="false" customHeight="false" outlineLevel="0" collapsed="false">
      <c r="L4961" s="31" t="n">
        <f aca="true">NORMSINV(RAND())*$G$7+$G$6</f>
        <v>0.0088351065691487</v>
      </c>
    </row>
    <row r="4962" customFormat="false" ht="15" hidden="false" customHeight="false" outlineLevel="0" collapsed="false">
      <c r="L4962" s="31" t="n">
        <f aca="true">NORMSINV(RAND())*$G$7+$G$6</f>
        <v>-0.0178332658021386</v>
      </c>
    </row>
    <row r="4963" customFormat="false" ht="15" hidden="false" customHeight="false" outlineLevel="0" collapsed="false">
      <c r="L4963" s="31" t="n">
        <f aca="true">NORMSINV(RAND())*$G$7+$G$6</f>
        <v>0.0194071730774278</v>
      </c>
    </row>
    <row r="4964" customFormat="false" ht="15" hidden="false" customHeight="false" outlineLevel="0" collapsed="false">
      <c r="L4964" s="31" t="n">
        <f aca="true">NORMSINV(RAND())*$G$7+$G$6</f>
        <v>-0.0012785766852121</v>
      </c>
    </row>
    <row r="4965" customFormat="false" ht="15" hidden="false" customHeight="false" outlineLevel="0" collapsed="false">
      <c r="L4965" s="31" t="n">
        <f aca="true">NORMSINV(RAND())*$G$7+$G$6</f>
        <v>0.0267278867592434</v>
      </c>
    </row>
    <row r="4966" customFormat="false" ht="15" hidden="false" customHeight="false" outlineLevel="0" collapsed="false">
      <c r="L4966" s="31" t="n">
        <f aca="true">NORMSINV(RAND())*$G$7+$G$6</f>
        <v>0.00511655982722659</v>
      </c>
    </row>
    <row r="4967" customFormat="false" ht="15" hidden="false" customHeight="false" outlineLevel="0" collapsed="false">
      <c r="L4967" s="31" t="n">
        <f aca="true">NORMSINV(RAND())*$G$7+$G$6</f>
        <v>0.00806680552044806</v>
      </c>
    </row>
    <row r="4968" customFormat="false" ht="15" hidden="false" customHeight="false" outlineLevel="0" collapsed="false">
      <c r="L4968" s="31" t="n">
        <f aca="true">NORMSINV(RAND())*$G$7+$G$6</f>
        <v>-0.0346914557840998</v>
      </c>
    </row>
    <row r="4969" customFormat="false" ht="15" hidden="false" customHeight="false" outlineLevel="0" collapsed="false">
      <c r="L4969" s="31" t="n">
        <f aca="true">NORMSINV(RAND())*$G$7+$G$6</f>
        <v>-0.0182222198467618</v>
      </c>
    </row>
    <row r="4970" customFormat="false" ht="15" hidden="false" customHeight="false" outlineLevel="0" collapsed="false">
      <c r="L4970" s="31" t="n">
        <f aca="true">NORMSINV(RAND())*$G$7+$G$6</f>
        <v>-0.0371924883184985</v>
      </c>
    </row>
    <row r="4971" customFormat="false" ht="15" hidden="false" customHeight="false" outlineLevel="0" collapsed="false">
      <c r="L4971" s="31" t="n">
        <f aca="true">NORMSINV(RAND())*$G$7+$G$6</f>
        <v>0.0124325367204127</v>
      </c>
    </row>
    <row r="4972" customFormat="false" ht="15" hidden="false" customHeight="false" outlineLevel="0" collapsed="false">
      <c r="L4972" s="31" t="n">
        <f aca="true">NORMSINV(RAND())*$G$7+$G$6</f>
        <v>0.0128368094362911</v>
      </c>
    </row>
    <row r="4973" customFormat="false" ht="15" hidden="false" customHeight="false" outlineLevel="0" collapsed="false">
      <c r="L4973" s="31" t="n">
        <f aca="true">NORMSINV(RAND())*$G$7+$G$6</f>
        <v>-0.0176348419628383</v>
      </c>
    </row>
    <row r="4974" customFormat="false" ht="15" hidden="false" customHeight="false" outlineLevel="0" collapsed="false">
      <c r="L4974" s="31" t="n">
        <f aca="true">NORMSINV(RAND())*$G$7+$G$6</f>
        <v>0.00868583423113369</v>
      </c>
    </row>
    <row r="4975" customFormat="false" ht="15" hidden="false" customHeight="false" outlineLevel="0" collapsed="false">
      <c r="L4975" s="31" t="n">
        <f aca="true">NORMSINV(RAND())*$G$7+$G$6</f>
        <v>-0.00289760343637355</v>
      </c>
    </row>
    <row r="4976" customFormat="false" ht="15" hidden="false" customHeight="false" outlineLevel="0" collapsed="false">
      <c r="L4976" s="31" t="n">
        <f aca="true">NORMSINV(RAND())*$G$7+$G$6</f>
        <v>-0.0167348200417041</v>
      </c>
    </row>
    <row r="4977" customFormat="false" ht="15" hidden="false" customHeight="false" outlineLevel="0" collapsed="false">
      <c r="L4977" s="31" t="n">
        <f aca="true">NORMSINV(RAND())*$G$7+$G$6</f>
        <v>0.00874797258622642</v>
      </c>
    </row>
    <row r="4978" customFormat="false" ht="15" hidden="false" customHeight="false" outlineLevel="0" collapsed="false">
      <c r="L4978" s="31" t="n">
        <f aca="true">NORMSINV(RAND())*$G$7+$G$6</f>
        <v>-0.00299856695292916</v>
      </c>
    </row>
    <row r="4979" customFormat="false" ht="15" hidden="false" customHeight="false" outlineLevel="0" collapsed="false">
      <c r="L4979" s="31" t="n">
        <f aca="true">NORMSINV(RAND())*$G$7+$G$6</f>
        <v>-0.00371085467561852</v>
      </c>
    </row>
    <row r="4980" customFormat="false" ht="15" hidden="false" customHeight="false" outlineLevel="0" collapsed="false">
      <c r="L4980" s="31" t="n">
        <f aca="true">NORMSINV(RAND())*$G$7+$G$6</f>
        <v>0.012454308799752</v>
      </c>
    </row>
    <row r="4981" customFormat="false" ht="15" hidden="false" customHeight="false" outlineLevel="0" collapsed="false">
      <c r="L4981" s="31" t="n">
        <f aca="true">NORMSINV(RAND())*$G$7+$G$6</f>
        <v>-0.0237154058113744</v>
      </c>
    </row>
    <row r="4982" customFormat="false" ht="15" hidden="false" customHeight="false" outlineLevel="0" collapsed="false">
      <c r="L4982" s="31" t="n">
        <f aca="true">NORMSINV(RAND())*$G$7+$G$6</f>
        <v>-0.0213083222274464</v>
      </c>
    </row>
    <row r="4983" customFormat="false" ht="15" hidden="false" customHeight="false" outlineLevel="0" collapsed="false">
      <c r="L4983" s="31" t="n">
        <f aca="true">NORMSINV(RAND())*$G$7+$G$6</f>
        <v>0.0107021009293564</v>
      </c>
    </row>
    <row r="4984" customFormat="false" ht="15" hidden="false" customHeight="false" outlineLevel="0" collapsed="false">
      <c r="L4984" s="31" t="n">
        <f aca="true">NORMSINV(RAND())*$G$7+$G$6</f>
        <v>0.0042144762067945</v>
      </c>
    </row>
    <row r="4985" customFormat="false" ht="15" hidden="false" customHeight="false" outlineLevel="0" collapsed="false">
      <c r="L4985" s="31" t="n">
        <f aca="true">NORMSINV(RAND())*$G$7+$G$6</f>
        <v>-0.00421328501240854</v>
      </c>
    </row>
    <row r="4986" customFormat="false" ht="15" hidden="false" customHeight="false" outlineLevel="0" collapsed="false">
      <c r="L4986" s="31" t="n">
        <f aca="true">NORMSINV(RAND())*$G$7+$G$6</f>
        <v>-0.0025508289741437</v>
      </c>
    </row>
    <row r="4987" customFormat="false" ht="15" hidden="false" customHeight="false" outlineLevel="0" collapsed="false">
      <c r="L4987" s="31" t="n">
        <f aca="true">NORMSINV(RAND())*$G$7+$G$6</f>
        <v>0.00167728859358157</v>
      </c>
    </row>
    <row r="4988" customFormat="false" ht="15" hidden="false" customHeight="false" outlineLevel="0" collapsed="false">
      <c r="L4988" s="31" t="n">
        <f aca="true">NORMSINV(RAND())*$G$7+$G$6</f>
        <v>0.0268330618852134</v>
      </c>
    </row>
    <row r="4989" customFormat="false" ht="15" hidden="false" customHeight="false" outlineLevel="0" collapsed="false">
      <c r="L4989" s="31" t="n">
        <f aca="true">NORMSINV(RAND())*$G$7+$G$6</f>
        <v>0.0123401932969085</v>
      </c>
    </row>
    <row r="4990" customFormat="false" ht="15" hidden="false" customHeight="false" outlineLevel="0" collapsed="false">
      <c r="L4990" s="31" t="n">
        <f aca="true">NORMSINV(RAND())*$G$7+$G$6</f>
        <v>0.00142271494506244</v>
      </c>
    </row>
    <row r="4991" customFormat="false" ht="15" hidden="false" customHeight="false" outlineLevel="0" collapsed="false">
      <c r="L4991" s="31" t="n">
        <f aca="true">NORMSINV(RAND())*$G$7+$G$6</f>
        <v>0.00712609315949705</v>
      </c>
    </row>
    <row r="4992" customFormat="false" ht="15" hidden="false" customHeight="false" outlineLevel="0" collapsed="false">
      <c r="L4992" s="31" t="n">
        <f aca="true">NORMSINV(RAND())*$G$7+$G$6</f>
        <v>0.00799050505765673</v>
      </c>
    </row>
    <row r="4993" customFormat="false" ht="15" hidden="false" customHeight="false" outlineLevel="0" collapsed="false">
      <c r="L4993" s="31" t="n">
        <f aca="true">NORMSINV(RAND())*$G$7+$G$6</f>
        <v>-0.00444637703340138</v>
      </c>
    </row>
    <row r="4994" customFormat="false" ht="15" hidden="false" customHeight="false" outlineLevel="0" collapsed="false">
      <c r="L4994" s="31" t="n">
        <f aca="true">NORMSINV(RAND())*$G$7+$G$6</f>
        <v>0.00791122375382325</v>
      </c>
    </row>
    <row r="4995" customFormat="false" ht="15" hidden="false" customHeight="false" outlineLevel="0" collapsed="false">
      <c r="L4995" s="31" t="n">
        <f aca="true">NORMSINV(RAND())*$G$7+$G$6</f>
        <v>-0.00603542892968662</v>
      </c>
    </row>
    <row r="4996" customFormat="false" ht="15" hidden="false" customHeight="false" outlineLevel="0" collapsed="false">
      <c r="L4996" s="31" t="n">
        <f aca="true">NORMSINV(RAND())*$G$7+$G$6</f>
        <v>-0.0154771627721639</v>
      </c>
    </row>
    <row r="4997" customFormat="false" ht="15" hidden="false" customHeight="false" outlineLevel="0" collapsed="false">
      <c r="L4997" s="31" t="n">
        <f aca="true">NORMSINV(RAND())*$G$7+$G$6</f>
        <v>-0.0122659188115595</v>
      </c>
    </row>
    <row r="4998" customFormat="false" ht="15" hidden="false" customHeight="false" outlineLevel="0" collapsed="false">
      <c r="L4998" s="31" t="n">
        <f aca="true">NORMSINV(RAND())*$G$7+$G$6</f>
        <v>0.0153750421530028</v>
      </c>
    </row>
    <row r="4999" customFormat="false" ht="15" hidden="false" customHeight="false" outlineLevel="0" collapsed="false">
      <c r="L4999" s="31" t="n">
        <f aca="true">NORMSINV(RAND())*$G$7+$G$6</f>
        <v>-0.000555568337445876</v>
      </c>
    </row>
    <row r="5000" customFormat="false" ht="15" hidden="false" customHeight="false" outlineLevel="0" collapsed="false">
      <c r="L5000" s="31" t="n">
        <f aca="true">NORMSINV(RAND())*$G$7+$G$6</f>
        <v>0.0143501218809868</v>
      </c>
    </row>
    <row r="5001" customFormat="false" ht="15" hidden="false" customHeight="false" outlineLevel="0" collapsed="false">
      <c r="L5001" s="31" t="n">
        <f aca="true">NORMSINV(RAND())*$G$7+$G$6</f>
        <v>-0.00338486368793862</v>
      </c>
    </row>
    <row r="5002" customFormat="false" ht="15" hidden="false" customHeight="false" outlineLevel="0" collapsed="false">
      <c r="L5002" s="31" t="n">
        <f aca="true">NORMSINV(RAND())*$G$7+$G$6</f>
        <v>0.00660368587902919</v>
      </c>
    </row>
    <row r="5003" customFormat="false" ht="15" hidden="false" customHeight="false" outlineLevel="0" collapsed="false">
      <c r="L5003" s="31" t="n">
        <f aca="true">NORMSINV(RAND())*$G$7+$G$6</f>
        <v>0.000531238198492762</v>
      </c>
    </row>
    <row r="5004" customFormat="false" ht="15" hidden="false" customHeight="false" outlineLevel="0" collapsed="false">
      <c r="L5004" s="31" t="n">
        <f aca="true">NORMSINV(RAND())*$G$7+$G$6</f>
        <v>0.0170002178017744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"/>
    <col collapsed="false" customWidth="true" hidden="false" outlineLevel="0" max="6" min="6" style="0" width="40"/>
    <col collapsed="false" customWidth="true" hidden="false" outlineLevel="0" max="7" min="7" style="0" width="70"/>
  </cols>
  <sheetData>
    <row r="1" customFormat="false" ht="16.1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6" t="s">
        <v>192</v>
      </c>
    </row>
    <row r="4" customFormat="false" ht="23.85" hidden="false" customHeight="false" outlineLevel="0" collapsed="false">
      <c r="A4" s="7" t="s">
        <v>53</v>
      </c>
      <c r="B4" s="7" t="s">
        <v>193</v>
      </c>
      <c r="C4" s="7" t="s">
        <v>194</v>
      </c>
      <c r="D4" s="7" t="s">
        <v>195</v>
      </c>
      <c r="F4" s="7" t="s">
        <v>196</v>
      </c>
      <c r="G4" s="7" t="s">
        <v>27</v>
      </c>
      <c r="H4" s="36" t="s">
        <v>197</v>
      </c>
    </row>
    <row r="5" customFormat="false" ht="15" hidden="false" customHeight="false" outlineLevel="0" collapsed="false">
      <c r="A5" s="19" t="n">
        <f aca="false">VaR!A255</f>
        <v>45644</v>
      </c>
      <c r="B5" s="28" t="n">
        <f aca="false">VaR!B255</f>
        <v>-0.00530634024222335</v>
      </c>
      <c r="C5" s="31" t="n">
        <f aca="false">NORMSINV(Parametrlar!$B$8)*STDEV(VaR!B5:B254)-AVERAGE(VaR!B5:B254)</f>
        <v>0.0281841057360288</v>
      </c>
      <c r="D5" s="44" t="n">
        <f aca="false">IF(B5&lt;-C5,1,0)</f>
        <v>0</v>
      </c>
      <c r="F5" s="8" t="s">
        <v>198</v>
      </c>
      <c r="G5" s="21" t="n">
        <f aca="false">COUNT(B5:B258)</f>
        <v>254</v>
      </c>
      <c r="H5" s="31" t="n">
        <f aca="false">-C5</f>
        <v>-0.0281841057360288</v>
      </c>
    </row>
    <row r="6" customFormat="false" ht="15" hidden="false" customHeight="false" outlineLevel="0" collapsed="false">
      <c r="A6" s="19" t="n">
        <f aca="false">VaR!A256</f>
        <v>45645</v>
      </c>
      <c r="B6" s="28" t="n">
        <f aca="false">VaR!B256</f>
        <v>-0.012692111949668</v>
      </c>
      <c r="C6" s="31" t="n">
        <f aca="false">NORMSINV(Parametrlar!$B$8)*STDEV(VaR!B6:B255)-AVERAGE(VaR!B6:B255)</f>
        <v>0.0282426898337272</v>
      </c>
      <c r="D6" s="44" t="n">
        <f aca="false">IF(B6&lt;-C6,1,0)</f>
        <v>0</v>
      </c>
      <c r="F6" s="8" t="s">
        <v>199</v>
      </c>
      <c r="G6" s="45" t="n">
        <f aca="false">SUM(D5:D258)</f>
        <v>5</v>
      </c>
      <c r="H6" s="31" t="n">
        <f aca="false">-C6</f>
        <v>-0.0282426898337272</v>
      </c>
    </row>
    <row r="7" customFormat="false" ht="15" hidden="false" customHeight="false" outlineLevel="0" collapsed="false">
      <c r="A7" s="19" t="n">
        <f aca="false">VaR!A257</f>
        <v>45646</v>
      </c>
      <c r="B7" s="28" t="n">
        <f aca="false">VaR!B257</f>
        <v>0.0180055799213799</v>
      </c>
      <c r="C7" s="31" t="n">
        <f aca="false">NORMSINV(Parametrlar!$B$8)*STDEV(VaR!B7:B256)-AVERAGE(VaR!B7:B256)</f>
        <v>0.0283052961613354</v>
      </c>
      <c r="D7" s="44" t="n">
        <f aca="false">IF(B7&lt;-C7,1,0)</f>
        <v>0</v>
      </c>
      <c r="F7" s="8" t="s">
        <v>200</v>
      </c>
      <c r="G7" s="25" t="n">
        <f aca="false">G5*(1-Parametrlar!$B$8)</f>
        <v>2.54</v>
      </c>
      <c r="H7" s="31" t="n">
        <f aca="false">-C7</f>
        <v>-0.0283052961613354</v>
      </c>
    </row>
    <row r="8" customFormat="false" ht="15" hidden="false" customHeight="false" outlineLevel="0" collapsed="false">
      <c r="A8" s="19" t="n">
        <f aca="false">VaR!A258</f>
        <v>45649</v>
      </c>
      <c r="B8" s="28" t="n">
        <f aca="false">VaR!B258</f>
        <v>0.000594896289665836</v>
      </c>
      <c r="C8" s="31" t="n">
        <f aca="false">NORMSINV(Parametrlar!$B$8)*STDEV(VaR!B8:B257)-AVERAGE(VaR!B8:B257)</f>
        <v>0.0283440290120304</v>
      </c>
      <c r="D8" s="44" t="n">
        <f aca="false">IF(B8&lt;-C8,1,0)</f>
        <v>0</v>
      </c>
      <c r="F8" s="8" t="s">
        <v>201</v>
      </c>
      <c r="G8" s="23" t="n">
        <f aca="false">G6/G5</f>
        <v>0.0196850393700787</v>
      </c>
      <c r="H8" s="31" t="n">
        <f aca="false">-C8</f>
        <v>-0.0283440290120304</v>
      </c>
    </row>
    <row r="9" customFormat="false" ht="15" hidden="false" customHeight="false" outlineLevel="0" collapsed="false">
      <c r="A9" s="19" t="n">
        <f aca="false">VaR!A259</f>
        <v>45650</v>
      </c>
      <c r="B9" s="28" t="n">
        <f aca="false">VaR!B259</f>
        <v>0.00560871579264971</v>
      </c>
      <c r="C9" s="31" t="n">
        <f aca="false">NORMSINV(Parametrlar!$B$8)*STDEV(VaR!B9:B258)-AVERAGE(VaR!B9:B258)</f>
        <v>0.0283593949584372</v>
      </c>
      <c r="D9" s="44" t="n">
        <f aca="false">IF(B9&lt;-C9,1,0)</f>
        <v>0</v>
      </c>
      <c r="F9" s="8" t="s">
        <v>202</v>
      </c>
      <c r="G9" s="46" t="n">
        <f aca="false">-2*((G5-G6)*LN(Parametrlar!$B$8)+G6*LN(1-Parametrlar!$B$8))+2*IF(G6=0,0,(G5-G6)*LN(1-G8)+G6*LN(G8))</f>
        <v>1.87688303327346</v>
      </c>
      <c r="H9" s="31" t="n">
        <f aca="false">-C9</f>
        <v>-0.0283593949584372</v>
      </c>
    </row>
    <row r="10" customFormat="false" ht="15" hidden="false" customHeight="false" outlineLevel="0" collapsed="false">
      <c r="A10" s="19" t="n">
        <f aca="false">VaR!A260</f>
        <v>45651</v>
      </c>
      <c r="B10" s="28" t="n">
        <f aca="false">VaR!B260</f>
        <v>0.0110694502271551</v>
      </c>
      <c r="C10" s="31" t="n">
        <f aca="false">NORMSINV(Parametrlar!$B$8)*STDEV(VaR!B10:B259)-AVERAGE(VaR!B10:B259)</f>
        <v>0.0282075195239486</v>
      </c>
      <c r="D10" s="44" t="n">
        <f aca="false">IF(B10&lt;-C10,1,0)</f>
        <v>0</v>
      </c>
      <c r="F10" s="8" t="s">
        <v>203</v>
      </c>
      <c r="G10" s="34" t="n">
        <f aca="false">CHIINV(0.05,1)</f>
        <v>3.84145882069413</v>
      </c>
      <c r="H10" s="31" t="n">
        <f aca="false">-C10</f>
        <v>-0.0282075195239486</v>
      </c>
    </row>
    <row r="11" customFormat="false" ht="15" hidden="false" customHeight="false" outlineLevel="0" collapsed="false">
      <c r="A11" s="19" t="n">
        <f aca="false">VaR!A261</f>
        <v>45652</v>
      </c>
      <c r="B11" s="28" t="n">
        <f aca="false">VaR!B261</f>
        <v>0.0159213434998253</v>
      </c>
      <c r="C11" s="31" t="n">
        <f aca="false">NORMSINV(Parametrlar!$B$8)*STDEV(VaR!B11:B260)-AVERAGE(VaR!B11:B260)</f>
        <v>0.0281973734051482</v>
      </c>
      <c r="D11" s="44" t="n">
        <f aca="false">IF(B11&lt;-C11,1,0)</f>
        <v>0</v>
      </c>
      <c r="F11" s="8" t="s">
        <v>204</v>
      </c>
      <c r="G11" s="34" t="n">
        <f aca="false">CHIDIST(G9,1)</f>
        <v>0.17068883462111</v>
      </c>
      <c r="H11" s="31" t="n">
        <f aca="false">-C11</f>
        <v>-0.0281973734051482</v>
      </c>
    </row>
    <row r="12" customFormat="false" ht="15" hidden="false" customHeight="false" outlineLevel="0" collapsed="false">
      <c r="A12" s="19" t="n">
        <f aca="false">VaR!A262</f>
        <v>45653</v>
      </c>
      <c r="B12" s="28" t="n">
        <f aca="false">VaR!B262</f>
        <v>0.00556550661669768</v>
      </c>
      <c r="C12" s="31" t="n">
        <f aca="false">NORMSINV(Parametrlar!$B$8)*STDEV(VaR!B12:B261)-AVERAGE(VaR!B12:B261)</f>
        <v>0.028069769455541</v>
      </c>
      <c r="D12" s="44" t="n">
        <f aca="false">IF(B12&lt;-C12,1,0)</f>
        <v>0</v>
      </c>
      <c r="F12" s="8" t="s">
        <v>93</v>
      </c>
      <c r="G12" s="26" t="str">
        <f aca="false">IF(G9&gt;G10,"Model rad etiladi (istisnolar soni kutilgandan statistik farq qiladi)","Model rad etilmaydi")</f>
        <v>Model rad etilmaydi</v>
      </c>
      <c r="H12" s="31" t="n">
        <f aca="false">-C12</f>
        <v>-0.028069769455541</v>
      </c>
    </row>
    <row r="13" customFormat="false" ht="15" hidden="false" customHeight="false" outlineLevel="0" collapsed="false">
      <c r="A13" s="19" t="n">
        <f aca="false">VaR!A263</f>
        <v>45656</v>
      </c>
      <c r="B13" s="28" t="n">
        <f aca="false">VaR!B263</f>
        <v>-0.00733763308574922</v>
      </c>
      <c r="C13" s="31" t="n">
        <f aca="false">NORMSINV(Parametrlar!$B$8)*STDEV(VaR!B13:B262)-AVERAGE(VaR!B13:B262)</f>
        <v>0.0277860233589445</v>
      </c>
      <c r="D13" s="44" t="n">
        <f aca="false">IF(B13&lt;-C13,1,0)</f>
        <v>0</v>
      </c>
      <c r="F13" s="8" t="s">
        <v>205</v>
      </c>
      <c r="G13" s="26" t="str">
        <f aca="false">IF(G6&lt;=4,"Yashil",IF(G6&lt;=9,"Sariq","Qizil"))</f>
        <v>Sariq</v>
      </c>
      <c r="H13" s="31" t="n">
        <f aca="false">-C13</f>
        <v>-0.0277860233589445</v>
      </c>
    </row>
    <row r="14" customFormat="false" ht="15" hidden="false" customHeight="false" outlineLevel="0" collapsed="false">
      <c r="A14" s="19" t="n">
        <f aca="false">VaR!A264</f>
        <v>45657</v>
      </c>
      <c r="B14" s="28" t="n">
        <f aca="false">VaR!B264</f>
        <v>0.00964858412990095</v>
      </c>
      <c r="C14" s="31" t="n">
        <f aca="false">NORMSINV(Parametrlar!$B$8)*STDEV(VaR!B14:B263)-AVERAGE(VaR!B14:B263)</f>
        <v>0.0278192959061636</v>
      </c>
      <c r="D14" s="44" t="n">
        <f aca="false">IF(B14&lt;-C14,1,0)</f>
        <v>0</v>
      </c>
      <c r="H14" s="31" t="n">
        <f aca="false">-C14</f>
        <v>-0.0278192959061636</v>
      </c>
    </row>
    <row r="15" customFormat="false" ht="15" hidden="false" customHeight="false" outlineLevel="0" collapsed="false">
      <c r="A15" s="19" t="n">
        <f aca="false">VaR!A265</f>
        <v>45658</v>
      </c>
      <c r="B15" s="28" t="n">
        <f aca="false">VaR!B265</f>
        <v>-0.00683676802231947</v>
      </c>
      <c r="C15" s="31" t="n">
        <f aca="false">NORMSINV(Parametrlar!$B$8)*STDEV(VaR!B15:B264)-AVERAGE(VaR!B15:B264)</f>
        <v>0.0277519911477383</v>
      </c>
      <c r="D15" s="44" t="n">
        <f aca="false">IF(B15&lt;-C15,1,0)</f>
        <v>0</v>
      </c>
      <c r="F15" s="10" t="s">
        <v>206</v>
      </c>
      <c r="H15" s="31" t="n">
        <f aca="false">-C15</f>
        <v>-0.0277519911477383</v>
      </c>
    </row>
    <row r="16" customFormat="false" ht="15" hidden="false" customHeight="false" outlineLevel="0" collapsed="false">
      <c r="A16" s="19" t="n">
        <f aca="false">VaR!A266</f>
        <v>45659</v>
      </c>
      <c r="B16" s="28" t="n">
        <f aca="false">VaR!B266</f>
        <v>0.0110197561300507</v>
      </c>
      <c r="C16" s="31" t="n">
        <f aca="false">NORMSINV(Parametrlar!$B$8)*STDEV(VaR!B16:B265)-AVERAGE(VaR!B16:B265)</f>
        <v>0.0278172646384859</v>
      </c>
      <c r="D16" s="44" t="n">
        <f aca="false">IF(B16&lt;-C16,1,0)</f>
        <v>0</v>
      </c>
      <c r="F16" s="10" t="s">
        <v>207</v>
      </c>
      <c r="H16" s="31" t="n">
        <f aca="false">-C16</f>
        <v>-0.0278172646384859</v>
      </c>
    </row>
    <row r="17" customFormat="false" ht="15" hidden="false" customHeight="false" outlineLevel="0" collapsed="false">
      <c r="A17" s="19" t="n">
        <f aca="false">VaR!A267</f>
        <v>45660</v>
      </c>
      <c r="B17" s="28" t="n">
        <f aca="false">VaR!B267</f>
        <v>0.00143910207006425</v>
      </c>
      <c r="C17" s="31" t="n">
        <f aca="false">NORMSINV(Parametrlar!$B$8)*STDEV(VaR!B17:B266)-AVERAGE(VaR!B17:B266)</f>
        <v>0.027821146149886</v>
      </c>
      <c r="D17" s="44" t="n">
        <f aca="false">IF(B17&lt;-C17,1,0)</f>
        <v>0</v>
      </c>
      <c r="H17" s="31" t="n">
        <f aca="false">-C17</f>
        <v>-0.027821146149886</v>
      </c>
    </row>
    <row r="18" customFormat="false" ht="15" hidden="false" customHeight="false" outlineLevel="0" collapsed="false">
      <c r="A18" s="19" t="n">
        <f aca="false">VaR!A268</f>
        <v>45663</v>
      </c>
      <c r="B18" s="28" t="n">
        <f aca="false">VaR!B268</f>
        <v>-0.0143346113001683</v>
      </c>
      <c r="C18" s="31" t="n">
        <f aca="false">NORMSINV(Parametrlar!$B$8)*STDEV(VaR!B18:B267)-AVERAGE(VaR!B18:B267)</f>
        <v>0.0278097721793472</v>
      </c>
      <c r="D18" s="44" t="n">
        <f aca="false">IF(B18&lt;-C18,1,0)</f>
        <v>0</v>
      </c>
      <c r="H18" s="31" t="n">
        <f aca="false">-C18</f>
        <v>-0.0278097721793472</v>
      </c>
    </row>
    <row r="19" customFormat="false" ht="15" hidden="false" customHeight="false" outlineLevel="0" collapsed="false">
      <c r="A19" s="19" t="n">
        <f aca="false">VaR!A269</f>
        <v>45664</v>
      </c>
      <c r="B19" s="28" t="n">
        <f aca="false">VaR!B269</f>
        <v>-0.0121884163815026</v>
      </c>
      <c r="C19" s="31" t="n">
        <f aca="false">NORMSINV(Parametrlar!$B$8)*STDEV(VaR!B19:B268)-AVERAGE(VaR!B19:B268)</f>
        <v>0.0279071678277106</v>
      </c>
      <c r="D19" s="44" t="n">
        <f aca="false">IF(B19&lt;-C19,1,0)</f>
        <v>0</v>
      </c>
      <c r="H19" s="31" t="n">
        <f aca="false">-C19</f>
        <v>-0.0279071678277106</v>
      </c>
    </row>
    <row r="20" customFormat="false" ht="15" hidden="false" customHeight="false" outlineLevel="0" collapsed="false">
      <c r="A20" s="19" t="n">
        <f aca="false">VaR!A270</f>
        <v>45665</v>
      </c>
      <c r="B20" s="28" t="n">
        <f aca="false">VaR!B270</f>
        <v>0.00162871269642506</v>
      </c>
      <c r="C20" s="31" t="n">
        <f aca="false">NORMSINV(Parametrlar!$B$8)*STDEV(VaR!B20:B269)-AVERAGE(VaR!B20:B269)</f>
        <v>0.0280110720380824</v>
      </c>
      <c r="D20" s="44" t="n">
        <f aca="false">IF(B20&lt;-C20,1,0)</f>
        <v>0</v>
      </c>
      <c r="H20" s="31" t="n">
        <f aca="false">-C20</f>
        <v>-0.0280110720380824</v>
      </c>
    </row>
    <row r="21" customFormat="false" ht="15" hidden="false" customHeight="false" outlineLevel="0" collapsed="false">
      <c r="A21" s="19" t="n">
        <f aca="false">VaR!A271</f>
        <v>45666</v>
      </c>
      <c r="B21" s="28" t="n">
        <f aca="false">VaR!B271</f>
        <v>-0.0111580311682985</v>
      </c>
      <c r="C21" s="31" t="n">
        <f aca="false">NORMSINV(Parametrlar!$B$8)*STDEV(VaR!B21:B270)-AVERAGE(VaR!B21:B270)</f>
        <v>0.0280241614076305</v>
      </c>
      <c r="D21" s="44" t="n">
        <f aca="false">IF(B21&lt;-C21,1,0)</f>
        <v>0</v>
      </c>
      <c r="H21" s="31" t="n">
        <f aca="false">-C21</f>
        <v>-0.0280241614076305</v>
      </c>
    </row>
    <row r="22" customFormat="false" ht="15" hidden="false" customHeight="false" outlineLevel="0" collapsed="false">
      <c r="A22" s="19" t="n">
        <f aca="false">VaR!A272</f>
        <v>45667</v>
      </c>
      <c r="B22" s="28" t="n">
        <f aca="false">VaR!B272</f>
        <v>-0.00118220615796514</v>
      </c>
      <c r="C22" s="31" t="n">
        <f aca="false">NORMSINV(Parametrlar!$B$8)*STDEV(VaR!B22:B271)-AVERAGE(VaR!B22:B271)</f>
        <v>0.028080454828296</v>
      </c>
      <c r="D22" s="44" t="n">
        <f aca="false">IF(B22&lt;-C22,1,0)</f>
        <v>0</v>
      </c>
      <c r="H22" s="31" t="n">
        <f aca="false">-C22</f>
        <v>-0.028080454828296</v>
      </c>
    </row>
    <row r="23" customFormat="false" ht="15" hidden="false" customHeight="false" outlineLevel="0" collapsed="false">
      <c r="A23" s="19" t="n">
        <f aca="false">VaR!A273</f>
        <v>45670</v>
      </c>
      <c r="B23" s="28" t="n">
        <f aca="false">VaR!B273</f>
        <v>0.00346036329370033</v>
      </c>
      <c r="C23" s="31" t="n">
        <f aca="false">NORMSINV(Parametrlar!$B$8)*STDEV(VaR!B23:B272)-AVERAGE(VaR!B23:B272)</f>
        <v>0.0281075763077555</v>
      </c>
      <c r="D23" s="44" t="n">
        <f aca="false">IF(B23&lt;-C23,1,0)</f>
        <v>0</v>
      </c>
      <c r="H23" s="31" t="n">
        <f aca="false">-C23</f>
        <v>-0.0281075763077555</v>
      </c>
    </row>
    <row r="24" customFormat="false" ht="15" hidden="false" customHeight="false" outlineLevel="0" collapsed="false">
      <c r="A24" s="19" t="n">
        <f aca="false">VaR!A274</f>
        <v>45671</v>
      </c>
      <c r="B24" s="28" t="n">
        <f aca="false">VaR!B274</f>
        <v>0.000209523941830142</v>
      </c>
      <c r="C24" s="31" t="n">
        <f aca="false">NORMSINV(Parametrlar!$B$8)*STDEV(VaR!B24:B273)-AVERAGE(VaR!B24:B273)</f>
        <v>0.0280880344335821</v>
      </c>
      <c r="D24" s="44" t="n">
        <f aca="false">IF(B24&lt;-C24,1,0)</f>
        <v>0</v>
      </c>
      <c r="H24" s="31" t="n">
        <f aca="false">-C24</f>
        <v>-0.0280880344335821</v>
      </c>
    </row>
    <row r="25" customFormat="false" ht="15" hidden="false" customHeight="false" outlineLevel="0" collapsed="false">
      <c r="A25" s="19" t="n">
        <f aca="false">VaR!A275</f>
        <v>45672</v>
      </c>
      <c r="B25" s="28" t="n">
        <f aca="false">VaR!B275</f>
        <v>0.00746736829928297</v>
      </c>
      <c r="C25" s="31" t="n">
        <f aca="false">NORMSINV(Parametrlar!$B$8)*STDEV(VaR!B25:B274)-AVERAGE(VaR!B25:B274)</f>
        <v>0.0281009465517423</v>
      </c>
      <c r="D25" s="44" t="n">
        <f aca="false">IF(B25&lt;-C25,1,0)</f>
        <v>0</v>
      </c>
      <c r="H25" s="31" t="n">
        <f aca="false">-C25</f>
        <v>-0.0281009465517423</v>
      </c>
    </row>
    <row r="26" customFormat="false" ht="15" hidden="false" customHeight="false" outlineLevel="0" collapsed="false">
      <c r="A26" s="19" t="n">
        <f aca="false">VaR!A276</f>
        <v>45673</v>
      </c>
      <c r="B26" s="28" t="n">
        <f aca="false">VaR!B276</f>
        <v>-0.0163772056792912</v>
      </c>
      <c r="C26" s="31" t="n">
        <f aca="false">NORMSINV(Parametrlar!$B$8)*STDEV(VaR!B26:B275)-AVERAGE(VaR!B26:B275)</f>
        <v>0.0280983244317601</v>
      </c>
      <c r="D26" s="44" t="n">
        <f aca="false">IF(B26&lt;-C26,1,0)</f>
        <v>0</v>
      </c>
      <c r="H26" s="31" t="n">
        <f aca="false">-C26</f>
        <v>-0.0280983244317601</v>
      </c>
    </row>
    <row r="27" customFormat="false" ht="15" hidden="false" customHeight="false" outlineLevel="0" collapsed="false">
      <c r="A27" s="19" t="n">
        <f aca="false">VaR!A277</f>
        <v>45674</v>
      </c>
      <c r="B27" s="28" t="n">
        <f aca="false">VaR!B277</f>
        <v>0.00191808938637831</v>
      </c>
      <c r="C27" s="31" t="n">
        <f aca="false">NORMSINV(Parametrlar!$B$8)*STDEV(VaR!B27:B276)-AVERAGE(VaR!B27:B276)</f>
        <v>0.0282911136679469</v>
      </c>
      <c r="D27" s="44" t="n">
        <f aca="false">IF(B27&lt;-C27,1,0)</f>
        <v>0</v>
      </c>
      <c r="H27" s="31" t="n">
        <f aca="false">-C27</f>
        <v>-0.0282911136679469</v>
      </c>
    </row>
    <row r="28" customFormat="false" ht="15" hidden="false" customHeight="false" outlineLevel="0" collapsed="false">
      <c r="A28" s="19" t="n">
        <f aca="false">VaR!A278</f>
        <v>45677</v>
      </c>
      <c r="B28" s="28" t="n">
        <f aca="false">VaR!B278</f>
        <v>-0.00644477626509852</v>
      </c>
      <c r="C28" s="31" t="n">
        <f aca="false">NORMSINV(Parametrlar!$B$8)*STDEV(VaR!B28:B277)-AVERAGE(VaR!B28:B277)</f>
        <v>0.028288047278991</v>
      </c>
      <c r="D28" s="44" t="n">
        <f aca="false">IF(B28&lt;-C28,1,0)</f>
        <v>0</v>
      </c>
      <c r="H28" s="31" t="n">
        <f aca="false">-C28</f>
        <v>-0.028288047278991</v>
      </c>
    </row>
    <row r="29" customFormat="false" ht="15" hidden="false" customHeight="false" outlineLevel="0" collapsed="false">
      <c r="A29" s="19" t="n">
        <f aca="false">VaR!A279</f>
        <v>45678</v>
      </c>
      <c r="B29" s="28" t="n">
        <f aca="false">VaR!B279</f>
        <v>0.00921302389698309</v>
      </c>
      <c r="C29" s="31" t="n">
        <f aca="false">NORMSINV(Parametrlar!$B$8)*STDEV(VaR!B29:B278)-AVERAGE(VaR!B29:B278)</f>
        <v>0.0283363516529257</v>
      </c>
      <c r="D29" s="44" t="n">
        <f aca="false">IF(B29&lt;-C29,1,0)</f>
        <v>0</v>
      </c>
      <c r="H29" s="31" t="n">
        <f aca="false">-C29</f>
        <v>-0.0283363516529257</v>
      </c>
    </row>
    <row r="30" customFormat="false" ht="15" hidden="false" customHeight="false" outlineLevel="0" collapsed="false">
      <c r="A30" s="19" t="n">
        <f aca="false">VaR!A280</f>
        <v>45679</v>
      </c>
      <c r="B30" s="28" t="n">
        <f aca="false">VaR!B280</f>
        <v>0.0137534386255074</v>
      </c>
      <c r="C30" s="31" t="n">
        <f aca="false">NORMSINV(Parametrlar!$B$8)*STDEV(VaR!B30:B279)-AVERAGE(VaR!B30:B279)</f>
        <v>0.0281453296762152</v>
      </c>
      <c r="D30" s="44" t="n">
        <f aca="false">IF(B30&lt;-C30,1,0)</f>
        <v>0</v>
      </c>
      <c r="H30" s="31" t="n">
        <f aca="false">-C30</f>
        <v>-0.0281453296762152</v>
      </c>
    </row>
    <row r="31" customFormat="false" ht="15" hidden="false" customHeight="false" outlineLevel="0" collapsed="false">
      <c r="A31" s="19" t="n">
        <f aca="false">VaR!A281</f>
        <v>45680</v>
      </c>
      <c r="B31" s="28" t="n">
        <f aca="false">VaR!B281</f>
        <v>-0.0277077864789425</v>
      </c>
      <c r="C31" s="31" t="n">
        <f aca="false">NORMSINV(Parametrlar!$B$8)*STDEV(VaR!B31:B280)-AVERAGE(VaR!B31:B280)</f>
        <v>0.028151922949148</v>
      </c>
      <c r="D31" s="44" t="n">
        <f aca="false">IF(B31&lt;-C31,1,0)</f>
        <v>0</v>
      </c>
      <c r="H31" s="31" t="n">
        <f aca="false">-C31</f>
        <v>-0.028151922949148</v>
      </c>
    </row>
    <row r="32" customFormat="false" ht="15" hidden="false" customHeight="false" outlineLevel="0" collapsed="false">
      <c r="A32" s="19" t="n">
        <f aca="false">VaR!A282</f>
        <v>45681</v>
      </c>
      <c r="B32" s="28" t="n">
        <f aca="false">VaR!B282</f>
        <v>0.0210892612079083</v>
      </c>
      <c r="C32" s="31" t="n">
        <f aca="false">NORMSINV(Parametrlar!$B$8)*STDEV(VaR!B32:B281)-AVERAGE(VaR!B32:B281)</f>
        <v>0.0285913155834236</v>
      </c>
      <c r="D32" s="44" t="n">
        <f aca="false">IF(B32&lt;-C32,1,0)</f>
        <v>0</v>
      </c>
      <c r="H32" s="31" t="n">
        <f aca="false">-C32</f>
        <v>-0.0285913155834236</v>
      </c>
    </row>
    <row r="33" customFormat="false" ht="15" hidden="false" customHeight="false" outlineLevel="0" collapsed="false">
      <c r="A33" s="19" t="n">
        <f aca="false">VaR!A283</f>
        <v>45684</v>
      </c>
      <c r="B33" s="28" t="n">
        <f aca="false">VaR!B283</f>
        <v>-0.000462825530388456</v>
      </c>
      <c r="C33" s="31" t="n">
        <f aca="false">NORMSINV(Parametrlar!$B$8)*STDEV(VaR!B33:B282)-AVERAGE(VaR!B33:B282)</f>
        <v>0.0286217312489067</v>
      </c>
      <c r="D33" s="44" t="n">
        <f aca="false">IF(B33&lt;-C33,1,0)</f>
        <v>0</v>
      </c>
      <c r="H33" s="31" t="n">
        <f aca="false">-C33</f>
        <v>-0.0286217312489067</v>
      </c>
    </row>
    <row r="34" customFormat="false" ht="15" hidden="false" customHeight="false" outlineLevel="0" collapsed="false">
      <c r="A34" s="19" t="n">
        <f aca="false">VaR!A284</f>
        <v>45685</v>
      </c>
      <c r="B34" s="28" t="n">
        <f aca="false">VaR!B284</f>
        <v>-0.0130714072868246</v>
      </c>
      <c r="C34" s="31" t="n">
        <f aca="false">NORMSINV(Parametrlar!$B$8)*STDEV(VaR!B34:B283)-AVERAGE(VaR!B34:B283)</f>
        <v>0.0286270412205608</v>
      </c>
      <c r="D34" s="44" t="n">
        <f aca="false">IF(B34&lt;-C34,1,0)</f>
        <v>0</v>
      </c>
      <c r="H34" s="31" t="n">
        <f aca="false">-C34</f>
        <v>-0.0286270412205608</v>
      </c>
    </row>
    <row r="35" customFormat="false" ht="15" hidden="false" customHeight="false" outlineLevel="0" collapsed="false">
      <c r="A35" s="19" t="n">
        <f aca="false">VaR!A285</f>
        <v>45686</v>
      </c>
      <c r="B35" s="28" t="n">
        <f aca="false">VaR!B285</f>
        <v>0.00260298617509917</v>
      </c>
      <c r="C35" s="31" t="n">
        <f aca="false">NORMSINV(Parametrlar!$B$8)*STDEV(VaR!B35:B284)-AVERAGE(VaR!B35:B284)</f>
        <v>0.0287718461609408</v>
      </c>
      <c r="D35" s="44" t="n">
        <f aca="false">IF(B35&lt;-C35,1,0)</f>
        <v>0</v>
      </c>
      <c r="H35" s="31" t="n">
        <f aca="false">-C35</f>
        <v>-0.0287718461609408</v>
      </c>
    </row>
    <row r="36" customFormat="false" ht="15" hidden="false" customHeight="false" outlineLevel="0" collapsed="false">
      <c r="A36" s="19" t="n">
        <f aca="false">VaR!A286</f>
        <v>45687</v>
      </c>
      <c r="B36" s="28" t="n">
        <f aca="false">VaR!B286</f>
        <v>-0.00949112099310404</v>
      </c>
      <c r="C36" s="31" t="n">
        <f aca="false">NORMSINV(Parametrlar!$B$8)*STDEV(VaR!B36:B285)-AVERAGE(VaR!B36:B285)</f>
        <v>0.0287795388922252</v>
      </c>
      <c r="D36" s="44" t="n">
        <f aca="false">IF(B36&lt;-C36,1,0)</f>
        <v>0</v>
      </c>
      <c r="H36" s="31" t="n">
        <f aca="false">-C36</f>
        <v>-0.0287795388922252</v>
      </c>
    </row>
    <row r="37" customFormat="false" ht="15" hidden="false" customHeight="false" outlineLevel="0" collapsed="false">
      <c r="A37" s="19" t="n">
        <f aca="false">VaR!A287</f>
        <v>45688</v>
      </c>
      <c r="B37" s="28" t="n">
        <f aca="false">VaR!B287</f>
        <v>-0.0122713809745996</v>
      </c>
      <c r="C37" s="31" t="n">
        <f aca="false">NORMSINV(Parametrlar!$B$8)*STDEV(VaR!B37:B286)-AVERAGE(VaR!B37:B286)</f>
        <v>0.028857376397793</v>
      </c>
      <c r="D37" s="44" t="n">
        <f aca="false">IF(B37&lt;-C37,1,0)</f>
        <v>0</v>
      </c>
      <c r="H37" s="31" t="n">
        <f aca="false">-C37</f>
        <v>-0.028857376397793</v>
      </c>
    </row>
    <row r="38" customFormat="false" ht="15" hidden="false" customHeight="false" outlineLevel="0" collapsed="false">
      <c r="A38" s="19" t="n">
        <f aca="false">VaR!A288</f>
        <v>45691</v>
      </c>
      <c r="B38" s="28" t="n">
        <f aca="false">VaR!B288</f>
        <v>0.0110534268835554</v>
      </c>
      <c r="C38" s="31" t="n">
        <f aca="false">NORMSINV(Parametrlar!$B$8)*STDEV(VaR!B38:B287)-AVERAGE(VaR!B38:B287)</f>
        <v>0.0289347220654926</v>
      </c>
      <c r="D38" s="44" t="n">
        <f aca="false">IF(B38&lt;-C38,1,0)</f>
        <v>0</v>
      </c>
      <c r="H38" s="31" t="n">
        <f aca="false">-C38</f>
        <v>-0.0289347220654926</v>
      </c>
    </row>
    <row r="39" customFormat="false" ht="15" hidden="false" customHeight="false" outlineLevel="0" collapsed="false">
      <c r="A39" s="19" t="n">
        <f aca="false">VaR!A289</f>
        <v>45692</v>
      </c>
      <c r="B39" s="28" t="n">
        <f aca="false">VaR!B289</f>
        <v>0.00665430131285604</v>
      </c>
      <c r="C39" s="31" t="n">
        <f aca="false">NORMSINV(Parametrlar!$B$8)*STDEV(VaR!B39:B288)-AVERAGE(VaR!B39:B288)</f>
        <v>0.028932407798565</v>
      </c>
      <c r="D39" s="44" t="n">
        <f aca="false">IF(B39&lt;-C39,1,0)</f>
        <v>0</v>
      </c>
      <c r="H39" s="31" t="n">
        <f aca="false">-C39</f>
        <v>-0.028932407798565</v>
      </c>
    </row>
    <row r="40" customFormat="false" ht="15" hidden="false" customHeight="false" outlineLevel="0" collapsed="false">
      <c r="A40" s="19" t="n">
        <f aca="false">VaR!A290</f>
        <v>45693</v>
      </c>
      <c r="B40" s="28" t="n">
        <f aca="false">VaR!B290</f>
        <v>0.00556880199215251</v>
      </c>
      <c r="C40" s="31" t="n">
        <f aca="false">NORMSINV(Parametrlar!$B$8)*STDEV(VaR!B40:B289)-AVERAGE(VaR!B40:B289)</f>
        <v>0.0289208276443924</v>
      </c>
      <c r="D40" s="44" t="n">
        <f aca="false">IF(B40&lt;-C40,1,0)</f>
        <v>0</v>
      </c>
      <c r="H40" s="31" t="n">
        <f aca="false">-C40</f>
        <v>-0.0289208276443924</v>
      </c>
    </row>
    <row r="41" customFormat="false" ht="15" hidden="false" customHeight="false" outlineLevel="0" collapsed="false">
      <c r="A41" s="19" t="n">
        <f aca="false">VaR!A291</f>
        <v>45694</v>
      </c>
      <c r="B41" s="28" t="n">
        <f aca="false">VaR!B291</f>
        <v>2.20577310416247E-005</v>
      </c>
      <c r="C41" s="31" t="n">
        <f aca="false">NORMSINV(Parametrlar!$B$8)*STDEV(VaR!B41:B290)-AVERAGE(VaR!B41:B290)</f>
        <v>0.0287899561288762</v>
      </c>
      <c r="D41" s="44" t="n">
        <f aca="false">IF(B41&lt;-C41,1,0)</f>
        <v>0</v>
      </c>
      <c r="H41" s="31" t="n">
        <f aca="false">-C41</f>
        <v>-0.0287899561288762</v>
      </c>
    </row>
    <row r="42" customFormat="false" ht="15" hidden="false" customHeight="false" outlineLevel="0" collapsed="false">
      <c r="A42" s="19" t="n">
        <f aca="false">VaR!A292</f>
        <v>45695</v>
      </c>
      <c r="B42" s="28" t="n">
        <f aca="false">VaR!B292</f>
        <v>0.017945274080243</v>
      </c>
      <c r="C42" s="31" t="n">
        <f aca="false">NORMSINV(Parametrlar!$B$8)*STDEV(VaR!B42:B291)-AVERAGE(VaR!B42:B291)</f>
        <v>0.0278346428951837</v>
      </c>
      <c r="D42" s="44" t="n">
        <f aca="false">IF(B42&lt;-C42,1,0)</f>
        <v>0</v>
      </c>
      <c r="H42" s="31" t="n">
        <f aca="false">-C42</f>
        <v>-0.0278346428951837</v>
      </c>
    </row>
    <row r="43" customFormat="false" ht="15" hidden="false" customHeight="false" outlineLevel="0" collapsed="false">
      <c r="A43" s="19" t="n">
        <f aca="false">VaR!A293</f>
        <v>45698</v>
      </c>
      <c r="B43" s="28" t="n">
        <f aca="false">VaR!B293</f>
        <v>0.00356828232803938</v>
      </c>
      <c r="C43" s="31" t="n">
        <f aca="false">NORMSINV(Parametrlar!$B$8)*STDEV(VaR!B43:B292)-AVERAGE(VaR!B43:B292)</f>
        <v>0.0278718817559544</v>
      </c>
      <c r="D43" s="44" t="n">
        <f aca="false">IF(B43&lt;-C43,1,0)</f>
        <v>0</v>
      </c>
      <c r="H43" s="31" t="n">
        <f aca="false">-C43</f>
        <v>-0.0278718817559544</v>
      </c>
    </row>
    <row r="44" customFormat="false" ht="15" hidden="false" customHeight="false" outlineLevel="0" collapsed="false">
      <c r="A44" s="19" t="n">
        <f aca="false">VaR!A294</f>
        <v>45699</v>
      </c>
      <c r="B44" s="28" t="n">
        <f aca="false">VaR!B294</f>
        <v>0.00763542713665504</v>
      </c>
      <c r="C44" s="31" t="n">
        <f aca="false">NORMSINV(Parametrlar!$B$8)*STDEV(VaR!B44:B293)-AVERAGE(VaR!B44:B293)</f>
        <v>0.0278118687256034</v>
      </c>
      <c r="D44" s="44" t="n">
        <f aca="false">IF(B44&lt;-C44,1,0)</f>
        <v>0</v>
      </c>
      <c r="H44" s="31" t="n">
        <f aca="false">-C44</f>
        <v>-0.0278118687256034</v>
      </c>
    </row>
    <row r="45" customFormat="false" ht="15" hidden="false" customHeight="false" outlineLevel="0" collapsed="false">
      <c r="A45" s="19" t="n">
        <f aca="false">VaR!A295</f>
        <v>45700</v>
      </c>
      <c r="B45" s="28" t="n">
        <f aca="false">VaR!B295</f>
        <v>0.00730775134416051</v>
      </c>
      <c r="C45" s="31" t="n">
        <f aca="false">NORMSINV(Parametrlar!$B$8)*STDEV(VaR!B45:B294)-AVERAGE(VaR!B45:B294)</f>
        <v>0.0278107412131075</v>
      </c>
      <c r="D45" s="44" t="n">
        <f aca="false">IF(B45&lt;-C45,1,0)</f>
        <v>0</v>
      </c>
      <c r="H45" s="31" t="n">
        <f aca="false">-C45</f>
        <v>-0.0278107412131075</v>
      </c>
    </row>
    <row r="46" customFormat="false" ht="15" hidden="false" customHeight="false" outlineLevel="0" collapsed="false">
      <c r="A46" s="19" t="n">
        <f aca="false">VaR!A296</f>
        <v>45701</v>
      </c>
      <c r="B46" s="28" t="n">
        <f aca="false">VaR!B296</f>
        <v>0.00847143364260649</v>
      </c>
      <c r="C46" s="31" t="n">
        <f aca="false">NORMSINV(Parametrlar!$B$8)*STDEV(VaR!B46:B295)-AVERAGE(VaR!B46:B295)</f>
        <v>0.027790523267431</v>
      </c>
      <c r="D46" s="44" t="n">
        <f aca="false">IF(B46&lt;-C46,1,0)</f>
        <v>0</v>
      </c>
      <c r="H46" s="31" t="n">
        <f aca="false">-C46</f>
        <v>-0.027790523267431</v>
      </c>
    </row>
    <row r="47" customFormat="false" ht="15" hidden="false" customHeight="false" outlineLevel="0" collapsed="false">
      <c r="A47" s="19" t="n">
        <f aca="false">VaR!A297</f>
        <v>45702</v>
      </c>
      <c r="B47" s="28" t="n">
        <f aca="false">VaR!B297</f>
        <v>-0.0113647781717331</v>
      </c>
      <c r="C47" s="31" t="n">
        <f aca="false">NORMSINV(Parametrlar!$B$8)*STDEV(VaR!B47:B296)-AVERAGE(VaR!B47:B296)</f>
        <v>0.0277817362417722</v>
      </c>
      <c r="D47" s="44" t="n">
        <f aca="false">IF(B47&lt;-C47,1,0)</f>
        <v>0</v>
      </c>
      <c r="H47" s="31" t="n">
        <f aca="false">-C47</f>
        <v>-0.0277817362417722</v>
      </c>
    </row>
    <row r="48" customFormat="false" ht="15" hidden="false" customHeight="false" outlineLevel="0" collapsed="false">
      <c r="A48" s="19" t="n">
        <f aca="false">VaR!A298</f>
        <v>45705</v>
      </c>
      <c r="B48" s="28" t="n">
        <f aca="false">VaR!B298</f>
        <v>0.0103111781477725</v>
      </c>
      <c r="C48" s="31" t="n">
        <f aca="false">NORMSINV(Parametrlar!$B$8)*STDEV(VaR!B48:B297)-AVERAGE(VaR!B48:B297)</f>
        <v>0.0279068813147566</v>
      </c>
      <c r="D48" s="44" t="n">
        <f aca="false">IF(B48&lt;-C48,1,0)</f>
        <v>0</v>
      </c>
      <c r="H48" s="31" t="n">
        <f aca="false">-C48</f>
        <v>-0.0279068813147566</v>
      </c>
    </row>
    <row r="49" customFormat="false" ht="15" hidden="false" customHeight="false" outlineLevel="0" collapsed="false">
      <c r="A49" s="19" t="n">
        <f aca="false">VaR!A299</f>
        <v>45706</v>
      </c>
      <c r="B49" s="28" t="n">
        <f aca="false">VaR!B299</f>
        <v>0.0123116989203423</v>
      </c>
      <c r="C49" s="31" t="n">
        <f aca="false">NORMSINV(Parametrlar!$B$8)*STDEV(VaR!B49:B298)-AVERAGE(VaR!B49:B298)</f>
        <v>0.0278885066818628</v>
      </c>
      <c r="D49" s="44" t="n">
        <f aca="false">IF(B49&lt;-C49,1,0)</f>
        <v>0</v>
      </c>
      <c r="H49" s="31" t="n">
        <f aca="false">-C49</f>
        <v>-0.0278885066818628</v>
      </c>
    </row>
    <row r="50" customFormat="false" ht="15" hidden="false" customHeight="false" outlineLevel="0" collapsed="false">
      <c r="A50" s="19" t="n">
        <f aca="false">VaR!A300</f>
        <v>45707</v>
      </c>
      <c r="B50" s="28" t="n">
        <f aca="false">VaR!B300</f>
        <v>-0.0117034484880422</v>
      </c>
      <c r="C50" s="31" t="n">
        <f aca="false">NORMSINV(Parametrlar!$B$8)*STDEV(VaR!B50:B299)-AVERAGE(VaR!B50:B299)</f>
        <v>0.0278888787958584</v>
      </c>
      <c r="D50" s="44" t="n">
        <f aca="false">IF(B50&lt;-C50,1,0)</f>
        <v>0</v>
      </c>
      <c r="H50" s="31" t="n">
        <f aca="false">-C50</f>
        <v>-0.0278888787958584</v>
      </c>
    </row>
    <row r="51" customFormat="false" ht="15" hidden="false" customHeight="false" outlineLevel="0" collapsed="false">
      <c r="A51" s="19" t="n">
        <f aca="false">VaR!A301</f>
        <v>45708</v>
      </c>
      <c r="B51" s="28" t="n">
        <f aca="false">VaR!B301</f>
        <v>-0.0102403379044639</v>
      </c>
      <c r="C51" s="31" t="n">
        <f aca="false">NORMSINV(Parametrlar!$B$8)*STDEV(VaR!B51:B300)-AVERAGE(VaR!B51:B300)</f>
        <v>0.0273428458651876</v>
      </c>
      <c r="D51" s="44" t="n">
        <f aca="false">IF(B51&lt;-C51,1,0)</f>
        <v>0</v>
      </c>
      <c r="H51" s="31" t="n">
        <f aca="false">-C51</f>
        <v>-0.0273428458651876</v>
      </c>
    </row>
    <row r="52" customFormat="false" ht="15" hidden="false" customHeight="false" outlineLevel="0" collapsed="false">
      <c r="A52" s="19" t="n">
        <f aca="false">VaR!A302</f>
        <v>45709</v>
      </c>
      <c r="B52" s="28" t="n">
        <f aca="false">VaR!B302</f>
        <v>-0.0162001231818041</v>
      </c>
      <c r="C52" s="31" t="n">
        <f aca="false">NORMSINV(Parametrlar!$B$8)*STDEV(VaR!B52:B301)-AVERAGE(VaR!B52:B301)</f>
        <v>0.0267534301642817</v>
      </c>
      <c r="D52" s="44" t="n">
        <f aca="false">IF(B52&lt;-C52,1,0)</f>
        <v>0</v>
      </c>
      <c r="H52" s="31" t="n">
        <f aca="false">-C52</f>
        <v>-0.0267534301642817</v>
      </c>
    </row>
    <row r="53" customFormat="false" ht="15" hidden="false" customHeight="false" outlineLevel="0" collapsed="false">
      <c r="A53" s="19" t="n">
        <f aca="false">VaR!A303</f>
        <v>45712</v>
      </c>
      <c r="B53" s="28" t="n">
        <f aca="false">VaR!B303</f>
        <v>-0.00357415759546783</v>
      </c>
      <c r="C53" s="31" t="n">
        <f aca="false">NORMSINV(Parametrlar!$B$8)*STDEV(VaR!B53:B302)-AVERAGE(VaR!B53:B302)</f>
        <v>0.0269148432073002</v>
      </c>
      <c r="D53" s="44" t="n">
        <f aca="false">IF(B53&lt;-C53,1,0)</f>
        <v>0</v>
      </c>
      <c r="H53" s="31" t="n">
        <f aca="false">-C53</f>
        <v>-0.0269148432073002</v>
      </c>
    </row>
    <row r="54" customFormat="false" ht="15" hidden="false" customHeight="false" outlineLevel="0" collapsed="false">
      <c r="A54" s="19" t="n">
        <f aca="false">VaR!A304</f>
        <v>45713</v>
      </c>
      <c r="B54" s="28" t="n">
        <f aca="false">VaR!B304</f>
        <v>0.0132419584925819</v>
      </c>
      <c r="C54" s="31" t="n">
        <f aca="false">NORMSINV(Parametrlar!$B$8)*STDEV(VaR!B54:B303)-AVERAGE(VaR!B54:B303)</f>
        <v>0.0264159307309165</v>
      </c>
      <c r="D54" s="44" t="n">
        <f aca="false">IF(B54&lt;-C54,1,0)</f>
        <v>0</v>
      </c>
      <c r="H54" s="31" t="n">
        <f aca="false">-C54</f>
        <v>-0.0264159307309165</v>
      </c>
    </row>
    <row r="55" customFormat="false" ht="15" hidden="false" customHeight="false" outlineLevel="0" collapsed="false">
      <c r="A55" s="19" t="n">
        <f aca="false">VaR!A305</f>
        <v>45714</v>
      </c>
      <c r="B55" s="28" t="n">
        <f aca="false">VaR!B305</f>
        <v>-0.0174935566705157</v>
      </c>
      <c r="C55" s="31" t="n">
        <f aca="false">NORMSINV(Parametrlar!$B$8)*STDEV(VaR!B55:B304)-AVERAGE(VaR!B55:B304)</f>
        <v>0.0263848818681992</v>
      </c>
      <c r="D55" s="44" t="n">
        <f aca="false">IF(B55&lt;-C55,1,0)</f>
        <v>0</v>
      </c>
      <c r="H55" s="31" t="n">
        <f aca="false">-C55</f>
        <v>-0.0263848818681992</v>
      </c>
    </row>
    <row r="56" customFormat="false" ht="15" hidden="false" customHeight="false" outlineLevel="0" collapsed="false">
      <c r="A56" s="19" t="n">
        <f aca="false">VaR!A306</f>
        <v>45715</v>
      </c>
      <c r="B56" s="28" t="n">
        <f aca="false">VaR!B306</f>
        <v>0.00357403358563951</v>
      </c>
      <c r="C56" s="31" t="n">
        <f aca="false">NORMSINV(Parametrlar!$B$8)*STDEV(VaR!B56:B305)-AVERAGE(VaR!B56:B305)</f>
        <v>0.0266135931511104</v>
      </c>
      <c r="D56" s="44" t="n">
        <f aca="false">IF(B56&lt;-C56,1,0)</f>
        <v>0</v>
      </c>
      <c r="H56" s="31" t="n">
        <f aca="false">-C56</f>
        <v>-0.0266135931511104</v>
      </c>
    </row>
    <row r="57" customFormat="false" ht="15" hidden="false" customHeight="false" outlineLevel="0" collapsed="false">
      <c r="A57" s="19" t="n">
        <f aca="false">VaR!A307</f>
        <v>45716</v>
      </c>
      <c r="B57" s="28" t="n">
        <f aca="false">VaR!B307</f>
        <v>-0.0225678423507341</v>
      </c>
      <c r="C57" s="31" t="n">
        <f aca="false">NORMSINV(Parametrlar!$B$8)*STDEV(VaR!B57:B306)-AVERAGE(VaR!B57:B306)</f>
        <v>0.0265298003284192</v>
      </c>
      <c r="D57" s="44" t="n">
        <f aca="false">IF(B57&lt;-C57,1,0)</f>
        <v>0</v>
      </c>
      <c r="H57" s="31" t="n">
        <f aca="false">-C57</f>
        <v>-0.0265298003284192</v>
      </c>
    </row>
    <row r="58" customFormat="false" ht="15" hidden="false" customHeight="false" outlineLevel="0" collapsed="false">
      <c r="A58" s="19" t="n">
        <f aca="false">VaR!A308</f>
        <v>45719</v>
      </c>
      <c r="B58" s="28" t="n">
        <f aca="false">VaR!B308</f>
        <v>-0.0145494015423532</v>
      </c>
      <c r="C58" s="31" t="n">
        <f aca="false">NORMSINV(Parametrlar!$B$8)*STDEV(VaR!B58:B307)-AVERAGE(VaR!B58:B307)</f>
        <v>0.0267777205040945</v>
      </c>
      <c r="D58" s="44" t="n">
        <f aca="false">IF(B58&lt;-C58,1,0)</f>
        <v>0</v>
      </c>
      <c r="H58" s="31" t="n">
        <f aca="false">-C58</f>
        <v>-0.0267777205040945</v>
      </c>
    </row>
    <row r="59" customFormat="false" ht="15" hidden="false" customHeight="false" outlineLevel="0" collapsed="false">
      <c r="A59" s="19" t="n">
        <f aca="false">VaR!A309</f>
        <v>45720</v>
      </c>
      <c r="B59" s="28" t="n">
        <f aca="false">VaR!B309</f>
        <v>-0.00966219017198909</v>
      </c>
      <c r="C59" s="31" t="n">
        <f aca="false">NORMSINV(Parametrlar!$B$8)*STDEV(VaR!B59:B308)-AVERAGE(VaR!B59:B308)</f>
        <v>0.0269083705504581</v>
      </c>
      <c r="D59" s="44" t="n">
        <f aca="false">IF(B59&lt;-C59,1,0)</f>
        <v>0</v>
      </c>
      <c r="H59" s="31" t="n">
        <f aca="false">-C59</f>
        <v>-0.0269083705504581</v>
      </c>
    </row>
    <row r="60" customFormat="false" ht="15" hidden="false" customHeight="false" outlineLevel="0" collapsed="false">
      <c r="A60" s="19" t="n">
        <f aca="false">VaR!A310</f>
        <v>45721</v>
      </c>
      <c r="B60" s="28" t="n">
        <f aca="false">VaR!B310</f>
        <v>-0.0211297262768026</v>
      </c>
      <c r="C60" s="31" t="n">
        <f aca="false">NORMSINV(Parametrlar!$B$8)*STDEV(VaR!B60:B309)-AVERAGE(VaR!B60:B309)</f>
        <v>0.0268653286817315</v>
      </c>
      <c r="D60" s="44" t="n">
        <f aca="false">IF(B60&lt;-C60,1,0)</f>
        <v>0</v>
      </c>
      <c r="H60" s="31" t="n">
        <f aca="false">-C60</f>
        <v>-0.0268653286817315</v>
      </c>
    </row>
    <row r="61" customFormat="false" ht="15" hidden="false" customHeight="false" outlineLevel="0" collapsed="false">
      <c r="A61" s="19" t="n">
        <f aca="false">VaR!A311</f>
        <v>45722</v>
      </c>
      <c r="B61" s="28" t="n">
        <f aca="false">VaR!B311</f>
        <v>-0.0112906395983814</v>
      </c>
      <c r="C61" s="31" t="n">
        <f aca="false">NORMSINV(Parametrlar!$B$8)*STDEV(VaR!B61:B310)-AVERAGE(VaR!B61:B310)</f>
        <v>0.0271470612247448</v>
      </c>
      <c r="D61" s="44" t="n">
        <f aca="false">IF(B61&lt;-C61,1,0)</f>
        <v>0</v>
      </c>
      <c r="H61" s="31" t="n">
        <f aca="false">-C61</f>
        <v>-0.0271470612247448</v>
      </c>
    </row>
    <row r="62" customFormat="false" ht="15" hidden="false" customHeight="false" outlineLevel="0" collapsed="false">
      <c r="A62" s="19" t="n">
        <f aca="false">VaR!A312</f>
        <v>45723</v>
      </c>
      <c r="B62" s="28" t="n">
        <f aca="false">VaR!B312</f>
        <v>-0.0251302163333247</v>
      </c>
      <c r="C62" s="31" t="n">
        <f aca="false">NORMSINV(Parametrlar!$B$8)*STDEV(VaR!B62:B311)-AVERAGE(VaR!B62:B311)</f>
        <v>0.02662968291519</v>
      </c>
      <c r="D62" s="44" t="n">
        <f aca="false">IF(B62&lt;-C62,1,0)</f>
        <v>0</v>
      </c>
      <c r="H62" s="31" t="n">
        <f aca="false">-C62</f>
        <v>-0.02662968291519</v>
      </c>
    </row>
    <row r="63" customFormat="false" ht="15" hidden="false" customHeight="false" outlineLevel="0" collapsed="false">
      <c r="A63" s="19" t="n">
        <f aca="false">VaR!A313</f>
        <v>45726</v>
      </c>
      <c r="B63" s="28" t="n">
        <f aca="false">VaR!B313</f>
        <v>-0.0115664585037302</v>
      </c>
      <c r="C63" s="31" t="n">
        <f aca="false">NORMSINV(Parametrlar!$B$8)*STDEV(VaR!B63:B312)-AVERAGE(VaR!B63:B312)</f>
        <v>0.0268395453649204</v>
      </c>
      <c r="D63" s="44" t="n">
        <f aca="false">IF(B63&lt;-C63,1,0)</f>
        <v>0</v>
      </c>
      <c r="H63" s="31" t="n">
        <f aca="false">-C63</f>
        <v>-0.0268395453649204</v>
      </c>
    </row>
    <row r="64" customFormat="false" ht="15" hidden="false" customHeight="false" outlineLevel="0" collapsed="false">
      <c r="A64" s="19" t="n">
        <f aca="false">VaR!A314</f>
        <v>45727</v>
      </c>
      <c r="B64" s="28" t="n">
        <f aca="false">VaR!B314</f>
        <v>-0.0123063967253061</v>
      </c>
      <c r="C64" s="31" t="n">
        <f aca="false">NORMSINV(Parametrlar!$B$8)*STDEV(VaR!B64:B313)-AVERAGE(VaR!B64:B313)</f>
        <v>0.0269595633044636</v>
      </c>
      <c r="D64" s="44" t="n">
        <f aca="false">IF(B64&lt;-C64,1,0)</f>
        <v>0</v>
      </c>
      <c r="H64" s="31" t="n">
        <f aca="false">-C64</f>
        <v>-0.0269595633044636</v>
      </c>
    </row>
    <row r="65" customFormat="false" ht="15" hidden="false" customHeight="false" outlineLevel="0" collapsed="false">
      <c r="A65" s="19" t="n">
        <f aca="false">VaR!A315</f>
        <v>45728</v>
      </c>
      <c r="B65" s="28" t="n">
        <f aca="false">VaR!B315</f>
        <v>0.00971429716080188</v>
      </c>
      <c r="C65" s="31" t="n">
        <f aca="false">NORMSINV(Parametrlar!$B$8)*STDEV(VaR!B65:B314)-AVERAGE(VaR!B65:B314)</f>
        <v>0.0267126620676491</v>
      </c>
      <c r="D65" s="44" t="n">
        <f aca="false">IF(B65&lt;-C65,1,0)</f>
        <v>0</v>
      </c>
      <c r="H65" s="31" t="n">
        <f aca="false">-C65</f>
        <v>-0.0267126620676491</v>
      </c>
    </row>
    <row r="66" customFormat="false" ht="15" hidden="false" customHeight="false" outlineLevel="0" collapsed="false">
      <c r="A66" s="19" t="n">
        <f aca="false">VaR!A316</f>
        <v>45729</v>
      </c>
      <c r="B66" s="28" t="n">
        <f aca="false">VaR!B316</f>
        <v>0.00818133647047225</v>
      </c>
      <c r="C66" s="31" t="n">
        <f aca="false">NORMSINV(Parametrlar!$B$8)*STDEV(VaR!B66:B315)-AVERAGE(VaR!B66:B315)</f>
        <v>0.0265839477267041</v>
      </c>
      <c r="D66" s="44" t="n">
        <f aca="false">IF(B66&lt;-C66,1,0)</f>
        <v>0</v>
      </c>
      <c r="H66" s="31" t="n">
        <f aca="false">-C66</f>
        <v>-0.0265839477267041</v>
      </c>
    </row>
    <row r="67" customFormat="false" ht="15" hidden="false" customHeight="false" outlineLevel="0" collapsed="false">
      <c r="A67" s="19" t="n">
        <f aca="false">VaR!A317</f>
        <v>45730</v>
      </c>
      <c r="B67" s="28" t="n">
        <f aca="false">VaR!B317</f>
        <v>-1.53233158713406E-005</v>
      </c>
      <c r="C67" s="31" t="n">
        <f aca="false">NORMSINV(Parametrlar!$B$8)*STDEV(VaR!B67:B316)-AVERAGE(VaR!B67:B316)</f>
        <v>0.0265815539564251</v>
      </c>
      <c r="D67" s="44" t="n">
        <f aca="false">IF(B67&lt;-C67,1,0)</f>
        <v>0</v>
      </c>
      <c r="H67" s="31" t="n">
        <f aca="false">-C67</f>
        <v>-0.0265815539564251</v>
      </c>
    </row>
    <row r="68" customFormat="false" ht="15" hidden="false" customHeight="false" outlineLevel="0" collapsed="false">
      <c r="A68" s="19" t="n">
        <f aca="false">VaR!A318</f>
        <v>45733</v>
      </c>
      <c r="B68" s="28" t="n">
        <f aca="false">VaR!B318</f>
        <v>-0.00106232829902138</v>
      </c>
      <c r="C68" s="31" t="n">
        <f aca="false">NORMSINV(Parametrlar!$B$8)*STDEV(VaR!B68:B317)-AVERAGE(VaR!B68:B317)</f>
        <v>0.0265837910138028</v>
      </c>
      <c r="D68" s="44" t="n">
        <f aca="false">IF(B68&lt;-C68,1,0)</f>
        <v>0</v>
      </c>
      <c r="H68" s="31" t="n">
        <f aca="false">-C68</f>
        <v>-0.0265837910138028</v>
      </c>
    </row>
    <row r="69" customFormat="false" ht="15" hidden="false" customHeight="false" outlineLevel="0" collapsed="false">
      <c r="A69" s="19" t="n">
        <f aca="false">VaR!A319</f>
        <v>45734</v>
      </c>
      <c r="B69" s="28" t="n">
        <f aca="false">VaR!B319</f>
        <v>0.0194130023924999</v>
      </c>
      <c r="C69" s="31" t="n">
        <f aca="false">NORMSINV(Parametrlar!$B$8)*STDEV(VaR!B69:B318)-AVERAGE(VaR!B69:B318)</f>
        <v>0.0252079243129318</v>
      </c>
      <c r="D69" s="44" t="n">
        <f aca="false">IF(B69&lt;-C69,1,0)</f>
        <v>0</v>
      </c>
      <c r="H69" s="31" t="n">
        <f aca="false">-C69</f>
        <v>-0.0252079243129318</v>
      </c>
    </row>
    <row r="70" customFormat="false" ht="15" hidden="false" customHeight="false" outlineLevel="0" collapsed="false">
      <c r="A70" s="19" t="n">
        <f aca="false">VaR!A320</f>
        <v>45735</v>
      </c>
      <c r="B70" s="28" t="n">
        <f aca="false">VaR!B320</f>
        <v>0.00180811386150083</v>
      </c>
      <c r="C70" s="31" t="n">
        <f aca="false">NORMSINV(Parametrlar!$B$8)*STDEV(VaR!B70:B319)-AVERAGE(VaR!B70:B319)</f>
        <v>0.0251692975098006</v>
      </c>
      <c r="D70" s="44" t="n">
        <f aca="false">IF(B70&lt;-C70,1,0)</f>
        <v>0</v>
      </c>
      <c r="H70" s="31" t="n">
        <f aca="false">-C70</f>
        <v>-0.0251692975098006</v>
      </c>
    </row>
    <row r="71" customFormat="false" ht="15" hidden="false" customHeight="false" outlineLevel="0" collapsed="false">
      <c r="A71" s="19" t="n">
        <f aca="false">VaR!A321</f>
        <v>45736</v>
      </c>
      <c r="B71" s="28" t="n">
        <f aca="false">VaR!B321</f>
        <v>0.0139501589882669</v>
      </c>
      <c r="C71" s="31" t="n">
        <f aca="false">NORMSINV(Parametrlar!$B$8)*STDEV(VaR!B71:B320)-AVERAGE(VaR!B71:B320)</f>
        <v>0.0245285990222725</v>
      </c>
      <c r="D71" s="44" t="n">
        <f aca="false">IF(B71&lt;-C71,1,0)</f>
        <v>0</v>
      </c>
      <c r="H71" s="31" t="n">
        <f aca="false">-C71</f>
        <v>-0.0245285990222725</v>
      </c>
    </row>
    <row r="72" customFormat="false" ht="15" hidden="false" customHeight="false" outlineLevel="0" collapsed="false">
      <c r="A72" s="19" t="n">
        <f aca="false">VaR!A322</f>
        <v>45737</v>
      </c>
      <c r="B72" s="28" t="n">
        <f aca="false">VaR!B322</f>
        <v>-0.0136662430218262</v>
      </c>
      <c r="C72" s="31" t="n">
        <f aca="false">NORMSINV(Parametrlar!$B$8)*STDEV(VaR!B72:B321)-AVERAGE(VaR!B72:B321)</f>
        <v>0.0245370410099197</v>
      </c>
      <c r="D72" s="44" t="n">
        <f aca="false">IF(B72&lt;-C72,1,0)</f>
        <v>0</v>
      </c>
      <c r="H72" s="31" t="n">
        <f aca="false">-C72</f>
        <v>-0.0245370410099197</v>
      </c>
    </row>
    <row r="73" customFormat="false" ht="15" hidden="false" customHeight="false" outlineLevel="0" collapsed="false">
      <c r="A73" s="19" t="n">
        <f aca="false">VaR!A323</f>
        <v>45740</v>
      </c>
      <c r="B73" s="28" t="n">
        <f aca="false">VaR!B323</f>
        <v>-0.0337128291784392</v>
      </c>
      <c r="C73" s="31" t="n">
        <f aca="false">NORMSINV(Parametrlar!$B$8)*STDEV(VaR!B73:B322)-AVERAGE(VaR!B73:B322)</f>
        <v>0.0239892217207565</v>
      </c>
      <c r="D73" s="44" t="n">
        <f aca="false">IF(B73&lt;-C73,1,0)</f>
        <v>1</v>
      </c>
      <c r="H73" s="31" t="n">
        <f aca="false">-C73</f>
        <v>-0.0239892217207565</v>
      </c>
    </row>
    <row r="74" customFormat="false" ht="15" hidden="false" customHeight="false" outlineLevel="0" collapsed="false">
      <c r="A74" s="19" t="n">
        <f aca="false">VaR!A324</f>
        <v>45741</v>
      </c>
      <c r="B74" s="28" t="n">
        <f aca="false">VaR!B324</f>
        <v>-0.0271280864733935</v>
      </c>
      <c r="C74" s="31" t="n">
        <f aca="false">NORMSINV(Parametrlar!$B$8)*STDEV(VaR!B74:B323)-AVERAGE(VaR!B74:B323)</f>
        <v>0.0246238212716176</v>
      </c>
      <c r="D74" s="44" t="n">
        <f aca="false">IF(B74&lt;-C74,1,0)</f>
        <v>1</v>
      </c>
      <c r="H74" s="31" t="n">
        <f aca="false">-C74</f>
        <v>-0.0246238212716176</v>
      </c>
    </row>
    <row r="75" customFormat="false" ht="15" hidden="false" customHeight="false" outlineLevel="0" collapsed="false">
      <c r="A75" s="19" t="n">
        <f aca="false">VaR!A325</f>
        <v>45742</v>
      </c>
      <c r="B75" s="28" t="n">
        <f aca="false">VaR!B325</f>
        <v>0.019094856327427</v>
      </c>
      <c r="C75" s="31" t="n">
        <f aca="false">NORMSINV(Parametrlar!$B$8)*STDEV(VaR!B75:B324)-AVERAGE(VaR!B75:B324)</f>
        <v>0.0249595402357498</v>
      </c>
      <c r="D75" s="44" t="n">
        <f aca="false">IF(B75&lt;-C75,1,0)</f>
        <v>0</v>
      </c>
      <c r="H75" s="31" t="n">
        <f aca="false">-C75</f>
        <v>-0.0249595402357498</v>
      </c>
    </row>
    <row r="76" customFormat="false" ht="15" hidden="false" customHeight="false" outlineLevel="0" collapsed="false">
      <c r="A76" s="19" t="n">
        <f aca="false">VaR!A326</f>
        <v>45743</v>
      </c>
      <c r="B76" s="28" t="n">
        <f aca="false">VaR!B326</f>
        <v>0.0245209870747827</v>
      </c>
      <c r="C76" s="31" t="n">
        <f aca="false">NORMSINV(Parametrlar!$B$8)*STDEV(VaR!B76:B325)-AVERAGE(VaR!B76:B325)</f>
        <v>0.0249263018055031</v>
      </c>
      <c r="D76" s="44" t="n">
        <f aca="false">IF(B76&lt;-C76,1,0)</f>
        <v>0</v>
      </c>
      <c r="H76" s="31" t="n">
        <f aca="false">-C76</f>
        <v>-0.0249263018055031</v>
      </c>
    </row>
    <row r="77" customFormat="false" ht="15" hidden="false" customHeight="false" outlineLevel="0" collapsed="false">
      <c r="A77" s="19" t="n">
        <f aca="false">VaR!A327</f>
        <v>45744</v>
      </c>
      <c r="B77" s="28" t="n">
        <f aca="false">VaR!B327</f>
        <v>0.026824305306411</v>
      </c>
      <c r="C77" s="31" t="n">
        <f aca="false">NORMSINV(Parametrlar!$B$8)*STDEV(VaR!B77:B326)-AVERAGE(VaR!B77:B326)</f>
        <v>0.0249860652243967</v>
      </c>
      <c r="D77" s="44" t="n">
        <f aca="false">IF(B77&lt;-C77,1,0)</f>
        <v>0</v>
      </c>
      <c r="H77" s="31" t="n">
        <f aca="false">-C77</f>
        <v>-0.0249860652243967</v>
      </c>
    </row>
    <row r="78" customFormat="false" ht="15" hidden="false" customHeight="false" outlineLevel="0" collapsed="false">
      <c r="A78" s="19" t="n">
        <f aca="false">VaR!A328</f>
        <v>45747</v>
      </c>
      <c r="B78" s="28" t="n">
        <f aca="false">VaR!B328</f>
        <v>-0.00345663373827549</v>
      </c>
      <c r="C78" s="31" t="n">
        <f aca="false">NORMSINV(Parametrlar!$B$8)*STDEV(VaR!B78:B327)-AVERAGE(VaR!B78:B327)</f>
        <v>0.025118276453343</v>
      </c>
      <c r="D78" s="44" t="n">
        <f aca="false">IF(B78&lt;-C78,1,0)</f>
        <v>0</v>
      </c>
      <c r="H78" s="31" t="n">
        <f aca="false">-C78</f>
        <v>-0.025118276453343</v>
      </c>
    </row>
    <row r="79" customFormat="false" ht="15" hidden="false" customHeight="false" outlineLevel="0" collapsed="false">
      <c r="A79" s="19" t="n">
        <f aca="false">VaR!A329</f>
        <v>45748</v>
      </c>
      <c r="B79" s="28" t="n">
        <f aca="false">VaR!B329</f>
        <v>0.018693442570094</v>
      </c>
      <c r="C79" s="31" t="n">
        <f aca="false">NORMSINV(Parametrlar!$B$8)*STDEV(VaR!B79:B328)-AVERAGE(VaR!B79:B328)</f>
        <v>0.0250584672404431</v>
      </c>
      <c r="D79" s="44" t="n">
        <f aca="false">IF(B79&lt;-C79,1,0)</f>
        <v>0</v>
      </c>
      <c r="H79" s="31" t="n">
        <f aca="false">-C79</f>
        <v>-0.0250584672404431</v>
      </c>
    </row>
    <row r="80" customFormat="false" ht="15" hidden="false" customHeight="false" outlineLevel="0" collapsed="false">
      <c r="A80" s="19" t="n">
        <f aca="false">VaR!A330</f>
        <v>45749</v>
      </c>
      <c r="B80" s="28" t="n">
        <f aca="false">VaR!B330</f>
        <v>0.0458224821270778</v>
      </c>
      <c r="C80" s="31" t="n">
        <f aca="false">NORMSINV(Parametrlar!$B$8)*STDEV(VaR!B80:B329)-AVERAGE(VaR!B80:B329)</f>
        <v>0.0251193507529168</v>
      </c>
      <c r="D80" s="44" t="n">
        <f aca="false">IF(B80&lt;-C80,1,0)</f>
        <v>0</v>
      </c>
      <c r="H80" s="31" t="n">
        <f aca="false">-C80</f>
        <v>-0.0251193507529168</v>
      </c>
    </row>
    <row r="81" customFormat="false" ht="15" hidden="false" customHeight="false" outlineLevel="0" collapsed="false">
      <c r="A81" s="19" t="n">
        <f aca="false">VaR!A331</f>
        <v>45750</v>
      </c>
      <c r="B81" s="28" t="n">
        <f aca="false">VaR!B331</f>
        <v>0.0112097114511398</v>
      </c>
      <c r="C81" s="31" t="n">
        <f aca="false">NORMSINV(Parametrlar!$B$8)*STDEV(VaR!B81:B330)-AVERAGE(VaR!B81:B330)</f>
        <v>0.025751899065713</v>
      </c>
      <c r="D81" s="44" t="n">
        <f aca="false">IF(B81&lt;-C81,1,0)</f>
        <v>0</v>
      </c>
      <c r="H81" s="31" t="n">
        <f aca="false">-C81</f>
        <v>-0.025751899065713</v>
      </c>
    </row>
    <row r="82" customFormat="false" ht="15" hidden="false" customHeight="false" outlineLevel="0" collapsed="false">
      <c r="A82" s="19" t="n">
        <f aca="false">VaR!A332</f>
        <v>45751</v>
      </c>
      <c r="B82" s="28" t="n">
        <f aca="false">VaR!B332</f>
        <v>0.00622179680628979</v>
      </c>
      <c r="C82" s="31" t="n">
        <f aca="false">NORMSINV(Parametrlar!$B$8)*STDEV(VaR!B82:B331)-AVERAGE(VaR!B82:B331)</f>
        <v>0.0257300204446111</v>
      </c>
      <c r="D82" s="44" t="n">
        <f aca="false">IF(B82&lt;-C82,1,0)</f>
        <v>0</v>
      </c>
      <c r="H82" s="31" t="n">
        <f aca="false">-C82</f>
        <v>-0.0257300204446111</v>
      </c>
    </row>
    <row r="83" customFormat="false" ht="15" hidden="false" customHeight="false" outlineLevel="0" collapsed="false">
      <c r="A83" s="19" t="n">
        <f aca="false">VaR!A333</f>
        <v>45754</v>
      </c>
      <c r="B83" s="28" t="n">
        <f aca="false">VaR!B333</f>
        <v>0.00666155701015254</v>
      </c>
      <c r="C83" s="31" t="n">
        <f aca="false">NORMSINV(Parametrlar!$B$8)*STDEV(VaR!B83:B332)-AVERAGE(VaR!B83:B332)</f>
        <v>0.0257290638399494</v>
      </c>
      <c r="D83" s="44" t="n">
        <f aca="false">IF(B83&lt;-C83,1,0)</f>
        <v>0</v>
      </c>
      <c r="H83" s="31" t="n">
        <f aca="false">-C83</f>
        <v>-0.0257290638399494</v>
      </c>
    </row>
    <row r="84" customFormat="false" ht="15" hidden="false" customHeight="false" outlineLevel="0" collapsed="false">
      <c r="A84" s="19" t="n">
        <f aca="false">VaR!A334</f>
        <v>45755</v>
      </c>
      <c r="B84" s="28" t="n">
        <f aca="false">VaR!B334</f>
        <v>-0.0120932005396722</v>
      </c>
      <c r="C84" s="31" t="n">
        <f aca="false">NORMSINV(Parametrlar!$B$8)*STDEV(VaR!B84:B333)-AVERAGE(VaR!B84:B333)</f>
        <v>0.0254451385409656</v>
      </c>
      <c r="D84" s="44" t="n">
        <f aca="false">IF(B84&lt;-C84,1,0)</f>
        <v>0</v>
      </c>
      <c r="H84" s="31" t="n">
        <f aca="false">-C84</f>
        <v>-0.0254451385409656</v>
      </c>
    </row>
    <row r="85" customFormat="false" ht="15" hidden="false" customHeight="false" outlineLevel="0" collapsed="false">
      <c r="A85" s="19" t="n">
        <f aca="false">VaR!A335</f>
        <v>45756</v>
      </c>
      <c r="B85" s="28" t="n">
        <f aca="false">VaR!B335</f>
        <v>0.0483861949328139</v>
      </c>
      <c r="C85" s="31" t="n">
        <f aca="false">NORMSINV(Parametrlar!$B$8)*STDEV(VaR!B85:B334)-AVERAGE(VaR!B85:B334)</f>
        <v>0.0255779662815416</v>
      </c>
      <c r="D85" s="44" t="n">
        <f aca="false">IF(B85&lt;-C85,1,0)</f>
        <v>0</v>
      </c>
      <c r="H85" s="31" t="n">
        <f aca="false">-C85</f>
        <v>-0.0255779662815416</v>
      </c>
    </row>
    <row r="86" customFormat="false" ht="15" hidden="false" customHeight="false" outlineLevel="0" collapsed="false">
      <c r="A86" s="19" t="n">
        <f aca="false">VaR!A336</f>
        <v>45757</v>
      </c>
      <c r="B86" s="28" t="n">
        <f aca="false">VaR!B336</f>
        <v>0.0134375063207537</v>
      </c>
      <c r="C86" s="31" t="n">
        <f aca="false">NORMSINV(Parametrlar!$B$8)*STDEV(VaR!B86:B335)-AVERAGE(VaR!B86:B335)</f>
        <v>0.0262629811611854</v>
      </c>
      <c r="D86" s="44" t="n">
        <f aca="false">IF(B86&lt;-C86,1,0)</f>
        <v>0</v>
      </c>
      <c r="H86" s="31" t="n">
        <f aca="false">-C86</f>
        <v>-0.0262629811611854</v>
      </c>
    </row>
    <row r="87" customFormat="false" ht="15" hidden="false" customHeight="false" outlineLevel="0" collapsed="false">
      <c r="A87" s="19" t="n">
        <f aca="false">VaR!A337</f>
        <v>45758</v>
      </c>
      <c r="B87" s="28" t="n">
        <f aca="false">VaR!B337</f>
        <v>-0.0203431738998905</v>
      </c>
      <c r="C87" s="31" t="n">
        <f aca="false">NORMSINV(Parametrlar!$B$8)*STDEV(VaR!B87:B336)-AVERAGE(VaR!B87:B336)</f>
        <v>0.0262348402952222</v>
      </c>
      <c r="D87" s="44" t="n">
        <f aca="false">IF(B87&lt;-C87,1,0)</f>
        <v>0</v>
      </c>
      <c r="H87" s="31" t="n">
        <f aca="false">-C87</f>
        <v>-0.0262348402952222</v>
      </c>
    </row>
    <row r="88" customFormat="false" ht="15" hidden="false" customHeight="false" outlineLevel="0" collapsed="false">
      <c r="A88" s="19" t="n">
        <f aca="false">VaR!A338</f>
        <v>45761</v>
      </c>
      <c r="B88" s="28" t="n">
        <f aca="false">VaR!B338</f>
        <v>-0.000665721755697224</v>
      </c>
      <c r="C88" s="31" t="n">
        <f aca="false">NORMSINV(Parametrlar!$B$8)*STDEV(VaR!B88:B337)-AVERAGE(VaR!B88:B337)</f>
        <v>0.0263464983681636</v>
      </c>
      <c r="D88" s="44" t="n">
        <f aca="false">IF(B88&lt;-C88,1,0)</f>
        <v>0</v>
      </c>
      <c r="H88" s="31" t="n">
        <f aca="false">-C88</f>
        <v>-0.0263464983681636</v>
      </c>
    </row>
    <row r="89" customFormat="false" ht="15" hidden="false" customHeight="false" outlineLevel="0" collapsed="false">
      <c r="A89" s="19" t="n">
        <f aca="false">VaR!A339</f>
        <v>45762</v>
      </c>
      <c r="B89" s="28" t="n">
        <f aca="false">VaR!B339</f>
        <v>-0.0103220534682917</v>
      </c>
      <c r="C89" s="31" t="n">
        <f aca="false">NORMSINV(Parametrlar!$B$8)*STDEV(VaR!B89:B338)-AVERAGE(VaR!B89:B338)</f>
        <v>0.0263638678361821</v>
      </c>
      <c r="D89" s="44" t="n">
        <f aca="false">IF(B89&lt;-C89,1,0)</f>
        <v>0</v>
      </c>
      <c r="H89" s="31" t="n">
        <f aca="false">-C89</f>
        <v>-0.0263638678361821</v>
      </c>
    </row>
    <row r="90" customFormat="false" ht="15" hidden="false" customHeight="false" outlineLevel="0" collapsed="false">
      <c r="A90" s="19" t="n">
        <f aca="false">VaR!A340</f>
        <v>45763</v>
      </c>
      <c r="B90" s="28" t="n">
        <f aca="false">VaR!B340</f>
        <v>-0.0199382755677024</v>
      </c>
      <c r="C90" s="31" t="n">
        <f aca="false">NORMSINV(Parametrlar!$B$8)*STDEV(VaR!B90:B339)-AVERAGE(VaR!B90:B339)</f>
        <v>0.0264428436774383</v>
      </c>
      <c r="D90" s="44" t="n">
        <f aca="false">IF(B90&lt;-C90,1,0)</f>
        <v>0</v>
      </c>
      <c r="H90" s="31" t="n">
        <f aca="false">-C90</f>
        <v>-0.0264428436774383</v>
      </c>
    </row>
    <row r="91" customFormat="false" ht="15" hidden="false" customHeight="false" outlineLevel="0" collapsed="false">
      <c r="A91" s="19" t="n">
        <f aca="false">VaR!A341</f>
        <v>45764</v>
      </c>
      <c r="B91" s="28" t="n">
        <f aca="false">VaR!B341</f>
        <v>-0.0139120314274437</v>
      </c>
      <c r="C91" s="31" t="n">
        <f aca="false">NORMSINV(Parametrlar!$B$8)*STDEV(VaR!B91:B340)-AVERAGE(VaR!B91:B340)</f>
        <v>0.0267012904121454</v>
      </c>
      <c r="D91" s="44" t="n">
        <f aca="false">IF(B91&lt;-C91,1,0)</f>
        <v>0</v>
      </c>
      <c r="H91" s="31" t="n">
        <f aca="false">-C91</f>
        <v>-0.0267012904121454</v>
      </c>
    </row>
    <row r="92" customFormat="false" ht="15" hidden="false" customHeight="false" outlineLevel="0" collapsed="false">
      <c r="A92" s="19" t="n">
        <f aca="false">VaR!A342</f>
        <v>45765</v>
      </c>
      <c r="B92" s="28" t="n">
        <f aca="false">VaR!B342</f>
        <v>0.00167985328842704</v>
      </c>
      <c r="C92" s="31" t="n">
        <f aca="false">NORMSINV(Parametrlar!$B$8)*STDEV(VaR!B92:B341)-AVERAGE(VaR!B92:B341)</f>
        <v>0.0268576843788043</v>
      </c>
      <c r="D92" s="44" t="n">
        <f aca="false">IF(B92&lt;-C92,1,0)</f>
        <v>0</v>
      </c>
      <c r="H92" s="31" t="n">
        <f aca="false">-C92</f>
        <v>-0.0268576843788043</v>
      </c>
    </row>
    <row r="93" customFormat="false" ht="15" hidden="false" customHeight="false" outlineLevel="0" collapsed="false">
      <c r="A93" s="19" t="n">
        <f aca="false">VaR!A343</f>
        <v>45768</v>
      </c>
      <c r="B93" s="28" t="n">
        <f aca="false">VaR!B343</f>
        <v>-0.00258267434405424</v>
      </c>
      <c r="C93" s="31" t="n">
        <f aca="false">NORMSINV(Parametrlar!$B$8)*STDEV(VaR!B93:B342)-AVERAGE(VaR!B93:B342)</f>
        <v>0.0265509029623186</v>
      </c>
      <c r="D93" s="44" t="n">
        <f aca="false">IF(B93&lt;-C93,1,0)</f>
        <v>0</v>
      </c>
      <c r="H93" s="31" t="n">
        <f aca="false">-C93</f>
        <v>-0.0265509029623186</v>
      </c>
    </row>
    <row r="94" customFormat="false" ht="15" hidden="false" customHeight="false" outlineLevel="0" collapsed="false">
      <c r="A94" s="19" t="n">
        <f aca="false">VaR!A344</f>
        <v>45769</v>
      </c>
      <c r="B94" s="28" t="n">
        <f aca="false">VaR!B344</f>
        <v>0.00591587138796683</v>
      </c>
      <c r="C94" s="31" t="n">
        <f aca="false">NORMSINV(Parametrlar!$B$8)*STDEV(VaR!B94:B343)-AVERAGE(VaR!B94:B343)</f>
        <v>0.026580024435775</v>
      </c>
      <c r="D94" s="44" t="n">
        <f aca="false">IF(B94&lt;-C94,1,0)</f>
        <v>0</v>
      </c>
      <c r="H94" s="31" t="n">
        <f aca="false">-C94</f>
        <v>-0.026580024435775</v>
      </c>
    </row>
    <row r="95" customFormat="false" ht="15" hidden="false" customHeight="false" outlineLevel="0" collapsed="false">
      <c r="A95" s="19" t="n">
        <f aca="false">VaR!A345</f>
        <v>45770</v>
      </c>
      <c r="B95" s="28" t="n">
        <f aca="false">VaR!B345</f>
        <v>0.0205473886661881</v>
      </c>
      <c r="C95" s="31" t="n">
        <f aca="false">NORMSINV(Parametrlar!$B$8)*STDEV(VaR!B95:B344)-AVERAGE(VaR!B95:B344)</f>
        <v>0.0265791937052738</v>
      </c>
      <c r="D95" s="44" t="n">
        <f aca="false">IF(B95&lt;-C95,1,0)</f>
        <v>0</v>
      </c>
      <c r="H95" s="31" t="n">
        <f aca="false">-C95</f>
        <v>-0.0265791937052738</v>
      </c>
    </row>
    <row r="96" customFormat="false" ht="15" hidden="false" customHeight="false" outlineLevel="0" collapsed="false">
      <c r="A96" s="19" t="n">
        <f aca="false">VaR!A346</f>
        <v>45771</v>
      </c>
      <c r="B96" s="28" t="n">
        <f aca="false">VaR!B346</f>
        <v>-0.0194222192346157</v>
      </c>
      <c r="C96" s="31" t="n">
        <f aca="false">NORMSINV(Parametrlar!$B$8)*STDEV(VaR!B96:B345)-AVERAGE(VaR!B96:B345)</f>
        <v>0.0266065725182668</v>
      </c>
      <c r="D96" s="44" t="n">
        <f aca="false">IF(B96&lt;-C96,1,0)</f>
        <v>0</v>
      </c>
      <c r="H96" s="31" t="n">
        <f aca="false">-C96</f>
        <v>-0.0266065725182668</v>
      </c>
    </row>
    <row r="97" customFormat="false" ht="15" hidden="false" customHeight="false" outlineLevel="0" collapsed="false">
      <c r="A97" s="19" t="n">
        <f aca="false">VaR!A347</f>
        <v>45772</v>
      </c>
      <c r="B97" s="28" t="n">
        <f aca="false">VaR!B347</f>
        <v>-0.0182359093110951</v>
      </c>
      <c r="C97" s="31" t="n">
        <f aca="false">NORMSINV(Parametrlar!$B$8)*STDEV(VaR!B97:B346)-AVERAGE(VaR!B97:B346)</f>
        <v>0.0268623336519689</v>
      </c>
      <c r="D97" s="44" t="n">
        <f aca="false">IF(B97&lt;-C97,1,0)</f>
        <v>0</v>
      </c>
      <c r="H97" s="31" t="n">
        <f aca="false">-C97</f>
        <v>-0.0268623336519689</v>
      </c>
    </row>
    <row r="98" customFormat="false" ht="15" hidden="false" customHeight="false" outlineLevel="0" collapsed="false">
      <c r="A98" s="19" t="n">
        <f aca="false">VaR!A348</f>
        <v>45775</v>
      </c>
      <c r="B98" s="28" t="n">
        <f aca="false">VaR!B348</f>
        <v>-0.0141080683439621</v>
      </c>
      <c r="C98" s="31" t="n">
        <f aca="false">NORMSINV(Parametrlar!$B$8)*STDEV(VaR!B98:B347)-AVERAGE(VaR!B98:B347)</f>
        <v>0.0270271811955082</v>
      </c>
      <c r="D98" s="44" t="n">
        <f aca="false">IF(B98&lt;-C98,1,0)</f>
        <v>0</v>
      </c>
      <c r="H98" s="31" t="n">
        <f aca="false">-C98</f>
        <v>-0.0270271811955082</v>
      </c>
    </row>
    <row r="99" customFormat="false" ht="15" hidden="false" customHeight="false" outlineLevel="0" collapsed="false">
      <c r="A99" s="19" t="n">
        <f aca="false">VaR!A349</f>
        <v>45776</v>
      </c>
      <c r="B99" s="28" t="n">
        <f aca="false">VaR!B349</f>
        <v>0.0039735787953705</v>
      </c>
      <c r="C99" s="31" t="n">
        <f aca="false">NORMSINV(Parametrlar!$B$8)*STDEV(VaR!B99:B348)-AVERAGE(VaR!B99:B348)</f>
        <v>0.0271703650442779</v>
      </c>
      <c r="D99" s="44" t="n">
        <f aca="false">IF(B99&lt;-C99,1,0)</f>
        <v>0</v>
      </c>
      <c r="H99" s="31" t="n">
        <f aca="false">-C99</f>
        <v>-0.0271703650442779</v>
      </c>
    </row>
    <row r="100" customFormat="false" ht="15" hidden="false" customHeight="false" outlineLevel="0" collapsed="false">
      <c r="A100" s="19" t="n">
        <f aca="false">VaR!A350</f>
        <v>45777</v>
      </c>
      <c r="B100" s="28" t="n">
        <f aca="false">VaR!B350</f>
        <v>-0.00458673597769085</v>
      </c>
      <c r="C100" s="31" t="n">
        <f aca="false">NORMSINV(Parametrlar!$B$8)*STDEV(VaR!B100:B349)-AVERAGE(VaR!B100:B349)</f>
        <v>0.0271687009087367</v>
      </c>
      <c r="D100" s="44" t="n">
        <f aca="false">IF(B100&lt;-C100,1,0)</f>
        <v>0</v>
      </c>
      <c r="H100" s="31" t="n">
        <f aca="false">-C100</f>
        <v>-0.0271687009087367</v>
      </c>
    </row>
    <row r="101" customFormat="false" ht="15" hidden="false" customHeight="false" outlineLevel="0" collapsed="false">
      <c r="A101" s="19" t="n">
        <f aca="false">VaR!A351</f>
        <v>45778</v>
      </c>
      <c r="B101" s="28" t="n">
        <f aca="false">VaR!B351</f>
        <v>-0.00417078647928946</v>
      </c>
      <c r="C101" s="31" t="n">
        <f aca="false">NORMSINV(Parametrlar!$B$8)*STDEV(VaR!B101:B350)-AVERAGE(VaR!B101:B350)</f>
        <v>0.0271072251409112</v>
      </c>
      <c r="D101" s="44" t="n">
        <f aca="false">IF(B101&lt;-C101,1,0)</f>
        <v>0</v>
      </c>
      <c r="H101" s="31" t="n">
        <f aca="false">-C101</f>
        <v>-0.0271072251409112</v>
      </c>
    </row>
    <row r="102" customFormat="false" ht="15" hidden="false" customHeight="false" outlineLevel="0" collapsed="false">
      <c r="A102" s="19" t="n">
        <f aca="false">VaR!A352</f>
        <v>45779</v>
      </c>
      <c r="B102" s="28" t="n">
        <f aca="false">VaR!B352</f>
        <v>-0.00324694930731912</v>
      </c>
      <c r="C102" s="31" t="n">
        <f aca="false">NORMSINV(Parametrlar!$B$8)*STDEV(VaR!B102:B351)-AVERAGE(VaR!B102:B351)</f>
        <v>0.0270738461900744</v>
      </c>
      <c r="D102" s="44" t="n">
        <f aca="false">IF(B102&lt;-C102,1,0)</f>
        <v>0</v>
      </c>
      <c r="H102" s="31" t="n">
        <f aca="false">-C102</f>
        <v>-0.0270738461900744</v>
      </c>
    </row>
    <row r="103" customFormat="false" ht="15" hidden="false" customHeight="false" outlineLevel="0" collapsed="false">
      <c r="A103" s="19" t="n">
        <f aca="false">VaR!A353</f>
        <v>45782</v>
      </c>
      <c r="B103" s="28" t="n">
        <f aca="false">VaR!B353</f>
        <v>0.0240975943713846</v>
      </c>
      <c r="C103" s="31" t="n">
        <f aca="false">NORMSINV(Parametrlar!$B$8)*STDEV(VaR!B103:B352)-AVERAGE(VaR!B103:B352)</f>
        <v>0.0271032801075328</v>
      </c>
      <c r="D103" s="44" t="n">
        <f aca="false">IF(B103&lt;-C103,1,0)</f>
        <v>0</v>
      </c>
      <c r="H103" s="31" t="n">
        <f aca="false">-C103</f>
        <v>-0.0271032801075328</v>
      </c>
    </row>
    <row r="104" customFormat="false" ht="15" hidden="false" customHeight="false" outlineLevel="0" collapsed="false">
      <c r="A104" s="19" t="n">
        <f aca="false">VaR!A354</f>
        <v>45783</v>
      </c>
      <c r="B104" s="28" t="n">
        <f aca="false">VaR!B354</f>
        <v>-0.00724009572331749</v>
      </c>
      <c r="C104" s="31" t="n">
        <f aca="false">NORMSINV(Parametrlar!$B$8)*STDEV(VaR!B104:B353)-AVERAGE(VaR!B104:B353)</f>
        <v>0.0272215721686804</v>
      </c>
      <c r="D104" s="44" t="n">
        <f aca="false">IF(B104&lt;-C104,1,0)</f>
        <v>0</v>
      </c>
      <c r="H104" s="31" t="n">
        <f aca="false">-C104</f>
        <v>-0.0272215721686804</v>
      </c>
    </row>
    <row r="105" customFormat="false" ht="15" hidden="false" customHeight="false" outlineLevel="0" collapsed="false">
      <c r="A105" s="19" t="n">
        <f aca="false">VaR!A355</f>
        <v>45784</v>
      </c>
      <c r="B105" s="28" t="n">
        <f aca="false">VaR!B355</f>
        <v>0.0557128387097448</v>
      </c>
      <c r="C105" s="31" t="n">
        <f aca="false">NORMSINV(Parametrlar!$B$8)*STDEV(VaR!B105:B354)-AVERAGE(VaR!B105:B354)</f>
        <v>0.0272744487915566</v>
      </c>
      <c r="D105" s="44" t="n">
        <f aca="false">IF(B105&lt;-C105,1,0)</f>
        <v>0</v>
      </c>
      <c r="H105" s="31" t="n">
        <f aca="false">-C105</f>
        <v>-0.0272744487915566</v>
      </c>
    </row>
    <row r="106" customFormat="false" ht="15" hidden="false" customHeight="false" outlineLevel="0" collapsed="false">
      <c r="A106" s="19" t="n">
        <f aca="false">VaR!A356</f>
        <v>45785</v>
      </c>
      <c r="B106" s="28" t="n">
        <f aca="false">VaR!B356</f>
        <v>-0.0107354352212669</v>
      </c>
      <c r="C106" s="31" t="n">
        <f aca="false">NORMSINV(Parametrlar!$B$8)*STDEV(VaR!B106:B355)-AVERAGE(VaR!B106:B355)</f>
        <v>0.0281354432035667</v>
      </c>
      <c r="D106" s="44" t="n">
        <f aca="false">IF(B106&lt;-C106,1,0)</f>
        <v>0</v>
      </c>
      <c r="H106" s="31" t="n">
        <f aca="false">-C106</f>
        <v>-0.0281354432035667</v>
      </c>
    </row>
    <row r="107" customFormat="false" ht="15" hidden="false" customHeight="false" outlineLevel="0" collapsed="false">
      <c r="A107" s="19" t="n">
        <f aca="false">VaR!A357</f>
        <v>45786</v>
      </c>
      <c r="B107" s="28" t="n">
        <f aca="false">VaR!B357</f>
        <v>0.00675788173353068</v>
      </c>
      <c r="C107" s="31" t="n">
        <f aca="false">NORMSINV(Parametrlar!$B$8)*STDEV(VaR!B107:B356)-AVERAGE(VaR!B107:B356)</f>
        <v>0.0282416290407166</v>
      </c>
      <c r="D107" s="44" t="n">
        <f aca="false">IF(B107&lt;-C107,1,0)</f>
        <v>0</v>
      </c>
      <c r="H107" s="31" t="n">
        <f aca="false">-C107</f>
        <v>-0.0282416290407166</v>
      </c>
    </row>
    <row r="108" customFormat="false" ht="15" hidden="false" customHeight="false" outlineLevel="0" collapsed="false">
      <c r="A108" s="19" t="n">
        <f aca="false">VaR!A358</f>
        <v>45789</v>
      </c>
      <c r="B108" s="28" t="n">
        <f aca="false">VaR!B358</f>
        <v>0.00482909413071033</v>
      </c>
      <c r="C108" s="31" t="n">
        <f aca="false">NORMSINV(Parametrlar!$B$8)*STDEV(VaR!B108:B357)-AVERAGE(VaR!B108:B357)</f>
        <v>0.0282375904959663</v>
      </c>
      <c r="D108" s="44" t="n">
        <f aca="false">IF(B108&lt;-C108,1,0)</f>
        <v>0</v>
      </c>
      <c r="H108" s="31" t="n">
        <f aca="false">-C108</f>
        <v>-0.0282375904959663</v>
      </c>
    </row>
    <row r="109" customFormat="false" ht="15" hidden="false" customHeight="false" outlineLevel="0" collapsed="false">
      <c r="A109" s="19" t="n">
        <f aca="false">VaR!A359</f>
        <v>45790</v>
      </c>
      <c r="B109" s="28" t="n">
        <f aca="false">VaR!B359</f>
        <v>0.00380237916853183</v>
      </c>
      <c r="C109" s="31" t="n">
        <f aca="false">NORMSINV(Parametrlar!$B$8)*STDEV(VaR!B109:B358)-AVERAGE(VaR!B109:B358)</f>
        <v>0.0282377681049562</v>
      </c>
      <c r="D109" s="44" t="n">
        <f aca="false">IF(B109&lt;-C109,1,0)</f>
        <v>0</v>
      </c>
      <c r="H109" s="31" t="n">
        <f aca="false">-C109</f>
        <v>-0.0282377681049562</v>
      </c>
    </row>
    <row r="110" customFormat="false" ht="15" hidden="false" customHeight="false" outlineLevel="0" collapsed="false">
      <c r="A110" s="19" t="n">
        <f aca="false">VaR!A360</f>
        <v>45791</v>
      </c>
      <c r="B110" s="28" t="n">
        <f aca="false">VaR!B360</f>
        <v>0.00462566209006898</v>
      </c>
      <c r="C110" s="31" t="n">
        <f aca="false">NORMSINV(Parametrlar!$B$8)*STDEV(VaR!B110:B359)-AVERAGE(VaR!B110:B359)</f>
        <v>0.0282103577226506</v>
      </c>
      <c r="D110" s="44" t="n">
        <f aca="false">IF(B110&lt;-C110,1,0)</f>
        <v>0</v>
      </c>
      <c r="H110" s="31" t="n">
        <f aca="false">-C110</f>
        <v>-0.0282103577226506</v>
      </c>
    </row>
    <row r="111" customFormat="false" ht="15" hidden="false" customHeight="false" outlineLevel="0" collapsed="false">
      <c r="A111" s="19" t="n">
        <f aca="false">VaR!A361</f>
        <v>45792</v>
      </c>
      <c r="B111" s="28" t="n">
        <f aca="false">VaR!B361</f>
        <v>-0.00519885732650934</v>
      </c>
      <c r="C111" s="31" t="n">
        <f aca="false">NORMSINV(Parametrlar!$B$8)*STDEV(VaR!B111:B360)-AVERAGE(VaR!B111:B360)</f>
        <v>0.0281014701044974</v>
      </c>
      <c r="D111" s="44" t="n">
        <f aca="false">IF(B111&lt;-C111,1,0)</f>
        <v>0</v>
      </c>
      <c r="H111" s="31" t="n">
        <f aca="false">-C111</f>
        <v>-0.0281014701044974</v>
      </c>
    </row>
    <row r="112" customFormat="false" ht="15" hidden="false" customHeight="false" outlineLevel="0" collapsed="false">
      <c r="A112" s="19" t="n">
        <f aca="false">VaR!A362</f>
        <v>45793</v>
      </c>
      <c r="B112" s="28" t="n">
        <f aca="false">VaR!B362</f>
        <v>-0.0107428881799284</v>
      </c>
      <c r="C112" s="31" t="n">
        <f aca="false">NORMSINV(Parametrlar!$B$8)*STDEV(VaR!B112:B361)-AVERAGE(VaR!B112:B361)</f>
        <v>0.0281160958233776</v>
      </c>
      <c r="D112" s="44" t="n">
        <f aca="false">IF(B112&lt;-C112,1,0)</f>
        <v>0</v>
      </c>
      <c r="H112" s="31" t="n">
        <f aca="false">-C112</f>
        <v>-0.0281160958233776</v>
      </c>
    </row>
    <row r="113" customFormat="false" ht="15" hidden="false" customHeight="false" outlineLevel="0" collapsed="false">
      <c r="A113" s="19" t="n">
        <f aca="false">VaR!A363</f>
        <v>45796</v>
      </c>
      <c r="B113" s="28" t="n">
        <f aca="false">VaR!B363</f>
        <v>0.00285021301195891</v>
      </c>
      <c r="C113" s="31" t="n">
        <f aca="false">NORMSINV(Parametrlar!$B$8)*STDEV(VaR!B113:B362)-AVERAGE(VaR!B113:B362)</f>
        <v>0.0281885893323267</v>
      </c>
      <c r="D113" s="44" t="n">
        <f aca="false">IF(B113&lt;-C113,1,0)</f>
        <v>0</v>
      </c>
      <c r="H113" s="31" t="n">
        <f aca="false">-C113</f>
        <v>-0.0281885893323267</v>
      </c>
    </row>
    <row r="114" customFormat="false" ht="15" hidden="false" customHeight="false" outlineLevel="0" collapsed="false">
      <c r="A114" s="19" t="n">
        <f aca="false">VaR!A364</f>
        <v>45797</v>
      </c>
      <c r="B114" s="28" t="n">
        <f aca="false">VaR!B364</f>
        <v>0.0324592757008107</v>
      </c>
      <c r="C114" s="31" t="n">
        <f aca="false">NORMSINV(Parametrlar!$B$8)*STDEV(VaR!B114:B363)-AVERAGE(VaR!B114:B363)</f>
        <v>0.0281257811969979</v>
      </c>
      <c r="D114" s="44" t="n">
        <f aca="false">IF(B114&lt;-C114,1,0)</f>
        <v>0</v>
      </c>
      <c r="H114" s="31" t="n">
        <f aca="false">-C114</f>
        <v>-0.0281257811969979</v>
      </c>
    </row>
    <row r="115" customFormat="false" ht="15" hidden="false" customHeight="false" outlineLevel="0" collapsed="false">
      <c r="A115" s="19" t="n">
        <f aca="false">VaR!A365</f>
        <v>45798</v>
      </c>
      <c r="B115" s="28" t="n">
        <f aca="false">VaR!B365</f>
        <v>0.0133800312469328</v>
      </c>
      <c r="C115" s="31" t="n">
        <f aca="false">NORMSINV(Parametrlar!$B$8)*STDEV(VaR!B115:B364)-AVERAGE(VaR!B115:B364)</f>
        <v>0.0283456484760072</v>
      </c>
      <c r="D115" s="44" t="n">
        <f aca="false">IF(B115&lt;-C115,1,0)</f>
        <v>0</v>
      </c>
      <c r="H115" s="31" t="n">
        <f aca="false">-C115</f>
        <v>-0.0283456484760072</v>
      </c>
    </row>
    <row r="116" customFormat="false" ht="15" hidden="false" customHeight="false" outlineLevel="0" collapsed="false">
      <c r="A116" s="19" t="n">
        <f aca="false">VaR!A366</f>
        <v>45799</v>
      </c>
      <c r="B116" s="28" t="n">
        <f aca="false">VaR!B366</f>
        <v>-0.0272282872245014</v>
      </c>
      <c r="C116" s="31" t="n">
        <f aca="false">NORMSINV(Parametrlar!$B$8)*STDEV(VaR!B116:B365)-AVERAGE(VaR!B116:B365)</f>
        <v>0.0282817044207187</v>
      </c>
      <c r="D116" s="44" t="n">
        <f aca="false">IF(B116&lt;-C116,1,0)</f>
        <v>0</v>
      </c>
      <c r="H116" s="31" t="n">
        <f aca="false">-C116</f>
        <v>-0.0282817044207187</v>
      </c>
    </row>
    <row r="117" customFormat="false" ht="15" hidden="false" customHeight="false" outlineLevel="0" collapsed="false">
      <c r="A117" s="19" t="n">
        <f aca="false">VaR!A367</f>
        <v>45800</v>
      </c>
      <c r="B117" s="28" t="n">
        <f aca="false">VaR!B367</f>
        <v>-0.00702580338281523</v>
      </c>
      <c r="C117" s="31" t="n">
        <f aca="false">NORMSINV(Parametrlar!$B$8)*STDEV(VaR!B117:B366)-AVERAGE(VaR!B117:B366)</f>
        <v>0.0286996778857818</v>
      </c>
      <c r="D117" s="44" t="n">
        <f aca="false">IF(B117&lt;-C117,1,0)</f>
        <v>0</v>
      </c>
      <c r="H117" s="31" t="n">
        <f aca="false">-C117</f>
        <v>-0.0286996778857818</v>
      </c>
    </row>
    <row r="118" customFormat="false" ht="15" hidden="false" customHeight="false" outlineLevel="0" collapsed="false">
      <c r="A118" s="19" t="n">
        <f aca="false">VaR!A368</f>
        <v>45803</v>
      </c>
      <c r="B118" s="28" t="n">
        <f aca="false">VaR!B368</f>
        <v>0.0242113641096556</v>
      </c>
      <c r="C118" s="31" t="n">
        <f aca="false">NORMSINV(Parametrlar!$B$8)*STDEV(VaR!B118:B367)-AVERAGE(VaR!B118:B367)</f>
        <v>0.028663062449648</v>
      </c>
      <c r="D118" s="44" t="n">
        <f aca="false">IF(B118&lt;-C118,1,0)</f>
        <v>0</v>
      </c>
      <c r="H118" s="31" t="n">
        <f aca="false">-C118</f>
        <v>-0.028663062449648</v>
      </c>
    </row>
    <row r="119" customFormat="false" ht="15" hidden="false" customHeight="false" outlineLevel="0" collapsed="false">
      <c r="A119" s="19" t="n">
        <f aca="false">VaR!A369</f>
        <v>45804</v>
      </c>
      <c r="B119" s="28" t="n">
        <f aca="false">VaR!B369</f>
        <v>0.0108136253053034</v>
      </c>
      <c r="C119" s="31" t="n">
        <f aca="false">NORMSINV(Parametrlar!$B$8)*STDEV(VaR!B119:B368)-AVERAGE(VaR!B119:B368)</f>
        <v>0.0287612476853147</v>
      </c>
      <c r="D119" s="44" t="n">
        <f aca="false">IF(B119&lt;-C119,1,0)</f>
        <v>0</v>
      </c>
      <c r="H119" s="31" t="n">
        <f aca="false">-C119</f>
        <v>-0.0287612476853147</v>
      </c>
    </row>
    <row r="120" customFormat="false" ht="15" hidden="false" customHeight="false" outlineLevel="0" collapsed="false">
      <c r="A120" s="19" t="n">
        <f aca="false">VaR!A370</f>
        <v>45805</v>
      </c>
      <c r="B120" s="28" t="n">
        <f aca="false">VaR!B370</f>
        <v>0.0159539080398766</v>
      </c>
      <c r="C120" s="31" t="n">
        <f aca="false">NORMSINV(Parametrlar!$B$8)*STDEV(VaR!B120:B369)-AVERAGE(VaR!B120:B369)</f>
        <v>0.028350473678653</v>
      </c>
      <c r="D120" s="44" t="n">
        <f aca="false">IF(B120&lt;-C120,1,0)</f>
        <v>0</v>
      </c>
      <c r="H120" s="31" t="n">
        <f aca="false">-C120</f>
        <v>-0.028350473678653</v>
      </c>
    </row>
    <row r="121" customFormat="false" ht="15" hidden="false" customHeight="false" outlineLevel="0" collapsed="false">
      <c r="A121" s="19" t="n">
        <f aca="false">VaR!A371</f>
        <v>45806</v>
      </c>
      <c r="B121" s="28" t="n">
        <f aca="false">VaR!B371</f>
        <v>0.00117744650338711</v>
      </c>
      <c r="C121" s="31" t="n">
        <f aca="false">NORMSINV(Parametrlar!$B$8)*STDEV(VaR!B121:B370)-AVERAGE(VaR!B121:B370)</f>
        <v>0.0279663128282118</v>
      </c>
      <c r="D121" s="44" t="n">
        <f aca="false">IF(B121&lt;-C121,1,0)</f>
        <v>0</v>
      </c>
      <c r="H121" s="31" t="n">
        <f aca="false">-C121</f>
        <v>-0.0279663128282118</v>
      </c>
    </row>
    <row r="122" customFormat="false" ht="15" hidden="false" customHeight="false" outlineLevel="0" collapsed="false">
      <c r="A122" s="19" t="n">
        <f aca="false">VaR!A372</f>
        <v>45807</v>
      </c>
      <c r="B122" s="28" t="n">
        <f aca="false">VaR!B372</f>
        <v>0.0109568551590949</v>
      </c>
      <c r="C122" s="31" t="n">
        <f aca="false">NORMSINV(Parametrlar!$B$8)*STDEV(VaR!B122:B371)-AVERAGE(VaR!B122:B371)</f>
        <v>0.0279586692401712</v>
      </c>
      <c r="D122" s="44" t="n">
        <f aca="false">IF(B122&lt;-C122,1,0)</f>
        <v>0</v>
      </c>
      <c r="H122" s="31" t="n">
        <f aca="false">-C122</f>
        <v>-0.0279586692401712</v>
      </c>
    </row>
    <row r="123" customFormat="false" ht="15" hidden="false" customHeight="false" outlineLevel="0" collapsed="false">
      <c r="A123" s="19" t="n">
        <f aca="false">VaR!A373</f>
        <v>45810</v>
      </c>
      <c r="B123" s="28" t="n">
        <f aca="false">VaR!B373</f>
        <v>0.0135754036307534</v>
      </c>
      <c r="C123" s="31" t="n">
        <f aca="false">NORMSINV(Parametrlar!$B$8)*STDEV(VaR!B123:B372)-AVERAGE(VaR!B123:B372)</f>
        <v>0.0279578005891207</v>
      </c>
      <c r="D123" s="44" t="n">
        <f aca="false">IF(B123&lt;-C123,1,0)</f>
        <v>0</v>
      </c>
      <c r="H123" s="31" t="n">
        <f aca="false">-C123</f>
        <v>-0.0279578005891207</v>
      </c>
    </row>
    <row r="124" customFormat="false" ht="15" hidden="false" customHeight="false" outlineLevel="0" collapsed="false">
      <c r="A124" s="19" t="n">
        <f aca="false">VaR!A374</f>
        <v>45811</v>
      </c>
      <c r="B124" s="28" t="n">
        <f aca="false">VaR!B374</f>
        <v>-0.00452988000910154</v>
      </c>
      <c r="C124" s="31" t="n">
        <f aca="false">NORMSINV(Parametrlar!$B$8)*STDEV(VaR!B124:B373)-AVERAGE(VaR!B124:B373)</f>
        <v>0.0279001124371568</v>
      </c>
      <c r="D124" s="44" t="n">
        <f aca="false">IF(B124&lt;-C124,1,0)</f>
        <v>0</v>
      </c>
      <c r="H124" s="31" t="n">
        <f aca="false">-C124</f>
        <v>-0.0279001124371568</v>
      </c>
    </row>
    <row r="125" customFormat="false" ht="15" hidden="false" customHeight="false" outlineLevel="0" collapsed="false">
      <c r="A125" s="19" t="n">
        <f aca="false">VaR!A375</f>
        <v>45812</v>
      </c>
      <c r="B125" s="28" t="n">
        <f aca="false">VaR!B375</f>
        <v>-0.0208532070380834</v>
      </c>
      <c r="C125" s="31" t="n">
        <f aca="false">NORMSINV(Parametrlar!$B$8)*STDEV(VaR!B125:B374)-AVERAGE(VaR!B125:B374)</f>
        <v>0.0279019323335127</v>
      </c>
      <c r="D125" s="44" t="n">
        <f aca="false">IF(B125&lt;-C125,1,0)</f>
        <v>0</v>
      </c>
      <c r="H125" s="31" t="n">
        <f aca="false">-C125</f>
        <v>-0.0279019323335127</v>
      </c>
    </row>
    <row r="126" customFormat="false" ht="15" hidden="false" customHeight="false" outlineLevel="0" collapsed="false">
      <c r="A126" s="19" t="n">
        <f aca="false">VaR!A376</f>
        <v>45813</v>
      </c>
      <c r="B126" s="28" t="n">
        <f aca="false">VaR!B376</f>
        <v>-0.00941721866976987</v>
      </c>
      <c r="C126" s="31" t="n">
        <f aca="false">NORMSINV(Parametrlar!$B$8)*STDEV(VaR!B126:B375)-AVERAGE(VaR!B126:B375)</f>
        <v>0.0281802235505279</v>
      </c>
      <c r="D126" s="44" t="n">
        <f aca="false">IF(B126&lt;-C126,1,0)</f>
        <v>0</v>
      </c>
      <c r="H126" s="31" t="n">
        <f aca="false">-C126</f>
        <v>-0.0281802235505279</v>
      </c>
    </row>
    <row r="127" customFormat="false" ht="15" hidden="false" customHeight="false" outlineLevel="0" collapsed="false">
      <c r="A127" s="19" t="n">
        <f aca="false">VaR!A377</f>
        <v>45814</v>
      </c>
      <c r="B127" s="28" t="n">
        <f aca="false">VaR!B377</f>
        <v>-0.00343553149172377</v>
      </c>
      <c r="C127" s="31" t="n">
        <f aca="false">NORMSINV(Parametrlar!$B$8)*STDEV(VaR!B127:B376)-AVERAGE(VaR!B127:B376)</f>
        <v>0.0282639863649065</v>
      </c>
      <c r="D127" s="44" t="n">
        <f aca="false">IF(B127&lt;-C127,1,0)</f>
        <v>0</v>
      </c>
      <c r="H127" s="31" t="n">
        <f aca="false">-C127</f>
        <v>-0.0282639863649065</v>
      </c>
    </row>
    <row r="128" customFormat="false" ht="15" hidden="false" customHeight="false" outlineLevel="0" collapsed="false">
      <c r="A128" s="19" t="n">
        <f aca="false">VaR!A378</f>
        <v>45817</v>
      </c>
      <c r="B128" s="28" t="n">
        <f aca="false">VaR!B378</f>
        <v>-0.00619260998871218</v>
      </c>
      <c r="C128" s="31" t="n">
        <f aca="false">NORMSINV(Parametrlar!$B$8)*STDEV(VaR!B128:B377)-AVERAGE(VaR!B128:B377)</f>
        <v>0.0281182889655219</v>
      </c>
      <c r="D128" s="44" t="n">
        <f aca="false">IF(B128&lt;-C128,1,0)</f>
        <v>0</v>
      </c>
      <c r="H128" s="31" t="n">
        <f aca="false">-C128</f>
        <v>-0.0281182889655219</v>
      </c>
    </row>
    <row r="129" customFormat="false" ht="15" hidden="false" customHeight="false" outlineLevel="0" collapsed="false">
      <c r="A129" s="19" t="n">
        <f aca="false">VaR!A379</f>
        <v>45818</v>
      </c>
      <c r="B129" s="28" t="n">
        <f aca="false">VaR!B379</f>
        <v>-0.000167421192668466</v>
      </c>
      <c r="C129" s="31" t="n">
        <f aca="false">NORMSINV(Parametrlar!$B$8)*STDEV(VaR!B129:B378)-AVERAGE(VaR!B129:B378)</f>
        <v>0.0281802290489865</v>
      </c>
      <c r="D129" s="44" t="n">
        <f aca="false">IF(B129&lt;-C129,1,0)</f>
        <v>0</v>
      </c>
      <c r="H129" s="31" t="n">
        <f aca="false">-C129</f>
        <v>-0.0281802290489865</v>
      </c>
    </row>
    <row r="130" customFormat="false" ht="15" hidden="false" customHeight="false" outlineLevel="0" collapsed="false">
      <c r="A130" s="19" t="n">
        <f aca="false">VaR!A380</f>
        <v>45819</v>
      </c>
      <c r="B130" s="28" t="n">
        <f aca="false">VaR!B380</f>
        <v>0.000805428072532494</v>
      </c>
      <c r="C130" s="31" t="n">
        <f aca="false">NORMSINV(Parametrlar!$B$8)*STDEV(VaR!B130:B379)-AVERAGE(VaR!B130:B379)</f>
        <v>0.0281930392594445</v>
      </c>
      <c r="D130" s="44" t="n">
        <f aca="false">IF(B130&lt;-C130,1,0)</f>
        <v>0</v>
      </c>
      <c r="H130" s="31" t="n">
        <f aca="false">-C130</f>
        <v>-0.0281930392594445</v>
      </c>
    </row>
    <row r="131" customFormat="false" ht="15" hidden="false" customHeight="false" outlineLevel="0" collapsed="false">
      <c r="A131" s="19" t="n">
        <f aca="false">VaR!A381</f>
        <v>45820</v>
      </c>
      <c r="B131" s="28" t="n">
        <f aca="false">VaR!B381</f>
        <v>-0.0233615667606197</v>
      </c>
      <c r="C131" s="31" t="n">
        <f aca="false">NORMSINV(Parametrlar!$B$8)*STDEV(VaR!B131:B380)-AVERAGE(VaR!B131:B380)</f>
        <v>0.02817181202477</v>
      </c>
      <c r="D131" s="44" t="n">
        <f aca="false">IF(B131&lt;-C131,1,0)</f>
        <v>0</v>
      </c>
      <c r="H131" s="31" t="n">
        <f aca="false">-C131</f>
        <v>-0.02817181202477</v>
      </c>
    </row>
    <row r="132" customFormat="false" ht="15" hidden="false" customHeight="false" outlineLevel="0" collapsed="false">
      <c r="A132" s="19" t="n">
        <f aca="false">VaR!A382</f>
        <v>45821</v>
      </c>
      <c r="B132" s="28" t="n">
        <f aca="false">VaR!B382</f>
        <v>0.0230601992209515</v>
      </c>
      <c r="C132" s="31" t="n">
        <f aca="false">NORMSINV(Parametrlar!$B$8)*STDEV(VaR!B132:B381)-AVERAGE(VaR!B132:B381)</f>
        <v>0.0284240343966998</v>
      </c>
      <c r="D132" s="44" t="n">
        <f aca="false">IF(B132&lt;-C132,1,0)</f>
        <v>0</v>
      </c>
      <c r="H132" s="31" t="n">
        <f aca="false">-C132</f>
        <v>-0.0284240343966998</v>
      </c>
    </row>
    <row r="133" customFormat="false" ht="15" hidden="false" customHeight="false" outlineLevel="0" collapsed="false">
      <c r="A133" s="19" t="n">
        <f aca="false">VaR!A383</f>
        <v>45824</v>
      </c>
      <c r="B133" s="28" t="n">
        <f aca="false">VaR!B383</f>
        <v>0.0163919434102978</v>
      </c>
      <c r="C133" s="31" t="n">
        <f aca="false">NORMSINV(Parametrlar!$B$8)*STDEV(VaR!B133:B382)-AVERAGE(VaR!B133:B382)</f>
        <v>0.0285100728493333</v>
      </c>
      <c r="D133" s="44" t="n">
        <f aca="false">IF(B133&lt;-C133,1,0)</f>
        <v>0</v>
      </c>
      <c r="H133" s="31" t="n">
        <f aca="false">-C133</f>
        <v>-0.0285100728493333</v>
      </c>
    </row>
    <row r="134" customFormat="false" ht="15" hidden="false" customHeight="false" outlineLevel="0" collapsed="false">
      <c r="A134" s="19" t="n">
        <f aca="false">VaR!A384</f>
        <v>45825</v>
      </c>
      <c r="B134" s="28" t="n">
        <f aca="false">VaR!B384</f>
        <v>-0.0269679586285368</v>
      </c>
      <c r="C134" s="31" t="n">
        <f aca="false">NORMSINV(Parametrlar!$B$8)*STDEV(VaR!B134:B383)-AVERAGE(VaR!B134:B383)</f>
        <v>0.0285329423667573</v>
      </c>
      <c r="D134" s="44" t="n">
        <f aca="false">IF(B134&lt;-C134,1,0)</f>
        <v>0</v>
      </c>
      <c r="H134" s="31" t="n">
        <f aca="false">-C134</f>
        <v>-0.0285329423667573</v>
      </c>
    </row>
    <row r="135" customFormat="false" ht="15" hidden="false" customHeight="false" outlineLevel="0" collapsed="false">
      <c r="A135" s="19" t="n">
        <f aca="false">VaR!A385</f>
        <v>45826</v>
      </c>
      <c r="B135" s="28" t="n">
        <f aca="false">VaR!B385</f>
        <v>0.00615885351390031</v>
      </c>
      <c r="C135" s="31" t="n">
        <f aca="false">NORMSINV(Parametrlar!$B$8)*STDEV(VaR!B135:B384)-AVERAGE(VaR!B135:B384)</f>
        <v>0.0289041000542189</v>
      </c>
      <c r="D135" s="44" t="n">
        <f aca="false">IF(B135&lt;-C135,1,0)</f>
        <v>0</v>
      </c>
      <c r="H135" s="31" t="n">
        <f aca="false">-C135</f>
        <v>-0.0289041000542189</v>
      </c>
    </row>
    <row r="136" customFormat="false" ht="15" hidden="false" customHeight="false" outlineLevel="0" collapsed="false">
      <c r="A136" s="19" t="n">
        <f aca="false">VaR!A386</f>
        <v>45827</v>
      </c>
      <c r="B136" s="28" t="n">
        <f aca="false">VaR!B386</f>
        <v>0.0115508226755954</v>
      </c>
      <c r="C136" s="31" t="n">
        <f aca="false">NORMSINV(Parametrlar!$B$8)*STDEV(VaR!B136:B385)-AVERAGE(VaR!B136:B385)</f>
        <v>0.0289042356642949</v>
      </c>
      <c r="D136" s="44" t="n">
        <f aca="false">IF(B136&lt;-C136,1,0)</f>
        <v>0</v>
      </c>
      <c r="H136" s="31" t="n">
        <f aca="false">-C136</f>
        <v>-0.0289042356642949</v>
      </c>
    </row>
    <row r="137" customFormat="false" ht="15" hidden="false" customHeight="false" outlineLevel="0" collapsed="false">
      <c r="A137" s="19" t="n">
        <f aca="false">VaR!A387</f>
        <v>45828</v>
      </c>
      <c r="B137" s="28" t="n">
        <f aca="false">VaR!B387</f>
        <v>0.000601272537809106</v>
      </c>
      <c r="C137" s="31" t="n">
        <f aca="false">NORMSINV(Parametrlar!$B$8)*STDEV(VaR!B137:B386)-AVERAGE(VaR!B137:B386)</f>
        <v>0.0288138599217837</v>
      </c>
      <c r="D137" s="44" t="n">
        <f aca="false">IF(B137&lt;-C137,1,0)</f>
        <v>0</v>
      </c>
      <c r="H137" s="31" t="n">
        <f aca="false">-C137</f>
        <v>-0.0288138599217837</v>
      </c>
    </row>
    <row r="138" customFormat="false" ht="15" hidden="false" customHeight="false" outlineLevel="0" collapsed="false">
      <c r="A138" s="19" t="n">
        <f aca="false">VaR!A388</f>
        <v>45831</v>
      </c>
      <c r="B138" s="28" t="n">
        <f aca="false">VaR!B388</f>
        <v>-0.00405342329630836</v>
      </c>
      <c r="C138" s="31" t="n">
        <f aca="false">NORMSINV(Parametrlar!$B$8)*STDEV(VaR!B138:B387)-AVERAGE(VaR!B138:B387)</f>
        <v>0.0288202416725059</v>
      </c>
      <c r="D138" s="44" t="n">
        <f aca="false">IF(B138&lt;-C138,1,0)</f>
        <v>0</v>
      </c>
      <c r="H138" s="31" t="n">
        <f aca="false">-C138</f>
        <v>-0.0288202416725059</v>
      </c>
    </row>
    <row r="139" customFormat="false" ht="15" hidden="false" customHeight="false" outlineLevel="0" collapsed="false">
      <c r="A139" s="19" t="n">
        <f aca="false">VaR!A389</f>
        <v>45832</v>
      </c>
      <c r="B139" s="28" t="n">
        <f aca="false">VaR!B389</f>
        <v>0.0111139612588025</v>
      </c>
      <c r="C139" s="31" t="n">
        <f aca="false">NORMSINV(Parametrlar!$B$8)*STDEV(VaR!B139:B388)-AVERAGE(VaR!B139:B388)</f>
        <v>0.0288262236031977</v>
      </c>
      <c r="D139" s="44" t="n">
        <f aca="false">IF(B139&lt;-C139,1,0)</f>
        <v>0</v>
      </c>
      <c r="H139" s="31" t="n">
        <f aca="false">-C139</f>
        <v>-0.0288262236031977</v>
      </c>
    </row>
    <row r="140" customFormat="false" ht="15" hidden="false" customHeight="false" outlineLevel="0" collapsed="false">
      <c r="A140" s="19" t="n">
        <f aca="false">VaR!A390</f>
        <v>45833</v>
      </c>
      <c r="B140" s="28" t="n">
        <f aca="false">VaR!B390</f>
        <v>-0.0211677793341353</v>
      </c>
      <c r="C140" s="31" t="n">
        <f aca="false">NORMSINV(Parametrlar!$B$8)*STDEV(VaR!B140:B389)-AVERAGE(VaR!B140:B389)</f>
        <v>0.0287912133220436</v>
      </c>
      <c r="D140" s="44" t="n">
        <f aca="false">IF(B140&lt;-C140,1,0)</f>
        <v>0</v>
      </c>
      <c r="H140" s="31" t="n">
        <f aca="false">-C140</f>
        <v>-0.0287912133220436</v>
      </c>
    </row>
    <row r="141" customFormat="false" ht="15" hidden="false" customHeight="false" outlineLevel="0" collapsed="false">
      <c r="A141" s="19" t="n">
        <f aca="false">VaR!A391</f>
        <v>45834</v>
      </c>
      <c r="B141" s="28" t="n">
        <f aca="false">VaR!B391</f>
        <v>0.00962570349561368</v>
      </c>
      <c r="C141" s="31" t="n">
        <f aca="false">NORMSINV(Parametrlar!$B$8)*STDEV(VaR!B141:B390)-AVERAGE(VaR!B141:B390)</f>
        <v>0.0290721314719814</v>
      </c>
      <c r="D141" s="44" t="n">
        <f aca="false">IF(B141&lt;-C141,1,0)</f>
        <v>0</v>
      </c>
      <c r="H141" s="31" t="n">
        <f aca="false">-C141</f>
        <v>-0.0290721314719814</v>
      </c>
    </row>
    <row r="142" customFormat="false" ht="15" hidden="false" customHeight="false" outlineLevel="0" collapsed="false">
      <c r="A142" s="19" t="n">
        <f aca="false">VaR!A392</f>
        <v>45835</v>
      </c>
      <c r="B142" s="28" t="n">
        <f aca="false">VaR!B392</f>
        <v>0.0456239443127523</v>
      </c>
      <c r="C142" s="31" t="n">
        <f aca="false">NORMSINV(Parametrlar!$B$8)*STDEV(VaR!B142:B391)-AVERAGE(VaR!B142:B391)</f>
        <v>0.0290647917046837</v>
      </c>
      <c r="D142" s="44" t="n">
        <f aca="false">IF(B142&lt;-C142,1,0)</f>
        <v>0</v>
      </c>
      <c r="H142" s="31" t="n">
        <f aca="false">-C142</f>
        <v>-0.0290647917046837</v>
      </c>
    </row>
    <row r="143" customFormat="false" ht="15" hidden="false" customHeight="false" outlineLevel="0" collapsed="false">
      <c r="A143" s="19" t="n">
        <f aca="false">VaR!A393</f>
        <v>45838</v>
      </c>
      <c r="B143" s="28" t="n">
        <f aca="false">VaR!B393</f>
        <v>0.00776429407408412</v>
      </c>
      <c r="C143" s="31" t="n">
        <f aca="false">NORMSINV(Parametrlar!$B$8)*STDEV(VaR!B143:B392)-AVERAGE(VaR!B143:B392)</f>
        <v>0.0295818665571159</v>
      </c>
      <c r="D143" s="44" t="n">
        <f aca="false">IF(B143&lt;-C143,1,0)</f>
        <v>0</v>
      </c>
      <c r="H143" s="31" t="n">
        <f aca="false">-C143</f>
        <v>-0.0295818665571159</v>
      </c>
    </row>
    <row r="144" customFormat="false" ht="15" hidden="false" customHeight="false" outlineLevel="0" collapsed="false">
      <c r="A144" s="19" t="n">
        <f aca="false">VaR!A394</f>
        <v>45839</v>
      </c>
      <c r="B144" s="28" t="n">
        <f aca="false">VaR!B394</f>
        <v>0.0174283324016619</v>
      </c>
      <c r="C144" s="31" t="n">
        <f aca="false">NORMSINV(Parametrlar!$B$8)*STDEV(VaR!B144:B393)-AVERAGE(VaR!B144:B393)</f>
        <v>0.0295721223477842</v>
      </c>
      <c r="D144" s="44" t="n">
        <f aca="false">IF(B144&lt;-C144,1,0)</f>
        <v>0</v>
      </c>
      <c r="H144" s="31" t="n">
        <f aca="false">-C144</f>
        <v>-0.0295721223477842</v>
      </c>
    </row>
    <row r="145" customFormat="false" ht="15" hidden="false" customHeight="false" outlineLevel="0" collapsed="false">
      <c r="A145" s="19" t="n">
        <f aca="false">VaR!A395</f>
        <v>45840</v>
      </c>
      <c r="B145" s="28" t="n">
        <f aca="false">VaR!B395</f>
        <v>-0.0326750171834411</v>
      </c>
      <c r="C145" s="31" t="n">
        <f aca="false">NORMSINV(Parametrlar!$B$8)*STDEV(VaR!B145:B394)-AVERAGE(VaR!B145:B394)</f>
        <v>0.0295874945743722</v>
      </c>
      <c r="D145" s="44" t="n">
        <f aca="false">IF(B145&lt;-C145,1,0)</f>
        <v>1</v>
      </c>
      <c r="H145" s="31" t="n">
        <f aca="false">-C145</f>
        <v>-0.0295874945743722</v>
      </c>
    </row>
    <row r="146" customFormat="false" ht="15" hidden="false" customHeight="false" outlineLevel="0" collapsed="false">
      <c r="A146" s="19" t="n">
        <f aca="false">VaR!A396</f>
        <v>45841</v>
      </c>
      <c r="B146" s="28" t="n">
        <f aca="false">VaR!B396</f>
        <v>-0.00471679094444434</v>
      </c>
      <c r="C146" s="31" t="n">
        <f aca="false">NORMSINV(Parametrlar!$B$8)*STDEV(VaR!B146:B395)-AVERAGE(VaR!B146:B395)</f>
        <v>0.0301366126433854</v>
      </c>
      <c r="D146" s="44" t="n">
        <f aca="false">IF(B146&lt;-C146,1,0)</f>
        <v>0</v>
      </c>
      <c r="H146" s="31" t="n">
        <f aca="false">-C146</f>
        <v>-0.0301366126433854</v>
      </c>
    </row>
    <row r="147" customFormat="false" ht="15" hidden="false" customHeight="false" outlineLevel="0" collapsed="false">
      <c r="A147" s="19" t="n">
        <f aca="false">VaR!A397</f>
        <v>45842</v>
      </c>
      <c r="B147" s="28" t="n">
        <f aca="false">VaR!B397</f>
        <v>0.0202458598401529</v>
      </c>
      <c r="C147" s="31" t="n">
        <f aca="false">NORMSINV(Parametrlar!$B$8)*STDEV(VaR!B147:B396)-AVERAGE(VaR!B147:B396)</f>
        <v>0.0301629325357064</v>
      </c>
      <c r="D147" s="44" t="n">
        <f aca="false">IF(B147&lt;-C147,1,0)</f>
        <v>0</v>
      </c>
      <c r="H147" s="31" t="n">
        <f aca="false">-C147</f>
        <v>-0.0301629325357064</v>
      </c>
    </row>
    <row r="148" customFormat="false" ht="15" hidden="false" customHeight="false" outlineLevel="0" collapsed="false">
      <c r="A148" s="19" t="n">
        <f aca="false">VaR!A398</f>
        <v>45845</v>
      </c>
      <c r="B148" s="28" t="n">
        <f aca="false">VaR!B398</f>
        <v>-0.0119993264529833</v>
      </c>
      <c r="C148" s="31" t="n">
        <f aca="false">NORMSINV(Parametrlar!$B$8)*STDEV(VaR!B148:B397)-AVERAGE(VaR!B148:B397)</f>
        <v>0.0301193143391042</v>
      </c>
      <c r="D148" s="44" t="n">
        <f aca="false">IF(B148&lt;-C148,1,0)</f>
        <v>0</v>
      </c>
      <c r="H148" s="31" t="n">
        <f aca="false">-C148</f>
        <v>-0.0301193143391042</v>
      </c>
    </row>
    <row r="149" customFormat="false" ht="15" hidden="false" customHeight="false" outlineLevel="0" collapsed="false">
      <c r="A149" s="19" t="n">
        <f aca="false">VaR!A399</f>
        <v>45846</v>
      </c>
      <c r="B149" s="28" t="n">
        <f aca="false">VaR!B399</f>
        <v>0.0218144958500437</v>
      </c>
      <c r="C149" s="31" t="n">
        <f aca="false">NORMSINV(Parametrlar!$B$8)*STDEV(VaR!B149:B398)-AVERAGE(VaR!B149:B398)</f>
        <v>0.0302378408613362</v>
      </c>
      <c r="D149" s="44" t="n">
        <f aca="false">IF(B149&lt;-C149,1,0)</f>
        <v>0</v>
      </c>
      <c r="H149" s="31" t="n">
        <f aca="false">-C149</f>
        <v>-0.0302378408613362</v>
      </c>
    </row>
    <row r="150" customFormat="false" ht="15" hidden="false" customHeight="false" outlineLevel="0" collapsed="false">
      <c r="A150" s="19" t="n">
        <f aca="false">VaR!A400</f>
        <v>45847</v>
      </c>
      <c r="B150" s="28" t="n">
        <f aca="false">VaR!B400</f>
        <v>-0.00533640629219176</v>
      </c>
      <c r="C150" s="31" t="n">
        <f aca="false">NORMSINV(Parametrlar!$B$8)*STDEV(VaR!B150:B399)-AVERAGE(VaR!B150:B399)</f>
        <v>0.0301568759145942</v>
      </c>
      <c r="D150" s="44" t="n">
        <f aca="false">IF(B150&lt;-C150,1,0)</f>
        <v>0</v>
      </c>
      <c r="H150" s="31" t="n">
        <f aca="false">-C150</f>
        <v>-0.0301568759145942</v>
      </c>
    </row>
    <row r="151" customFormat="false" ht="15" hidden="false" customHeight="false" outlineLevel="0" collapsed="false">
      <c r="A151" s="19" t="n">
        <f aca="false">VaR!A401</f>
        <v>45848</v>
      </c>
      <c r="B151" s="28" t="n">
        <f aca="false">VaR!B401</f>
        <v>0.0429014326867281</v>
      </c>
      <c r="C151" s="31" t="n">
        <f aca="false">NORMSINV(Parametrlar!$B$8)*STDEV(VaR!B151:B400)-AVERAGE(VaR!B151:B400)</f>
        <v>0.0300974939583005</v>
      </c>
      <c r="D151" s="44" t="n">
        <f aca="false">IF(B151&lt;-C151,1,0)</f>
        <v>0</v>
      </c>
      <c r="H151" s="31" t="n">
        <f aca="false">-C151</f>
        <v>-0.0300974939583005</v>
      </c>
    </row>
    <row r="152" customFormat="false" ht="15" hidden="false" customHeight="false" outlineLevel="0" collapsed="false">
      <c r="A152" s="19" t="n">
        <f aca="false">VaR!A402</f>
        <v>45849</v>
      </c>
      <c r="B152" s="28" t="n">
        <f aca="false">VaR!B402</f>
        <v>0.0204930314063858</v>
      </c>
      <c r="C152" s="31" t="n">
        <f aca="false">NORMSINV(Parametrlar!$B$8)*STDEV(VaR!B152:B401)-AVERAGE(VaR!B152:B401)</f>
        <v>0.0305262784002452</v>
      </c>
      <c r="D152" s="44" t="n">
        <f aca="false">IF(B152&lt;-C152,1,0)</f>
        <v>0</v>
      </c>
      <c r="H152" s="31" t="n">
        <f aca="false">-C152</f>
        <v>-0.0305262784002452</v>
      </c>
    </row>
    <row r="153" customFormat="false" ht="15" hidden="false" customHeight="false" outlineLevel="0" collapsed="false">
      <c r="A153" s="19" t="n">
        <f aca="false">VaR!A403</f>
        <v>45852</v>
      </c>
      <c r="B153" s="28" t="n">
        <f aca="false">VaR!B403</f>
        <v>-0.00477718389760464</v>
      </c>
      <c r="C153" s="31" t="n">
        <f aca="false">NORMSINV(Parametrlar!$B$8)*STDEV(VaR!B153:B402)-AVERAGE(VaR!B153:B402)</f>
        <v>0.0304675249271535</v>
      </c>
      <c r="D153" s="44" t="n">
        <f aca="false">IF(B153&lt;-C153,1,0)</f>
        <v>0</v>
      </c>
      <c r="H153" s="31" t="n">
        <f aca="false">-C153</f>
        <v>-0.0304675249271535</v>
      </c>
    </row>
    <row r="154" customFormat="false" ht="15" hidden="false" customHeight="false" outlineLevel="0" collapsed="false">
      <c r="A154" s="19" t="n">
        <f aca="false">VaR!A404</f>
        <v>45853</v>
      </c>
      <c r="B154" s="28" t="n">
        <f aca="false">VaR!B404</f>
        <v>-0.00466160556862965</v>
      </c>
      <c r="C154" s="31" t="n">
        <f aca="false">NORMSINV(Parametrlar!$B$8)*STDEV(VaR!B154:B403)-AVERAGE(VaR!B154:B403)</f>
        <v>0.0305072446247971</v>
      </c>
      <c r="D154" s="44" t="n">
        <f aca="false">IF(B154&lt;-C154,1,0)</f>
        <v>0</v>
      </c>
      <c r="H154" s="31" t="n">
        <f aca="false">-C154</f>
        <v>-0.0305072446247971</v>
      </c>
    </row>
    <row r="155" customFormat="false" ht="15" hidden="false" customHeight="false" outlineLevel="0" collapsed="false">
      <c r="A155" s="19" t="n">
        <f aca="false">VaR!A405</f>
        <v>45854</v>
      </c>
      <c r="B155" s="28" t="n">
        <f aca="false">VaR!B405</f>
        <v>0.0234733276575387</v>
      </c>
      <c r="C155" s="31" t="n">
        <f aca="false">NORMSINV(Parametrlar!$B$8)*STDEV(VaR!B155:B404)-AVERAGE(VaR!B155:B404)</f>
        <v>0.0305529328269244</v>
      </c>
      <c r="D155" s="44" t="n">
        <f aca="false">IF(B155&lt;-C155,1,0)</f>
        <v>0</v>
      </c>
      <c r="H155" s="31" t="n">
        <f aca="false">-C155</f>
        <v>-0.0305529328269244</v>
      </c>
    </row>
    <row r="156" customFormat="false" ht="15" hidden="false" customHeight="false" outlineLevel="0" collapsed="false">
      <c r="A156" s="19" t="n">
        <f aca="false">VaR!A406</f>
        <v>45855</v>
      </c>
      <c r="B156" s="28" t="n">
        <f aca="false">VaR!B406</f>
        <v>-0.0058837390020376</v>
      </c>
      <c r="C156" s="31" t="n">
        <f aca="false">NORMSINV(Parametrlar!$B$8)*STDEV(VaR!B156:B405)-AVERAGE(VaR!B156:B405)</f>
        <v>0.0306409691530195</v>
      </c>
      <c r="D156" s="44" t="n">
        <f aca="false">IF(B156&lt;-C156,1,0)</f>
        <v>0</v>
      </c>
      <c r="H156" s="31" t="n">
        <f aca="false">-C156</f>
        <v>-0.0306409691530195</v>
      </c>
    </row>
    <row r="157" customFormat="false" ht="15" hidden="false" customHeight="false" outlineLevel="0" collapsed="false">
      <c r="A157" s="19" t="n">
        <f aca="false">VaR!A407</f>
        <v>45856</v>
      </c>
      <c r="B157" s="28" t="n">
        <f aca="false">VaR!B407</f>
        <v>0.00331104178203915</v>
      </c>
      <c r="C157" s="31" t="n">
        <f aca="false">NORMSINV(Parametrlar!$B$8)*STDEV(VaR!B157:B406)-AVERAGE(VaR!B157:B406)</f>
        <v>0.0306242534588699</v>
      </c>
      <c r="D157" s="44" t="n">
        <f aca="false">IF(B157&lt;-C157,1,0)</f>
        <v>0</v>
      </c>
      <c r="H157" s="31" t="n">
        <f aca="false">-C157</f>
        <v>-0.0306242534588699</v>
      </c>
    </row>
    <row r="158" customFormat="false" ht="15" hidden="false" customHeight="false" outlineLevel="0" collapsed="false">
      <c r="A158" s="19" t="n">
        <f aca="false">VaR!A408</f>
        <v>45859</v>
      </c>
      <c r="B158" s="28" t="n">
        <f aca="false">VaR!B408</f>
        <v>-0.00433128270620004</v>
      </c>
      <c r="C158" s="31" t="n">
        <f aca="false">NORMSINV(Parametrlar!$B$8)*STDEV(VaR!B158:B407)-AVERAGE(VaR!B158:B407)</f>
        <v>0.030106876681877</v>
      </c>
      <c r="D158" s="44" t="n">
        <f aca="false">IF(B158&lt;-C158,1,0)</f>
        <v>0</v>
      </c>
      <c r="H158" s="31" t="n">
        <f aca="false">-C158</f>
        <v>-0.030106876681877</v>
      </c>
    </row>
    <row r="159" customFormat="false" ht="15" hidden="false" customHeight="false" outlineLevel="0" collapsed="false">
      <c r="A159" s="19" t="n">
        <f aca="false">VaR!A409</f>
        <v>45860</v>
      </c>
      <c r="B159" s="28" t="n">
        <f aca="false">VaR!B409</f>
        <v>-0.00521708963521683</v>
      </c>
      <c r="C159" s="31" t="n">
        <f aca="false">NORMSINV(Parametrlar!$B$8)*STDEV(VaR!B159:B408)-AVERAGE(VaR!B159:B408)</f>
        <v>0.0300387645808677</v>
      </c>
      <c r="D159" s="44" t="n">
        <f aca="false">IF(B159&lt;-C159,1,0)</f>
        <v>0</v>
      </c>
      <c r="H159" s="31" t="n">
        <f aca="false">-C159</f>
        <v>-0.0300387645808677</v>
      </c>
    </row>
    <row r="160" customFormat="false" ht="15" hidden="false" customHeight="false" outlineLevel="0" collapsed="false">
      <c r="A160" s="19" t="n">
        <f aca="false">VaR!A410</f>
        <v>45861</v>
      </c>
      <c r="B160" s="28" t="n">
        <f aca="false">VaR!B410</f>
        <v>0.00209288733080439</v>
      </c>
      <c r="C160" s="31" t="n">
        <f aca="false">NORMSINV(Parametrlar!$B$8)*STDEV(VaR!B160:B409)-AVERAGE(VaR!B160:B409)</f>
        <v>0.0300391087560258</v>
      </c>
      <c r="D160" s="44" t="n">
        <f aca="false">IF(B160&lt;-C160,1,0)</f>
        <v>0</v>
      </c>
      <c r="H160" s="31" t="n">
        <f aca="false">-C160</f>
        <v>-0.0300391087560258</v>
      </c>
    </row>
    <row r="161" customFormat="false" ht="15" hidden="false" customHeight="false" outlineLevel="0" collapsed="false">
      <c r="A161" s="19" t="n">
        <f aca="false">VaR!A411</f>
        <v>45862</v>
      </c>
      <c r="B161" s="28" t="n">
        <f aca="false">VaR!B411</f>
        <v>0.00587958973776812</v>
      </c>
      <c r="C161" s="31" t="n">
        <f aca="false">NORMSINV(Parametrlar!$B$8)*STDEV(VaR!B161:B410)-AVERAGE(VaR!B161:B410)</f>
        <v>0.0298652355013891</v>
      </c>
      <c r="D161" s="44" t="n">
        <f aca="false">IF(B161&lt;-C161,1,0)</f>
        <v>0</v>
      </c>
      <c r="H161" s="31" t="n">
        <f aca="false">-C161</f>
        <v>-0.0298652355013891</v>
      </c>
    </row>
    <row r="162" customFormat="false" ht="15" hidden="false" customHeight="false" outlineLevel="0" collapsed="false">
      <c r="A162" s="19" t="n">
        <f aca="false">VaR!A412</f>
        <v>45863</v>
      </c>
      <c r="B162" s="28" t="n">
        <f aca="false">VaR!B412</f>
        <v>0.00886080068925069</v>
      </c>
      <c r="C162" s="31" t="n">
        <f aca="false">NORMSINV(Parametrlar!$B$8)*STDEV(VaR!B162:B411)-AVERAGE(VaR!B162:B411)</f>
        <v>0.0298623248246719</v>
      </c>
      <c r="D162" s="44" t="n">
        <f aca="false">IF(B162&lt;-C162,1,0)</f>
        <v>0</v>
      </c>
      <c r="H162" s="31" t="n">
        <f aca="false">-C162</f>
        <v>-0.0298623248246719</v>
      </c>
    </row>
    <row r="163" customFormat="false" ht="15" hidden="false" customHeight="false" outlineLevel="0" collapsed="false">
      <c r="A163" s="19" t="n">
        <f aca="false">VaR!A413</f>
        <v>45866</v>
      </c>
      <c r="B163" s="28" t="n">
        <f aca="false">VaR!B413</f>
        <v>-0.0128922972146679</v>
      </c>
      <c r="C163" s="31" t="n">
        <f aca="false">NORMSINV(Parametrlar!$B$8)*STDEV(VaR!B163:B412)-AVERAGE(VaR!B163:B412)</f>
        <v>0.0297627630583317</v>
      </c>
      <c r="D163" s="44" t="n">
        <f aca="false">IF(B163&lt;-C163,1,0)</f>
        <v>0</v>
      </c>
      <c r="H163" s="31" t="n">
        <f aca="false">-C163</f>
        <v>-0.0297627630583317</v>
      </c>
    </row>
    <row r="164" customFormat="false" ht="15" hidden="false" customHeight="false" outlineLevel="0" collapsed="false">
      <c r="A164" s="19" t="n">
        <f aca="false">VaR!A414</f>
        <v>45867</v>
      </c>
      <c r="B164" s="28" t="n">
        <f aca="false">VaR!B414</f>
        <v>0.00100127207605237</v>
      </c>
      <c r="C164" s="31" t="n">
        <f aca="false">NORMSINV(Parametrlar!$B$8)*STDEV(VaR!B164:B413)-AVERAGE(VaR!B164:B413)</f>
        <v>0.0298863777821573</v>
      </c>
      <c r="D164" s="44" t="n">
        <f aca="false">IF(B164&lt;-C164,1,0)</f>
        <v>0</v>
      </c>
      <c r="H164" s="31" t="n">
        <f aca="false">-C164</f>
        <v>-0.0298863777821573</v>
      </c>
    </row>
    <row r="165" customFormat="false" ht="15" hidden="false" customHeight="false" outlineLevel="0" collapsed="false">
      <c r="A165" s="19" t="n">
        <f aca="false">VaR!A415</f>
        <v>45868</v>
      </c>
      <c r="B165" s="28" t="n">
        <f aca="false">VaR!B415</f>
        <v>-0.00445445343157717</v>
      </c>
      <c r="C165" s="31" t="n">
        <f aca="false">NORMSINV(Parametrlar!$B$8)*STDEV(VaR!B165:B414)-AVERAGE(VaR!B165:B414)</f>
        <v>0.0298043026543657</v>
      </c>
      <c r="D165" s="44" t="n">
        <f aca="false">IF(B165&lt;-C165,1,0)</f>
        <v>0</v>
      </c>
      <c r="H165" s="31" t="n">
        <f aca="false">-C165</f>
        <v>-0.0298043026543657</v>
      </c>
    </row>
    <row r="166" customFormat="false" ht="15" hidden="false" customHeight="false" outlineLevel="0" collapsed="false">
      <c r="A166" s="19" t="n">
        <f aca="false">VaR!A416</f>
        <v>45869</v>
      </c>
      <c r="B166" s="28" t="n">
        <f aca="false">VaR!B416</f>
        <v>0.000897190429754336</v>
      </c>
      <c r="C166" s="31" t="n">
        <f aca="false">NORMSINV(Parametrlar!$B$8)*STDEV(VaR!B166:B415)-AVERAGE(VaR!B166:B415)</f>
        <v>0.0298424520213628</v>
      </c>
      <c r="D166" s="44" t="n">
        <f aca="false">IF(B166&lt;-C166,1,0)</f>
        <v>0</v>
      </c>
      <c r="H166" s="31" t="n">
        <f aca="false">-C166</f>
        <v>-0.0298424520213628</v>
      </c>
    </row>
    <row r="167" customFormat="false" ht="15" hidden="false" customHeight="false" outlineLevel="0" collapsed="false">
      <c r="A167" s="19" t="n">
        <f aca="false">VaR!A417</f>
        <v>45870</v>
      </c>
      <c r="B167" s="28" t="n">
        <f aca="false">VaR!B417</f>
        <v>0.0139962457727731</v>
      </c>
      <c r="C167" s="31" t="n">
        <f aca="false">NORMSINV(Parametrlar!$B$8)*STDEV(VaR!B167:B416)-AVERAGE(VaR!B167:B416)</f>
        <v>0.0298555841760793</v>
      </c>
      <c r="D167" s="44" t="n">
        <f aca="false">IF(B167&lt;-C167,1,0)</f>
        <v>0</v>
      </c>
      <c r="H167" s="31" t="n">
        <f aca="false">-C167</f>
        <v>-0.0298555841760793</v>
      </c>
    </row>
    <row r="168" customFormat="false" ht="15" hidden="false" customHeight="false" outlineLevel="0" collapsed="false">
      <c r="A168" s="19" t="n">
        <f aca="false">VaR!A418</f>
        <v>45873</v>
      </c>
      <c r="B168" s="28" t="n">
        <f aca="false">VaR!B418</f>
        <v>0.0137475934325395</v>
      </c>
      <c r="C168" s="31" t="n">
        <f aca="false">NORMSINV(Parametrlar!$B$8)*STDEV(VaR!B168:B417)-AVERAGE(VaR!B168:B417)</f>
        <v>0.0298093215754605</v>
      </c>
      <c r="D168" s="44" t="n">
        <f aca="false">IF(B168&lt;-C168,1,0)</f>
        <v>0</v>
      </c>
      <c r="H168" s="31" t="n">
        <f aca="false">-C168</f>
        <v>-0.0298093215754605</v>
      </c>
    </row>
    <row r="169" customFormat="false" ht="15" hidden="false" customHeight="false" outlineLevel="0" collapsed="false">
      <c r="A169" s="19" t="n">
        <f aca="false">VaR!A419</f>
        <v>45874</v>
      </c>
      <c r="B169" s="28" t="n">
        <f aca="false">VaR!B419</f>
        <v>-0.00671675569383312</v>
      </c>
      <c r="C169" s="31" t="n">
        <f aca="false">NORMSINV(Parametrlar!$B$8)*STDEV(VaR!B169:B418)-AVERAGE(VaR!B169:B418)</f>
        <v>0.0298222910159527</v>
      </c>
      <c r="D169" s="44" t="n">
        <f aca="false">IF(B169&lt;-C169,1,0)</f>
        <v>0</v>
      </c>
      <c r="H169" s="31" t="n">
        <f aca="false">-C169</f>
        <v>-0.0298222910159527</v>
      </c>
    </row>
    <row r="170" customFormat="false" ht="15" hidden="false" customHeight="false" outlineLevel="0" collapsed="false">
      <c r="A170" s="19" t="n">
        <f aca="false">VaR!A420</f>
        <v>45875</v>
      </c>
      <c r="B170" s="28" t="n">
        <f aca="false">VaR!B420</f>
        <v>0.00703979546782336</v>
      </c>
      <c r="C170" s="31" t="n">
        <f aca="false">NORMSINV(Parametrlar!$B$8)*STDEV(VaR!B170:B419)-AVERAGE(VaR!B170:B419)</f>
        <v>0.0298887306149821</v>
      </c>
      <c r="D170" s="44" t="n">
        <f aca="false">IF(B170&lt;-C170,1,0)</f>
        <v>0</v>
      </c>
      <c r="H170" s="31" t="n">
        <f aca="false">-C170</f>
        <v>-0.0298887306149821</v>
      </c>
    </row>
    <row r="171" customFormat="false" ht="15" hidden="false" customHeight="false" outlineLevel="0" collapsed="false">
      <c r="A171" s="19" t="n">
        <f aca="false">VaR!A421</f>
        <v>45876</v>
      </c>
      <c r="B171" s="28" t="n">
        <f aca="false">VaR!B421</f>
        <v>0.00903396380188575</v>
      </c>
      <c r="C171" s="31" t="n">
        <f aca="false">NORMSINV(Parametrlar!$B$8)*STDEV(VaR!B171:B420)-AVERAGE(VaR!B171:B420)</f>
        <v>0.0298752972202532</v>
      </c>
      <c r="D171" s="44" t="n">
        <f aca="false">IF(B171&lt;-C171,1,0)</f>
        <v>0</v>
      </c>
      <c r="H171" s="31" t="n">
        <f aca="false">-C171</f>
        <v>-0.0298752972202532</v>
      </c>
    </row>
    <row r="172" customFormat="false" ht="15" hidden="false" customHeight="false" outlineLevel="0" collapsed="false">
      <c r="A172" s="19" t="n">
        <f aca="false">VaR!A422</f>
        <v>45877</v>
      </c>
      <c r="B172" s="28" t="n">
        <f aca="false">VaR!B422</f>
        <v>0.00942739516807308</v>
      </c>
      <c r="C172" s="31" t="n">
        <f aca="false">NORMSINV(Parametrlar!$B$8)*STDEV(VaR!B172:B421)-AVERAGE(VaR!B172:B421)</f>
        <v>0.0297865479156211</v>
      </c>
      <c r="D172" s="44" t="n">
        <f aca="false">IF(B172&lt;-C172,1,0)</f>
        <v>0</v>
      </c>
      <c r="H172" s="31" t="n">
        <f aca="false">-C172</f>
        <v>-0.0297865479156211</v>
      </c>
    </row>
    <row r="173" customFormat="false" ht="15" hidden="false" customHeight="false" outlineLevel="0" collapsed="false">
      <c r="A173" s="19" t="n">
        <f aca="false">VaR!A423</f>
        <v>45880</v>
      </c>
      <c r="B173" s="28" t="n">
        <f aca="false">VaR!B423</f>
        <v>0.000148410859007114</v>
      </c>
      <c r="C173" s="31" t="n">
        <f aca="false">NORMSINV(Parametrlar!$B$8)*STDEV(VaR!B173:B422)-AVERAGE(VaR!B173:B422)</f>
        <v>0.0297369822693835</v>
      </c>
      <c r="D173" s="44" t="n">
        <f aca="false">IF(B173&lt;-C173,1,0)</f>
        <v>0</v>
      </c>
      <c r="H173" s="31" t="n">
        <f aca="false">-C173</f>
        <v>-0.0297369822693835</v>
      </c>
    </row>
    <row r="174" customFormat="false" ht="15" hidden="false" customHeight="false" outlineLevel="0" collapsed="false">
      <c r="A174" s="19" t="n">
        <f aca="false">VaR!A424</f>
        <v>45881</v>
      </c>
      <c r="B174" s="28" t="n">
        <f aca="false">VaR!B424</f>
        <v>0.0124703449513275</v>
      </c>
      <c r="C174" s="31" t="n">
        <f aca="false">NORMSINV(Parametrlar!$B$8)*STDEV(VaR!B174:B423)-AVERAGE(VaR!B174:B423)</f>
        <v>0.029737495731054</v>
      </c>
      <c r="D174" s="44" t="n">
        <f aca="false">IF(B174&lt;-C174,1,0)</f>
        <v>0</v>
      </c>
      <c r="H174" s="31" t="n">
        <f aca="false">-C174</f>
        <v>-0.029737495731054</v>
      </c>
    </row>
    <row r="175" customFormat="false" ht="15" hidden="false" customHeight="false" outlineLevel="0" collapsed="false">
      <c r="A175" s="19" t="n">
        <f aca="false">VaR!A425</f>
        <v>45882</v>
      </c>
      <c r="B175" s="28" t="n">
        <f aca="false">VaR!B425</f>
        <v>0.0200065258793323</v>
      </c>
      <c r="C175" s="31" t="n">
        <f aca="false">NORMSINV(Parametrlar!$B$8)*STDEV(VaR!B175:B424)-AVERAGE(VaR!B175:B424)</f>
        <v>0.0297383692019205</v>
      </c>
      <c r="D175" s="44" t="n">
        <f aca="false">IF(B175&lt;-C175,1,0)</f>
        <v>0</v>
      </c>
      <c r="H175" s="31" t="n">
        <f aca="false">-C175</f>
        <v>-0.0297383692019205</v>
      </c>
    </row>
    <row r="176" customFormat="false" ht="15" hidden="false" customHeight="false" outlineLevel="0" collapsed="false">
      <c r="A176" s="19" t="n">
        <f aca="false">VaR!A426</f>
        <v>45883</v>
      </c>
      <c r="B176" s="28" t="n">
        <f aca="false">VaR!B426</f>
        <v>-0.00156088194960805</v>
      </c>
      <c r="C176" s="31" t="n">
        <f aca="false">NORMSINV(Parametrlar!$B$8)*STDEV(VaR!B176:B425)-AVERAGE(VaR!B176:B425)</f>
        <v>0.0297922115408731</v>
      </c>
      <c r="D176" s="44" t="n">
        <f aca="false">IF(B176&lt;-C176,1,0)</f>
        <v>0</v>
      </c>
      <c r="H176" s="31" t="n">
        <f aca="false">-C176</f>
        <v>-0.0297922115408731</v>
      </c>
    </row>
    <row r="177" customFormat="false" ht="15" hidden="false" customHeight="false" outlineLevel="0" collapsed="false">
      <c r="A177" s="19" t="n">
        <f aca="false">VaR!A427</f>
        <v>45884</v>
      </c>
      <c r="B177" s="28" t="n">
        <f aca="false">VaR!B427</f>
        <v>-0.00866713675669182</v>
      </c>
      <c r="C177" s="31" t="n">
        <f aca="false">NORMSINV(Parametrlar!$B$8)*STDEV(VaR!B177:B426)-AVERAGE(VaR!B177:B426)</f>
        <v>0.0298107234967699</v>
      </c>
      <c r="D177" s="44" t="n">
        <f aca="false">IF(B177&lt;-C177,1,0)</f>
        <v>0</v>
      </c>
      <c r="H177" s="31" t="n">
        <f aca="false">-C177</f>
        <v>-0.0298107234967699</v>
      </c>
    </row>
    <row r="178" customFormat="false" ht="15" hidden="false" customHeight="false" outlineLevel="0" collapsed="false">
      <c r="A178" s="19" t="n">
        <f aca="false">VaR!A428</f>
        <v>45887</v>
      </c>
      <c r="B178" s="28" t="n">
        <f aca="false">VaR!B428</f>
        <v>0.00288429530093053</v>
      </c>
      <c r="C178" s="31" t="n">
        <f aca="false">NORMSINV(Parametrlar!$B$8)*STDEV(VaR!B178:B427)-AVERAGE(VaR!B178:B427)</f>
        <v>0.0298768784214864</v>
      </c>
      <c r="D178" s="44" t="n">
        <f aca="false">IF(B178&lt;-C178,1,0)</f>
        <v>0</v>
      </c>
      <c r="H178" s="31" t="n">
        <f aca="false">-C178</f>
        <v>-0.0298768784214864</v>
      </c>
    </row>
    <row r="179" customFormat="false" ht="15" hidden="false" customHeight="false" outlineLevel="0" collapsed="false">
      <c r="A179" s="19" t="n">
        <f aca="false">VaR!A429</f>
        <v>45888</v>
      </c>
      <c r="B179" s="28" t="n">
        <f aca="false">VaR!B429</f>
        <v>-0.0155751179549106</v>
      </c>
      <c r="C179" s="31" t="n">
        <f aca="false">NORMSINV(Parametrlar!$B$8)*STDEV(VaR!B179:B428)-AVERAGE(VaR!B179:B428)</f>
        <v>0.0298676552670886</v>
      </c>
      <c r="D179" s="44" t="n">
        <f aca="false">IF(B179&lt;-C179,1,0)</f>
        <v>0</v>
      </c>
      <c r="H179" s="31" t="n">
        <f aca="false">-C179</f>
        <v>-0.0298676552670886</v>
      </c>
    </row>
    <row r="180" customFormat="false" ht="15" hidden="false" customHeight="false" outlineLevel="0" collapsed="false">
      <c r="A180" s="19" t="n">
        <f aca="false">VaR!A430</f>
        <v>45889</v>
      </c>
      <c r="B180" s="28" t="n">
        <f aca="false">VaR!B430</f>
        <v>-0.00847845402292077</v>
      </c>
      <c r="C180" s="31" t="n">
        <f aca="false">NORMSINV(Parametrlar!$B$8)*STDEV(VaR!B180:B429)-AVERAGE(VaR!B180:B429)</f>
        <v>0.030004235486415</v>
      </c>
      <c r="D180" s="44" t="n">
        <f aca="false">IF(B180&lt;-C180,1,0)</f>
        <v>0</v>
      </c>
      <c r="H180" s="31" t="n">
        <f aca="false">-C180</f>
        <v>-0.030004235486415</v>
      </c>
    </row>
    <row r="181" customFormat="false" ht="15" hidden="false" customHeight="false" outlineLevel="0" collapsed="false">
      <c r="A181" s="19" t="n">
        <f aca="false">VaR!A431</f>
        <v>45890</v>
      </c>
      <c r="B181" s="28" t="n">
        <f aca="false">VaR!B431</f>
        <v>-0.00352746404087256</v>
      </c>
      <c r="C181" s="31" t="n">
        <f aca="false">NORMSINV(Parametrlar!$B$8)*STDEV(VaR!B181:B430)-AVERAGE(VaR!B181:B430)</f>
        <v>0.0300795523508579</v>
      </c>
      <c r="D181" s="44" t="n">
        <f aca="false">IF(B181&lt;-C181,1,0)</f>
        <v>0</v>
      </c>
      <c r="H181" s="31" t="n">
        <f aca="false">-C181</f>
        <v>-0.0300795523508579</v>
      </c>
    </row>
    <row r="182" customFormat="false" ht="15" hidden="false" customHeight="false" outlineLevel="0" collapsed="false">
      <c r="A182" s="19" t="n">
        <f aca="false">VaR!A432</f>
        <v>45891</v>
      </c>
      <c r="B182" s="28" t="n">
        <f aca="false">VaR!B432</f>
        <v>0.00738787709074795</v>
      </c>
      <c r="C182" s="31" t="n">
        <f aca="false">NORMSINV(Parametrlar!$B$8)*STDEV(VaR!B182:B431)-AVERAGE(VaR!B182:B431)</f>
        <v>0.0301168652480742</v>
      </c>
      <c r="D182" s="44" t="n">
        <f aca="false">IF(B182&lt;-C182,1,0)</f>
        <v>0</v>
      </c>
      <c r="H182" s="31" t="n">
        <f aca="false">-C182</f>
        <v>-0.0301168652480742</v>
      </c>
    </row>
    <row r="183" customFormat="false" ht="15" hidden="false" customHeight="false" outlineLevel="0" collapsed="false">
      <c r="A183" s="19" t="n">
        <f aca="false">VaR!A433</f>
        <v>45894</v>
      </c>
      <c r="B183" s="28" t="n">
        <f aca="false">VaR!B433</f>
        <v>-0.0177697765740963</v>
      </c>
      <c r="C183" s="31" t="n">
        <f aca="false">NORMSINV(Parametrlar!$B$8)*STDEV(VaR!B183:B432)-AVERAGE(VaR!B183:B432)</f>
        <v>0.029930596160947</v>
      </c>
      <c r="D183" s="44" t="n">
        <f aca="false">IF(B183&lt;-C183,1,0)</f>
        <v>0</v>
      </c>
      <c r="H183" s="31" t="n">
        <f aca="false">-C183</f>
        <v>-0.029930596160947</v>
      </c>
    </row>
    <row r="184" customFormat="false" ht="15" hidden="false" customHeight="false" outlineLevel="0" collapsed="false">
      <c r="A184" s="19" t="n">
        <f aca="false">VaR!A434</f>
        <v>45895</v>
      </c>
      <c r="B184" s="28" t="n">
        <f aca="false">VaR!B434</f>
        <v>-0.00596025105582381</v>
      </c>
      <c r="C184" s="31" t="n">
        <f aca="false">NORMSINV(Parametrlar!$B$8)*STDEV(VaR!B184:B433)-AVERAGE(VaR!B184:B433)</f>
        <v>0.0301421331979781</v>
      </c>
      <c r="D184" s="44" t="n">
        <f aca="false">IF(B184&lt;-C184,1,0)</f>
        <v>0</v>
      </c>
      <c r="H184" s="31" t="n">
        <f aca="false">-C184</f>
        <v>-0.0301421331979781</v>
      </c>
    </row>
    <row r="185" customFormat="false" ht="15" hidden="false" customHeight="false" outlineLevel="0" collapsed="false">
      <c r="A185" s="19" t="n">
        <f aca="false">VaR!A435</f>
        <v>45896</v>
      </c>
      <c r="B185" s="28" t="n">
        <f aca="false">VaR!B435</f>
        <v>0.0144757916245816</v>
      </c>
      <c r="C185" s="31" t="n">
        <f aca="false">NORMSINV(Parametrlar!$B$8)*STDEV(VaR!B185:B434)-AVERAGE(VaR!B185:B434)</f>
        <v>0.0301981346194611</v>
      </c>
      <c r="D185" s="44" t="n">
        <f aca="false">IF(B185&lt;-C185,1,0)</f>
        <v>0</v>
      </c>
      <c r="H185" s="31" t="n">
        <f aca="false">-C185</f>
        <v>-0.0301981346194611</v>
      </c>
    </row>
    <row r="186" customFormat="false" ht="15" hidden="false" customHeight="false" outlineLevel="0" collapsed="false">
      <c r="A186" s="19" t="n">
        <f aca="false">VaR!A436</f>
        <v>45897</v>
      </c>
      <c r="B186" s="28" t="n">
        <f aca="false">VaR!B436</f>
        <v>-0.00310075609751087</v>
      </c>
      <c r="C186" s="31" t="n">
        <f aca="false">NORMSINV(Parametrlar!$B$8)*STDEV(VaR!B186:B435)-AVERAGE(VaR!B186:B435)</f>
        <v>0.0301657984105812</v>
      </c>
      <c r="D186" s="44" t="n">
        <f aca="false">IF(B186&lt;-C186,1,0)</f>
        <v>0</v>
      </c>
      <c r="H186" s="31" t="n">
        <f aca="false">-C186</f>
        <v>-0.0301657984105812</v>
      </c>
    </row>
    <row r="187" customFormat="false" ht="15" hidden="false" customHeight="false" outlineLevel="0" collapsed="false">
      <c r="A187" s="19" t="n">
        <f aca="false">VaR!A437</f>
        <v>45898</v>
      </c>
      <c r="B187" s="28" t="n">
        <f aca="false">VaR!B437</f>
        <v>-0.000666130947500715</v>
      </c>
      <c r="C187" s="31" t="n">
        <f aca="false">NORMSINV(Parametrlar!$B$8)*STDEV(VaR!B187:B436)-AVERAGE(VaR!B187:B436)</f>
        <v>0.0301462459383131</v>
      </c>
      <c r="D187" s="44" t="n">
        <f aca="false">IF(B187&lt;-C187,1,0)</f>
        <v>0</v>
      </c>
      <c r="H187" s="31" t="n">
        <f aca="false">-C187</f>
        <v>-0.0301462459383131</v>
      </c>
    </row>
    <row r="188" customFormat="false" ht="15" hidden="false" customHeight="false" outlineLevel="0" collapsed="false">
      <c r="A188" s="19" t="n">
        <f aca="false">VaR!A438</f>
        <v>45901</v>
      </c>
      <c r="B188" s="28" t="n">
        <f aca="false">VaR!B438</f>
        <v>0.0010811909474169</v>
      </c>
      <c r="C188" s="31" t="n">
        <f aca="false">NORMSINV(Parametrlar!$B$8)*STDEV(VaR!B188:B437)-AVERAGE(VaR!B188:B437)</f>
        <v>0.0300737164335798</v>
      </c>
      <c r="D188" s="44" t="n">
        <f aca="false">IF(B188&lt;-C188,1,0)</f>
        <v>0</v>
      </c>
      <c r="H188" s="31" t="n">
        <f aca="false">-C188</f>
        <v>-0.0300737164335798</v>
      </c>
    </row>
    <row r="189" customFormat="false" ht="15" hidden="false" customHeight="false" outlineLevel="0" collapsed="false">
      <c r="A189" s="19" t="n">
        <f aca="false">VaR!A439</f>
        <v>45902</v>
      </c>
      <c r="B189" s="28" t="n">
        <f aca="false">VaR!B439</f>
        <v>0.00812654939204799</v>
      </c>
      <c r="C189" s="31" t="n">
        <f aca="false">NORMSINV(Parametrlar!$B$8)*STDEV(VaR!B189:B438)-AVERAGE(VaR!B189:B438)</f>
        <v>0.0300519109412243</v>
      </c>
      <c r="D189" s="44" t="n">
        <f aca="false">IF(B189&lt;-C189,1,0)</f>
        <v>0</v>
      </c>
      <c r="H189" s="31" t="n">
        <f aca="false">-C189</f>
        <v>-0.0300519109412243</v>
      </c>
    </row>
    <row r="190" customFormat="false" ht="15" hidden="false" customHeight="false" outlineLevel="0" collapsed="false">
      <c r="A190" s="19" t="n">
        <f aca="false">VaR!A440</f>
        <v>45903</v>
      </c>
      <c r="B190" s="28" t="n">
        <f aca="false">VaR!B440</f>
        <v>0.00628954559439277</v>
      </c>
      <c r="C190" s="31" t="n">
        <f aca="false">NORMSINV(Parametrlar!$B$8)*STDEV(VaR!B190:B439)-AVERAGE(VaR!B190:B439)</f>
        <v>0.0300309960218639</v>
      </c>
      <c r="D190" s="44" t="n">
        <f aca="false">IF(B190&lt;-C190,1,0)</f>
        <v>0</v>
      </c>
      <c r="H190" s="31" t="n">
        <f aca="false">-C190</f>
        <v>-0.0300309960218639</v>
      </c>
    </row>
    <row r="191" customFormat="false" ht="15" hidden="false" customHeight="false" outlineLevel="0" collapsed="false">
      <c r="A191" s="19" t="n">
        <f aca="false">VaR!A441</f>
        <v>45904</v>
      </c>
      <c r="B191" s="28" t="n">
        <f aca="false">VaR!B441</f>
        <v>0.005307485656391</v>
      </c>
      <c r="C191" s="31" t="n">
        <f aca="false">NORMSINV(Parametrlar!$B$8)*STDEV(VaR!B191:B440)-AVERAGE(VaR!B191:B440)</f>
        <v>0.0300102966454885</v>
      </c>
      <c r="D191" s="44" t="n">
        <f aca="false">IF(B191&lt;-C191,1,0)</f>
        <v>0</v>
      </c>
      <c r="H191" s="31" t="n">
        <f aca="false">-C191</f>
        <v>-0.0300102966454885</v>
      </c>
    </row>
    <row r="192" customFormat="false" ht="15" hidden="false" customHeight="false" outlineLevel="0" collapsed="false">
      <c r="A192" s="19" t="n">
        <f aca="false">VaR!A442</f>
        <v>45905</v>
      </c>
      <c r="B192" s="28" t="n">
        <f aca="false">VaR!B442</f>
        <v>-0.00810000996065817</v>
      </c>
      <c r="C192" s="31" t="n">
        <f aca="false">NORMSINV(Parametrlar!$B$8)*STDEV(VaR!B192:B441)-AVERAGE(VaR!B192:B441)</f>
        <v>0.0300109076167394</v>
      </c>
      <c r="D192" s="44" t="n">
        <f aca="false">IF(B192&lt;-C192,1,0)</f>
        <v>0</v>
      </c>
      <c r="H192" s="31" t="n">
        <f aca="false">-C192</f>
        <v>-0.0300109076167394</v>
      </c>
    </row>
    <row r="193" customFormat="false" ht="15" hidden="false" customHeight="false" outlineLevel="0" collapsed="false">
      <c r="A193" s="19" t="n">
        <f aca="false">VaR!A443</f>
        <v>45908</v>
      </c>
      <c r="B193" s="28" t="n">
        <f aca="false">VaR!B443</f>
        <v>-0.00168122124154653</v>
      </c>
      <c r="C193" s="31" t="n">
        <f aca="false">NORMSINV(Parametrlar!$B$8)*STDEV(VaR!B193:B442)-AVERAGE(VaR!B193:B442)</f>
        <v>0.0300793412670189</v>
      </c>
      <c r="D193" s="44" t="n">
        <f aca="false">IF(B193&lt;-C193,1,0)</f>
        <v>0</v>
      </c>
      <c r="H193" s="31" t="n">
        <f aca="false">-C193</f>
        <v>-0.0300793412670189</v>
      </c>
    </row>
    <row r="194" customFormat="false" ht="15" hidden="false" customHeight="false" outlineLevel="0" collapsed="false">
      <c r="A194" s="19" t="n">
        <f aca="false">VaR!A444</f>
        <v>45909</v>
      </c>
      <c r="B194" s="28" t="n">
        <f aca="false">VaR!B444</f>
        <v>-0.0380978533337075</v>
      </c>
      <c r="C194" s="31" t="n">
        <f aca="false">NORMSINV(Parametrlar!$B$8)*STDEV(VaR!B194:B443)-AVERAGE(VaR!B194:B443)</f>
        <v>0.0301038527840537</v>
      </c>
      <c r="D194" s="44" t="n">
        <f aca="false">IF(B194&lt;-C194,1,0)</f>
        <v>1</v>
      </c>
      <c r="H194" s="31" t="n">
        <f aca="false">-C194</f>
        <v>-0.0301038527840537</v>
      </c>
    </row>
    <row r="195" customFormat="false" ht="15" hidden="false" customHeight="false" outlineLevel="0" collapsed="false">
      <c r="A195" s="19" t="n">
        <f aca="false">VaR!A445</f>
        <v>45910</v>
      </c>
      <c r="B195" s="28" t="n">
        <f aca="false">VaR!B445</f>
        <v>0.0168044604733137</v>
      </c>
      <c r="C195" s="31" t="n">
        <f aca="false">NORMSINV(Parametrlar!$B$8)*STDEV(VaR!B195:B444)-AVERAGE(VaR!B195:B444)</f>
        <v>0.0307717293432071</v>
      </c>
      <c r="D195" s="44" t="n">
        <f aca="false">IF(B195&lt;-C195,1,0)</f>
        <v>0</v>
      </c>
      <c r="H195" s="31" t="n">
        <f aca="false">-C195</f>
        <v>-0.0307717293432071</v>
      </c>
    </row>
    <row r="196" customFormat="false" ht="15" hidden="false" customHeight="false" outlineLevel="0" collapsed="false">
      <c r="A196" s="19" t="n">
        <f aca="false">VaR!A446</f>
        <v>45911</v>
      </c>
      <c r="B196" s="28" t="n">
        <f aca="false">VaR!B446</f>
        <v>-0.0117984288484517</v>
      </c>
      <c r="C196" s="31" t="n">
        <f aca="false">NORMSINV(Parametrlar!$B$8)*STDEV(VaR!B196:B445)-AVERAGE(VaR!B196:B445)</f>
        <v>0.0307960755299567</v>
      </c>
      <c r="D196" s="44" t="n">
        <f aca="false">IF(B196&lt;-C196,1,0)</f>
        <v>0</v>
      </c>
      <c r="H196" s="31" t="n">
        <f aca="false">-C196</f>
        <v>-0.0307960755299567</v>
      </c>
    </row>
    <row r="197" customFormat="false" ht="15" hidden="false" customHeight="false" outlineLevel="0" collapsed="false">
      <c r="A197" s="19" t="n">
        <f aca="false">VaR!A447</f>
        <v>45912</v>
      </c>
      <c r="B197" s="28" t="n">
        <f aca="false">VaR!B447</f>
        <v>0.0124741394297771</v>
      </c>
      <c r="C197" s="31" t="n">
        <f aca="false">NORMSINV(Parametrlar!$B$8)*STDEV(VaR!B197:B446)-AVERAGE(VaR!B197:B446)</f>
        <v>0.0308387571194247</v>
      </c>
      <c r="D197" s="44" t="n">
        <f aca="false">IF(B197&lt;-C197,1,0)</f>
        <v>0</v>
      </c>
      <c r="H197" s="31" t="n">
        <f aca="false">-C197</f>
        <v>-0.0308387571194247</v>
      </c>
    </row>
    <row r="198" customFormat="false" ht="15" hidden="false" customHeight="false" outlineLevel="0" collapsed="false">
      <c r="A198" s="19" t="n">
        <f aca="false">VaR!A448</f>
        <v>45915</v>
      </c>
      <c r="B198" s="28" t="n">
        <f aca="false">VaR!B448</f>
        <v>0.0111071442969342</v>
      </c>
      <c r="C198" s="31" t="n">
        <f aca="false">NORMSINV(Parametrlar!$B$8)*STDEV(VaR!B198:B447)-AVERAGE(VaR!B198:B447)</f>
        <v>0.0307766360276075</v>
      </c>
      <c r="D198" s="44" t="n">
        <f aca="false">IF(B198&lt;-C198,1,0)</f>
        <v>0</v>
      </c>
      <c r="H198" s="31" t="n">
        <f aca="false">-C198</f>
        <v>-0.0307766360276075</v>
      </c>
    </row>
    <row r="199" customFormat="false" ht="15" hidden="false" customHeight="false" outlineLevel="0" collapsed="false">
      <c r="A199" s="19" t="n">
        <f aca="false">VaR!A449</f>
        <v>45916</v>
      </c>
      <c r="B199" s="28" t="n">
        <f aca="false">VaR!B449</f>
        <v>-0.00526845880417837</v>
      </c>
      <c r="C199" s="31" t="n">
        <f aca="false">NORMSINV(Parametrlar!$B$8)*STDEV(VaR!B199:B448)-AVERAGE(VaR!B199:B448)</f>
        <v>0.0307822557885272</v>
      </c>
      <c r="D199" s="44" t="n">
        <f aca="false">IF(B199&lt;-C199,1,0)</f>
        <v>0</v>
      </c>
      <c r="H199" s="31" t="n">
        <f aca="false">-C199</f>
        <v>-0.0307822557885272</v>
      </c>
    </row>
    <row r="200" customFormat="false" ht="15" hidden="false" customHeight="false" outlineLevel="0" collapsed="false">
      <c r="A200" s="19" t="n">
        <f aca="false">VaR!A450</f>
        <v>45917</v>
      </c>
      <c r="B200" s="28" t="n">
        <f aca="false">VaR!B450</f>
        <v>0.0154635606455477</v>
      </c>
      <c r="C200" s="31" t="n">
        <f aca="false">NORMSINV(Parametrlar!$B$8)*STDEV(VaR!B200:B449)-AVERAGE(VaR!B200:B449)</f>
        <v>0.0308300291642988</v>
      </c>
      <c r="D200" s="44" t="n">
        <f aca="false">IF(B200&lt;-C200,1,0)</f>
        <v>0</v>
      </c>
      <c r="H200" s="31" t="n">
        <f aca="false">-C200</f>
        <v>-0.0308300291642988</v>
      </c>
    </row>
    <row r="201" customFormat="false" ht="15" hidden="false" customHeight="false" outlineLevel="0" collapsed="false">
      <c r="A201" s="19" t="n">
        <f aca="false">VaR!A451</f>
        <v>45918</v>
      </c>
      <c r="B201" s="28" t="n">
        <f aca="false">VaR!B451</f>
        <v>-0.00586550730519347</v>
      </c>
      <c r="C201" s="31" t="n">
        <f aca="false">NORMSINV(Parametrlar!$B$8)*STDEV(VaR!B201:B450)-AVERAGE(VaR!B201:B450)</f>
        <v>0.0307907350029168</v>
      </c>
      <c r="D201" s="44" t="n">
        <f aca="false">IF(B201&lt;-C201,1,0)</f>
        <v>0</v>
      </c>
      <c r="H201" s="31" t="n">
        <f aca="false">-C201</f>
        <v>-0.0307907350029168</v>
      </c>
    </row>
    <row r="202" customFormat="false" ht="15" hidden="false" customHeight="false" outlineLevel="0" collapsed="false">
      <c r="A202" s="19" t="n">
        <f aca="false">VaR!A452</f>
        <v>45919</v>
      </c>
      <c r="B202" s="28" t="n">
        <f aca="false">VaR!B452</f>
        <v>-0.0109976792311577</v>
      </c>
      <c r="C202" s="31" t="n">
        <f aca="false">NORMSINV(Parametrlar!$B$8)*STDEV(VaR!B202:B451)-AVERAGE(VaR!B202:B451)</f>
        <v>0.0308465739904343</v>
      </c>
      <c r="D202" s="44" t="n">
        <f aca="false">IF(B202&lt;-C202,1,0)</f>
        <v>0</v>
      </c>
      <c r="H202" s="31" t="n">
        <f aca="false">-C202</f>
        <v>-0.0308465739904343</v>
      </c>
    </row>
    <row r="203" customFormat="false" ht="15" hidden="false" customHeight="false" outlineLevel="0" collapsed="false">
      <c r="A203" s="19" t="n">
        <f aca="false">VaR!A453</f>
        <v>45922</v>
      </c>
      <c r="B203" s="28" t="n">
        <f aca="false">VaR!B453</f>
        <v>-0.000787891159229804</v>
      </c>
      <c r="C203" s="31" t="n">
        <f aca="false">NORMSINV(Parametrlar!$B$8)*STDEV(VaR!B203:B452)-AVERAGE(VaR!B203:B452)</f>
        <v>0.0308747320787828</v>
      </c>
      <c r="D203" s="44" t="n">
        <f aca="false">IF(B203&lt;-C203,1,0)</f>
        <v>0</v>
      </c>
      <c r="H203" s="31" t="n">
        <f aca="false">-C203</f>
        <v>-0.0308747320787828</v>
      </c>
    </row>
    <row r="204" customFormat="false" ht="15" hidden="false" customHeight="false" outlineLevel="0" collapsed="false">
      <c r="A204" s="19" t="n">
        <f aca="false">VaR!A454</f>
        <v>45923</v>
      </c>
      <c r="B204" s="28" t="n">
        <f aca="false">VaR!B454</f>
        <v>-0.00137165903488687</v>
      </c>
      <c r="C204" s="31" t="n">
        <f aca="false">NORMSINV(Parametrlar!$B$8)*STDEV(VaR!B204:B453)-AVERAGE(VaR!B204:B453)</f>
        <v>0.0308825052786672</v>
      </c>
      <c r="D204" s="44" t="n">
        <f aca="false">IF(B204&lt;-C204,1,0)</f>
        <v>0</v>
      </c>
      <c r="H204" s="31" t="n">
        <f aca="false">-C204</f>
        <v>-0.0308825052786672</v>
      </c>
    </row>
    <row r="205" customFormat="false" ht="15" hidden="false" customHeight="false" outlineLevel="0" collapsed="false">
      <c r="A205" s="19" t="n">
        <f aca="false">VaR!A455</f>
        <v>45924</v>
      </c>
      <c r="B205" s="28" t="n">
        <f aca="false">VaR!B455</f>
        <v>-0.000644778924440775</v>
      </c>
      <c r="C205" s="31" t="n">
        <f aca="false">NORMSINV(Parametrlar!$B$8)*STDEV(VaR!B205:B454)-AVERAGE(VaR!B205:B454)</f>
        <v>0.0309033922306402</v>
      </c>
      <c r="D205" s="44" t="n">
        <f aca="false">IF(B205&lt;-C205,1,0)</f>
        <v>0</v>
      </c>
      <c r="H205" s="31" t="n">
        <f aca="false">-C205</f>
        <v>-0.0309033922306402</v>
      </c>
    </row>
    <row r="206" customFormat="false" ht="15" hidden="false" customHeight="false" outlineLevel="0" collapsed="false">
      <c r="A206" s="19" t="n">
        <f aca="false">VaR!A456</f>
        <v>45925</v>
      </c>
      <c r="B206" s="28" t="n">
        <f aca="false">VaR!B456</f>
        <v>0.00651722438114267</v>
      </c>
      <c r="C206" s="31" t="n">
        <f aca="false">NORMSINV(Parametrlar!$B$8)*STDEV(VaR!B206:B455)-AVERAGE(VaR!B206:B455)</f>
        <v>0.0309134339842773</v>
      </c>
      <c r="D206" s="44" t="n">
        <f aca="false">IF(B206&lt;-C206,1,0)</f>
        <v>0</v>
      </c>
      <c r="H206" s="31" t="n">
        <f aca="false">-C206</f>
        <v>-0.0309134339842773</v>
      </c>
    </row>
    <row r="207" customFormat="false" ht="15" hidden="false" customHeight="false" outlineLevel="0" collapsed="false">
      <c r="A207" s="19" t="n">
        <f aca="false">VaR!A457</f>
        <v>45926</v>
      </c>
      <c r="B207" s="28" t="n">
        <f aca="false">VaR!B457</f>
        <v>0.0019403348998383</v>
      </c>
      <c r="C207" s="31" t="n">
        <f aca="false">NORMSINV(Parametrlar!$B$8)*STDEV(VaR!B207:B456)-AVERAGE(VaR!B207:B456)</f>
        <v>0.0308962285940497</v>
      </c>
      <c r="D207" s="44" t="n">
        <f aca="false">IF(B207&lt;-C207,1,0)</f>
        <v>0</v>
      </c>
      <c r="H207" s="31" t="n">
        <f aca="false">-C207</f>
        <v>-0.0308962285940497</v>
      </c>
    </row>
    <row r="208" customFormat="false" ht="15" hidden="false" customHeight="false" outlineLevel="0" collapsed="false">
      <c r="A208" s="19" t="n">
        <f aca="false">VaR!A458</f>
        <v>45929</v>
      </c>
      <c r="B208" s="28" t="n">
        <f aca="false">VaR!B458</f>
        <v>-0.00465891839657852</v>
      </c>
      <c r="C208" s="31" t="n">
        <f aca="false">NORMSINV(Parametrlar!$B$8)*STDEV(VaR!B208:B457)-AVERAGE(VaR!B208:B457)</f>
        <v>0.0308964371929257</v>
      </c>
      <c r="D208" s="44" t="n">
        <f aca="false">IF(B208&lt;-C208,1,0)</f>
        <v>0</v>
      </c>
      <c r="H208" s="31" t="n">
        <f aca="false">-C208</f>
        <v>-0.0308964371929257</v>
      </c>
    </row>
    <row r="209" customFormat="false" ht="15" hidden="false" customHeight="false" outlineLevel="0" collapsed="false">
      <c r="A209" s="19" t="n">
        <f aca="false">VaR!A459</f>
        <v>45930</v>
      </c>
      <c r="B209" s="28" t="n">
        <f aca="false">VaR!B459</f>
        <v>-0.00323663722777892</v>
      </c>
      <c r="C209" s="31" t="n">
        <f aca="false">NORMSINV(Parametrlar!$B$8)*STDEV(VaR!B209:B458)-AVERAGE(VaR!B209:B458)</f>
        <v>0.03094135317465</v>
      </c>
      <c r="D209" s="44" t="n">
        <f aca="false">IF(B209&lt;-C209,1,0)</f>
        <v>0</v>
      </c>
      <c r="H209" s="31" t="n">
        <f aca="false">-C209</f>
        <v>-0.03094135317465</v>
      </c>
    </row>
    <row r="210" customFormat="false" ht="15" hidden="false" customHeight="false" outlineLevel="0" collapsed="false">
      <c r="A210" s="19" t="n">
        <f aca="false">VaR!A460</f>
        <v>45931</v>
      </c>
      <c r="B210" s="28" t="n">
        <f aca="false">VaR!B460</f>
        <v>0.0105101725809172</v>
      </c>
      <c r="C210" s="31" t="n">
        <f aca="false">NORMSINV(Parametrlar!$B$8)*STDEV(VaR!B210:B459)-AVERAGE(VaR!B210:B459)</f>
        <v>0.0309395178608565</v>
      </c>
      <c r="D210" s="44" t="n">
        <f aca="false">IF(B210&lt;-C210,1,0)</f>
        <v>0</v>
      </c>
      <c r="H210" s="31" t="n">
        <f aca="false">-C210</f>
        <v>-0.0309395178608565</v>
      </c>
    </row>
    <row r="211" customFormat="false" ht="15" hidden="false" customHeight="false" outlineLevel="0" collapsed="false">
      <c r="A211" s="19" t="n">
        <f aca="false">VaR!A461</f>
        <v>45932</v>
      </c>
      <c r="B211" s="28" t="n">
        <f aca="false">VaR!B461</f>
        <v>-0.011372459680036</v>
      </c>
      <c r="C211" s="31" t="n">
        <f aca="false">NORMSINV(Parametrlar!$B$8)*STDEV(VaR!B211:B460)-AVERAGE(VaR!B211:B460)</f>
        <v>0.0308538747944723</v>
      </c>
      <c r="D211" s="44" t="n">
        <f aca="false">IF(B211&lt;-C211,1,0)</f>
        <v>0</v>
      </c>
      <c r="H211" s="31" t="n">
        <f aca="false">-C211</f>
        <v>-0.0308538747944723</v>
      </c>
    </row>
    <row r="212" customFormat="false" ht="15" hidden="false" customHeight="false" outlineLevel="0" collapsed="false">
      <c r="A212" s="19" t="n">
        <f aca="false">VaR!A462</f>
        <v>45933</v>
      </c>
      <c r="B212" s="28" t="n">
        <f aca="false">VaR!B462</f>
        <v>0.00044381760981313</v>
      </c>
      <c r="C212" s="31" t="n">
        <f aca="false">NORMSINV(Parametrlar!$B$8)*STDEV(VaR!B212:B461)-AVERAGE(VaR!B212:B461)</f>
        <v>0.0309677304859888</v>
      </c>
      <c r="D212" s="44" t="n">
        <f aca="false">IF(B212&lt;-C212,1,0)</f>
        <v>0</v>
      </c>
      <c r="H212" s="31" t="n">
        <f aca="false">-C212</f>
        <v>-0.0309677304859888</v>
      </c>
    </row>
    <row r="213" customFormat="false" ht="15" hidden="false" customHeight="false" outlineLevel="0" collapsed="false">
      <c r="A213" s="19" t="n">
        <f aca="false">VaR!A463</f>
        <v>45936</v>
      </c>
      <c r="B213" s="28" t="n">
        <f aca="false">VaR!B463</f>
        <v>0.000508332144715728</v>
      </c>
      <c r="C213" s="31" t="n">
        <f aca="false">NORMSINV(Parametrlar!$B$8)*STDEV(VaR!B213:B462)-AVERAGE(VaR!B213:B462)</f>
        <v>0.0309103445892348</v>
      </c>
      <c r="D213" s="44" t="n">
        <f aca="false">IF(B213&lt;-C213,1,0)</f>
        <v>0</v>
      </c>
      <c r="H213" s="31" t="n">
        <f aca="false">-C213</f>
        <v>-0.0309103445892348</v>
      </c>
    </row>
    <row r="214" customFormat="false" ht="15" hidden="false" customHeight="false" outlineLevel="0" collapsed="false">
      <c r="A214" s="19" t="n">
        <f aca="false">VaR!A464</f>
        <v>45937</v>
      </c>
      <c r="B214" s="28" t="n">
        <f aca="false">VaR!B464</f>
        <v>-0.0167132524845047</v>
      </c>
      <c r="C214" s="31" t="n">
        <f aca="false">NORMSINV(Parametrlar!$B$8)*STDEV(VaR!B214:B463)-AVERAGE(VaR!B214:B463)</f>
        <v>0.0309234516822417</v>
      </c>
      <c r="D214" s="44" t="n">
        <f aca="false">IF(B214&lt;-C214,1,0)</f>
        <v>0</v>
      </c>
      <c r="H214" s="31" t="n">
        <f aca="false">-C214</f>
        <v>-0.0309234516822417</v>
      </c>
    </row>
    <row r="215" customFormat="false" ht="15" hidden="false" customHeight="false" outlineLevel="0" collapsed="false">
      <c r="A215" s="19" t="n">
        <f aca="false">VaR!A465</f>
        <v>45938</v>
      </c>
      <c r="B215" s="28" t="n">
        <f aca="false">VaR!B465</f>
        <v>-0.0126166793573924</v>
      </c>
      <c r="C215" s="31" t="n">
        <f aca="false">NORMSINV(Parametrlar!$B$8)*STDEV(VaR!B215:B464)-AVERAGE(VaR!B215:B464)</f>
        <v>0.0310556211131369</v>
      </c>
      <c r="D215" s="44" t="n">
        <f aca="false">IF(B215&lt;-C215,1,0)</f>
        <v>0</v>
      </c>
      <c r="H215" s="31" t="n">
        <f aca="false">-C215</f>
        <v>-0.0310556211131369</v>
      </c>
    </row>
    <row r="216" customFormat="false" ht="15" hidden="false" customHeight="false" outlineLevel="0" collapsed="false">
      <c r="A216" s="19" t="n">
        <f aca="false">VaR!A466</f>
        <v>45939</v>
      </c>
      <c r="B216" s="28" t="n">
        <f aca="false">VaR!B466</f>
        <v>0.0167930040963545</v>
      </c>
      <c r="C216" s="31" t="n">
        <f aca="false">NORMSINV(Parametrlar!$B$8)*STDEV(VaR!B216:B465)-AVERAGE(VaR!B216:B465)</f>
        <v>0.0311515730625129</v>
      </c>
      <c r="D216" s="44" t="n">
        <f aca="false">IF(B216&lt;-C216,1,0)</f>
        <v>0</v>
      </c>
      <c r="H216" s="31" t="n">
        <f aca="false">-C216</f>
        <v>-0.0311515730625129</v>
      </c>
    </row>
    <row r="217" customFormat="false" ht="15" hidden="false" customHeight="false" outlineLevel="0" collapsed="false">
      <c r="A217" s="19" t="n">
        <f aca="false">VaR!A467</f>
        <v>45940</v>
      </c>
      <c r="B217" s="28" t="n">
        <f aca="false">VaR!B467</f>
        <v>0.0101736074423489</v>
      </c>
      <c r="C217" s="31" t="n">
        <f aca="false">NORMSINV(Parametrlar!$B$8)*STDEV(VaR!B217:B466)-AVERAGE(VaR!B217:B466)</f>
        <v>0.0311520506866578</v>
      </c>
      <c r="D217" s="44" t="n">
        <f aca="false">IF(B217&lt;-C217,1,0)</f>
        <v>0</v>
      </c>
      <c r="H217" s="31" t="n">
        <f aca="false">-C217</f>
        <v>-0.0311520506866578</v>
      </c>
    </row>
    <row r="218" customFormat="false" ht="15" hidden="false" customHeight="false" outlineLevel="0" collapsed="false">
      <c r="A218" s="19" t="n">
        <f aca="false">VaR!A468</f>
        <v>45943</v>
      </c>
      <c r="B218" s="28" t="n">
        <f aca="false">VaR!B468</f>
        <v>0.00922118712844503</v>
      </c>
      <c r="C218" s="31" t="n">
        <f aca="false">NORMSINV(Parametrlar!$B$8)*STDEV(VaR!B218:B467)-AVERAGE(VaR!B218:B467)</f>
        <v>0.0311464738277381</v>
      </c>
      <c r="D218" s="44" t="n">
        <f aca="false">IF(B218&lt;-C218,1,0)</f>
        <v>0</v>
      </c>
      <c r="H218" s="31" t="n">
        <f aca="false">-C218</f>
        <v>-0.0311464738277381</v>
      </c>
    </row>
    <row r="219" customFormat="false" ht="15" hidden="false" customHeight="false" outlineLevel="0" collapsed="false">
      <c r="A219" s="19" t="n">
        <f aca="false">VaR!A469</f>
        <v>45944</v>
      </c>
      <c r="B219" s="28" t="n">
        <f aca="false">VaR!B469</f>
        <v>0.00421365955716173</v>
      </c>
      <c r="C219" s="31" t="n">
        <f aca="false">NORMSINV(Parametrlar!$B$8)*STDEV(VaR!B219:B468)-AVERAGE(VaR!B219:B468)</f>
        <v>0.0311378614231892</v>
      </c>
      <c r="D219" s="44" t="n">
        <f aca="false">IF(B219&lt;-C219,1,0)</f>
        <v>0</v>
      </c>
      <c r="H219" s="31" t="n">
        <f aca="false">-C219</f>
        <v>-0.0311378614231892</v>
      </c>
    </row>
    <row r="220" customFormat="false" ht="15" hidden="false" customHeight="false" outlineLevel="0" collapsed="false">
      <c r="A220" s="19" t="n">
        <f aca="false">VaR!A470</f>
        <v>45945</v>
      </c>
      <c r="B220" s="28" t="n">
        <f aca="false">VaR!B470</f>
        <v>-0.0181700171864625</v>
      </c>
      <c r="C220" s="31" t="n">
        <f aca="false">NORMSINV(Parametrlar!$B$8)*STDEV(VaR!B220:B469)-AVERAGE(VaR!B220:B469)</f>
        <v>0.0311376945850402</v>
      </c>
      <c r="D220" s="44" t="n">
        <f aca="false">IF(B220&lt;-C220,1,0)</f>
        <v>0</v>
      </c>
      <c r="H220" s="31" t="n">
        <f aca="false">-C220</f>
        <v>-0.0311376945850402</v>
      </c>
    </row>
    <row r="221" customFormat="false" ht="15" hidden="false" customHeight="false" outlineLevel="0" collapsed="false">
      <c r="A221" s="19" t="n">
        <f aca="false">VaR!A471</f>
        <v>45946</v>
      </c>
      <c r="B221" s="28" t="n">
        <f aca="false">VaR!B471</f>
        <v>-0.000632680837430206</v>
      </c>
      <c r="C221" s="31" t="n">
        <f aca="false">NORMSINV(Parametrlar!$B$8)*STDEV(VaR!B221:B470)-AVERAGE(VaR!B221:B470)</f>
        <v>0.0313065082714042</v>
      </c>
      <c r="D221" s="44" t="n">
        <f aca="false">IF(B221&lt;-C221,1,0)</f>
        <v>0</v>
      </c>
      <c r="H221" s="31" t="n">
        <f aca="false">-C221</f>
        <v>-0.0313065082714042</v>
      </c>
    </row>
    <row r="222" customFormat="false" ht="15" hidden="false" customHeight="false" outlineLevel="0" collapsed="false">
      <c r="A222" s="19" t="n">
        <f aca="false">VaR!A472</f>
        <v>45947</v>
      </c>
      <c r="B222" s="28" t="n">
        <f aca="false">VaR!B472</f>
        <v>-0.00164098119041884</v>
      </c>
      <c r="C222" s="31" t="n">
        <f aca="false">NORMSINV(Parametrlar!$B$8)*STDEV(VaR!B222:B471)-AVERAGE(VaR!B222:B471)</f>
        <v>0.0313249808158836</v>
      </c>
      <c r="D222" s="44" t="n">
        <f aca="false">IF(B222&lt;-C222,1,0)</f>
        <v>0</v>
      </c>
      <c r="H222" s="31" t="n">
        <f aca="false">-C222</f>
        <v>-0.0313249808158836</v>
      </c>
    </row>
    <row r="223" customFormat="false" ht="15" hidden="false" customHeight="false" outlineLevel="0" collapsed="false">
      <c r="A223" s="19" t="n">
        <f aca="false">VaR!A473</f>
        <v>45950</v>
      </c>
      <c r="B223" s="28" t="n">
        <f aca="false">VaR!B473</f>
        <v>-0.000251577589445929</v>
      </c>
      <c r="C223" s="31" t="n">
        <f aca="false">NORMSINV(Parametrlar!$B$8)*STDEV(VaR!B223:B472)-AVERAGE(VaR!B223:B472)</f>
        <v>0.0312558826038599</v>
      </c>
      <c r="D223" s="44" t="n">
        <f aca="false">IF(B223&lt;-C223,1,0)</f>
        <v>0</v>
      </c>
      <c r="H223" s="31" t="n">
        <f aca="false">-C223</f>
        <v>-0.0312558826038599</v>
      </c>
    </row>
    <row r="224" customFormat="false" ht="15" hidden="false" customHeight="false" outlineLevel="0" collapsed="false">
      <c r="A224" s="19" t="n">
        <f aca="false">VaR!A474</f>
        <v>45951</v>
      </c>
      <c r="B224" s="28" t="n">
        <f aca="false">VaR!B474</f>
        <v>0.00355652144883907</v>
      </c>
      <c r="C224" s="31" t="n">
        <f aca="false">NORMSINV(Parametrlar!$B$8)*STDEV(VaR!B224:B473)-AVERAGE(VaR!B224:B473)</f>
        <v>0.0312399548159522</v>
      </c>
      <c r="D224" s="44" t="n">
        <f aca="false">IF(B224&lt;-C224,1,0)</f>
        <v>0</v>
      </c>
      <c r="H224" s="31" t="n">
        <f aca="false">-C224</f>
        <v>-0.0312399548159522</v>
      </c>
    </row>
    <row r="225" customFormat="false" ht="15" hidden="false" customHeight="false" outlineLevel="0" collapsed="false">
      <c r="A225" s="19" t="n">
        <f aca="false">VaR!A475</f>
        <v>45952</v>
      </c>
      <c r="B225" s="28" t="n">
        <f aca="false">VaR!B475</f>
        <v>0.00702209214811121</v>
      </c>
      <c r="C225" s="31" t="n">
        <f aca="false">NORMSINV(Parametrlar!$B$8)*STDEV(VaR!B225:B474)-AVERAGE(VaR!B225:B474)</f>
        <v>0.0311935326938056</v>
      </c>
      <c r="D225" s="44" t="n">
        <f aca="false">IF(B225&lt;-C225,1,0)</f>
        <v>0</v>
      </c>
      <c r="H225" s="31" t="n">
        <f aca="false">-C225</f>
        <v>-0.0311935326938056</v>
      </c>
    </row>
    <row r="226" customFormat="false" ht="15" hidden="false" customHeight="false" outlineLevel="0" collapsed="false">
      <c r="A226" s="19" t="n">
        <f aca="false">VaR!A476</f>
        <v>45953</v>
      </c>
      <c r="B226" s="28" t="n">
        <f aca="false">VaR!B476</f>
        <v>-0.0100424544966052</v>
      </c>
      <c r="C226" s="31" t="n">
        <f aca="false">NORMSINV(Parametrlar!$B$8)*STDEV(VaR!B226:B475)-AVERAGE(VaR!B226:B475)</f>
        <v>0.0311898920753882</v>
      </c>
      <c r="D226" s="44" t="n">
        <f aca="false">IF(B226&lt;-C226,1,0)</f>
        <v>0</v>
      </c>
      <c r="H226" s="31" t="n">
        <f aca="false">-C226</f>
        <v>-0.0311898920753882</v>
      </c>
    </row>
    <row r="227" customFormat="false" ht="15" hidden="false" customHeight="false" outlineLevel="0" collapsed="false">
      <c r="A227" s="19" t="n">
        <f aca="false">VaR!A477</f>
        <v>45954</v>
      </c>
      <c r="B227" s="28" t="n">
        <f aca="false">VaR!B477</f>
        <v>0.00752589636826571</v>
      </c>
      <c r="C227" s="31" t="n">
        <f aca="false">NORMSINV(Parametrlar!$B$8)*STDEV(VaR!B227:B476)-AVERAGE(VaR!B227:B476)</f>
        <v>0.0312841386070671</v>
      </c>
      <c r="D227" s="44" t="n">
        <f aca="false">IF(B227&lt;-C227,1,0)</f>
        <v>0</v>
      </c>
      <c r="H227" s="31" t="n">
        <f aca="false">-C227</f>
        <v>-0.0312841386070671</v>
      </c>
    </row>
    <row r="228" customFormat="false" ht="15" hidden="false" customHeight="false" outlineLevel="0" collapsed="false">
      <c r="A228" s="19" t="n">
        <f aca="false">VaR!A478</f>
        <v>45957</v>
      </c>
      <c r="B228" s="28" t="n">
        <f aca="false">VaR!B478</f>
        <v>0.000165939986318359</v>
      </c>
      <c r="C228" s="31" t="n">
        <f aca="false">NORMSINV(Parametrlar!$B$8)*STDEV(VaR!B228:B477)-AVERAGE(VaR!B228:B477)</f>
        <v>0.0312841028558063</v>
      </c>
      <c r="D228" s="44" t="n">
        <f aca="false">IF(B228&lt;-C228,1,0)</f>
        <v>0</v>
      </c>
      <c r="H228" s="31" t="n">
        <f aca="false">-C228</f>
        <v>-0.0312841028558063</v>
      </c>
    </row>
    <row r="229" customFormat="false" ht="15" hidden="false" customHeight="false" outlineLevel="0" collapsed="false">
      <c r="A229" s="19" t="n">
        <f aca="false">VaR!A479</f>
        <v>45958</v>
      </c>
      <c r="B229" s="28" t="n">
        <f aca="false">VaR!B479</f>
        <v>-0.0170593854796403</v>
      </c>
      <c r="C229" s="31" t="n">
        <f aca="false">NORMSINV(Parametrlar!$B$8)*STDEV(VaR!B229:B478)-AVERAGE(VaR!B229:B478)</f>
        <v>0.0312594122228008</v>
      </c>
      <c r="D229" s="44" t="n">
        <f aca="false">IF(B229&lt;-C229,1,0)</f>
        <v>0</v>
      </c>
      <c r="H229" s="31" t="n">
        <f aca="false">-C229</f>
        <v>-0.0312594122228008</v>
      </c>
    </row>
    <row r="230" customFormat="false" ht="15" hidden="false" customHeight="false" outlineLevel="0" collapsed="false">
      <c r="A230" s="19" t="n">
        <f aca="false">VaR!A480</f>
        <v>45959</v>
      </c>
      <c r="B230" s="28" t="n">
        <f aca="false">VaR!B480</f>
        <v>0.00708476976485716</v>
      </c>
      <c r="C230" s="31" t="n">
        <f aca="false">NORMSINV(Parametrlar!$B$8)*STDEV(VaR!B230:B479)-AVERAGE(VaR!B230:B479)</f>
        <v>0.0314507001621259</v>
      </c>
      <c r="D230" s="44" t="n">
        <f aca="false">IF(B230&lt;-C230,1,0)</f>
        <v>0</v>
      </c>
      <c r="H230" s="31" t="n">
        <f aca="false">-C230</f>
        <v>-0.0314507001621259</v>
      </c>
    </row>
    <row r="231" customFormat="false" ht="15" hidden="false" customHeight="false" outlineLevel="0" collapsed="false">
      <c r="A231" s="19" t="n">
        <f aca="false">VaR!A481</f>
        <v>45960</v>
      </c>
      <c r="B231" s="28" t="n">
        <f aca="false">VaR!B481</f>
        <v>-0.0119693137600034</v>
      </c>
      <c r="C231" s="31" t="n">
        <f aca="false">NORMSINV(Parametrlar!$B$8)*STDEV(VaR!B231:B480)-AVERAGE(VaR!B231:B480)</f>
        <v>0.0313981705407518</v>
      </c>
      <c r="D231" s="44" t="n">
        <f aca="false">IF(B231&lt;-C231,1,0)</f>
        <v>0</v>
      </c>
      <c r="H231" s="31" t="n">
        <f aca="false">-C231</f>
        <v>-0.0313981705407518</v>
      </c>
    </row>
    <row r="232" customFormat="false" ht="15" hidden="false" customHeight="false" outlineLevel="0" collapsed="false">
      <c r="A232" s="19" t="n">
        <f aca="false">VaR!A482</f>
        <v>45961</v>
      </c>
      <c r="B232" s="28" t="n">
        <f aca="false">VaR!B482</f>
        <v>-0.00564616261710313</v>
      </c>
      <c r="C232" s="31" t="n">
        <f aca="false">NORMSINV(Parametrlar!$B$8)*STDEV(VaR!B232:B481)-AVERAGE(VaR!B232:B481)</f>
        <v>0.0313363288909451</v>
      </c>
      <c r="D232" s="44" t="n">
        <f aca="false">IF(B232&lt;-C232,1,0)</f>
        <v>0</v>
      </c>
      <c r="H232" s="31" t="n">
        <f aca="false">-C232</f>
        <v>-0.0313363288909451</v>
      </c>
    </row>
    <row r="233" customFormat="false" ht="15" hidden="false" customHeight="false" outlineLevel="0" collapsed="false">
      <c r="A233" s="19" t="n">
        <f aca="false">VaR!A483</f>
        <v>45964</v>
      </c>
      <c r="B233" s="28" t="n">
        <f aca="false">VaR!B483</f>
        <v>-0.023111681702977</v>
      </c>
      <c r="C233" s="31" t="n">
        <f aca="false">NORMSINV(Parametrlar!$B$8)*STDEV(VaR!B233:B482)-AVERAGE(VaR!B233:B482)</f>
        <v>0.0313467406059527</v>
      </c>
      <c r="D233" s="44" t="n">
        <f aca="false">IF(B233&lt;-C233,1,0)</f>
        <v>0</v>
      </c>
      <c r="H233" s="31" t="n">
        <f aca="false">-C233</f>
        <v>-0.0313467406059527</v>
      </c>
    </row>
    <row r="234" customFormat="false" ht="15" hidden="false" customHeight="false" outlineLevel="0" collapsed="false">
      <c r="A234" s="19" t="n">
        <f aca="false">VaR!A484</f>
        <v>45965</v>
      </c>
      <c r="B234" s="28" t="n">
        <f aca="false">VaR!B484</f>
        <v>-0.00691319586917998</v>
      </c>
      <c r="C234" s="31" t="n">
        <f aca="false">NORMSINV(Parametrlar!$B$8)*STDEV(VaR!B234:B483)-AVERAGE(VaR!B234:B483)</f>
        <v>0.0316365320822189</v>
      </c>
      <c r="D234" s="44" t="n">
        <f aca="false">IF(B234&lt;-C234,1,0)</f>
        <v>0</v>
      </c>
      <c r="H234" s="31" t="n">
        <f aca="false">-C234</f>
        <v>-0.0316365320822189</v>
      </c>
    </row>
    <row r="235" customFormat="false" ht="15" hidden="false" customHeight="false" outlineLevel="0" collapsed="false">
      <c r="A235" s="19" t="n">
        <f aca="false">VaR!A485</f>
        <v>45966</v>
      </c>
      <c r="B235" s="28" t="n">
        <f aca="false">VaR!B485</f>
        <v>-0.00513547530364157</v>
      </c>
      <c r="C235" s="31" t="n">
        <f aca="false">NORMSINV(Parametrlar!$B$8)*STDEV(VaR!B235:B484)-AVERAGE(VaR!B235:B484)</f>
        <v>0.0316114104538332</v>
      </c>
      <c r="D235" s="44" t="n">
        <f aca="false">IF(B235&lt;-C235,1,0)</f>
        <v>0</v>
      </c>
      <c r="H235" s="31" t="n">
        <f aca="false">-C235</f>
        <v>-0.0316114104538332</v>
      </c>
    </row>
    <row r="236" customFormat="false" ht="15" hidden="false" customHeight="false" outlineLevel="0" collapsed="false">
      <c r="A236" s="19" t="n">
        <f aca="false">VaR!A486</f>
        <v>45967</v>
      </c>
      <c r="B236" s="28" t="n">
        <f aca="false">VaR!B486</f>
        <v>-0.0347073222590788</v>
      </c>
      <c r="C236" s="31" t="n">
        <f aca="false">NORMSINV(Parametrlar!$B$8)*STDEV(VaR!B236:B485)-AVERAGE(VaR!B236:B485)</f>
        <v>0.0316482402879991</v>
      </c>
      <c r="D236" s="44" t="n">
        <f aca="false">IF(B236&lt;-C236,1,0)</f>
        <v>1</v>
      </c>
      <c r="H236" s="31" t="n">
        <f aca="false">-C236</f>
        <v>-0.0316482402879991</v>
      </c>
    </row>
    <row r="237" customFormat="false" ht="15" hidden="false" customHeight="false" outlineLevel="0" collapsed="false">
      <c r="A237" s="19" t="n">
        <f aca="false">VaR!A487</f>
        <v>45968</v>
      </c>
      <c r="B237" s="28" t="n">
        <f aca="false">VaR!B487</f>
        <v>-0.0116773324326162</v>
      </c>
      <c r="C237" s="31" t="n">
        <f aca="false">NORMSINV(Parametrlar!$B$8)*STDEV(VaR!B237:B486)-AVERAGE(VaR!B237:B486)</f>
        <v>0.0321829910052102</v>
      </c>
      <c r="D237" s="44" t="n">
        <f aca="false">IF(B237&lt;-C237,1,0)</f>
        <v>0</v>
      </c>
      <c r="H237" s="31" t="n">
        <f aca="false">-C237</f>
        <v>-0.0321829910052102</v>
      </c>
    </row>
    <row r="238" customFormat="false" ht="15" hidden="false" customHeight="false" outlineLevel="0" collapsed="false">
      <c r="A238" s="19" t="n">
        <f aca="false">VaR!A488</f>
        <v>45971</v>
      </c>
      <c r="B238" s="28" t="n">
        <f aca="false">VaR!B488</f>
        <v>-0.00786816953612129</v>
      </c>
      <c r="C238" s="31" t="n">
        <f aca="false">NORMSINV(Parametrlar!$B$8)*STDEV(VaR!B238:B487)-AVERAGE(VaR!B238:B487)</f>
        <v>0.0322190958617449</v>
      </c>
      <c r="D238" s="44" t="n">
        <f aca="false">IF(B238&lt;-C238,1,0)</f>
        <v>0</v>
      </c>
      <c r="H238" s="31" t="n">
        <f aca="false">-C238</f>
        <v>-0.0322190958617449</v>
      </c>
    </row>
    <row r="239" customFormat="false" ht="15" hidden="false" customHeight="false" outlineLevel="0" collapsed="false">
      <c r="A239" s="19" t="n">
        <f aca="false">VaR!A489</f>
        <v>45972</v>
      </c>
      <c r="B239" s="28" t="n">
        <f aca="false">VaR!B489</f>
        <v>-0.0109897345662364</v>
      </c>
      <c r="C239" s="31" t="n">
        <f aca="false">NORMSINV(Parametrlar!$B$8)*STDEV(VaR!B239:B488)-AVERAGE(VaR!B239:B488)</f>
        <v>0.0322816780769178</v>
      </c>
      <c r="D239" s="44" t="n">
        <f aca="false">IF(B239&lt;-C239,1,0)</f>
        <v>0</v>
      </c>
      <c r="H239" s="31" t="n">
        <f aca="false">-C239</f>
        <v>-0.0322816780769178</v>
      </c>
    </row>
    <row r="240" customFormat="false" ht="15" hidden="false" customHeight="false" outlineLevel="0" collapsed="false">
      <c r="A240" s="19" t="n">
        <f aca="false">VaR!A490</f>
        <v>45973</v>
      </c>
      <c r="B240" s="28" t="n">
        <f aca="false">VaR!B490</f>
        <v>-0.00503179876446359</v>
      </c>
      <c r="C240" s="31" t="n">
        <f aca="false">NORMSINV(Parametrlar!$B$8)*STDEV(VaR!B240:B489)-AVERAGE(VaR!B240:B489)</f>
        <v>0.0323807509780446</v>
      </c>
      <c r="D240" s="44" t="n">
        <f aca="false">IF(B240&lt;-C240,1,0)</f>
        <v>0</v>
      </c>
      <c r="H240" s="31" t="n">
        <f aca="false">-C240</f>
        <v>-0.0323807509780446</v>
      </c>
    </row>
    <row r="241" customFormat="false" ht="15" hidden="false" customHeight="false" outlineLevel="0" collapsed="false">
      <c r="A241" s="19" t="n">
        <f aca="false">VaR!A491</f>
        <v>45974</v>
      </c>
      <c r="B241" s="28" t="n">
        <f aca="false">VaR!B491</f>
        <v>-0.0183014259914478</v>
      </c>
      <c r="C241" s="31" t="n">
        <f aca="false">NORMSINV(Parametrlar!$B$8)*STDEV(VaR!B241:B490)-AVERAGE(VaR!B241:B490)</f>
        <v>0.0324239505989923</v>
      </c>
      <c r="D241" s="44" t="n">
        <f aca="false">IF(B241&lt;-C241,1,0)</f>
        <v>0</v>
      </c>
      <c r="H241" s="31" t="n">
        <f aca="false">-C241</f>
        <v>-0.0324239505989923</v>
      </c>
    </row>
    <row r="242" customFormat="false" ht="15" hidden="false" customHeight="false" outlineLevel="0" collapsed="false">
      <c r="A242" s="19" t="n">
        <f aca="false">VaR!A492</f>
        <v>45975</v>
      </c>
      <c r="B242" s="28" t="n">
        <f aca="false">VaR!B492</f>
        <v>-0.0184020790529331</v>
      </c>
      <c r="C242" s="31" t="n">
        <f aca="false">NORMSINV(Parametrlar!$B$8)*STDEV(VaR!B242:B491)-AVERAGE(VaR!B242:B491)</f>
        <v>0.0326198588926063</v>
      </c>
      <c r="D242" s="44" t="n">
        <f aca="false">IF(B242&lt;-C242,1,0)</f>
        <v>0</v>
      </c>
      <c r="H242" s="31" t="n">
        <f aca="false">-C242</f>
        <v>-0.0326198588926063</v>
      </c>
    </row>
    <row r="243" customFormat="false" ht="15" hidden="false" customHeight="false" outlineLevel="0" collapsed="false">
      <c r="A243" s="19" t="n">
        <f aca="false">VaR!A493</f>
        <v>45978</v>
      </c>
      <c r="B243" s="28" t="n">
        <f aca="false">VaR!B493</f>
        <v>-0.000839543750801603</v>
      </c>
      <c r="C243" s="31" t="n">
        <f aca="false">NORMSINV(Parametrlar!$B$8)*STDEV(VaR!B243:B492)-AVERAGE(VaR!B243:B492)</f>
        <v>0.0327996964926447</v>
      </c>
      <c r="D243" s="44" t="n">
        <f aca="false">IF(B243&lt;-C243,1,0)</f>
        <v>0</v>
      </c>
      <c r="H243" s="31" t="n">
        <f aca="false">-C243</f>
        <v>-0.0327996964926447</v>
      </c>
    </row>
    <row r="244" customFormat="false" ht="15" hidden="false" customHeight="false" outlineLevel="0" collapsed="false">
      <c r="A244" s="19" t="n">
        <f aca="false">VaR!A494</f>
        <v>45979</v>
      </c>
      <c r="B244" s="28" t="n">
        <f aca="false">VaR!B494</f>
        <v>-0.00589971242413073</v>
      </c>
      <c r="C244" s="31" t="n">
        <f aca="false">NORMSINV(Parametrlar!$B$8)*STDEV(VaR!B244:B493)-AVERAGE(VaR!B244:B493)</f>
        <v>0.0327540915306808</v>
      </c>
      <c r="D244" s="44" t="n">
        <f aca="false">IF(B244&lt;-C244,1,0)</f>
        <v>0</v>
      </c>
      <c r="H244" s="31" t="n">
        <f aca="false">-C244</f>
        <v>-0.0327540915306808</v>
      </c>
    </row>
    <row r="245" customFormat="false" ht="15" hidden="false" customHeight="false" outlineLevel="0" collapsed="false">
      <c r="A245" s="19" t="n">
        <f aca="false">VaR!A495</f>
        <v>45980</v>
      </c>
      <c r="B245" s="28" t="n">
        <f aca="false">VaR!B495</f>
        <v>-0.0164401493843049</v>
      </c>
      <c r="C245" s="31" t="n">
        <f aca="false">NORMSINV(Parametrlar!$B$8)*STDEV(VaR!B245:B494)-AVERAGE(VaR!B245:B494)</f>
        <v>0.0327167096738904</v>
      </c>
      <c r="D245" s="44" t="n">
        <f aca="false">IF(B245&lt;-C245,1,0)</f>
        <v>0</v>
      </c>
      <c r="H245" s="31" t="n">
        <f aca="false">-C245</f>
        <v>-0.0327167096738904</v>
      </c>
    </row>
    <row r="246" customFormat="false" ht="15" hidden="false" customHeight="false" outlineLevel="0" collapsed="false">
      <c r="A246" s="19" t="n">
        <f aca="false">VaR!A496</f>
        <v>45981</v>
      </c>
      <c r="B246" s="28" t="n">
        <f aca="false">VaR!B496</f>
        <v>-0.00379239749556672</v>
      </c>
      <c r="C246" s="31" t="n">
        <f aca="false">NORMSINV(Parametrlar!$B$8)*STDEV(VaR!B246:B495)-AVERAGE(VaR!B246:B495)</f>
        <v>0.0328361438733873</v>
      </c>
      <c r="D246" s="44" t="n">
        <f aca="false">IF(B246&lt;-C246,1,0)</f>
        <v>0</v>
      </c>
      <c r="H246" s="31" t="n">
        <f aca="false">-C246</f>
        <v>-0.0328361438733873</v>
      </c>
    </row>
    <row r="247" customFormat="false" ht="15" hidden="false" customHeight="false" outlineLevel="0" collapsed="false">
      <c r="A247" s="19" t="n">
        <f aca="false">VaR!A497</f>
        <v>45982</v>
      </c>
      <c r="B247" s="28" t="n">
        <f aca="false">VaR!B497</f>
        <v>-0.0269932174505972</v>
      </c>
      <c r="C247" s="31" t="n">
        <f aca="false">NORMSINV(Parametrlar!$B$8)*STDEV(VaR!B247:B496)-AVERAGE(VaR!B247:B496)</f>
        <v>0.0328148603582314</v>
      </c>
      <c r="D247" s="44" t="n">
        <f aca="false">IF(B247&lt;-C247,1,0)</f>
        <v>0</v>
      </c>
      <c r="H247" s="31" t="n">
        <f aca="false">-C247</f>
        <v>-0.0328148603582314</v>
      </c>
    </row>
    <row r="248" customFormat="false" ht="15" hidden="false" customHeight="false" outlineLevel="0" collapsed="false">
      <c r="A248" s="19" t="n">
        <f aca="false">VaR!A498</f>
        <v>45985</v>
      </c>
      <c r="B248" s="28" t="n">
        <f aca="false">VaR!B498</f>
        <v>0.00384681616000524</v>
      </c>
      <c r="C248" s="31" t="n">
        <f aca="false">NORMSINV(Parametrlar!$B$8)*STDEV(VaR!B248:B497)-AVERAGE(VaR!B248:B497)</f>
        <v>0.0331702016014292</v>
      </c>
      <c r="D248" s="44" t="n">
        <f aca="false">IF(B248&lt;-C248,1,0)</f>
        <v>0</v>
      </c>
      <c r="H248" s="31" t="n">
        <f aca="false">-C248</f>
        <v>-0.0331702016014292</v>
      </c>
    </row>
    <row r="249" customFormat="false" ht="15" hidden="false" customHeight="false" outlineLevel="0" collapsed="false">
      <c r="A249" s="19" t="n">
        <f aca="false">VaR!A499</f>
        <v>45986</v>
      </c>
      <c r="B249" s="28" t="n">
        <f aca="false">VaR!B499</f>
        <v>-0.00671457881371367</v>
      </c>
      <c r="C249" s="31" t="n">
        <f aca="false">NORMSINV(Parametrlar!$B$8)*STDEV(VaR!B249:B498)-AVERAGE(VaR!B249:B498)</f>
        <v>0.0331471732158714</v>
      </c>
      <c r="D249" s="44" t="n">
        <f aca="false">IF(B249&lt;-C249,1,0)</f>
        <v>0</v>
      </c>
      <c r="H249" s="31" t="n">
        <f aca="false">-C249</f>
        <v>-0.0331471732158714</v>
      </c>
    </row>
    <row r="250" customFormat="false" ht="15" hidden="false" customHeight="false" outlineLevel="0" collapsed="false">
      <c r="A250" s="19" t="n">
        <f aca="false">VaR!A500</f>
        <v>45987</v>
      </c>
      <c r="B250" s="28" t="n">
        <f aca="false">VaR!B500</f>
        <v>0.00417482372910875</v>
      </c>
      <c r="C250" s="31" t="n">
        <f aca="false">NORMSINV(Parametrlar!$B$8)*STDEV(VaR!B250:B499)-AVERAGE(VaR!B250:B499)</f>
        <v>0.033189679709152</v>
      </c>
      <c r="D250" s="44" t="n">
        <f aca="false">IF(B250&lt;-C250,1,0)</f>
        <v>0</v>
      </c>
      <c r="H250" s="31" t="n">
        <f aca="false">-C250</f>
        <v>-0.033189679709152</v>
      </c>
    </row>
    <row r="251" customFormat="false" ht="15" hidden="false" customHeight="false" outlineLevel="0" collapsed="false">
      <c r="A251" s="19" t="n">
        <f aca="false">VaR!A501</f>
        <v>45988</v>
      </c>
      <c r="B251" s="28" t="n">
        <f aca="false">VaR!B501</f>
        <v>0.00260816182421272</v>
      </c>
      <c r="C251" s="31" t="n">
        <f aca="false">NORMSINV(Parametrlar!$B$8)*STDEV(VaR!B251:B500)-AVERAGE(VaR!B251:B500)</f>
        <v>0.0331889800424924</v>
      </c>
      <c r="D251" s="44" t="n">
        <f aca="false">IF(B251&lt;-C251,1,0)</f>
        <v>0</v>
      </c>
      <c r="H251" s="31" t="n">
        <f aca="false">-C251</f>
        <v>-0.0331889800424924</v>
      </c>
    </row>
    <row r="252" customFormat="false" ht="15" hidden="false" customHeight="false" outlineLevel="0" collapsed="false">
      <c r="A252" s="19" t="n">
        <f aca="false">VaR!A502</f>
        <v>45989</v>
      </c>
      <c r="B252" s="28" t="n">
        <f aca="false">VaR!B502</f>
        <v>0.00625471528697011</v>
      </c>
      <c r="C252" s="31" t="n">
        <f aca="false">NORMSINV(Parametrlar!$B$8)*STDEV(VaR!B252:B501)-AVERAGE(VaR!B252:B501)</f>
        <v>0.0331332746651705</v>
      </c>
      <c r="D252" s="44" t="n">
        <f aca="false">IF(B252&lt;-C252,1,0)</f>
        <v>0</v>
      </c>
      <c r="H252" s="31" t="n">
        <f aca="false">-C252</f>
        <v>-0.0331332746651705</v>
      </c>
    </row>
    <row r="253" customFormat="false" ht="15" hidden="false" customHeight="false" outlineLevel="0" collapsed="false">
      <c r="A253" s="19" t="n">
        <f aca="false">VaR!A503</f>
        <v>45992</v>
      </c>
      <c r="B253" s="28" t="n">
        <f aca="false">VaR!B503</f>
        <v>0.00109174055048354</v>
      </c>
      <c r="C253" s="31" t="n">
        <f aca="false">NORMSINV(Parametrlar!$B$8)*STDEV(VaR!B253:B502)-AVERAGE(VaR!B253:B502)</f>
        <v>0.0331327370242567</v>
      </c>
      <c r="D253" s="44" t="n">
        <f aca="false">IF(B253&lt;-C253,1,0)</f>
        <v>0</v>
      </c>
      <c r="H253" s="31" t="n">
        <f aca="false">-C253</f>
        <v>-0.0331327370242567</v>
      </c>
    </row>
    <row r="254" customFormat="false" ht="15" hidden="false" customHeight="false" outlineLevel="0" collapsed="false">
      <c r="A254" s="19" t="n">
        <f aca="false">VaR!A504</f>
        <v>45993</v>
      </c>
      <c r="B254" s="28" t="n">
        <f aca="false">VaR!B504</f>
        <v>0.0069362265342179</v>
      </c>
      <c r="C254" s="31" t="n">
        <f aca="false">NORMSINV(Parametrlar!$B$8)*STDEV(VaR!B254:B503)-AVERAGE(VaR!B254:B503)</f>
        <v>0.0331217153363996</v>
      </c>
      <c r="D254" s="44" t="n">
        <f aca="false">IF(B254&lt;-C254,1,0)</f>
        <v>0</v>
      </c>
      <c r="H254" s="31" t="n">
        <f aca="false">-C254</f>
        <v>-0.0331217153363996</v>
      </c>
    </row>
    <row r="255" customFormat="false" ht="15" hidden="false" customHeight="false" outlineLevel="0" collapsed="false">
      <c r="A255" s="19" t="n">
        <f aca="false">VaR!A505</f>
        <v>45994</v>
      </c>
      <c r="B255" s="28" t="n">
        <f aca="false">VaR!B505</f>
        <v>-0.00546324516651561</v>
      </c>
      <c r="C255" s="31" t="n">
        <f aca="false">NORMSINV(Parametrlar!$B$8)*STDEV(VaR!B255:B504)-AVERAGE(VaR!B255:B504)</f>
        <v>0.0331214023767011</v>
      </c>
      <c r="D255" s="44" t="n">
        <f aca="false">IF(B255&lt;-C255,1,0)</f>
        <v>0</v>
      </c>
      <c r="H255" s="31" t="n">
        <f aca="false">-C255</f>
        <v>-0.0331214023767011</v>
      </c>
    </row>
    <row r="256" customFormat="false" ht="15" hidden="false" customHeight="false" outlineLevel="0" collapsed="false">
      <c r="A256" s="19" t="n">
        <f aca="false">VaR!A506</f>
        <v>45995</v>
      </c>
      <c r="B256" s="28" t="n">
        <f aca="false">VaR!B506</f>
        <v>-0.00529703511111028</v>
      </c>
      <c r="C256" s="31" t="n">
        <f aca="false">NORMSINV(Parametrlar!$B$8)*STDEV(VaR!B256:B505)-AVERAGE(VaR!B256:B505)</f>
        <v>0.0331225984807251</v>
      </c>
      <c r="D256" s="44" t="n">
        <f aca="false">IF(B256&lt;-C256,1,0)</f>
        <v>0</v>
      </c>
      <c r="H256" s="31" t="n">
        <f aca="false">-C256</f>
        <v>-0.0331225984807251</v>
      </c>
    </row>
    <row r="257" customFormat="false" ht="15" hidden="false" customHeight="false" outlineLevel="0" collapsed="false">
      <c r="A257" s="19" t="n">
        <f aca="false">VaR!A507</f>
        <v>45996</v>
      </c>
      <c r="B257" s="28" t="n">
        <f aca="false">VaR!B507</f>
        <v>-0.00346167269272161</v>
      </c>
      <c r="C257" s="31" t="n">
        <f aca="false">NORMSINV(Parametrlar!$B$8)*STDEV(VaR!B257:B506)-AVERAGE(VaR!B257:B506)</f>
        <v>0.0330486953170275</v>
      </c>
      <c r="D257" s="44" t="n">
        <f aca="false">IF(B257&lt;-C257,1,0)</f>
        <v>0</v>
      </c>
      <c r="H257" s="31" t="n">
        <f aca="false">-C257</f>
        <v>-0.0330486953170275</v>
      </c>
    </row>
    <row r="258" customFormat="false" ht="15" hidden="false" customHeight="false" outlineLevel="0" collapsed="false">
      <c r="A258" s="19" t="n">
        <f aca="false">VaR!A508</f>
        <v>45999</v>
      </c>
      <c r="B258" s="28" t="n">
        <f aca="false">VaR!B508</f>
        <v>-0.0247044795875322</v>
      </c>
      <c r="C258" s="31" t="n">
        <f aca="false">NORMSINV(Parametrlar!$B$8)*STDEV(VaR!B258:B507)-AVERAGE(VaR!B258:B507)</f>
        <v>0.033034454034322</v>
      </c>
      <c r="D258" s="44" t="n">
        <f aca="false">IF(B258&lt;-C258,1,0)</f>
        <v>0</v>
      </c>
      <c r="H258" s="31" t="n">
        <f aca="false">-C258</f>
        <v>-0.033034454034322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14"/>
  </cols>
  <sheetData>
    <row r="1" customFormat="false" ht="16.1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6" t="s">
        <v>209</v>
      </c>
    </row>
    <row r="4" customFormat="false" ht="15" hidden="false" customHeight="false" outlineLevel="0" collapsed="false">
      <c r="A4" s="7" t="s">
        <v>123</v>
      </c>
      <c r="B4" s="7" t="s">
        <v>183</v>
      </c>
      <c r="C4" s="7" t="s">
        <v>210</v>
      </c>
    </row>
    <row r="5" customFormat="false" ht="15" hidden="false" customHeight="false" outlineLevel="0" collapsed="false">
      <c r="A5" s="36" t="s">
        <v>46</v>
      </c>
      <c r="B5" s="43" t="n">
        <f aca="false">Parametrlar!$B$14*Parametrlar!$B$7</f>
        <v>3000000000</v>
      </c>
      <c r="C5" s="27" t="n">
        <f aca="false">Beta_CAPM!$B$5</f>
        <v>1.19203246361238</v>
      </c>
    </row>
    <row r="6" customFormat="false" ht="15" hidden="false" customHeight="false" outlineLevel="0" collapsed="false">
      <c r="A6" s="36" t="s">
        <v>47</v>
      </c>
      <c r="B6" s="43" t="n">
        <f aca="false">Parametrlar!$C$14*Parametrlar!$B$7</f>
        <v>2500000000</v>
      </c>
      <c r="C6" s="27" t="n">
        <f aca="false">Beta_CAPM!$C$5</f>
        <v>0.927720729224781</v>
      </c>
    </row>
    <row r="7" customFormat="false" ht="15" hidden="false" customHeight="false" outlineLevel="0" collapsed="false">
      <c r="A7" s="36" t="s">
        <v>48</v>
      </c>
      <c r="B7" s="43" t="n">
        <f aca="false">Parametrlar!$D$14*Parametrlar!$B$7</f>
        <v>2500000000</v>
      </c>
      <c r="C7" s="27" t="n">
        <f aca="false">Beta_CAPM!$D$5</f>
        <v>0.728731028630591</v>
      </c>
    </row>
    <row r="8" customFormat="false" ht="15" hidden="false" customHeight="false" outlineLevel="0" collapsed="false">
      <c r="A8" s="36" t="s">
        <v>49</v>
      </c>
      <c r="B8" s="43" t="n">
        <f aca="false">Parametrlar!$E$14*Parametrlar!$B$7</f>
        <v>2000000000</v>
      </c>
      <c r="C8" s="27" t="n">
        <f aca="false">Beta_CAPM!$E$5</f>
        <v>1.32737801943958</v>
      </c>
    </row>
    <row r="9" customFormat="false" ht="15" hidden="false" customHeight="false" outlineLevel="0" collapsed="false">
      <c r="A9" s="36" t="s">
        <v>50</v>
      </c>
      <c r="B9" s="43" t="n">
        <f aca="false">SUM(B5:B8)</f>
        <v>10000000000</v>
      </c>
    </row>
    <row r="11" customFormat="false" ht="23.85" hidden="false" customHeight="false" outlineLevel="0" collapsed="false">
      <c r="A11" s="7" t="s">
        <v>211</v>
      </c>
      <c r="B11" s="7" t="s">
        <v>212</v>
      </c>
      <c r="C11" s="7" t="s">
        <v>213</v>
      </c>
      <c r="D11" s="7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</row>
    <row r="12" customFormat="false" ht="15" hidden="false" customHeight="false" outlineLevel="0" collapsed="false">
      <c r="A12" s="8" t="s">
        <v>220</v>
      </c>
      <c r="B12" s="9" t="n">
        <v>-0.1</v>
      </c>
      <c r="C12" s="47" t="n">
        <v>0</v>
      </c>
      <c r="D12" s="47" t="n">
        <v>0</v>
      </c>
      <c r="E12" s="47" t="n">
        <v>0</v>
      </c>
      <c r="F12" s="47" t="n">
        <v>0</v>
      </c>
      <c r="G12" s="42" t="n">
        <f aca="false">$B$5*($C$5*B12+C12)+$B$6*($C$6*B12+D12)+$B$7*($C$7*B12+E12)+$B$8*($C$8*B12+F12)</f>
        <v>-1037198282.43547</v>
      </c>
      <c r="H12" s="23" t="n">
        <f aca="false">G12/$B$9</f>
        <v>-0.103719828243547</v>
      </c>
      <c r="I12" s="25" t="n">
        <f aca="false">IFERROR(-G12/VaR!$I$30,0)</f>
        <v>3.26403012746444</v>
      </c>
    </row>
    <row r="13" customFormat="false" ht="15" hidden="false" customHeight="false" outlineLevel="0" collapsed="false">
      <c r="A13" s="8" t="s">
        <v>221</v>
      </c>
      <c r="B13" s="9" t="n">
        <v>-0.35</v>
      </c>
      <c r="C13" s="47" t="n">
        <v>0</v>
      </c>
      <c r="D13" s="47" t="n">
        <v>-0.05</v>
      </c>
      <c r="E13" s="47" t="n">
        <v>0</v>
      </c>
      <c r="F13" s="47" t="n">
        <v>-0.1</v>
      </c>
      <c r="G13" s="42" t="n">
        <f aca="false">$B$5*($C$5*B13+C13)+$B$6*($C$6*B13+D13)+$B$7*($C$7*B13+E13)+$B$8*($C$8*B13+F13)</f>
        <v>-3955193988.52416</v>
      </c>
      <c r="H13" s="23" t="n">
        <f aca="false">G13/$B$9</f>
        <v>-0.395519398852416</v>
      </c>
      <c r="I13" s="25" t="n">
        <f aca="false">IFERROR(-G13/VaR!$I$30,0)</f>
        <v>12.446870147331</v>
      </c>
    </row>
    <row r="14" customFormat="false" ht="15" hidden="false" customHeight="false" outlineLevel="0" collapsed="false">
      <c r="A14" s="8" t="s">
        <v>222</v>
      </c>
      <c r="B14" s="9" t="n">
        <v>-0.25</v>
      </c>
      <c r="C14" s="47" t="n">
        <v>0</v>
      </c>
      <c r="D14" s="47" t="n">
        <v>0</v>
      </c>
      <c r="E14" s="47" t="n">
        <v>0.05</v>
      </c>
      <c r="F14" s="47" t="n">
        <v>-0.15</v>
      </c>
      <c r="G14" s="42" t="n">
        <f aca="false">$B$5*($C$5*B14+C14)+$B$6*($C$6*B14+D14)+$B$7*($C$7*B14+E14)+$B$8*($C$8*B14+F14)</f>
        <v>-2767995706.08868</v>
      </c>
      <c r="H14" s="23" t="n">
        <f aca="false">G14/$B$9</f>
        <v>-0.276799570608868</v>
      </c>
      <c r="I14" s="25" t="n">
        <f aca="false">IFERROR(-G14/VaR!$I$30,0)</f>
        <v>8.71079477315634</v>
      </c>
    </row>
    <row r="15" customFormat="false" ht="15" hidden="false" customHeight="false" outlineLevel="0" collapsed="false">
      <c r="A15" s="8" t="s">
        <v>223</v>
      </c>
      <c r="B15" s="9" t="n">
        <v>-0.03</v>
      </c>
      <c r="C15" s="47" t="n">
        <v>0</v>
      </c>
      <c r="D15" s="47" t="n">
        <v>0</v>
      </c>
      <c r="E15" s="47" t="n">
        <v>0</v>
      </c>
      <c r="F15" s="47" t="n">
        <v>-0.25</v>
      </c>
      <c r="G15" s="42" t="n">
        <f aca="false">$B$5*($C$5*B15+C15)+$B$6*($C$6*B15+D15)+$B$7*($C$7*B15+E15)+$B$8*($C$8*B15+F15)</f>
        <v>-811159484.730642</v>
      </c>
      <c r="H15" s="23" t="n">
        <f aca="false">G15/$B$9</f>
        <v>-0.0811159484730642</v>
      </c>
      <c r="I15" s="25" t="n">
        <f aca="false">IFERROR(-G15/VaR!$I$30,0)</f>
        <v>2.55269319394005</v>
      </c>
    </row>
    <row r="16" customFormat="false" ht="15" hidden="false" customHeight="false" outlineLevel="0" collapsed="false">
      <c r="A16" s="8" t="s">
        <v>224</v>
      </c>
      <c r="B16" s="9" t="n">
        <v>-0.08</v>
      </c>
      <c r="C16" s="47" t="n">
        <v>-0.05</v>
      </c>
      <c r="D16" s="47" t="n">
        <v>-0.3</v>
      </c>
      <c r="E16" s="47" t="n">
        <v>0</v>
      </c>
      <c r="F16" s="47" t="n">
        <v>0</v>
      </c>
      <c r="G16" s="42" t="n">
        <f aca="false">$B$5*($C$5*B16+C16)+$B$6*($C$6*B16+D16)+$B$7*($C$7*B16+E16)+$B$8*($C$8*B16+F16)</f>
        <v>-1729758625.94838</v>
      </c>
      <c r="H16" s="23" t="n">
        <f aca="false">G16/$B$9</f>
        <v>-0.172975862594838</v>
      </c>
      <c r="I16" s="25" t="n">
        <f aca="false">IFERROR(-G16/VaR!$I$30,0)</f>
        <v>5.44349558223284</v>
      </c>
    </row>
    <row r="17" customFormat="false" ht="15" hidden="false" customHeight="false" outlineLevel="0" collapsed="false">
      <c r="A17" s="8" t="s">
        <v>225</v>
      </c>
      <c r="B17" s="9" t="n">
        <v>0.15</v>
      </c>
      <c r="C17" s="47" t="n">
        <v>0</v>
      </c>
      <c r="D17" s="47" t="n">
        <v>0</v>
      </c>
      <c r="E17" s="47" t="n">
        <v>0</v>
      </c>
      <c r="F17" s="47" t="n">
        <v>0</v>
      </c>
      <c r="G17" s="42" t="n">
        <f aca="false">$B$5*($C$5*B17+C17)+$B$6*($C$6*B17+D17)+$B$7*($C$7*B17+E17)+$B$8*($C$8*B17+F17)</f>
        <v>1555797423.65321</v>
      </c>
      <c r="H17" s="23" t="n">
        <f aca="false">G17/$B$9</f>
        <v>0.155579742365321</v>
      </c>
      <c r="I17" s="25" t="n">
        <f aca="false">IFERROR(-G17/VaR!$I$30,0)</f>
        <v>-4.89604519119665</v>
      </c>
    </row>
    <row r="19" customFormat="false" ht="15" hidden="false" customHeight="false" outlineLevel="0" collapsed="false">
      <c r="A19" s="36" t="s">
        <v>226</v>
      </c>
      <c r="G19" s="42" t="n">
        <f aca="false">VaR!I33*B9</f>
        <v>-1337464764.31457</v>
      </c>
      <c r="H19" s="23" t="n">
        <f aca="false">VaR!I33</f>
        <v>-0.133746476431457</v>
      </c>
      <c r="I19" s="25" t="n">
        <f aca="false">IFERROR(-G19/VaR!$I$30,0)</f>
        <v>4.20895923091395</v>
      </c>
    </row>
    <row r="21" customFormat="false" ht="15" hidden="false" customHeight="false" outlineLevel="0" collapsed="false">
      <c r="A21" s="36" t="s">
        <v>227</v>
      </c>
    </row>
    <row r="22" customFormat="false" ht="15" hidden="false" customHeight="false" outlineLevel="0" collapsed="false">
      <c r="A22" s="8" t="s">
        <v>228</v>
      </c>
      <c r="B22" s="9" t="n">
        <v>-0.2</v>
      </c>
    </row>
    <row r="23" customFormat="false" ht="15" hidden="false" customHeight="false" outlineLevel="0" collapsed="false">
      <c r="A23" s="8" t="s">
        <v>229</v>
      </c>
      <c r="B23" s="24" t="n">
        <f aca="false">B22/Beta_CAPM!B20</f>
        <v>-0.192827160810925</v>
      </c>
    </row>
    <row r="25" customFormat="false" ht="15" hidden="false" customHeight="false" outlineLevel="0" collapsed="false">
      <c r="A25" s="10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6" t="s">
        <v>232</v>
      </c>
    </row>
    <row r="4" customFormat="false" ht="15" hidden="false" customHeight="false" outlineLevel="0" collapsed="false">
      <c r="A4" s="7" t="s">
        <v>26</v>
      </c>
      <c r="B4" s="7" t="s">
        <v>27</v>
      </c>
    </row>
    <row r="5" customFormat="false" ht="15" hidden="false" customHeight="false" outlineLevel="0" collapsed="false">
      <c r="A5" s="8" t="s">
        <v>163</v>
      </c>
      <c r="B5" s="39" t="n">
        <f aca="false">Parametrlar!$B$7</f>
        <v>10000000000</v>
      </c>
    </row>
    <row r="6" customFormat="false" ht="15" hidden="false" customHeight="false" outlineLevel="0" collapsed="false">
      <c r="A6" s="8" t="s">
        <v>233</v>
      </c>
      <c r="B6" s="27" t="n">
        <f aca="false">Beta_CAPM!B20</f>
        <v>1.03719828243547</v>
      </c>
    </row>
    <row r="7" customFormat="false" ht="15" hidden="false" customHeight="false" outlineLevel="0" collapsed="false">
      <c r="A7" s="8" t="s">
        <v>234</v>
      </c>
      <c r="B7" s="13" t="n">
        <v>1250</v>
      </c>
    </row>
    <row r="8" customFormat="false" ht="15" hidden="false" customHeight="false" outlineLevel="0" collapsed="false">
      <c r="A8" s="8" t="s">
        <v>235</v>
      </c>
      <c r="B8" s="12" t="n">
        <v>10000</v>
      </c>
    </row>
    <row r="9" customFormat="false" ht="15" hidden="false" customHeight="false" outlineLevel="0" collapsed="false">
      <c r="A9" s="8" t="s">
        <v>236</v>
      </c>
      <c r="B9" s="43" t="n">
        <f aca="false">B7*B8</f>
        <v>12500000</v>
      </c>
    </row>
    <row r="10" customFormat="false" ht="15" hidden="false" customHeight="false" outlineLevel="0" collapsed="false">
      <c r="A10" s="8" t="s">
        <v>237</v>
      </c>
      <c r="B10" s="13" t="n">
        <v>0.5</v>
      </c>
    </row>
    <row r="11" customFormat="false" ht="15" hidden="false" customHeight="false" outlineLevel="0" collapsed="false">
      <c r="A11" s="8" t="s">
        <v>238</v>
      </c>
      <c r="B11" s="25" t="n">
        <f aca="false">-B6*B5/B9</f>
        <v>-829.758625948379</v>
      </c>
    </row>
    <row r="12" customFormat="false" ht="15" hidden="false" customHeight="false" outlineLevel="0" collapsed="false">
      <c r="A12" s="8" t="s">
        <v>239</v>
      </c>
      <c r="B12" s="25" t="n">
        <f aca="false">(B10-B6)*B5/B9</f>
        <v>-429.758625948379</v>
      </c>
    </row>
    <row r="13" customFormat="false" ht="15" hidden="false" customHeight="false" outlineLevel="0" collapsed="false">
      <c r="A13" s="8" t="s">
        <v>240</v>
      </c>
      <c r="B13" s="45" t="n">
        <f aca="false">ROUND(B11,0)</f>
        <v>-830</v>
      </c>
    </row>
    <row r="14" customFormat="false" ht="15" hidden="false" customHeight="false" outlineLevel="0" collapsed="false">
      <c r="A14" s="8" t="s">
        <v>241</v>
      </c>
      <c r="B14" s="45" t="n">
        <f aca="false">ROUND(B12,0)</f>
        <v>-430</v>
      </c>
    </row>
    <row r="16" customFormat="false" ht="15" hidden="false" customHeight="false" outlineLevel="0" collapsed="false">
      <c r="A16" s="36" t="s">
        <v>242</v>
      </c>
    </row>
    <row r="17" customFormat="false" ht="15" hidden="false" customHeight="false" outlineLevel="0" collapsed="false">
      <c r="A17" s="8" t="s">
        <v>243</v>
      </c>
      <c r="B17" s="25" t="n">
        <f aca="false">CORREL(VaR!$B$5:$B$508,Daromadlilik!$B$2:$B$505)</f>
        <v>0.913040111532661</v>
      </c>
    </row>
    <row r="18" customFormat="false" ht="15" hidden="false" customHeight="false" outlineLevel="0" collapsed="false">
      <c r="A18" s="8" t="s">
        <v>244</v>
      </c>
      <c r="B18" s="22" t="n">
        <f aca="false">STDEV(VaR!$B$5:$B$508)</f>
        <v>0.0136594424299292</v>
      </c>
    </row>
    <row r="19" customFormat="false" ht="15" hidden="false" customHeight="false" outlineLevel="0" collapsed="false">
      <c r="A19" s="8" t="s">
        <v>245</v>
      </c>
      <c r="B19" s="22" t="n">
        <f aca="false">STDEV(Daromadlilik!$B$2:$B$505)</f>
        <v>0.012001903272599</v>
      </c>
    </row>
    <row r="20" customFormat="false" ht="15" hidden="false" customHeight="false" outlineLevel="0" collapsed="false">
      <c r="A20" s="8" t="s">
        <v>246</v>
      </c>
      <c r="B20" s="46" t="n">
        <f aca="false">B17*B18/B19</f>
        <v>1.03913675659842</v>
      </c>
    </row>
    <row r="21" customFormat="false" ht="15" hidden="false" customHeight="false" outlineLevel="0" collapsed="false">
      <c r="A21" s="8" t="s">
        <v>247</v>
      </c>
      <c r="B21" s="32" t="n">
        <f aca="false">-B20*B5/B9</f>
        <v>-831.309405278737</v>
      </c>
    </row>
    <row r="22" customFormat="false" ht="15" hidden="false" customHeight="false" outlineLevel="0" collapsed="false">
      <c r="A22" s="8" t="s">
        <v>248</v>
      </c>
      <c r="B22" s="24" t="n">
        <f aca="false">B17^2</f>
        <v>0.833642245267575</v>
      </c>
    </row>
    <row r="23" customFormat="false" ht="15" hidden="false" customHeight="false" outlineLevel="0" collapsed="false">
      <c r="A23" s="8" t="s">
        <v>249</v>
      </c>
      <c r="B23" s="23" t="n">
        <f aca="false">B18*SQRT(1-B17^2)*SQRT(Parametrlar!$B$6)</f>
        <v>0.0884412287086567</v>
      </c>
    </row>
    <row r="24" customFormat="false" ht="15" hidden="false" customHeight="false" outlineLevel="0" collapsed="false">
      <c r="A24" s="8" t="s">
        <v>250</v>
      </c>
      <c r="B24" s="23" t="n">
        <f aca="false">B18*SQRT(Parametrlar!$B$6)</f>
        <v>0.216836926304378</v>
      </c>
    </row>
    <row r="26" customFormat="false" ht="15" hidden="false" customHeight="false" outlineLevel="0" collapsed="false">
      <c r="A26" s="36" t="s">
        <v>251</v>
      </c>
    </row>
    <row r="27" customFormat="false" ht="15" hidden="false" customHeight="false" outlineLevel="0" collapsed="false">
      <c r="A27" s="7" t="s">
        <v>252</v>
      </c>
      <c r="B27" s="7" t="s">
        <v>253</v>
      </c>
      <c r="C27" s="7" t="s">
        <v>254</v>
      </c>
      <c r="D27" s="7" t="s">
        <v>255</v>
      </c>
    </row>
    <row r="28" customFormat="false" ht="15" hidden="false" customHeight="false" outlineLevel="0" collapsed="false">
      <c r="A28" s="47" t="n">
        <v>-0.2</v>
      </c>
      <c r="B28" s="43" t="n">
        <f aca="false">$B$6*A28*$B$5</f>
        <v>-2074396564.87095</v>
      </c>
      <c r="C28" s="43" t="n">
        <f aca="false">$B$13*$B$9*A28</f>
        <v>2075000000</v>
      </c>
      <c r="D28" s="42" t="n">
        <f aca="false">B28+C28</f>
        <v>603435.129052401</v>
      </c>
    </row>
    <row r="29" customFormat="false" ht="15" hidden="false" customHeight="false" outlineLevel="0" collapsed="false">
      <c r="A29" s="47" t="n">
        <v>-0.1</v>
      </c>
      <c r="B29" s="43" t="n">
        <f aca="false">$B$6*A29*$B$5</f>
        <v>-1037198282.43547</v>
      </c>
      <c r="C29" s="43" t="n">
        <f aca="false">$B$13*$B$9*A29</f>
        <v>1037500000</v>
      </c>
      <c r="D29" s="42" t="n">
        <f aca="false">B29+C29</f>
        <v>301717.5645262</v>
      </c>
    </row>
    <row r="30" customFormat="false" ht="15" hidden="false" customHeight="false" outlineLevel="0" collapsed="false">
      <c r="A30" s="47" t="n">
        <v>-0.05</v>
      </c>
      <c r="B30" s="43" t="n">
        <f aca="false">$B$6*A30*$B$5</f>
        <v>-518599141.217737</v>
      </c>
      <c r="C30" s="43" t="n">
        <f aca="false">$B$13*$B$9*A30</f>
        <v>518750000</v>
      </c>
      <c r="D30" s="42" t="n">
        <f aca="false">B30+C30</f>
        <v>150858.7822631</v>
      </c>
    </row>
    <row r="31" customFormat="false" ht="15" hidden="false" customHeight="false" outlineLevel="0" collapsed="false">
      <c r="A31" s="47" t="n">
        <v>0</v>
      </c>
      <c r="B31" s="43" t="n">
        <f aca="false">$B$6*A31*$B$5</f>
        <v>0</v>
      </c>
      <c r="C31" s="43" t="n">
        <f aca="false">$B$13*$B$9*A31</f>
        <v>-0</v>
      </c>
      <c r="D31" s="42" t="n">
        <f aca="false">B31+C31</f>
        <v>0</v>
      </c>
    </row>
    <row r="32" customFormat="false" ht="15" hidden="false" customHeight="false" outlineLevel="0" collapsed="false">
      <c r="A32" s="47" t="n">
        <v>0.05</v>
      </c>
      <c r="B32" s="43" t="n">
        <f aca="false">$B$6*A32*$B$5</f>
        <v>518599141.217737</v>
      </c>
      <c r="C32" s="43" t="n">
        <f aca="false">$B$13*$B$9*A32</f>
        <v>-518750000</v>
      </c>
      <c r="D32" s="42" t="n">
        <f aca="false">B32+C32</f>
        <v>-150858.7822631</v>
      </c>
    </row>
    <row r="33" customFormat="false" ht="15" hidden="false" customHeight="false" outlineLevel="0" collapsed="false">
      <c r="A33" s="47" t="n">
        <v>0.1</v>
      </c>
      <c r="B33" s="43" t="n">
        <f aca="false">$B$6*A33*$B$5</f>
        <v>1037198282.43547</v>
      </c>
      <c r="C33" s="43" t="n">
        <f aca="false">$B$13*$B$9*A33</f>
        <v>-1037500000</v>
      </c>
      <c r="D33" s="42" t="n">
        <f aca="false">B33+C33</f>
        <v>-301717.5645262</v>
      </c>
    </row>
    <row r="34" customFormat="false" ht="15" hidden="false" customHeight="false" outlineLevel="0" collapsed="false">
      <c r="A34" s="47" t="n">
        <v>0.2</v>
      </c>
      <c r="B34" s="43" t="n">
        <f aca="false">$B$6*A34*$B$5</f>
        <v>2074396564.87095</v>
      </c>
      <c r="C34" s="43" t="n">
        <f aca="false">$B$13*$B$9*A34</f>
        <v>-2075000000</v>
      </c>
      <c r="D34" s="42" t="n">
        <f aca="false">B34+C34</f>
        <v>-603435.129052401</v>
      </c>
    </row>
    <row r="36" customFormat="false" ht="15" hidden="false" customHeight="false" outlineLevel="0" collapsed="false">
      <c r="A36" s="10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" t="s">
        <v>257</v>
      </c>
    </row>
    <row r="2" customFormat="false" ht="15" hidden="false" customHeight="false" outlineLevel="0" collapsed="false">
      <c r="A2" s="6" t="s">
        <v>258</v>
      </c>
    </row>
    <row r="4" customFormat="false" ht="15" hidden="false" customHeight="false" outlineLevel="0" collapsed="false">
      <c r="A4" s="7" t="s">
        <v>26</v>
      </c>
      <c r="B4" s="7" t="s">
        <v>27</v>
      </c>
    </row>
    <row r="5" customFormat="false" ht="15" hidden="false" customHeight="false" outlineLevel="0" collapsed="false">
      <c r="A5" s="8" t="s">
        <v>259</v>
      </c>
      <c r="B5" s="11" t="n">
        <v>24000</v>
      </c>
    </row>
    <row r="6" customFormat="false" ht="15" hidden="false" customHeight="false" outlineLevel="0" collapsed="false">
      <c r="A6" s="8" t="s">
        <v>260</v>
      </c>
      <c r="B6" s="11" t="n">
        <v>24000</v>
      </c>
    </row>
    <row r="7" customFormat="false" ht="15" hidden="false" customHeight="false" outlineLevel="0" collapsed="false">
      <c r="A7" s="8" t="s">
        <v>261</v>
      </c>
      <c r="B7" s="13" t="n">
        <v>0.5</v>
      </c>
    </row>
    <row r="8" customFormat="false" ht="15" hidden="false" customHeight="false" outlineLevel="0" collapsed="false">
      <c r="A8" s="8" t="s">
        <v>262</v>
      </c>
      <c r="B8" s="9" t="n">
        <v>0.14</v>
      </c>
    </row>
    <row r="9" customFormat="false" ht="15" hidden="false" customHeight="false" outlineLevel="0" collapsed="false">
      <c r="A9" s="8" t="s">
        <v>263</v>
      </c>
      <c r="B9" s="9" t="n">
        <v>0.28</v>
      </c>
      <c r="C9" s="35" t="n">
        <f aca="false">Daromadlilik!P6</f>
        <v>0.282909486565204</v>
      </c>
      <c r="D9" s="10" t="s">
        <v>264</v>
      </c>
    </row>
    <row r="10" customFormat="false" ht="15" hidden="false" customHeight="false" outlineLevel="0" collapsed="false">
      <c r="A10" s="8" t="s">
        <v>265</v>
      </c>
      <c r="B10" s="11" t="n">
        <v>10000</v>
      </c>
    </row>
    <row r="12" customFormat="false" ht="15" hidden="false" customHeight="false" outlineLevel="0" collapsed="false">
      <c r="A12" s="7" t="s">
        <v>266</v>
      </c>
      <c r="B12" s="7" t="s">
        <v>27</v>
      </c>
    </row>
    <row r="13" customFormat="false" ht="15" hidden="false" customHeight="false" outlineLevel="0" collapsed="false">
      <c r="A13" s="8" t="s">
        <v>267</v>
      </c>
      <c r="B13" s="34" t="n">
        <f aca="false">(LN(B5/B6)+(B8+B9^2/2)*B7)/(B9*SQRT(B7))</f>
        <v>0.45254833995939</v>
      </c>
    </row>
    <row r="14" customFormat="false" ht="15" hidden="false" customHeight="false" outlineLevel="0" collapsed="false">
      <c r="A14" s="8" t="s">
        <v>268</v>
      </c>
      <c r="B14" s="34" t="n">
        <f aca="false">B13-B9*SQRT(B7)</f>
        <v>0.254558441227157</v>
      </c>
    </row>
    <row r="15" customFormat="false" ht="15" hidden="false" customHeight="false" outlineLevel="0" collapsed="false">
      <c r="A15" s="8" t="s">
        <v>269</v>
      </c>
      <c r="B15" s="34" t="n">
        <f aca="false">NORMSDIST(B13)</f>
        <v>0.674562997397791</v>
      </c>
    </row>
    <row r="16" customFormat="false" ht="15" hidden="false" customHeight="false" outlineLevel="0" collapsed="false">
      <c r="A16" s="8" t="s">
        <v>270</v>
      </c>
      <c r="B16" s="34" t="n">
        <f aca="false">NORMSDIST(B14)</f>
        <v>0.600467919509348</v>
      </c>
    </row>
    <row r="17" customFormat="false" ht="15" hidden="false" customHeight="false" outlineLevel="0" collapsed="false">
      <c r="A17" s="8" t="s">
        <v>271</v>
      </c>
      <c r="B17" s="32" t="n">
        <f aca="false">B5*B15-B6*EXP(-B8*B7)*B16</f>
        <v>2752.57008469183</v>
      </c>
    </row>
    <row r="18" customFormat="false" ht="15" hidden="false" customHeight="false" outlineLevel="0" collapsed="false">
      <c r="A18" s="8" t="s">
        <v>272</v>
      </c>
      <c r="B18" s="32" t="n">
        <f aca="false">B6*EXP(-B8*B7)*NORMSDIST(-B14)-B5*NORMSDIST(-B13)</f>
        <v>1130.02176243459</v>
      </c>
    </row>
    <row r="19" customFormat="false" ht="15" hidden="false" customHeight="false" outlineLevel="0" collapsed="false">
      <c r="A19" s="8" t="s">
        <v>273</v>
      </c>
      <c r="B19" s="34" t="n">
        <f aca="false">B17-B18-(B5-B6*EXP(-B8*B7))</f>
        <v>0</v>
      </c>
    </row>
    <row r="20" customFormat="false" ht="15" hidden="false" customHeight="false" outlineLevel="0" collapsed="false">
      <c r="A20" s="8" t="s">
        <v>274</v>
      </c>
      <c r="B20" s="34" t="n">
        <f aca="false">B15</f>
        <v>0.674562997397791</v>
      </c>
    </row>
    <row r="21" customFormat="false" ht="15" hidden="false" customHeight="false" outlineLevel="0" collapsed="false">
      <c r="A21" s="8" t="s">
        <v>275</v>
      </c>
      <c r="B21" s="34" t="n">
        <f aca="false">B15-1</f>
        <v>-0.325437002602209</v>
      </c>
    </row>
    <row r="22" customFormat="false" ht="15" hidden="false" customHeight="false" outlineLevel="0" collapsed="false">
      <c r="A22" s="8" t="s">
        <v>276</v>
      </c>
      <c r="B22" s="48" t="n">
        <f aca="false">NORMDIST(B13,0,1,FALSE())/(B5*B9*SQRT(B7))</f>
        <v>7.57851362341758E-005</v>
      </c>
    </row>
    <row r="23" customFormat="false" ht="15" hidden="false" customHeight="false" outlineLevel="0" collapsed="false">
      <c r="A23" s="8" t="s">
        <v>277</v>
      </c>
      <c r="B23" s="25" t="n">
        <f aca="false">B5*NORMDIST(B13,0,1,FALSE())*SQRT(B7)/100</f>
        <v>61.1131338592394</v>
      </c>
    </row>
    <row r="24" customFormat="false" ht="15" hidden="false" customHeight="false" outlineLevel="0" collapsed="false">
      <c r="A24" s="8" t="s">
        <v>278</v>
      </c>
      <c r="B24" s="42" t="n">
        <f aca="false">B18*B10</f>
        <v>11300217.6243459</v>
      </c>
    </row>
    <row r="25" customFormat="false" ht="15" hidden="false" customHeight="false" outlineLevel="0" collapsed="false">
      <c r="A25" s="8" t="s">
        <v>279</v>
      </c>
      <c r="B25" s="23" t="n">
        <f aca="false">B18/B5</f>
        <v>0.0470842401014413</v>
      </c>
    </row>
    <row r="26" customFormat="false" ht="15" hidden="false" customHeight="false" outlineLevel="0" collapsed="false">
      <c r="A26" s="8" t="s">
        <v>280</v>
      </c>
      <c r="B26" s="21" t="n">
        <f aca="false">-B10/B21</f>
        <v>30727.9132982407</v>
      </c>
    </row>
    <row r="28" customFormat="false" ht="15" hidden="false" customHeight="false" outlineLevel="0" collapsed="false">
      <c r="A28" s="7" t="s">
        <v>281</v>
      </c>
      <c r="B28" s="7" t="s">
        <v>282</v>
      </c>
      <c r="C28" s="7" t="s">
        <v>283</v>
      </c>
      <c r="D28" s="7" t="s">
        <v>284</v>
      </c>
    </row>
    <row r="29" customFormat="false" ht="15" hidden="false" customHeight="false" outlineLevel="0" collapsed="false">
      <c r="A29" s="49" t="n">
        <v>16000</v>
      </c>
      <c r="B29" s="43" t="n">
        <f aca="false">(A29-$B$5)*$B$10</f>
        <v>-80000000</v>
      </c>
      <c r="C29" s="42" t="n">
        <f aca="false">(A29-$B$5+MAX($B$6-A29,0)-$B$18)*$B$10</f>
        <v>-11300217.6243459</v>
      </c>
      <c r="D29" s="43" t="n">
        <f aca="false">(A29-$B$5-MAX(A29-$B$6,0)+$B$17)*$B$10</f>
        <v>-52474299.1530817</v>
      </c>
    </row>
    <row r="30" customFormat="false" ht="15" hidden="false" customHeight="false" outlineLevel="0" collapsed="false">
      <c r="A30" s="49" t="n">
        <v>18000</v>
      </c>
      <c r="B30" s="43" t="n">
        <f aca="false">(A30-$B$5)*$B$10</f>
        <v>-60000000</v>
      </c>
      <c r="C30" s="42" t="n">
        <f aca="false">(A30-$B$5+MAX($B$6-A30,0)-$B$18)*$B$10</f>
        <v>-11300217.6243459</v>
      </c>
      <c r="D30" s="43" t="n">
        <f aca="false">(A30-$B$5-MAX(A30-$B$6,0)+$B$17)*$B$10</f>
        <v>-32474299.1530817</v>
      </c>
    </row>
    <row r="31" customFormat="false" ht="15" hidden="false" customHeight="false" outlineLevel="0" collapsed="false">
      <c r="A31" s="49" t="n">
        <v>20000</v>
      </c>
      <c r="B31" s="43" t="n">
        <f aca="false">(A31-$B$5)*$B$10</f>
        <v>-40000000</v>
      </c>
      <c r="C31" s="42" t="n">
        <f aca="false">(A31-$B$5+MAX($B$6-A31,0)-$B$18)*$B$10</f>
        <v>-11300217.6243459</v>
      </c>
      <c r="D31" s="43" t="n">
        <f aca="false">(A31-$B$5-MAX(A31-$B$6,0)+$B$17)*$B$10</f>
        <v>-12474299.1530817</v>
      </c>
    </row>
    <row r="32" customFormat="false" ht="15" hidden="false" customHeight="false" outlineLevel="0" collapsed="false">
      <c r="A32" s="49" t="n">
        <v>22000</v>
      </c>
      <c r="B32" s="43" t="n">
        <f aca="false">(A32-$B$5)*$B$10</f>
        <v>-20000000</v>
      </c>
      <c r="C32" s="42" t="n">
        <f aca="false">(A32-$B$5+MAX($B$6-A32,0)-$B$18)*$B$10</f>
        <v>-11300217.6243459</v>
      </c>
      <c r="D32" s="43" t="n">
        <f aca="false">(A32-$B$5-MAX(A32-$B$6,0)+$B$17)*$B$10</f>
        <v>7525700.84691832</v>
      </c>
    </row>
    <row r="33" customFormat="false" ht="15" hidden="false" customHeight="false" outlineLevel="0" collapsed="false">
      <c r="A33" s="49" t="n">
        <v>24000</v>
      </c>
      <c r="B33" s="43" t="n">
        <f aca="false">(A33-$B$5)*$B$10</f>
        <v>0</v>
      </c>
      <c r="C33" s="42" t="n">
        <f aca="false">(A33-$B$5+MAX($B$6-A33,0)-$B$18)*$B$10</f>
        <v>-11300217.6243459</v>
      </c>
      <c r="D33" s="43" t="n">
        <f aca="false">(A33-$B$5-MAX(A33-$B$6,0)+$B$17)*$B$10</f>
        <v>27525700.8469183</v>
      </c>
    </row>
    <row r="34" customFormat="false" ht="15" hidden="false" customHeight="false" outlineLevel="0" collapsed="false">
      <c r="A34" s="49" t="n">
        <v>26000</v>
      </c>
      <c r="B34" s="43" t="n">
        <f aca="false">(A34-$B$5)*$B$10</f>
        <v>20000000</v>
      </c>
      <c r="C34" s="42" t="n">
        <f aca="false">(A34-$B$5+MAX($B$6-A34,0)-$B$18)*$B$10</f>
        <v>8699782.37565409</v>
      </c>
      <c r="D34" s="43" t="n">
        <f aca="false">(A34-$B$5-MAX(A34-$B$6,0)+$B$17)*$B$10</f>
        <v>27525700.8469183</v>
      </c>
    </row>
    <row r="35" customFormat="false" ht="15" hidden="false" customHeight="false" outlineLevel="0" collapsed="false">
      <c r="A35" s="49" t="n">
        <v>28000</v>
      </c>
      <c r="B35" s="43" t="n">
        <f aca="false">(A35-$B$5)*$B$10</f>
        <v>40000000</v>
      </c>
      <c r="C35" s="42" t="n">
        <f aca="false">(A35-$B$5+MAX($B$6-A35,0)-$B$18)*$B$10</f>
        <v>28699782.3756541</v>
      </c>
      <c r="D35" s="43" t="n">
        <f aca="false">(A35-$B$5-MAX(A35-$B$6,0)+$B$17)*$B$10</f>
        <v>27525700.8469183</v>
      </c>
    </row>
    <row r="36" customFormat="false" ht="15" hidden="false" customHeight="false" outlineLevel="0" collapsed="false">
      <c r="A36" s="49" t="n">
        <v>30000</v>
      </c>
      <c r="B36" s="43" t="n">
        <f aca="false">(A36-$B$5)*$B$10</f>
        <v>60000000</v>
      </c>
      <c r="C36" s="42" t="n">
        <f aca="false">(A36-$B$5+MAX($B$6-A36,0)-$B$18)*$B$10</f>
        <v>48699782.3756541</v>
      </c>
      <c r="D36" s="43" t="n">
        <f aca="false">(A36-$B$5-MAX(A36-$B$6,0)+$B$17)*$B$10</f>
        <v>27525700.8469183</v>
      </c>
    </row>
    <row r="37" customFormat="false" ht="15" hidden="false" customHeight="false" outlineLevel="0" collapsed="false">
      <c r="A37" s="49" t="n">
        <v>32000</v>
      </c>
      <c r="B37" s="43" t="n">
        <f aca="false">(A37-$B$5)*$B$10</f>
        <v>80000000</v>
      </c>
      <c r="C37" s="42" t="n">
        <f aca="false">(A37-$B$5+MAX($B$6-A37,0)-$B$18)*$B$10</f>
        <v>68699782.3756541</v>
      </c>
      <c r="D37" s="43" t="n">
        <f aca="false">(A37-$B$5-MAX(A37-$B$6,0)+$B$17)*$B$10</f>
        <v>27525700.8469183</v>
      </c>
    </row>
    <row r="39" customFormat="false" ht="15" hidden="false" customHeight="false" outlineLevel="0" collapsed="false">
      <c r="A39" s="10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4"/>
  </cols>
  <sheetData>
    <row r="1" customFormat="false" ht="16.15" hidden="false" customHeight="false" outlineLevel="0" collapsed="false">
      <c r="A1" s="1" t="s">
        <v>286</v>
      </c>
    </row>
    <row r="2" customFormat="false" ht="15" hidden="false" customHeight="false" outlineLevel="0" collapsed="false">
      <c r="A2" s="6" t="s">
        <v>287</v>
      </c>
    </row>
    <row r="4" customFormat="false" ht="15" hidden="false" customHeight="false" outlineLevel="0" collapsed="false">
      <c r="A4" s="7" t="s">
        <v>102</v>
      </c>
      <c r="B4" s="7" t="s">
        <v>54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288</v>
      </c>
    </row>
    <row r="5" customFormat="false" ht="15" hidden="false" customHeight="false" outlineLevel="0" collapsed="false">
      <c r="A5" s="8" t="s">
        <v>289</v>
      </c>
      <c r="B5" s="23" t="n">
        <f aca="false">AVERAGE(Daromadlilik!$B$2:$B$505)*Parametrlar!$B$6</f>
        <v>0.116278226790027</v>
      </c>
      <c r="C5" s="23" t="n">
        <f aca="false">AVERAGE(Daromadlilik!$C$2:$C$505)*Parametrlar!$B$6</f>
        <v>0.354856084825149</v>
      </c>
      <c r="D5" s="23" t="n">
        <f aca="false">AVERAGE(Daromadlilik!$D$2:$D$505)*Parametrlar!$B$6</f>
        <v>0.284475322849194</v>
      </c>
      <c r="E5" s="23" t="n">
        <f aca="false">AVERAGE(Daromadlilik!$E$2:$E$505)*Parametrlar!$B$6</f>
        <v>0.0783177733870387</v>
      </c>
      <c r="F5" s="23" t="n">
        <f aca="false">AVERAGE(Daromadlilik!$F$2:$F$505)*Parametrlar!$B$6</f>
        <v>0.225346505472737</v>
      </c>
      <c r="G5" s="23" t="n">
        <f aca="false">AVERAGE(VaR!$B$5:$B$508)*Parametrlar!$B$6</f>
        <v>0.24222440060115</v>
      </c>
    </row>
    <row r="6" customFormat="false" ht="15" hidden="false" customHeight="false" outlineLevel="0" collapsed="false">
      <c r="A6" s="8" t="s">
        <v>290</v>
      </c>
      <c r="B6" s="23" t="n">
        <f aca="false">STDEV(Daromadlilik!$B$2:$B$505)*SQRT(Parametrlar!$B$6)</f>
        <v>0.190524307912495</v>
      </c>
      <c r="C6" s="23" t="n">
        <f aca="false">STDEV(Daromadlilik!$C$2:$C$505)*SQRT(Parametrlar!$B$6)</f>
        <v>0.283918056077873</v>
      </c>
      <c r="D6" s="23" t="n">
        <f aca="false">STDEV(Daromadlilik!$D$2:$D$505)*SQRT(Parametrlar!$B$6)</f>
        <v>0.234696125807828</v>
      </c>
      <c r="E6" s="23" t="n">
        <f aca="false">STDEV(Daromadlilik!$E$2:$E$505)*SQRT(Parametrlar!$B$6)</f>
        <v>0.192933700304531</v>
      </c>
      <c r="F6" s="23" t="n">
        <f aca="false">STDEV(Daromadlilik!$F$2:$F$505)*SQRT(Parametrlar!$B$6)</f>
        <v>0.354538296963362</v>
      </c>
      <c r="G6" s="23" t="n">
        <f aca="false">STDEV(VaR!$B$5:$B$508)*SQRT(Parametrlar!$B$6)</f>
        <v>0.216836926304378</v>
      </c>
    </row>
    <row r="7" customFormat="false" ht="15" hidden="false" customHeight="false" outlineLevel="0" collapsed="false">
      <c r="A7" s="8" t="s">
        <v>291</v>
      </c>
      <c r="B7" s="23" t="n">
        <f aca="false">SQRT(SUMPRODUCT((Daromadlilik!$B$2:$B$505&lt;0)*(Daromadlilik!$B$2:$B$505)^2)/COUNT(Daromadlilik!$B$2:$B$505))*SQRT(Parametrlar!$B$6)</f>
        <v>0.127065174365912</v>
      </c>
      <c r="C7" s="23" t="n">
        <f aca="false">SQRT(SUMPRODUCT((Daromadlilik!$C$2:$C$505&lt;0)*(Daromadlilik!$C$2:$C$505)^2)/COUNT(Daromadlilik!$C$2:$C$505))*SQRT(Parametrlar!$B$6)</f>
        <v>0.183795614751268</v>
      </c>
      <c r="D7" s="23" t="n">
        <f aca="false">SQRT(SUMPRODUCT((Daromadlilik!$D$2:$D$505&lt;0)*(Daromadlilik!$D$2:$D$505)^2)/COUNT(Daromadlilik!$D$2:$D$505))*SQRT(Parametrlar!$B$6)</f>
        <v>0.152469244757408</v>
      </c>
      <c r="E7" s="23" t="n">
        <f aca="false">SQRT(SUMPRODUCT((Daromadlilik!$E$2:$E$505&lt;0)*(Daromadlilik!$E$2:$E$505)^2)/COUNT(Daromadlilik!$E$2:$E$505))*SQRT(Parametrlar!$B$6)</f>
        <v>0.130396758091958</v>
      </c>
      <c r="F7" s="23" t="n">
        <f aca="false">SQRT(SUMPRODUCT((Daromadlilik!$F$2:$F$505&lt;0)*(Daromadlilik!$F$2:$F$505)^2)/COUNT(Daromadlilik!$F$2:$F$505))*SQRT(Parametrlar!$B$6)</f>
        <v>0.232780480906371</v>
      </c>
      <c r="G7" s="23" t="n">
        <f aca="false">SQRT(SUMPRODUCT((VaR!$B$5:$B$508&lt;0)*(VaR!$B$5:$B$508)^2)/COUNT(VaR!$B$5:$B$508))*SQRT(Parametrlar!$B$6)</f>
        <v>0.139862490626411</v>
      </c>
    </row>
    <row r="8" customFormat="false" ht="15" hidden="false" customHeight="false" outlineLevel="0" collapsed="false">
      <c r="A8" s="8" t="s">
        <v>292</v>
      </c>
      <c r="B8" s="25" t="n">
        <f aca="false">SLOPE(Daromadlilik!$B$2:$B$505,Daromadlilik!$B$2:$B$505)</f>
        <v>1</v>
      </c>
      <c r="C8" s="25" t="n">
        <f aca="false">SLOPE(Daromadlilik!$C$2:$C$505,Daromadlilik!$B$2:$B$505)</f>
        <v>1.19422297417134</v>
      </c>
      <c r="D8" s="25" t="n">
        <f aca="false">SLOPE(Daromadlilik!$D$2:$D$505,Daromadlilik!$B$2:$B$505)</f>
        <v>0.929421921424533</v>
      </c>
      <c r="E8" s="25" t="n">
        <f aca="false">SLOPE(Daromadlilik!$E$2:$E$505,Daromadlilik!$B$2:$B$505)</f>
        <v>0.728350959680606</v>
      </c>
      <c r="F8" s="25" t="n">
        <f aca="false">SLOPE(Daromadlilik!$F$2:$F$505,Daromadlilik!$B$2:$B$505)</f>
        <v>1.33213322035367</v>
      </c>
      <c r="G8" s="25" t="n">
        <f aca="false">SLOPE(VaR!$B$5:$B$508,Daromadlilik!$B$2:$B$505)</f>
        <v>1.03913675659842</v>
      </c>
    </row>
    <row r="9" customFormat="false" ht="15" hidden="false" customHeight="false" outlineLevel="0" collapsed="false">
      <c r="A9" s="8" t="s">
        <v>293</v>
      </c>
      <c r="B9" s="32" t="n">
        <f aca="false">(B5-Parametrlar!$B$4)/B6</f>
        <v>-0.124507856608346</v>
      </c>
      <c r="C9" s="32" t="n">
        <f aca="false">(C5-Parametrlar!$B$4)/C6</f>
        <v>0.756753859875043</v>
      </c>
      <c r="D9" s="32" t="n">
        <f aca="false">(D5-Parametrlar!$B$4)/D6</f>
        <v>0.615584609042469</v>
      </c>
      <c r="E9" s="32" t="n">
        <f aca="false">(E5-Parametrlar!$B$4)/E6</f>
        <v>-0.319706855337355</v>
      </c>
      <c r="F9" s="32" t="n">
        <f aca="false">(F5-Parametrlar!$B$4)/F6</f>
        <v>0.240725772656252</v>
      </c>
      <c r="G9" s="32" t="n">
        <f aca="false">(G5-Parametrlar!$B$4)/G6</f>
        <v>0.471434466183384</v>
      </c>
    </row>
    <row r="10" customFormat="false" ht="15" hidden="false" customHeight="false" outlineLevel="0" collapsed="false">
      <c r="A10" s="8" t="s">
        <v>294</v>
      </c>
      <c r="B10" s="32" t="n">
        <f aca="false">(B5-Parametrlar!$B$4)/B7</f>
        <v>-0.186689809606377</v>
      </c>
      <c r="C10" s="32" t="n">
        <f aca="false">(C5-Parametrlar!$B$4)/C7</f>
        <v>1.16899462000721</v>
      </c>
      <c r="D10" s="32" t="n">
        <f aca="false">(D5-Parametrlar!$B$4)/D7</f>
        <v>0.947570266246595</v>
      </c>
      <c r="E10" s="32" t="n">
        <f aca="false">(E5-Parametrlar!$B$4)/E7</f>
        <v>-0.473034970466536</v>
      </c>
      <c r="F10" s="32" t="n">
        <f aca="false">(F5-Parametrlar!$B$4)/F7</f>
        <v>0.366639441332993</v>
      </c>
      <c r="G10" s="32" t="n">
        <f aca="false">(G5-Parametrlar!$B$4)/G7</f>
        <v>0.73089217947794</v>
      </c>
    </row>
    <row r="11" customFormat="false" ht="15" hidden="false" customHeight="false" outlineLevel="0" collapsed="false">
      <c r="A11" s="8" t="s">
        <v>295</v>
      </c>
      <c r="B11" s="23" t="n">
        <f aca="false">(B5-Parametrlar!$B$4)/B8</f>
        <v>-0.0237217732099733</v>
      </c>
      <c r="C11" s="23" t="n">
        <f aca="false">(C5-Parametrlar!$B$4)/C8</f>
        <v>0.179912871776928</v>
      </c>
      <c r="D11" s="23" t="n">
        <f aca="false">(D5-Parametrlar!$B$4)/D8</f>
        <v>0.155446433443011</v>
      </c>
      <c r="E11" s="23" t="n">
        <f aca="false">(E5-Parametrlar!$B$4)/E8</f>
        <v>-0.0846875064735413</v>
      </c>
      <c r="F11" s="23" t="n">
        <f aca="false">(F5-Parametrlar!$B$4)/F8</f>
        <v>0.0640675453240919</v>
      </c>
      <c r="G11" s="23" t="n">
        <f aca="false">(G5-Parametrlar!$B$4)/G8</f>
        <v>0.0983743476996989</v>
      </c>
    </row>
    <row r="12" customFormat="false" ht="15" hidden="false" customHeight="false" outlineLevel="0" collapsed="false">
      <c r="A12" s="8" t="s">
        <v>296</v>
      </c>
      <c r="B12" s="23" t="n">
        <f aca="false">B5-(Parametrlar!$B$4+B8*($B$5-Parametrlar!$B$4))</f>
        <v>0</v>
      </c>
      <c r="C12" s="23" t="n">
        <f aca="false">C5-(Parametrlar!$B$4+C8*($B$5-Parametrlar!$B$4))</f>
        <v>0.243185171380582</v>
      </c>
      <c r="D12" s="23" t="n">
        <f aca="false">D5-(Parametrlar!$B$4+D8*($B$5-Parametrlar!$B$4))</f>
        <v>0.166522858885604</v>
      </c>
      <c r="E12" s="23" t="n">
        <f aca="false">E5-(Parametrlar!$B$4+E8*($B$5-Parametrlar!$B$4))</f>
        <v>-0.0444044503301516</v>
      </c>
      <c r="F12" s="23" t="n">
        <f aca="false">F5-(Parametrlar!$B$4+F8*($B$5-Parametrlar!$B$4))</f>
        <v>0.116947067611438</v>
      </c>
      <c r="G12" s="23" t="n">
        <f aca="false">G5-(Parametrlar!$B$4+G8*($B$5-Parametrlar!$B$4))</f>
        <v>0.126874567075325</v>
      </c>
    </row>
    <row r="13" customFormat="false" ht="15" hidden="false" customHeight="false" outlineLevel="0" collapsed="false">
      <c r="A13" s="8" t="s">
        <v>297</v>
      </c>
      <c r="B13" s="24" t="n">
        <f aca="false">MIN(H22:H526)</f>
        <v>-0.232869200173971</v>
      </c>
      <c r="C13" s="24" t="n">
        <f aca="false">MIN(I22:I526)</f>
        <v>-0.316367876402857</v>
      </c>
      <c r="D13" s="24" t="n">
        <f aca="false">MIN(J22:J526)</f>
        <v>-0.240375354982097</v>
      </c>
      <c r="E13" s="24" t="n">
        <f aca="false">MIN(K22:K526)</f>
        <v>-0.272036886357472</v>
      </c>
      <c r="F13" s="24" t="n">
        <f aca="false">MIN(L22:L526)</f>
        <v>-0.414836642578171</v>
      </c>
      <c r="G13" s="24" t="n">
        <f aca="false">MIN(M22:M526)</f>
        <v>-0.258571461950409</v>
      </c>
    </row>
    <row r="14" customFormat="false" ht="15" hidden="false" customHeight="false" outlineLevel="0" collapsed="false">
      <c r="A14" s="8" t="s">
        <v>298</v>
      </c>
      <c r="B14" s="25" t="n">
        <f aca="false">IFERROR(B5/ABS(B13),0)</f>
        <v>0.499328493004476</v>
      </c>
      <c r="C14" s="25" t="n">
        <f aca="false">IFERROR(C5/ABS(C13),0)</f>
        <v>1.12165649957862</v>
      </c>
      <c r="D14" s="25" t="n">
        <f aca="false">IFERROR(D5/ABS(D13),0)</f>
        <v>1.18346293392008</v>
      </c>
      <c r="E14" s="25" t="n">
        <f aca="false">IFERROR(E5/ABS(E13),0)</f>
        <v>0.287893948632116</v>
      </c>
      <c r="F14" s="25" t="n">
        <f aca="false">IFERROR(F5/ABS(F13),0)</f>
        <v>0.543217455604283</v>
      </c>
      <c r="G14" s="25" t="n">
        <f aca="false">IFERROR(G5/ABS(G13),0)</f>
        <v>0.936779328909879</v>
      </c>
    </row>
    <row r="16" customFormat="false" ht="15" hidden="false" customHeight="false" outlineLevel="0" collapsed="false">
      <c r="A16" s="8" t="s">
        <v>299</v>
      </c>
      <c r="B16" s="21" t="n">
        <f aca="false">RANK(B9,$B$9:$G$9,0)</f>
        <v>5</v>
      </c>
      <c r="C16" s="21" t="n">
        <f aca="false">RANK(C9,$B$9:$G$9,0)</f>
        <v>1</v>
      </c>
      <c r="D16" s="21" t="n">
        <f aca="false">RANK(D9,$B$9:$G$9,0)</f>
        <v>2</v>
      </c>
      <c r="E16" s="21" t="n">
        <f aca="false">RANK(E9,$B$9:$G$9,0)</f>
        <v>6</v>
      </c>
      <c r="F16" s="21" t="n">
        <f aca="false">RANK(F9,$B$9:$G$9,0)</f>
        <v>4</v>
      </c>
      <c r="G16" s="21" t="n">
        <f aca="false">RANK(G9,$B$9:$G$9,0)</f>
        <v>3</v>
      </c>
    </row>
    <row r="17" customFormat="false" ht="15" hidden="false" customHeight="false" outlineLevel="0" collapsed="false">
      <c r="A17" s="8" t="s">
        <v>300</v>
      </c>
      <c r="B17" s="21" t="n">
        <f aca="false">RANK(B11,$B$11:$G$11,0)</f>
        <v>5</v>
      </c>
      <c r="C17" s="21" t="n">
        <f aca="false">RANK(C11,$B$11:$G$11,0)</f>
        <v>1</v>
      </c>
      <c r="D17" s="21" t="n">
        <f aca="false">RANK(D11,$B$11:$G$11,0)</f>
        <v>2</v>
      </c>
      <c r="E17" s="21" t="n">
        <f aca="false">RANK(E11,$B$11:$G$11,0)</f>
        <v>6</v>
      </c>
      <c r="F17" s="21" t="n">
        <f aca="false">RANK(F11,$B$11:$G$11,0)</f>
        <v>4</v>
      </c>
      <c r="G17" s="21" t="n">
        <f aca="false">RANK(G11,$B$11:$G$11,0)</f>
        <v>3</v>
      </c>
    </row>
    <row r="19" customFormat="false" ht="15" hidden="false" customHeight="false" outlineLevel="0" collapsed="false">
      <c r="A19" s="10" t="s">
        <v>301</v>
      </c>
    </row>
    <row r="21" customFormat="false" ht="23.85" hidden="false" customHeight="false" outlineLevel="0" collapsed="false">
      <c r="A21" s="7" t="s">
        <v>53</v>
      </c>
      <c r="B21" s="7" t="s">
        <v>302</v>
      </c>
      <c r="C21" s="7" t="s">
        <v>303</v>
      </c>
      <c r="D21" s="7" t="s">
        <v>304</v>
      </c>
      <c r="E21" s="7" t="s">
        <v>305</v>
      </c>
      <c r="F21" s="7" t="s">
        <v>306</v>
      </c>
      <c r="G21" s="7" t="s">
        <v>307</v>
      </c>
      <c r="H21" s="7" t="s">
        <v>308</v>
      </c>
      <c r="I21" s="7" t="s">
        <v>309</v>
      </c>
      <c r="J21" s="7" t="s">
        <v>310</v>
      </c>
      <c r="K21" s="7" t="s">
        <v>311</v>
      </c>
      <c r="L21" s="7" t="s">
        <v>312</v>
      </c>
      <c r="M21" s="7" t="s">
        <v>313</v>
      </c>
    </row>
    <row r="22" customFormat="false" ht="15" hidden="false" customHeight="false" outlineLevel="0" collapsed="false">
      <c r="A22" s="19" t="n">
        <f aca="false">Narxlar!A2</f>
        <v>45293</v>
      </c>
      <c r="B22" s="50" t="n">
        <f aca="false">1</f>
        <v>1</v>
      </c>
      <c r="C22" s="50" t="n">
        <f aca="false">1</f>
        <v>1</v>
      </c>
      <c r="D22" s="50" t="n">
        <f aca="false">1</f>
        <v>1</v>
      </c>
      <c r="E22" s="50" t="n">
        <f aca="false">1</f>
        <v>1</v>
      </c>
      <c r="F22" s="50" t="n">
        <f aca="false">1</f>
        <v>1</v>
      </c>
      <c r="G22" s="50" t="n">
        <f aca="false">1</f>
        <v>1</v>
      </c>
      <c r="H22" s="31" t="n">
        <f aca="false">B22/MAX(B$22:B22)-1</f>
        <v>0</v>
      </c>
      <c r="I22" s="31" t="n">
        <f aca="false">C22/MAX(C$22:C22)-1</f>
        <v>0</v>
      </c>
      <c r="J22" s="31" t="n">
        <f aca="false">D22/MAX(D$22:D22)-1</f>
        <v>0</v>
      </c>
      <c r="K22" s="31" t="n">
        <f aca="false">E22/MAX(E$22:E22)-1</f>
        <v>0</v>
      </c>
      <c r="L22" s="31" t="n">
        <f aca="false">F22/MAX(F$22:F22)-1</f>
        <v>0</v>
      </c>
      <c r="M22" s="31" t="n">
        <f aca="false">G22/MAX(G$22:G22)-1</f>
        <v>0</v>
      </c>
    </row>
    <row r="23" customFormat="false" ht="15" hidden="false" customHeight="false" outlineLevel="0" collapsed="false">
      <c r="A23" s="19" t="n">
        <f aca="false">Narxlar!A3</f>
        <v>45294</v>
      </c>
      <c r="B23" s="50" t="n">
        <f aca="false">Narxlar!B3/Narxlar!B$2</f>
        <v>1.00574</v>
      </c>
      <c r="C23" s="50" t="n">
        <f aca="false">Narxlar!C3/Narxlar!C$2</f>
        <v>1.002</v>
      </c>
      <c r="D23" s="50" t="n">
        <f aca="false">Narxlar!D3/Narxlar!D$2</f>
        <v>1.0091847826087</v>
      </c>
      <c r="E23" s="50" t="n">
        <f aca="false">Narxlar!E3/Narxlar!E$2</f>
        <v>1.04232876712329</v>
      </c>
      <c r="F23" s="50" t="n">
        <f aca="false">Narxlar!F3/Narxlar!F$2</f>
        <v>0.97234375</v>
      </c>
      <c r="G23" s="50" t="n">
        <f aca="false">G22*(1+VaR!B5)</f>
        <v>1.007947137433</v>
      </c>
      <c r="H23" s="31" t="n">
        <f aca="false">B23/MAX(B$22:B23)-1</f>
        <v>0</v>
      </c>
      <c r="I23" s="31" t="n">
        <f aca="false">C23/MAX(C$22:C23)-1</f>
        <v>0</v>
      </c>
      <c r="J23" s="31" t="n">
        <f aca="false">D23/MAX(D$22:D23)-1</f>
        <v>0</v>
      </c>
      <c r="K23" s="31" t="n">
        <f aca="false">E23/MAX(E$22:E23)-1</f>
        <v>0</v>
      </c>
      <c r="L23" s="31" t="n">
        <f aca="false">F23/MAX(F$22:F23)-1</f>
        <v>-0.0276562500000001</v>
      </c>
      <c r="M23" s="31" t="n">
        <f aca="false">G23/MAX(G$22:G23)-1</f>
        <v>0</v>
      </c>
    </row>
    <row r="24" customFormat="false" ht="15" hidden="false" customHeight="false" outlineLevel="0" collapsed="false">
      <c r="A24" s="19" t="n">
        <f aca="false">Narxlar!A4</f>
        <v>45295</v>
      </c>
      <c r="B24" s="50" t="n">
        <f aca="false">Narxlar!B4/Narxlar!B$2</f>
        <v>0.9923</v>
      </c>
      <c r="C24" s="50" t="n">
        <f aca="false">Narxlar!C4/Narxlar!C$2</f>
        <v>1.00488</v>
      </c>
      <c r="D24" s="50" t="n">
        <f aca="false">Narxlar!D4/Narxlar!D$2</f>
        <v>0.999021739130435</v>
      </c>
      <c r="E24" s="50" t="n">
        <f aca="false">Narxlar!E4/Narxlar!E$2</f>
        <v>1.02657534246575</v>
      </c>
      <c r="F24" s="50" t="n">
        <f aca="false">Narxlar!F4/Narxlar!F$2</f>
        <v>0.9609765625</v>
      </c>
      <c r="G24" s="50" t="n">
        <f aca="false">G23*(1+VaR!B6)</f>
        <v>1.0001134908568</v>
      </c>
      <c r="H24" s="31" t="n">
        <f aca="false">B24/MAX(B$22:B24)-1</f>
        <v>-0.0133632946884882</v>
      </c>
      <c r="I24" s="31" t="n">
        <f aca="false">C24/MAX(C$22:C24)-1</f>
        <v>0</v>
      </c>
      <c r="J24" s="31" t="n">
        <f aca="false">D24/MAX(D$22:D24)-1</f>
        <v>-0.0100705476870052</v>
      </c>
      <c r="K24" s="31" t="n">
        <f aca="false">E24/MAX(E$22:E24)-1</f>
        <v>-0.0151136811670392</v>
      </c>
      <c r="L24" s="31" t="n">
        <f aca="false">F24/MAX(F$22:F24)-1</f>
        <v>-0.0390234375</v>
      </c>
      <c r="M24" s="31" t="n">
        <f aca="false">G24/MAX(G$22:G24)-1</f>
        <v>-0.00777188235897786</v>
      </c>
    </row>
    <row r="25" customFormat="false" ht="15" hidden="false" customHeight="false" outlineLevel="0" collapsed="false">
      <c r="A25" s="19" t="n">
        <f aca="false">Narxlar!A5</f>
        <v>45296</v>
      </c>
      <c r="B25" s="50" t="n">
        <f aca="false">Narxlar!B5/Narxlar!B$2</f>
        <v>0.99881</v>
      </c>
      <c r="C25" s="50" t="n">
        <f aca="false">Narxlar!C5/Narxlar!C$2</f>
        <v>1.01376</v>
      </c>
      <c r="D25" s="50" t="n">
        <f aca="false">Narxlar!D5/Narxlar!D$2</f>
        <v>1.00548913043478</v>
      </c>
      <c r="E25" s="50" t="n">
        <f aca="false">Narxlar!E5/Narxlar!E$2</f>
        <v>1.03123287671233</v>
      </c>
      <c r="F25" s="50" t="n">
        <f aca="false">Narxlar!F5/Narxlar!F$2</f>
        <v>0.9612109375</v>
      </c>
      <c r="G25" s="50" t="n">
        <f aca="false">G24*(1+VaR!B7)</f>
        <v>1.00556662278538</v>
      </c>
      <c r="H25" s="31" t="n">
        <f aca="false">B25/MAX(B$22:B25)-1</f>
        <v>-0.00689044882375178</v>
      </c>
      <c r="I25" s="31" t="n">
        <f aca="false">C25/MAX(C$22:C25)-1</f>
        <v>0</v>
      </c>
      <c r="J25" s="31" t="n">
        <f aca="false">D25/MAX(D$22:D25)-1</f>
        <v>-0.00366201734072924</v>
      </c>
      <c r="K25" s="31" t="n">
        <f aca="false">E25/MAX(E$22:E25)-1</f>
        <v>-0.0106452884741755</v>
      </c>
      <c r="L25" s="31" t="n">
        <f aca="false">F25/MAX(F$22:F25)-1</f>
        <v>-0.0387890625</v>
      </c>
      <c r="M25" s="31" t="n">
        <f aca="false">G25/MAX(G$22:G25)-1</f>
        <v>-0.00236174553129365</v>
      </c>
    </row>
    <row r="26" customFormat="false" ht="15" hidden="false" customHeight="false" outlineLevel="0" collapsed="false">
      <c r="A26" s="19" t="n">
        <f aca="false">Narxlar!A6</f>
        <v>45299</v>
      </c>
      <c r="B26" s="50" t="n">
        <f aca="false">Narxlar!B6/Narxlar!B$2</f>
        <v>1.00423</v>
      </c>
      <c r="C26" s="50" t="n">
        <f aca="false">Narxlar!C6/Narxlar!C$2</f>
        <v>1.03416</v>
      </c>
      <c r="D26" s="50" t="n">
        <f aca="false">Narxlar!D6/Narxlar!D$2</f>
        <v>1.01798913043478</v>
      </c>
      <c r="E26" s="50" t="n">
        <f aca="false">Narxlar!E6/Narxlar!E$2</f>
        <v>1.02794520547945</v>
      </c>
      <c r="F26" s="50" t="n">
        <f aca="false">Narxlar!F6/Narxlar!F$2</f>
        <v>0.966875</v>
      </c>
      <c r="G26" s="50" t="n">
        <f aca="false">G25*(1+VaR!B8)</f>
        <v>1.01514602643854</v>
      </c>
      <c r="H26" s="31" t="n">
        <f aca="false">B26/MAX(B$22:B26)-1</f>
        <v>-0.00150138206693595</v>
      </c>
      <c r="I26" s="31" t="n">
        <f aca="false">C26/MAX(C$22:C26)-1</f>
        <v>0</v>
      </c>
      <c r="J26" s="31" t="n">
        <f aca="false">D26/MAX(D$22:D26)-1</f>
        <v>0</v>
      </c>
      <c r="K26" s="31" t="n">
        <f aca="false">E26/MAX(E$22:E26)-1</f>
        <v>-0.0137994480220792</v>
      </c>
      <c r="L26" s="31" t="n">
        <f aca="false">F26/MAX(F$22:F26)-1</f>
        <v>-0.033125</v>
      </c>
      <c r="M26" s="31" t="n">
        <f aca="false">G26/MAX(G$22:G26)-1</f>
        <v>0</v>
      </c>
    </row>
    <row r="27" customFormat="false" ht="15" hidden="false" customHeight="false" outlineLevel="0" collapsed="false">
      <c r="A27" s="19" t="n">
        <f aca="false">Narxlar!A7</f>
        <v>45300</v>
      </c>
      <c r="B27" s="50" t="n">
        <f aca="false">Narxlar!B7/Narxlar!B$2</f>
        <v>0.99895</v>
      </c>
      <c r="C27" s="50" t="n">
        <f aca="false">Narxlar!C7/Narxlar!C$2</f>
        <v>1.01328</v>
      </c>
      <c r="D27" s="50" t="n">
        <f aca="false">Narxlar!D7/Narxlar!D$2</f>
        <v>1.00994565217391</v>
      </c>
      <c r="E27" s="50" t="n">
        <f aca="false">Narxlar!E7/Narxlar!E$2</f>
        <v>1.01616438356164</v>
      </c>
      <c r="F27" s="50" t="n">
        <f aca="false">Narxlar!F7/Narxlar!F$2</f>
        <v>0.9559375</v>
      </c>
      <c r="G27" s="50" t="n">
        <f aca="false">G26*(1+VaR!B9)</f>
        <v>1.00178669777703</v>
      </c>
      <c r="H27" s="31" t="n">
        <f aca="false">B27/MAX(B$22:B27)-1</f>
        <v>-0.00675124783741332</v>
      </c>
      <c r="I27" s="31" t="n">
        <f aca="false">C27/MAX(C$22:C27)-1</f>
        <v>-0.0201902993734046</v>
      </c>
      <c r="J27" s="31" t="n">
        <f aca="false">D27/MAX(D$22:D27)-1</f>
        <v>-0.00790134002455822</v>
      </c>
      <c r="K27" s="31" t="n">
        <f aca="false">E27/MAX(E$22:E27)-1</f>
        <v>-0.0251018530687344</v>
      </c>
      <c r="L27" s="31" t="n">
        <f aca="false">F27/MAX(F$22:F27)-1</f>
        <v>-0.0440625</v>
      </c>
      <c r="M27" s="31" t="n">
        <f aca="false">G27/MAX(G$22:G27)-1</f>
        <v>-0.0131600068498253</v>
      </c>
    </row>
    <row r="28" customFormat="false" ht="15" hidden="false" customHeight="false" outlineLevel="0" collapsed="false">
      <c r="A28" s="19" t="n">
        <f aca="false">Narxlar!A8</f>
        <v>45301</v>
      </c>
      <c r="B28" s="50" t="n">
        <f aca="false">Narxlar!B8/Narxlar!B$2</f>
        <v>1.01031</v>
      </c>
      <c r="C28" s="50" t="n">
        <f aca="false">Narxlar!C8/Narxlar!C$2</f>
        <v>1.03312</v>
      </c>
      <c r="D28" s="50" t="n">
        <f aca="false">Narxlar!D8/Narxlar!D$2</f>
        <v>1.0170652173913</v>
      </c>
      <c r="E28" s="50" t="n">
        <f aca="false">Narxlar!E8/Narxlar!E$2</f>
        <v>1.01178082191781</v>
      </c>
      <c r="F28" s="50" t="n">
        <f aca="false">Narxlar!F8/Narxlar!F$2</f>
        <v>0.9909765625</v>
      </c>
      <c r="G28" s="50" t="n">
        <f aca="false">G27*(1+VaR!B10)</f>
        <v>1.01570023881392</v>
      </c>
      <c r="H28" s="31" t="n">
        <f aca="false">B28/MAX(B$22:B28)-1</f>
        <v>0</v>
      </c>
      <c r="I28" s="31" t="n">
        <f aca="false">C28/MAX(C$22:C28)-1</f>
        <v>-0.00100564709522699</v>
      </c>
      <c r="J28" s="31" t="n">
        <f aca="false">D28/MAX(D$22:D28)-1</f>
        <v>-0.000907586354172096</v>
      </c>
      <c r="K28" s="31" t="n">
        <f aca="false">E28/MAX(E$22:E28)-1</f>
        <v>-0.0293073991326062</v>
      </c>
      <c r="L28" s="31" t="n">
        <f aca="false">F28/MAX(F$22:F28)-1</f>
        <v>-0.00902343750000001</v>
      </c>
      <c r="M28" s="31" t="n">
        <f aca="false">G28/MAX(G$22:G28)-1</f>
        <v>0</v>
      </c>
    </row>
    <row r="29" customFormat="false" ht="15" hidden="false" customHeight="false" outlineLevel="0" collapsed="false">
      <c r="A29" s="19" t="n">
        <f aca="false">Narxlar!A9</f>
        <v>45302</v>
      </c>
      <c r="B29" s="50" t="n">
        <f aca="false">Narxlar!B9/Narxlar!B$2</f>
        <v>0.9971</v>
      </c>
      <c r="C29" s="50" t="n">
        <f aca="false">Narxlar!C9/Narxlar!C$2</f>
        <v>1.01624</v>
      </c>
      <c r="D29" s="50" t="n">
        <f aca="false">Narxlar!D9/Narxlar!D$2</f>
        <v>1.0041847826087</v>
      </c>
      <c r="E29" s="50" t="n">
        <f aca="false">Narxlar!E9/Narxlar!E$2</f>
        <v>1.00356164383562</v>
      </c>
      <c r="F29" s="50" t="n">
        <f aca="false">Narxlar!F9/Narxlar!F$2</f>
        <v>0.976328125</v>
      </c>
      <c r="G29" s="50" t="n">
        <f aca="false">G28*(1+VaR!B11)</f>
        <v>1.00244030341258</v>
      </c>
      <c r="H29" s="31" t="n">
        <f aca="false">B29/MAX(B$22:B29)-1</f>
        <v>-0.0130751947422079</v>
      </c>
      <c r="I29" s="31" t="n">
        <f aca="false">C29/MAX(C$22:C29)-1</f>
        <v>-0.0173280730254506</v>
      </c>
      <c r="J29" s="31" t="n">
        <f aca="false">D29/MAX(D$22:D29)-1</f>
        <v>-0.013560407879985</v>
      </c>
      <c r="K29" s="31" t="n">
        <f aca="false">E29/MAX(E$22:E29)-1</f>
        <v>-0.0371927980023655</v>
      </c>
      <c r="L29" s="31" t="n">
        <f aca="false">F29/MAX(F$22:F29)-1</f>
        <v>-0.023671875</v>
      </c>
      <c r="M29" s="31" t="n">
        <f aca="false">G29/MAX(G$22:G29)-1</f>
        <v>-0.0130549692661439</v>
      </c>
    </row>
    <row r="30" customFormat="false" ht="15" hidden="false" customHeight="false" outlineLevel="0" collapsed="false">
      <c r="A30" s="19" t="n">
        <f aca="false">Narxlar!A10</f>
        <v>45303</v>
      </c>
      <c r="B30" s="50" t="n">
        <f aca="false">Narxlar!B10/Narxlar!B$2</f>
        <v>0.98292</v>
      </c>
      <c r="C30" s="50" t="n">
        <f aca="false">Narxlar!C10/Narxlar!C$2</f>
        <v>0.99456</v>
      </c>
      <c r="D30" s="50" t="n">
        <f aca="false">Narxlar!D10/Narxlar!D$2</f>
        <v>0.996304347826087</v>
      </c>
      <c r="E30" s="50" t="n">
        <f aca="false">Narxlar!E10/Narxlar!E$2</f>
        <v>0.983150684931507</v>
      </c>
      <c r="F30" s="50" t="n">
        <f aca="false">Narxlar!F10/Narxlar!F$2</f>
        <v>0.9421484375</v>
      </c>
      <c r="G30" s="50" t="n">
        <f aca="false">G29*(1+VaR!B12)</f>
        <v>0.981942131382754</v>
      </c>
      <c r="H30" s="31" t="n">
        <f aca="false">B30/MAX(B$22:B30)-1</f>
        <v>-0.0271104908394455</v>
      </c>
      <c r="I30" s="31" t="n">
        <f aca="false">C30/MAX(C$22:C30)-1</f>
        <v>-0.0382919470874913</v>
      </c>
      <c r="J30" s="31" t="n">
        <f aca="false">D30/MAX(D$22:D30)-1</f>
        <v>-0.0213015856067481</v>
      </c>
      <c r="K30" s="31" t="n">
        <f aca="false">E30/MAX(E$22:E30)-1</f>
        <v>-0.0567748718622685</v>
      </c>
      <c r="L30" s="31" t="n">
        <f aca="false">F30/MAX(F$22:F30)-1</f>
        <v>-0.0578515625</v>
      </c>
      <c r="M30" s="31" t="n">
        <f aca="false">G30/MAX(G$22:G30)-1</f>
        <v>-0.0332362897448779</v>
      </c>
    </row>
    <row r="31" customFormat="false" ht="15" hidden="false" customHeight="false" outlineLevel="0" collapsed="false">
      <c r="A31" s="19" t="n">
        <f aca="false">Narxlar!A11</f>
        <v>45306</v>
      </c>
      <c r="B31" s="50" t="n">
        <f aca="false">Narxlar!B11/Narxlar!B$2</f>
        <v>0.97834</v>
      </c>
      <c r="C31" s="50" t="n">
        <f aca="false">Narxlar!C11/Narxlar!C$2</f>
        <v>0.98728</v>
      </c>
      <c r="D31" s="50" t="n">
        <f aca="false">Narxlar!D11/Narxlar!D$2</f>
        <v>0.995108695652174</v>
      </c>
      <c r="E31" s="50" t="n">
        <f aca="false">Narxlar!E11/Narxlar!E$2</f>
        <v>0.982328767123288</v>
      </c>
      <c r="F31" s="50" t="n">
        <f aca="false">Narxlar!F11/Narxlar!F$2</f>
        <v>0.9366015625</v>
      </c>
      <c r="G31" s="50" t="n">
        <f aca="false">G30*(1+VaR!B13)</f>
        <v>0.978129776739406</v>
      </c>
      <c r="H31" s="31" t="n">
        <f aca="false">B31/MAX(B$22:B31)-1</f>
        <v>-0.0316437529075235</v>
      </c>
      <c r="I31" s="31" t="n">
        <f aca="false">C31/MAX(C$22:C31)-1</f>
        <v>-0.0453314767540806</v>
      </c>
      <c r="J31" s="31" t="n">
        <f aca="false">D31/MAX(D$22:D31)-1</f>
        <v>-0.0224761091239123</v>
      </c>
      <c r="K31" s="31" t="n">
        <f aca="false">E31/MAX(E$22:E31)-1</f>
        <v>-0.0575634117492444</v>
      </c>
      <c r="L31" s="31" t="n">
        <f aca="false">F31/MAX(F$22:F31)-1</f>
        <v>-0.0633984375</v>
      </c>
      <c r="M31" s="31" t="n">
        <f aca="false">G31/MAX(G$22:G31)-1</f>
        <v>-0.0369897147197505</v>
      </c>
    </row>
    <row r="32" customFormat="false" ht="15" hidden="false" customHeight="false" outlineLevel="0" collapsed="false">
      <c r="A32" s="19" t="n">
        <f aca="false">Narxlar!A12</f>
        <v>45307</v>
      </c>
      <c r="B32" s="50" t="n">
        <f aca="false">Narxlar!B12/Narxlar!B$2</f>
        <v>0.97653</v>
      </c>
      <c r="C32" s="50" t="n">
        <f aca="false">Narxlar!C12/Narxlar!C$2</f>
        <v>0.94456</v>
      </c>
      <c r="D32" s="50" t="n">
        <f aca="false">Narxlar!D12/Narxlar!D$2</f>
        <v>1.00505434782609</v>
      </c>
      <c r="E32" s="50" t="n">
        <f aca="false">Narxlar!E12/Narxlar!E$2</f>
        <v>0.988630136986301</v>
      </c>
      <c r="F32" s="50" t="n">
        <f aca="false">Narxlar!F12/Narxlar!F$2</f>
        <v>0.9497265625</v>
      </c>
      <c r="G32" s="50" t="n">
        <f aca="false">G31*(1+VaR!B14)</f>
        <v>0.97218654497631</v>
      </c>
      <c r="H32" s="31" t="n">
        <f aca="false">B32/MAX(B$22:B32)-1</f>
        <v>-0.0334352822401045</v>
      </c>
      <c r="I32" s="31" t="n">
        <f aca="false">C32/MAX(C$22:C32)-1</f>
        <v>-0.086640365127253</v>
      </c>
      <c r="J32" s="31" t="n">
        <f aca="false">D32/MAX(D$22:D32)-1</f>
        <v>-0.0127062089584111</v>
      </c>
      <c r="K32" s="31" t="n">
        <f aca="false">E32/MAX(E$22:E32)-1</f>
        <v>-0.0515179392824287</v>
      </c>
      <c r="L32" s="31" t="n">
        <f aca="false">F32/MAX(F$22:F32)-1</f>
        <v>-0.0502734375</v>
      </c>
      <c r="M32" s="31" t="n">
        <f aca="false">G32/MAX(G$22:G32)-1</f>
        <v>-0.0428410786714177</v>
      </c>
    </row>
    <row r="33" customFormat="false" ht="15" hidden="false" customHeight="false" outlineLevel="0" collapsed="false">
      <c r="A33" s="19" t="n">
        <f aca="false">Narxlar!A13</f>
        <v>45308</v>
      </c>
      <c r="B33" s="50" t="n">
        <f aca="false">Narxlar!B13/Narxlar!B$2</f>
        <v>0.97387</v>
      </c>
      <c r="C33" s="50" t="n">
        <f aca="false">Narxlar!C13/Narxlar!C$2</f>
        <v>0.94872</v>
      </c>
      <c r="D33" s="50" t="n">
        <f aca="false">Narxlar!D13/Narxlar!D$2</f>
        <v>0.99875</v>
      </c>
      <c r="E33" s="50" t="n">
        <f aca="false">Narxlar!E13/Narxlar!E$2</f>
        <v>0.993561643835616</v>
      </c>
      <c r="F33" s="50" t="n">
        <f aca="false">Narxlar!F13/Narxlar!F$2</f>
        <v>0.9549609375</v>
      </c>
      <c r="G33" s="50" t="n">
        <f aca="false">G32*(1+VaR!B15)</f>
        <v>0.974230504674384</v>
      </c>
      <c r="H33" s="31" t="n">
        <f aca="false">B33/MAX(B$22:B33)-1</f>
        <v>-0.0360681375023508</v>
      </c>
      <c r="I33" s="31" t="n">
        <f aca="false">C33/MAX(C$22:C33)-1</f>
        <v>-0.0826177767463449</v>
      </c>
      <c r="J33" s="31" t="n">
        <f aca="false">D33/MAX(D$22:D33)-1</f>
        <v>-0.0188991511398217</v>
      </c>
      <c r="K33" s="31" t="n">
        <f aca="false">E33/MAX(E$22:E33)-1</f>
        <v>-0.0467866999605731</v>
      </c>
      <c r="L33" s="31" t="n">
        <f aca="false">F33/MAX(F$22:F33)-1</f>
        <v>-0.0450390625</v>
      </c>
      <c r="M33" s="31" t="n">
        <f aca="false">G33/MAX(G$22:G33)-1</f>
        <v>-0.0408287135857696</v>
      </c>
    </row>
    <row r="34" customFormat="false" ht="15" hidden="false" customHeight="false" outlineLevel="0" collapsed="false">
      <c r="A34" s="19" t="n">
        <f aca="false">Narxlar!A14</f>
        <v>45309</v>
      </c>
      <c r="B34" s="50" t="n">
        <f aca="false">Narxlar!B14/Narxlar!B$2</f>
        <v>0.97718</v>
      </c>
      <c r="C34" s="50" t="n">
        <f aca="false">Narxlar!C14/Narxlar!C$2</f>
        <v>0.96016</v>
      </c>
      <c r="D34" s="50" t="n">
        <f aca="false">Narxlar!D14/Narxlar!D$2</f>
        <v>1.00342391304348</v>
      </c>
      <c r="E34" s="50" t="n">
        <f aca="false">Narxlar!E14/Narxlar!E$2</f>
        <v>1.00493150684932</v>
      </c>
      <c r="F34" s="50" t="n">
        <f aca="false">Narxlar!F14/Narxlar!F$2</f>
        <v>0.9580078125</v>
      </c>
      <c r="G34" s="50" t="n">
        <f aca="false">G33*(1+VaR!B16)</f>
        <v>0.982303413762266</v>
      </c>
      <c r="H34" s="31" t="n">
        <f aca="false">B34/MAX(B$22:B34)-1</f>
        <v>-0.0327919153527136</v>
      </c>
      <c r="I34" s="31" t="n">
        <f aca="false">C34/MAX(C$22:C34)-1</f>
        <v>-0.0715556586988473</v>
      </c>
      <c r="J34" s="31" t="n">
        <f aca="false">D34/MAX(D$22:D34)-1</f>
        <v>-0.0143078319363621</v>
      </c>
      <c r="K34" s="31" t="n">
        <f aca="false">E34/MAX(E$22:E34)-1</f>
        <v>-0.0358785648574058</v>
      </c>
      <c r="L34" s="31" t="n">
        <f aca="false">F34/MAX(F$22:F34)-1</f>
        <v>-0.0419921875</v>
      </c>
      <c r="M34" s="31" t="n">
        <f aca="false">G34/MAX(G$22:G34)-1</f>
        <v>-0.0328805919063759</v>
      </c>
    </row>
    <row r="35" customFormat="false" ht="15" hidden="false" customHeight="false" outlineLevel="0" collapsed="false">
      <c r="A35" s="19" t="n">
        <f aca="false">Narxlar!A15</f>
        <v>45310</v>
      </c>
      <c r="B35" s="50" t="n">
        <f aca="false">Narxlar!B15/Narxlar!B$2</f>
        <v>0.97427</v>
      </c>
      <c r="C35" s="50" t="n">
        <f aca="false">Narxlar!C15/Narxlar!C$2</f>
        <v>0.95224</v>
      </c>
      <c r="D35" s="50" t="n">
        <f aca="false">Narxlar!D15/Narxlar!D$2</f>
        <v>1.01114130434783</v>
      </c>
      <c r="E35" s="50" t="n">
        <f aca="false">Narxlar!E15/Narxlar!E$2</f>
        <v>0.997808219178082</v>
      </c>
      <c r="F35" s="50" t="n">
        <f aca="false">Narxlar!F15/Narxlar!F$2</f>
        <v>0.96578125</v>
      </c>
      <c r="G35" s="50" t="n">
        <f aca="false">G34*(1+VaR!B17)</f>
        <v>0.981614748189289</v>
      </c>
      <c r="H35" s="31" t="n">
        <f aca="false">B35/MAX(B$22:B35)-1</f>
        <v>-0.0356722194178025</v>
      </c>
      <c r="I35" s="31" t="n">
        <f aca="false">C35/MAX(C$22:C35)-1</f>
        <v>-0.0792140481163456</v>
      </c>
      <c r="J35" s="31" t="n">
        <f aca="false">D35/MAX(D$22:D35)-1</f>
        <v>-0.00672681650739404</v>
      </c>
      <c r="K35" s="31" t="n">
        <f aca="false">E35/MAX(E$22:E35)-1</f>
        <v>-0.0427125772111974</v>
      </c>
      <c r="L35" s="31" t="n">
        <f aca="false">F35/MAX(F$22:F35)-1</f>
        <v>-0.03421875</v>
      </c>
      <c r="M35" s="31" t="n">
        <f aca="false">G35/MAX(G$22:G35)-1</f>
        <v>-0.033558612395749</v>
      </c>
    </row>
    <row r="36" customFormat="false" ht="15" hidden="false" customHeight="false" outlineLevel="0" collapsed="false">
      <c r="A36" s="19" t="n">
        <f aca="false">Narxlar!A16</f>
        <v>45313</v>
      </c>
      <c r="B36" s="50" t="n">
        <f aca="false">Narxlar!B16/Narxlar!B$2</f>
        <v>0.97011</v>
      </c>
      <c r="C36" s="50" t="n">
        <f aca="false">Narxlar!C16/Narxlar!C$2</f>
        <v>0.95616</v>
      </c>
      <c r="D36" s="50" t="n">
        <f aca="false">Narxlar!D16/Narxlar!D$2</f>
        <v>0.994782608695652</v>
      </c>
      <c r="E36" s="50" t="n">
        <f aca="false">Narxlar!E16/Narxlar!E$2</f>
        <v>0.992054794520548</v>
      </c>
      <c r="F36" s="50" t="n">
        <f aca="false">Narxlar!F16/Narxlar!F$2</f>
        <v>0.9524609375</v>
      </c>
      <c r="G36" s="50" t="n">
        <f aca="false">G35*(1+VaR!B18)</f>
        <v>0.974734023549539</v>
      </c>
      <c r="H36" s="31" t="n">
        <f aca="false">B36/MAX(B$22:B36)-1</f>
        <v>-0.0397897674971048</v>
      </c>
      <c r="I36" s="31" t="n">
        <f aca="false">C36/MAX(C$22:C36)-1</f>
        <v>-0.0754235321420282</v>
      </c>
      <c r="J36" s="31" t="n">
        <f aca="false">D36/MAX(D$22:D36)-1</f>
        <v>-0.0227964337195024</v>
      </c>
      <c r="K36" s="31" t="n">
        <f aca="false">E36/MAX(E$22:E36)-1</f>
        <v>-0.048232356420029</v>
      </c>
      <c r="L36" s="31" t="n">
        <f aca="false">F36/MAX(F$22:F36)-1</f>
        <v>-0.0475390625</v>
      </c>
      <c r="M36" s="31" t="n">
        <f aca="false">G36/MAX(G$22:G36)-1</f>
        <v>-0.0403329778795902</v>
      </c>
    </row>
    <row r="37" customFormat="false" ht="15" hidden="false" customHeight="false" outlineLevel="0" collapsed="false">
      <c r="A37" s="19" t="n">
        <f aca="false">Narxlar!A17</f>
        <v>45314</v>
      </c>
      <c r="B37" s="50" t="n">
        <f aca="false">Narxlar!B17/Narxlar!B$2</f>
        <v>0.96599</v>
      </c>
      <c r="C37" s="50" t="n">
        <f aca="false">Narxlar!C17/Narxlar!C$2</f>
        <v>0.95096</v>
      </c>
      <c r="D37" s="50" t="n">
        <f aca="false">Narxlar!D17/Narxlar!D$2</f>
        <v>1.00777173913043</v>
      </c>
      <c r="E37" s="50" t="n">
        <f aca="false">Narxlar!E17/Narxlar!E$2</f>
        <v>0.986438356164384</v>
      </c>
      <c r="F37" s="50" t="n">
        <f aca="false">Narxlar!F17/Narxlar!F$2</f>
        <v>0.93875</v>
      </c>
      <c r="G37" s="50" t="n">
        <f aca="false">G36*(1+VaR!B19)</f>
        <v>0.972139649787619</v>
      </c>
      <c r="H37" s="31" t="n">
        <f aca="false">B37/MAX(B$22:B37)-1</f>
        <v>-0.0438677237679525</v>
      </c>
      <c r="I37" s="31" t="n">
        <f aca="false">C37/MAX(C$22:C37)-1</f>
        <v>-0.0804517676181635</v>
      </c>
      <c r="J37" s="31" t="n">
        <f aca="false">D37/MAX(D$22:D37)-1</f>
        <v>-0.0100368373284928</v>
      </c>
      <c r="K37" s="31" t="n">
        <f aca="false">E37/MAX(E$22:E37)-1</f>
        <v>-0.0536207123143646</v>
      </c>
      <c r="L37" s="31" t="n">
        <f aca="false">F37/MAX(F$22:F37)-1</f>
        <v>-0.06125</v>
      </c>
      <c r="M37" s="31" t="n">
        <f aca="false">G37/MAX(G$22:G37)-1</f>
        <v>-0.0428872489753124</v>
      </c>
    </row>
    <row r="38" customFormat="false" ht="15" hidden="false" customHeight="false" outlineLevel="0" collapsed="false">
      <c r="A38" s="19" t="n">
        <f aca="false">Narxlar!A18</f>
        <v>45315</v>
      </c>
      <c r="B38" s="50" t="n">
        <f aca="false">Narxlar!B18/Narxlar!B$2</f>
        <v>0.97283</v>
      </c>
      <c r="C38" s="50" t="n">
        <f aca="false">Narxlar!C18/Narxlar!C$2</f>
        <v>0.954</v>
      </c>
      <c r="D38" s="50" t="n">
        <f aca="false">Narxlar!D18/Narxlar!D$2</f>
        <v>1.01489130434783</v>
      </c>
      <c r="E38" s="50" t="n">
        <f aca="false">Narxlar!E18/Narxlar!E$2</f>
        <v>1.00438356164384</v>
      </c>
      <c r="F38" s="50" t="n">
        <f aca="false">Narxlar!F18/Narxlar!F$2</f>
        <v>0.940390625</v>
      </c>
      <c r="G38" s="50" t="n">
        <f aca="false">G37*(1+VaR!B20)</f>
        <v>0.979549987839795</v>
      </c>
      <c r="H38" s="31" t="n">
        <f aca="false">B38/MAX(B$22:B38)-1</f>
        <v>-0.0370975245221763</v>
      </c>
      <c r="I38" s="31" t="n">
        <f aca="false">C38/MAX(C$22:C38)-1</f>
        <v>-0.0775121838013461</v>
      </c>
      <c r="J38" s="31" t="n">
        <f aca="false">D38/MAX(D$22:D38)-1</f>
        <v>-0.0030430836581069</v>
      </c>
      <c r="K38" s="31" t="n">
        <f aca="false">E38/MAX(E$22:E38)-1</f>
        <v>-0.0364042581153896</v>
      </c>
      <c r="L38" s="31" t="n">
        <f aca="false">F38/MAX(F$22:F38)-1</f>
        <v>-0.059609375</v>
      </c>
      <c r="M38" s="31" t="n">
        <f aca="false">G38/MAX(G$22:G38)-1</f>
        <v>-0.0355914566056762</v>
      </c>
    </row>
    <row r="39" customFormat="false" ht="15" hidden="false" customHeight="false" outlineLevel="0" collapsed="false">
      <c r="A39" s="19" t="n">
        <f aca="false">Narxlar!A19</f>
        <v>45316</v>
      </c>
      <c r="B39" s="50" t="n">
        <f aca="false">Narxlar!B19/Narxlar!B$2</f>
        <v>0.98564</v>
      </c>
      <c r="C39" s="50" t="n">
        <f aca="false">Narxlar!C19/Narxlar!C$2</f>
        <v>0.96648</v>
      </c>
      <c r="D39" s="50" t="n">
        <f aca="false">Narxlar!D19/Narxlar!D$2</f>
        <v>1.05070652173913</v>
      </c>
      <c r="E39" s="50" t="n">
        <f aca="false">Narxlar!E19/Narxlar!E$2</f>
        <v>1.01958904109589</v>
      </c>
      <c r="F39" s="50" t="n">
        <f aca="false">Narxlar!F19/Narxlar!F$2</f>
        <v>0.9638671875</v>
      </c>
      <c r="G39" s="50" t="n">
        <f aca="false">G38*(1+VaR!B21)</f>
        <v>1.00063448071756</v>
      </c>
      <c r="H39" s="31" t="n">
        <f aca="false">B39/MAX(B$22:B39)-1</f>
        <v>-0.024418247864517</v>
      </c>
      <c r="I39" s="31" t="n">
        <f aca="false">C39/MAX(C$22:C39)-1</f>
        <v>-0.0654444186586215</v>
      </c>
      <c r="J39" s="31" t="n">
        <f aca="false">D39/MAX(D$22:D39)-1</f>
        <v>0</v>
      </c>
      <c r="K39" s="31" t="n">
        <f aca="false">E39/MAX(E$22:E39)-1</f>
        <v>-0.0218162702063347</v>
      </c>
      <c r="L39" s="31" t="n">
        <f aca="false">F39/MAX(F$22:F39)-1</f>
        <v>-0.0361328125</v>
      </c>
      <c r="M39" s="31" t="n">
        <f aca="false">G39/MAX(G$22:G39)-1</f>
        <v>-0.0148328783637424</v>
      </c>
    </row>
    <row r="40" customFormat="false" ht="15" hidden="false" customHeight="false" outlineLevel="0" collapsed="false">
      <c r="A40" s="19" t="n">
        <f aca="false">Narxlar!A20</f>
        <v>45317</v>
      </c>
      <c r="B40" s="50" t="n">
        <f aca="false">Narxlar!B20/Narxlar!B$2</f>
        <v>0.98822</v>
      </c>
      <c r="C40" s="50" t="n">
        <f aca="false">Narxlar!C20/Narxlar!C$2</f>
        <v>0.97216</v>
      </c>
      <c r="D40" s="50" t="n">
        <f aca="false">Narxlar!D20/Narxlar!D$2</f>
        <v>1.06103260869565</v>
      </c>
      <c r="E40" s="50" t="n">
        <f aca="false">Narxlar!E20/Narxlar!E$2</f>
        <v>1.02780821917808</v>
      </c>
      <c r="F40" s="50" t="n">
        <f aca="false">Narxlar!F20/Narxlar!F$2</f>
        <v>0.9701953125</v>
      </c>
      <c r="G40" s="50" t="n">
        <f aca="false">G39*(1+VaR!B22)</f>
        <v>1.00818769435467</v>
      </c>
      <c r="H40" s="31" t="n">
        <f aca="false">B40/MAX(B$22:B40)-1</f>
        <v>-0.0218645762191803</v>
      </c>
      <c r="I40" s="31" t="n">
        <f aca="false">C40/MAX(C$22:C40)-1</f>
        <v>-0.0599520383693045</v>
      </c>
      <c r="J40" s="31" t="n">
        <f aca="false">D40/MAX(D$22:D40)-1</f>
        <v>0</v>
      </c>
      <c r="K40" s="31" t="n">
        <f aca="false">E40/MAX(E$22:E40)-1</f>
        <v>-0.0139308713365751</v>
      </c>
      <c r="L40" s="31" t="n">
        <f aca="false">F40/MAX(F$22:F40)-1</f>
        <v>-0.0298046875</v>
      </c>
      <c r="M40" s="31" t="n">
        <f aca="false">G40/MAX(G$22:G40)-1</f>
        <v>-0.00739641891590048</v>
      </c>
    </row>
    <row r="41" customFormat="false" ht="15" hidden="false" customHeight="false" outlineLevel="0" collapsed="false">
      <c r="A41" s="19" t="n">
        <f aca="false">Narxlar!A21</f>
        <v>45320</v>
      </c>
      <c r="B41" s="50" t="n">
        <f aca="false">Narxlar!B21/Narxlar!B$2</f>
        <v>0.9887</v>
      </c>
      <c r="C41" s="50" t="n">
        <f aca="false">Narxlar!C21/Narxlar!C$2</f>
        <v>0.97088</v>
      </c>
      <c r="D41" s="50" t="n">
        <f aca="false">Narxlar!D21/Narxlar!D$2</f>
        <v>1.04858695652174</v>
      </c>
      <c r="E41" s="50" t="n">
        <f aca="false">Narxlar!E21/Narxlar!E$2</f>
        <v>1.0427397260274</v>
      </c>
      <c r="F41" s="50" t="n">
        <f aca="false">Narxlar!F21/Narxlar!F$2</f>
        <v>0.9643359375</v>
      </c>
      <c r="G41" s="50" t="n">
        <f aca="false">G40*(1+VaR!B23)</f>
        <v>1.00727686720822</v>
      </c>
      <c r="H41" s="31" t="n">
        <f aca="false">B41/MAX(B$22:B41)-1</f>
        <v>-0.0213894745177223</v>
      </c>
      <c r="I41" s="31" t="n">
        <f aca="false">C41/MAX(C$22:C41)-1</f>
        <v>-0.0611897578711225</v>
      </c>
      <c r="J41" s="31" t="n">
        <f aca="false">D41/MAX(D$22:D41)-1</f>
        <v>-0.0117297546483633</v>
      </c>
      <c r="K41" s="31" t="n">
        <f aca="false">E41/MAX(E$22:E41)-1</f>
        <v>0</v>
      </c>
      <c r="L41" s="31" t="n">
        <f aca="false">F41/MAX(F$22:F41)-1</f>
        <v>-0.0356640625</v>
      </c>
      <c r="M41" s="31" t="n">
        <f aca="false">G41/MAX(G$22:G41)-1</f>
        <v>-0.00829316690476367</v>
      </c>
    </row>
    <row r="42" customFormat="false" ht="15" hidden="false" customHeight="false" outlineLevel="0" collapsed="false">
      <c r="A42" s="19" t="n">
        <f aca="false">Narxlar!A22</f>
        <v>45321</v>
      </c>
      <c r="B42" s="50" t="n">
        <f aca="false">Narxlar!B22/Narxlar!B$2</f>
        <v>0.99553</v>
      </c>
      <c r="C42" s="50" t="n">
        <f aca="false">Narxlar!C22/Narxlar!C$2</f>
        <v>0.96144</v>
      </c>
      <c r="D42" s="50" t="n">
        <f aca="false">Narxlar!D22/Narxlar!D$2</f>
        <v>1.03929347826087</v>
      </c>
      <c r="E42" s="50" t="n">
        <f aca="false">Narxlar!E22/Narxlar!E$2</f>
        <v>1.05876712328767</v>
      </c>
      <c r="F42" s="50" t="n">
        <f aca="false">Narxlar!F22/Narxlar!F$2</f>
        <v>0.9866796875</v>
      </c>
      <c r="G42" s="50" t="n">
        <f aca="false">G41*(1+VaR!B24)</f>
        <v>1.0106451796609</v>
      </c>
      <c r="H42" s="31" t="n">
        <f aca="false">B42/MAX(B$22:B42)-1</f>
        <v>-0.01462917322406</v>
      </c>
      <c r="I42" s="31" t="n">
        <f aca="false">C42/MAX(C$22:C42)-1</f>
        <v>-0.0703179391970294</v>
      </c>
      <c r="J42" s="31" t="n">
        <f aca="false">D42/MAX(D$22:D42)-1</f>
        <v>-0.0204886544076217</v>
      </c>
      <c r="K42" s="31" t="n">
        <f aca="false">E42/MAX(E$22:E42)-1</f>
        <v>0</v>
      </c>
      <c r="L42" s="31" t="n">
        <f aca="false">F42/MAX(F$22:F42)-1</f>
        <v>-0.0133203125</v>
      </c>
      <c r="M42" s="31" t="n">
        <f aca="false">G42/MAX(G$22:G42)-1</f>
        <v>-0.00497692031550501</v>
      </c>
    </row>
    <row r="43" customFormat="false" ht="15" hidden="false" customHeight="false" outlineLevel="0" collapsed="false">
      <c r="A43" s="19" t="n">
        <f aca="false">Narxlar!A23</f>
        <v>45322</v>
      </c>
      <c r="B43" s="50" t="n">
        <f aca="false">Narxlar!B23/Narxlar!B$2</f>
        <v>1.00016</v>
      </c>
      <c r="C43" s="50" t="n">
        <f aca="false">Narxlar!C23/Narxlar!C$2</f>
        <v>0.96768</v>
      </c>
      <c r="D43" s="50" t="n">
        <f aca="false">Narxlar!D23/Narxlar!D$2</f>
        <v>1.05108695652174</v>
      </c>
      <c r="E43" s="50" t="n">
        <f aca="false">Narxlar!E23/Narxlar!E$2</f>
        <v>1.05739726027397</v>
      </c>
      <c r="F43" s="50" t="n">
        <f aca="false">Narxlar!F23/Narxlar!F$2</f>
        <v>0.9882421875</v>
      </c>
      <c r="G43" s="50" t="n">
        <f aca="false">G42*(1+VaR!B25)</f>
        <v>1.01547327326967</v>
      </c>
      <c r="H43" s="31" t="n">
        <f aca="false">B43/MAX(B$22:B43)-1</f>
        <v>-0.0100464213954133</v>
      </c>
      <c r="I43" s="31" t="n">
        <f aca="false">C43/MAX(C$22:C43)-1</f>
        <v>-0.0642840566256672</v>
      </c>
      <c r="J43" s="31" t="n">
        <f aca="false">D43/MAX(D$22:D43)-1</f>
        <v>-0.00937355939148687</v>
      </c>
      <c r="K43" s="31" t="n">
        <f aca="false">E43/MAX(E$22:E43)-1</f>
        <v>-0.00129382843834913</v>
      </c>
      <c r="L43" s="31" t="n">
        <f aca="false">F43/MAX(F$22:F43)-1</f>
        <v>-0.0117578125</v>
      </c>
      <c r="M43" s="31" t="n">
        <f aca="false">G43/MAX(G$22:G43)-1</f>
        <v>-0.000223457212637945</v>
      </c>
    </row>
    <row r="44" customFormat="false" ht="15" hidden="false" customHeight="false" outlineLevel="0" collapsed="false">
      <c r="A44" s="19" t="n">
        <f aca="false">Narxlar!A24</f>
        <v>45323</v>
      </c>
      <c r="B44" s="50" t="n">
        <f aca="false">Narxlar!B24/Narxlar!B$2</f>
        <v>0.99441</v>
      </c>
      <c r="C44" s="50" t="n">
        <f aca="false">Narxlar!C24/Narxlar!C$2</f>
        <v>0.976</v>
      </c>
      <c r="D44" s="50" t="n">
        <f aca="false">Narxlar!D24/Narxlar!D$2</f>
        <v>1.04961956521739</v>
      </c>
      <c r="E44" s="50" t="n">
        <f aca="false">Narxlar!E24/Narxlar!E$2</f>
        <v>1.05465753424658</v>
      </c>
      <c r="F44" s="50" t="n">
        <f aca="false">Narxlar!F24/Narxlar!F$2</f>
        <v>0.9885546875</v>
      </c>
      <c r="G44" s="50" t="n">
        <f aca="false">G43*(1+VaR!B26)</f>
        <v>1.01714457858945</v>
      </c>
      <c r="H44" s="31" t="n">
        <f aca="false">B44/MAX(B$22:B44)-1</f>
        <v>-0.0157377438607952</v>
      </c>
      <c r="I44" s="31" t="n">
        <f aca="false">C44/MAX(C$22:C44)-1</f>
        <v>-0.0562388798638509</v>
      </c>
      <c r="J44" s="31" t="n">
        <f aca="false">D44/MAX(D$22:D44)-1</f>
        <v>-0.0107565435640012</v>
      </c>
      <c r="K44" s="31" t="n">
        <f aca="false">E44/MAX(E$22:E44)-1</f>
        <v>-0.00388148531504717</v>
      </c>
      <c r="L44" s="31" t="n">
        <f aca="false">F44/MAX(F$22:F44)-1</f>
        <v>-0.0114453125</v>
      </c>
      <c r="M44" s="31" t="n">
        <f aca="false">G44/MAX(G$22:G44)-1</f>
        <v>0</v>
      </c>
    </row>
    <row r="45" customFormat="false" ht="15" hidden="false" customHeight="false" outlineLevel="0" collapsed="false">
      <c r="A45" s="19" t="n">
        <f aca="false">Narxlar!A25</f>
        <v>45324</v>
      </c>
      <c r="B45" s="50" t="n">
        <f aca="false">Narxlar!B25/Narxlar!B$2</f>
        <v>0.99281</v>
      </c>
      <c r="C45" s="50" t="n">
        <f aca="false">Narxlar!C25/Narxlar!C$2</f>
        <v>0.97968</v>
      </c>
      <c r="D45" s="50" t="n">
        <f aca="false">Narxlar!D25/Narxlar!D$2</f>
        <v>1.05576086956522</v>
      </c>
      <c r="E45" s="50" t="n">
        <f aca="false">Narxlar!E25/Narxlar!E$2</f>
        <v>1.04178082191781</v>
      </c>
      <c r="F45" s="50" t="n">
        <f aca="false">Narxlar!F25/Narxlar!F$2</f>
        <v>0.99671875</v>
      </c>
      <c r="G45" s="50" t="n">
        <f aca="false">G44*(1+VaR!B27)</f>
        <v>1.01835830191815</v>
      </c>
      <c r="H45" s="31" t="n">
        <f aca="false">B45/MAX(B$22:B45)-1</f>
        <v>-0.0173214161989885</v>
      </c>
      <c r="I45" s="31" t="n">
        <f aca="false">C45/MAX(C$22:C45)-1</f>
        <v>-0.0526804362961244</v>
      </c>
      <c r="J45" s="31" t="n">
        <f aca="false">D45/MAX(D$22:D45)-1</f>
        <v>-0.00496849869384819</v>
      </c>
      <c r="K45" s="31" t="n">
        <f aca="false">E45/MAX(E$22:E45)-1</f>
        <v>-0.0160434726355285</v>
      </c>
      <c r="L45" s="31" t="n">
        <f aca="false">F45/MAX(F$22:F45)-1</f>
        <v>-0.00328125000000001</v>
      </c>
      <c r="M45" s="31" t="n">
        <f aca="false">G45/MAX(G$22:G45)-1</f>
        <v>0</v>
      </c>
    </row>
    <row r="46" customFormat="false" ht="15" hidden="false" customHeight="false" outlineLevel="0" collapsed="false">
      <c r="A46" s="19" t="n">
        <f aca="false">Narxlar!A26</f>
        <v>45327</v>
      </c>
      <c r="B46" s="50" t="n">
        <f aca="false">Narxlar!B26/Narxlar!B$2</f>
        <v>0.99789</v>
      </c>
      <c r="C46" s="50" t="n">
        <f aca="false">Narxlar!C26/Narxlar!C$2</f>
        <v>0.97984</v>
      </c>
      <c r="D46" s="50" t="n">
        <f aca="false">Narxlar!D26/Narxlar!D$2</f>
        <v>1.03755434782609</v>
      </c>
      <c r="E46" s="50" t="n">
        <f aca="false">Narxlar!E26/Narxlar!E$2</f>
        <v>1.05178082191781</v>
      </c>
      <c r="F46" s="50" t="n">
        <f aca="false">Narxlar!F26/Narxlar!F$2</f>
        <v>1.005</v>
      </c>
      <c r="G46" s="50" t="n">
        <f aca="false">G45*(1+VaR!B28)</f>
        <v>1.01815381831838</v>
      </c>
      <c r="H46" s="31" t="n">
        <f aca="false">B46/MAX(B$22:B46)-1</f>
        <v>-0.0122932565252251</v>
      </c>
      <c r="I46" s="31" t="n">
        <f aca="false">C46/MAX(C$22:C46)-1</f>
        <v>-0.0525257213583971</v>
      </c>
      <c r="J46" s="31" t="n">
        <f aca="false">D46/MAX(D$22:D46)-1</f>
        <v>-0.0221277467602314</v>
      </c>
      <c r="K46" s="31" t="n">
        <f aca="false">E46/MAX(E$22:E46)-1</f>
        <v>-0.00659852503558023</v>
      </c>
      <c r="L46" s="31" t="n">
        <f aca="false">F46/MAX(F$22:F46)-1</f>
        <v>0</v>
      </c>
      <c r="M46" s="31" t="n">
        <f aca="false">G46/MAX(G$22:G46)-1</f>
        <v>-0.000200797302270628</v>
      </c>
    </row>
    <row r="47" customFormat="false" ht="15" hidden="false" customHeight="false" outlineLevel="0" collapsed="false">
      <c r="A47" s="19" t="n">
        <f aca="false">Narxlar!A27</f>
        <v>45328</v>
      </c>
      <c r="B47" s="50" t="n">
        <f aca="false">Narxlar!B27/Narxlar!B$2</f>
        <v>0.99248</v>
      </c>
      <c r="C47" s="50" t="n">
        <f aca="false">Narxlar!C27/Narxlar!C$2</f>
        <v>0.968</v>
      </c>
      <c r="D47" s="50" t="n">
        <f aca="false">Narxlar!D27/Narxlar!D$2</f>
        <v>1.03255434782609</v>
      </c>
      <c r="E47" s="50" t="n">
        <f aca="false">Narxlar!E27/Narxlar!E$2</f>
        <v>1.02260273972603</v>
      </c>
      <c r="F47" s="50" t="n">
        <f aca="false">Narxlar!F27/Narxlar!F$2</f>
        <v>0.985546875</v>
      </c>
      <c r="G47" s="50" t="n">
        <f aca="false">G46*(1+VaR!B29)</f>
        <v>1.00223344970938</v>
      </c>
      <c r="H47" s="31" t="n">
        <f aca="false">B47/MAX(B$22:B47)-1</f>
        <v>-0.0176480486187408</v>
      </c>
      <c r="I47" s="31" t="n">
        <f aca="false">C47/MAX(C$22:C47)-1</f>
        <v>-0.0639746267502127</v>
      </c>
      <c r="J47" s="31" t="n">
        <f aca="false">D47/MAX(D$22:D47)-1</f>
        <v>-0.0268401372739844</v>
      </c>
      <c r="K47" s="31" t="n">
        <f aca="false">E47/MAX(E$22:E47)-1</f>
        <v>-0.0341570707724156</v>
      </c>
      <c r="L47" s="31" t="n">
        <f aca="false">F47/MAX(F$22:F47)-1</f>
        <v>-0.0193563432835819</v>
      </c>
      <c r="M47" s="31" t="n">
        <f aca="false">G47/MAX(G$22:G47)-1</f>
        <v>-0.0158341638482225</v>
      </c>
    </row>
    <row r="48" customFormat="false" ht="15" hidden="false" customHeight="false" outlineLevel="0" collapsed="false">
      <c r="A48" s="19" t="n">
        <f aca="false">Narxlar!A28</f>
        <v>45329</v>
      </c>
      <c r="B48" s="50" t="n">
        <f aca="false">Narxlar!B28/Narxlar!B$2</f>
        <v>0.99337</v>
      </c>
      <c r="C48" s="50" t="n">
        <f aca="false">Narxlar!C28/Narxlar!C$2</f>
        <v>0.97488</v>
      </c>
      <c r="D48" s="50" t="n">
        <f aca="false">Narxlar!D28/Narxlar!D$2</f>
        <v>1.03576086956522</v>
      </c>
      <c r="E48" s="50" t="n">
        <f aca="false">Narxlar!E28/Narxlar!E$2</f>
        <v>1.02164383561644</v>
      </c>
      <c r="F48" s="50" t="n">
        <f aca="false">Narxlar!F28/Narxlar!F$2</f>
        <v>0.98703125</v>
      </c>
      <c r="G48" s="50" t="n">
        <f aca="false">G47*(1+VaR!B30)</f>
        <v>1.0052154845158</v>
      </c>
      <c r="H48" s="31" t="n">
        <f aca="false">B48/MAX(B$22:B48)-1</f>
        <v>-0.0167671308806209</v>
      </c>
      <c r="I48" s="31" t="n">
        <f aca="false">C48/MAX(C$22:C48)-1</f>
        <v>-0.0573218844279415</v>
      </c>
      <c r="J48" s="31" t="n">
        <f aca="false">D48/MAX(D$22:D48)-1</f>
        <v>-0.0238180607488602</v>
      </c>
      <c r="K48" s="31" t="n">
        <f aca="false">E48/MAX(E$22:E48)-1</f>
        <v>-0.0350627506792599</v>
      </c>
      <c r="L48" s="31" t="n">
        <f aca="false">F48/MAX(F$22:F48)-1</f>
        <v>-0.0178793532338307</v>
      </c>
      <c r="M48" s="31" t="n">
        <f aca="false">G48/MAX(G$22:G48)-1</f>
        <v>-0.0129058872280937</v>
      </c>
    </row>
    <row r="49" customFormat="false" ht="15" hidden="false" customHeight="false" outlineLevel="0" collapsed="false">
      <c r="A49" s="19" t="n">
        <f aca="false">Narxlar!A29</f>
        <v>45330</v>
      </c>
      <c r="B49" s="50" t="n">
        <f aca="false">Narxlar!B29/Narxlar!B$2</f>
        <v>1.00031</v>
      </c>
      <c r="C49" s="50" t="n">
        <f aca="false">Narxlar!C29/Narxlar!C$2</f>
        <v>0.9824</v>
      </c>
      <c r="D49" s="50" t="n">
        <f aca="false">Narxlar!D29/Narxlar!D$2</f>
        <v>1.03820652173913</v>
      </c>
      <c r="E49" s="50" t="n">
        <f aca="false">Narxlar!E29/Narxlar!E$2</f>
        <v>1.02164383561644</v>
      </c>
      <c r="F49" s="50" t="n">
        <f aca="false">Narxlar!F29/Narxlar!F$2</f>
        <v>0.9906640625</v>
      </c>
      <c r="G49" s="50" t="n">
        <f aca="false">G48*(1+VaR!B31)</f>
        <v>1.00887501487945</v>
      </c>
      <c r="H49" s="31" t="n">
        <f aca="false">B49/MAX(B$22:B49)-1</f>
        <v>-0.0098979521137077</v>
      </c>
      <c r="I49" s="31" t="n">
        <f aca="false">C49/MAX(C$22:C49)-1</f>
        <v>-0.0500502823547613</v>
      </c>
      <c r="J49" s="31" t="n">
        <f aca="false">D49/MAX(D$22:D49)-1</f>
        <v>-0.0215130871280027</v>
      </c>
      <c r="K49" s="31" t="n">
        <f aca="false">E49/MAX(E$22:E49)-1</f>
        <v>-0.0350627506792599</v>
      </c>
      <c r="L49" s="31" t="n">
        <f aca="false">F49/MAX(F$22:F49)-1</f>
        <v>-0.0142646144278605</v>
      </c>
      <c r="M49" s="31" t="n">
        <f aca="false">G49/MAX(G$22:G49)-1</f>
        <v>-0.00931232850052399</v>
      </c>
    </row>
    <row r="50" customFormat="false" ht="15" hidden="false" customHeight="false" outlineLevel="0" collapsed="false">
      <c r="A50" s="19" t="n">
        <f aca="false">Narxlar!A30</f>
        <v>45331</v>
      </c>
      <c r="B50" s="50" t="n">
        <f aca="false">Narxlar!B30/Narxlar!B$2</f>
        <v>1.00033</v>
      </c>
      <c r="C50" s="50" t="n">
        <f aca="false">Narxlar!C30/Narxlar!C$2</f>
        <v>0.97984</v>
      </c>
      <c r="D50" s="50" t="n">
        <f aca="false">Narxlar!D30/Narxlar!D$2</f>
        <v>1.0479347826087</v>
      </c>
      <c r="E50" s="50" t="n">
        <f aca="false">Narxlar!E30/Narxlar!E$2</f>
        <v>1.01178082191781</v>
      </c>
      <c r="F50" s="50" t="n">
        <f aca="false">Narxlar!F30/Narxlar!F$2</f>
        <v>0.9830859375</v>
      </c>
      <c r="G50" s="50" t="n">
        <f aca="false">G49*(1+VaR!B32)</f>
        <v>1.00647125032538</v>
      </c>
      <c r="H50" s="31" t="n">
        <f aca="false">B50/MAX(B$22:B50)-1</f>
        <v>-0.0098781562094804</v>
      </c>
      <c r="I50" s="31" t="n">
        <f aca="false">C50/MAX(C$22:C50)-1</f>
        <v>-0.0525257213583971</v>
      </c>
      <c r="J50" s="31" t="n">
        <f aca="false">D50/MAX(D$22:D50)-1</f>
        <v>-0.0123444142805922</v>
      </c>
      <c r="K50" s="31" t="n">
        <f aca="false">E50/MAX(E$22:E50)-1</f>
        <v>-0.0443783154353733</v>
      </c>
      <c r="L50" s="31" t="n">
        <f aca="false">F50/MAX(F$22:F50)-1</f>
        <v>-0.0218050373134328</v>
      </c>
      <c r="M50" s="31" t="n">
        <f aca="false">G50/MAX(G$22:G50)-1</f>
        <v>-0.0116727595487551</v>
      </c>
    </row>
    <row r="51" customFormat="false" ht="15" hidden="false" customHeight="false" outlineLevel="0" collapsed="false">
      <c r="A51" s="19" t="n">
        <f aca="false">Narxlar!A31</f>
        <v>45334</v>
      </c>
      <c r="B51" s="50" t="n">
        <f aca="false">Narxlar!B31/Narxlar!B$2</f>
        <v>1.00171</v>
      </c>
      <c r="C51" s="50" t="n">
        <f aca="false">Narxlar!C31/Narxlar!C$2</f>
        <v>0.97816</v>
      </c>
      <c r="D51" s="50" t="n">
        <f aca="false">Narxlar!D31/Narxlar!D$2</f>
        <v>1.04891304347826</v>
      </c>
      <c r="E51" s="50" t="n">
        <f aca="false">Narxlar!E31/Narxlar!E$2</f>
        <v>1.01205479452055</v>
      </c>
      <c r="F51" s="50" t="n">
        <f aca="false">Narxlar!F31/Narxlar!F$2</f>
        <v>0.98671875</v>
      </c>
      <c r="G51" s="50" t="n">
        <f aca="false">G50*(1+VaR!B33)</f>
        <v>1.00700041998352</v>
      </c>
      <c r="H51" s="31" t="n">
        <f aca="false">B51/MAX(B$22:B51)-1</f>
        <v>-0.00851223881778851</v>
      </c>
      <c r="I51" s="31" t="n">
        <f aca="false">C51/MAX(C$22:C51)-1</f>
        <v>-0.0541502282045331</v>
      </c>
      <c r="J51" s="31" t="n">
        <f aca="false">D51/MAX(D$22:D51)-1</f>
        <v>-0.011422424832249</v>
      </c>
      <c r="K51" s="31" t="n">
        <f aca="false">E51/MAX(E$22:E51)-1</f>
        <v>-0.0441195497477034</v>
      </c>
      <c r="L51" s="31" t="n">
        <f aca="false">F51/MAX(F$22:F51)-1</f>
        <v>-0.0181902985074626</v>
      </c>
      <c r="M51" s="31" t="n">
        <f aca="false">G51/MAX(G$22:G51)-1</f>
        <v>-0.0111531294174496</v>
      </c>
    </row>
    <row r="52" customFormat="false" ht="15" hidden="false" customHeight="false" outlineLevel="0" collapsed="false">
      <c r="A52" s="19" t="n">
        <f aca="false">Narxlar!A32</f>
        <v>45335</v>
      </c>
      <c r="B52" s="50" t="n">
        <f aca="false">Narxlar!B32/Narxlar!B$2</f>
        <v>1.01026</v>
      </c>
      <c r="C52" s="50" t="n">
        <f aca="false">Narxlar!C32/Narxlar!C$2</f>
        <v>0.97624</v>
      </c>
      <c r="D52" s="50" t="n">
        <f aca="false">Narxlar!D32/Narxlar!D$2</f>
        <v>1.06260869565217</v>
      </c>
      <c r="E52" s="50" t="n">
        <f aca="false">Narxlar!E32/Narxlar!E$2</f>
        <v>1.00465753424658</v>
      </c>
      <c r="F52" s="50" t="n">
        <f aca="false">Narxlar!F32/Narxlar!F$2</f>
        <v>0.9991015625</v>
      </c>
      <c r="G52" s="50" t="n">
        <f aca="false">G51*(1+VaR!B34)</f>
        <v>1.01038192494059</v>
      </c>
      <c r="H52" s="31" t="n">
        <f aca="false">B52/MAX(B$22:B52)-1</f>
        <v>-4.94897605686218E-005</v>
      </c>
      <c r="I52" s="31" t="n">
        <f aca="false">C52/MAX(C$22:C52)-1</f>
        <v>-0.0560068074572599</v>
      </c>
      <c r="J52" s="31" t="n">
        <f aca="false">D52/MAX(D$22:D52)-1</f>
        <v>0</v>
      </c>
      <c r="K52" s="31" t="n">
        <f aca="false">E52/MAX(E$22:E52)-1</f>
        <v>-0.0511062233147884</v>
      </c>
      <c r="L52" s="31" t="n">
        <f aca="false">F52/MAX(F$22:F52)-1</f>
        <v>-0.00586909203980091</v>
      </c>
      <c r="M52" s="31" t="n">
        <f aca="false">G52/MAX(G$22:G52)-1</f>
        <v>-0.00783258403504716</v>
      </c>
    </row>
    <row r="53" customFormat="false" ht="15" hidden="false" customHeight="false" outlineLevel="0" collapsed="false">
      <c r="A53" s="19" t="n">
        <f aca="false">Narxlar!A33</f>
        <v>45336</v>
      </c>
      <c r="B53" s="50" t="n">
        <f aca="false">Narxlar!B33/Narxlar!B$2</f>
        <v>1.01593</v>
      </c>
      <c r="C53" s="50" t="n">
        <f aca="false">Narxlar!C33/Narxlar!C$2</f>
        <v>0.99304</v>
      </c>
      <c r="D53" s="50" t="n">
        <f aca="false">Narxlar!D33/Narxlar!D$2</f>
        <v>1.06923913043478</v>
      </c>
      <c r="E53" s="50" t="n">
        <f aca="false">Narxlar!E33/Narxlar!E$2</f>
        <v>0.999041095890411</v>
      </c>
      <c r="F53" s="50" t="n">
        <f aca="false">Narxlar!F33/Narxlar!F$2</f>
        <v>1.002109375</v>
      </c>
      <c r="G53" s="50" t="n">
        <f aca="false">G52*(1+VaR!B35)</f>
        <v>1.01637057063023</v>
      </c>
      <c r="H53" s="31" t="n">
        <f aca="false">B53/MAX(B$22:B53)-1</f>
        <v>0</v>
      </c>
      <c r="I53" s="31" t="n">
        <f aca="false">C53/MAX(C$22:C53)-1</f>
        <v>-0.0397617389959</v>
      </c>
      <c r="J53" s="31" t="n">
        <f aca="false">D53/MAX(D$22:D53)-1</f>
        <v>0</v>
      </c>
      <c r="K53" s="31" t="n">
        <f aca="false">E53/MAX(E$22:E53)-1</f>
        <v>-0.0564109199120196</v>
      </c>
      <c r="L53" s="31" t="n">
        <f aca="false">F53/MAX(F$22:F53)-1</f>
        <v>-0.0028762437810943</v>
      </c>
      <c r="M53" s="31" t="n">
        <f aca="false">G53/MAX(G$22:G53)-1</f>
        <v>-0.00195189775953852</v>
      </c>
    </row>
    <row r="54" customFormat="false" ht="15" hidden="false" customHeight="false" outlineLevel="0" collapsed="false">
      <c r="A54" s="19" t="n">
        <f aca="false">Narxlar!A34</f>
        <v>45337</v>
      </c>
      <c r="B54" s="50" t="n">
        <f aca="false">Narxlar!B34/Narxlar!B$2</f>
        <v>1.0122</v>
      </c>
      <c r="C54" s="50" t="n">
        <f aca="false">Narxlar!C34/Narxlar!C$2</f>
        <v>0.98992</v>
      </c>
      <c r="D54" s="50" t="n">
        <f aca="false">Narxlar!D34/Narxlar!D$2</f>
        <v>1.07945652173913</v>
      </c>
      <c r="E54" s="50" t="n">
        <f aca="false">Narxlar!E34/Narxlar!E$2</f>
        <v>0.989452054794521</v>
      </c>
      <c r="F54" s="50" t="n">
        <f aca="false">Narxlar!F34/Narxlar!F$2</f>
        <v>1.0028125</v>
      </c>
      <c r="G54" s="50" t="n">
        <f aca="false">G53*(1+VaR!B36)</f>
        <v>1.01554441103589</v>
      </c>
      <c r="H54" s="31" t="n">
        <f aca="false">B54/MAX(B$22:B54)-1</f>
        <v>-0.0036715128010788</v>
      </c>
      <c r="I54" s="31" t="n">
        <f aca="false">C54/MAX(C$22:C54)-1</f>
        <v>-0.0427786802815812</v>
      </c>
      <c r="J54" s="31" t="n">
        <f aca="false">D54/MAX(D$22:D54)-1</f>
        <v>0</v>
      </c>
      <c r="K54" s="31" t="n">
        <f aca="false">E54/MAX(E$22:E54)-1</f>
        <v>-0.0654677189804631</v>
      </c>
      <c r="L54" s="31" t="n">
        <f aca="false">F54/MAX(F$22:F54)-1</f>
        <v>-0.0021766169154227</v>
      </c>
      <c r="M54" s="31" t="n">
        <f aca="false">G54/MAX(G$22:G54)-1</f>
        <v>-0.00276316388540654</v>
      </c>
    </row>
    <row r="55" customFormat="false" ht="15" hidden="false" customHeight="false" outlineLevel="0" collapsed="false">
      <c r="A55" s="19" t="n">
        <f aca="false">Narxlar!A35</f>
        <v>45338</v>
      </c>
      <c r="B55" s="50" t="n">
        <f aca="false">Narxlar!B35/Narxlar!B$2</f>
        <v>1.00305</v>
      </c>
      <c r="C55" s="50" t="n">
        <f aca="false">Narxlar!C35/Narxlar!C$2</f>
        <v>0.99432</v>
      </c>
      <c r="D55" s="50" t="n">
        <f aca="false">Narxlar!D35/Narxlar!D$2</f>
        <v>1.0775</v>
      </c>
      <c r="E55" s="50" t="n">
        <f aca="false">Narxlar!E35/Narxlar!E$2</f>
        <v>0.972465753424658</v>
      </c>
      <c r="F55" s="50" t="n">
        <f aca="false">Narxlar!F35/Narxlar!F$2</f>
        <v>0.9917578125</v>
      </c>
      <c r="G55" s="50" t="n">
        <f aca="false">G54*(1+VaR!B37)</f>
        <v>1.00984084180405</v>
      </c>
      <c r="H55" s="31" t="n">
        <f aca="false">B55/MAX(B$22:B55)-1</f>
        <v>-0.0126780388412587</v>
      </c>
      <c r="I55" s="31" t="n">
        <f aca="false">C55/MAX(C$22:C55)-1</f>
        <v>-0.0385240194940821</v>
      </c>
      <c r="J55" s="31" t="n">
        <f aca="false">D55/MAX(D$22:D55)-1</f>
        <v>-0.00181250629342478</v>
      </c>
      <c r="K55" s="31" t="n">
        <f aca="false">E55/MAX(E$22:E55)-1</f>
        <v>-0.0815111916159916</v>
      </c>
      <c r="L55" s="31" t="n">
        <f aca="false">F55/MAX(F$22:F55)-1</f>
        <v>-0.0131763059701492</v>
      </c>
      <c r="M55" s="31" t="n">
        <f aca="false">G55/MAX(G$22:G55)-1</f>
        <v>-0.00836391287630378</v>
      </c>
    </row>
    <row r="56" customFormat="false" ht="15" hidden="false" customHeight="false" outlineLevel="0" collapsed="false">
      <c r="A56" s="19" t="n">
        <f aca="false">Narxlar!A36</f>
        <v>45341</v>
      </c>
      <c r="B56" s="50" t="n">
        <f aca="false">Narxlar!B36/Narxlar!B$2</f>
        <v>1.01479</v>
      </c>
      <c r="C56" s="50" t="n">
        <f aca="false">Narxlar!C36/Narxlar!C$2</f>
        <v>1.01448</v>
      </c>
      <c r="D56" s="50" t="n">
        <f aca="false">Narxlar!D36/Narxlar!D$2</f>
        <v>1.08739130434783</v>
      </c>
      <c r="E56" s="50" t="n">
        <f aca="false">Narxlar!E36/Narxlar!E$2</f>
        <v>0.989041095890411</v>
      </c>
      <c r="F56" s="50" t="n">
        <f aca="false">Narxlar!F36/Narxlar!F$2</f>
        <v>0.98796875</v>
      </c>
      <c r="G56" s="50" t="n">
        <f aca="false">G55*(1+VaR!B38)</f>
        <v>1.02183226573731</v>
      </c>
      <c r="H56" s="31" t="n">
        <f aca="false">B56/MAX(B$22:B56)-1</f>
        <v>-0.00112212455582583</v>
      </c>
      <c r="I56" s="31" t="n">
        <f aca="false">C56/MAX(C$22:C56)-1</f>
        <v>-0.0190299373404501</v>
      </c>
      <c r="J56" s="31" t="n">
        <f aca="false">D56/MAX(D$22:D56)-1</f>
        <v>0</v>
      </c>
      <c r="K56" s="31" t="n">
        <f aca="false">E56/MAX(E$22:E56)-1</f>
        <v>-0.0658558675119678</v>
      </c>
      <c r="L56" s="31" t="n">
        <f aca="false">F56/MAX(F$22:F56)-1</f>
        <v>-0.0169465174129353</v>
      </c>
      <c r="M56" s="31" t="n">
        <f aca="false">G56/MAX(G$22:G56)-1</f>
        <v>0</v>
      </c>
    </row>
    <row r="57" customFormat="false" ht="15" hidden="false" customHeight="false" outlineLevel="0" collapsed="false">
      <c r="A57" s="19" t="n">
        <f aca="false">Narxlar!A37</f>
        <v>45342</v>
      </c>
      <c r="B57" s="50" t="n">
        <f aca="false">Narxlar!B37/Narxlar!B$2</f>
        <v>1.01044</v>
      </c>
      <c r="C57" s="50" t="n">
        <f aca="false">Narxlar!C37/Narxlar!C$2</f>
        <v>1.01656</v>
      </c>
      <c r="D57" s="50" t="n">
        <f aca="false">Narxlar!D37/Narxlar!D$2</f>
        <v>1.08190217391304</v>
      </c>
      <c r="E57" s="50" t="n">
        <f aca="false">Narxlar!E37/Narxlar!E$2</f>
        <v>0.988630136986301</v>
      </c>
      <c r="F57" s="50" t="n">
        <f aca="false">Narxlar!F37/Narxlar!F$2</f>
        <v>1.000078125</v>
      </c>
      <c r="G57" s="50" t="n">
        <f aca="false">G56*(1+VaR!B39)</f>
        <v>1.02356998157985</v>
      </c>
      <c r="H57" s="31" t="n">
        <f aca="false">B57/MAX(B$22:B57)-1</f>
        <v>-0.00540391562410791</v>
      </c>
      <c r="I57" s="31" t="n">
        <f aca="false">C57/MAX(C$22:C57)-1</f>
        <v>-0.0170186431499962</v>
      </c>
      <c r="J57" s="31" t="n">
        <f aca="false">D57/MAX(D$22:D57)-1</f>
        <v>-0.00504798080767688</v>
      </c>
      <c r="K57" s="31" t="n">
        <f aca="false">E57/MAX(E$22:E57)-1</f>
        <v>-0.0662440160434725</v>
      </c>
      <c r="L57" s="31" t="n">
        <f aca="false">F57/MAX(F$22:F57)-1</f>
        <v>-0.00489738805970141</v>
      </c>
      <c r="M57" s="31" t="n">
        <f aca="false">G57/MAX(G$22:G57)-1</f>
        <v>0</v>
      </c>
    </row>
    <row r="58" customFormat="false" ht="15" hidden="false" customHeight="false" outlineLevel="0" collapsed="false">
      <c r="A58" s="19" t="n">
        <f aca="false">Narxlar!A38</f>
        <v>45343</v>
      </c>
      <c r="B58" s="50" t="n">
        <f aca="false">Narxlar!B38/Narxlar!B$2</f>
        <v>1.0105</v>
      </c>
      <c r="C58" s="50" t="n">
        <f aca="false">Narxlar!C38/Narxlar!C$2</f>
        <v>1.0132</v>
      </c>
      <c r="D58" s="50" t="n">
        <f aca="false">Narxlar!D38/Narxlar!D$2</f>
        <v>1.05070652173913</v>
      </c>
      <c r="E58" s="50" t="n">
        <f aca="false">Narxlar!E38/Narxlar!E$2</f>
        <v>0.978493150684932</v>
      </c>
      <c r="F58" s="50" t="n">
        <f aca="false">Narxlar!F38/Narxlar!F$2</f>
        <v>0.99484375</v>
      </c>
      <c r="G58" s="50" t="n">
        <f aca="false">G57*(1+VaR!B40)</f>
        <v>1.0114813291261</v>
      </c>
      <c r="H58" s="31" t="n">
        <f aca="false">B58/MAX(B$22:B58)-1</f>
        <v>-0.00534485643695926</v>
      </c>
      <c r="I58" s="31" t="n">
        <f aca="false">C58/MAX(C$22:C58)-1</f>
        <v>-0.0202676568422679</v>
      </c>
      <c r="J58" s="31" t="n">
        <f aca="false">D58/MAX(D$22:D58)-1</f>
        <v>-0.0337365053978408</v>
      </c>
      <c r="K58" s="31" t="n">
        <f aca="false">E58/MAX(E$22:E58)-1</f>
        <v>-0.0758183464872558</v>
      </c>
      <c r="L58" s="31" t="n">
        <f aca="false">F58/MAX(F$22:F58)-1</f>
        <v>-0.0101057213930347</v>
      </c>
      <c r="M58" s="31" t="n">
        <f aca="false">G58/MAX(G$22:G58)-1</f>
        <v>-0.011810284271028</v>
      </c>
    </row>
    <row r="59" customFormat="false" ht="15" hidden="false" customHeight="false" outlineLevel="0" collapsed="false">
      <c r="A59" s="19" t="n">
        <f aca="false">Narxlar!A39</f>
        <v>45344</v>
      </c>
      <c r="B59" s="50" t="n">
        <f aca="false">Narxlar!B39/Narxlar!B$2</f>
        <v>1.05975</v>
      </c>
      <c r="C59" s="50" t="n">
        <f aca="false">Narxlar!C39/Narxlar!C$2</f>
        <v>1.0916</v>
      </c>
      <c r="D59" s="50" t="n">
        <f aca="false">Narxlar!D39/Narxlar!D$2</f>
        <v>1.10228260869565</v>
      </c>
      <c r="E59" s="50" t="n">
        <f aca="false">Narxlar!E39/Narxlar!E$2</f>
        <v>1.00547945205479</v>
      </c>
      <c r="F59" s="50" t="n">
        <f aca="false">Narxlar!F39/Narxlar!F$2</f>
        <v>1.07890625</v>
      </c>
      <c r="G59" s="50" t="n">
        <f aca="false">G58*(1+VaR!B41)</f>
        <v>1.0714417854417</v>
      </c>
      <c r="H59" s="31" t="n">
        <f aca="false">B59/MAX(B$22:B59)-1</f>
        <v>0</v>
      </c>
      <c r="I59" s="31" t="n">
        <f aca="false">C59/MAX(C$22:C59)-1</f>
        <v>0</v>
      </c>
      <c r="J59" s="31" t="n">
        <f aca="false">D59/MAX(D$22:D59)-1</f>
        <v>0</v>
      </c>
      <c r="K59" s="31" t="n">
        <f aca="false">E59/MAX(E$22:E59)-1</f>
        <v>-0.050329926251779</v>
      </c>
      <c r="L59" s="31" t="n">
        <f aca="false">F59/MAX(F$22:F59)-1</f>
        <v>0</v>
      </c>
      <c r="M59" s="31" t="n">
        <f aca="false">G59/MAX(G$22:G59)-1</f>
        <v>0</v>
      </c>
    </row>
    <row r="60" customFormat="false" ht="15" hidden="false" customHeight="false" outlineLevel="0" collapsed="false">
      <c r="A60" s="19" t="n">
        <f aca="false">Narxlar!A40</f>
        <v>45345</v>
      </c>
      <c r="B60" s="50" t="n">
        <f aca="false">Narxlar!B40/Narxlar!B$2</f>
        <v>1.061</v>
      </c>
      <c r="C60" s="50" t="n">
        <f aca="false">Narxlar!C40/Narxlar!C$2</f>
        <v>1.09992</v>
      </c>
      <c r="D60" s="50" t="n">
        <f aca="false">Narxlar!D40/Narxlar!D$2</f>
        <v>1.09690217391304</v>
      </c>
      <c r="E60" s="50" t="n">
        <f aca="false">Narxlar!E40/Narxlar!E$2</f>
        <v>1.00684931506849</v>
      </c>
      <c r="F60" s="50" t="n">
        <f aca="false">Narxlar!F40/Narxlar!F$2</f>
        <v>1.088515625</v>
      </c>
      <c r="G60" s="50" t="n">
        <f aca="false">G59*(1+VaR!B42)</f>
        <v>1.0748577297144</v>
      </c>
      <c r="H60" s="31" t="n">
        <f aca="false">B60/MAX(B$22:B60)-1</f>
        <v>0</v>
      </c>
      <c r="I60" s="31" t="n">
        <f aca="false">C60/MAX(C$22:C60)-1</f>
        <v>0</v>
      </c>
      <c r="J60" s="31" t="n">
        <f aca="false">D60/MAX(D$22:D60)-1</f>
        <v>-0.00488117542648636</v>
      </c>
      <c r="K60" s="31" t="n">
        <f aca="false">E60/MAX(E$22:E60)-1</f>
        <v>-0.0490360978134299</v>
      </c>
      <c r="L60" s="31" t="n">
        <f aca="false">F60/MAX(F$22:F60)-1</f>
        <v>0</v>
      </c>
      <c r="M60" s="31" t="n">
        <f aca="false">G60/MAX(G$22:G60)-1</f>
        <v>0</v>
      </c>
    </row>
    <row r="61" customFormat="false" ht="15" hidden="false" customHeight="false" outlineLevel="0" collapsed="false">
      <c r="A61" s="19" t="n">
        <f aca="false">Narxlar!A41</f>
        <v>45348</v>
      </c>
      <c r="B61" s="50" t="n">
        <f aca="false">Narxlar!B41/Narxlar!B$2</f>
        <v>1.04998</v>
      </c>
      <c r="C61" s="50" t="n">
        <f aca="false">Narxlar!C41/Narxlar!C$2</f>
        <v>1.07696</v>
      </c>
      <c r="D61" s="50" t="n">
        <f aca="false">Narxlar!D41/Narxlar!D$2</f>
        <v>1.09690217391304</v>
      </c>
      <c r="E61" s="50" t="n">
        <f aca="false">Narxlar!E41/Narxlar!E$2</f>
        <v>1.01506849315069</v>
      </c>
      <c r="F61" s="50" t="n">
        <f aca="false">Narxlar!F41/Narxlar!F$2</f>
        <v>1.0783203125</v>
      </c>
      <c r="G61" s="50" t="n">
        <f aca="false">G60*(1+VaR!B43)</f>
        <v>1.06830678587191</v>
      </c>
      <c r="H61" s="31" t="n">
        <f aca="false">B61/MAX(B$22:B61)-1</f>
        <v>-0.0103864278982093</v>
      </c>
      <c r="I61" s="31" t="n">
        <f aca="false">C61/MAX(C$22:C61)-1</f>
        <v>-0.0208742453996655</v>
      </c>
      <c r="J61" s="31" t="n">
        <f aca="false">D61/MAX(D$22:D61)-1</f>
        <v>-0.00488117542648636</v>
      </c>
      <c r="K61" s="31" t="n">
        <f aca="false">E61/MAX(E$22:E61)-1</f>
        <v>-0.0412731271833353</v>
      </c>
      <c r="L61" s="31" t="n">
        <f aca="false">F61/MAX(F$22:F61)-1</f>
        <v>-0.0093662527811671</v>
      </c>
      <c r="M61" s="31" t="n">
        <f aca="false">G61/MAX(G$22:G61)-1</f>
        <v>-0.00609470784960242</v>
      </c>
    </row>
    <row r="62" customFormat="false" ht="15" hidden="false" customHeight="false" outlineLevel="0" collapsed="false">
      <c r="A62" s="19" t="n">
        <f aca="false">Narxlar!A42</f>
        <v>45349</v>
      </c>
      <c r="B62" s="50" t="n">
        <f aca="false">Narxlar!B42/Narxlar!B$2</f>
        <v>1.05276</v>
      </c>
      <c r="C62" s="50" t="n">
        <f aca="false">Narxlar!C42/Narxlar!C$2</f>
        <v>1.08952</v>
      </c>
      <c r="D62" s="50" t="n">
        <f aca="false">Narxlar!D42/Narxlar!D$2</f>
        <v>1.09630434782609</v>
      </c>
      <c r="E62" s="50" t="n">
        <f aca="false">Narxlar!E42/Narxlar!E$2</f>
        <v>1.02808219178082</v>
      </c>
      <c r="F62" s="50" t="n">
        <f aca="false">Narxlar!F42/Narxlar!F$2</f>
        <v>1.091484375</v>
      </c>
      <c r="G62" s="50" t="n">
        <f aca="false">G61*(1+VaR!B44)</f>
        <v>1.0779313740616</v>
      </c>
      <c r="H62" s="31" t="n">
        <f aca="false">B62/MAX(B$22:B62)-1</f>
        <v>-0.00776625824693689</v>
      </c>
      <c r="I62" s="31" t="n">
        <f aca="false">C62/MAX(C$22:C62)-1</f>
        <v>-0.00945523310786234</v>
      </c>
      <c r="J62" s="31" t="n">
        <f aca="false">D62/MAX(D$22:D62)-1</f>
        <v>-0.0054235282516516</v>
      </c>
      <c r="K62" s="31" t="n">
        <f aca="false">E62/MAX(E$22:E62)-1</f>
        <v>-0.0289817570190193</v>
      </c>
      <c r="L62" s="31" t="n">
        <f aca="false">F62/MAX(F$22:F62)-1</f>
        <v>0</v>
      </c>
      <c r="M62" s="31" t="n">
        <f aca="false">G62/MAX(G$22:G62)-1</f>
        <v>0</v>
      </c>
    </row>
    <row r="63" customFormat="false" ht="15" hidden="false" customHeight="false" outlineLevel="0" collapsed="false">
      <c r="A63" s="19" t="n">
        <f aca="false">Narxlar!A43</f>
        <v>45350</v>
      </c>
      <c r="B63" s="50" t="n">
        <f aca="false">Narxlar!B43/Narxlar!B$2</f>
        <v>1.05531</v>
      </c>
      <c r="C63" s="50" t="n">
        <f aca="false">Narxlar!C43/Narxlar!C$2</f>
        <v>1.0736</v>
      </c>
      <c r="D63" s="50" t="n">
        <f aca="false">Narxlar!D43/Narxlar!D$2</f>
        <v>1.12211956521739</v>
      </c>
      <c r="E63" s="50" t="n">
        <f aca="false">Narxlar!E43/Narxlar!E$2</f>
        <v>1.02095890410959</v>
      </c>
      <c r="F63" s="50" t="n">
        <f aca="false">Narxlar!F43/Narxlar!F$2</f>
        <v>1.091640625</v>
      </c>
      <c r="G63" s="50" t="n">
        <f aca="false">G62*(1+VaR!B45)</f>
        <v>1.07771551110315</v>
      </c>
      <c r="H63" s="31" t="n">
        <f aca="false">B63/MAX(B$22:B63)-1</f>
        <v>-0.0053628652214891</v>
      </c>
      <c r="I63" s="31" t="n">
        <f aca="false">C63/MAX(C$22:C63)-1</f>
        <v>-0.0239290130191285</v>
      </c>
      <c r="J63" s="31" t="n">
        <f aca="false">D63/MAX(D$22:D63)-1</f>
        <v>0</v>
      </c>
      <c r="K63" s="31" t="n">
        <f aca="false">E63/MAX(E$22:E63)-1</f>
        <v>-0.0357096648984345</v>
      </c>
      <c r="L63" s="31" t="n">
        <f aca="false">F63/MAX(F$22:F63)-1</f>
        <v>0</v>
      </c>
      <c r="M63" s="31" t="n">
        <f aca="false">G63/MAX(G$22:G63)-1</f>
        <v>-0.000200256680196853</v>
      </c>
    </row>
    <row r="64" customFormat="false" ht="15" hidden="false" customHeight="false" outlineLevel="0" collapsed="false">
      <c r="A64" s="19" t="n">
        <f aca="false">Narxlar!A44</f>
        <v>45351</v>
      </c>
      <c r="B64" s="50" t="n">
        <f aca="false">Narxlar!B44/Narxlar!B$2</f>
        <v>1.05637</v>
      </c>
      <c r="C64" s="50" t="n">
        <f aca="false">Narxlar!C44/Narxlar!C$2</f>
        <v>1.07952</v>
      </c>
      <c r="D64" s="50" t="n">
        <f aca="false">Narxlar!D44/Narxlar!D$2</f>
        <v>1.1270652173913</v>
      </c>
      <c r="E64" s="50" t="n">
        <f aca="false">Narxlar!E44/Narxlar!E$2</f>
        <v>1.01520547945205</v>
      </c>
      <c r="F64" s="50" t="n">
        <f aca="false">Narxlar!F44/Narxlar!F$2</f>
        <v>1.096328125</v>
      </c>
      <c r="G64" s="50" t="n">
        <f aca="false">G63*(1+VaR!B46)</f>
        <v>1.0800930300171</v>
      </c>
      <c r="H64" s="31" t="n">
        <f aca="false">B64/MAX(B$22:B64)-1</f>
        <v>-0.00436380772855804</v>
      </c>
      <c r="I64" s="31" t="n">
        <f aca="false">C64/MAX(C$22:C64)-1</f>
        <v>-0.0185468034038839</v>
      </c>
      <c r="J64" s="31" t="n">
        <f aca="false">D64/MAX(D$22:D64)-1</f>
        <v>0</v>
      </c>
      <c r="K64" s="31" t="n">
        <f aca="false">E64/MAX(E$22:E64)-1</f>
        <v>-0.0411437443395005</v>
      </c>
      <c r="L64" s="31" t="n">
        <f aca="false">F64/MAX(F$22:F64)-1</f>
        <v>0</v>
      </c>
      <c r="M64" s="31" t="n">
        <f aca="false">G64/MAX(G$22:G64)-1</f>
        <v>0</v>
      </c>
    </row>
    <row r="65" customFormat="false" ht="15" hidden="false" customHeight="false" outlineLevel="0" collapsed="false">
      <c r="A65" s="19" t="n">
        <f aca="false">Narxlar!A45</f>
        <v>45352</v>
      </c>
      <c r="B65" s="50" t="n">
        <f aca="false">Narxlar!B45/Narxlar!B$2</f>
        <v>1.06218</v>
      </c>
      <c r="C65" s="50" t="n">
        <f aca="false">Narxlar!C45/Narxlar!C$2</f>
        <v>1.06792</v>
      </c>
      <c r="D65" s="50" t="n">
        <f aca="false">Narxlar!D45/Narxlar!D$2</f>
        <v>1.14391304347826</v>
      </c>
      <c r="E65" s="50" t="n">
        <f aca="false">Narxlar!E45/Narxlar!E$2</f>
        <v>1.02972602739726</v>
      </c>
      <c r="F65" s="50" t="n">
        <f aca="false">Narxlar!F45/Narxlar!F$2</f>
        <v>1.1016015625</v>
      </c>
      <c r="G65" s="50" t="n">
        <f aca="false">G64*(1+VaR!B47)</f>
        <v>1.08554882819281</v>
      </c>
      <c r="H65" s="31" t="n">
        <f aca="false">B65/MAX(B$22:B65)-1</f>
        <v>0</v>
      </c>
      <c r="I65" s="31" t="n">
        <f aca="false">C65/MAX(C$22:C65)-1</f>
        <v>-0.029093024947269</v>
      </c>
      <c r="J65" s="31" t="n">
        <f aca="false">D65/MAX(D$22:D65)-1</f>
        <v>0</v>
      </c>
      <c r="K65" s="31" t="n">
        <f aca="false">E65/MAX(E$22:E65)-1</f>
        <v>-0.0274291628930002</v>
      </c>
      <c r="L65" s="31" t="n">
        <f aca="false">F65/MAX(F$22:F65)-1</f>
        <v>0</v>
      </c>
      <c r="M65" s="31" t="n">
        <f aca="false">G65/MAX(G$22:G65)-1</f>
        <v>0</v>
      </c>
    </row>
    <row r="66" customFormat="false" ht="15" hidden="false" customHeight="false" outlineLevel="0" collapsed="false">
      <c r="A66" s="19" t="n">
        <f aca="false">Narxlar!A46</f>
        <v>45355</v>
      </c>
      <c r="B66" s="50" t="n">
        <f aca="false">Narxlar!B46/Narxlar!B$2</f>
        <v>1.06382</v>
      </c>
      <c r="C66" s="50" t="n">
        <f aca="false">Narxlar!C46/Narxlar!C$2</f>
        <v>1.06624</v>
      </c>
      <c r="D66" s="50" t="n">
        <f aca="false">Narxlar!D46/Narxlar!D$2</f>
        <v>1.15586956521739</v>
      </c>
      <c r="E66" s="50" t="n">
        <f aca="false">Narxlar!E46/Narxlar!E$2</f>
        <v>1.02191780821918</v>
      </c>
      <c r="F66" s="50" t="n">
        <f aca="false">Narxlar!F46/Narxlar!F$2</f>
        <v>1.0975390625</v>
      </c>
      <c r="G66" s="50" t="n">
        <f aca="false">G65*(1+VaR!B48)</f>
        <v>1.08501459036272</v>
      </c>
      <c r="H66" s="31" t="n">
        <f aca="false">B66/MAX(B$22:B66)-1</f>
        <v>0</v>
      </c>
      <c r="I66" s="31" t="n">
        <f aca="false">C66/MAX(C$22:C66)-1</f>
        <v>-0.0306204087570005</v>
      </c>
      <c r="J66" s="31" t="n">
        <f aca="false">D66/MAX(D$22:D66)-1</f>
        <v>0</v>
      </c>
      <c r="K66" s="31" t="n">
        <f aca="false">E66/MAX(E$22:E66)-1</f>
        <v>-0.0348039849915902</v>
      </c>
      <c r="L66" s="31" t="n">
        <f aca="false">F66/MAX(F$22:F66)-1</f>
        <v>-0.0036878124889187</v>
      </c>
      <c r="M66" s="31" t="n">
        <f aca="false">G66/MAX(G$22:G66)-1</f>
        <v>-0.000492136158425027</v>
      </c>
    </row>
    <row r="67" customFormat="false" ht="15" hidden="false" customHeight="false" outlineLevel="0" collapsed="false">
      <c r="A67" s="19" t="n">
        <f aca="false">Narxlar!A47</f>
        <v>45356</v>
      </c>
      <c r="B67" s="50" t="n">
        <f aca="false">Narxlar!B47/Narxlar!B$2</f>
        <v>1.07031</v>
      </c>
      <c r="C67" s="50" t="n">
        <f aca="false">Narxlar!C47/Narxlar!C$2</f>
        <v>1.07328</v>
      </c>
      <c r="D67" s="50" t="n">
        <f aca="false">Narxlar!D47/Narxlar!D$2</f>
        <v>1.17652173913043</v>
      </c>
      <c r="E67" s="50" t="n">
        <f aca="false">Narxlar!E47/Narxlar!E$2</f>
        <v>1.03150684931507</v>
      </c>
      <c r="F67" s="50" t="n">
        <f aca="false">Narxlar!F47/Narxlar!F$2</f>
        <v>1.1162890625</v>
      </c>
      <c r="G67" s="50" t="n">
        <f aca="false">G66*(1+VaR!B49)</f>
        <v>1.09826280979123</v>
      </c>
      <c r="H67" s="31" t="n">
        <f aca="false">B67/MAX(B$22:B67)-1</f>
        <v>0</v>
      </c>
      <c r="I67" s="31" t="n">
        <f aca="false">C67/MAX(C$22:C67)-1</f>
        <v>-0.0242199432686013</v>
      </c>
      <c r="J67" s="31" t="n">
        <f aca="false">D67/MAX(D$22:D67)-1</f>
        <v>0</v>
      </c>
      <c r="K67" s="31" t="n">
        <f aca="false">E67/MAX(E$22:E67)-1</f>
        <v>-0.0257471859231465</v>
      </c>
      <c r="L67" s="31" t="n">
        <f aca="false">F67/MAX(F$22:F67)-1</f>
        <v>0</v>
      </c>
      <c r="M67" s="31" t="n">
        <f aca="false">G67/MAX(G$22:G67)-1</f>
        <v>0</v>
      </c>
    </row>
    <row r="68" customFormat="false" ht="15" hidden="false" customHeight="false" outlineLevel="0" collapsed="false">
      <c r="A68" s="19" t="n">
        <f aca="false">Narxlar!A48</f>
        <v>45357</v>
      </c>
      <c r="B68" s="50" t="n">
        <f aca="false">Narxlar!B48/Narxlar!B$2</f>
        <v>1.0336</v>
      </c>
      <c r="C68" s="50" t="n">
        <f aca="false">Narxlar!C48/Narxlar!C$2</f>
        <v>1.028</v>
      </c>
      <c r="D68" s="50" t="n">
        <f aca="false">Narxlar!D48/Narxlar!D$2</f>
        <v>1.13358695652174</v>
      </c>
      <c r="E68" s="50" t="n">
        <f aca="false">Narxlar!E48/Narxlar!E$2</f>
        <v>0.993561643835616</v>
      </c>
      <c r="F68" s="50" t="n">
        <f aca="false">Narxlar!F48/Narxlar!F$2</f>
        <v>1.0903125</v>
      </c>
      <c r="G68" s="50" t="n">
        <f aca="false">G67*(1+VaR!B50)</f>
        <v>1.05913125146636</v>
      </c>
      <c r="H68" s="31" t="n">
        <f aca="false">B68/MAX(B$22:B68)-1</f>
        <v>-0.0342984742738085</v>
      </c>
      <c r="I68" s="31" t="n">
        <f aca="false">C68/MAX(C$22:C68)-1</f>
        <v>-0.0653865735689868</v>
      </c>
      <c r="J68" s="31" t="n">
        <f aca="false">D68/MAX(D$22:D68)-1</f>
        <v>-0.0364929785661493</v>
      </c>
      <c r="K68" s="31" t="n">
        <f aca="false">E68/MAX(E$22:E68)-1</f>
        <v>-0.0615862336654159</v>
      </c>
      <c r="L68" s="31" t="n">
        <f aca="false">F68/MAX(F$22:F68)-1</f>
        <v>-0.0232704622598593</v>
      </c>
      <c r="M68" s="31" t="n">
        <f aca="false">G68/MAX(G$22:G68)-1</f>
        <v>-0.0356304137552581</v>
      </c>
    </row>
    <row r="69" customFormat="false" ht="15" hidden="false" customHeight="false" outlineLevel="0" collapsed="false">
      <c r="A69" s="19" t="n">
        <f aca="false">Narxlar!A49</f>
        <v>45358</v>
      </c>
      <c r="B69" s="50" t="n">
        <f aca="false">Narxlar!B49/Narxlar!B$2</f>
        <v>1.00048</v>
      </c>
      <c r="C69" s="50" t="n">
        <f aca="false">Narxlar!C49/Narxlar!C$2</f>
        <v>0.99272</v>
      </c>
      <c r="D69" s="50" t="n">
        <f aca="false">Narxlar!D49/Narxlar!D$2</f>
        <v>1.0845652173913</v>
      </c>
      <c r="E69" s="50" t="n">
        <f aca="false">Narxlar!E49/Narxlar!E$2</f>
        <v>0.974520547945206</v>
      </c>
      <c r="F69" s="50" t="n">
        <f aca="false">Narxlar!F49/Narxlar!F$2</f>
        <v>1.03484375</v>
      </c>
      <c r="G69" s="50" t="n">
        <f aca="false">G68*(1+VaR!B51)</f>
        <v>1.02092534169838</v>
      </c>
      <c r="H69" s="31" t="n">
        <f aca="false">B69/MAX(B$22:B69)-1</f>
        <v>-0.0652427801291213</v>
      </c>
      <c r="I69" s="31" t="n">
        <f aca="false">C69/MAX(C$22:C69)-1</f>
        <v>-0.0974616335733508</v>
      </c>
      <c r="J69" s="31" t="n">
        <f aca="false">D69/MAX(D$22:D69)-1</f>
        <v>-0.078159645232816</v>
      </c>
      <c r="K69" s="31" t="n">
        <f aca="false">E69/MAX(E$22:E69)-1</f>
        <v>-0.0795704489584681</v>
      </c>
      <c r="L69" s="31" t="n">
        <f aca="false">F69/MAX(F$22:F69)-1</f>
        <v>-0.0729607726493333</v>
      </c>
      <c r="M69" s="31" t="n">
        <f aca="false">G69/MAX(G$22:G69)-1</f>
        <v>-0.0704179977719142</v>
      </c>
    </row>
    <row r="70" customFormat="false" ht="15" hidden="false" customHeight="false" outlineLevel="0" collapsed="false">
      <c r="A70" s="19" t="n">
        <f aca="false">Narxlar!A50</f>
        <v>45359</v>
      </c>
      <c r="B70" s="50" t="n">
        <f aca="false">Narxlar!B50/Narxlar!B$2</f>
        <v>1.0139</v>
      </c>
      <c r="C70" s="50" t="n">
        <f aca="false">Narxlar!C50/Narxlar!C$2</f>
        <v>1.02728</v>
      </c>
      <c r="D70" s="50" t="n">
        <f aca="false">Narxlar!D50/Narxlar!D$2</f>
        <v>1.09663043478261</v>
      </c>
      <c r="E70" s="50" t="n">
        <f aca="false">Narxlar!E50/Narxlar!E$2</f>
        <v>0.98958904109589</v>
      </c>
      <c r="F70" s="50" t="n">
        <f aca="false">Narxlar!F50/Narxlar!F$2</f>
        <v>1.040703125</v>
      </c>
      <c r="G70" s="50" t="n">
        <f aca="false">G69*(1+VaR!B52)</f>
        <v>1.03952985352485</v>
      </c>
      <c r="H70" s="31" t="n">
        <f aca="false">B70/MAX(B$22:B70)-1</f>
        <v>-0.0527043566817089</v>
      </c>
      <c r="I70" s="31" t="n">
        <f aca="false">C70/MAX(C$22:C70)-1</f>
        <v>-0.0660411666303005</v>
      </c>
      <c r="J70" s="31" t="n">
        <f aca="false">D70/MAX(D$22:D70)-1</f>
        <v>-0.0679046563192904</v>
      </c>
      <c r="K70" s="31" t="n">
        <f aca="false">E70/MAX(E$22:E70)-1</f>
        <v>-0.0653383361366282</v>
      </c>
      <c r="L70" s="31" t="n">
        <f aca="false">F70/MAX(F$22:F70)-1</f>
        <v>-0.0677117961997409</v>
      </c>
      <c r="M70" s="31" t="n">
        <f aca="false">G70/MAX(G$22:G70)-1</f>
        <v>-0.0534780525597034</v>
      </c>
    </row>
    <row r="71" customFormat="false" ht="15" hidden="false" customHeight="false" outlineLevel="0" collapsed="false">
      <c r="A71" s="19" t="n">
        <f aca="false">Narxlar!A51</f>
        <v>45362</v>
      </c>
      <c r="B71" s="50" t="n">
        <f aca="false">Narxlar!B51/Narxlar!B$2</f>
        <v>1.05828</v>
      </c>
      <c r="C71" s="50" t="n">
        <f aca="false">Narxlar!C51/Narxlar!C$2</f>
        <v>1.07808</v>
      </c>
      <c r="D71" s="50" t="n">
        <f aca="false">Narxlar!D51/Narxlar!D$2</f>
        <v>1.15135869565217</v>
      </c>
      <c r="E71" s="50" t="n">
        <f aca="false">Narxlar!E51/Narxlar!E$2</f>
        <v>1.01616438356164</v>
      </c>
      <c r="F71" s="50" t="n">
        <f aca="false">Narxlar!F51/Narxlar!F$2</f>
        <v>1.095859375</v>
      </c>
      <c r="G71" s="50" t="n">
        <f aca="false">G70*(1+VaR!B53)</f>
        <v>1.08591917421941</v>
      </c>
      <c r="H71" s="31" t="n">
        <f aca="false">B71/MAX(B$22:B71)-1</f>
        <v>-0.0112397342825911</v>
      </c>
      <c r="I71" s="31" t="n">
        <f aca="false">C71/MAX(C$22:C71)-1</f>
        <v>-0.0198559895265111</v>
      </c>
      <c r="J71" s="31" t="n">
        <f aca="false">D71/MAX(D$22:D71)-1</f>
        <v>-0.0213876570583887</v>
      </c>
      <c r="K71" s="31" t="n">
        <f aca="false">E71/MAX(E$22:E71)-1</f>
        <v>-0.0402380644326562</v>
      </c>
      <c r="L71" s="31" t="n">
        <f aca="false">F71/MAX(F$22:F71)-1</f>
        <v>-0.0183014312209118</v>
      </c>
      <c r="M71" s="31" t="n">
        <f aca="false">G71/MAX(G$22:G71)-1</f>
        <v>-0.0112392366032765</v>
      </c>
    </row>
    <row r="72" customFormat="false" ht="15" hidden="false" customHeight="false" outlineLevel="0" collapsed="false">
      <c r="A72" s="19" t="n">
        <f aca="false">Narxlar!A52</f>
        <v>45363</v>
      </c>
      <c r="B72" s="50" t="n">
        <f aca="false">Narxlar!B52/Narxlar!B$2</f>
        <v>1.05599</v>
      </c>
      <c r="C72" s="50" t="n">
        <f aca="false">Narxlar!C52/Narxlar!C$2</f>
        <v>1.07976</v>
      </c>
      <c r="D72" s="50" t="n">
        <f aca="false">Narxlar!D52/Narxlar!D$2</f>
        <v>1.14880434782609</v>
      </c>
      <c r="E72" s="50" t="n">
        <f aca="false">Narxlar!E52/Narxlar!E$2</f>
        <v>0.997534246575343</v>
      </c>
      <c r="F72" s="50" t="n">
        <f aca="false">Narxlar!F52/Narxlar!F$2</f>
        <v>1.098828125</v>
      </c>
      <c r="G72" s="50" t="n">
        <f aca="false">G71*(1+VaR!B54)</f>
        <v>1.08143566002383</v>
      </c>
      <c r="H72" s="31" t="n">
        <f aca="false">B72/MAX(B$22:B72)-1</f>
        <v>-0.0133793013239154</v>
      </c>
      <c r="I72" s="31" t="n">
        <f aca="false">C72/MAX(C$22:C72)-1</f>
        <v>-0.0183286057167794</v>
      </c>
      <c r="J72" s="31" t="n">
        <f aca="false">D72/MAX(D$22:D72)-1</f>
        <v>-0.0235587583148559</v>
      </c>
      <c r="K72" s="31" t="n">
        <f aca="false">E72/MAX(E$22:E72)-1</f>
        <v>-0.0578341311942036</v>
      </c>
      <c r="L72" s="31" t="n">
        <f aca="false">F72/MAX(F$22:F72)-1</f>
        <v>-0.0156419498197851</v>
      </c>
      <c r="M72" s="31" t="n">
        <f aca="false">G72/MAX(G$22:G72)-1</f>
        <v>-0.0153216057371508</v>
      </c>
    </row>
    <row r="73" customFormat="false" ht="15" hidden="false" customHeight="false" outlineLevel="0" collapsed="false">
      <c r="A73" s="19" t="n">
        <f aca="false">Narxlar!A53</f>
        <v>45364</v>
      </c>
      <c r="B73" s="50" t="n">
        <f aca="false">Narxlar!B53/Narxlar!B$2</f>
        <v>1.06464</v>
      </c>
      <c r="C73" s="50" t="n">
        <f aca="false">Narxlar!C53/Narxlar!C$2</f>
        <v>1.07728</v>
      </c>
      <c r="D73" s="50" t="n">
        <f aca="false">Narxlar!D53/Narxlar!D$2</f>
        <v>1.1733152173913</v>
      </c>
      <c r="E73" s="50" t="n">
        <f aca="false">Narxlar!E53/Narxlar!E$2</f>
        <v>0.992876712328767</v>
      </c>
      <c r="F73" s="50" t="n">
        <f aca="false">Narxlar!F53/Narxlar!F$2</f>
        <v>1.1208203125</v>
      </c>
      <c r="G73" s="50" t="n">
        <f aca="false">G72*(1+VaR!B55)</f>
        <v>1.08952537823285</v>
      </c>
      <c r="H73" s="31" t="n">
        <f aca="false">B73/MAX(B$22:B73)-1</f>
        <v>-0.00529753062196914</v>
      </c>
      <c r="I73" s="31" t="n">
        <f aca="false">C73/MAX(C$22:C73)-1</f>
        <v>-0.0205833151501927</v>
      </c>
      <c r="J73" s="31" t="n">
        <f aca="false">D73/MAX(D$22:D73)-1</f>
        <v>-0.00272542498152251</v>
      </c>
      <c r="K73" s="31" t="n">
        <f aca="false">E73/MAX(E$22:E73)-1</f>
        <v>-0.0622331478845904</v>
      </c>
      <c r="L73" s="31" t="n">
        <f aca="false">F73/MAX(F$22:F73)-1</f>
        <v>0</v>
      </c>
      <c r="M73" s="31" t="n">
        <f aca="false">G73/MAX(G$22:G73)-1</f>
        <v>-0.00795568372204192</v>
      </c>
    </row>
    <row r="74" customFormat="false" ht="15" hidden="false" customHeight="false" outlineLevel="0" collapsed="false">
      <c r="A74" s="19" t="n">
        <f aca="false">Narxlar!A54</f>
        <v>45365</v>
      </c>
      <c r="B74" s="50" t="n">
        <f aca="false">Narxlar!B54/Narxlar!B$2</f>
        <v>1.08481</v>
      </c>
      <c r="C74" s="50" t="n">
        <f aca="false">Narxlar!C54/Narxlar!C$2</f>
        <v>1.11632</v>
      </c>
      <c r="D74" s="50" t="n">
        <f aca="false">Narxlar!D54/Narxlar!D$2</f>
        <v>1.16336956521739</v>
      </c>
      <c r="E74" s="50" t="n">
        <f aca="false">Narxlar!E54/Narxlar!E$2</f>
        <v>1.02904109589041</v>
      </c>
      <c r="F74" s="50" t="n">
        <f aca="false">Narxlar!F54/Narxlar!F$2</f>
        <v>1.1432421875</v>
      </c>
      <c r="G74" s="50" t="n">
        <f aca="false">G73*(1+VaR!B56)</f>
        <v>1.11334199628775</v>
      </c>
      <c r="H74" s="31" t="n">
        <f aca="false">B74/MAX(B$22:B74)-1</f>
        <v>0</v>
      </c>
      <c r="I74" s="31" t="n">
        <f aca="false">C74/MAX(C$22:C74)-1</f>
        <v>0</v>
      </c>
      <c r="J74" s="31" t="n">
        <f aca="false">D74/MAX(D$22:D74)-1</f>
        <v>-0.0111788617886179</v>
      </c>
      <c r="K74" s="31" t="n">
        <f aca="false">E74/MAX(E$22:E74)-1</f>
        <v>-0.0280760771121749</v>
      </c>
      <c r="L74" s="31" t="n">
        <f aca="false">F74/MAX(F$22:F74)-1</f>
        <v>0</v>
      </c>
      <c r="M74" s="31" t="n">
        <f aca="false">G74/MAX(G$22:G74)-1</f>
        <v>0</v>
      </c>
    </row>
    <row r="75" customFormat="false" ht="15" hidden="false" customHeight="false" outlineLevel="0" collapsed="false">
      <c r="A75" s="19" t="n">
        <f aca="false">Narxlar!A55</f>
        <v>45366</v>
      </c>
      <c r="B75" s="50" t="n">
        <f aca="false">Narxlar!B55/Narxlar!B$2</f>
        <v>1.09505</v>
      </c>
      <c r="C75" s="50" t="n">
        <f aca="false">Narxlar!C55/Narxlar!C$2</f>
        <v>1.12904</v>
      </c>
      <c r="D75" s="50" t="n">
        <f aca="false">Narxlar!D55/Narxlar!D$2</f>
        <v>1.17445652173913</v>
      </c>
      <c r="E75" s="50" t="n">
        <f aca="false">Narxlar!E55/Narxlar!E$2</f>
        <v>1.06095890410959</v>
      </c>
      <c r="F75" s="50" t="n">
        <f aca="false">Narxlar!F55/Narxlar!F$2</f>
        <v>1.186953125</v>
      </c>
      <c r="G75" s="50" t="n">
        <f aca="false">G74*(1+VaR!B57)</f>
        <v>1.13694705305536</v>
      </c>
      <c r="H75" s="31" t="n">
        <f aca="false">B75/MAX(B$22:B75)-1</f>
        <v>0</v>
      </c>
      <c r="I75" s="31" t="n">
        <f aca="false">C75/MAX(C$22:C75)-1</f>
        <v>0</v>
      </c>
      <c r="J75" s="31" t="n">
        <f aca="false">D75/MAX(D$22:D75)-1</f>
        <v>-0.00175535846267549</v>
      </c>
      <c r="K75" s="31" t="n">
        <f aca="false">E75/MAX(E$22:E75)-1</f>
        <v>0</v>
      </c>
      <c r="L75" s="31" t="n">
        <f aca="false">F75/MAX(F$22:F75)-1</f>
        <v>0</v>
      </c>
      <c r="M75" s="31" t="n">
        <f aca="false">G75/MAX(G$22:G75)-1</f>
        <v>0</v>
      </c>
    </row>
    <row r="76" customFormat="false" ht="15" hidden="false" customHeight="false" outlineLevel="0" collapsed="false">
      <c r="A76" s="19" t="n">
        <f aca="false">Narxlar!A56</f>
        <v>45369</v>
      </c>
      <c r="B76" s="50" t="n">
        <f aca="false">Narxlar!B56/Narxlar!B$2</f>
        <v>1.10968</v>
      </c>
      <c r="C76" s="50" t="n">
        <f aca="false">Narxlar!C56/Narxlar!C$2</f>
        <v>1.14984</v>
      </c>
      <c r="D76" s="50" t="n">
        <f aca="false">Narxlar!D56/Narxlar!D$2</f>
        <v>1.20451086956522</v>
      </c>
      <c r="E76" s="50" t="n">
        <f aca="false">Narxlar!E56/Narxlar!E$2</f>
        <v>1.0758904109589</v>
      </c>
      <c r="F76" s="50" t="n">
        <f aca="false">Narxlar!F56/Narxlar!F$2</f>
        <v>1.194609375</v>
      </c>
      <c r="G76" s="50" t="n">
        <f aca="false">G75*(1+VaR!B58)</f>
        <v>1.15597134610973</v>
      </c>
      <c r="H76" s="31" t="n">
        <f aca="false">B76/MAX(B$22:B76)-1</f>
        <v>0</v>
      </c>
      <c r="I76" s="31" t="n">
        <f aca="false">C76/MAX(C$22:C76)-1</f>
        <v>0</v>
      </c>
      <c r="J76" s="31" t="n">
        <f aca="false">D76/MAX(D$22:D76)-1</f>
        <v>0</v>
      </c>
      <c r="K76" s="31" t="n">
        <f aca="false">E76/MAX(E$22:E76)-1</f>
        <v>0</v>
      </c>
      <c r="L76" s="31" t="n">
        <f aca="false">F76/MAX(F$22:F76)-1</f>
        <v>0</v>
      </c>
      <c r="M76" s="31" t="n">
        <f aca="false">G76/MAX(G$22:G76)-1</f>
        <v>0</v>
      </c>
    </row>
    <row r="77" customFormat="false" ht="15" hidden="false" customHeight="false" outlineLevel="0" collapsed="false">
      <c r="A77" s="19" t="n">
        <f aca="false">Narxlar!A57</f>
        <v>45370</v>
      </c>
      <c r="B77" s="50" t="n">
        <f aca="false">Narxlar!B57/Narxlar!B$2</f>
        <v>1.13553</v>
      </c>
      <c r="C77" s="50" t="n">
        <f aca="false">Narxlar!C57/Narxlar!C$2</f>
        <v>1.17488</v>
      </c>
      <c r="D77" s="50" t="n">
        <f aca="false">Narxlar!D57/Narxlar!D$2</f>
        <v>1.2345652173913</v>
      </c>
      <c r="E77" s="50" t="n">
        <f aca="false">Narxlar!E57/Narxlar!E$2</f>
        <v>1.09547945205479</v>
      </c>
      <c r="F77" s="50" t="n">
        <f aca="false">Narxlar!F57/Narxlar!F$2</f>
        <v>1.2436328125</v>
      </c>
      <c r="G77" s="50" t="n">
        <f aca="false">G76*(1+VaR!B59)</f>
        <v>1.18548354867268</v>
      </c>
      <c r="H77" s="31" t="n">
        <f aca="false">B77/MAX(B$22:B77)-1</f>
        <v>0</v>
      </c>
      <c r="I77" s="31" t="n">
        <f aca="false">C77/MAX(C$22:C77)-1</f>
        <v>0</v>
      </c>
      <c r="J77" s="31" t="n">
        <f aca="false">D77/MAX(D$22:D77)-1</f>
        <v>0</v>
      </c>
      <c r="K77" s="31" t="n">
        <f aca="false">E77/MAX(E$22:E77)-1</f>
        <v>0</v>
      </c>
      <c r="L77" s="31" t="n">
        <f aca="false">F77/MAX(F$22:F77)-1</f>
        <v>0</v>
      </c>
      <c r="M77" s="31" t="n">
        <f aca="false">G77/MAX(G$22:G77)-1</f>
        <v>0</v>
      </c>
    </row>
    <row r="78" customFormat="false" ht="15" hidden="false" customHeight="false" outlineLevel="0" collapsed="false">
      <c r="A78" s="19" t="n">
        <f aca="false">Narxlar!A58</f>
        <v>45371</v>
      </c>
      <c r="B78" s="50" t="n">
        <f aca="false">Narxlar!B58/Narxlar!B$2</f>
        <v>1.13898</v>
      </c>
      <c r="C78" s="50" t="n">
        <f aca="false">Narxlar!C58/Narxlar!C$2</f>
        <v>1.19112</v>
      </c>
      <c r="D78" s="50" t="n">
        <f aca="false">Narxlar!D58/Narxlar!D$2</f>
        <v>1.24516304347826</v>
      </c>
      <c r="E78" s="50" t="n">
        <f aca="false">Narxlar!E58/Narxlar!E$2</f>
        <v>1.09904109589041</v>
      </c>
      <c r="F78" s="50" t="n">
        <f aca="false">Narxlar!F58/Narxlar!F$2</f>
        <v>1.2662109375</v>
      </c>
      <c r="G78" s="50" t="n">
        <f aca="false">G77*(1+VaR!B60)</f>
        <v>1.19821169564686</v>
      </c>
      <c r="H78" s="31" t="n">
        <f aca="false">B78/MAX(B$22:B78)-1</f>
        <v>0</v>
      </c>
      <c r="I78" s="31" t="n">
        <f aca="false">C78/MAX(C$22:C78)-1</f>
        <v>0</v>
      </c>
      <c r="J78" s="31" t="n">
        <f aca="false">D78/MAX(D$22:D78)-1</f>
        <v>0</v>
      </c>
      <c r="K78" s="31" t="n">
        <f aca="false">E78/MAX(E$22:E78)-1</f>
        <v>0</v>
      </c>
      <c r="L78" s="31" t="n">
        <f aca="false">F78/MAX(F$22:F78)-1</f>
        <v>0</v>
      </c>
      <c r="M78" s="31" t="n">
        <f aca="false">G78/MAX(G$22:G78)-1</f>
        <v>0</v>
      </c>
    </row>
    <row r="79" customFormat="false" ht="15" hidden="false" customHeight="false" outlineLevel="0" collapsed="false">
      <c r="A79" s="19" t="n">
        <f aca="false">Narxlar!A59</f>
        <v>45372</v>
      </c>
      <c r="B79" s="50" t="n">
        <f aca="false">Narxlar!B59/Narxlar!B$2</f>
        <v>1.12123</v>
      </c>
      <c r="C79" s="50" t="n">
        <f aca="false">Narxlar!C59/Narxlar!C$2</f>
        <v>1.1532</v>
      </c>
      <c r="D79" s="50" t="n">
        <f aca="false">Narxlar!D59/Narxlar!D$2</f>
        <v>1.22853260869565</v>
      </c>
      <c r="E79" s="50" t="n">
        <f aca="false">Narxlar!E59/Narxlar!E$2</f>
        <v>1.07835616438356</v>
      </c>
      <c r="F79" s="50" t="n">
        <f aca="false">Narxlar!F59/Narxlar!F$2</f>
        <v>1.1607421875</v>
      </c>
      <c r="G79" s="50" t="n">
        <f aca="false">G78*(1+VaR!B61)</f>
        <v>1.15716832101403</v>
      </c>
      <c r="H79" s="31" t="n">
        <f aca="false">B79/MAX(B$22:B79)-1</f>
        <v>-0.0155841191241287</v>
      </c>
      <c r="I79" s="31" t="n">
        <f aca="false">C79/MAX(C$22:C79)-1</f>
        <v>-0.0318355833165424</v>
      </c>
      <c r="J79" s="31" t="n">
        <f aca="false">D79/MAX(D$22:D79)-1</f>
        <v>-0.0133560298546548</v>
      </c>
      <c r="K79" s="31" t="n">
        <f aca="false">E79/MAX(E$22:E79)-1</f>
        <v>-0.0188208899414183</v>
      </c>
      <c r="L79" s="31" t="n">
        <f aca="false">F79/MAX(F$22:F79)-1</f>
        <v>-0.0832947709393799</v>
      </c>
      <c r="M79" s="31" t="n">
        <f aca="false">G79/MAX(G$22:G79)-1</f>
        <v>-0.0342538591318571</v>
      </c>
    </row>
    <row r="80" customFormat="false" ht="15" hidden="false" customHeight="false" outlineLevel="0" collapsed="false">
      <c r="A80" s="19" t="n">
        <f aca="false">Narxlar!A60</f>
        <v>45373</v>
      </c>
      <c r="B80" s="50" t="n">
        <f aca="false">Narxlar!B60/Narxlar!B$2</f>
        <v>1.09566</v>
      </c>
      <c r="C80" s="50" t="n">
        <f aca="false">Narxlar!C60/Narxlar!C$2</f>
        <v>1.15432</v>
      </c>
      <c r="D80" s="50" t="n">
        <f aca="false">Narxlar!D60/Narxlar!D$2</f>
        <v>1.21059782608696</v>
      </c>
      <c r="E80" s="50" t="n">
        <f aca="false">Narxlar!E60/Narxlar!E$2</f>
        <v>1.06945205479452</v>
      </c>
      <c r="F80" s="50" t="n">
        <f aca="false">Narxlar!F60/Narxlar!F$2</f>
        <v>1.105859375</v>
      </c>
      <c r="G80" s="50" t="n">
        <f aca="false">G79*(1+VaR!B62)</f>
        <v>1.13995075133564</v>
      </c>
      <c r="H80" s="31" t="n">
        <f aca="false">B80/MAX(B$22:B80)-1</f>
        <v>-0.0380340304482959</v>
      </c>
      <c r="I80" s="31" t="n">
        <f aca="false">C80/MAX(C$22:C80)-1</f>
        <v>-0.0308952918261803</v>
      </c>
      <c r="J80" s="31" t="n">
        <f aca="false">D80/MAX(D$22:D80)-1</f>
        <v>-0.0277595914626161</v>
      </c>
      <c r="K80" s="31" t="n">
        <f aca="false">E80/MAX(E$22:E80)-1</f>
        <v>-0.0269225975320951</v>
      </c>
      <c r="L80" s="31" t="n">
        <f aca="false">F80/MAX(F$22:F80)-1</f>
        <v>-0.12663890174302</v>
      </c>
      <c r="M80" s="31" t="n">
        <f aca="false">G80/MAX(G$22:G80)-1</f>
        <v>-0.0486232478975812</v>
      </c>
    </row>
    <row r="81" customFormat="false" ht="15" hidden="false" customHeight="false" outlineLevel="0" collapsed="false">
      <c r="A81" s="19" t="n">
        <f aca="false">Narxlar!A61</f>
        <v>45376</v>
      </c>
      <c r="B81" s="50" t="n">
        <f aca="false">Narxlar!B61/Narxlar!B$2</f>
        <v>1.09919</v>
      </c>
      <c r="C81" s="50" t="n">
        <f aca="false">Narxlar!C61/Narxlar!C$2</f>
        <v>1.16616</v>
      </c>
      <c r="D81" s="50" t="n">
        <f aca="false">Narxlar!D61/Narxlar!D$2</f>
        <v>1.23423913043478</v>
      </c>
      <c r="E81" s="50" t="n">
        <f aca="false">Narxlar!E61/Narxlar!E$2</f>
        <v>1.07027397260274</v>
      </c>
      <c r="F81" s="50" t="n">
        <f aca="false">Narxlar!F61/Narxlar!F$2</f>
        <v>1.10734375</v>
      </c>
      <c r="G81" s="50" t="n">
        <f aca="false">G80*(1+VaR!B63)</f>
        <v>1.14954900310971</v>
      </c>
      <c r="H81" s="31" t="n">
        <f aca="false">B81/MAX(B$22:B81)-1</f>
        <v>-0.0349347661943142</v>
      </c>
      <c r="I81" s="31" t="n">
        <f aca="false">C81/MAX(C$22:C81)-1</f>
        <v>-0.0209550674994962</v>
      </c>
      <c r="J81" s="31" t="n">
        <f aca="false">D81/MAX(D$22:D81)-1</f>
        <v>-0.00877307843393993</v>
      </c>
      <c r="K81" s="31" t="n">
        <f aca="false">E81/MAX(E$22:E81)-1</f>
        <v>-0.0261747476006481</v>
      </c>
      <c r="L81" s="31" t="n">
        <f aca="false">F81/MAX(F$22:F81)-1</f>
        <v>-0.125466604966836</v>
      </c>
      <c r="M81" s="31" t="n">
        <f aca="false">G81/MAX(G$22:G81)-1</f>
        <v>-0.0406127671044662</v>
      </c>
    </row>
    <row r="82" customFormat="false" ht="15" hidden="false" customHeight="false" outlineLevel="0" collapsed="false">
      <c r="A82" s="19" t="n">
        <f aca="false">Narxlar!A62</f>
        <v>45377</v>
      </c>
      <c r="B82" s="50" t="n">
        <f aca="false">Narxlar!B62/Narxlar!B$2</f>
        <v>1.07644</v>
      </c>
      <c r="C82" s="50" t="n">
        <f aca="false">Narxlar!C62/Narxlar!C$2</f>
        <v>1.14688</v>
      </c>
      <c r="D82" s="50" t="n">
        <f aca="false">Narxlar!D62/Narxlar!D$2</f>
        <v>1.18413043478261</v>
      </c>
      <c r="E82" s="50" t="n">
        <f aca="false">Narxlar!E62/Narxlar!E$2</f>
        <v>1.04931506849315</v>
      </c>
      <c r="F82" s="50" t="n">
        <f aca="false">Narxlar!F62/Narxlar!F$2</f>
        <v>1.079375</v>
      </c>
      <c r="G82" s="50" t="n">
        <f aca="false">G81*(1+VaR!B64)</f>
        <v>1.12074501641568</v>
      </c>
      <c r="H82" s="31" t="n">
        <f aca="false">B82/MAX(B$22:B82)-1</f>
        <v>-0.054908778029465</v>
      </c>
      <c r="I82" s="31" t="n">
        <f aca="false">C82/MAX(C$22:C82)-1</f>
        <v>-0.0371415138692995</v>
      </c>
      <c r="J82" s="31" t="n">
        <f aca="false">D82/MAX(D$22:D82)-1</f>
        <v>-0.0490157566234559</v>
      </c>
      <c r="K82" s="31" t="n">
        <f aca="false">E82/MAX(E$22:E82)-1</f>
        <v>-0.0452449208525488</v>
      </c>
      <c r="L82" s="31" t="n">
        <f aca="false">F82/MAX(F$22:F82)-1</f>
        <v>-0.147555144223353</v>
      </c>
      <c r="M82" s="31" t="n">
        <f aca="false">G82/MAX(G$22:G82)-1</f>
        <v>-0.0646519137750212</v>
      </c>
    </row>
    <row r="83" customFormat="false" ht="15" hidden="false" customHeight="false" outlineLevel="0" collapsed="false">
      <c r="A83" s="19" t="n">
        <f aca="false">Narxlar!A63</f>
        <v>45378</v>
      </c>
      <c r="B83" s="50" t="n">
        <f aca="false">Narxlar!B63/Narxlar!B$2</f>
        <v>1.0542</v>
      </c>
      <c r="C83" s="50" t="n">
        <f aca="false">Narxlar!C63/Narxlar!C$2</f>
        <v>1.13776</v>
      </c>
      <c r="D83" s="50" t="n">
        <f aca="false">Narxlar!D63/Narxlar!D$2</f>
        <v>1.17869565217391</v>
      </c>
      <c r="E83" s="50" t="n">
        <f aca="false">Narxlar!E63/Narxlar!E$2</f>
        <v>1.04657534246575</v>
      </c>
      <c r="F83" s="50" t="n">
        <f aca="false">Narxlar!F63/Narxlar!F$2</f>
        <v>1.035546875</v>
      </c>
      <c r="G83" s="50" t="n">
        <f aca="false">G82*(1+VaR!B65)</f>
        <v>1.10695224969198</v>
      </c>
      <c r="H83" s="31" t="n">
        <f aca="false">B83/MAX(B$22:B83)-1</f>
        <v>-0.0744350208080915</v>
      </c>
      <c r="I83" s="31" t="n">
        <f aca="false">C83/MAX(C$22:C83)-1</f>
        <v>-0.0447981731479614</v>
      </c>
      <c r="J83" s="31" t="n">
        <f aca="false">D83/MAX(D$22:D83)-1</f>
        <v>-0.053380472262232</v>
      </c>
      <c r="K83" s="31" t="n">
        <f aca="false">E83/MAX(E$22:E83)-1</f>
        <v>-0.0477377539573726</v>
      </c>
      <c r="L83" s="31" t="n">
        <f aca="false">F83/MAX(F$22:F83)-1</f>
        <v>-0.18216874903594</v>
      </c>
      <c r="M83" s="31" t="n">
        <f aca="false">G83/MAX(G$22:G83)-1</f>
        <v>-0.0761630405431962</v>
      </c>
    </row>
    <row r="84" customFormat="false" ht="15" hidden="false" customHeight="false" outlineLevel="0" collapsed="false">
      <c r="A84" s="19" t="n">
        <f aca="false">Narxlar!A64</f>
        <v>45379</v>
      </c>
      <c r="B84" s="50" t="n">
        <f aca="false">Narxlar!B64/Narxlar!B$2</f>
        <v>1.0645</v>
      </c>
      <c r="C84" s="50" t="n">
        <f aca="false">Narxlar!C64/Narxlar!C$2</f>
        <v>1.144</v>
      </c>
      <c r="D84" s="50" t="n">
        <f aca="false">Narxlar!D64/Narxlar!D$2</f>
        <v>1.18728260869565</v>
      </c>
      <c r="E84" s="50" t="n">
        <f aca="false">Narxlar!E64/Narxlar!E$2</f>
        <v>1.04616438356164</v>
      </c>
      <c r="F84" s="50" t="n">
        <f aca="false">Narxlar!F64/Narxlar!F$2</f>
        <v>1.0338671875</v>
      </c>
      <c r="G84" s="50" t="n">
        <f aca="false">G83*(1+VaR!B66)</f>
        <v>1.11032186596494</v>
      </c>
      <c r="H84" s="31" t="n">
        <f aca="false">B84/MAX(B$22:B84)-1</f>
        <v>-0.0653918418233859</v>
      </c>
      <c r="I84" s="31" t="n">
        <f aca="false">C84/MAX(C$22:C84)-1</f>
        <v>-0.0395594062730875</v>
      </c>
      <c r="J84" s="31" t="n">
        <f aca="false">D84/MAX(D$22:D84)-1</f>
        <v>-0.0464842215529657</v>
      </c>
      <c r="K84" s="31" t="n">
        <f aca="false">E84/MAX(E$22:E84)-1</f>
        <v>-0.048111678923096</v>
      </c>
      <c r="L84" s="31" t="n">
        <f aca="false">F84/MAX(F$22:F84)-1</f>
        <v>-0.183495295387938</v>
      </c>
      <c r="M84" s="31" t="n">
        <f aca="false">G84/MAX(G$22:G84)-1</f>
        <v>-0.0733508360844949</v>
      </c>
    </row>
    <row r="85" customFormat="false" ht="15" hidden="false" customHeight="false" outlineLevel="0" collapsed="false">
      <c r="A85" s="19" t="n">
        <f aca="false">Narxlar!A65</f>
        <v>45380</v>
      </c>
      <c r="B85" s="50" t="n">
        <f aca="false">Narxlar!B65/Narxlar!B$2</f>
        <v>1.07339</v>
      </c>
      <c r="C85" s="50" t="n">
        <f aca="false">Narxlar!C65/Narxlar!C$2</f>
        <v>1.15296</v>
      </c>
      <c r="D85" s="50" t="n">
        <f aca="false">Narxlar!D65/Narxlar!D$2</f>
        <v>1.19728260869565</v>
      </c>
      <c r="E85" s="50" t="n">
        <f aca="false">Narxlar!E65/Narxlar!E$2</f>
        <v>1.04972602739726</v>
      </c>
      <c r="F85" s="50" t="n">
        <f aca="false">Narxlar!F65/Narxlar!F$2</f>
        <v>1.068046875</v>
      </c>
      <c r="G85" s="50" t="n">
        <f aca="false">G84*(1+VaR!B67)</f>
        <v>1.12355515488955</v>
      </c>
      <c r="H85" s="31" t="n">
        <f aca="false">B85/MAX(B$22:B85)-1</f>
        <v>-0.0575866125831885</v>
      </c>
      <c r="I85" s="31" t="n">
        <f aca="false">C85/MAX(C$22:C85)-1</f>
        <v>-0.0320370743501914</v>
      </c>
      <c r="J85" s="31" t="n">
        <f aca="false">D85/MAX(D$22:D85)-1</f>
        <v>-0.0384531447776176</v>
      </c>
      <c r="K85" s="31" t="n">
        <f aca="false">E85/MAX(E$22:E85)-1</f>
        <v>-0.0448709958868254</v>
      </c>
      <c r="L85" s="31" t="n">
        <f aca="false">F85/MAX(F$22:F85)-1</f>
        <v>-0.156501619620546</v>
      </c>
      <c r="M85" s="31" t="n">
        <f aca="false">G85/MAX(G$22:G85)-1</f>
        <v>-0.0623066366557225</v>
      </c>
    </row>
    <row r="86" customFormat="false" ht="15" hidden="false" customHeight="false" outlineLevel="0" collapsed="false">
      <c r="A86" s="19" t="n">
        <f aca="false">Narxlar!A66</f>
        <v>45383</v>
      </c>
      <c r="B86" s="50" t="n">
        <f aca="false">Narxlar!B66/Narxlar!B$2</f>
        <v>1.14149</v>
      </c>
      <c r="C86" s="50" t="n">
        <f aca="false">Narxlar!C66/Narxlar!C$2</f>
        <v>1.23872</v>
      </c>
      <c r="D86" s="50" t="n">
        <f aca="false">Narxlar!D66/Narxlar!D$2</f>
        <v>1.27097826086957</v>
      </c>
      <c r="E86" s="50" t="n">
        <f aca="false">Narxlar!E66/Narxlar!E$2</f>
        <v>1.10054794520548</v>
      </c>
      <c r="F86" s="50" t="n">
        <f aca="false">Narxlar!F66/Narxlar!F$2</f>
        <v>1.146953125</v>
      </c>
      <c r="G86" s="50" t="n">
        <f aca="false">G85*(1+VaR!B68)</f>
        <v>1.19611688873668</v>
      </c>
      <c r="H86" s="31" t="n">
        <f aca="false">B86/MAX(B$22:B86)-1</f>
        <v>0</v>
      </c>
      <c r="I86" s="31" t="n">
        <f aca="false">C86/MAX(C$22:C86)-1</f>
        <v>0</v>
      </c>
      <c r="J86" s="31" t="n">
        <f aca="false">D86/MAX(D$22:D86)-1</f>
        <v>0</v>
      </c>
      <c r="K86" s="31" t="n">
        <f aca="false">E86/MAX(E$22:E86)-1</f>
        <v>0</v>
      </c>
      <c r="L86" s="31" t="n">
        <f aca="false">F86/MAX(F$22:F86)-1</f>
        <v>-0.0941847909918246</v>
      </c>
      <c r="M86" s="31" t="n">
        <f aca="false">G86/MAX(G$22:G86)-1</f>
        <v>-0.00174827780248299</v>
      </c>
    </row>
    <row r="87" customFormat="false" ht="15" hidden="false" customHeight="false" outlineLevel="0" collapsed="false">
      <c r="A87" s="19" t="n">
        <f aca="false">Narxlar!A67</f>
        <v>45384</v>
      </c>
      <c r="B87" s="50" t="n">
        <f aca="false">Narxlar!B67/Narxlar!B$2</f>
        <v>1.126</v>
      </c>
      <c r="C87" s="50" t="n">
        <f aca="false">Narxlar!C67/Narxlar!C$2</f>
        <v>1.2164</v>
      </c>
      <c r="D87" s="50" t="n">
        <f aca="false">Narxlar!D67/Narxlar!D$2</f>
        <v>1.24326086956522</v>
      </c>
      <c r="E87" s="50" t="n">
        <f aca="false">Narxlar!E67/Narxlar!E$2</f>
        <v>1.1013698630137</v>
      </c>
      <c r="F87" s="50" t="n">
        <f aca="false">Narxlar!F67/Narxlar!F$2</f>
        <v>1.1444140625</v>
      </c>
      <c r="G87" s="50" t="n">
        <f aca="false">G86*(1+VaR!B69)</f>
        <v>1.1828237212058</v>
      </c>
      <c r="H87" s="31" t="n">
        <f aca="false">B87/MAX(B$22:B87)-1</f>
        <v>-0.0135699830922743</v>
      </c>
      <c r="I87" s="31" t="n">
        <f aca="false">C87/MAX(C$22:C87)-1</f>
        <v>-0.0180185998450014</v>
      </c>
      <c r="J87" s="31" t="n">
        <f aca="false">D87/MAX(D$22:D87)-1</f>
        <v>-0.021807919267938</v>
      </c>
      <c r="K87" s="31" t="n">
        <f aca="false">E87/MAX(E$22:E87)-1</f>
        <v>0</v>
      </c>
      <c r="L87" s="31" t="n">
        <f aca="false">F87/MAX(F$22:F87)-1</f>
        <v>-0.0961900354774022</v>
      </c>
      <c r="M87" s="31" t="n">
        <f aca="false">G87/MAX(G$22:G87)-1</f>
        <v>-0.0128424505427228</v>
      </c>
    </row>
    <row r="88" customFormat="false" ht="15" hidden="false" customHeight="false" outlineLevel="0" collapsed="false">
      <c r="A88" s="19" t="n">
        <f aca="false">Narxlar!A68</f>
        <v>45385</v>
      </c>
      <c r="B88" s="50" t="n">
        <f aca="false">Narxlar!B68/Narxlar!B$2</f>
        <v>1.09249</v>
      </c>
      <c r="C88" s="50" t="n">
        <f aca="false">Narxlar!C68/Narxlar!C$2</f>
        <v>1.17456</v>
      </c>
      <c r="D88" s="50" t="n">
        <f aca="false">Narxlar!D68/Narxlar!D$2</f>
        <v>1.1954347826087</v>
      </c>
      <c r="E88" s="50" t="n">
        <f aca="false">Narxlar!E68/Narxlar!E$2</f>
        <v>1.07794520547945</v>
      </c>
      <c r="F88" s="50" t="n">
        <f aca="false">Narxlar!F68/Narxlar!F$2</f>
        <v>1.09734375</v>
      </c>
      <c r="G88" s="50" t="n">
        <f aca="false">G87*(1+VaR!B70)</f>
        <v>1.14322360820883</v>
      </c>
      <c r="H88" s="31" t="n">
        <f aca="false">B88/MAX(B$22:B88)-1</f>
        <v>-0.0429263506469616</v>
      </c>
      <c r="I88" s="31" t="n">
        <f aca="false">C88/MAX(C$22:C88)-1</f>
        <v>-0.0517954017049858</v>
      </c>
      <c r="J88" s="31" t="n">
        <f aca="false">D88/MAX(D$22:D88)-1</f>
        <v>-0.0594372701616351</v>
      </c>
      <c r="K88" s="31" t="n">
        <f aca="false">E88/MAX(E$22:E88)-1</f>
        <v>-0.0212686567164179</v>
      </c>
      <c r="L88" s="31" t="n">
        <f aca="false">F88/MAX(F$22:F88)-1</f>
        <v>-0.133364183248496</v>
      </c>
      <c r="M88" s="31" t="n">
        <f aca="false">G88/MAX(G$22:G88)-1</f>
        <v>-0.0458917966147389</v>
      </c>
    </row>
    <row r="89" customFormat="false" ht="15" hidden="false" customHeight="false" outlineLevel="0" collapsed="false">
      <c r="A89" s="19" t="n">
        <f aca="false">Narxlar!A69</f>
        <v>45386</v>
      </c>
      <c r="B89" s="50" t="n">
        <f aca="false">Narxlar!B69/Narxlar!B$2</f>
        <v>1.08154</v>
      </c>
      <c r="C89" s="50" t="n">
        <f aca="false">Narxlar!C69/Narxlar!C$2</f>
        <v>1.16808</v>
      </c>
      <c r="D89" s="50" t="n">
        <f aca="false">Narxlar!D69/Narxlar!D$2</f>
        <v>1.18445652173913</v>
      </c>
      <c r="E89" s="50" t="n">
        <f aca="false">Narxlar!E69/Narxlar!E$2</f>
        <v>1.07739726027397</v>
      </c>
      <c r="F89" s="50" t="n">
        <f aca="false">Narxlar!F69/Narxlar!F$2</f>
        <v>1.114375</v>
      </c>
      <c r="G89" s="50" t="n">
        <f aca="false">G88*(1+VaR!B71)</f>
        <v>1.14211016075431</v>
      </c>
      <c r="H89" s="31" t="n">
        <f aca="false">B89/MAX(B$22:B89)-1</f>
        <v>-0.0525190759445988</v>
      </c>
      <c r="I89" s="31" t="n">
        <f aca="false">C89/MAX(C$22:C89)-1</f>
        <v>-0.0570266081115991</v>
      </c>
      <c r="J89" s="31" t="n">
        <f aca="false">D89/MAX(D$22:D89)-1</f>
        <v>-0.0680749166167792</v>
      </c>
      <c r="K89" s="31" t="n">
        <f aca="false">E89/MAX(E$22:E89)-1</f>
        <v>-0.0217661691542288</v>
      </c>
      <c r="L89" s="31" t="n">
        <f aca="false">F89/MAX(F$22:F89)-1</f>
        <v>-0.119913620237544</v>
      </c>
      <c r="M89" s="31" t="n">
        <f aca="false">G89/MAX(G$22:G89)-1</f>
        <v>-0.0468210543231749</v>
      </c>
    </row>
    <row r="90" customFormat="false" ht="15" hidden="false" customHeight="false" outlineLevel="0" collapsed="false">
      <c r="A90" s="19" t="n">
        <f aca="false">Narxlar!A70</f>
        <v>45387</v>
      </c>
      <c r="B90" s="50" t="n">
        <f aca="false">Narxlar!B70/Narxlar!B$2</f>
        <v>1.04513</v>
      </c>
      <c r="C90" s="50" t="n">
        <f aca="false">Narxlar!C70/Narxlar!C$2</f>
        <v>1.1136</v>
      </c>
      <c r="D90" s="50" t="n">
        <f aca="false">Narxlar!D70/Narxlar!D$2</f>
        <v>1.15853260869565</v>
      </c>
      <c r="E90" s="50" t="n">
        <f aca="false">Narxlar!E70/Narxlar!E$2</f>
        <v>1.04328767123288</v>
      </c>
      <c r="F90" s="50" t="n">
        <f aca="false">Narxlar!F70/Narxlar!F$2</f>
        <v>1.0723046875</v>
      </c>
      <c r="G90" s="50" t="n">
        <f aca="false">G89*(1+VaR!B72)</f>
        <v>1.1022171996984</v>
      </c>
      <c r="H90" s="31" t="n">
        <f aca="false">B90/MAX(B$22:B90)-1</f>
        <v>-0.0844159826192082</v>
      </c>
      <c r="I90" s="31" t="n">
        <f aca="false">C90/MAX(C$22:C90)-1</f>
        <v>-0.101007491604237</v>
      </c>
      <c r="J90" s="31" t="n">
        <f aca="false">D90/MAX(D$22:D90)-1</f>
        <v>-0.0884717352262037</v>
      </c>
      <c r="K90" s="31" t="n">
        <f aca="false">E90/MAX(E$22:E90)-1</f>
        <v>-0.0527363184079601</v>
      </c>
      <c r="L90" s="31" t="n">
        <f aca="false">F90/MAX(F$22:F90)-1</f>
        <v>-0.153138978867808</v>
      </c>
      <c r="M90" s="31" t="n">
        <f aca="false">G90/MAX(G$22:G90)-1</f>
        <v>-0.0801148046686635</v>
      </c>
    </row>
    <row r="91" customFormat="false" ht="15" hidden="false" customHeight="false" outlineLevel="0" collapsed="false">
      <c r="A91" s="19" t="n">
        <f aca="false">Narxlar!A71</f>
        <v>45390</v>
      </c>
      <c r="B91" s="50" t="n">
        <f aca="false">Narxlar!B71/Narxlar!B$2</f>
        <v>1.06509</v>
      </c>
      <c r="C91" s="50" t="n">
        <f aca="false">Narxlar!C71/Narxlar!C$2</f>
        <v>1.1184</v>
      </c>
      <c r="D91" s="50" t="n">
        <f aca="false">Narxlar!D71/Narxlar!D$2</f>
        <v>1.17657608695652</v>
      </c>
      <c r="E91" s="50" t="n">
        <f aca="false">Narxlar!E71/Narxlar!E$2</f>
        <v>1.05808219178082</v>
      </c>
      <c r="F91" s="50" t="n">
        <f aca="false">Narxlar!F71/Narxlar!F$2</f>
        <v>1.1034765625</v>
      </c>
      <c r="G91" s="50" t="n">
        <f aca="false">G90*(1+VaR!B73)</f>
        <v>1.11824991154978</v>
      </c>
      <c r="H91" s="31" t="n">
        <f aca="false">B91/MAX(B$22:B91)-1</f>
        <v>-0.0669300650903646</v>
      </c>
      <c r="I91" s="31" t="n">
        <f aca="false">C91/MAX(C$22:C91)-1</f>
        <v>-0.0971325238956342</v>
      </c>
      <c r="J91" s="31" t="n">
        <f aca="false">D91/MAX(D$22:D91)-1</f>
        <v>-0.0742752073890362</v>
      </c>
      <c r="K91" s="31" t="n">
        <f aca="false">E91/MAX(E$22:E91)-1</f>
        <v>-0.0393034825870646</v>
      </c>
      <c r="L91" s="31" t="n">
        <f aca="false">F91/MAX(F$22:F91)-1</f>
        <v>-0.128520746567947</v>
      </c>
      <c r="M91" s="31" t="n">
        <f aca="false">G91/MAX(G$22:G91)-1</f>
        <v>-0.0667342710704476</v>
      </c>
    </row>
    <row r="92" customFormat="false" ht="15" hidden="false" customHeight="false" outlineLevel="0" collapsed="false">
      <c r="A92" s="19" t="n">
        <f aca="false">Narxlar!A72</f>
        <v>45391</v>
      </c>
      <c r="B92" s="50" t="n">
        <f aca="false">Narxlar!B72/Narxlar!B$2</f>
        <v>1.09252</v>
      </c>
      <c r="C92" s="50" t="n">
        <f aca="false">Narxlar!C72/Narxlar!C$2</f>
        <v>1.13656</v>
      </c>
      <c r="D92" s="50" t="n">
        <f aca="false">Narxlar!D72/Narxlar!D$2</f>
        <v>1.20798913043478</v>
      </c>
      <c r="E92" s="50" t="n">
        <f aca="false">Narxlar!E72/Narxlar!E$2</f>
        <v>1.08205479452055</v>
      </c>
      <c r="F92" s="50" t="n">
        <f aca="false">Narxlar!F72/Narxlar!F$2</f>
        <v>1.1321484375</v>
      </c>
      <c r="G92" s="50" t="n">
        <f aca="false">G91*(1+VaR!B74)</f>
        <v>1.14330623047573</v>
      </c>
      <c r="H92" s="31" t="n">
        <f aca="false">B92/MAX(B$22:B92)-1</f>
        <v>-0.04290006920779</v>
      </c>
      <c r="I92" s="31" t="n">
        <f aca="false">C92/MAX(C$22:C92)-1</f>
        <v>-0.0824722293980884</v>
      </c>
      <c r="J92" s="31" t="n">
        <f aca="false">D92/MAX(D$22:D92)-1</f>
        <v>-0.0495595655520398</v>
      </c>
      <c r="K92" s="31" t="n">
        <f aca="false">E92/MAX(E$22:E92)-1</f>
        <v>-0.0175373134328358</v>
      </c>
      <c r="L92" s="31" t="n">
        <f aca="false">F92/MAX(F$22:F92)-1</f>
        <v>-0.105876908838501</v>
      </c>
      <c r="M92" s="31" t="n">
        <f aca="false">G92/MAX(G$22:G92)-1</f>
        <v>-0.0458228419657402</v>
      </c>
    </row>
    <row r="93" customFormat="false" ht="15" hidden="false" customHeight="false" outlineLevel="0" collapsed="false">
      <c r="A93" s="19" t="n">
        <f aca="false">Narxlar!A73</f>
        <v>45392</v>
      </c>
      <c r="B93" s="50" t="n">
        <f aca="false">Narxlar!B73/Narxlar!B$2</f>
        <v>1.07883</v>
      </c>
      <c r="C93" s="50" t="n">
        <f aca="false">Narxlar!C73/Narxlar!C$2</f>
        <v>1.12144</v>
      </c>
      <c r="D93" s="50" t="n">
        <f aca="false">Narxlar!D73/Narxlar!D$2</f>
        <v>1.19663043478261</v>
      </c>
      <c r="E93" s="50" t="n">
        <f aca="false">Narxlar!E73/Narxlar!E$2</f>
        <v>1.07068493150685</v>
      </c>
      <c r="F93" s="50" t="n">
        <f aca="false">Narxlar!F73/Narxlar!F$2</f>
        <v>1.1235546875</v>
      </c>
      <c r="G93" s="50" t="n">
        <f aca="false">G92*(1+VaR!B75)</f>
        <v>1.13131662834708</v>
      </c>
      <c r="H93" s="31" t="n">
        <f aca="false">B93/MAX(B$22:B93)-1</f>
        <v>-0.0548931659497676</v>
      </c>
      <c r="I93" s="31" t="n">
        <f aca="false">C93/MAX(C$22:C93)-1</f>
        <v>-0.0946783776801861</v>
      </c>
      <c r="J93" s="31" t="n">
        <f aca="false">D93/MAX(D$22:D93)-1</f>
        <v>-0.0584965363892928</v>
      </c>
      <c r="K93" s="31" t="n">
        <f aca="false">E93/MAX(E$22:E93)-1</f>
        <v>-0.0278606965174127</v>
      </c>
      <c r="L93" s="31" t="n">
        <f aca="false">F93/MAX(F$22:F93)-1</f>
        <v>-0.112663890174302</v>
      </c>
      <c r="M93" s="31" t="n">
        <f aca="false">G93/MAX(G$22:G93)-1</f>
        <v>-0.0558290889187735</v>
      </c>
    </row>
    <row r="94" customFormat="false" ht="15" hidden="false" customHeight="false" outlineLevel="0" collapsed="false">
      <c r="A94" s="19" t="n">
        <f aca="false">Narxlar!A74</f>
        <v>45393</v>
      </c>
      <c r="B94" s="50" t="n">
        <f aca="false">Narxlar!B74/Narxlar!B$2</f>
        <v>1.09119</v>
      </c>
      <c r="C94" s="50" t="n">
        <f aca="false">Narxlar!C74/Narxlar!C$2</f>
        <v>1.14864</v>
      </c>
      <c r="D94" s="50" t="n">
        <f aca="false">Narxlar!D74/Narxlar!D$2</f>
        <v>1.20070652173913</v>
      </c>
      <c r="E94" s="50" t="n">
        <f aca="false">Narxlar!E74/Narxlar!E$2</f>
        <v>1.07698630136986</v>
      </c>
      <c r="F94" s="50" t="n">
        <f aca="false">Narxlar!F74/Narxlar!F$2</f>
        <v>1.183359375</v>
      </c>
      <c r="G94" s="50" t="n">
        <f aca="false">G93*(1+VaR!B76)</f>
        <v>1.15422001684932</v>
      </c>
      <c r="H94" s="31" t="n">
        <f aca="false">B94/MAX(B$22:B94)-1</f>
        <v>-0.0440652130110645</v>
      </c>
      <c r="I94" s="31" t="n">
        <f aca="false">C94/MAX(C$22:C94)-1</f>
        <v>-0.0727202273314389</v>
      </c>
      <c r="J94" s="31" t="n">
        <f aca="false">D94/MAX(D$22:D94)-1</f>
        <v>-0.0552894894381254</v>
      </c>
      <c r="K94" s="31" t="n">
        <f aca="false">E94/MAX(E$22:E94)-1</f>
        <v>-0.022139303482587</v>
      </c>
      <c r="L94" s="31" t="n">
        <f aca="false">F94/MAX(F$22:F94)-1</f>
        <v>-0.0654326700601573</v>
      </c>
      <c r="M94" s="31" t="n">
        <f aca="false">G94/MAX(G$22:G94)-1</f>
        <v>-0.0367144461678726</v>
      </c>
    </row>
    <row r="95" customFormat="false" ht="15" hidden="false" customHeight="false" outlineLevel="0" collapsed="false">
      <c r="A95" s="19" t="n">
        <f aca="false">Narxlar!A75</f>
        <v>45394</v>
      </c>
      <c r="B95" s="50" t="n">
        <f aca="false">Narxlar!B75/Narxlar!B$2</f>
        <v>1.1043</v>
      </c>
      <c r="C95" s="50" t="n">
        <f aca="false">Narxlar!C75/Narxlar!C$2</f>
        <v>1.15576</v>
      </c>
      <c r="D95" s="50" t="n">
        <f aca="false">Narxlar!D75/Narxlar!D$2</f>
        <v>1.2495652173913</v>
      </c>
      <c r="E95" s="50" t="n">
        <f aca="false">Narxlar!E75/Narxlar!E$2</f>
        <v>1.09041095890411</v>
      </c>
      <c r="F95" s="50" t="n">
        <f aca="false">Narxlar!F75/Narxlar!F$2</f>
        <v>1.1944140625</v>
      </c>
      <c r="G95" s="50" t="n">
        <f aca="false">G94*(1+VaR!B77)</f>
        <v>1.17386150363966</v>
      </c>
      <c r="H95" s="31" t="n">
        <f aca="false">B95/MAX(B$22:B95)-1</f>
        <v>-0.0325802240930714</v>
      </c>
      <c r="I95" s="31" t="n">
        <f aca="false">C95/MAX(C$22:C95)-1</f>
        <v>-0.0669723585636788</v>
      </c>
      <c r="J95" s="31" t="n">
        <f aca="false">D95/MAX(D$22:D95)-1</f>
        <v>-0.0168476866501326</v>
      </c>
      <c r="K95" s="31" t="n">
        <f aca="false">E95/MAX(E$22:E95)-1</f>
        <v>-0.00995024875621886</v>
      </c>
      <c r="L95" s="31" t="n">
        <f aca="false">F95/MAX(F$22:F95)-1</f>
        <v>-0.0567021440691038</v>
      </c>
      <c r="M95" s="31" t="n">
        <f aca="false">G95/MAX(G$22:G95)-1</f>
        <v>-0.0203221117734611</v>
      </c>
    </row>
    <row r="96" customFormat="false" ht="15" hidden="false" customHeight="false" outlineLevel="0" collapsed="false">
      <c r="A96" s="19" t="n">
        <f aca="false">Narxlar!A76</f>
        <v>45397</v>
      </c>
      <c r="B96" s="50" t="n">
        <f aca="false">Narxlar!B76/Narxlar!B$2</f>
        <v>1.09728</v>
      </c>
      <c r="C96" s="50" t="n">
        <f aca="false">Narxlar!C76/Narxlar!C$2</f>
        <v>1.13216</v>
      </c>
      <c r="D96" s="50" t="n">
        <f aca="false">Narxlar!D76/Narxlar!D$2</f>
        <v>1.25336956521739</v>
      </c>
      <c r="E96" s="50" t="n">
        <f aca="false">Narxlar!E76/Narxlar!E$2</f>
        <v>1.09342465753425</v>
      </c>
      <c r="F96" s="50" t="n">
        <f aca="false">Narxlar!F76/Narxlar!F$2</f>
        <v>1.1665625</v>
      </c>
      <c r="G96" s="50" t="n">
        <f aca="false">G95*(1+VaR!B78)</f>
        <v>1.16290070536506</v>
      </c>
      <c r="H96" s="31" t="n">
        <f aca="false">B96/MAX(B$22:B96)-1</f>
        <v>-0.0387300808592279</v>
      </c>
      <c r="I96" s="31" t="n">
        <f aca="false">C96/MAX(C$22:C96)-1</f>
        <v>-0.0860242831309739</v>
      </c>
      <c r="J96" s="31" t="n">
        <f aca="false">D96/MAX(D$22:D96)-1</f>
        <v>-0.013854442829043</v>
      </c>
      <c r="K96" s="31" t="n">
        <f aca="false">E96/MAX(E$22:E96)-1</f>
        <v>-0.00721393034825868</v>
      </c>
      <c r="L96" s="31" t="n">
        <f aca="false">F96/MAX(F$22:F96)-1</f>
        <v>-0.0786981335801327</v>
      </c>
      <c r="M96" s="31" t="n">
        <f aca="false">G96/MAX(G$22:G96)-1</f>
        <v>-0.029469742625684</v>
      </c>
    </row>
    <row r="97" customFormat="false" ht="15" hidden="false" customHeight="false" outlineLevel="0" collapsed="false">
      <c r="A97" s="19" t="n">
        <f aca="false">Narxlar!A77</f>
        <v>45398</v>
      </c>
      <c r="B97" s="50" t="n">
        <f aca="false">Narxlar!B77/Narxlar!B$2</f>
        <v>1.10453</v>
      </c>
      <c r="C97" s="50" t="n">
        <f aca="false">Narxlar!C77/Narxlar!C$2</f>
        <v>1.14312</v>
      </c>
      <c r="D97" s="50" t="n">
        <f aca="false">Narxlar!D77/Narxlar!D$2</f>
        <v>1.28125</v>
      </c>
      <c r="E97" s="50" t="n">
        <f aca="false">Narxlar!E77/Narxlar!E$2</f>
        <v>1.08561643835616</v>
      </c>
      <c r="F97" s="50" t="n">
        <f aca="false">Narxlar!F77/Narxlar!F$2</f>
        <v>1.1868359375</v>
      </c>
      <c r="G97" s="50" t="n">
        <f aca="false">G96*(1+VaR!B79)</f>
        <v>1.17471085658178</v>
      </c>
      <c r="H97" s="31" t="n">
        <f aca="false">B97/MAX(B$22:B97)-1</f>
        <v>-0.0323787330594224</v>
      </c>
      <c r="I97" s="31" t="n">
        <f aca="false">C97/MAX(C$22:C97)-1</f>
        <v>-0.0771764401963319</v>
      </c>
      <c r="J97" s="31" t="n">
        <f aca="false">D97/MAX(D$22:D97)-1</f>
        <v>0</v>
      </c>
      <c r="K97" s="31" t="n">
        <f aca="false">E97/MAX(E$22:E97)-1</f>
        <v>-0.0143034825870646</v>
      </c>
      <c r="L97" s="31" t="n">
        <f aca="false">F97/MAX(F$22:F97)-1</f>
        <v>-0.062687027610674</v>
      </c>
      <c r="M97" s="31" t="n">
        <f aca="false">G97/MAX(G$22:G97)-1</f>
        <v>-0.0196132612880192</v>
      </c>
    </row>
    <row r="98" customFormat="false" ht="15" hidden="false" customHeight="false" outlineLevel="0" collapsed="false">
      <c r="A98" s="19" t="n">
        <f aca="false">Narxlar!A78</f>
        <v>45399</v>
      </c>
      <c r="B98" s="50" t="n">
        <f aca="false">Narxlar!B78/Narxlar!B$2</f>
        <v>1.10773</v>
      </c>
      <c r="C98" s="50" t="n">
        <f aca="false">Narxlar!C78/Narxlar!C$2</f>
        <v>1.13168</v>
      </c>
      <c r="D98" s="50" t="n">
        <f aca="false">Narxlar!D78/Narxlar!D$2</f>
        <v>1.26119565217391</v>
      </c>
      <c r="E98" s="50" t="n">
        <f aca="false">Narxlar!E78/Narxlar!E$2</f>
        <v>1.1158904109589</v>
      </c>
      <c r="F98" s="50" t="n">
        <f aca="false">Narxlar!F78/Narxlar!F$2</f>
        <v>1.1873046875</v>
      </c>
      <c r="G98" s="50" t="n">
        <f aca="false">G97*(1+VaR!B80)</f>
        <v>1.17486973320265</v>
      </c>
      <c r="H98" s="31" t="n">
        <f aca="false">B98/MAX(B$22:B98)-1</f>
        <v>-0.029575379547784</v>
      </c>
      <c r="I98" s="31" t="n">
        <f aca="false">C98/MAX(C$22:C98)-1</f>
        <v>-0.0864117799018341</v>
      </c>
      <c r="J98" s="31" t="n">
        <f aca="false">D98/MAX(D$22:D98)-1</f>
        <v>-0.0156521739130435</v>
      </c>
      <c r="K98" s="31" t="n">
        <f aca="false">E98/MAX(E$22:E98)-1</f>
        <v>0</v>
      </c>
      <c r="L98" s="31" t="n">
        <f aca="false">F98/MAX(F$22:F98)-1</f>
        <v>-0.0623168286287212</v>
      </c>
      <c r="M98" s="31" t="n">
        <f aca="false">G98/MAX(G$22:G98)-1</f>
        <v>-0.0194806665040975</v>
      </c>
    </row>
    <row r="99" customFormat="false" ht="15" hidden="false" customHeight="false" outlineLevel="0" collapsed="false">
      <c r="A99" s="19" t="n">
        <f aca="false">Narxlar!A79</f>
        <v>45400</v>
      </c>
      <c r="B99" s="50" t="n">
        <f aca="false">Narxlar!B79/Narxlar!B$2</f>
        <v>1.10103</v>
      </c>
      <c r="C99" s="50" t="n">
        <f aca="false">Narxlar!C79/Narxlar!C$2</f>
        <v>1.11752</v>
      </c>
      <c r="D99" s="50" t="n">
        <f aca="false">Narxlar!D79/Narxlar!D$2</f>
        <v>1.25739130434783</v>
      </c>
      <c r="E99" s="50" t="n">
        <f aca="false">Narxlar!E79/Narxlar!E$2</f>
        <v>1.11260273972603</v>
      </c>
      <c r="F99" s="50" t="n">
        <f aca="false">Narxlar!F79/Narxlar!F$2</f>
        <v>1.2026953125</v>
      </c>
      <c r="G99" s="50" t="n">
        <f aca="false">G98*(1+VaR!B81)</f>
        <v>1.17175415165229</v>
      </c>
      <c r="H99" s="31" t="n">
        <f aca="false">B99/MAX(B$22:B99)-1</f>
        <v>-0.0354449009627769</v>
      </c>
      <c r="I99" s="31" t="n">
        <f aca="false">C99/MAX(C$22:C99)-1</f>
        <v>-0.0978429346422113</v>
      </c>
      <c r="J99" s="31" t="n">
        <f aca="false">D99/MAX(D$22:D99)-1</f>
        <v>-0.0186214209968187</v>
      </c>
      <c r="K99" s="31" t="n">
        <f aca="false">E99/MAX(E$22:E99)-1</f>
        <v>-0.00294623127915539</v>
      </c>
      <c r="L99" s="31" t="n">
        <f aca="false">F99/MAX(F$22:F99)-1</f>
        <v>-0.0501619620546043</v>
      </c>
      <c r="M99" s="31" t="n">
        <f aca="false">G99/MAX(G$22:G99)-1</f>
        <v>-0.0220808594096477</v>
      </c>
    </row>
    <row r="100" customFormat="false" ht="15" hidden="false" customHeight="false" outlineLevel="0" collapsed="false">
      <c r="A100" s="19" t="n">
        <f aca="false">Narxlar!A80</f>
        <v>45401</v>
      </c>
      <c r="B100" s="50" t="n">
        <f aca="false">Narxlar!B80/Narxlar!B$2</f>
        <v>1.10367</v>
      </c>
      <c r="C100" s="50" t="n">
        <f aca="false">Narxlar!C80/Narxlar!C$2</f>
        <v>1.11984</v>
      </c>
      <c r="D100" s="50" t="n">
        <f aca="false">Narxlar!D80/Narxlar!D$2</f>
        <v>1.27190217391304</v>
      </c>
      <c r="E100" s="50" t="n">
        <f aca="false">Narxlar!E80/Narxlar!E$2</f>
        <v>1.12657534246575</v>
      </c>
      <c r="F100" s="50" t="n">
        <f aca="false">Narxlar!F80/Narxlar!F$2</f>
        <v>1.191171875</v>
      </c>
      <c r="G100" s="50" t="n">
        <f aca="false">G99*(1+VaR!B82)</f>
        <v>1.17729804129873</v>
      </c>
      <c r="H100" s="31" t="n">
        <f aca="false">B100/MAX(B$22:B100)-1</f>
        <v>-0.0331321343156751</v>
      </c>
      <c r="I100" s="31" t="n">
        <f aca="false">C100/MAX(C$22:C100)-1</f>
        <v>-0.0959700335830536</v>
      </c>
      <c r="J100" s="31" t="n">
        <f aca="false">D100/MAX(D$22:D100)-1</f>
        <v>-0.00729586426299056</v>
      </c>
      <c r="K100" s="31" t="n">
        <f aca="false">E100/MAX(E$22:E100)-1</f>
        <v>0</v>
      </c>
      <c r="L100" s="31" t="n">
        <f aca="false">F100/MAX(F$22:F100)-1</f>
        <v>-0.0592626870276106</v>
      </c>
      <c r="M100" s="31" t="n">
        <f aca="false">G100/MAX(G$22:G100)-1</f>
        <v>-0.017454056260765</v>
      </c>
    </row>
    <row r="101" customFormat="false" ht="15" hidden="false" customHeight="false" outlineLevel="0" collapsed="false">
      <c r="A101" s="19" t="n">
        <f aca="false">Narxlar!A81</f>
        <v>45404</v>
      </c>
      <c r="B101" s="50" t="n">
        <f aca="false">Narxlar!B81/Narxlar!B$2</f>
        <v>1.12895</v>
      </c>
      <c r="C101" s="50" t="n">
        <f aca="false">Narxlar!C81/Narxlar!C$2</f>
        <v>1.1692</v>
      </c>
      <c r="D101" s="50" t="n">
        <f aca="false">Narxlar!D81/Narxlar!D$2</f>
        <v>1.28864130434783</v>
      </c>
      <c r="E101" s="50" t="n">
        <f aca="false">Narxlar!E81/Narxlar!E$2</f>
        <v>1.17794520547945</v>
      </c>
      <c r="F101" s="50" t="n">
        <f aca="false">Narxlar!F81/Narxlar!F$2</f>
        <v>1.21953125</v>
      </c>
      <c r="G101" s="50" t="n">
        <f aca="false">G100*(1+VaR!B83)</f>
        <v>1.21576584132065</v>
      </c>
      <c r="H101" s="31" t="n">
        <f aca="false">B101/MAX(B$22:B101)-1</f>
        <v>-0.0109856415737326</v>
      </c>
      <c r="I101" s="31" t="n">
        <f aca="false">C101/MAX(C$22:C101)-1</f>
        <v>-0.0561224489795918</v>
      </c>
      <c r="J101" s="31" t="n">
        <f aca="false">D101/MAX(D$22:D101)-1</f>
        <v>0</v>
      </c>
      <c r="K101" s="31" t="n">
        <f aca="false">E101/MAX(E$22:E101)-1</f>
        <v>0</v>
      </c>
      <c r="L101" s="31" t="n">
        <f aca="false">F101/MAX(F$22:F101)-1</f>
        <v>-0.0368656486194663</v>
      </c>
      <c r="M101" s="31" t="n">
        <f aca="false">G101/MAX(G$22:G101)-1</f>
        <v>0</v>
      </c>
    </row>
    <row r="102" customFormat="false" ht="15" hidden="false" customHeight="false" outlineLevel="0" collapsed="false">
      <c r="A102" s="19" t="n">
        <f aca="false">Narxlar!A82</f>
        <v>45405</v>
      </c>
      <c r="B102" s="50" t="n">
        <f aca="false">Narxlar!B82/Narxlar!B$2</f>
        <v>1.14202</v>
      </c>
      <c r="C102" s="50" t="n">
        <f aca="false">Narxlar!C82/Narxlar!C$2</f>
        <v>1.17576</v>
      </c>
      <c r="D102" s="50" t="n">
        <f aca="false">Narxlar!D82/Narxlar!D$2</f>
        <v>1.29005434782609</v>
      </c>
      <c r="E102" s="50" t="n">
        <f aca="false">Narxlar!E82/Narxlar!E$2</f>
        <v>1.17068493150685</v>
      </c>
      <c r="F102" s="50" t="n">
        <f aca="false">Narxlar!F82/Narxlar!F$2</f>
        <v>1.2417578125</v>
      </c>
      <c r="G102" s="50" t="n">
        <f aca="false">G101*(1+VaR!B84)</f>
        <v>1.22070374602354</v>
      </c>
      <c r="H102" s="31" t="n">
        <f aca="false">B102/MAX(B$22:B102)-1</f>
        <v>0</v>
      </c>
      <c r="I102" s="31" t="n">
        <f aca="false">C102/MAX(C$22:C102)-1</f>
        <v>-0.0508266597778353</v>
      </c>
      <c r="J102" s="31" t="n">
        <f aca="false">D102/MAX(D$22:D102)-1</f>
        <v>0</v>
      </c>
      <c r="K102" s="31" t="n">
        <f aca="false">E102/MAX(E$22:E102)-1</f>
        <v>-0.00616350738457971</v>
      </c>
      <c r="L102" s="31" t="n">
        <f aca="false">F102/MAX(F$22:F102)-1</f>
        <v>-0.0193120468918711</v>
      </c>
      <c r="M102" s="31" t="n">
        <f aca="false">G102/MAX(G$22:G102)-1</f>
        <v>0</v>
      </c>
    </row>
    <row r="103" customFormat="false" ht="15" hidden="false" customHeight="false" outlineLevel="0" collapsed="false">
      <c r="A103" s="19" t="n">
        <f aca="false">Narxlar!A83</f>
        <v>45406</v>
      </c>
      <c r="B103" s="50" t="n">
        <f aca="false">Narxlar!B83/Narxlar!B$2</f>
        <v>1.14835</v>
      </c>
      <c r="C103" s="50" t="n">
        <f aca="false">Narxlar!C83/Narxlar!C$2</f>
        <v>1.19544</v>
      </c>
      <c r="D103" s="50" t="n">
        <f aca="false">Narxlar!D83/Narxlar!D$2</f>
        <v>1.30923913043478</v>
      </c>
      <c r="E103" s="50" t="n">
        <f aca="false">Narxlar!E83/Narxlar!E$2</f>
        <v>1.18890410958904</v>
      </c>
      <c r="F103" s="50" t="n">
        <f aca="false">Narxlar!F83/Narxlar!F$2</f>
        <v>1.2539453125</v>
      </c>
      <c r="G103" s="50" t="n">
        <f aca="false">G102*(1+VaR!B85)</f>
        <v>1.23851736555851</v>
      </c>
      <c r="H103" s="31" t="n">
        <f aca="false">B103/MAX(B$22:B103)-1</f>
        <v>0</v>
      </c>
      <c r="I103" s="31" t="n">
        <f aca="false">C103/MAX(C$22:C103)-1</f>
        <v>-0.0349392921725652</v>
      </c>
      <c r="J103" s="31" t="n">
        <f aca="false">D103/MAX(D$22:D103)-1</f>
        <v>0</v>
      </c>
      <c r="K103" s="31" t="n">
        <f aca="false">E103/MAX(E$22:E103)-1</f>
        <v>0</v>
      </c>
      <c r="L103" s="31" t="n">
        <f aca="false">F103/MAX(F$22:F103)-1</f>
        <v>-0.00968687336109819</v>
      </c>
      <c r="M103" s="31" t="n">
        <f aca="false">G103/MAX(G$22:G103)-1</f>
        <v>0</v>
      </c>
    </row>
    <row r="104" customFormat="false" ht="15" hidden="false" customHeight="false" outlineLevel="0" collapsed="false">
      <c r="A104" s="19" t="n">
        <f aca="false">Narxlar!A84</f>
        <v>45407</v>
      </c>
      <c r="B104" s="50" t="n">
        <f aca="false">Narxlar!B84/Narxlar!B$2</f>
        <v>1.13809</v>
      </c>
      <c r="C104" s="50" t="n">
        <f aca="false">Narxlar!C84/Narxlar!C$2</f>
        <v>1.18416</v>
      </c>
      <c r="D104" s="50" t="n">
        <f aca="false">Narxlar!D84/Narxlar!D$2</f>
        <v>1.28641304347826</v>
      </c>
      <c r="E104" s="50" t="n">
        <f aca="false">Narxlar!E84/Narxlar!E$2</f>
        <v>1.17493150684932</v>
      </c>
      <c r="F104" s="50" t="n">
        <f aca="false">Narxlar!F84/Narxlar!F$2</f>
        <v>1.2883984375</v>
      </c>
      <c r="G104" s="50" t="n">
        <f aca="false">G103*(1+VaR!B86)</f>
        <v>1.23278007936626</v>
      </c>
      <c r="H104" s="31" t="n">
        <f aca="false">B104/MAX(B$22:B104)-1</f>
        <v>-0.00893455827927037</v>
      </c>
      <c r="I104" s="31" t="n">
        <f aca="false">C104/MAX(C$22:C104)-1</f>
        <v>-0.0440454662877808</v>
      </c>
      <c r="J104" s="31" t="n">
        <f aca="false">D104/MAX(D$22:D104)-1</f>
        <v>-0.0174346201743463</v>
      </c>
      <c r="K104" s="31" t="n">
        <f aca="false">E104/MAX(E$22:E104)-1</f>
        <v>-0.011752506049084</v>
      </c>
      <c r="L104" s="31" t="n">
        <f aca="false">F104/MAX(F$22:F104)-1</f>
        <v>0</v>
      </c>
      <c r="M104" s="31" t="n">
        <f aca="false">G104/MAX(G$22:G104)-1</f>
        <v>-0.00463238251784082</v>
      </c>
    </row>
    <row r="105" customFormat="false" ht="15" hidden="false" customHeight="false" outlineLevel="0" collapsed="false">
      <c r="A105" s="19" t="n">
        <f aca="false">Narxlar!A85</f>
        <v>45408</v>
      </c>
      <c r="B105" s="50" t="n">
        <f aca="false">Narxlar!B85/Narxlar!B$2</f>
        <v>1.1602</v>
      </c>
      <c r="C105" s="50" t="n">
        <f aca="false">Narxlar!C85/Narxlar!C$2</f>
        <v>1.22328</v>
      </c>
      <c r="D105" s="50" t="n">
        <f aca="false">Narxlar!D85/Narxlar!D$2</f>
        <v>1.31434782608696</v>
      </c>
      <c r="E105" s="50" t="n">
        <f aca="false">Narxlar!E85/Narxlar!E$2</f>
        <v>1.20794520547945</v>
      </c>
      <c r="F105" s="50" t="n">
        <f aca="false">Narxlar!F85/Narxlar!F$2</f>
        <v>1.3182421875</v>
      </c>
      <c r="G105" s="50" t="n">
        <f aca="false">G104*(1+VaR!B87)</f>
        <v>1.26606135187984</v>
      </c>
      <c r="H105" s="31" t="n">
        <f aca="false">B105/MAX(B$22:B105)-1</f>
        <v>0</v>
      </c>
      <c r="I105" s="31" t="n">
        <f aca="false">C105/MAX(C$22:C105)-1</f>
        <v>-0.0124644794626713</v>
      </c>
      <c r="J105" s="31" t="n">
        <f aca="false">D105/MAX(D$22:D105)-1</f>
        <v>0</v>
      </c>
      <c r="K105" s="31" t="n">
        <f aca="false">E105/MAX(E$22:E105)-1</f>
        <v>0</v>
      </c>
      <c r="L105" s="31" t="n">
        <f aca="false">F105/MAX(F$22:F105)-1</f>
        <v>0</v>
      </c>
      <c r="M105" s="31" t="n">
        <f aca="false">G105/MAX(G$22:G105)-1</f>
        <v>0</v>
      </c>
    </row>
    <row r="106" customFormat="false" ht="15" hidden="false" customHeight="false" outlineLevel="0" collapsed="false">
      <c r="A106" s="19" t="n">
        <f aca="false">Narxlar!A86</f>
        <v>45411</v>
      </c>
      <c r="B106" s="50" t="n">
        <f aca="false">Narxlar!B86/Narxlar!B$2</f>
        <v>1.16274</v>
      </c>
      <c r="C106" s="50" t="n">
        <f aca="false">Narxlar!C86/Narxlar!C$2</f>
        <v>1.22688</v>
      </c>
      <c r="D106" s="50" t="n">
        <f aca="false">Narxlar!D86/Narxlar!D$2</f>
        <v>1.32815217391304</v>
      </c>
      <c r="E106" s="50" t="n">
        <f aca="false">Narxlar!E86/Narxlar!E$2</f>
        <v>1.20958904109589</v>
      </c>
      <c r="F106" s="50" t="n">
        <f aca="false">Narxlar!F86/Narxlar!F$2</f>
        <v>1.3219140625</v>
      </c>
      <c r="G106" s="50" t="n">
        <f aca="false">G105*(1+VaR!B88)</f>
        <v>1.27163945991072</v>
      </c>
      <c r="H106" s="31" t="n">
        <f aca="false">B106/MAX(B$22:B106)-1</f>
        <v>0</v>
      </c>
      <c r="I106" s="31" t="n">
        <f aca="false">C106/MAX(C$22:C106)-1</f>
        <v>-0.00955825368121943</v>
      </c>
      <c r="J106" s="31" t="n">
        <f aca="false">D106/MAX(D$22:D106)-1</f>
        <v>0</v>
      </c>
      <c r="K106" s="31" t="n">
        <f aca="false">E106/MAX(E$22:E106)-1</f>
        <v>0</v>
      </c>
      <c r="L106" s="31" t="n">
        <f aca="false">F106/MAX(F$22:F106)-1</f>
        <v>0</v>
      </c>
      <c r="M106" s="31" t="n">
        <f aca="false">G106/MAX(G$22:G106)-1</f>
        <v>0</v>
      </c>
    </row>
    <row r="107" customFormat="false" ht="15" hidden="false" customHeight="false" outlineLevel="0" collapsed="false">
      <c r="A107" s="19" t="n">
        <f aca="false">Narxlar!A87</f>
        <v>45412</v>
      </c>
      <c r="B107" s="50" t="n">
        <f aca="false">Narxlar!B87/Narxlar!B$2</f>
        <v>1.15675</v>
      </c>
      <c r="C107" s="50" t="n">
        <f aca="false">Narxlar!C87/Narxlar!C$2</f>
        <v>1.21208</v>
      </c>
      <c r="D107" s="50" t="n">
        <f aca="false">Narxlar!D87/Narxlar!D$2</f>
        <v>1.31739130434783</v>
      </c>
      <c r="E107" s="50" t="n">
        <f aca="false">Narxlar!E87/Narxlar!E$2</f>
        <v>1.20917808219178</v>
      </c>
      <c r="F107" s="50" t="n">
        <f aca="false">Narxlar!F87/Narxlar!F$2</f>
        <v>1.3444140625</v>
      </c>
      <c r="G107" s="50" t="n">
        <f aca="false">G106*(1+VaR!B89)</f>
        <v>1.26868257665725</v>
      </c>
      <c r="H107" s="31" t="n">
        <f aca="false">B107/MAX(B$22:B107)-1</f>
        <v>-0.00515162461083318</v>
      </c>
      <c r="I107" s="31" t="n">
        <f aca="false">C107/MAX(C$22:C107)-1</f>
        <v>-0.0215060707827435</v>
      </c>
      <c r="J107" s="31" t="n">
        <f aca="false">D107/MAX(D$22:D107)-1</f>
        <v>-0.00810213601767751</v>
      </c>
      <c r="K107" s="31" t="n">
        <f aca="false">E107/MAX(E$22:E107)-1</f>
        <v>-0.000339750849377207</v>
      </c>
      <c r="L107" s="31" t="n">
        <f aca="false">F107/MAX(F$22:F107)-1</f>
        <v>0</v>
      </c>
      <c r="M107" s="31" t="n">
        <f aca="false">G107/MAX(G$22:G107)-1</f>
        <v>-0.00232525283044927</v>
      </c>
    </row>
    <row r="108" customFormat="false" ht="15" hidden="false" customHeight="false" outlineLevel="0" collapsed="false">
      <c r="A108" s="19" t="n">
        <f aca="false">Narxlar!A88</f>
        <v>45413</v>
      </c>
      <c r="B108" s="50" t="n">
        <f aca="false">Narxlar!B88/Narxlar!B$2</f>
        <v>1.15042</v>
      </c>
      <c r="C108" s="50" t="n">
        <f aca="false">Narxlar!C88/Narxlar!C$2</f>
        <v>1.2124</v>
      </c>
      <c r="D108" s="50" t="n">
        <f aca="false">Narxlar!D88/Narxlar!D$2</f>
        <v>1.31385869565217</v>
      </c>
      <c r="E108" s="50" t="n">
        <f aca="false">Narxlar!E88/Narxlar!E$2</f>
        <v>1.21424657534247</v>
      </c>
      <c r="F108" s="50" t="n">
        <f aca="false">Narxlar!F88/Narxlar!F$2</f>
        <v>1.3503125</v>
      </c>
      <c r="G108" s="50" t="n">
        <f aca="false">G107*(1+VaR!B90)</f>
        <v>1.27037527534025</v>
      </c>
      <c r="H108" s="31" t="n">
        <f aca="false">B108/MAX(B$22:B108)-1</f>
        <v>-0.010595661970862</v>
      </c>
      <c r="I108" s="31" t="n">
        <f aca="false">C108/MAX(C$22:C108)-1</f>
        <v>-0.0212477396021701</v>
      </c>
      <c r="J108" s="31" t="n">
        <f aca="false">D108/MAX(D$22:D108)-1</f>
        <v>-0.0107619281446928</v>
      </c>
      <c r="K108" s="31" t="n">
        <f aca="false">E108/MAX(E$22:E108)-1</f>
        <v>0</v>
      </c>
      <c r="L108" s="31" t="n">
        <f aca="false">F108/MAX(F$22:F108)-1</f>
        <v>0</v>
      </c>
      <c r="M108" s="31" t="n">
        <f aca="false">G108/MAX(G$22:G108)-1</f>
        <v>-0.000994137576196486</v>
      </c>
    </row>
    <row r="109" customFormat="false" ht="15" hidden="false" customHeight="false" outlineLevel="0" collapsed="false">
      <c r="A109" s="19" t="n">
        <f aca="false">Narxlar!A89</f>
        <v>45414</v>
      </c>
      <c r="B109" s="50" t="n">
        <f aca="false">Narxlar!B89/Narxlar!B$2</f>
        <v>1.16421</v>
      </c>
      <c r="C109" s="50" t="n">
        <f aca="false">Narxlar!C89/Narxlar!C$2</f>
        <v>1.22144</v>
      </c>
      <c r="D109" s="50" t="n">
        <f aca="false">Narxlar!D89/Narxlar!D$2</f>
        <v>1.30391304347826</v>
      </c>
      <c r="E109" s="50" t="n">
        <f aca="false">Narxlar!E89/Narxlar!E$2</f>
        <v>1.21657534246575</v>
      </c>
      <c r="F109" s="50" t="n">
        <f aca="false">Narxlar!F89/Narxlar!F$2</f>
        <v>1.389765625</v>
      </c>
      <c r="G109" s="50" t="n">
        <f aca="false">G108*(1+VaR!B91)</f>
        <v>1.27884544770879</v>
      </c>
      <c r="H109" s="31" t="n">
        <f aca="false">B109/MAX(B$22:B109)-1</f>
        <v>0</v>
      </c>
      <c r="I109" s="31" t="n">
        <f aca="false">C109/MAX(C$22:C109)-1</f>
        <v>-0.0139498837509687</v>
      </c>
      <c r="J109" s="31" t="n">
        <f aca="false">D109/MAX(D$22:D109)-1</f>
        <v>-0.0182502659792128</v>
      </c>
      <c r="K109" s="31" t="n">
        <f aca="false">E109/MAX(E$22:E109)-1</f>
        <v>0</v>
      </c>
      <c r="L109" s="31" t="n">
        <f aca="false">F109/MAX(F$22:F109)-1</f>
        <v>0</v>
      </c>
      <c r="M109" s="31" t="n">
        <f aca="false">G109/MAX(G$22:G109)-1</f>
        <v>0</v>
      </c>
    </row>
    <row r="110" customFormat="false" ht="15" hidden="false" customHeight="false" outlineLevel="0" collapsed="false">
      <c r="A110" s="19" t="n">
        <f aca="false">Narxlar!A90</f>
        <v>45415</v>
      </c>
      <c r="B110" s="50" t="n">
        <f aca="false">Narxlar!B90/Narxlar!B$2</f>
        <v>1.15063</v>
      </c>
      <c r="C110" s="50" t="n">
        <f aca="false">Narxlar!C90/Narxlar!C$2</f>
        <v>1.19608</v>
      </c>
      <c r="D110" s="50" t="n">
        <f aca="false">Narxlar!D90/Narxlar!D$2</f>
        <v>1.27608695652174</v>
      </c>
      <c r="E110" s="50" t="n">
        <f aca="false">Narxlar!E90/Narxlar!E$2</f>
        <v>1.21109589041096</v>
      </c>
      <c r="F110" s="50" t="n">
        <f aca="false">Narxlar!F90/Narxlar!F$2</f>
        <v>1.323515625</v>
      </c>
      <c r="G110" s="50" t="n">
        <f aca="false">G109*(1+VaR!B92)</f>
        <v>1.25042463412499</v>
      </c>
      <c r="H110" s="31" t="n">
        <f aca="false">B110/MAX(B$22:B110)-1</f>
        <v>-0.0116645622353355</v>
      </c>
      <c r="I110" s="31" t="n">
        <f aca="false">C110/MAX(C$22:C110)-1</f>
        <v>-0.0344226298114182</v>
      </c>
      <c r="J110" s="31" t="n">
        <f aca="false">D110/MAX(D$22:D110)-1</f>
        <v>-0.0392012439643178</v>
      </c>
      <c r="K110" s="31" t="n">
        <f aca="false">E110/MAX(E$22:E110)-1</f>
        <v>-0.00450399729760165</v>
      </c>
      <c r="L110" s="31" t="n">
        <f aca="false">F110/MAX(F$22:F110)-1</f>
        <v>-0.0476699083703411</v>
      </c>
      <c r="M110" s="31" t="n">
        <f aca="false">G110/MAX(G$22:G110)-1</f>
        <v>-0.0222238063518327</v>
      </c>
    </row>
    <row r="111" customFormat="false" ht="15" hidden="false" customHeight="false" outlineLevel="0" collapsed="false">
      <c r="A111" s="19" t="n">
        <f aca="false">Narxlar!A91</f>
        <v>45418</v>
      </c>
      <c r="B111" s="50" t="n">
        <f aca="false">Narxlar!B91/Narxlar!B$2</f>
        <v>1.15661</v>
      </c>
      <c r="C111" s="50" t="n">
        <f aca="false">Narxlar!C91/Narxlar!C$2</f>
        <v>1.19728</v>
      </c>
      <c r="D111" s="50" t="n">
        <f aca="false">Narxlar!D91/Narxlar!D$2</f>
        <v>1.29798913043478</v>
      </c>
      <c r="E111" s="50" t="n">
        <f aca="false">Narxlar!E91/Narxlar!E$2</f>
        <v>1.21506849315069</v>
      </c>
      <c r="F111" s="50" t="n">
        <f aca="false">Narxlar!F91/Narxlar!F$2</f>
        <v>1.32046875</v>
      </c>
      <c r="G111" s="50" t="n">
        <f aca="false">G110*(1+VaR!B93)</f>
        <v>1.25661609993558</v>
      </c>
      <c r="H111" s="31" t="n">
        <f aca="false">B111/MAX(B$22:B111)-1</f>
        <v>-0.00652803188428208</v>
      </c>
      <c r="I111" s="31" t="n">
        <f aca="false">C111/MAX(C$22:C111)-1</f>
        <v>-0.0334538878842677</v>
      </c>
      <c r="J111" s="31" t="n">
        <f aca="false">D111/MAX(D$22:D111)-1</f>
        <v>-0.022710532776823</v>
      </c>
      <c r="K111" s="31" t="n">
        <f aca="false">E111/MAX(E$22:E111)-1</f>
        <v>-0.00123859925684044</v>
      </c>
      <c r="L111" s="31" t="n">
        <f aca="false">F111/MAX(F$22:F111)-1</f>
        <v>-0.0498622744392601</v>
      </c>
      <c r="M111" s="31" t="n">
        <f aca="false">G111/MAX(G$22:G111)-1</f>
        <v>-0.017382356728908</v>
      </c>
    </row>
    <row r="112" customFormat="false" ht="15" hidden="false" customHeight="false" outlineLevel="0" collapsed="false">
      <c r="A112" s="19" t="n">
        <f aca="false">Narxlar!A92</f>
        <v>45419</v>
      </c>
      <c r="B112" s="50" t="n">
        <f aca="false">Narxlar!B92/Narxlar!B$2</f>
        <v>1.17232</v>
      </c>
      <c r="C112" s="50" t="n">
        <f aca="false">Narxlar!C92/Narxlar!C$2</f>
        <v>1.18976</v>
      </c>
      <c r="D112" s="50" t="n">
        <f aca="false">Narxlar!D92/Narxlar!D$2</f>
        <v>1.305</v>
      </c>
      <c r="E112" s="50" t="n">
        <f aca="false">Narxlar!E92/Narxlar!E$2</f>
        <v>1.22958904109589</v>
      </c>
      <c r="F112" s="50" t="n">
        <f aca="false">Narxlar!F92/Narxlar!F$2</f>
        <v>1.353984375</v>
      </c>
      <c r="G112" s="50" t="n">
        <f aca="false">G111*(1+VaR!B94)</f>
        <v>1.2660783975974</v>
      </c>
      <c r="H112" s="31" t="n">
        <f aca="false">B112/MAX(B$22:B112)-1</f>
        <v>0</v>
      </c>
      <c r="I112" s="31" t="n">
        <f aca="false">C112/MAX(C$22:C112)-1</f>
        <v>-0.0395246706277449</v>
      </c>
      <c r="J112" s="31" t="n">
        <f aca="false">D112/MAX(D$22:D112)-1</f>
        <v>-0.0174318684016697</v>
      </c>
      <c r="K112" s="31" t="n">
        <f aca="false">E112/MAX(E$22:E112)-1</f>
        <v>0</v>
      </c>
      <c r="L112" s="31" t="n">
        <f aca="false">F112/MAX(F$22:F112)-1</f>
        <v>-0.0257462476811512</v>
      </c>
      <c r="M112" s="31" t="n">
        <f aca="false">G112/MAX(G$22:G112)-1</f>
        <v>-0.00998326274239725</v>
      </c>
    </row>
    <row r="113" customFormat="false" ht="15" hidden="false" customHeight="false" outlineLevel="0" collapsed="false">
      <c r="A113" s="19" t="n">
        <f aca="false">Narxlar!A93</f>
        <v>45420</v>
      </c>
      <c r="B113" s="50" t="n">
        <f aca="false">Narxlar!B93/Narxlar!B$2</f>
        <v>1.16569</v>
      </c>
      <c r="C113" s="50" t="n">
        <f aca="false">Narxlar!C93/Narxlar!C$2</f>
        <v>1.1824</v>
      </c>
      <c r="D113" s="50" t="n">
        <f aca="false">Narxlar!D93/Narxlar!D$2</f>
        <v>1.30717391304348</v>
      </c>
      <c r="E113" s="50" t="n">
        <f aca="false">Narxlar!E93/Narxlar!E$2</f>
        <v>1.22767123287671</v>
      </c>
      <c r="F113" s="50" t="n">
        <f aca="false">Narxlar!F93/Narxlar!F$2</f>
        <v>1.32828125</v>
      </c>
      <c r="G113" s="50" t="n">
        <f aca="false">G112*(1+VaR!B95)</f>
        <v>1.25895547640281</v>
      </c>
      <c r="H113" s="31" t="n">
        <f aca="false">B113/MAX(B$22:B113)-1</f>
        <v>-0.00565545243619481</v>
      </c>
      <c r="I113" s="31" t="n">
        <f aca="false">C113/MAX(C$22:C113)-1</f>
        <v>-0.0454662877809353</v>
      </c>
      <c r="J113" s="31" t="n">
        <f aca="false">D113/MAX(D$22:D113)-1</f>
        <v>-0.0157950732465832</v>
      </c>
      <c r="K113" s="31" t="n">
        <f aca="false">E113/MAX(E$22:E113)-1</f>
        <v>-0.00155971479500905</v>
      </c>
      <c r="L113" s="31" t="n">
        <f aca="false">F113/MAX(F$22:F113)-1</f>
        <v>-0.0442408229804935</v>
      </c>
      <c r="M113" s="31" t="n">
        <f aca="false">G113/MAX(G$22:G113)-1</f>
        <v>-0.0155530688572421</v>
      </c>
    </row>
    <row r="114" customFormat="false" ht="15" hidden="false" customHeight="false" outlineLevel="0" collapsed="false">
      <c r="A114" s="19" t="n">
        <f aca="false">Narxlar!A94</f>
        <v>45421</v>
      </c>
      <c r="B114" s="50" t="n">
        <f aca="false">Narxlar!B94/Narxlar!B$2</f>
        <v>1.16361</v>
      </c>
      <c r="C114" s="50" t="n">
        <f aca="false">Narxlar!C94/Narxlar!C$2</f>
        <v>1.16464</v>
      </c>
      <c r="D114" s="50" t="n">
        <f aca="false">Narxlar!D94/Narxlar!D$2</f>
        <v>1.32554347826087</v>
      </c>
      <c r="E114" s="50" t="n">
        <f aca="false">Narxlar!E94/Narxlar!E$2</f>
        <v>1.22780821917808</v>
      </c>
      <c r="F114" s="50" t="n">
        <f aca="false">Narxlar!F94/Narxlar!F$2</f>
        <v>1.3704296875</v>
      </c>
      <c r="G114" s="50" t="n">
        <f aca="false">G113*(1+VaR!B96)</f>
        <v>1.26573034361622</v>
      </c>
      <c r="H114" s="31" t="n">
        <f aca="false">B114/MAX(B$22:B114)-1</f>
        <v>-0.00742971202402099</v>
      </c>
      <c r="I114" s="31" t="n">
        <f aca="false">C114/MAX(C$22:C114)-1</f>
        <v>-0.0598036683027643</v>
      </c>
      <c r="J114" s="31" t="n">
        <f aca="false">D114/MAX(D$22:D114)-1</f>
        <v>-0.00196415418610374</v>
      </c>
      <c r="K114" s="31" t="n">
        <f aca="false">E114/MAX(E$22:E114)-1</f>
        <v>-0.00144830659536555</v>
      </c>
      <c r="L114" s="31" t="n">
        <f aca="false">F114/MAX(F$22:F114)-1</f>
        <v>-0.0139130923604475</v>
      </c>
      <c r="M114" s="31" t="n">
        <f aca="false">G114/MAX(G$22:G114)-1</f>
        <v>-0.0102554254042709</v>
      </c>
    </row>
    <row r="115" customFormat="false" ht="15" hidden="false" customHeight="false" outlineLevel="0" collapsed="false">
      <c r="A115" s="19" t="n">
        <f aca="false">Narxlar!A95</f>
        <v>45422</v>
      </c>
      <c r="B115" s="50" t="n">
        <f aca="false">Narxlar!B95/Narxlar!B$2</f>
        <v>1.18808</v>
      </c>
      <c r="C115" s="50" t="n">
        <f aca="false">Narxlar!C95/Narxlar!C$2</f>
        <v>1.1916</v>
      </c>
      <c r="D115" s="50" t="n">
        <f aca="false">Narxlar!D95/Narxlar!D$2</f>
        <v>1.36157608695652</v>
      </c>
      <c r="E115" s="50" t="n">
        <f aca="false">Narxlar!E95/Narxlar!E$2</f>
        <v>1.23904109589041</v>
      </c>
      <c r="F115" s="50" t="n">
        <f aca="false">Narxlar!F95/Narxlar!F$2</f>
        <v>1.3906640625</v>
      </c>
      <c r="G115" s="50" t="n">
        <f aca="false">G114*(1+VaR!B97)</f>
        <v>1.28975470423907</v>
      </c>
      <c r="H115" s="31" t="n">
        <f aca="false">B115/MAX(B$22:B115)-1</f>
        <v>0</v>
      </c>
      <c r="I115" s="31" t="n">
        <f aca="false">C115/MAX(C$22:C115)-1</f>
        <v>-0.0380392663394472</v>
      </c>
      <c r="J115" s="31" t="n">
        <f aca="false">D115/MAX(D$22:D115)-1</f>
        <v>0</v>
      </c>
      <c r="K115" s="31" t="n">
        <f aca="false">E115/MAX(E$22:E115)-1</f>
        <v>0</v>
      </c>
      <c r="L115" s="31" t="n">
        <f aca="false">F115/MAX(F$22:F115)-1</f>
        <v>0</v>
      </c>
      <c r="M115" s="31" t="n">
        <f aca="false">G115/MAX(G$22:G115)-1</f>
        <v>0</v>
      </c>
    </row>
    <row r="116" customFormat="false" ht="15" hidden="false" customHeight="false" outlineLevel="0" collapsed="false">
      <c r="A116" s="19" t="n">
        <f aca="false">Narxlar!A96</f>
        <v>45425</v>
      </c>
      <c r="B116" s="50" t="n">
        <f aca="false">Narxlar!B96/Narxlar!B$2</f>
        <v>1.19337</v>
      </c>
      <c r="C116" s="50" t="n">
        <f aca="false">Narxlar!C96/Narxlar!C$2</f>
        <v>1.19408</v>
      </c>
      <c r="D116" s="50" t="n">
        <f aca="false">Narxlar!D96/Narxlar!D$2</f>
        <v>1.37260869565217</v>
      </c>
      <c r="E116" s="50" t="n">
        <f aca="false">Narxlar!E96/Narxlar!E$2</f>
        <v>1.26643835616438</v>
      </c>
      <c r="F116" s="50" t="n">
        <f aca="false">Narxlar!F96/Narxlar!F$2</f>
        <v>1.4155859375</v>
      </c>
      <c r="G116" s="50" t="n">
        <f aca="false">G115*(1+VaR!B98)</f>
        <v>1.30492500679588</v>
      </c>
      <c r="H116" s="31" t="n">
        <f aca="false">B116/MAX(B$22:B116)-1</f>
        <v>0</v>
      </c>
      <c r="I116" s="31" t="n">
        <f aca="false">C116/MAX(C$22:C116)-1</f>
        <v>-0.0360371996900026</v>
      </c>
      <c r="J116" s="31" t="n">
        <f aca="false">D116/MAX(D$22:D116)-1</f>
        <v>0</v>
      </c>
      <c r="K116" s="31" t="n">
        <f aca="false">E116/MAX(E$22:E116)-1</f>
        <v>0</v>
      </c>
      <c r="L116" s="31" t="n">
        <f aca="false">F116/MAX(F$22:F116)-1</f>
        <v>0</v>
      </c>
      <c r="M116" s="31" t="n">
        <f aca="false">G116/MAX(G$22:G116)-1</f>
        <v>0</v>
      </c>
    </row>
    <row r="117" customFormat="false" ht="15" hidden="false" customHeight="false" outlineLevel="0" collapsed="false">
      <c r="A117" s="19" t="n">
        <f aca="false">Narxlar!A97</f>
        <v>45426</v>
      </c>
      <c r="B117" s="50" t="n">
        <f aca="false">Narxlar!B97/Narxlar!B$2</f>
        <v>1.19387</v>
      </c>
      <c r="C117" s="50" t="n">
        <f aca="false">Narxlar!C97/Narxlar!C$2</f>
        <v>1.21664</v>
      </c>
      <c r="D117" s="50" t="n">
        <f aca="false">Narxlar!D97/Narxlar!D$2</f>
        <v>1.3616847826087</v>
      </c>
      <c r="E117" s="50" t="n">
        <f aca="false">Narxlar!E97/Narxlar!E$2</f>
        <v>1.25876712328767</v>
      </c>
      <c r="F117" s="50" t="n">
        <f aca="false">Narxlar!F97/Narxlar!F$2</f>
        <v>1.4219921875</v>
      </c>
      <c r="G117" s="50" t="n">
        <f aca="false">G116*(1+VaR!B99)</f>
        <v>1.30892995981333</v>
      </c>
      <c r="H117" s="31" t="n">
        <f aca="false">B117/MAX(B$22:B117)-1</f>
        <v>0</v>
      </c>
      <c r="I117" s="31" t="n">
        <f aca="false">C117/MAX(C$22:C117)-1</f>
        <v>-0.0178248514595712</v>
      </c>
      <c r="J117" s="31" t="n">
        <f aca="false">D117/MAX(D$22:D117)-1</f>
        <v>-0.00795850490972438</v>
      </c>
      <c r="K117" s="31" t="n">
        <f aca="false">E117/MAX(E$22:E117)-1</f>
        <v>-0.00605732828555983</v>
      </c>
      <c r="L117" s="31" t="n">
        <f aca="false">F117/MAX(F$22:F117)-1</f>
        <v>0</v>
      </c>
      <c r="M117" s="31" t="n">
        <f aca="false">G117/MAX(G$22:G117)-1</f>
        <v>0</v>
      </c>
    </row>
    <row r="118" customFormat="false" ht="15" hidden="false" customHeight="false" outlineLevel="0" collapsed="false">
      <c r="A118" s="19" t="n">
        <f aca="false">Narxlar!A98</f>
        <v>45427</v>
      </c>
      <c r="B118" s="50" t="n">
        <f aca="false">Narxlar!B98/Narxlar!B$2</f>
        <v>1.21493</v>
      </c>
      <c r="C118" s="50" t="n">
        <f aca="false">Narxlar!C98/Narxlar!C$2</f>
        <v>1.26392</v>
      </c>
      <c r="D118" s="50" t="n">
        <f aca="false">Narxlar!D98/Narxlar!D$2</f>
        <v>1.37570652173913</v>
      </c>
      <c r="E118" s="50" t="n">
        <f aca="false">Narxlar!E98/Narxlar!E$2</f>
        <v>1.26945205479452</v>
      </c>
      <c r="F118" s="50" t="n">
        <f aca="false">Narxlar!F98/Narxlar!F$2</f>
        <v>1.46296875</v>
      </c>
      <c r="G118" s="50" t="n">
        <f aca="false">G117*(1+VaR!B100)</f>
        <v>1.33788092235189</v>
      </c>
      <c r="H118" s="31" t="n">
        <f aca="false">B118/MAX(B$22:B118)-1</f>
        <v>0</v>
      </c>
      <c r="I118" s="31" t="n">
        <f aca="false">C118/MAX(C$22:C118)-1</f>
        <v>0</v>
      </c>
      <c r="J118" s="31" t="n">
        <f aca="false">D118/MAX(D$22:D118)-1</f>
        <v>0</v>
      </c>
      <c r="K118" s="31" t="n">
        <f aca="false">E118/MAX(E$22:E118)-1</f>
        <v>0</v>
      </c>
      <c r="L118" s="31" t="n">
        <f aca="false">F118/MAX(F$22:F118)-1</f>
        <v>0</v>
      </c>
      <c r="M118" s="31" t="n">
        <f aca="false">G118/MAX(G$22:G118)-1</f>
        <v>0</v>
      </c>
    </row>
    <row r="119" customFormat="false" ht="15" hidden="false" customHeight="false" outlineLevel="0" collapsed="false">
      <c r="A119" s="19" t="n">
        <f aca="false">Narxlar!A99</f>
        <v>45428</v>
      </c>
      <c r="B119" s="50" t="n">
        <f aca="false">Narxlar!B99/Narxlar!B$2</f>
        <v>1.20593</v>
      </c>
      <c r="C119" s="50" t="n">
        <f aca="false">Narxlar!C99/Narxlar!C$2</f>
        <v>1.24632</v>
      </c>
      <c r="D119" s="50" t="n">
        <f aca="false">Narxlar!D99/Narxlar!D$2</f>
        <v>1.36760869565217</v>
      </c>
      <c r="E119" s="50" t="n">
        <f aca="false">Narxlar!E99/Narxlar!E$2</f>
        <v>1.26753424657534</v>
      </c>
      <c r="F119" s="50" t="n">
        <f aca="false">Narxlar!F99/Narxlar!F$2</f>
        <v>1.45</v>
      </c>
      <c r="G119" s="50" t="n">
        <f aca="false">G118*(1+VaR!B101)</f>
        <v>1.32744588498127</v>
      </c>
      <c r="H119" s="31" t="n">
        <f aca="false">B119/MAX(B$22:B119)-1</f>
        <v>-0.00740783419620872</v>
      </c>
      <c r="I119" s="31" t="n">
        <f aca="false">C119/MAX(C$22:C119)-1</f>
        <v>-0.0139249319577187</v>
      </c>
      <c r="J119" s="31" t="n">
        <f aca="false">D119/MAX(D$22:D119)-1</f>
        <v>-0.00588630348042496</v>
      </c>
      <c r="K119" s="31" t="n">
        <f aca="false">E119/MAX(E$22:E119)-1</f>
        <v>-0.00151073702384796</v>
      </c>
      <c r="L119" s="31" t="n">
        <f aca="false">F119/MAX(F$22:F119)-1</f>
        <v>-0.00886468012389186</v>
      </c>
      <c r="M119" s="31" t="n">
        <f aca="false">G119/MAX(G$22:G119)-1</f>
        <v>-0.00779967573816243</v>
      </c>
    </row>
    <row r="120" customFormat="false" ht="15" hidden="false" customHeight="false" outlineLevel="0" collapsed="false">
      <c r="A120" s="19" t="n">
        <f aca="false">Narxlar!A100</f>
        <v>45429</v>
      </c>
      <c r="B120" s="50" t="n">
        <f aca="false">Narxlar!B100/Narxlar!B$2</f>
        <v>1.2159</v>
      </c>
      <c r="C120" s="50" t="n">
        <f aca="false">Narxlar!C100/Narxlar!C$2</f>
        <v>1.26144</v>
      </c>
      <c r="D120" s="50" t="n">
        <f aca="false">Narxlar!D100/Narxlar!D$2</f>
        <v>1.37815217391304</v>
      </c>
      <c r="E120" s="50" t="n">
        <f aca="false">Narxlar!E100/Narxlar!E$2</f>
        <v>1.28232876712329</v>
      </c>
      <c r="F120" s="50" t="n">
        <f aca="false">Narxlar!F100/Narxlar!F$2</f>
        <v>1.4472265625</v>
      </c>
      <c r="G120" s="50" t="n">
        <f aca="false">G119*(1+VaR!B102)</f>
        <v>1.33820125072887</v>
      </c>
      <c r="H120" s="31" t="n">
        <f aca="false">B120/MAX(B$22:B120)-1</f>
        <v>0</v>
      </c>
      <c r="I120" s="31" t="n">
        <f aca="false">C120/MAX(C$22:C120)-1</f>
        <v>-0.00196214950313312</v>
      </c>
      <c r="J120" s="31" t="n">
        <f aca="false">D120/MAX(D$22:D120)-1</f>
        <v>0</v>
      </c>
      <c r="K120" s="31" t="n">
        <f aca="false">E120/MAX(E$22:E120)-1</f>
        <v>0</v>
      </c>
      <c r="L120" s="31" t="n">
        <f aca="false">F120/MAX(F$22:F120)-1</f>
        <v>-0.0107604400299048</v>
      </c>
      <c r="M120" s="31" t="n">
        <f aca="false">G120/MAX(G$22:G120)-1</f>
        <v>0</v>
      </c>
    </row>
    <row r="121" customFormat="false" ht="15" hidden="false" customHeight="false" outlineLevel="0" collapsed="false">
      <c r="A121" s="19" t="n">
        <f aca="false">Narxlar!A101</f>
        <v>45432</v>
      </c>
      <c r="B121" s="50" t="n">
        <f aca="false">Narxlar!B101/Narxlar!B$2</f>
        <v>1.21806</v>
      </c>
      <c r="C121" s="50" t="n">
        <f aca="false">Narxlar!C101/Narxlar!C$2</f>
        <v>1.26712</v>
      </c>
      <c r="D121" s="50" t="n">
        <f aca="false">Narxlar!D101/Narxlar!D$2</f>
        <v>1.37782608695652</v>
      </c>
      <c r="E121" s="50" t="n">
        <f aca="false">Narxlar!E101/Narxlar!E$2</f>
        <v>1.28315068493151</v>
      </c>
      <c r="F121" s="50" t="n">
        <f aca="false">Narxlar!F101/Narxlar!F$2</f>
        <v>1.4371484375</v>
      </c>
      <c r="G121" s="50" t="n">
        <f aca="false">G120*(1+VaR!B103)</f>
        <v>1.3382804365898</v>
      </c>
      <c r="H121" s="31" t="n">
        <f aca="false">B121/MAX(B$22:B121)-1</f>
        <v>0</v>
      </c>
      <c r="I121" s="31" t="n">
        <f aca="false">C121/MAX(C$22:C121)-1</f>
        <v>0</v>
      </c>
      <c r="J121" s="31" t="n">
        <f aca="false">D121/MAX(D$22:D121)-1</f>
        <v>-0.000236611720167201</v>
      </c>
      <c r="K121" s="31" t="n">
        <f aca="false">E121/MAX(E$22:E121)-1</f>
        <v>0</v>
      </c>
      <c r="L121" s="31" t="n">
        <f aca="false">F121/MAX(F$22:F121)-1</f>
        <v>-0.0176492577165437</v>
      </c>
      <c r="M121" s="31" t="n">
        <f aca="false">G121/MAX(G$22:G121)-1</f>
        <v>0</v>
      </c>
    </row>
    <row r="122" customFormat="false" ht="15" hidden="false" customHeight="false" outlineLevel="0" collapsed="false">
      <c r="A122" s="19" t="n">
        <f aca="false">Narxlar!A102</f>
        <v>45433</v>
      </c>
      <c r="B122" s="50" t="n">
        <f aca="false">Narxlar!B102/Narxlar!B$2</f>
        <v>1.22235</v>
      </c>
      <c r="C122" s="50" t="n">
        <f aca="false">Narxlar!C102/Narxlar!C$2</f>
        <v>1.2792</v>
      </c>
      <c r="D122" s="50" t="n">
        <f aca="false">Narxlar!D102/Narxlar!D$2</f>
        <v>1.39135869565217</v>
      </c>
      <c r="E122" s="50" t="n">
        <f aca="false">Narxlar!E102/Narxlar!E$2</f>
        <v>1.28575342465753</v>
      </c>
      <c r="F122" s="50" t="n">
        <f aca="false">Narxlar!F102/Narxlar!F$2</f>
        <v>1.4791796875</v>
      </c>
      <c r="G122" s="50" t="n">
        <f aca="false">G121*(1+VaR!B104)</f>
        <v>1.35390059508547</v>
      </c>
      <c r="H122" s="31" t="n">
        <f aca="false">B122/MAX(B$22:B122)-1</f>
        <v>0</v>
      </c>
      <c r="I122" s="31" t="n">
        <f aca="false">C122/MAX(C$22:C122)-1</f>
        <v>0</v>
      </c>
      <c r="J122" s="31" t="n">
        <f aca="false">D122/MAX(D$22:D122)-1</f>
        <v>0</v>
      </c>
      <c r="K122" s="31" t="n">
        <f aca="false">E122/MAX(E$22:E122)-1</f>
        <v>0</v>
      </c>
      <c r="L122" s="31" t="n">
        <f aca="false">F122/MAX(F$22:F122)-1</f>
        <v>0</v>
      </c>
      <c r="M122" s="31" t="n">
        <f aca="false">G122/MAX(G$22:G122)-1</f>
        <v>0</v>
      </c>
    </row>
    <row r="123" customFormat="false" ht="15" hidden="false" customHeight="false" outlineLevel="0" collapsed="false">
      <c r="A123" s="19" t="n">
        <f aca="false">Narxlar!A103</f>
        <v>45434</v>
      </c>
      <c r="B123" s="50" t="n">
        <f aca="false">Narxlar!B103/Narxlar!B$2</f>
        <v>1.21367</v>
      </c>
      <c r="C123" s="50" t="n">
        <f aca="false">Narxlar!C103/Narxlar!C$2</f>
        <v>1.25784</v>
      </c>
      <c r="D123" s="50" t="n">
        <f aca="false">Narxlar!D103/Narxlar!D$2</f>
        <v>1.38298913043478</v>
      </c>
      <c r="E123" s="50" t="n">
        <f aca="false">Narxlar!E103/Narxlar!E$2</f>
        <v>1.28575342465753</v>
      </c>
      <c r="F123" s="50" t="n">
        <f aca="false">Narxlar!F103/Narxlar!F$2</f>
        <v>1.46296875</v>
      </c>
      <c r="G123" s="50" t="n">
        <f aca="false">G122*(1+VaR!B105)</f>
        <v>1.34211474082264</v>
      </c>
      <c r="H123" s="31" t="n">
        <f aca="false">B123/MAX(B$22:B123)-1</f>
        <v>-0.00710107579662112</v>
      </c>
      <c r="I123" s="31" t="n">
        <f aca="false">C123/MAX(C$22:C123)-1</f>
        <v>-0.0166979362101312</v>
      </c>
      <c r="J123" s="31" t="n">
        <f aca="false">D123/MAX(D$22:D123)-1</f>
        <v>-0.00601539002382723</v>
      </c>
      <c r="K123" s="31" t="n">
        <f aca="false">E123/MAX(E$22:E123)-1</f>
        <v>0</v>
      </c>
      <c r="L123" s="31" t="n">
        <f aca="false">F123/MAX(F$22:F123)-1</f>
        <v>-0.0109594105685691</v>
      </c>
      <c r="M123" s="31" t="n">
        <f aca="false">G123/MAX(G$22:G123)-1</f>
        <v>-0.00870511048271017</v>
      </c>
    </row>
    <row r="124" customFormat="false" ht="15" hidden="false" customHeight="false" outlineLevel="0" collapsed="false">
      <c r="A124" s="19" t="n">
        <f aca="false">Narxlar!A104</f>
        <v>45435</v>
      </c>
      <c r="B124" s="50" t="n">
        <f aca="false">Narxlar!B104/Narxlar!B$2</f>
        <v>1.22873</v>
      </c>
      <c r="C124" s="50" t="n">
        <f aca="false">Narxlar!C104/Narxlar!C$2</f>
        <v>1.24376</v>
      </c>
      <c r="D124" s="50" t="n">
        <f aca="false">Narxlar!D104/Narxlar!D$2</f>
        <v>1.39288043478261</v>
      </c>
      <c r="E124" s="50" t="n">
        <f aca="false">Narxlar!E104/Narxlar!E$2</f>
        <v>1.29876712328767</v>
      </c>
      <c r="F124" s="50" t="n">
        <f aca="false">Narxlar!F104/Narxlar!F$2</f>
        <v>1.5137890625</v>
      </c>
      <c r="G124" s="50" t="n">
        <f aca="false">G123*(1+VaR!B106)</f>
        <v>1.35272793748361</v>
      </c>
      <c r="H124" s="31" t="n">
        <f aca="false">B124/MAX(B$22:B124)-1</f>
        <v>0</v>
      </c>
      <c r="I124" s="31" t="n">
        <f aca="false">C124/MAX(C$22:C124)-1</f>
        <v>-0.0277048155096935</v>
      </c>
      <c r="J124" s="31" t="n">
        <f aca="false">D124/MAX(D$22:D124)-1</f>
        <v>0</v>
      </c>
      <c r="K124" s="31" t="n">
        <f aca="false">E124/MAX(E$22:E124)-1</f>
        <v>0</v>
      </c>
      <c r="L124" s="31" t="n">
        <f aca="false">F124/MAX(F$22:F124)-1</f>
        <v>0</v>
      </c>
      <c r="M124" s="31" t="n">
        <f aca="false">G124/MAX(G$22:G124)-1</f>
        <v>-0.000866132717654455</v>
      </c>
    </row>
    <row r="125" customFormat="false" ht="15" hidden="false" customHeight="false" outlineLevel="0" collapsed="false">
      <c r="A125" s="19" t="n">
        <f aca="false">Narxlar!A105</f>
        <v>45436</v>
      </c>
      <c r="B125" s="50" t="n">
        <f aca="false">Narxlar!B105/Narxlar!B$2</f>
        <v>1.22312</v>
      </c>
      <c r="C125" s="50" t="n">
        <f aca="false">Narxlar!C105/Narxlar!C$2</f>
        <v>1.24824</v>
      </c>
      <c r="D125" s="50" t="n">
        <f aca="false">Narxlar!D105/Narxlar!D$2</f>
        <v>1.4004347826087</v>
      </c>
      <c r="E125" s="50" t="n">
        <f aca="false">Narxlar!E105/Narxlar!E$2</f>
        <v>1.29219178082192</v>
      </c>
      <c r="F125" s="50" t="n">
        <f aca="false">Narxlar!F105/Narxlar!F$2</f>
        <v>1.5263671875</v>
      </c>
      <c r="G125" s="50" t="n">
        <f aca="false">G124*(1+VaR!B107)</f>
        <v>1.35655967165243</v>
      </c>
      <c r="H125" s="31" t="n">
        <f aca="false">B125/MAX(B$22:B125)-1</f>
        <v>-0.0045656897772498</v>
      </c>
      <c r="I125" s="31" t="n">
        <f aca="false">C125/MAX(C$22:C125)-1</f>
        <v>-0.024202626641651</v>
      </c>
      <c r="J125" s="31" t="n">
        <f aca="false">D125/MAX(D$22:D125)-1</f>
        <v>0</v>
      </c>
      <c r="K125" s="31" t="n">
        <f aca="false">E125/MAX(E$22:E125)-1</f>
        <v>-0.00506275709313353</v>
      </c>
      <c r="L125" s="31" t="n">
        <f aca="false">F125/MAX(F$22:F125)-1</f>
        <v>0</v>
      </c>
      <c r="M125" s="31" t="n">
        <f aca="false">G125/MAX(G$22:G125)-1</f>
        <v>0</v>
      </c>
    </row>
    <row r="126" customFormat="false" ht="15" hidden="false" customHeight="false" outlineLevel="0" collapsed="false">
      <c r="A126" s="19" t="n">
        <f aca="false">Narxlar!A106</f>
        <v>45439</v>
      </c>
      <c r="B126" s="50" t="n">
        <f aca="false">Narxlar!B106/Narxlar!B$2</f>
        <v>1.22287</v>
      </c>
      <c r="C126" s="50" t="n">
        <f aca="false">Narxlar!C106/Narxlar!C$2</f>
        <v>1.25208</v>
      </c>
      <c r="D126" s="50" t="n">
        <f aca="false">Narxlar!D106/Narxlar!D$2</f>
        <v>1.4020652173913</v>
      </c>
      <c r="E126" s="50" t="n">
        <f aca="false">Narxlar!E106/Narxlar!E$2</f>
        <v>1.30547945205479</v>
      </c>
      <c r="F126" s="50" t="n">
        <f aca="false">Narxlar!F106/Narxlar!F$2</f>
        <v>1.53578125</v>
      </c>
      <c r="G126" s="50" t="n">
        <f aca="false">G125*(1+VaR!B108)</f>
        <v>1.36336722126873</v>
      </c>
      <c r="H126" s="31" t="n">
        <f aca="false">B126/MAX(B$22:B126)-1</f>
        <v>-0.00476915188853544</v>
      </c>
      <c r="I126" s="31" t="n">
        <f aca="false">C126/MAX(C$22:C126)-1</f>
        <v>-0.021200750469043</v>
      </c>
      <c r="J126" s="31" t="n">
        <f aca="false">D126/MAX(D$22:D126)-1</f>
        <v>0</v>
      </c>
      <c r="K126" s="31" t="n">
        <f aca="false">E126/MAX(E$22:E126)-1</f>
        <v>0</v>
      </c>
      <c r="L126" s="31" t="n">
        <f aca="false">F126/MAX(F$22:F126)-1</f>
        <v>0</v>
      </c>
      <c r="M126" s="31" t="n">
        <f aca="false">G126/MAX(G$22:G126)-1</f>
        <v>0</v>
      </c>
    </row>
    <row r="127" customFormat="false" ht="15" hidden="false" customHeight="false" outlineLevel="0" collapsed="false">
      <c r="A127" s="19" t="n">
        <f aca="false">Narxlar!A107</f>
        <v>45440</v>
      </c>
      <c r="B127" s="50" t="n">
        <f aca="false">Narxlar!B107/Narxlar!B$2</f>
        <v>1.22212</v>
      </c>
      <c r="C127" s="50" t="n">
        <f aca="false">Narxlar!C107/Narxlar!C$2</f>
        <v>1.25088</v>
      </c>
      <c r="D127" s="50" t="n">
        <f aca="false">Narxlar!D107/Narxlar!D$2</f>
        <v>1.41646739130435</v>
      </c>
      <c r="E127" s="50" t="n">
        <f aca="false">Narxlar!E107/Narxlar!E$2</f>
        <v>1.30232876712329</v>
      </c>
      <c r="F127" s="50" t="n">
        <f aca="false">Narxlar!F107/Narxlar!F$2</f>
        <v>1.5021875</v>
      </c>
      <c r="G127" s="50" t="n">
        <f aca="false">G126*(1+VaR!B109)</f>
        <v>1.35968931992768</v>
      </c>
      <c r="H127" s="31" t="n">
        <f aca="false">B127/MAX(B$22:B127)-1</f>
        <v>-0.00537953822239246</v>
      </c>
      <c r="I127" s="31" t="n">
        <f aca="false">C127/MAX(C$22:C127)-1</f>
        <v>-0.022138836772983</v>
      </c>
      <c r="J127" s="31" t="n">
        <f aca="false">D127/MAX(D$22:D127)-1</f>
        <v>0</v>
      </c>
      <c r="K127" s="31" t="n">
        <f aca="false">E127/MAX(E$22:E127)-1</f>
        <v>-0.00241343126967475</v>
      </c>
      <c r="L127" s="31" t="n">
        <f aca="false">F127/MAX(F$22:F127)-1</f>
        <v>-0.0218740461898465</v>
      </c>
      <c r="M127" s="31" t="n">
        <f aca="false">G127/MAX(G$22:G127)-1</f>
        <v>-0.00269766009016204</v>
      </c>
    </row>
    <row r="128" customFormat="false" ht="15" hidden="false" customHeight="false" outlineLevel="0" collapsed="false">
      <c r="A128" s="19" t="n">
        <f aca="false">Narxlar!A108</f>
        <v>45441</v>
      </c>
      <c r="B128" s="50" t="n">
        <f aca="false">Narxlar!B108/Narxlar!B$2</f>
        <v>1.21756</v>
      </c>
      <c r="C128" s="50" t="n">
        <f aca="false">Narxlar!C108/Narxlar!C$2</f>
        <v>1.23216</v>
      </c>
      <c r="D128" s="50" t="n">
        <f aca="false">Narxlar!D108/Narxlar!D$2</f>
        <v>1.41119565217391</v>
      </c>
      <c r="E128" s="50" t="n">
        <f aca="false">Narxlar!E108/Narxlar!E$2</f>
        <v>1.29945205479452</v>
      </c>
      <c r="F128" s="50" t="n">
        <f aca="false">Narxlar!F108/Narxlar!F$2</f>
        <v>1.46515625</v>
      </c>
      <c r="G128" s="50" t="n">
        <f aca="false">G127*(1+VaR!B110)</f>
        <v>1.34486515521201</v>
      </c>
      <c r="H128" s="31" t="n">
        <f aca="false">B128/MAX(B$22:B128)-1</f>
        <v>-0.00909068713224237</v>
      </c>
      <c r="I128" s="31" t="n">
        <f aca="false">C128/MAX(C$22:C128)-1</f>
        <v>-0.0367729831144465</v>
      </c>
      <c r="J128" s="31" t="n">
        <f aca="false">D128/MAX(D$22:D128)-1</f>
        <v>-0.00372175114146478</v>
      </c>
      <c r="K128" s="31" t="n">
        <f aca="false">E128/MAX(E$22:E128)-1</f>
        <v>-0.00461699895068213</v>
      </c>
      <c r="L128" s="31" t="n">
        <f aca="false">F128/MAX(F$22:F128)-1</f>
        <v>-0.0459863668735376</v>
      </c>
      <c r="M128" s="31" t="n">
        <f aca="false">G128/MAX(G$22:G128)-1</f>
        <v>-0.0135708602701374</v>
      </c>
    </row>
    <row r="129" customFormat="false" ht="15" hidden="false" customHeight="false" outlineLevel="0" collapsed="false">
      <c r="A129" s="19" t="n">
        <f aca="false">Narxlar!A109</f>
        <v>45442</v>
      </c>
      <c r="B129" s="50" t="n">
        <f aca="false">Narxlar!B109/Narxlar!B$2</f>
        <v>1.21373</v>
      </c>
      <c r="C129" s="50" t="n">
        <f aca="false">Narxlar!C109/Narxlar!C$2</f>
        <v>1.23136</v>
      </c>
      <c r="D129" s="50" t="n">
        <f aca="false">Narxlar!D109/Narxlar!D$2</f>
        <v>1.40413043478261</v>
      </c>
      <c r="E129" s="50" t="n">
        <f aca="false">Narxlar!E109/Narxlar!E$2</f>
        <v>1.30369863013699</v>
      </c>
      <c r="F129" s="50" t="n">
        <f aca="false">Narxlar!F109/Narxlar!F$2</f>
        <v>1.4452734375</v>
      </c>
      <c r="G129" s="50" t="n">
        <f aca="false">G128*(1+VaR!B111)</f>
        <v>1.34036858397146</v>
      </c>
      <c r="H129" s="31" t="n">
        <f aca="false">B129/MAX(B$22:B129)-1</f>
        <v>-0.0122077266771383</v>
      </c>
      <c r="I129" s="31" t="n">
        <f aca="false">C129/MAX(C$22:C129)-1</f>
        <v>-0.0373983739837398</v>
      </c>
      <c r="J129" s="31" t="n">
        <f aca="false">D129/MAX(D$22:D129)-1</f>
        <v>-0.00870966504239723</v>
      </c>
      <c r="K129" s="31" t="n">
        <f aca="false">E129/MAX(E$22:E129)-1</f>
        <v>-0.00136411332633779</v>
      </c>
      <c r="L129" s="31" t="n">
        <f aca="false">F129/MAX(F$22:F129)-1</f>
        <v>-0.058932750025435</v>
      </c>
      <c r="M129" s="31" t="n">
        <f aca="false">G129/MAX(G$22:G129)-1</f>
        <v>-0.0168689968032756</v>
      </c>
    </row>
    <row r="130" customFormat="false" ht="15" hidden="false" customHeight="false" outlineLevel="0" collapsed="false">
      <c r="A130" s="19" t="n">
        <f aca="false">Narxlar!A110</f>
        <v>45443</v>
      </c>
      <c r="B130" s="50" t="n">
        <f aca="false">Narxlar!B110/Narxlar!B$2</f>
        <v>1.20367</v>
      </c>
      <c r="C130" s="50" t="n">
        <f aca="false">Narxlar!C110/Narxlar!C$2</f>
        <v>1.23136</v>
      </c>
      <c r="D130" s="50" t="n">
        <f aca="false">Narxlar!D110/Narxlar!D$2</f>
        <v>1.42157608695652</v>
      </c>
      <c r="E130" s="50" t="n">
        <f aca="false">Narxlar!E110/Narxlar!E$2</f>
        <v>1.3</v>
      </c>
      <c r="F130" s="50" t="n">
        <f aca="false">Narxlar!F110/Narxlar!F$2</f>
        <v>1.402734375</v>
      </c>
      <c r="G130" s="50" t="n">
        <f aca="false">G129*(1+VaR!B112)</f>
        <v>1.33569100358761</v>
      </c>
      <c r="H130" s="31" t="n">
        <f aca="false">B130/MAX(B$22:B130)-1</f>
        <v>-0.0203950420352722</v>
      </c>
      <c r="I130" s="31" t="n">
        <f aca="false">C130/MAX(C$22:C130)-1</f>
        <v>-0.0373983739837398</v>
      </c>
      <c r="J130" s="31" t="n">
        <f aca="false">D130/MAX(D$22:D130)-1</f>
        <v>0</v>
      </c>
      <c r="K130" s="31" t="n">
        <f aca="false">E130/MAX(E$22:E130)-1</f>
        <v>-0.00419727177334728</v>
      </c>
      <c r="L130" s="31" t="n">
        <f aca="false">F130/MAX(F$22:F130)-1</f>
        <v>-0.0866313968867637</v>
      </c>
      <c r="M130" s="31" t="n">
        <f aca="false">G130/MAX(G$22:G130)-1</f>
        <v>-0.0202998995790501</v>
      </c>
    </row>
    <row r="131" customFormat="false" ht="15" hidden="false" customHeight="false" outlineLevel="0" collapsed="false">
      <c r="A131" s="19" t="n">
        <f aca="false">Narxlar!A111</f>
        <v>45446</v>
      </c>
      <c r="B131" s="50" t="n">
        <f aca="false">Narxlar!B111/Narxlar!B$2</f>
        <v>1.20501</v>
      </c>
      <c r="C131" s="50" t="n">
        <f aca="false">Narxlar!C111/Narxlar!C$2</f>
        <v>1.226</v>
      </c>
      <c r="D131" s="50" t="n">
        <f aca="false">Narxlar!D111/Narxlar!D$2</f>
        <v>1.39690217391304</v>
      </c>
      <c r="E131" s="50" t="n">
        <f aca="false">Narxlar!E111/Narxlar!E$2</f>
        <v>1.30657534246575</v>
      </c>
      <c r="F131" s="50" t="n">
        <f aca="false">Narxlar!F111/Narxlar!F$2</f>
        <v>1.3833203125</v>
      </c>
      <c r="G131" s="50" t="n">
        <f aca="false">G130*(1+VaR!B113)</f>
        <v>1.32614268546765</v>
      </c>
      <c r="H131" s="31" t="n">
        <f aca="false">B131/MAX(B$22:B131)-1</f>
        <v>-0.0193044851187814</v>
      </c>
      <c r="I131" s="31" t="n">
        <f aca="false">C131/MAX(C$22:C131)-1</f>
        <v>-0.0415884928080049</v>
      </c>
      <c r="J131" s="31" t="n">
        <f aca="false">D131/MAX(D$22:D131)-1</f>
        <v>-0.0173567305119089</v>
      </c>
      <c r="K131" s="31" t="n">
        <f aca="false">E131/MAX(E$22:E131)-1</f>
        <v>0</v>
      </c>
      <c r="L131" s="31" t="n">
        <f aca="false">F131/MAX(F$22:F131)-1</f>
        <v>-0.0992725607895005</v>
      </c>
      <c r="M131" s="31" t="n">
        <f aca="false">G131/MAX(G$22:G131)-1</f>
        <v>-0.0273033818184686</v>
      </c>
    </row>
    <row r="132" customFormat="false" ht="15" hidden="false" customHeight="false" outlineLevel="0" collapsed="false">
      <c r="A132" s="19" t="n">
        <f aca="false">Narxlar!A112</f>
        <v>45447</v>
      </c>
      <c r="B132" s="50" t="n">
        <f aca="false">Narxlar!B112/Narxlar!B$2</f>
        <v>1.1993</v>
      </c>
      <c r="C132" s="50" t="n">
        <f aca="false">Narxlar!C112/Narxlar!C$2</f>
        <v>1.25136</v>
      </c>
      <c r="D132" s="50" t="n">
        <f aca="false">Narxlar!D112/Narxlar!D$2</f>
        <v>1.38391304347826</v>
      </c>
      <c r="E132" s="50" t="n">
        <f aca="false">Narxlar!E112/Narxlar!E$2</f>
        <v>1.29958904109589</v>
      </c>
      <c r="F132" s="50" t="n">
        <f aca="false">Narxlar!F112/Narxlar!F$2</f>
        <v>1.344453125</v>
      </c>
      <c r="G132" s="50" t="n">
        <f aca="false">G131*(1+VaR!B114)</f>
        <v>1.3220644672871</v>
      </c>
      <c r="H132" s="31" t="n">
        <f aca="false">B132/MAX(B$22:B132)-1</f>
        <v>-0.0239515597405452</v>
      </c>
      <c r="I132" s="31" t="n">
        <f aca="false">C132/MAX(C$22:C132)-1</f>
        <v>-0.0217636022514071</v>
      </c>
      <c r="J132" s="31" t="n">
        <f aca="false">D132/MAX(D$22:D132)-1</f>
        <v>-0.0264938639752265</v>
      </c>
      <c r="K132" s="31" t="n">
        <f aca="false">E132/MAX(E$22:E132)-1</f>
        <v>-0.00534703292094774</v>
      </c>
      <c r="L132" s="31" t="n">
        <f aca="false">F132/MAX(F$22:F132)-1</f>
        <v>-0.124580323532404</v>
      </c>
      <c r="M132" s="31" t="n">
        <f aca="false">G132/MAX(G$22:G132)-1</f>
        <v>-0.0302946655437373</v>
      </c>
    </row>
    <row r="133" customFormat="false" ht="15" hidden="false" customHeight="false" outlineLevel="0" collapsed="false">
      <c r="A133" s="19" t="n">
        <f aca="false">Narxlar!A113</f>
        <v>45448</v>
      </c>
      <c r="B133" s="50" t="n">
        <f aca="false">Narxlar!B113/Narxlar!B$2</f>
        <v>1.19001</v>
      </c>
      <c r="C133" s="50" t="n">
        <f aca="false">Narxlar!C113/Narxlar!C$2</f>
        <v>1.23032</v>
      </c>
      <c r="D133" s="50" t="n">
        <f aca="false">Narxlar!D113/Narxlar!D$2</f>
        <v>1.38108695652174</v>
      </c>
      <c r="E133" s="50" t="n">
        <f aca="false">Narxlar!E113/Narxlar!E$2</f>
        <v>1.29849315068493</v>
      </c>
      <c r="F133" s="50" t="n">
        <f aca="false">Narxlar!F113/Narxlar!F$2</f>
        <v>1.3273046875</v>
      </c>
      <c r="G133" s="50" t="n">
        <f aca="false">G132*(1+VaR!B115)</f>
        <v>1.31106959452288</v>
      </c>
      <c r="H133" s="31" t="n">
        <f aca="false">B133/MAX(B$22:B133)-1</f>
        <v>-0.0315122117959195</v>
      </c>
      <c r="I133" s="31" t="n">
        <f aca="false">C133/MAX(C$22:C133)-1</f>
        <v>-0.038211382113821</v>
      </c>
      <c r="J133" s="31" t="n">
        <f aca="false">D133/MAX(D$22:D133)-1</f>
        <v>-0.0284818595404671</v>
      </c>
      <c r="K133" s="31" t="n">
        <f aca="false">E133/MAX(E$22:E133)-1</f>
        <v>-0.00618578318305718</v>
      </c>
      <c r="L133" s="31" t="n">
        <f aca="false">F133/MAX(F$22:F133)-1</f>
        <v>-0.135746261064198</v>
      </c>
      <c r="M133" s="31" t="n">
        <f aca="false">G133/MAX(G$22:G133)-1</f>
        <v>-0.0383591639361716</v>
      </c>
    </row>
    <row r="134" customFormat="false" ht="15" hidden="false" customHeight="false" outlineLevel="0" collapsed="false">
      <c r="A134" s="19" t="n">
        <f aca="false">Narxlar!A114</f>
        <v>45449</v>
      </c>
      <c r="B134" s="50" t="n">
        <f aca="false">Narxlar!B114/Narxlar!B$2</f>
        <v>1.20551</v>
      </c>
      <c r="C134" s="50" t="n">
        <f aca="false">Narxlar!C114/Narxlar!C$2</f>
        <v>1.23584</v>
      </c>
      <c r="D134" s="50" t="n">
        <f aca="false">Narxlar!D114/Narxlar!D$2</f>
        <v>1.39059782608696</v>
      </c>
      <c r="E134" s="50" t="n">
        <f aca="false">Narxlar!E114/Narxlar!E$2</f>
        <v>1.30753424657534</v>
      </c>
      <c r="F134" s="50" t="n">
        <f aca="false">Narxlar!F114/Narxlar!F$2</f>
        <v>1.3474609375</v>
      </c>
      <c r="G134" s="50" t="n">
        <f aca="false">G133*(1+VaR!B116)</f>
        <v>1.32135556326785</v>
      </c>
      <c r="H134" s="31" t="n">
        <f aca="false">B134/MAX(B$22:B134)-1</f>
        <v>-0.01889756089621</v>
      </c>
      <c r="I134" s="31" t="n">
        <f aca="false">C134/MAX(C$22:C134)-1</f>
        <v>-0.0338961851156971</v>
      </c>
      <c r="J134" s="31" t="n">
        <f aca="false">D134/MAX(D$22:D134)-1</f>
        <v>-0.0217914898497534</v>
      </c>
      <c r="K134" s="31" t="n">
        <f aca="false">E134/MAX(E$22:E134)-1</f>
        <v>0</v>
      </c>
      <c r="L134" s="31" t="n">
        <f aca="false">F134/MAX(F$22:F134)-1</f>
        <v>-0.12262183335029</v>
      </c>
      <c r="M134" s="31" t="n">
        <f aca="false">G134/MAX(G$22:G134)-1</f>
        <v>-0.0308146311173522</v>
      </c>
    </row>
    <row r="135" customFormat="false" ht="15" hidden="false" customHeight="false" outlineLevel="0" collapsed="false">
      <c r="A135" s="19" t="n">
        <f aca="false">Narxlar!A115</f>
        <v>45450</v>
      </c>
      <c r="B135" s="50" t="n">
        <f aca="false">Narxlar!B115/Narxlar!B$2</f>
        <v>1.19404</v>
      </c>
      <c r="C135" s="50" t="n">
        <f aca="false">Narxlar!C115/Narxlar!C$2</f>
        <v>1.2296</v>
      </c>
      <c r="D135" s="50" t="n">
        <f aca="false">Narxlar!D115/Narxlar!D$2</f>
        <v>1.36869565217391</v>
      </c>
      <c r="E135" s="50" t="n">
        <f aca="false">Narxlar!E115/Narxlar!E$2</f>
        <v>1.30232876712329</v>
      </c>
      <c r="F135" s="50" t="n">
        <f aca="false">Narxlar!F115/Narxlar!F$2</f>
        <v>1.321328125</v>
      </c>
      <c r="G135" s="50" t="n">
        <f aca="false">G134*(1+VaR!B117)</f>
        <v>1.30771069853495</v>
      </c>
      <c r="H135" s="31" t="n">
        <f aca="false">B135/MAX(B$22:B135)-1</f>
        <v>-0.028232402561995</v>
      </c>
      <c r="I135" s="31" t="n">
        <f aca="false">C135/MAX(C$22:C135)-1</f>
        <v>-0.0387742338961851</v>
      </c>
      <c r="J135" s="31" t="n">
        <f aca="false">D135/MAX(D$22:D135)-1</f>
        <v>-0.0371984554803685</v>
      </c>
      <c r="K135" s="31" t="n">
        <f aca="false">E135/MAX(E$22:E135)-1</f>
        <v>-0.0039811419591409</v>
      </c>
      <c r="L135" s="31" t="n">
        <f aca="false">F135/MAX(F$22:F135)-1</f>
        <v>-0.139637806490996</v>
      </c>
      <c r="M135" s="31" t="n">
        <f aca="false">G135/MAX(G$22:G135)-1</f>
        <v>-0.0408228405858154</v>
      </c>
    </row>
    <row r="136" customFormat="false" ht="15" hidden="false" customHeight="false" outlineLevel="0" collapsed="false">
      <c r="A136" s="19" t="n">
        <f aca="false">Narxlar!A116</f>
        <v>45453</v>
      </c>
      <c r="B136" s="50" t="n">
        <f aca="false">Narxlar!B116/Narxlar!B$2</f>
        <v>1.18358</v>
      </c>
      <c r="C136" s="50" t="n">
        <f aca="false">Narxlar!C116/Narxlar!C$2</f>
        <v>1.23856</v>
      </c>
      <c r="D136" s="50" t="n">
        <f aca="false">Narxlar!D116/Narxlar!D$2</f>
        <v>1.36902173913043</v>
      </c>
      <c r="E136" s="50" t="n">
        <f aca="false">Narxlar!E116/Narxlar!E$2</f>
        <v>1.30013698630137</v>
      </c>
      <c r="F136" s="50" t="n">
        <f aca="false">Narxlar!F116/Narxlar!F$2</f>
        <v>1.309375</v>
      </c>
      <c r="G136" s="50" t="n">
        <f aca="false">G135*(1+VaR!B118)</f>
        <v>1.30773114673492</v>
      </c>
      <c r="H136" s="31" t="n">
        <f aca="false">B136/MAX(B$22:B136)-1</f>
        <v>-0.0367452572981861</v>
      </c>
      <c r="I136" s="31" t="n">
        <f aca="false">C136/MAX(C$22:C136)-1</f>
        <v>-0.0317698561600999</v>
      </c>
      <c r="J136" s="31" t="n">
        <f aca="false">D136/MAX(D$22:D136)-1</f>
        <v>-0.036969071376687</v>
      </c>
      <c r="K136" s="31" t="n">
        <f aca="false">E136/MAX(E$22:E136)-1</f>
        <v>-0.00565741225772665</v>
      </c>
      <c r="L136" s="31" t="n">
        <f aca="false">F136/MAX(F$22:F136)-1</f>
        <v>-0.147420897344593</v>
      </c>
      <c r="M136" s="31" t="n">
        <f aca="false">G136/MAX(G$22:G136)-1</f>
        <v>-0.0408078422789426</v>
      </c>
    </row>
    <row r="137" customFormat="false" ht="15" hidden="false" customHeight="false" outlineLevel="0" collapsed="false">
      <c r="A137" s="19" t="n">
        <f aca="false">Narxlar!A117</f>
        <v>45454</v>
      </c>
      <c r="B137" s="50" t="n">
        <f aca="false">Narxlar!B117/Narxlar!B$2</f>
        <v>1.14803</v>
      </c>
      <c r="C137" s="50" t="n">
        <f aca="false">Narxlar!C117/Narxlar!C$2</f>
        <v>1.18912</v>
      </c>
      <c r="D137" s="50" t="n">
        <f aca="false">Narxlar!D117/Narxlar!D$2</f>
        <v>1.33896739130435</v>
      </c>
      <c r="E137" s="50" t="n">
        <f aca="false">Narxlar!E117/Narxlar!E$2</f>
        <v>1.29082191780822</v>
      </c>
      <c r="F137" s="50" t="n">
        <f aca="false">Narxlar!F117/Narxlar!F$2</f>
        <v>1.257890625</v>
      </c>
      <c r="G137" s="50" t="n">
        <f aca="false">G136*(1+VaR!B119)</f>
        <v>1.27226728479284</v>
      </c>
      <c r="H137" s="31" t="n">
        <f aca="false">B137/MAX(B$22:B137)-1</f>
        <v>-0.0656775695230036</v>
      </c>
      <c r="I137" s="31" t="n">
        <f aca="false">C137/MAX(C$22:C137)-1</f>
        <v>-0.0704190118824265</v>
      </c>
      <c r="J137" s="31" t="n">
        <f aca="false">D137/MAX(D$22:D137)-1</f>
        <v>-0.0581106395993424</v>
      </c>
      <c r="K137" s="31" t="n">
        <f aca="false">E137/MAX(E$22:E137)-1</f>
        <v>-0.0127815610267156</v>
      </c>
      <c r="L137" s="31" t="n">
        <f aca="false">F137/MAX(F$22:F137)-1</f>
        <v>-0.180944144877404</v>
      </c>
      <c r="M137" s="31" t="n">
        <f aca="false">G137/MAX(G$22:G137)-1</f>
        <v>-0.0668198083793722</v>
      </c>
    </row>
    <row r="138" customFormat="false" ht="15" hidden="false" customHeight="false" outlineLevel="0" collapsed="false">
      <c r="A138" s="19" t="n">
        <f aca="false">Narxlar!A118</f>
        <v>45455</v>
      </c>
      <c r="B138" s="50" t="n">
        <f aca="false">Narxlar!B118/Narxlar!B$2</f>
        <v>1.1267</v>
      </c>
      <c r="C138" s="50" t="n">
        <f aca="false">Narxlar!C118/Narxlar!C$2</f>
        <v>1.15768</v>
      </c>
      <c r="D138" s="50" t="n">
        <f aca="false">Narxlar!D118/Narxlar!D$2</f>
        <v>1.31614130434783</v>
      </c>
      <c r="E138" s="50" t="n">
        <f aca="false">Narxlar!E118/Narxlar!E$2</f>
        <v>1.26424657534247</v>
      </c>
      <c r="F138" s="50" t="n">
        <f aca="false">Narxlar!F118/Narxlar!F$2</f>
        <v>1.1984765625</v>
      </c>
      <c r="G138" s="50" t="n">
        <f aca="false">G137*(1+VaR!B120)</f>
        <v>1.23818655519778</v>
      </c>
      <c r="H138" s="31" t="n">
        <f aca="false">B138/MAX(B$22:B138)-1</f>
        <v>-0.0830369568578939</v>
      </c>
      <c r="I138" s="31" t="n">
        <f aca="false">C138/MAX(C$22:C138)-1</f>
        <v>-0.0949968730456534</v>
      </c>
      <c r="J138" s="31" t="n">
        <f aca="false">D138/MAX(D$22:D138)-1</f>
        <v>-0.0741675268570555</v>
      </c>
      <c r="K138" s="31" t="n">
        <f aca="false">E138/MAX(E$22:E138)-1</f>
        <v>-0.0331063383970667</v>
      </c>
      <c r="L138" s="31" t="n">
        <f aca="false">F138/MAX(F$22:F138)-1</f>
        <v>-0.219630684708516</v>
      </c>
      <c r="M138" s="31" t="n">
        <f aca="false">G138/MAX(G$22:G138)-1</f>
        <v>-0.0918172771929081</v>
      </c>
    </row>
    <row r="139" customFormat="false" ht="15" hidden="false" customHeight="false" outlineLevel="0" collapsed="false">
      <c r="A139" s="19" t="n">
        <f aca="false">Narxlar!A119</f>
        <v>45456</v>
      </c>
      <c r="B139" s="50" t="n">
        <f aca="false">Narxlar!B119/Narxlar!B$2</f>
        <v>1.12698</v>
      </c>
      <c r="C139" s="50" t="n">
        <f aca="false">Narxlar!C119/Narxlar!C$2</f>
        <v>1.17296</v>
      </c>
      <c r="D139" s="50" t="n">
        <f aca="false">Narxlar!D119/Narxlar!D$2</f>
        <v>1.31201086956522</v>
      </c>
      <c r="E139" s="50" t="n">
        <f aca="false">Narxlar!E119/Narxlar!E$2</f>
        <v>1.26835616438356</v>
      </c>
      <c r="F139" s="50" t="n">
        <f aca="false">Narxlar!F119/Narxlar!F$2</f>
        <v>1.1720703125</v>
      </c>
      <c r="G139" s="50" t="n">
        <f aca="false">G138*(1+VaR!B121)</f>
        <v>1.23766786688179</v>
      </c>
      <c r="H139" s="31" t="n">
        <f aca="false">B139/MAX(B$22:B139)-1</f>
        <v>-0.082809079293254</v>
      </c>
      <c r="I139" s="31" t="n">
        <f aca="false">C139/MAX(C$22:C139)-1</f>
        <v>-0.0830519074421513</v>
      </c>
      <c r="J139" s="31" t="n">
        <f aca="false">D139/MAX(D$22:D139)-1</f>
        <v>-0.0770730588370227</v>
      </c>
      <c r="K139" s="31" t="n">
        <f aca="false">E139/MAX(E$22:E139)-1</f>
        <v>-0.0299633315872184</v>
      </c>
      <c r="L139" s="31" t="n">
        <f aca="false">F139/MAX(F$22:F139)-1</f>
        <v>-0.236824702411232</v>
      </c>
      <c r="M139" s="31" t="n">
        <f aca="false">G139/MAX(G$22:G139)-1</f>
        <v>-0.0921977237137658</v>
      </c>
    </row>
    <row r="140" customFormat="false" ht="15" hidden="false" customHeight="false" outlineLevel="0" collapsed="false">
      <c r="A140" s="19" t="n">
        <f aca="false">Narxlar!A120</f>
        <v>45457</v>
      </c>
      <c r="B140" s="50" t="n">
        <f aca="false">Narxlar!B120/Narxlar!B$2</f>
        <v>1.12203</v>
      </c>
      <c r="C140" s="50" t="n">
        <f aca="false">Narxlar!C120/Narxlar!C$2</f>
        <v>1.18688</v>
      </c>
      <c r="D140" s="50" t="n">
        <f aca="false">Narxlar!D120/Narxlar!D$2</f>
        <v>1.3283152173913</v>
      </c>
      <c r="E140" s="50" t="n">
        <f aca="false">Narxlar!E120/Narxlar!E$2</f>
        <v>1.26767123287671</v>
      </c>
      <c r="F140" s="50" t="n">
        <f aca="false">Narxlar!F120/Narxlar!F$2</f>
        <v>1.14859375</v>
      </c>
      <c r="G140" s="50" t="n">
        <f aca="false">G139*(1+VaR!B122)</f>
        <v>1.24079417727802</v>
      </c>
      <c r="H140" s="31" t="n">
        <f aca="false">B140/MAX(B$22:B140)-1</f>
        <v>-0.0868376290967097</v>
      </c>
      <c r="I140" s="31" t="n">
        <f aca="false">C140/MAX(C$22:C140)-1</f>
        <v>-0.0721701063164477</v>
      </c>
      <c r="J140" s="31" t="n">
        <f aca="false">D140/MAX(D$22:D140)-1</f>
        <v>-0.0656038536529418</v>
      </c>
      <c r="K140" s="31" t="n">
        <f aca="false">E140/MAX(E$22:E140)-1</f>
        <v>-0.0304871660555265</v>
      </c>
      <c r="L140" s="31" t="n">
        <f aca="false">F140/MAX(F$22:F140)-1</f>
        <v>-0.252111099806694</v>
      </c>
      <c r="M140" s="31" t="n">
        <f aca="false">G140/MAX(G$22:G140)-1</f>
        <v>-0.0899046435021723</v>
      </c>
    </row>
    <row r="141" customFormat="false" ht="15" hidden="false" customHeight="false" outlineLevel="0" collapsed="false">
      <c r="A141" s="19" t="n">
        <f aca="false">Narxlar!A121</f>
        <v>45460</v>
      </c>
      <c r="B141" s="50" t="n">
        <f aca="false">Narxlar!B121/Narxlar!B$2</f>
        <v>1.11058</v>
      </c>
      <c r="C141" s="50" t="n">
        <f aca="false">Narxlar!C121/Narxlar!C$2</f>
        <v>1.17976</v>
      </c>
      <c r="D141" s="50" t="n">
        <f aca="false">Narxlar!D121/Narxlar!D$2</f>
        <v>1.3166847826087</v>
      </c>
      <c r="E141" s="50" t="n">
        <f aca="false">Narxlar!E121/Narxlar!E$2</f>
        <v>1.25506849315069</v>
      </c>
      <c r="F141" s="50" t="n">
        <f aca="false">Narxlar!F121/Narxlar!F$2</f>
        <v>1.144375</v>
      </c>
      <c r="G141" s="50" t="n">
        <f aca="false">G140*(1+VaR!B123)</f>
        <v>1.23184975497551</v>
      </c>
      <c r="H141" s="31" t="n">
        <f aca="false">B141/MAX(B$22:B141)-1</f>
        <v>-0.0961561937935919</v>
      </c>
      <c r="I141" s="31" t="n">
        <f aca="false">C141/MAX(C$22:C141)-1</f>
        <v>-0.0777360850531582</v>
      </c>
      <c r="J141" s="31" t="n">
        <f aca="false">D141/MAX(D$22:D141)-1</f>
        <v>-0.0737852200175861</v>
      </c>
      <c r="K141" s="31" t="n">
        <f aca="false">E141/MAX(E$22:E141)-1</f>
        <v>-0.0401257202723939</v>
      </c>
      <c r="L141" s="31" t="n">
        <f aca="false">F141/MAX(F$22:F141)-1</f>
        <v>-0.25485807304914</v>
      </c>
      <c r="M141" s="31" t="n">
        <f aca="false">G141/MAX(G$22:G141)-1</f>
        <v>-0.0964651813843931</v>
      </c>
    </row>
    <row r="142" customFormat="false" ht="15" hidden="false" customHeight="false" outlineLevel="0" collapsed="false">
      <c r="A142" s="19" t="n">
        <f aca="false">Narxlar!A122</f>
        <v>45461</v>
      </c>
      <c r="B142" s="50" t="n">
        <f aca="false">Narxlar!B122/Narxlar!B$2</f>
        <v>1.09806</v>
      </c>
      <c r="C142" s="50" t="n">
        <f aca="false">Narxlar!C122/Narxlar!C$2</f>
        <v>1.18968</v>
      </c>
      <c r="D142" s="50" t="n">
        <f aca="false">Narxlar!D122/Narxlar!D$2</f>
        <v>1.31086956521739</v>
      </c>
      <c r="E142" s="50" t="n">
        <f aca="false">Narxlar!E122/Narxlar!E$2</f>
        <v>1.23849315068493</v>
      </c>
      <c r="F142" s="50" t="n">
        <f aca="false">Narxlar!F122/Narxlar!F$2</f>
        <v>1.13046875</v>
      </c>
      <c r="G142" s="50" t="n">
        <f aca="false">G141*(1+VaR!B124)</f>
        <v>1.22653599881237</v>
      </c>
      <c r="H142" s="31" t="n">
        <f aca="false">B142/MAX(B$22:B142)-1</f>
        <v>-0.106345576326776</v>
      </c>
      <c r="I142" s="31" t="n">
        <f aca="false">C142/MAX(C$22:C142)-1</f>
        <v>-0.0699812382739211</v>
      </c>
      <c r="J142" s="31" t="n">
        <f aca="false">D142/MAX(D$22:D142)-1</f>
        <v>-0.0778759031999081</v>
      </c>
      <c r="K142" s="31" t="n">
        <f aca="false">E142/MAX(E$22:E142)-1</f>
        <v>-0.0528025144054479</v>
      </c>
      <c r="L142" s="31" t="n">
        <f aca="false">F142/MAX(F$22:F142)-1</f>
        <v>-0.26391291077424</v>
      </c>
      <c r="M142" s="31" t="n">
        <f aca="false">G142/MAX(G$22:G142)-1</f>
        <v>-0.100362705162465</v>
      </c>
    </row>
    <row r="143" customFormat="false" ht="15" hidden="false" customHeight="false" outlineLevel="0" collapsed="false">
      <c r="A143" s="19" t="n">
        <f aca="false">Narxlar!A123</f>
        <v>45462</v>
      </c>
      <c r="B143" s="50" t="n">
        <f aca="false">Narxlar!B123/Narxlar!B$2</f>
        <v>1.11391</v>
      </c>
      <c r="C143" s="50" t="n">
        <f aca="false">Narxlar!C123/Narxlar!C$2</f>
        <v>1.21184</v>
      </c>
      <c r="D143" s="50" t="n">
        <f aca="false">Narxlar!D123/Narxlar!D$2</f>
        <v>1.29755434782609</v>
      </c>
      <c r="E143" s="50" t="n">
        <f aca="false">Narxlar!E123/Narxlar!E$2</f>
        <v>1.24904109589041</v>
      </c>
      <c r="F143" s="50" t="n">
        <f aca="false">Narxlar!F123/Narxlar!F$2</f>
        <v>1.117578125</v>
      </c>
      <c r="G143" s="50" t="n">
        <f aca="false">G142*(1+VaR!B125)</f>
        <v>1.23008961657592</v>
      </c>
      <c r="H143" s="31" t="n">
        <f aca="false">B143/MAX(B$22:B143)-1</f>
        <v>-0.093446078471267</v>
      </c>
      <c r="I143" s="31" t="n">
        <f aca="false">C143/MAX(C$22:C143)-1</f>
        <v>-0.0526579111944965</v>
      </c>
      <c r="J143" s="31" t="n">
        <f aca="false">D143/MAX(D$22:D143)-1</f>
        <v>-0.0872424207669076</v>
      </c>
      <c r="K143" s="31" t="n">
        <f aca="false">E143/MAX(E$22:E143)-1</f>
        <v>-0.0447354635935044</v>
      </c>
      <c r="L143" s="31" t="n">
        <f aca="false">F143/MAX(F$22:F143)-1</f>
        <v>-0.272306440126157</v>
      </c>
      <c r="M143" s="31" t="n">
        <f aca="false">G143/MAX(G$22:G143)-1</f>
        <v>-0.0977562043546756</v>
      </c>
    </row>
    <row r="144" customFormat="false" ht="15" hidden="false" customHeight="false" outlineLevel="0" collapsed="false">
      <c r="A144" s="19" t="n">
        <f aca="false">Narxlar!A124</f>
        <v>45463</v>
      </c>
      <c r="B144" s="50" t="n">
        <f aca="false">Narxlar!B124/Narxlar!B$2</f>
        <v>1.10862</v>
      </c>
      <c r="C144" s="50" t="n">
        <f aca="false">Narxlar!C124/Narxlar!C$2</f>
        <v>1.20648</v>
      </c>
      <c r="D144" s="50" t="n">
        <f aca="false">Narxlar!D124/Narxlar!D$2</f>
        <v>1.31027173913043</v>
      </c>
      <c r="E144" s="50" t="n">
        <f aca="false">Narxlar!E124/Narxlar!E$2</f>
        <v>1.25369863013699</v>
      </c>
      <c r="F144" s="50" t="n">
        <f aca="false">Narxlar!F124/Narxlar!F$2</f>
        <v>1.1103125</v>
      </c>
      <c r="G144" s="50" t="n">
        <f aca="false">G143*(1+VaR!B126)</f>
        <v>1.23101874169906</v>
      </c>
      <c r="H144" s="31" t="n">
        <f aca="false">B144/MAX(B$22:B144)-1</f>
        <v>-0.0977513367460713</v>
      </c>
      <c r="I144" s="31" t="n">
        <f aca="false">C144/MAX(C$22:C144)-1</f>
        <v>-0.0568480300187616</v>
      </c>
      <c r="J144" s="31" t="n">
        <f aca="false">D144/MAX(D$22:D144)-1</f>
        <v>-0.0782964407233245</v>
      </c>
      <c r="K144" s="31" t="n">
        <f aca="false">E144/MAX(E$22:E144)-1</f>
        <v>-0.04117338920901</v>
      </c>
      <c r="L144" s="31" t="n">
        <f aca="false">F144/MAX(F$22:F144)-1</f>
        <v>-0.277037338488147</v>
      </c>
      <c r="M144" s="31" t="n">
        <f aca="false">G144/MAX(G$22:G144)-1</f>
        <v>-0.0970747114240504</v>
      </c>
    </row>
    <row r="145" customFormat="false" ht="15" hidden="false" customHeight="false" outlineLevel="0" collapsed="false">
      <c r="A145" s="19" t="n">
        <f aca="false">Narxlar!A125</f>
        <v>45464</v>
      </c>
      <c r="B145" s="50" t="n">
        <f aca="false">Narxlar!B125/Narxlar!B$2</f>
        <v>1.09336</v>
      </c>
      <c r="C145" s="50" t="n">
        <f aca="false">Narxlar!C125/Narxlar!C$2</f>
        <v>1.17464</v>
      </c>
      <c r="D145" s="50" t="n">
        <f aca="false">Narxlar!D125/Narxlar!D$2</f>
        <v>1.29445652173913</v>
      </c>
      <c r="E145" s="50" t="n">
        <f aca="false">Narxlar!E125/Narxlar!E$2</f>
        <v>1.24561643835616</v>
      </c>
      <c r="F145" s="50" t="n">
        <f aca="false">Narxlar!F125/Narxlar!F$2</f>
        <v>1.0936328125</v>
      </c>
      <c r="G145" s="50" t="n">
        <f aca="false">G144*(1+VaR!B127)</f>
        <v>1.2118752123337</v>
      </c>
      <c r="H145" s="31" t="n">
        <f aca="false">B145/MAX(B$22:B145)-1</f>
        <v>-0.110170664018947</v>
      </c>
      <c r="I145" s="31" t="n">
        <f aca="false">C145/MAX(C$22:C145)-1</f>
        <v>-0.0817385866166354</v>
      </c>
      <c r="J145" s="31" t="n">
        <f aca="false">D145/MAX(D$22:D145)-1</f>
        <v>-0.0894215697518829</v>
      </c>
      <c r="K145" s="31" t="n">
        <f aca="false">E145/MAX(E$22:E145)-1</f>
        <v>-0.0473546359350446</v>
      </c>
      <c r="L145" s="31" t="n">
        <f aca="false">F145/MAX(F$22:F145)-1</f>
        <v>-0.28789805677078</v>
      </c>
      <c r="M145" s="31" t="n">
        <f aca="false">G145/MAX(G$22:G145)-1</f>
        <v>-0.111116070983468</v>
      </c>
    </row>
    <row r="146" customFormat="false" ht="15" hidden="false" customHeight="false" outlineLevel="0" collapsed="false">
      <c r="A146" s="19" t="n">
        <f aca="false">Narxlar!A126</f>
        <v>45467</v>
      </c>
      <c r="B146" s="50" t="n">
        <f aca="false">Narxlar!B126/Narxlar!B$2</f>
        <v>1.09487</v>
      </c>
      <c r="C146" s="50" t="n">
        <f aca="false">Narxlar!C126/Narxlar!C$2</f>
        <v>1.1916</v>
      </c>
      <c r="D146" s="50" t="n">
        <f aca="false">Narxlar!D126/Narxlar!D$2</f>
        <v>1.29494565217391</v>
      </c>
      <c r="E146" s="50" t="n">
        <f aca="false">Narxlar!E126/Narxlar!E$2</f>
        <v>1.25369863013699</v>
      </c>
      <c r="F146" s="50" t="n">
        <f aca="false">Narxlar!F126/Narxlar!F$2</f>
        <v>1.08921875</v>
      </c>
      <c r="G146" s="50" t="n">
        <f aca="false">G145*(1+VaR!B128)</f>
        <v>1.21822653375227</v>
      </c>
      <c r="H146" s="31" t="n">
        <f aca="false">B146/MAX(B$22:B146)-1</f>
        <v>-0.108941752866781</v>
      </c>
      <c r="I146" s="31" t="n">
        <f aca="false">C146/MAX(C$22:C146)-1</f>
        <v>-0.0684803001876172</v>
      </c>
      <c r="J146" s="31" t="n">
        <f aca="false">D146/MAX(D$22:D146)-1</f>
        <v>-0.0890774935963604</v>
      </c>
      <c r="K146" s="31" t="n">
        <f aca="false">E146/MAX(E$22:E146)-1</f>
        <v>-0.04117338920901</v>
      </c>
      <c r="L146" s="31" t="n">
        <f aca="false">F146/MAX(F$22:F146)-1</f>
        <v>-0.290772204700377</v>
      </c>
      <c r="M146" s="31" t="n">
        <f aca="false">G146/MAX(G$22:G146)-1</f>
        <v>-0.106457515812501</v>
      </c>
    </row>
    <row r="147" customFormat="false" ht="15" hidden="false" customHeight="false" outlineLevel="0" collapsed="false">
      <c r="A147" s="19" t="n">
        <f aca="false">Narxlar!A127</f>
        <v>45468</v>
      </c>
      <c r="B147" s="50" t="n">
        <f aca="false">Narxlar!B127/Narxlar!B$2</f>
        <v>1.11208</v>
      </c>
      <c r="C147" s="50" t="n">
        <f aca="false">Narxlar!C127/Narxlar!C$2</f>
        <v>1.22536</v>
      </c>
      <c r="D147" s="50" t="n">
        <f aca="false">Narxlar!D127/Narxlar!D$2</f>
        <v>1.31809782608696</v>
      </c>
      <c r="E147" s="50" t="n">
        <f aca="false">Narxlar!E127/Narxlar!E$2</f>
        <v>1.25013698630137</v>
      </c>
      <c r="F147" s="50" t="n">
        <f aca="false">Narxlar!F127/Narxlar!F$2</f>
        <v>1.0805078125</v>
      </c>
      <c r="G147" s="50" t="n">
        <f aca="false">G146*(1+VaR!B129)</f>
        <v>1.23121222540193</v>
      </c>
      <c r="H147" s="31" t="n">
        <f aca="false">B147/MAX(B$22:B147)-1</f>
        <v>-0.0949354211258781</v>
      </c>
      <c r="I147" s="31" t="n">
        <f aca="false">C147/MAX(C$22:C147)-1</f>
        <v>-0.0420888055034395</v>
      </c>
      <c r="J147" s="31" t="n">
        <f aca="false">D147/MAX(D$22:D147)-1</f>
        <v>-0.0727912222349658</v>
      </c>
      <c r="K147" s="31" t="n">
        <f aca="false">E147/MAX(E$22:E147)-1</f>
        <v>-0.0438973284442117</v>
      </c>
      <c r="L147" s="31" t="n">
        <f aca="false">F147/MAX(F$22:F147)-1</f>
        <v>-0.296444195747278</v>
      </c>
      <c r="M147" s="31" t="n">
        <f aca="false">G147/MAX(G$22:G147)-1</f>
        <v>-0.0969327953651574</v>
      </c>
    </row>
    <row r="148" customFormat="false" ht="15" hidden="false" customHeight="false" outlineLevel="0" collapsed="false">
      <c r="A148" s="19" t="n">
        <f aca="false">Narxlar!A128</f>
        <v>45469</v>
      </c>
      <c r="B148" s="50" t="n">
        <f aca="false">Narxlar!B128/Narxlar!B$2</f>
        <v>1.11322</v>
      </c>
      <c r="C148" s="50" t="n">
        <f aca="false">Narxlar!C128/Narxlar!C$2</f>
        <v>1.21872</v>
      </c>
      <c r="D148" s="50" t="n">
        <f aca="false">Narxlar!D128/Narxlar!D$2</f>
        <v>1.29978260869565</v>
      </c>
      <c r="E148" s="50" t="n">
        <f aca="false">Narxlar!E128/Narxlar!E$2</f>
        <v>1.25534246575342</v>
      </c>
      <c r="F148" s="50" t="n">
        <f aca="false">Narxlar!F128/Narxlar!F$2</f>
        <v>1.086953125</v>
      </c>
      <c r="G148" s="50" t="n">
        <f aca="false">G147*(1+VaR!B130)</f>
        <v>1.22768425508087</v>
      </c>
      <c r="H148" s="31" t="n">
        <f aca="false">B148/MAX(B$22:B148)-1</f>
        <v>-0.0940076338984154</v>
      </c>
      <c r="I148" s="31" t="n">
        <f aca="false">C148/MAX(C$22:C148)-1</f>
        <v>-0.047279549718574</v>
      </c>
      <c r="J148" s="31" t="n">
        <f aca="false">D148/MAX(D$22:D148)-1</f>
        <v>-0.0856749627250832</v>
      </c>
      <c r="K148" s="31" t="n">
        <f aca="false">E148/MAX(E$22:E148)-1</f>
        <v>-0.0399161864850708</v>
      </c>
      <c r="L148" s="31" t="n">
        <f aca="false">F148/MAX(F$22:F148)-1</f>
        <v>-0.29224743107132</v>
      </c>
      <c r="M148" s="31" t="n">
        <f aca="false">G148/MAX(G$22:G148)-1</f>
        <v>-0.0995204843355392</v>
      </c>
    </row>
    <row r="149" customFormat="false" ht="15" hidden="false" customHeight="false" outlineLevel="0" collapsed="false">
      <c r="A149" s="19" t="n">
        <f aca="false">Narxlar!A129</f>
        <v>45470</v>
      </c>
      <c r="B149" s="50" t="n">
        <f aca="false">Narxlar!B129/Narxlar!B$2</f>
        <v>1.10879</v>
      </c>
      <c r="C149" s="50" t="n">
        <f aca="false">Narxlar!C129/Narxlar!C$2</f>
        <v>1.19752</v>
      </c>
      <c r="D149" s="50" t="n">
        <f aca="false">Narxlar!D129/Narxlar!D$2</f>
        <v>1.30505434782609</v>
      </c>
      <c r="E149" s="50" t="n">
        <f aca="false">Narxlar!E129/Narxlar!E$2</f>
        <v>1.23616438356164</v>
      </c>
      <c r="F149" s="50" t="n">
        <f aca="false">Narxlar!F129/Narxlar!F$2</f>
        <v>1.0865234375</v>
      </c>
      <c r="G149" s="50" t="n">
        <f aca="false">G148*(1+VaR!B131)</f>
        <v>1.21773635401465</v>
      </c>
      <c r="H149" s="31" t="n">
        <f aca="false">B149/MAX(B$22:B149)-1</f>
        <v>-0.0976129825103971</v>
      </c>
      <c r="I149" s="31" t="n">
        <f aca="false">C149/MAX(C$22:C149)-1</f>
        <v>-0.0638524077548468</v>
      </c>
      <c r="J149" s="31" t="n">
        <f aca="false">D149/MAX(D$22:D149)-1</f>
        <v>-0.0819665863822303</v>
      </c>
      <c r="K149" s="31" t="n">
        <f aca="false">E149/MAX(E$22:E149)-1</f>
        <v>-0.0545835515976952</v>
      </c>
      <c r="L149" s="31" t="n">
        <f aca="false">F149/MAX(F$22:F149)-1</f>
        <v>-0.29252721538305</v>
      </c>
      <c r="M149" s="31" t="n">
        <f aca="false">G149/MAX(G$22:G149)-1</f>
        <v>-0.106817051915449</v>
      </c>
    </row>
    <row r="150" customFormat="false" ht="15" hidden="false" customHeight="false" outlineLevel="0" collapsed="false">
      <c r="A150" s="19" t="n">
        <f aca="false">Narxlar!A130</f>
        <v>45471</v>
      </c>
      <c r="B150" s="50" t="n">
        <f aca="false">Narxlar!B130/Narxlar!B$2</f>
        <v>1.10501</v>
      </c>
      <c r="C150" s="50" t="n">
        <f aca="false">Narxlar!C130/Narxlar!C$2</f>
        <v>1.22112</v>
      </c>
      <c r="D150" s="50" t="n">
        <f aca="false">Narxlar!D130/Narxlar!D$2</f>
        <v>1.30576086956522</v>
      </c>
      <c r="E150" s="50" t="n">
        <f aca="false">Narxlar!E130/Narxlar!E$2</f>
        <v>1.23684931506849</v>
      </c>
      <c r="F150" s="50" t="n">
        <f aca="false">Narxlar!F130/Narxlar!F$2</f>
        <v>1.0628515625</v>
      </c>
      <c r="G150" s="50" t="n">
        <f aca="false">G149*(1+VaR!B132)</f>
        <v>1.2199632532153</v>
      </c>
      <c r="H150" s="31" t="n">
        <f aca="false">B150/MAX(B$22:B150)-1</f>
        <v>-0.100689329633036</v>
      </c>
      <c r="I150" s="31" t="n">
        <f aca="false">C150/MAX(C$22:C150)-1</f>
        <v>-0.0454033771106941</v>
      </c>
      <c r="J150" s="31" t="n">
        <f aca="false">D150/MAX(D$22:D150)-1</f>
        <v>-0.0814695874909202</v>
      </c>
      <c r="K150" s="31" t="n">
        <f aca="false">E150/MAX(E$22:E150)-1</f>
        <v>-0.0540597171293872</v>
      </c>
      <c r="L150" s="31" t="n">
        <f aca="false">F150/MAX(F$22:F150)-1</f>
        <v>-0.307940787465663</v>
      </c>
      <c r="M150" s="31" t="n">
        <f aca="false">G150/MAX(G$22:G150)-1</f>
        <v>-0.105183670119325</v>
      </c>
    </row>
    <row r="151" customFormat="false" ht="15" hidden="false" customHeight="false" outlineLevel="0" collapsed="false">
      <c r="A151" s="19" t="n">
        <f aca="false">Narxlar!A131</f>
        <v>45474</v>
      </c>
      <c r="B151" s="50" t="n">
        <f aca="false">Narxlar!B131/Narxlar!B$2</f>
        <v>1.10268</v>
      </c>
      <c r="C151" s="50" t="n">
        <f aca="false">Narxlar!C131/Narxlar!C$2</f>
        <v>1.21872</v>
      </c>
      <c r="D151" s="50" t="n">
        <f aca="false">Narxlar!D131/Narxlar!D$2</f>
        <v>1.32282608695652</v>
      </c>
      <c r="E151" s="50" t="n">
        <f aca="false">Narxlar!E131/Narxlar!E$2</f>
        <v>1.22821917808219</v>
      </c>
      <c r="F151" s="50" t="n">
        <f aca="false">Narxlar!F131/Narxlar!F$2</f>
        <v>1.068046875</v>
      </c>
      <c r="G151" s="50" t="n">
        <f aca="false">G150*(1+VaR!B133)</f>
        <v>1.22229449270886</v>
      </c>
      <c r="H151" s="31" t="n">
        <f aca="false">B151/MAX(B$22:B151)-1</f>
        <v>-0.102585596510218</v>
      </c>
      <c r="I151" s="31" t="n">
        <f aca="false">C151/MAX(C$22:C151)-1</f>
        <v>-0.047279549718574</v>
      </c>
      <c r="J151" s="31" t="n">
        <f aca="false">D151/MAX(D$22:D151)-1</f>
        <v>-0.0694651527315823</v>
      </c>
      <c r="K151" s="31" t="n">
        <f aca="false">E151/MAX(E$22:E151)-1</f>
        <v>-0.0606600314300682</v>
      </c>
      <c r="L151" s="31" t="n">
        <f aca="false">F151/MAX(F$22:F151)-1</f>
        <v>-0.304557940787466</v>
      </c>
      <c r="M151" s="31" t="n">
        <f aca="false">G151/MAX(G$22:G151)-1</f>
        <v>-0.103473757003336</v>
      </c>
    </row>
    <row r="152" customFormat="false" ht="15" hidden="false" customHeight="false" outlineLevel="0" collapsed="false">
      <c r="A152" s="19" t="n">
        <f aca="false">Narxlar!A132</f>
        <v>45475</v>
      </c>
      <c r="B152" s="50" t="n">
        <f aca="false">Narxlar!B132/Narxlar!B$2</f>
        <v>1.11955</v>
      </c>
      <c r="C152" s="50" t="n">
        <f aca="false">Narxlar!C132/Narxlar!C$2</f>
        <v>1.24336</v>
      </c>
      <c r="D152" s="50" t="n">
        <f aca="false">Narxlar!D132/Narxlar!D$2</f>
        <v>1.34038043478261</v>
      </c>
      <c r="E152" s="50" t="n">
        <f aca="false">Narxlar!E132/Narxlar!E$2</f>
        <v>1.24356164383562</v>
      </c>
      <c r="F152" s="50" t="n">
        <f aca="false">Narxlar!F132/Narxlar!F$2</f>
        <v>1.0970703125</v>
      </c>
      <c r="G152" s="50" t="n">
        <f aca="false">G151*(1+VaR!B134)</f>
        <v>1.24422335451175</v>
      </c>
      <c r="H152" s="31" t="n">
        <f aca="false">B152/MAX(B$22:B152)-1</f>
        <v>-0.0888559732406632</v>
      </c>
      <c r="I152" s="31" t="n">
        <f aca="false">C152/MAX(C$22:C152)-1</f>
        <v>-0.0280175109443401</v>
      </c>
      <c r="J152" s="31" t="n">
        <f aca="false">D152/MAX(D$22:D152)-1</f>
        <v>-0.0571166418167221</v>
      </c>
      <c r="K152" s="31" t="n">
        <f aca="false">E152/MAX(E$22:E152)-1</f>
        <v>-0.0489261393399686</v>
      </c>
      <c r="L152" s="31" t="n">
        <f aca="false">F152/MAX(F$22:F152)-1</f>
        <v>-0.285659782276936</v>
      </c>
      <c r="M152" s="31" t="n">
        <f aca="false">G152/MAX(G$22:G152)-1</f>
        <v>-0.0873894170978432</v>
      </c>
    </row>
    <row r="153" customFormat="false" ht="15" hidden="false" customHeight="false" outlineLevel="0" collapsed="false">
      <c r="A153" s="19" t="n">
        <f aca="false">Narxlar!A133</f>
        <v>45476</v>
      </c>
      <c r="B153" s="50" t="n">
        <f aca="false">Narxlar!B133/Narxlar!B$2</f>
        <v>1.12177</v>
      </c>
      <c r="C153" s="50" t="n">
        <f aca="false">Narxlar!C133/Narxlar!C$2</f>
        <v>1.27216</v>
      </c>
      <c r="D153" s="50" t="n">
        <f aca="false">Narxlar!D133/Narxlar!D$2</f>
        <v>1.335</v>
      </c>
      <c r="E153" s="50" t="n">
        <f aca="false">Narxlar!E133/Narxlar!E$2</f>
        <v>1.24958904109589</v>
      </c>
      <c r="F153" s="50" t="n">
        <f aca="false">Narxlar!F133/Narxlar!F$2</f>
        <v>1.09734375</v>
      </c>
      <c r="G153" s="50" t="n">
        <f aca="false">G152*(1+VaR!B135)</f>
        <v>1.253190415478</v>
      </c>
      <c r="H153" s="31" t="n">
        <f aca="false">B153/MAX(B$22:B153)-1</f>
        <v>-0.0870492296924468</v>
      </c>
      <c r="I153" s="31" t="n">
        <f aca="false">C153/MAX(C$22:C153)-1</f>
        <v>-0.00550343964978106</v>
      </c>
      <c r="J153" s="31" t="n">
        <f aca="false">D153/MAX(D$22:D153)-1</f>
        <v>-0.0609014795274687</v>
      </c>
      <c r="K153" s="31" t="n">
        <f aca="false">E153/MAX(E$22:E153)-1</f>
        <v>-0.0443163960188582</v>
      </c>
      <c r="L153" s="31" t="n">
        <f aca="false">F153/MAX(F$22:F153)-1</f>
        <v>-0.285481737714925</v>
      </c>
      <c r="M153" s="31" t="n">
        <f aca="false">G153/MAX(G$22:G153)-1</f>
        <v>-0.08081227425154</v>
      </c>
    </row>
    <row r="154" customFormat="false" ht="15" hidden="false" customHeight="false" outlineLevel="0" collapsed="false">
      <c r="A154" s="19" t="n">
        <f aca="false">Narxlar!A134</f>
        <v>45477</v>
      </c>
      <c r="B154" s="50" t="n">
        <f aca="false">Narxlar!B134/Narxlar!B$2</f>
        <v>1.12081</v>
      </c>
      <c r="C154" s="50" t="n">
        <f aca="false">Narxlar!C134/Narxlar!C$2</f>
        <v>1.27312</v>
      </c>
      <c r="D154" s="50" t="n">
        <f aca="false">Narxlar!D134/Narxlar!D$2</f>
        <v>1.31972826086957</v>
      </c>
      <c r="E154" s="50" t="n">
        <f aca="false">Narxlar!E134/Narxlar!E$2</f>
        <v>1.23821917808219</v>
      </c>
      <c r="F154" s="50" t="n">
        <f aca="false">Narxlar!F134/Narxlar!F$2</f>
        <v>1.0715234375</v>
      </c>
      <c r="G154" s="50" t="n">
        <f aca="false">G153*(1+VaR!B136)</f>
        <v>1.24114202202272</v>
      </c>
      <c r="H154" s="31" t="n">
        <f aca="false">B154/MAX(B$22:B154)-1</f>
        <v>-0.0878305241997837</v>
      </c>
      <c r="I154" s="31" t="n">
        <f aca="false">C154/MAX(C$22:C154)-1</f>
        <v>-0.00475297060662905</v>
      </c>
      <c r="J154" s="31" t="n">
        <f aca="false">D154/MAX(D$22:D154)-1</f>
        <v>-0.0716443017165577</v>
      </c>
      <c r="K154" s="31" t="n">
        <f aca="false">E154/MAX(E$22:E154)-1</f>
        <v>-0.0530120481927711</v>
      </c>
      <c r="L154" s="31" t="n">
        <f aca="false">F154/MAX(F$22:F154)-1</f>
        <v>-0.302294231356191</v>
      </c>
      <c r="M154" s="31" t="n">
        <f aca="false">G154/MAX(G$22:G154)-1</f>
        <v>-0.0896495069994975</v>
      </c>
    </row>
    <row r="155" customFormat="false" ht="15" hidden="false" customHeight="false" outlineLevel="0" collapsed="false">
      <c r="A155" s="19" t="n">
        <f aca="false">Narxlar!A135</f>
        <v>45478</v>
      </c>
      <c r="B155" s="50" t="n">
        <f aca="false">Narxlar!B135/Narxlar!B$2</f>
        <v>1.13961</v>
      </c>
      <c r="C155" s="50" t="n">
        <f aca="false">Narxlar!C135/Narxlar!C$2</f>
        <v>1.28624</v>
      </c>
      <c r="D155" s="50" t="n">
        <f aca="false">Narxlar!D135/Narxlar!D$2</f>
        <v>1.33532608695652</v>
      </c>
      <c r="E155" s="50" t="n">
        <f aca="false">Narxlar!E135/Narxlar!E$2</f>
        <v>1.24315068493151</v>
      </c>
      <c r="F155" s="50" t="n">
        <f aca="false">Narxlar!F135/Narxlar!F$2</f>
        <v>1.09609375</v>
      </c>
      <c r="G155" s="50" t="n">
        <f aca="false">G154*(1+VaR!B137)</f>
        <v>1.2555741419503</v>
      </c>
      <c r="H155" s="31" t="n">
        <f aca="false">B155/MAX(B$22:B155)-1</f>
        <v>-0.0725301734311039</v>
      </c>
      <c r="I155" s="31" t="n">
        <f aca="false">C155/MAX(C$22:C155)-1</f>
        <v>0</v>
      </c>
      <c r="J155" s="31" t="n">
        <f aca="false">D155/MAX(D$22:D155)-1</f>
        <v>-0.060672095423787</v>
      </c>
      <c r="K155" s="31" t="n">
        <f aca="false">E155/MAX(E$22:E155)-1</f>
        <v>-0.0492404400209535</v>
      </c>
      <c r="L155" s="31" t="n">
        <f aca="false">F155/MAX(F$22:F155)-1</f>
        <v>-0.286295655712687</v>
      </c>
      <c r="M155" s="31" t="n">
        <f aca="false">G155/MAX(G$22:G155)-1</f>
        <v>-0.0790638630860715</v>
      </c>
    </row>
    <row r="156" customFormat="false" ht="15" hidden="false" customHeight="false" outlineLevel="0" collapsed="false">
      <c r="A156" s="19" t="n">
        <f aca="false">Narxlar!A136</f>
        <v>45481</v>
      </c>
      <c r="B156" s="50" t="n">
        <f aca="false">Narxlar!B136/Narxlar!B$2</f>
        <v>1.12847</v>
      </c>
      <c r="C156" s="50" t="n">
        <f aca="false">Narxlar!C136/Narxlar!C$2</f>
        <v>1.28424</v>
      </c>
      <c r="D156" s="50" t="n">
        <f aca="false">Narxlar!D136/Narxlar!D$2</f>
        <v>1.33826086956522</v>
      </c>
      <c r="E156" s="50" t="n">
        <f aca="false">Narxlar!E136/Narxlar!E$2</f>
        <v>1.23904109589041</v>
      </c>
      <c r="F156" s="50" t="n">
        <f aca="false">Narxlar!F136/Narxlar!F$2</f>
        <v>1.082265625</v>
      </c>
      <c r="G156" s="50" t="n">
        <f aca="false">G155*(1+VaR!B138)</f>
        <v>1.25147263787011</v>
      </c>
      <c r="H156" s="31" t="n">
        <f aca="false">B156/MAX(B$22:B156)-1</f>
        <v>-0.0815964451099916</v>
      </c>
      <c r="I156" s="31" t="n">
        <f aca="false">C156/MAX(C$22:C156)-1</f>
        <v>-0.00155491976614008</v>
      </c>
      <c r="J156" s="31" t="n">
        <f aca="false">D156/MAX(D$22:D156)-1</f>
        <v>-0.0586076384906525</v>
      </c>
      <c r="K156" s="31" t="n">
        <f aca="false">E156/MAX(E$22:E156)-1</f>
        <v>-0.0523834468308015</v>
      </c>
      <c r="L156" s="31" t="n">
        <f aca="false">F156/MAX(F$22:F156)-1</f>
        <v>-0.295299623562926</v>
      </c>
      <c r="M156" s="31" t="n">
        <f aca="false">G156/MAX(G$22:G156)-1</f>
        <v>-0.0820722265087867</v>
      </c>
    </row>
    <row r="157" customFormat="false" ht="15" hidden="false" customHeight="false" outlineLevel="0" collapsed="false">
      <c r="A157" s="19" t="n">
        <f aca="false">Narxlar!A137</f>
        <v>45482</v>
      </c>
      <c r="B157" s="50" t="n">
        <f aca="false">Narxlar!B137/Narxlar!B$2</f>
        <v>1.12491</v>
      </c>
      <c r="C157" s="50" t="n">
        <f aca="false">Narxlar!C137/Narxlar!C$2</f>
        <v>1.27296</v>
      </c>
      <c r="D157" s="50" t="n">
        <f aca="false">Narxlar!D137/Narxlar!D$2</f>
        <v>1.34429347826087</v>
      </c>
      <c r="E157" s="50" t="n">
        <f aca="false">Narxlar!E137/Narxlar!E$2</f>
        <v>1.24493150684932</v>
      </c>
      <c r="F157" s="50" t="n">
        <f aca="false">Narxlar!F137/Narxlar!F$2</f>
        <v>1.0634765625</v>
      </c>
      <c r="G157" s="50" t="n">
        <f aca="false">G156*(1+VaR!B139)</f>
        <v>1.2467273760924</v>
      </c>
      <c r="H157" s="31" t="n">
        <f aca="false">B157/MAX(B$22:B157)-1</f>
        <v>-0.0844937455746991</v>
      </c>
      <c r="I157" s="31" t="n">
        <f aca="false">C157/MAX(C$22:C157)-1</f>
        <v>-0.01032466724717</v>
      </c>
      <c r="J157" s="31" t="n">
        <f aca="false">D157/MAX(D$22:D157)-1</f>
        <v>-0.0543640325725427</v>
      </c>
      <c r="K157" s="31" t="n">
        <f aca="false">E157/MAX(E$22:E157)-1</f>
        <v>-0.0478784704033527</v>
      </c>
      <c r="L157" s="31" t="n">
        <f aca="false">F157/MAX(F$22:F157)-1</f>
        <v>-0.307533828466782</v>
      </c>
      <c r="M157" s="31" t="n">
        <f aca="false">G157/MAX(G$22:G157)-1</f>
        <v>-0.0855527721047821</v>
      </c>
    </row>
    <row r="158" customFormat="false" ht="15" hidden="false" customHeight="false" outlineLevel="0" collapsed="false">
      <c r="A158" s="19" t="n">
        <f aca="false">Narxlar!A138</f>
        <v>45483</v>
      </c>
      <c r="B158" s="50" t="n">
        <f aca="false">Narxlar!B138/Narxlar!B$2</f>
        <v>1.12464</v>
      </c>
      <c r="C158" s="50" t="n">
        <f aca="false">Narxlar!C138/Narxlar!C$2</f>
        <v>1.2824</v>
      </c>
      <c r="D158" s="50" t="n">
        <f aca="false">Narxlar!D138/Narxlar!D$2</f>
        <v>1.35266304347826</v>
      </c>
      <c r="E158" s="50" t="n">
        <f aca="false">Narxlar!E138/Narxlar!E$2</f>
        <v>1.24095890410959</v>
      </c>
      <c r="F158" s="50" t="n">
        <f aca="false">Narxlar!F138/Narxlar!F$2</f>
        <v>1.071171875</v>
      </c>
      <c r="G158" s="50" t="n">
        <f aca="false">G157*(1+VaR!B140)</f>
        <v>1.25225122479685</v>
      </c>
      <c r="H158" s="31" t="n">
        <f aca="false">B158/MAX(B$22:B158)-1</f>
        <v>-0.0847134846548876</v>
      </c>
      <c r="I158" s="31" t="n">
        <f aca="false">C158/MAX(C$22:C158)-1</f>
        <v>-0.00298544595098893</v>
      </c>
      <c r="J158" s="31" t="n">
        <f aca="false">D158/MAX(D$22:D158)-1</f>
        <v>-0.0484765072447145</v>
      </c>
      <c r="K158" s="31" t="n">
        <f aca="false">E158/MAX(E$22:E158)-1</f>
        <v>-0.0509167103195392</v>
      </c>
      <c r="L158" s="31" t="n">
        <f aca="false">F158/MAX(F$22:F158)-1</f>
        <v>-0.302523145793061</v>
      </c>
      <c r="M158" s="31" t="n">
        <f aca="false">G158/MAX(G$22:G158)-1</f>
        <v>-0.0815011500485374</v>
      </c>
    </row>
    <row r="159" customFormat="false" ht="15" hidden="false" customHeight="false" outlineLevel="0" collapsed="false">
      <c r="A159" s="19" t="n">
        <f aca="false">Narxlar!A139</f>
        <v>45484</v>
      </c>
      <c r="B159" s="50" t="n">
        <f aca="false">Narxlar!B139/Narxlar!B$2</f>
        <v>1.11584</v>
      </c>
      <c r="C159" s="50" t="n">
        <f aca="false">Narxlar!C139/Narxlar!C$2</f>
        <v>1.27872</v>
      </c>
      <c r="D159" s="50" t="n">
        <f aca="false">Narxlar!D139/Narxlar!D$2</f>
        <v>1.34896739130435</v>
      </c>
      <c r="E159" s="50" t="n">
        <f aca="false">Narxlar!E139/Narxlar!E$2</f>
        <v>1.23301369863014</v>
      </c>
      <c r="F159" s="50" t="n">
        <f aca="false">Narxlar!F139/Narxlar!F$2</f>
        <v>1.0966796875</v>
      </c>
      <c r="G159" s="50" t="n">
        <f aca="false">G158*(1+VaR!B141)</f>
        <v>1.25427744579335</v>
      </c>
      <c r="H159" s="31" t="n">
        <f aca="false">B159/MAX(B$22:B159)-1</f>
        <v>-0.0918753509721421</v>
      </c>
      <c r="I159" s="31" t="n">
        <f aca="false">C159/MAX(C$22:C159)-1</f>
        <v>-0.00584649832068662</v>
      </c>
      <c r="J159" s="31" t="n">
        <f aca="false">D159/MAX(D$22:D159)-1</f>
        <v>-0.0510761937531062</v>
      </c>
      <c r="K159" s="31" t="n">
        <f aca="false">E159/MAX(E$22:E159)-1</f>
        <v>-0.0569931901519121</v>
      </c>
      <c r="L159" s="31" t="n">
        <f aca="false">F159/MAX(F$22:F159)-1</f>
        <v>-0.285914131651236</v>
      </c>
      <c r="M159" s="31" t="n">
        <f aca="false">G159/MAX(G$22:G159)-1</f>
        <v>-0.0800149613204428</v>
      </c>
    </row>
    <row r="160" customFormat="false" ht="15" hidden="false" customHeight="false" outlineLevel="0" collapsed="false">
      <c r="A160" s="19" t="n">
        <f aca="false">Narxlar!A140</f>
        <v>45485</v>
      </c>
      <c r="B160" s="50" t="n">
        <f aca="false">Narxlar!B140/Narxlar!B$2</f>
        <v>1.11403</v>
      </c>
      <c r="C160" s="50" t="n">
        <f aca="false">Narxlar!C140/Narxlar!C$2</f>
        <v>1.2948</v>
      </c>
      <c r="D160" s="50" t="n">
        <f aca="false">Narxlar!D140/Narxlar!D$2</f>
        <v>1.37152173913043</v>
      </c>
      <c r="E160" s="50" t="n">
        <f aca="false">Narxlar!E140/Narxlar!E$2</f>
        <v>1.24301369863014</v>
      </c>
      <c r="F160" s="50" t="n">
        <f aca="false">Narxlar!F140/Narxlar!F$2</f>
        <v>1.108828125</v>
      </c>
      <c r="G160" s="50" t="n">
        <f aca="false">G159*(1+VaR!B142)</f>
        <v>1.26957398326684</v>
      </c>
      <c r="H160" s="31" t="n">
        <f aca="false">B160/MAX(B$22:B160)-1</f>
        <v>-0.09334841665785</v>
      </c>
      <c r="I160" s="31" t="n">
        <f aca="false">C160/MAX(C$22:C160)-1</f>
        <v>0</v>
      </c>
      <c r="J160" s="31" t="n">
        <f aca="false">D160/MAX(D$22:D160)-1</f>
        <v>-0.0352104599151278</v>
      </c>
      <c r="K160" s="31" t="n">
        <f aca="false">E160/MAX(E$22:E160)-1</f>
        <v>-0.0493452069146151</v>
      </c>
      <c r="L160" s="31" t="n">
        <f aca="false">F160/MAX(F$22:F160)-1</f>
        <v>-0.278003866110489</v>
      </c>
      <c r="M160" s="31" t="n">
        <f aca="false">G160/MAX(G$22:G160)-1</f>
        <v>-0.0687952860672477</v>
      </c>
    </row>
    <row r="161" customFormat="false" ht="15" hidden="false" customHeight="false" outlineLevel="0" collapsed="false">
      <c r="A161" s="19" t="n">
        <f aca="false">Narxlar!A141</f>
        <v>45488</v>
      </c>
      <c r="B161" s="50" t="n">
        <f aca="false">Narxlar!B141/Narxlar!B$2</f>
        <v>1.118</v>
      </c>
      <c r="C161" s="50" t="n">
        <f aca="false">Narxlar!C141/Narxlar!C$2</f>
        <v>1.3212</v>
      </c>
      <c r="D161" s="50" t="n">
        <f aca="false">Narxlar!D141/Narxlar!D$2</f>
        <v>1.36516304347826</v>
      </c>
      <c r="E161" s="50" t="n">
        <f aca="false">Narxlar!E141/Narxlar!E$2</f>
        <v>1.24383561643836</v>
      </c>
      <c r="F161" s="50" t="n">
        <f aca="false">Narxlar!F141/Narxlar!F$2</f>
        <v>1.1495703125</v>
      </c>
      <c r="G161" s="50" t="n">
        <f aca="false">G160*(1+VaR!B143)</f>
        <v>1.28540775043414</v>
      </c>
      <c r="H161" s="31" t="n">
        <f aca="false">B161/MAX(B$22:B161)-1</f>
        <v>-0.090117438330634</v>
      </c>
      <c r="I161" s="31" t="n">
        <f aca="false">C161/MAX(C$22:C161)-1</f>
        <v>0</v>
      </c>
      <c r="J161" s="31" t="n">
        <f aca="false">D161/MAX(D$22:D161)-1</f>
        <v>-0.0396834499369193</v>
      </c>
      <c r="K161" s="31" t="n">
        <f aca="false">E161/MAX(E$22:E161)-1</f>
        <v>-0.0487166055526455</v>
      </c>
      <c r="L161" s="31" t="n">
        <f aca="false">F161/MAX(F$22:F161)-1</f>
        <v>-0.251475226370943</v>
      </c>
      <c r="M161" s="31" t="n">
        <f aca="false">G161/MAX(G$22:G161)-1</f>
        <v>-0.0571815645986028</v>
      </c>
    </row>
    <row r="162" customFormat="false" ht="15" hidden="false" customHeight="false" outlineLevel="0" collapsed="false">
      <c r="A162" s="19" t="n">
        <f aca="false">Narxlar!A142</f>
        <v>45489</v>
      </c>
      <c r="B162" s="50" t="n">
        <f aca="false">Narxlar!B142/Narxlar!B$2</f>
        <v>1.13226</v>
      </c>
      <c r="C162" s="50" t="n">
        <f aca="false">Narxlar!C142/Narxlar!C$2</f>
        <v>1.34008</v>
      </c>
      <c r="D162" s="50" t="n">
        <f aca="false">Narxlar!D142/Narxlar!D$2</f>
        <v>1.38413043478261</v>
      </c>
      <c r="E162" s="50" t="n">
        <f aca="false">Narxlar!E142/Narxlar!E$2</f>
        <v>1.25753424657534</v>
      </c>
      <c r="F162" s="50" t="n">
        <f aca="false">Narxlar!F142/Narxlar!F$2</f>
        <v>1.175390625</v>
      </c>
      <c r="G162" s="50" t="n">
        <f aca="false">G161*(1+VaR!B144)</f>
        <v>1.30469651443282</v>
      </c>
      <c r="H162" s="31" t="n">
        <f aca="false">B162/MAX(B$22:B162)-1</f>
        <v>-0.0785119595029015</v>
      </c>
      <c r="I162" s="31" t="n">
        <f aca="false">C162/MAX(C$22:C162)-1</f>
        <v>0</v>
      </c>
      <c r="J162" s="31" t="n">
        <f aca="false">D162/MAX(D$22:D162)-1</f>
        <v>-0.0263409412394388</v>
      </c>
      <c r="K162" s="31" t="n">
        <f aca="false">E162/MAX(E$22:E162)-1</f>
        <v>-0.0382399161864851</v>
      </c>
      <c r="L162" s="31" t="n">
        <f aca="false">F162/MAX(F$22:F162)-1</f>
        <v>-0.234662732729678</v>
      </c>
      <c r="M162" s="31" t="n">
        <f aca="false">G162/MAX(G$22:G162)-1</f>
        <v>-0.0430336786161794</v>
      </c>
    </row>
    <row r="163" customFormat="false" ht="15" hidden="false" customHeight="false" outlineLevel="0" collapsed="false">
      <c r="A163" s="19" t="n">
        <f aca="false">Narxlar!A143</f>
        <v>45490</v>
      </c>
      <c r="B163" s="50" t="n">
        <f aca="false">Narxlar!B143/Narxlar!B$2</f>
        <v>1.14011</v>
      </c>
      <c r="C163" s="50" t="n">
        <f aca="false">Narxlar!C143/Narxlar!C$2</f>
        <v>1.34104</v>
      </c>
      <c r="D163" s="50" t="n">
        <f aca="false">Narxlar!D143/Narxlar!D$2</f>
        <v>1.3866847826087</v>
      </c>
      <c r="E163" s="50" t="n">
        <f aca="false">Narxlar!E143/Narxlar!E$2</f>
        <v>1.26917808219178</v>
      </c>
      <c r="F163" s="50" t="n">
        <f aca="false">Narxlar!F143/Narxlar!F$2</f>
        <v>1.185703125</v>
      </c>
      <c r="G163" s="50" t="n">
        <f aca="false">G162*(1+VaR!B145)</f>
        <v>1.31088837763334</v>
      </c>
      <c r="H163" s="31" t="n">
        <f aca="false">B163/MAX(B$22:B163)-1</f>
        <v>-0.0721232492085325</v>
      </c>
      <c r="I163" s="31" t="n">
        <f aca="false">C163/MAX(C$22:C163)-1</f>
        <v>0</v>
      </c>
      <c r="J163" s="31" t="n">
        <f aca="false">D163/MAX(D$22:D163)-1</f>
        <v>-0.0245440990939327</v>
      </c>
      <c r="K163" s="31" t="n">
        <f aca="false">E163/MAX(E$22:E163)-1</f>
        <v>-0.0293347302252489</v>
      </c>
      <c r="L163" s="31" t="n">
        <f aca="false">F163/MAX(F$22:F163)-1</f>
        <v>-0.227947909248143</v>
      </c>
      <c r="M163" s="31" t="n">
        <f aca="false">G163/MAX(G$22:G163)-1</f>
        <v>-0.0384920825561284</v>
      </c>
    </row>
    <row r="164" customFormat="false" ht="15" hidden="false" customHeight="false" outlineLevel="0" collapsed="false">
      <c r="A164" s="19" t="n">
        <f aca="false">Narxlar!A144</f>
        <v>45491</v>
      </c>
      <c r="B164" s="50" t="n">
        <f aca="false">Narxlar!B144/Narxlar!B$2</f>
        <v>1.14953</v>
      </c>
      <c r="C164" s="50" t="n">
        <f aca="false">Narxlar!C144/Narxlar!C$2</f>
        <v>1.35256</v>
      </c>
      <c r="D164" s="50" t="n">
        <f aca="false">Narxlar!D144/Narxlar!D$2</f>
        <v>1.4229347826087</v>
      </c>
      <c r="E164" s="50" t="n">
        <f aca="false">Narxlar!E144/Narxlar!E$2</f>
        <v>1.28164383561644</v>
      </c>
      <c r="F164" s="50" t="n">
        <f aca="false">Narxlar!F144/Narxlar!F$2</f>
        <v>1.2056640625</v>
      </c>
      <c r="G164" s="50" t="n">
        <f aca="false">G163*(1+VaR!B146)</f>
        <v>1.33046635149097</v>
      </c>
      <c r="H164" s="31" t="n">
        <f aca="false">B164/MAX(B$22:B164)-1</f>
        <v>-0.0644567968552897</v>
      </c>
      <c r="I164" s="31" t="n">
        <f aca="false">C164/MAX(C$22:C164)-1</f>
        <v>0</v>
      </c>
      <c r="J164" s="31" t="n">
        <f aca="false">D164/MAX(D$22:D164)-1</f>
        <v>0</v>
      </c>
      <c r="K164" s="31" t="n">
        <f aca="false">E164/MAX(E$22:E164)-1</f>
        <v>-0.019800942902043</v>
      </c>
      <c r="L164" s="31" t="n">
        <f aca="false">F164/MAX(F$22:F164)-1</f>
        <v>-0.214950656221386</v>
      </c>
      <c r="M164" s="31" t="n">
        <f aca="false">G164/MAX(G$22:G164)-1</f>
        <v>-0.0241320674756648</v>
      </c>
    </row>
    <row r="165" customFormat="false" ht="15" hidden="false" customHeight="false" outlineLevel="0" collapsed="false">
      <c r="A165" s="19" t="n">
        <f aca="false">Narxlar!A145</f>
        <v>45492</v>
      </c>
      <c r="B165" s="50" t="n">
        <f aca="false">Narxlar!B145/Narxlar!B$2</f>
        <v>1.14562</v>
      </c>
      <c r="C165" s="50" t="n">
        <f aca="false">Narxlar!C145/Narxlar!C$2</f>
        <v>1.33208</v>
      </c>
      <c r="D165" s="50" t="n">
        <f aca="false">Narxlar!D145/Narxlar!D$2</f>
        <v>1.41163043478261</v>
      </c>
      <c r="E165" s="50" t="n">
        <f aca="false">Narxlar!E145/Narxlar!E$2</f>
        <v>1.25890410958904</v>
      </c>
      <c r="F165" s="50" t="n">
        <f aca="false">Narxlar!F145/Narxlar!F$2</f>
        <v>1.21</v>
      </c>
      <c r="G165" s="50" t="n">
        <f aca="false">G164*(1+VaR!B147)</f>
        <v>1.31683573772518</v>
      </c>
      <c r="H165" s="31" t="n">
        <f aca="false">B165/MAX(B$22:B165)-1</f>
        <v>-0.0676389442757972</v>
      </c>
      <c r="I165" s="31" t="n">
        <f aca="false">C165/MAX(C$22:C165)-1</f>
        <v>-0.0151416573017094</v>
      </c>
      <c r="J165" s="31" t="n">
        <f aca="false">D165/MAX(D$22:D165)-1</f>
        <v>-0.00794438927507435</v>
      </c>
      <c r="K165" s="31" t="n">
        <f aca="false">E165/MAX(E$22:E165)-1</f>
        <v>-0.037192247249869</v>
      </c>
      <c r="L165" s="31" t="n">
        <f aca="false">F165/MAX(F$22:F165)-1</f>
        <v>-0.21212737816665</v>
      </c>
      <c r="M165" s="31" t="n">
        <f aca="false">G165/MAX(G$22:G165)-1</f>
        <v>-0.0341298241718399</v>
      </c>
    </row>
    <row r="166" customFormat="false" ht="15" hidden="false" customHeight="false" outlineLevel="0" collapsed="false">
      <c r="A166" s="19" t="n">
        <f aca="false">Narxlar!A146</f>
        <v>45495</v>
      </c>
      <c r="B166" s="50" t="n">
        <f aca="false">Narxlar!B146/Narxlar!B$2</f>
        <v>1.15357</v>
      </c>
      <c r="C166" s="50" t="n">
        <f aca="false">Narxlar!C146/Narxlar!C$2</f>
        <v>1.35976</v>
      </c>
      <c r="D166" s="50" t="n">
        <f aca="false">Narxlar!D146/Narxlar!D$2</f>
        <v>1.43760869565217</v>
      </c>
      <c r="E166" s="50" t="n">
        <f aca="false">Narxlar!E146/Narxlar!E$2</f>
        <v>1.26643835616438</v>
      </c>
      <c r="F166" s="50" t="n">
        <f aca="false">Narxlar!F146/Narxlar!F$2</f>
        <v>1.2061328125</v>
      </c>
      <c r="G166" s="50" t="n">
        <f aca="false">G165*(1+VaR!B148)</f>
        <v>1.33223165627474</v>
      </c>
      <c r="H166" s="31" t="n">
        <f aca="false">B166/MAX(B$22:B166)-1</f>
        <v>-0.0611688491369138</v>
      </c>
      <c r="I166" s="31" t="n">
        <f aca="false">C166/MAX(C$22:C166)-1</f>
        <v>0</v>
      </c>
      <c r="J166" s="31" t="n">
        <f aca="false">D166/MAX(D$22:D166)-1</f>
        <v>0</v>
      </c>
      <c r="K166" s="31" t="n">
        <f aca="false">E166/MAX(E$22:E166)-1</f>
        <v>-0.031430068098481</v>
      </c>
      <c r="L166" s="31" t="n">
        <f aca="false">F166/MAX(F$22:F166)-1</f>
        <v>-0.214645436972225</v>
      </c>
      <c r="M166" s="31" t="n">
        <f aca="false">G166/MAX(G$22:G166)-1</f>
        <v>-0.0228372550757222</v>
      </c>
    </row>
    <row r="167" customFormat="false" ht="15" hidden="false" customHeight="false" outlineLevel="0" collapsed="false">
      <c r="A167" s="19" t="n">
        <f aca="false">Narxlar!A147</f>
        <v>45496</v>
      </c>
      <c r="B167" s="50" t="n">
        <f aca="false">Narxlar!B147/Narxlar!B$2</f>
        <v>1.17668</v>
      </c>
      <c r="C167" s="50" t="n">
        <f aca="false">Narxlar!C147/Narxlar!C$2</f>
        <v>1.37456</v>
      </c>
      <c r="D167" s="50" t="n">
        <f aca="false">Narxlar!D147/Narxlar!D$2</f>
        <v>1.48108695652174</v>
      </c>
      <c r="E167" s="50" t="n">
        <f aca="false">Narxlar!E147/Narxlar!E$2</f>
        <v>1.28506849315068</v>
      </c>
      <c r="F167" s="50" t="n">
        <f aca="false">Narxlar!F147/Narxlar!F$2</f>
        <v>1.289375</v>
      </c>
      <c r="G167" s="50" t="n">
        <f aca="false">G166*(1+VaR!B149)</f>
        <v>1.36994309130738</v>
      </c>
      <c r="H167" s="31" t="n">
        <f aca="false">B167/MAX(B$22:B167)-1</f>
        <v>-0.0423608115696694</v>
      </c>
      <c r="I167" s="31" t="n">
        <f aca="false">C167/MAX(C$22:C167)-1</f>
        <v>0</v>
      </c>
      <c r="J167" s="31" t="n">
        <f aca="false">D167/MAX(D$22:D167)-1</f>
        <v>0</v>
      </c>
      <c r="K167" s="31" t="n">
        <f aca="false">E167/MAX(E$22:E167)-1</f>
        <v>-0.0171817705605031</v>
      </c>
      <c r="L167" s="31" t="n">
        <f aca="false">F167/MAX(F$22:F167)-1</f>
        <v>-0.16044358530878</v>
      </c>
      <c r="M167" s="31" t="n">
        <f aca="false">G167/MAX(G$22:G167)-1</f>
        <v>0</v>
      </c>
    </row>
    <row r="168" customFormat="false" ht="15" hidden="false" customHeight="false" outlineLevel="0" collapsed="false">
      <c r="A168" s="19" t="n">
        <f aca="false">Narxlar!A148</f>
        <v>45497</v>
      </c>
      <c r="B168" s="50" t="n">
        <f aca="false">Narxlar!B148/Narxlar!B$2</f>
        <v>1.15864</v>
      </c>
      <c r="C168" s="50" t="n">
        <f aca="false">Narxlar!C148/Narxlar!C$2</f>
        <v>1.36016</v>
      </c>
      <c r="D168" s="50" t="n">
        <f aca="false">Narxlar!D148/Narxlar!D$2</f>
        <v>1.47744565217391</v>
      </c>
      <c r="E168" s="50" t="n">
        <f aca="false">Narxlar!E148/Narxlar!E$2</f>
        <v>1.27479452054795</v>
      </c>
      <c r="F168" s="50" t="n">
        <f aca="false">Narxlar!F148/Narxlar!F$2</f>
        <v>1.2556640625</v>
      </c>
      <c r="G168" s="50" t="n">
        <f aca="false">G167*(1+VaR!B150)</f>
        <v>1.3548939734489</v>
      </c>
      <c r="H168" s="31" t="n">
        <f aca="false">B168/MAX(B$22:B168)-1</f>
        <v>-0.057042637520041</v>
      </c>
      <c r="I168" s="31" t="n">
        <f aca="false">C168/MAX(C$22:C168)-1</f>
        <v>-0.0104760796182051</v>
      </c>
      <c r="J168" s="31" t="n">
        <f aca="false">D168/MAX(D$22:D168)-1</f>
        <v>-0.00245853515338323</v>
      </c>
      <c r="K168" s="31" t="n">
        <f aca="false">E168/MAX(E$22:E168)-1</f>
        <v>-0.0250392875851232</v>
      </c>
      <c r="L168" s="31" t="n">
        <f aca="false">F168/MAX(F$22:F168)-1</f>
        <v>-0.182393936310917</v>
      </c>
      <c r="M168" s="31" t="n">
        <f aca="false">G168/MAX(G$22:G168)-1</f>
        <v>-0.0109852138778445</v>
      </c>
    </row>
    <row r="169" customFormat="false" ht="15" hidden="false" customHeight="false" outlineLevel="0" collapsed="false">
      <c r="A169" s="19" t="n">
        <f aca="false">Narxlar!A149</f>
        <v>45498</v>
      </c>
      <c r="B169" s="50" t="n">
        <f aca="false">Narxlar!B149/Narxlar!B$2</f>
        <v>1.15828</v>
      </c>
      <c r="C169" s="50" t="n">
        <f aca="false">Narxlar!C149/Narxlar!C$2</f>
        <v>1.37752</v>
      </c>
      <c r="D169" s="50" t="n">
        <f aca="false">Narxlar!D149/Narxlar!D$2</f>
        <v>1.48048913043478</v>
      </c>
      <c r="E169" s="50" t="n">
        <f aca="false">Narxlar!E149/Narxlar!E$2</f>
        <v>1.2558904109589</v>
      </c>
      <c r="F169" s="50" t="n">
        <f aca="false">Narxlar!F149/Narxlar!F$2</f>
        <v>1.2625390625</v>
      </c>
      <c r="G169" s="50" t="n">
        <f aca="false">G168*(1+VaR!B151)</f>
        <v>1.35724024831408</v>
      </c>
      <c r="H169" s="31" t="n">
        <f aca="false">B169/MAX(B$22:B169)-1</f>
        <v>-0.0573356229602924</v>
      </c>
      <c r="I169" s="31" t="n">
        <f aca="false">C169/MAX(C$22:C169)-1</f>
        <v>0</v>
      </c>
      <c r="J169" s="31" t="n">
        <f aca="false">D169/MAX(D$22:D169)-1</f>
        <v>-0.000403640099809088</v>
      </c>
      <c r="K169" s="31" t="n">
        <f aca="false">E169/MAX(E$22:E169)-1</f>
        <v>-0.0394971189104243</v>
      </c>
      <c r="L169" s="31" t="n">
        <f aca="false">F169/MAX(F$22:F169)-1</f>
        <v>-0.177917387323227</v>
      </c>
      <c r="M169" s="31" t="n">
        <f aca="false">G169/MAX(G$22:G169)-1</f>
        <v>-0.00927253334383427</v>
      </c>
    </row>
    <row r="170" customFormat="false" ht="15" hidden="false" customHeight="false" outlineLevel="0" collapsed="false">
      <c r="A170" s="19" t="n">
        <f aca="false">Narxlar!A150</f>
        <v>45499</v>
      </c>
      <c r="B170" s="50" t="n">
        <f aca="false">Narxlar!B150/Narxlar!B$2</f>
        <v>1.1472</v>
      </c>
      <c r="C170" s="50" t="n">
        <f aca="false">Narxlar!C150/Narxlar!C$2</f>
        <v>1.37128</v>
      </c>
      <c r="D170" s="50" t="n">
        <f aca="false">Narxlar!D150/Narxlar!D$2</f>
        <v>1.47260869565217</v>
      </c>
      <c r="E170" s="50" t="n">
        <f aca="false">Narxlar!E150/Narxlar!E$2</f>
        <v>1.24479452054795</v>
      </c>
      <c r="F170" s="50" t="n">
        <f aca="false">Narxlar!F150/Narxlar!F$2</f>
        <v>1.2226171875</v>
      </c>
      <c r="G170" s="50" t="n">
        <f aca="false">G169*(1+VaR!B152)</f>
        <v>1.3420086059794</v>
      </c>
      <c r="H170" s="31" t="n">
        <f aca="false">B170/MAX(B$22:B170)-1</f>
        <v>-0.0663530637324719</v>
      </c>
      <c r="I170" s="31" t="n">
        <f aca="false">C170/MAX(C$22:C170)-1</f>
        <v>-0.00452987978395958</v>
      </c>
      <c r="J170" s="31" t="n">
        <f aca="false">D170/MAX(D$22:D170)-1</f>
        <v>-0.00572435050638476</v>
      </c>
      <c r="K170" s="31" t="n">
        <f aca="false">E170/MAX(E$22:E170)-1</f>
        <v>-0.0479832372970143</v>
      </c>
      <c r="L170" s="31" t="n">
        <f aca="false">F170/MAX(F$22:F170)-1</f>
        <v>-0.203911893376742</v>
      </c>
      <c r="M170" s="31" t="n">
        <f aca="false">G170/MAX(G$22:G170)-1</f>
        <v>-0.0203909823008231</v>
      </c>
    </row>
    <row r="171" customFormat="false" ht="15" hidden="false" customHeight="false" outlineLevel="0" collapsed="false">
      <c r="A171" s="19" t="n">
        <f aca="false">Narxlar!A151</f>
        <v>45502</v>
      </c>
      <c r="B171" s="50" t="n">
        <f aca="false">Narxlar!B151/Narxlar!B$2</f>
        <v>1.16291</v>
      </c>
      <c r="C171" s="50" t="n">
        <f aca="false">Narxlar!C151/Narxlar!C$2</f>
        <v>1.37416</v>
      </c>
      <c r="D171" s="50" t="n">
        <f aca="false">Narxlar!D151/Narxlar!D$2</f>
        <v>1.50222826086957</v>
      </c>
      <c r="E171" s="50" t="n">
        <f aca="false">Narxlar!E151/Narxlar!E$2</f>
        <v>1.24602739726027</v>
      </c>
      <c r="F171" s="50" t="n">
        <f aca="false">Narxlar!F151/Narxlar!F$2</f>
        <v>1.2658203125</v>
      </c>
      <c r="G171" s="50" t="n">
        <f aca="false">G170*(1+VaR!B153)</f>
        <v>1.35941903472255</v>
      </c>
      <c r="H171" s="31" t="n">
        <f aca="false">B171/MAX(B$22:B171)-1</f>
        <v>-0.0535675046592823</v>
      </c>
      <c r="I171" s="31" t="n">
        <f aca="false">C171/MAX(C$22:C171)-1</f>
        <v>-0.0024391660375167</v>
      </c>
      <c r="J171" s="31" t="n">
        <f aca="false">D171/MAX(D$22:D171)-1</f>
        <v>0</v>
      </c>
      <c r="K171" s="31" t="n">
        <f aca="false">E171/MAX(E$22:E171)-1</f>
        <v>-0.0470403352540598</v>
      </c>
      <c r="L171" s="31" t="n">
        <f aca="false">F171/MAX(F$22:F171)-1</f>
        <v>-0.175780852579103</v>
      </c>
      <c r="M171" s="31" t="n">
        <f aca="false">G171/MAX(G$22:G171)-1</f>
        <v>-0.00768211223634785</v>
      </c>
    </row>
    <row r="172" customFormat="false" ht="15" hidden="false" customHeight="false" outlineLevel="0" collapsed="false">
      <c r="A172" s="19" t="n">
        <f aca="false">Narxlar!A152</f>
        <v>45503</v>
      </c>
      <c r="B172" s="50" t="n">
        <f aca="false">Narxlar!B152/Narxlar!B$2</f>
        <v>1.17389</v>
      </c>
      <c r="C172" s="50" t="n">
        <f aca="false">Narxlar!C152/Narxlar!C$2</f>
        <v>1.38448</v>
      </c>
      <c r="D172" s="50" t="n">
        <f aca="false">Narxlar!D152/Narxlar!D$2</f>
        <v>1.51554347826087</v>
      </c>
      <c r="E172" s="50" t="n">
        <f aca="false">Narxlar!E152/Narxlar!E$2</f>
        <v>1.24356164383562</v>
      </c>
      <c r="F172" s="50" t="n">
        <f aca="false">Narxlar!F152/Narxlar!F$2</f>
        <v>1.3062109375</v>
      </c>
      <c r="G172" s="50" t="n">
        <f aca="false">G171*(1+VaR!B154)</f>
        <v>1.37349708601671</v>
      </c>
      <c r="H172" s="31" t="n">
        <f aca="false">B172/MAX(B$22:B172)-1</f>
        <v>-0.0446314487316172</v>
      </c>
      <c r="I172" s="31" t="n">
        <f aca="false">C172/MAX(C$22:C172)-1</f>
        <v>0</v>
      </c>
      <c r="J172" s="31" t="n">
        <f aca="false">D172/MAX(D$22:D172)-1</f>
        <v>0</v>
      </c>
      <c r="K172" s="31" t="n">
        <f aca="false">E172/MAX(E$22:E172)-1</f>
        <v>-0.0489261393399686</v>
      </c>
      <c r="L172" s="31" t="n">
        <f aca="false">F172/MAX(F$22:F172)-1</f>
        <v>-0.149481127276427</v>
      </c>
      <c r="M172" s="31" t="n">
        <f aca="false">G172/MAX(G$22:G172)-1</f>
        <v>0</v>
      </c>
    </row>
    <row r="173" customFormat="false" ht="15" hidden="false" customHeight="false" outlineLevel="0" collapsed="false">
      <c r="A173" s="19" t="n">
        <f aca="false">Narxlar!A153</f>
        <v>45504</v>
      </c>
      <c r="B173" s="50" t="n">
        <f aca="false">Narxlar!B153/Narxlar!B$2</f>
        <v>1.16958</v>
      </c>
      <c r="C173" s="50" t="n">
        <f aca="false">Narxlar!C153/Narxlar!C$2</f>
        <v>1.39136</v>
      </c>
      <c r="D173" s="50" t="n">
        <f aca="false">Narxlar!D153/Narxlar!D$2</f>
        <v>1.51641304347826</v>
      </c>
      <c r="E173" s="50" t="n">
        <f aca="false">Narxlar!E153/Narxlar!E$2</f>
        <v>1.24082191780822</v>
      </c>
      <c r="F173" s="50" t="n">
        <f aca="false">Narxlar!F153/Narxlar!F$2</f>
        <v>1.3413671875</v>
      </c>
      <c r="G173" s="50" t="n">
        <f aca="false">G172*(1+VaR!B155)</f>
        <v>1.38237867797145</v>
      </c>
      <c r="H173" s="31" t="n">
        <f aca="false">B173/MAX(B$22:B173)-1</f>
        <v>-0.0481391355301818</v>
      </c>
      <c r="I173" s="31" t="n">
        <f aca="false">C173/MAX(C$22:C173)-1</f>
        <v>0</v>
      </c>
      <c r="J173" s="31" t="n">
        <f aca="false">D173/MAX(D$22:D173)-1</f>
        <v>0</v>
      </c>
      <c r="K173" s="31" t="n">
        <f aca="false">E173/MAX(E$22:E173)-1</f>
        <v>-0.0510214772132007</v>
      </c>
      <c r="L173" s="31" t="n">
        <f aca="false">F173/MAX(F$22:F173)-1</f>
        <v>-0.126589683589379</v>
      </c>
      <c r="M173" s="31" t="n">
        <f aca="false">G173/MAX(G$22:G173)-1</f>
        <v>0</v>
      </c>
    </row>
    <row r="174" customFormat="false" ht="15" hidden="false" customHeight="false" outlineLevel="0" collapsed="false">
      <c r="A174" s="19" t="n">
        <f aca="false">Narxlar!A154</f>
        <v>45505</v>
      </c>
      <c r="B174" s="50" t="n">
        <f aca="false">Narxlar!B154/Narxlar!B$2</f>
        <v>1.16762</v>
      </c>
      <c r="C174" s="50" t="n">
        <f aca="false">Narxlar!C154/Narxlar!C$2</f>
        <v>1.37656</v>
      </c>
      <c r="D174" s="50" t="n">
        <f aca="false">Narxlar!D154/Narxlar!D$2</f>
        <v>1.50625</v>
      </c>
      <c r="E174" s="50" t="n">
        <f aca="false">Narxlar!E154/Narxlar!E$2</f>
        <v>1.23630136986301</v>
      </c>
      <c r="F174" s="50" t="n">
        <f aca="false">Narxlar!F154/Narxlar!F$2</f>
        <v>1.3289453125</v>
      </c>
      <c r="G174" s="50" t="n">
        <f aca="false">G173*(1+VaR!B156)</f>
        <v>1.37183175340083</v>
      </c>
      <c r="H174" s="31" t="n">
        <f aca="false">B174/MAX(B$22:B174)-1</f>
        <v>-0.0497342784826611</v>
      </c>
      <c r="I174" s="31" t="n">
        <f aca="false">C174/MAX(C$22:C174)-1</f>
        <v>-0.0106370745170192</v>
      </c>
      <c r="J174" s="31" t="n">
        <f aca="false">D174/MAX(D$22:D174)-1</f>
        <v>-0.00670202852842083</v>
      </c>
      <c r="K174" s="31" t="n">
        <f aca="false">E174/MAX(E$22:E174)-1</f>
        <v>-0.0544787847040337</v>
      </c>
      <c r="L174" s="31" t="n">
        <f aca="false">F174/MAX(F$22:F174)-1</f>
        <v>-0.134677993692136</v>
      </c>
      <c r="M174" s="31" t="n">
        <f aca="false">G174/MAX(G$22:G174)-1</f>
        <v>-0.00762954806717087</v>
      </c>
    </row>
    <row r="175" customFormat="false" ht="15" hidden="false" customHeight="false" outlineLevel="0" collapsed="false">
      <c r="A175" s="19" t="n">
        <f aca="false">Narxlar!A155</f>
        <v>45506</v>
      </c>
      <c r="B175" s="50" t="n">
        <f aca="false">Narxlar!B155/Narxlar!B$2</f>
        <v>1.13715</v>
      </c>
      <c r="C175" s="50" t="n">
        <f aca="false">Narxlar!C155/Narxlar!C$2</f>
        <v>1.33744</v>
      </c>
      <c r="D175" s="50" t="n">
        <f aca="false">Narxlar!D155/Narxlar!D$2</f>
        <v>1.44239130434783</v>
      </c>
      <c r="E175" s="50" t="n">
        <f aca="false">Narxlar!E155/Narxlar!E$2</f>
        <v>1.19123287671233</v>
      </c>
      <c r="F175" s="50" t="n">
        <f aca="false">Narxlar!F155/Narxlar!F$2</f>
        <v>1.30546875</v>
      </c>
      <c r="G175" s="50" t="n">
        <f aca="false">G174*(1+VaR!B157)</f>
        <v>1.32824695890894</v>
      </c>
      <c r="H175" s="31" t="n">
        <f aca="false">B175/MAX(B$22:B175)-1</f>
        <v>-0.0745322406061543</v>
      </c>
      <c r="I175" s="31" t="n">
        <f aca="false">C175/MAX(C$22:C175)-1</f>
        <v>-0.0387534498620055</v>
      </c>
      <c r="J175" s="31" t="n">
        <f aca="false">D175/MAX(D$22:D175)-1</f>
        <v>-0.0488137051107447</v>
      </c>
      <c r="K175" s="31" t="n">
        <f aca="false">E175/MAX(E$22:E175)-1</f>
        <v>-0.0889470927187009</v>
      </c>
      <c r="L175" s="31" t="n">
        <f aca="false">F175/MAX(F$22:F175)-1</f>
        <v>-0.149964391087598</v>
      </c>
      <c r="M175" s="31" t="n">
        <f aca="false">G175/MAX(G$22:G175)-1</f>
        <v>-0.0391583868625233</v>
      </c>
    </row>
    <row r="176" customFormat="false" ht="15" hidden="false" customHeight="false" outlineLevel="0" collapsed="false">
      <c r="A176" s="19" t="n">
        <f aca="false">Narxlar!A156</f>
        <v>45509</v>
      </c>
      <c r="B176" s="50" t="n">
        <f aca="false">Narxlar!B156/Narxlar!B$2</f>
        <v>1.155</v>
      </c>
      <c r="C176" s="50" t="n">
        <f aca="false">Narxlar!C156/Narxlar!C$2</f>
        <v>1.3808</v>
      </c>
      <c r="D176" s="50" t="n">
        <f aca="false">Narxlar!D156/Narxlar!D$2</f>
        <v>1.45858695652174</v>
      </c>
      <c r="E176" s="50" t="n">
        <f aca="false">Narxlar!E156/Narxlar!E$2</f>
        <v>1.22054794520548</v>
      </c>
      <c r="F176" s="50" t="n">
        <f aca="false">Narxlar!F156/Narxlar!F$2</f>
        <v>1.3512890625</v>
      </c>
      <c r="G176" s="50" t="n">
        <f aca="false">G175*(1+VaR!B158)</f>
        <v>1.36238971965423</v>
      </c>
      <c r="H176" s="31" t="n">
        <f aca="false">B176/MAX(B$22:B176)-1</f>
        <v>-0.0600050458603599</v>
      </c>
      <c r="I176" s="31" t="n">
        <f aca="false">C176/MAX(C$22:C176)-1</f>
        <v>-0.00758969641214347</v>
      </c>
      <c r="J176" s="31" t="n">
        <f aca="false">D176/MAX(D$22:D176)-1</f>
        <v>-0.0381334671349723</v>
      </c>
      <c r="K176" s="31" t="n">
        <f aca="false">E176/MAX(E$22:E176)-1</f>
        <v>-0.0665269774751179</v>
      </c>
      <c r="L176" s="31" t="n">
        <f aca="false">F176/MAX(F$22:F176)-1</f>
        <v>-0.120129209482145</v>
      </c>
      <c r="M176" s="31" t="n">
        <f aca="false">G176/MAX(G$22:G176)-1</f>
        <v>-0.0144598282914395</v>
      </c>
    </row>
    <row r="177" customFormat="false" ht="15" hidden="false" customHeight="false" outlineLevel="0" collapsed="false">
      <c r="A177" s="19" t="n">
        <f aca="false">Narxlar!A157</f>
        <v>45510</v>
      </c>
      <c r="B177" s="50" t="n">
        <f aca="false">Narxlar!B157/Narxlar!B$2</f>
        <v>1.17702</v>
      </c>
      <c r="C177" s="50" t="n">
        <f aca="false">Narxlar!C157/Narxlar!C$2</f>
        <v>1.42096</v>
      </c>
      <c r="D177" s="50" t="n">
        <f aca="false">Narxlar!D157/Narxlar!D$2</f>
        <v>1.48978260869565</v>
      </c>
      <c r="E177" s="50" t="n">
        <f aca="false">Narxlar!E157/Narxlar!E$2</f>
        <v>1.23232876712329</v>
      </c>
      <c r="F177" s="50" t="n">
        <f aca="false">Narxlar!F157/Narxlar!F$2</f>
        <v>1.3728515625</v>
      </c>
      <c r="G177" s="50" t="n">
        <f aca="false">G176*(1+VaR!B159)</f>
        <v>1.3891970384216</v>
      </c>
      <c r="H177" s="31" t="n">
        <f aca="false">B177/MAX(B$22:B177)-1</f>
        <v>-0.0420841030983211</v>
      </c>
      <c r="I177" s="31" t="n">
        <f aca="false">C177/MAX(C$22:C177)-1</f>
        <v>0</v>
      </c>
      <c r="J177" s="31" t="n">
        <f aca="false">D177/MAX(D$22:D177)-1</f>
        <v>-0.0175614651279477</v>
      </c>
      <c r="K177" s="31" t="n">
        <f aca="false">E177/MAX(E$22:E177)-1</f>
        <v>-0.0575170246202201</v>
      </c>
      <c r="L177" s="31" t="n">
        <f aca="false">F177/MAX(F$22:F177)-1</f>
        <v>-0.106089124020755</v>
      </c>
      <c r="M177" s="31" t="n">
        <f aca="false">G177/MAX(G$22:G177)-1</f>
        <v>0</v>
      </c>
    </row>
    <row r="178" customFormat="false" ht="15" hidden="false" customHeight="false" outlineLevel="0" collapsed="false">
      <c r="A178" s="19" t="n">
        <f aca="false">Narxlar!A158</f>
        <v>45511</v>
      </c>
      <c r="B178" s="50" t="n">
        <f aca="false">Narxlar!B158/Narxlar!B$2</f>
        <v>1.16448</v>
      </c>
      <c r="C178" s="50" t="n">
        <f aca="false">Narxlar!C158/Narxlar!C$2</f>
        <v>1.40496</v>
      </c>
      <c r="D178" s="50" t="n">
        <f aca="false">Narxlar!D158/Narxlar!D$2</f>
        <v>1.45945652173913</v>
      </c>
      <c r="E178" s="50" t="n">
        <f aca="false">Narxlar!E158/Narxlar!E$2</f>
        <v>1.22027397260274</v>
      </c>
      <c r="F178" s="50" t="n">
        <f aca="false">Narxlar!F158/Narxlar!F$2</f>
        <v>1.3394921875</v>
      </c>
      <c r="G178" s="50" t="n">
        <f aca="false">G177*(1+VaR!B160)</f>
        <v>1.36728605635561</v>
      </c>
      <c r="H178" s="31" t="n">
        <f aca="false">B178/MAX(B$22:B178)-1</f>
        <v>-0.0522897626004086</v>
      </c>
      <c r="I178" s="31" t="n">
        <f aca="false">C178/MAX(C$22:C178)-1</f>
        <v>-0.0112599932440041</v>
      </c>
      <c r="J178" s="31" t="n">
        <f aca="false">D178/MAX(D$22:D178)-1</f>
        <v>-0.0375600315389577</v>
      </c>
      <c r="K178" s="31" t="n">
        <f aca="false">E178/MAX(E$22:E178)-1</f>
        <v>-0.0667365112624412</v>
      </c>
      <c r="L178" s="31" t="n">
        <f aca="false">F178/MAX(F$22:F178)-1</f>
        <v>-0.127810560586021</v>
      </c>
      <c r="M178" s="31" t="n">
        <f aca="false">G178/MAX(G$22:G178)-1</f>
        <v>-0.0157724077002677</v>
      </c>
    </row>
    <row r="179" customFormat="false" ht="15" hidden="false" customHeight="false" outlineLevel="0" collapsed="false">
      <c r="A179" s="19" t="n">
        <f aca="false">Narxlar!A159</f>
        <v>45512</v>
      </c>
      <c r="B179" s="50" t="n">
        <f aca="false">Narxlar!B159/Narxlar!B$2</f>
        <v>1.17091</v>
      </c>
      <c r="C179" s="50" t="n">
        <f aca="false">Narxlar!C159/Narxlar!C$2</f>
        <v>1.4244</v>
      </c>
      <c r="D179" s="50" t="n">
        <f aca="false">Narxlar!D159/Narxlar!D$2</f>
        <v>1.48320652173913</v>
      </c>
      <c r="E179" s="50" t="n">
        <f aca="false">Narxlar!E159/Narxlar!E$2</f>
        <v>1.21301369863014</v>
      </c>
      <c r="F179" s="50" t="n">
        <f aca="false">Narxlar!F159/Narxlar!F$2</f>
        <v>1.3642578125</v>
      </c>
      <c r="G179" s="50" t="n">
        <f aca="false">G178*(1+VaR!B161)</f>
        <v>1.38154635676182</v>
      </c>
      <c r="H179" s="31" t="n">
        <f aca="false">B179/MAX(B$22:B179)-1</f>
        <v>-0.047056717098142</v>
      </c>
      <c r="I179" s="31" t="n">
        <f aca="false">C179/MAX(C$22:C179)-1</f>
        <v>0</v>
      </c>
      <c r="J179" s="31" t="n">
        <f aca="false">D179/MAX(D$22:D179)-1</f>
        <v>-0.0218980718228083</v>
      </c>
      <c r="K179" s="31" t="n">
        <f aca="false">E179/MAX(E$22:E179)-1</f>
        <v>-0.0722891566265062</v>
      </c>
      <c r="L179" s="31" t="n">
        <f aca="false">F179/MAX(F$22:F179)-1</f>
        <v>-0.111684810255367</v>
      </c>
      <c r="M179" s="31" t="n">
        <f aca="false">G179/MAX(G$22:G179)-1</f>
        <v>-0.00550726891015974</v>
      </c>
    </row>
    <row r="180" customFormat="false" ht="15" hidden="false" customHeight="false" outlineLevel="0" collapsed="false">
      <c r="A180" s="19" t="n">
        <f aca="false">Narxlar!A160</f>
        <v>45513</v>
      </c>
      <c r="B180" s="50" t="n">
        <f aca="false">Narxlar!B160/Narxlar!B$2</f>
        <v>1.15787</v>
      </c>
      <c r="C180" s="50" t="n">
        <f aca="false">Narxlar!C160/Narxlar!C$2</f>
        <v>1.408</v>
      </c>
      <c r="D180" s="50" t="n">
        <f aca="false">Narxlar!D160/Narxlar!D$2</f>
        <v>1.46505434782609</v>
      </c>
      <c r="E180" s="50" t="n">
        <f aca="false">Narxlar!E160/Narxlar!E$2</f>
        <v>1.21904109589041</v>
      </c>
      <c r="F180" s="50" t="n">
        <f aca="false">Narxlar!F160/Narxlar!F$2</f>
        <v>1.333671875</v>
      </c>
      <c r="G180" s="50" t="n">
        <f aca="false">G179*(1+VaR!B162)</f>
        <v>1.36806887374409</v>
      </c>
      <c r="H180" s="31" t="n">
        <f aca="false">B180/MAX(B$22:B180)-1</f>
        <v>-0.0576693008228009</v>
      </c>
      <c r="I180" s="31" t="n">
        <f aca="false">C180/MAX(C$22:C180)-1</f>
        <v>-0.0115136197697278</v>
      </c>
      <c r="J180" s="31" t="n">
        <f aca="false">D180/MAX(D$22:D180)-1</f>
        <v>-0.0338685398896136</v>
      </c>
      <c r="K180" s="31" t="n">
        <f aca="false">E180/MAX(E$22:E180)-1</f>
        <v>-0.0676794133053955</v>
      </c>
      <c r="L180" s="31" t="n">
        <f aca="false">F180/MAX(F$22:F180)-1</f>
        <v>-0.131600366263099</v>
      </c>
      <c r="M180" s="31" t="n">
        <f aca="false">G180/MAX(G$22:G180)-1</f>
        <v>-0.0152089042037666</v>
      </c>
    </row>
    <row r="181" customFormat="false" ht="15" hidden="false" customHeight="false" outlineLevel="0" collapsed="false">
      <c r="A181" s="19" t="n">
        <f aca="false">Narxlar!A161</f>
        <v>45516</v>
      </c>
      <c r="B181" s="50" t="n">
        <f aca="false">Narxlar!B161/Narxlar!B$2</f>
        <v>1.15858</v>
      </c>
      <c r="C181" s="50" t="n">
        <f aca="false">Narxlar!C161/Narxlar!C$2</f>
        <v>1.41312</v>
      </c>
      <c r="D181" s="50" t="n">
        <f aca="false">Narxlar!D161/Narxlar!D$2</f>
        <v>1.4608152173913</v>
      </c>
      <c r="E181" s="50" t="n">
        <f aca="false">Narxlar!E161/Narxlar!E$2</f>
        <v>1.23109589041096</v>
      </c>
      <c r="F181" s="50" t="n">
        <f aca="false">Narxlar!F161/Narxlar!F$2</f>
        <v>1.3159765625</v>
      </c>
      <c r="G181" s="50" t="n">
        <f aca="false">G180*(1+VaR!B163)</f>
        <v>1.36832347082927</v>
      </c>
      <c r="H181" s="31" t="n">
        <f aca="false">B181/MAX(B$22:B181)-1</f>
        <v>-0.0570914684267497</v>
      </c>
      <c r="I181" s="31" t="n">
        <f aca="false">C181/MAX(C$22:C181)-1</f>
        <v>-0.00791912384161764</v>
      </c>
      <c r="J181" s="31" t="n">
        <f aca="false">D181/MAX(D$22:D181)-1</f>
        <v>-0.036664038420185</v>
      </c>
      <c r="K181" s="31" t="n">
        <f aca="false">E181/MAX(E$22:E181)-1</f>
        <v>-0.0584599266631745</v>
      </c>
      <c r="L181" s="31" t="n">
        <f aca="false">F181/MAX(F$22:F181)-1</f>
        <v>-0.143122392918914</v>
      </c>
      <c r="M181" s="31" t="n">
        <f aca="false">G181/MAX(G$22:G181)-1</f>
        <v>-0.0150256349639574</v>
      </c>
    </row>
    <row r="182" customFormat="false" ht="15" hidden="false" customHeight="false" outlineLevel="0" collapsed="false">
      <c r="A182" s="19" t="n">
        <f aca="false">Narxlar!A162</f>
        <v>45517</v>
      </c>
      <c r="B182" s="50" t="n">
        <f aca="false">Narxlar!B162/Narxlar!B$2</f>
        <v>1.15222</v>
      </c>
      <c r="C182" s="50" t="n">
        <f aca="false">Narxlar!C162/Narxlar!C$2</f>
        <v>1.38776</v>
      </c>
      <c r="D182" s="50" t="n">
        <f aca="false">Narxlar!D162/Narxlar!D$2</f>
        <v>1.45608695652174</v>
      </c>
      <c r="E182" s="50" t="n">
        <f aca="false">Narxlar!E162/Narxlar!E$2</f>
        <v>1.22452054794521</v>
      </c>
      <c r="F182" s="50" t="n">
        <f aca="false">Narxlar!F162/Narxlar!F$2</f>
        <v>1.3040234375</v>
      </c>
      <c r="G182" s="50" t="n">
        <f aca="false">G181*(1+VaR!B164)</f>
        <v>1.35553663555994</v>
      </c>
      <c r="H182" s="31" t="n">
        <f aca="false">B182/MAX(B$22:B182)-1</f>
        <v>-0.0622675445378562</v>
      </c>
      <c r="I182" s="31" t="n">
        <f aca="false">C182/MAX(C$22:C182)-1</f>
        <v>-0.0257231114855377</v>
      </c>
      <c r="J182" s="31" t="n">
        <f aca="false">D182/MAX(D$22:D182)-1</f>
        <v>-0.0397820944735143</v>
      </c>
      <c r="K182" s="31" t="n">
        <f aca="false">E182/MAX(E$22:E182)-1</f>
        <v>-0.0634887375589315</v>
      </c>
      <c r="L182" s="31" t="n">
        <f aca="false">F182/MAX(F$22:F182)-1</f>
        <v>-0.15090548377251</v>
      </c>
      <c r="M182" s="31" t="n">
        <f aca="false">G182/MAX(G$22:G182)-1</f>
        <v>-0.0242301141815805</v>
      </c>
    </row>
    <row r="183" customFormat="false" ht="15" hidden="false" customHeight="false" outlineLevel="0" collapsed="false">
      <c r="A183" s="19" t="n">
        <f aca="false">Narxlar!A163</f>
        <v>45518</v>
      </c>
      <c r="B183" s="50" t="n">
        <f aca="false">Narxlar!B163/Narxlar!B$2</f>
        <v>1.16096</v>
      </c>
      <c r="C183" s="50" t="n">
        <f aca="false">Narxlar!C163/Narxlar!C$2</f>
        <v>1.40704</v>
      </c>
      <c r="D183" s="50" t="n">
        <f aca="false">Narxlar!D163/Narxlar!D$2</f>
        <v>1.46086956521739</v>
      </c>
      <c r="E183" s="50" t="n">
        <f aca="false">Narxlar!E163/Narxlar!E$2</f>
        <v>1.22671232876712</v>
      </c>
      <c r="F183" s="50" t="n">
        <f aca="false">Narxlar!F163/Narxlar!F$2</f>
        <v>1.349765625</v>
      </c>
      <c r="G183" s="50" t="n">
        <f aca="false">G182*(1+VaR!B165)</f>
        <v>1.37241582175138</v>
      </c>
      <c r="H183" s="31" t="n">
        <f aca="false">B183/MAX(B$22:B183)-1</f>
        <v>-0.0551545091273104</v>
      </c>
      <c r="I183" s="31" t="n">
        <f aca="false">C183/MAX(C$22:C183)-1</f>
        <v>-0.0121875877562483</v>
      </c>
      <c r="J183" s="31" t="n">
        <f aca="false">D183/MAX(D$22:D183)-1</f>
        <v>-0.036628198695434</v>
      </c>
      <c r="K183" s="31" t="n">
        <f aca="false">E183/MAX(E$22:E183)-1</f>
        <v>-0.0618124672603457</v>
      </c>
      <c r="L183" s="31" t="n">
        <f aca="false">F183/MAX(F$22:F183)-1</f>
        <v>-0.121121172041917</v>
      </c>
      <c r="M183" s="31" t="n">
        <f aca="false">G183/MAX(G$22:G183)-1</f>
        <v>-0.0120797958864718</v>
      </c>
    </row>
    <row r="184" customFormat="false" ht="15" hidden="false" customHeight="false" outlineLevel="0" collapsed="false">
      <c r="A184" s="19" t="n">
        <f aca="false">Narxlar!A164</f>
        <v>45519</v>
      </c>
      <c r="B184" s="50" t="n">
        <f aca="false">Narxlar!B164/Narxlar!B$2</f>
        <v>1.1723</v>
      </c>
      <c r="C184" s="50" t="n">
        <f aca="false">Narxlar!C164/Narxlar!C$2</f>
        <v>1.41</v>
      </c>
      <c r="D184" s="50" t="n">
        <f aca="false">Narxlar!D164/Narxlar!D$2</f>
        <v>1.4845652173913</v>
      </c>
      <c r="E184" s="50" t="n">
        <f aca="false">Narxlar!E164/Narxlar!E$2</f>
        <v>1.23219178082192</v>
      </c>
      <c r="F184" s="50" t="n">
        <f aca="false">Narxlar!F164/Narxlar!F$2</f>
        <v>1.3498046875</v>
      </c>
      <c r="G184" s="50" t="n">
        <f aca="false">G183*(1+VaR!B166)</f>
        <v>1.38038771077687</v>
      </c>
      <c r="H184" s="31" t="n">
        <f aca="false">B184/MAX(B$22:B184)-1</f>
        <v>-0.045925467759394</v>
      </c>
      <c r="I184" s="31" t="n">
        <f aca="false">C184/MAX(C$22:C184)-1</f>
        <v>-0.0101095197978097</v>
      </c>
      <c r="J184" s="31" t="n">
        <f aca="false">D184/MAX(D$22:D184)-1</f>
        <v>-0.0210020787040355</v>
      </c>
      <c r="K184" s="31" t="n">
        <f aca="false">E184/MAX(E$22:E184)-1</f>
        <v>-0.0576217915138817</v>
      </c>
      <c r="L184" s="31" t="n">
        <f aca="false">F184/MAX(F$22:F184)-1</f>
        <v>-0.121095737104487</v>
      </c>
      <c r="M184" s="31" t="n">
        <f aca="false">G184/MAX(G$22:G184)-1</f>
        <v>-0.00634130897280083</v>
      </c>
    </row>
    <row r="185" customFormat="false" ht="15" hidden="false" customHeight="false" outlineLevel="0" collapsed="false">
      <c r="A185" s="19" t="n">
        <f aca="false">Narxlar!A165</f>
        <v>45520</v>
      </c>
      <c r="B185" s="50" t="n">
        <f aca="false">Narxlar!B165/Narxlar!B$2</f>
        <v>1.18452</v>
      </c>
      <c r="C185" s="50" t="n">
        <f aca="false">Narxlar!C165/Narxlar!C$2</f>
        <v>1.44064</v>
      </c>
      <c r="D185" s="50" t="n">
        <f aca="false">Narxlar!D165/Narxlar!D$2</f>
        <v>1.51429347826087</v>
      </c>
      <c r="E185" s="50" t="n">
        <f aca="false">Narxlar!E165/Narxlar!E$2</f>
        <v>1.24712328767123</v>
      </c>
      <c r="F185" s="50" t="n">
        <f aca="false">Narxlar!F165/Narxlar!F$2</f>
        <v>1.3904296875</v>
      </c>
      <c r="G185" s="50" t="n">
        <f aca="false">G184*(1+VaR!B167)</f>
        <v>1.40878811479305</v>
      </c>
      <c r="H185" s="31" t="n">
        <f aca="false">B185/MAX(B$22:B185)-1</f>
        <v>-0.035980239759752</v>
      </c>
      <c r="I185" s="31" t="n">
        <f aca="false">C185/MAX(C$22:C185)-1</f>
        <v>0</v>
      </c>
      <c r="J185" s="31" t="n">
        <f aca="false">D185/MAX(D$22:D185)-1</f>
        <v>-0.00139774926528569</v>
      </c>
      <c r="K185" s="31" t="n">
        <f aca="false">E185/MAX(E$22:E185)-1</f>
        <v>-0.0462022001047671</v>
      </c>
      <c r="L185" s="31" t="n">
        <f aca="false">F185/MAX(F$22:F185)-1</f>
        <v>-0.0946434021772308</v>
      </c>
      <c r="M185" s="31" t="n">
        <f aca="false">G185/MAX(G$22:G185)-1</f>
        <v>0</v>
      </c>
    </row>
    <row r="186" customFormat="false" ht="15" hidden="false" customHeight="false" outlineLevel="0" collapsed="false">
      <c r="A186" s="19" t="n">
        <f aca="false">Narxlar!A166</f>
        <v>45523</v>
      </c>
      <c r="B186" s="50" t="n">
        <f aca="false">Narxlar!B166/Narxlar!B$2</f>
        <v>1.18082</v>
      </c>
      <c r="C186" s="50" t="n">
        <f aca="false">Narxlar!C166/Narxlar!C$2</f>
        <v>1.47016</v>
      </c>
      <c r="D186" s="50" t="n">
        <f aca="false">Narxlar!D166/Narxlar!D$2</f>
        <v>1.51717391304348</v>
      </c>
      <c r="E186" s="50" t="n">
        <f aca="false">Narxlar!E166/Narxlar!E$2</f>
        <v>1.24054794520548</v>
      </c>
      <c r="F186" s="50" t="n">
        <f aca="false">Narxlar!F166/Narxlar!F$2</f>
        <v>1.3865234375</v>
      </c>
      <c r="G186" s="50" t="n">
        <f aca="false">G185*(1+VaR!B168)</f>
        <v>1.41546975777798</v>
      </c>
      <c r="H186" s="31" t="n">
        <f aca="false">B186/MAX(B$22:B186)-1</f>
        <v>-0.0389914790067795</v>
      </c>
      <c r="I186" s="31" t="n">
        <f aca="false">C186/MAX(C$22:C186)-1</f>
        <v>0</v>
      </c>
      <c r="J186" s="31" t="n">
        <f aca="false">D186/MAX(D$22:D186)-1</f>
        <v>0</v>
      </c>
      <c r="K186" s="31" t="n">
        <f aca="false">E186/MAX(E$22:E186)-1</f>
        <v>-0.0512310110005239</v>
      </c>
      <c r="L186" s="31" t="n">
        <f aca="false">F186/MAX(F$22:F186)-1</f>
        <v>-0.0971868959202361</v>
      </c>
      <c r="M186" s="31" t="n">
        <f aca="false">G186/MAX(G$22:G186)-1</f>
        <v>0</v>
      </c>
    </row>
    <row r="187" customFormat="false" ht="15" hidden="false" customHeight="false" outlineLevel="0" collapsed="false">
      <c r="A187" s="19" t="n">
        <f aca="false">Narxlar!A167</f>
        <v>45524</v>
      </c>
      <c r="B187" s="50" t="n">
        <f aca="false">Narxlar!B167/Narxlar!B$2</f>
        <v>1.20091</v>
      </c>
      <c r="C187" s="50" t="n">
        <f aca="false">Narxlar!C167/Narxlar!C$2</f>
        <v>1.468</v>
      </c>
      <c r="D187" s="50" t="n">
        <f aca="false">Narxlar!D167/Narxlar!D$2</f>
        <v>1.54467391304348</v>
      </c>
      <c r="E187" s="50" t="n">
        <f aca="false">Narxlar!E167/Narxlar!E$2</f>
        <v>1.24424657534247</v>
      </c>
      <c r="F187" s="50" t="n">
        <f aca="false">Narxlar!F167/Narxlar!F$2</f>
        <v>1.411484375</v>
      </c>
      <c r="G187" s="50" t="n">
        <f aca="false">G186*(1+VaR!B169)</f>
        <v>1.427411442631</v>
      </c>
      <c r="H187" s="31" t="n">
        <f aca="false">B187/MAX(B$22:B187)-1</f>
        <v>-0.0226412637438655</v>
      </c>
      <c r="I187" s="31" t="n">
        <f aca="false">C187/MAX(C$22:C187)-1</f>
        <v>-0.00146922783914671</v>
      </c>
      <c r="J187" s="31" t="n">
        <f aca="false">D187/MAX(D$22:D187)-1</f>
        <v>0</v>
      </c>
      <c r="K187" s="31" t="n">
        <f aca="false">E187/MAX(E$22:E187)-1</f>
        <v>-0.0484023048716605</v>
      </c>
      <c r="L187" s="31" t="n">
        <f aca="false">F187/MAX(F$22:F187)-1</f>
        <v>-0.0809339709024317</v>
      </c>
      <c r="M187" s="31" t="n">
        <f aca="false">G187/MAX(G$22:G187)-1</f>
        <v>0</v>
      </c>
    </row>
    <row r="188" customFormat="false" ht="15" hidden="false" customHeight="false" outlineLevel="0" collapsed="false">
      <c r="A188" s="19" t="n">
        <f aca="false">Narxlar!A168</f>
        <v>45525</v>
      </c>
      <c r="B188" s="50" t="n">
        <f aca="false">Narxlar!B168/Narxlar!B$2</f>
        <v>1.2117</v>
      </c>
      <c r="C188" s="50" t="n">
        <f aca="false">Narxlar!C168/Narxlar!C$2</f>
        <v>1.51464</v>
      </c>
      <c r="D188" s="50" t="n">
        <f aca="false">Narxlar!D168/Narxlar!D$2</f>
        <v>1.53652173913043</v>
      </c>
      <c r="E188" s="50" t="n">
        <f aca="false">Narxlar!E168/Narxlar!E$2</f>
        <v>1.25890410958904</v>
      </c>
      <c r="F188" s="50" t="n">
        <f aca="false">Narxlar!F168/Narxlar!F$2</f>
        <v>1.426875</v>
      </c>
      <c r="G188" s="50" t="n">
        <f aca="false">G187*(1+VaR!B170)</f>
        <v>1.44644992595287</v>
      </c>
      <c r="H188" s="31" t="n">
        <f aca="false">B188/MAX(B$22:B188)-1</f>
        <v>-0.0138598390207776</v>
      </c>
      <c r="I188" s="31" t="n">
        <f aca="false">C188/MAX(C$22:C188)-1</f>
        <v>0</v>
      </c>
      <c r="J188" s="31" t="n">
        <f aca="false">D188/MAX(D$22:D188)-1</f>
        <v>-0.00527760185771586</v>
      </c>
      <c r="K188" s="31" t="n">
        <f aca="false">E188/MAX(E$22:E188)-1</f>
        <v>-0.037192247249869</v>
      </c>
      <c r="L188" s="31" t="n">
        <f aca="false">F188/MAX(F$22:F188)-1</f>
        <v>-0.0709126055549905</v>
      </c>
      <c r="M188" s="31" t="n">
        <f aca="false">G188/MAX(G$22:G188)-1</f>
        <v>0</v>
      </c>
    </row>
    <row r="189" customFormat="false" ht="15" hidden="false" customHeight="false" outlineLevel="0" collapsed="false">
      <c r="A189" s="19" t="n">
        <f aca="false">Narxlar!A169</f>
        <v>45526</v>
      </c>
      <c r="B189" s="50" t="n">
        <f aca="false">Narxlar!B169/Narxlar!B$2</f>
        <v>1.21188</v>
      </c>
      <c r="C189" s="50" t="n">
        <f aca="false">Narxlar!C169/Narxlar!C$2</f>
        <v>1.47648</v>
      </c>
      <c r="D189" s="50" t="n">
        <f aca="false">Narxlar!D169/Narxlar!D$2</f>
        <v>1.53951086956522</v>
      </c>
      <c r="E189" s="50" t="n">
        <f aca="false">Narxlar!E169/Narxlar!E$2</f>
        <v>1.26890410958904</v>
      </c>
      <c r="F189" s="50" t="n">
        <f aca="false">Narxlar!F169/Narxlar!F$2</f>
        <v>1.399375</v>
      </c>
      <c r="G189" s="50" t="n">
        <f aca="false">G188*(1+VaR!B171)</f>
        <v>1.43351778436921</v>
      </c>
      <c r="H189" s="31" t="n">
        <f aca="false">B189/MAX(B$22:B189)-1</f>
        <v>-0.0137133463006519</v>
      </c>
      <c r="I189" s="31" t="n">
        <f aca="false">C189/MAX(C$22:C189)-1</f>
        <v>-0.0251941055300269</v>
      </c>
      <c r="J189" s="31" t="n">
        <f aca="false">D189/MAX(D$22:D189)-1</f>
        <v>-0.00334248117655345</v>
      </c>
      <c r="K189" s="31" t="n">
        <f aca="false">E189/MAX(E$22:E189)-1</f>
        <v>-0.0295442640125722</v>
      </c>
      <c r="L189" s="31" t="n">
        <f aca="false">F189/MAX(F$22:F189)-1</f>
        <v>-0.0888188015057483</v>
      </c>
      <c r="M189" s="31" t="n">
        <f aca="false">G189/MAX(G$22:G189)-1</f>
        <v>-0.00894060786455186</v>
      </c>
    </row>
    <row r="190" customFormat="false" ht="15" hidden="false" customHeight="false" outlineLevel="0" collapsed="false">
      <c r="A190" s="19" t="n">
        <f aca="false">Narxlar!A170</f>
        <v>45527</v>
      </c>
      <c r="B190" s="50" t="n">
        <f aca="false">Narxlar!B170/Narxlar!B$2</f>
        <v>1.21894</v>
      </c>
      <c r="C190" s="50" t="n">
        <f aca="false">Narxlar!C170/Narxlar!C$2</f>
        <v>1.5404</v>
      </c>
      <c r="D190" s="50" t="n">
        <f aca="false">Narxlar!D170/Narxlar!D$2</f>
        <v>1.53929347826087</v>
      </c>
      <c r="E190" s="50" t="n">
        <f aca="false">Narxlar!E170/Narxlar!E$2</f>
        <v>1.2758904109589</v>
      </c>
      <c r="F190" s="50" t="n">
        <f aca="false">Narxlar!F170/Narxlar!F$2</f>
        <v>1.4340625</v>
      </c>
      <c r="G190" s="50" t="n">
        <f aca="false">G189*(1+VaR!B172)</f>
        <v>1.46116512234029</v>
      </c>
      <c r="H190" s="31" t="n">
        <f aca="false">B190/MAX(B$22:B190)-1</f>
        <v>-0.00796757627794553</v>
      </c>
      <c r="I190" s="31" t="n">
        <f aca="false">C190/MAX(C$22:C190)-1</f>
        <v>0</v>
      </c>
      <c r="J190" s="31" t="n">
        <f aca="false">D190/MAX(D$22:D190)-1</f>
        <v>-0.00348321722609246</v>
      </c>
      <c r="K190" s="31" t="n">
        <f aca="false">E190/MAX(E$22:E190)-1</f>
        <v>-0.0242011524358303</v>
      </c>
      <c r="L190" s="31" t="n">
        <f aca="false">F190/MAX(F$22:F190)-1</f>
        <v>-0.0662325770678605</v>
      </c>
      <c r="M190" s="31" t="n">
        <f aca="false">G190/MAX(G$22:G190)-1</f>
        <v>0</v>
      </c>
    </row>
    <row r="191" customFormat="false" ht="15" hidden="false" customHeight="false" outlineLevel="0" collapsed="false">
      <c r="A191" s="19" t="n">
        <f aca="false">Narxlar!A171</f>
        <v>45530</v>
      </c>
      <c r="B191" s="50" t="n">
        <f aca="false">Narxlar!B171/Narxlar!B$2</f>
        <v>1.22097</v>
      </c>
      <c r="C191" s="50" t="n">
        <f aca="false">Narxlar!C171/Narxlar!C$2</f>
        <v>1.52232</v>
      </c>
      <c r="D191" s="50" t="n">
        <f aca="false">Narxlar!D171/Narxlar!D$2</f>
        <v>1.56885869565217</v>
      </c>
      <c r="E191" s="50" t="n">
        <f aca="false">Narxlar!E171/Narxlar!E$2</f>
        <v>1.28397260273973</v>
      </c>
      <c r="F191" s="50" t="n">
        <f aca="false">Narxlar!F171/Narxlar!F$2</f>
        <v>1.4153515625</v>
      </c>
      <c r="G191" s="50" t="n">
        <f aca="false">G190*(1+VaR!B173)</f>
        <v>1.46153731681806</v>
      </c>
      <c r="H191" s="31" t="n">
        <f aca="false">B191/MAX(B$22:B191)-1</f>
        <v>-0.00631546393430615</v>
      </c>
      <c r="I191" s="31" t="n">
        <f aca="false">C191/MAX(C$22:C191)-1</f>
        <v>-0.0117372111139964</v>
      </c>
      <c r="J191" s="31" t="n">
        <f aca="false">D191/MAX(D$22:D191)-1</f>
        <v>0</v>
      </c>
      <c r="K191" s="31" t="n">
        <f aca="false">E191/MAX(E$22:E191)-1</f>
        <v>-0.0180199057097958</v>
      </c>
      <c r="L191" s="31" t="n">
        <f aca="false">F191/MAX(F$22:F191)-1</f>
        <v>-0.0784159120968564</v>
      </c>
      <c r="M191" s="31" t="n">
        <f aca="false">G191/MAX(G$22:G191)-1</f>
        <v>0</v>
      </c>
    </row>
    <row r="192" customFormat="false" ht="15" hidden="false" customHeight="false" outlineLevel="0" collapsed="false">
      <c r="A192" s="19" t="n">
        <f aca="false">Narxlar!A172</f>
        <v>45531</v>
      </c>
      <c r="B192" s="50" t="n">
        <f aca="false">Narxlar!B172/Narxlar!B$2</f>
        <v>1.21567</v>
      </c>
      <c r="C192" s="50" t="n">
        <f aca="false">Narxlar!C172/Narxlar!C$2</f>
        <v>1.51128</v>
      </c>
      <c r="D192" s="50" t="n">
        <f aca="false">Narxlar!D172/Narxlar!D$2</f>
        <v>1.58614130434783</v>
      </c>
      <c r="E192" s="50" t="n">
        <f aca="false">Narxlar!E172/Narxlar!E$2</f>
        <v>1.28260273972603</v>
      </c>
      <c r="F192" s="50" t="n">
        <f aca="false">Narxlar!F172/Narxlar!F$2</f>
        <v>1.4276953125</v>
      </c>
      <c r="G192" s="50" t="n">
        <f aca="false">G191*(1+VaR!B174)</f>
        <v>1.46454212909942</v>
      </c>
      <c r="H192" s="31" t="n">
        <f aca="false">B192/MAX(B$22:B192)-1</f>
        <v>-0.0106288606935617</v>
      </c>
      <c r="I192" s="31" t="n">
        <f aca="false">C192/MAX(C$22:C192)-1</f>
        <v>-0.0189041807322774</v>
      </c>
      <c r="J192" s="31" t="n">
        <f aca="false">D192/MAX(D$22:D192)-1</f>
        <v>0</v>
      </c>
      <c r="K192" s="31" t="n">
        <f aca="false">E192/MAX(E$22:E192)-1</f>
        <v>-0.0190675746464118</v>
      </c>
      <c r="L192" s="31" t="n">
        <f aca="false">F192/MAX(F$22:F192)-1</f>
        <v>-0.0703784718689593</v>
      </c>
      <c r="M192" s="31" t="n">
        <f aca="false">G192/MAX(G$22:G192)-1</f>
        <v>0</v>
      </c>
    </row>
    <row r="193" customFormat="false" ht="15" hidden="false" customHeight="false" outlineLevel="0" collapsed="false">
      <c r="A193" s="19" t="n">
        <f aca="false">Narxlar!A173</f>
        <v>45532</v>
      </c>
      <c r="B193" s="50" t="n">
        <f aca="false">Narxlar!B173/Narxlar!B$2</f>
        <v>1.21717</v>
      </c>
      <c r="C193" s="50" t="n">
        <f aca="false">Narxlar!C173/Narxlar!C$2</f>
        <v>1.56144</v>
      </c>
      <c r="D193" s="50" t="n">
        <f aca="false">Narxlar!D173/Narxlar!D$2</f>
        <v>1.56277173913043</v>
      </c>
      <c r="E193" s="50" t="n">
        <f aca="false">Narxlar!E173/Narxlar!E$2</f>
        <v>1.28095890410959</v>
      </c>
      <c r="F193" s="50" t="n">
        <f aca="false">Narxlar!F173/Narxlar!F$2</f>
        <v>1.458515625</v>
      </c>
      <c r="G193" s="50" t="n">
        <f aca="false">G192*(1+VaR!B175)</f>
        <v>1.47958415556731</v>
      </c>
      <c r="H193" s="31" t="n">
        <f aca="false">B193/MAX(B$22:B193)-1</f>
        <v>-0.00940808802584781</v>
      </c>
      <c r="I193" s="31" t="n">
        <f aca="false">C193/MAX(C$22:C193)-1</f>
        <v>0</v>
      </c>
      <c r="J193" s="31" t="n">
        <f aca="false">D193/MAX(D$22:D193)-1</f>
        <v>-0.0147335960253555</v>
      </c>
      <c r="K193" s="31" t="n">
        <f aca="false">E193/MAX(E$22:E193)-1</f>
        <v>-0.0203247773703511</v>
      </c>
      <c r="L193" s="31" t="n">
        <f aca="false">F193/MAX(F$22:F193)-1</f>
        <v>-0.0503103062366468</v>
      </c>
      <c r="M193" s="31" t="n">
        <f aca="false">G193/MAX(G$22:G193)-1</f>
        <v>0</v>
      </c>
    </row>
    <row r="194" customFormat="false" ht="15" hidden="false" customHeight="false" outlineLevel="0" collapsed="false">
      <c r="A194" s="19" t="n">
        <f aca="false">Narxlar!A174</f>
        <v>45533</v>
      </c>
      <c r="B194" s="50" t="n">
        <f aca="false">Narxlar!B174/Narxlar!B$2</f>
        <v>1.23006</v>
      </c>
      <c r="C194" s="50" t="n">
        <f aca="false">Narxlar!C174/Narxlar!C$2</f>
        <v>1.55744</v>
      </c>
      <c r="D194" s="50" t="n">
        <f aca="false">Narxlar!D174/Narxlar!D$2</f>
        <v>1.55630434782609</v>
      </c>
      <c r="E194" s="50" t="n">
        <f aca="false">Narxlar!E174/Narxlar!E$2</f>
        <v>1.28986301369863</v>
      </c>
      <c r="F194" s="50" t="n">
        <f aca="false">Narxlar!F174/Narxlar!F$2</f>
        <v>1.4760546875</v>
      </c>
      <c r="G194" s="50" t="n">
        <f aca="false">G193*(1+VaR!B176)</f>
        <v>1.48304596010484</v>
      </c>
      <c r="H194" s="31" t="n">
        <f aca="false">B194/MAX(B$22:B194)-1</f>
        <v>0</v>
      </c>
      <c r="I194" s="31" t="n">
        <f aca="false">C194/MAX(C$22:C194)-1</f>
        <v>-0.00256173788297986</v>
      </c>
      <c r="J194" s="31" t="n">
        <f aca="false">D194/MAX(D$22:D194)-1</f>
        <v>-0.0188110330649306</v>
      </c>
      <c r="K194" s="31" t="n">
        <f aca="false">E194/MAX(E$22:E194)-1</f>
        <v>-0.0135149292823468</v>
      </c>
      <c r="L194" s="31" t="n">
        <f aca="false">F194/MAX(F$22:F194)-1</f>
        <v>-0.0388900193305525</v>
      </c>
      <c r="M194" s="31" t="n">
        <f aca="false">G194/MAX(G$22:G194)-1</f>
        <v>0</v>
      </c>
    </row>
    <row r="195" customFormat="false" ht="15" hidden="false" customHeight="false" outlineLevel="0" collapsed="false">
      <c r="A195" s="19" t="n">
        <f aca="false">Narxlar!A175</f>
        <v>45534</v>
      </c>
      <c r="B195" s="50" t="n">
        <f aca="false">Narxlar!B175/Narxlar!B$2</f>
        <v>1.23268</v>
      </c>
      <c r="C195" s="50" t="n">
        <f aca="false">Narxlar!C175/Narxlar!C$2</f>
        <v>1.57336</v>
      </c>
      <c r="D195" s="50" t="n">
        <f aca="false">Narxlar!D175/Narxlar!D$2</f>
        <v>1.56722826086957</v>
      </c>
      <c r="E195" s="50" t="n">
        <f aca="false">Narxlar!E175/Narxlar!E$2</f>
        <v>1.27972602739726</v>
      </c>
      <c r="F195" s="50" t="n">
        <f aca="false">Narxlar!F175/Narxlar!F$2</f>
        <v>1.565078125</v>
      </c>
      <c r="G195" s="50" t="n">
        <f aca="false">G194*(1+VaR!B177)</f>
        <v>1.50517146878478</v>
      </c>
      <c r="H195" s="31" t="n">
        <f aca="false">B195/MAX(B$22:B195)-1</f>
        <v>0</v>
      </c>
      <c r="I195" s="31" t="n">
        <f aca="false">C195/MAX(C$22:C195)-1</f>
        <v>0</v>
      </c>
      <c r="J195" s="31" t="n">
        <f aca="false">D195/MAX(D$22:D195)-1</f>
        <v>-0.0119239335274971</v>
      </c>
      <c r="K195" s="31" t="n">
        <f aca="false">E195/MAX(E$22:E195)-1</f>
        <v>-0.0212676794133054</v>
      </c>
      <c r="L195" s="31" t="n">
        <f aca="false">F195/MAX(F$22:F195)-1</f>
        <v>0</v>
      </c>
      <c r="M195" s="31" t="n">
        <f aca="false">G195/MAX(G$22:G195)-1</f>
        <v>0</v>
      </c>
    </row>
    <row r="196" customFormat="false" ht="15" hidden="false" customHeight="false" outlineLevel="0" collapsed="false">
      <c r="A196" s="19" t="n">
        <f aca="false">Narxlar!A176</f>
        <v>45537</v>
      </c>
      <c r="B196" s="50" t="n">
        <f aca="false">Narxlar!B176/Narxlar!B$2</f>
        <v>1.23134</v>
      </c>
      <c r="C196" s="50" t="n">
        <f aca="false">Narxlar!C176/Narxlar!C$2</f>
        <v>1.57808</v>
      </c>
      <c r="D196" s="50" t="n">
        <f aca="false">Narxlar!D176/Narxlar!D$2</f>
        <v>1.55836956521739</v>
      </c>
      <c r="E196" s="50" t="n">
        <f aca="false">Narxlar!E176/Narxlar!E$2</f>
        <v>1.28657534246575</v>
      </c>
      <c r="F196" s="50" t="n">
        <f aca="false">Narxlar!F176/Narxlar!F$2</f>
        <v>1.5621484375</v>
      </c>
      <c r="G196" s="50" t="n">
        <f aca="false">G195*(1+VaR!B178)</f>
        <v>1.50584959463056</v>
      </c>
      <c r="H196" s="31" t="n">
        <f aca="false">B196/MAX(B$22:B196)-1</f>
        <v>-0.00108706233572387</v>
      </c>
      <c r="I196" s="31" t="n">
        <f aca="false">C196/MAX(C$22:C196)-1</f>
        <v>0</v>
      </c>
      <c r="J196" s="31" t="n">
        <f aca="false">D196/MAX(D$22:D196)-1</f>
        <v>-0.0175089943464108</v>
      </c>
      <c r="K196" s="31" t="n">
        <f aca="false">E196/MAX(E$22:E196)-1</f>
        <v>-0.0160293347302254</v>
      </c>
      <c r="L196" s="31" t="n">
        <f aca="false">F196/MAX(F$22:F196)-1</f>
        <v>-0.00187191134627862</v>
      </c>
      <c r="M196" s="31" t="n">
        <f aca="false">G196/MAX(G$22:G196)-1</f>
        <v>0</v>
      </c>
    </row>
    <row r="197" customFormat="false" ht="15" hidden="false" customHeight="false" outlineLevel="0" collapsed="false">
      <c r="A197" s="19" t="n">
        <f aca="false">Narxlar!A177</f>
        <v>45538</v>
      </c>
      <c r="B197" s="50" t="n">
        <f aca="false">Narxlar!B177/Narxlar!B$2</f>
        <v>1.23416</v>
      </c>
      <c r="C197" s="50" t="n">
        <f aca="false">Narxlar!C177/Narxlar!C$2</f>
        <v>1.57248</v>
      </c>
      <c r="D197" s="50" t="n">
        <f aca="false">Narxlar!D177/Narxlar!D$2</f>
        <v>1.56065217391304</v>
      </c>
      <c r="E197" s="50" t="n">
        <f aca="false">Narxlar!E177/Narxlar!E$2</f>
        <v>1.27808219178082</v>
      </c>
      <c r="F197" s="50" t="n">
        <f aca="false">Narxlar!F177/Narxlar!F$2</f>
        <v>1.55</v>
      </c>
      <c r="G197" s="50" t="n">
        <f aca="false">G196*(1+VaR!B179)</f>
        <v>1.49997062215605</v>
      </c>
      <c r="H197" s="31" t="n">
        <f aca="false">B197/MAX(B$22:B197)-1</f>
        <v>0</v>
      </c>
      <c r="I197" s="31" t="n">
        <f aca="false">C197/MAX(C$22:C197)-1</f>
        <v>-0.00354861603974443</v>
      </c>
      <c r="J197" s="31" t="n">
        <f aca="false">D197/MAX(D$22:D197)-1</f>
        <v>-0.0160698989206785</v>
      </c>
      <c r="K197" s="31" t="n">
        <f aca="false">E197/MAX(E$22:E197)-1</f>
        <v>-0.0225248821372448</v>
      </c>
      <c r="L197" s="31" t="n">
        <f aca="false">F197/MAX(F$22:F197)-1</f>
        <v>-0.00963410372884743</v>
      </c>
      <c r="M197" s="31" t="n">
        <f aca="false">G197/MAX(G$22:G197)-1</f>
        <v>-0.00390409008673154</v>
      </c>
    </row>
    <row r="198" customFormat="false" ht="15" hidden="false" customHeight="false" outlineLevel="0" collapsed="false">
      <c r="A198" s="19" t="n">
        <f aca="false">Narxlar!A178</f>
        <v>45539</v>
      </c>
      <c r="B198" s="50" t="n">
        <f aca="false">Narxlar!B178/Narxlar!B$2</f>
        <v>1.23744</v>
      </c>
      <c r="C198" s="50" t="n">
        <f aca="false">Narxlar!C178/Narxlar!C$2</f>
        <v>1.61064</v>
      </c>
      <c r="D198" s="50" t="n">
        <f aca="false">Narxlar!D178/Narxlar!D$2</f>
        <v>1.53858695652174</v>
      </c>
      <c r="E198" s="50" t="n">
        <f aca="false">Narxlar!E178/Narxlar!E$2</f>
        <v>1.29068493150685</v>
      </c>
      <c r="F198" s="50" t="n">
        <f aca="false">Narxlar!F178/Narxlar!F$2</f>
        <v>1.5944140625</v>
      </c>
      <c r="G198" s="50" t="n">
        <f aca="false">G197*(1+VaR!B180)</f>
        <v>1.51788269809153</v>
      </c>
      <c r="H198" s="31" t="n">
        <f aca="false">B198/MAX(B$22:B198)-1</f>
        <v>0</v>
      </c>
      <c r="I198" s="31" t="n">
        <f aca="false">C198/MAX(C$22:C198)-1</f>
        <v>0</v>
      </c>
      <c r="J198" s="31" t="n">
        <f aca="false">D198/MAX(D$22:D198)-1</f>
        <v>-0.0299811547027582</v>
      </c>
      <c r="K198" s="31" t="n">
        <f aca="false">E198/MAX(E$22:E198)-1</f>
        <v>-0.0128863279203771</v>
      </c>
      <c r="L198" s="31" t="n">
        <f aca="false">F198/MAX(F$22:F198)-1</f>
        <v>0</v>
      </c>
      <c r="M198" s="31" t="n">
        <f aca="false">G198/MAX(G$22:G198)-1</f>
        <v>0</v>
      </c>
    </row>
    <row r="199" customFormat="false" ht="15" hidden="false" customHeight="false" outlineLevel="0" collapsed="false">
      <c r="A199" s="19" t="n">
        <f aca="false">Narxlar!A179</f>
        <v>45540</v>
      </c>
      <c r="B199" s="50" t="n">
        <f aca="false">Narxlar!B179/Narxlar!B$2</f>
        <v>1.24347</v>
      </c>
      <c r="C199" s="50" t="n">
        <f aca="false">Narxlar!C179/Narxlar!C$2</f>
        <v>1.61976</v>
      </c>
      <c r="D199" s="50" t="n">
        <f aca="false">Narxlar!D179/Narxlar!D$2</f>
        <v>1.55739130434783</v>
      </c>
      <c r="E199" s="50" t="n">
        <f aca="false">Narxlar!E179/Narxlar!E$2</f>
        <v>1.32205479452055</v>
      </c>
      <c r="F199" s="50" t="n">
        <f aca="false">Narxlar!F179/Narxlar!F$2</f>
        <v>1.5498828125</v>
      </c>
      <c r="G199" s="50" t="n">
        <f aca="false">G198*(1+VaR!B181)</f>
        <v>1.52584316992504</v>
      </c>
      <c r="H199" s="31" t="n">
        <f aca="false">B199/MAX(B$22:B199)-1</f>
        <v>0</v>
      </c>
      <c r="I199" s="31" t="n">
        <f aca="false">C199/MAX(C$22:C199)-1</f>
        <v>0</v>
      </c>
      <c r="J199" s="31" t="n">
        <f aca="false">D199/MAX(D$22:D199)-1</f>
        <v>-0.0181257495288676</v>
      </c>
      <c r="K199" s="31" t="n">
        <f aca="false">E199/MAX(E$22:E199)-1</f>
        <v>0</v>
      </c>
      <c r="L199" s="31" t="n">
        <f aca="false">F199/MAX(F$22:F199)-1</f>
        <v>-0.0279295391626039</v>
      </c>
      <c r="M199" s="31" t="n">
        <f aca="false">G199/MAX(G$22:G199)-1</f>
        <v>0</v>
      </c>
    </row>
    <row r="200" customFormat="false" ht="15" hidden="false" customHeight="false" outlineLevel="0" collapsed="false">
      <c r="A200" s="19" t="n">
        <f aca="false">Narxlar!A180</f>
        <v>45541</v>
      </c>
      <c r="B200" s="50" t="n">
        <f aca="false">Narxlar!B180/Narxlar!B$2</f>
        <v>1.23146</v>
      </c>
      <c r="C200" s="50" t="n">
        <f aca="false">Narxlar!C180/Narxlar!C$2</f>
        <v>1.57312</v>
      </c>
      <c r="D200" s="50" t="n">
        <f aca="false">Narxlar!D180/Narxlar!D$2</f>
        <v>1.55277173913043</v>
      </c>
      <c r="E200" s="50" t="n">
        <f aca="false">Narxlar!E180/Narxlar!E$2</f>
        <v>1.31068493150685</v>
      </c>
      <c r="F200" s="50" t="n">
        <f aca="false">Narxlar!F180/Narxlar!F$2</f>
        <v>1.5141015625</v>
      </c>
      <c r="G200" s="50" t="n">
        <f aca="false">G199*(1+VaR!B182)</f>
        <v>1.50120508634704</v>
      </c>
      <c r="H200" s="31" t="n">
        <f aca="false">B200/MAX(B$22:B200)-1</f>
        <v>-0.00965845577295799</v>
      </c>
      <c r="I200" s="31" t="n">
        <f aca="false">C200/MAX(C$22:C200)-1</f>
        <v>-0.0287943892922409</v>
      </c>
      <c r="J200" s="31" t="n">
        <f aca="false">D200/MAX(D$22:D200)-1</f>
        <v>-0.0210382045571356</v>
      </c>
      <c r="K200" s="31" t="n">
        <f aca="false">E200/MAX(E$22:E200)-1</f>
        <v>-0.00860014506268769</v>
      </c>
      <c r="L200" s="31" t="n">
        <f aca="false">F200/MAX(F$22:F200)-1</f>
        <v>-0.0503711688757136</v>
      </c>
      <c r="M200" s="31" t="n">
        <f aca="false">G200/MAX(G$22:G200)-1</f>
        <v>-0.016147192623479</v>
      </c>
    </row>
    <row r="201" customFormat="false" ht="15" hidden="false" customHeight="false" outlineLevel="0" collapsed="false">
      <c r="A201" s="19" t="n">
        <f aca="false">Narxlar!A181</f>
        <v>45544</v>
      </c>
      <c r="B201" s="50" t="n">
        <f aca="false">Narxlar!B181/Narxlar!B$2</f>
        <v>1.24175</v>
      </c>
      <c r="C201" s="50" t="n">
        <f aca="false">Narxlar!C181/Narxlar!C$2</f>
        <v>1.55944</v>
      </c>
      <c r="D201" s="50" t="n">
        <f aca="false">Narxlar!D181/Narxlar!D$2</f>
        <v>1.56114130434783</v>
      </c>
      <c r="E201" s="50" t="n">
        <f aca="false">Narxlar!E181/Narxlar!E$2</f>
        <v>1.32383561643836</v>
      </c>
      <c r="F201" s="50" t="n">
        <f aca="false">Narxlar!F181/Narxlar!F$2</f>
        <v>1.5405859375</v>
      </c>
      <c r="G201" s="50" t="n">
        <f aca="false">G200*(1+VaR!B183)</f>
        <v>1.50832892726643</v>
      </c>
      <c r="H201" s="31" t="n">
        <f aca="false">B201/MAX(B$22:B201)-1</f>
        <v>-0.00138322597248042</v>
      </c>
      <c r="I201" s="31" t="n">
        <f aca="false">C201/MAX(C$22:C201)-1</f>
        <v>-0.037240084950857</v>
      </c>
      <c r="J201" s="31" t="n">
        <f aca="false">D201/MAX(D$22:D201)-1</f>
        <v>-0.01576152132945</v>
      </c>
      <c r="K201" s="31" t="n">
        <f aca="false">E201/MAX(E$22:E201)-1</f>
        <v>0</v>
      </c>
      <c r="L201" s="31" t="n">
        <f aca="false">F201/MAX(F$22:F201)-1</f>
        <v>-0.0337604429526913</v>
      </c>
      <c r="M201" s="31" t="n">
        <f aca="false">G201/MAX(G$22:G201)-1</f>
        <v>-0.0114784028947594</v>
      </c>
    </row>
    <row r="202" customFormat="false" ht="15" hidden="false" customHeight="false" outlineLevel="0" collapsed="false">
      <c r="A202" s="19" t="n">
        <f aca="false">Narxlar!A182</f>
        <v>45545</v>
      </c>
      <c r="B202" s="50" t="n">
        <f aca="false">Narxlar!B182/Narxlar!B$2</f>
        <v>1.25154</v>
      </c>
      <c r="C202" s="50" t="n">
        <f aca="false">Narxlar!C182/Narxlar!C$2</f>
        <v>1.58248</v>
      </c>
      <c r="D202" s="50" t="n">
        <f aca="false">Narxlar!D182/Narxlar!D$2</f>
        <v>1.55461956521739</v>
      </c>
      <c r="E202" s="50" t="n">
        <f aca="false">Narxlar!E182/Narxlar!E$2</f>
        <v>1.33671232876712</v>
      </c>
      <c r="F202" s="50" t="n">
        <f aca="false">Narxlar!F182/Narxlar!F$2</f>
        <v>1.56671875</v>
      </c>
      <c r="G202" s="50" t="n">
        <f aca="false">G201*(1+VaR!B184)</f>
        <v>1.5222240457472</v>
      </c>
      <c r="H202" s="31" t="n">
        <f aca="false">B202/MAX(B$22:B202)-1</f>
        <v>0</v>
      </c>
      <c r="I202" s="31" t="n">
        <f aca="false">C202/MAX(C$22:C202)-1</f>
        <v>-0.0230157554205561</v>
      </c>
      <c r="J202" s="31" t="n">
        <f aca="false">D202/MAX(D$22:D202)-1</f>
        <v>-0.0198732225458284</v>
      </c>
      <c r="K202" s="31" t="n">
        <f aca="false">E202/MAX(E$22:E202)-1</f>
        <v>0</v>
      </c>
      <c r="L202" s="31" t="n">
        <f aca="false">F202/MAX(F$22:F202)-1</f>
        <v>-0.0173702133914792</v>
      </c>
      <c r="M202" s="31" t="n">
        <f aca="false">G202/MAX(G$22:G202)-1</f>
        <v>-0.00237188477110784</v>
      </c>
    </row>
    <row r="203" customFormat="false" ht="15" hidden="false" customHeight="false" outlineLevel="0" collapsed="false">
      <c r="A203" s="19" t="n">
        <f aca="false">Narxlar!A183</f>
        <v>45546</v>
      </c>
      <c r="B203" s="50" t="n">
        <f aca="false">Narxlar!B183/Narxlar!B$2</f>
        <v>1.2589</v>
      </c>
      <c r="C203" s="50" t="n">
        <f aca="false">Narxlar!C183/Narxlar!C$2</f>
        <v>1.61</v>
      </c>
      <c r="D203" s="50" t="n">
        <f aca="false">Narxlar!D183/Narxlar!D$2</f>
        <v>1.59565217391304</v>
      </c>
      <c r="E203" s="50" t="n">
        <f aca="false">Narxlar!E183/Narxlar!E$2</f>
        <v>1.34821917808219</v>
      </c>
      <c r="F203" s="50" t="n">
        <f aca="false">Narxlar!F183/Narxlar!F$2</f>
        <v>1.6075</v>
      </c>
      <c r="G203" s="50" t="n">
        <f aca="false">G202*(1+VaR!B185)</f>
        <v>1.55141063470392</v>
      </c>
      <c r="H203" s="31" t="n">
        <f aca="false">B203/MAX(B$22:B203)-1</f>
        <v>0</v>
      </c>
      <c r="I203" s="31" t="n">
        <f aca="false">C203/MAX(C$22:C203)-1</f>
        <v>-0.00602558403714126</v>
      </c>
      <c r="J203" s="31" t="n">
        <f aca="false">D203/MAX(D$22:D203)-1</f>
        <v>0</v>
      </c>
      <c r="K203" s="31" t="n">
        <f aca="false">E203/MAX(E$22:E203)-1</f>
        <v>0</v>
      </c>
      <c r="L203" s="31" t="n">
        <f aca="false">F203/MAX(F$22:F203)-1</f>
        <v>0</v>
      </c>
      <c r="M203" s="31" t="n">
        <f aca="false">G203/MAX(G$22:G203)-1</f>
        <v>0</v>
      </c>
    </row>
    <row r="204" customFormat="false" ht="15" hidden="false" customHeight="false" outlineLevel="0" collapsed="false">
      <c r="A204" s="19" t="n">
        <f aca="false">Narxlar!A184</f>
        <v>45547</v>
      </c>
      <c r="B204" s="50" t="n">
        <f aca="false">Narxlar!B184/Narxlar!B$2</f>
        <v>1.25354</v>
      </c>
      <c r="C204" s="50" t="n">
        <f aca="false">Narxlar!C184/Narxlar!C$2</f>
        <v>1.59528</v>
      </c>
      <c r="D204" s="50" t="n">
        <f aca="false">Narxlar!D184/Narxlar!D$2</f>
        <v>1.59298913043478</v>
      </c>
      <c r="E204" s="50" t="n">
        <f aca="false">Narxlar!E184/Narxlar!E$2</f>
        <v>1.34109589041096</v>
      </c>
      <c r="F204" s="50" t="n">
        <f aca="false">Narxlar!F184/Narxlar!F$2</f>
        <v>1.5984765625</v>
      </c>
      <c r="G204" s="50" t="n">
        <f aca="false">G203*(1+VaR!B186)</f>
        <v>1.5427171060077</v>
      </c>
      <c r="H204" s="31" t="n">
        <f aca="false">B204/MAX(B$22:B204)-1</f>
        <v>-0.00425768528080095</v>
      </c>
      <c r="I204" s="31" t="n">
        <f aca="false">C204/MAX(C$22:C204)-1</f>
        <v>-0.0151133501259446</v>
      </c>
      <c r="J204" s="31" t="n">
        <f aca="false">D204/MAX(D$22:D204)-1</f>
        <v>-0.0016689373297003</v>
      </c>
      <c r="K204" s="31" t="n">
        <f aca="false">E204/MAX(E$22:E204)-1</f>
        <v>-0.00528347896768944</v>
      </c>
      <c r="L204" s="31" t="n">
        <f aca="false">F204/MAX(F$22:F204)-1</f>
        <v>-0.00561333592534996</v>
      </c>
      <c r="M204" s="31" t="n">
        <f aca="false">G204/MAX(G$22:G204)-1</f>
        <v>-0.00560362840227457</v>
      </c>
    </row>
    <row r="205" customFormat="false" ht="15" hidden="false" customHeight="false" outlineLevel="0" collapsed="false">
      <c r="A205" s="19" t="n">
        <f aca="false">Narxlar!A185</f>
        <v>45548</v>
      </c>
      <c r="B205" s="50" t="n">
        <f aca="false">Narxlar!B185/Narxlar!B$2</f>
        <v>1.24948</v>
      </c>
      <c r="C205" s="50" t="n">
        <f aca="false">Narxlar!C185/Narxlar!C$2</f>
        <v>1.58464</v>
      </c>
      <c r="D205" s="50" t="n">
        <f aca="false">Narxlar!D185/Narxlar!D$2</f>
        <v>1.58005434782609</v>
      </c>
      <c r="E205" s="50" t="n">
        <f aca="false">Narxlar!E185/Narxlar!E$2</f>
        <v>1.34191780821918</v>
      </c>
      <c r="F205" s="50" t="n">
        <f aca="false">Narxlar!F185/Narxlar!F$2</f>
        <v>1.5543359375</v>
      </c>
      <c r="G205" s="50" t="n">
        <f aca="false">G204*(1+VaR!B187)</f>
        <v>1.52821483025498</v>
      </c>
      <c r="H205" s="31" t="n">
        <f aca="false">B205/MAX(B$22:B205)-1</f>
        <v>-0.00748272301215358</v>
      </c>
      <c r="I205" s="31" t="n">
        <f aca="false">C205/MAX(C$22:C205)-1</f>
        <v>-0.0216822245270905</v>
      </c>
      <c r="J205" s="31" t="n">
        <f aca="false">D205/MAX(D$22:D205)-1</f>
        <v>-0.00977520435967305</v>
      </c>
      <c r="K205" s="31" t="n">
        <f aca="false">E205/MAX(E$22:E205)-1</f>
        <v>-0.00467384677910987</v>
      </c>
      <c r="L205" s="31" t="n">
        <f aca="false">F205/MAX(F$22:F205)-1</f>
        <v>-0.0330725116640745</v>
      </c>
      <c r="M205" s="31" t="n">
        <f aca="false">G205/MAX(G$22:G205)-1</f>
        <v>-0.0149514280294751</v>
      </c>
    </row>
    <row r="206" customFormat="false" ht="15" hidden="false" customHeight="false" outlineLevel="0" collapsed="false">
      <c r="A206" s="19" t="n">
        <f aca="false">Narxlar!A186</f>
        <v>45551</v>
      </c>
      <c r="B206" s="50" t="n">
        <f aca="false">Narxlar!B186/Narxlar!B$2</f>
        <v>1.25499</v>
      </c>
      <c r="C206" s="50" t="n">
        <f aca="false">Narxlar!C186/Narxlar!C$2</f>
        <v>1.60624</v>
      </c>
      <c r="D206" s="50" t="n">
        <f aca="false">Narxlar!D186/Narxlar!D$2</f>
        <v>1.62478260869565</v>
      </c>
      <c r="E206" s="50" t="n">
        <f aca="false">Narxlar!E186/Narxlar!E$2</f>
        <v>1.35904109589041</v>
      </c>
      <c r="F206" s="50" t="n">
        <f aca="false">Narxlar!F186/Narxlar!F$2</f>
        <v>1.572578125</v>
      </c>
      <c r="G206" s="50" t="n">
        <f aca="false">G205*(1+VaR!B188)</f>
        <v>1.55374153774286</v>
      </c>
      <c r="H206" s="31" t="n">
        <f aca="false">B206/MAX(B$22:B206)-1</f>
        <v>-0.00310588609103191</v>
      </c>
      <c r="I206" s="31" t="n">
        <f aca="false">C206/MAX(C$22:C206)-1</f>
        <v>-0.00834691559243361</v>
      </c>
      <c r="J206" s="31" t="n">
        <f aca="false">D206/MAX(D$22:D206)-1</f>
        <v>0</v>
      </c>
      <c r="K206" s="31" t="n">
        <f aca="false">E206/MAX(E$22:E206)-1</f>
        <v>0</v>
      </c>
      <c r="L206" s="31" t="n">
        <f aca="false">F206/MAX(F$22:F206)-1</f>
        <v>-0.0217243390357699</v>
      </c>
      <c r="M206" s="31" t="n">
        <f aca="false">G206/MAX(G$22:G206)-1</f>
        <v>0</v>
      </c>
    </row>
    <row r="207" customFormat="false" ht="15" hidden="false" customHeight="false" outlineLevel="0" collapsed="false">
      <c r="A207" s="19" t="n">
        <f aca="false">Narxlar!A187</f>
        <v>45552</v>
      </c>
      <c r="B207" s="50" t="n">
        <f aca="false">Narxlar!B187/Narxlar!B$2</f>
        <v>1.25383</v>
      </c>
      <c r="C207" s="50" t="n">
        <f aca="false">Narxlar!C187/Narxlar!C$2</f>
        <v>1.60344</v>
      </c>
      <c r="D207" s="50" t="n">
        <f aca="false">Narxlar!D187/Narxlar!D$2</f>
        <v>1.62516304347826</v>
      </c>
      <c r="E207" s="50" t="n">
        <f aca="false">Narxlar!E187/Narxlar!E$2</f>
        <v>1.36013698630137</v>
      </c>
      <c r="F207" s="50" t="n">
        <f aca="false">Narxlar!F187/Narxlar!F$2</f>
        <v>1.566953125</v>
      </c>
      <c r="G207" s="50" t="n">
        <f aca="false">G206*(1+VaR!B189)</f>
        <v>1.55222164077338</v>
      </c>
      <c r="H207" s="31" t="n">
        <f aca="false">B207/MAX(B$22:B207)-1</f>
        <v>-0.00402732544284701</v>
      </c>
      <c r="I207" s="31" t="n">
        <f aca="false">C207/MAX(C$22:C207)-1</f>
        <v>-0.0100755667506298</v>
      </c>
      <c r="J207" s="31" t="n">
        <f aca="false">D207/MAX(D$22:D207)-1</f>
        <v>0</v>
      </c>
      <c r="K207" s="31" t="n">
        <f aca="false">E207/MAX(E$22:E207)-1</f>
        <v>0</v>
      </c>
      <c r="L207" s="31" t="n">
        <f aca="false">F207/MAX(F$22:F207)-1</f>
        <v>-0.0252235614307932</v>
      </c>
      <c r="M207" s="31" t="n">
        <f aca="false">G207/MAX(G$22:G207)-1</f>
        <v>-0.0009782173756403</v>
      </c>
    </row>
    <row r="208" customFormat="false" ht="15" hidden="false" customHeight="false" outlineLevel="0" collapsed="false">
      <c r="A208" s="19" t="n">
        <f aca="false">Narxlar!A188</f>
        <v>45553</v>
      </c>
      <c r="B208" s="50" t="n">
        <f aca="false">Narxlar!B188/Narxlar!B$2</f>
        <v>1.24349</v>
      </c>
      <c r="C208" s="50" t="n">
        <f aca="false">Narxlar!C188/Narxlar!C$2</f>
        <v>1.62976</v>
      </c>
      <c r="D208" s="50" t="n">
        <f aca="false">Narxlar!D188/Narxlar!D$2</f>
        <v>1.61684782608696</v>
      </c>
      <c r="E208" s="50" t="n">
        <f aca="false">Narxlar!E188/Narxlar!E$2</f>
        <v>1.3458904109589</v>
      </c>
      <c r="F208" s="50" t="n">
        <f aca="false">Narxlar!F188/Narxlar!F$2</f>
        <v>1.552421875</v>
      </c>
      <c r="G208" s="50" t="n">
        <f aca="false">G207*(1+VaR!B190)</f>
        <v>1.55093635557652</v>
      </c>
      <c r="H208" s="31" t="n">
        <f aca="false">B208/MAX(B$22:B208)-1</f>
        <v>-0.0122408451823022</v>
      </c>
      <c r="I208" s="31" t="n">
        <f aca="false">C208/MAX(C$22:C208)-1</f>
        <v>0</v>
      </c>
      <c r="J208" s="31" t="n">
        <f aca="false">D208/MAX(D$22:D208)-1</f>
        <v>-0.00511654349061963</v>
      </c>
      <c r="K208" s="31" t="n">
        <f aca="false">E208/MAX(E$22:E208)-1</f>
        <v>-0.0104743680128916</v>
      </c>
      <c r="L208" s="31" t="n">
        <f aca="false">F208/MAX(F$22:F208)-1</f>
        <v>-0.0342632192846033</v>
      </c>
      <c r="M208" s="31" t="n">
        <f aca="false">G208/MAX(G$22:G208)-1</f>
        <v>-0.00180543681056244</v>
      </c>
    </row>
    <row r="209" customFormat="false" ht="15" hidden="false" customHeight="false" outlineLevel="0" collapsed="false">
      <c r="A209" s="19" t="n">
        <f aca="false">Narxlar!A189</f>
        <v>45554</v>
      </c>
      <c r="B209" s="50" t="n">
        <f aca="false">Narxlar!B189/Narxlar!B$2</f>
        <v>1.24154</v>
      </c>
      <c r="C209" s="50" t="n">
        <f aca="false">Narxlar!C189/Narxlar!C$2</f>
        <v>1.62024</v>
      </c>
      <c r="D209" s="50" t="n">
        <f aca="false">Narxlar!D189/Narxlar!D$2</f>
        <v>1.6258152173913</v>
      </c>
      <c r="E209" s="50" t="n">
        <f aca="false">Narxlar!E189/Narxlar!E$2</f>
        <v>1.35698630136986</v>
      </c>
      <c r="F209" s="50" t="n">
        <f aca="false">Narxlar!F189/Narxlar!F$2</f>
        <v>1.5999609375</v>
      </c>
      <c r="G209" s="50" t="n">
        <f aca="false">G208*(1+VaR!B191)</f>
        <v>1.56306424533129</v>
      </c>
      <c r="H209" s="31" t="n">
        <f aca="false">B209/MAX(B$22:B209)-1</f>
        <v>-0.0137898165064742</v>
      </c>
      <c r="I209" s="31" t="n">
        <f aca="false">C209/MAX(C$22:C209)-1</f>
        <v>-0.00584135087374837</v>
      </c>
      <c r="J209" s="31" t="n">
        <f aca="false">D209/MAX(D$22:D209)-1</f>
        <v>0</v>
      </c>
      <c r="K209" s="31" t="n">
        <f aca="false">E209/MAX(E$22:E209)-1</f>
        <v>-0.00231644677208176</v>
      </c>
      <c r="L209" s="31" t="n">
        <f aca="false">F209/MAX(F$22:F209)-1</f>
        <v>-0.00468993001555207</v>
      </c>
      <c r="M209" s="31" t="n">
        <f aca="false">G209/MAX(G$22:G209)-1</f>
        <v>0</v>
      </c>
    </row>
    <row r="210" customFormat="false" ht="15" hidden="false" customHeight="false" outlineLevel="0" collapsed="false">
      <c r="A210" s="19" t="n">
        <f aca="false">Narxlar!A190</f>
        <v>45555</v>
      </c>
      <c r="B210" s="50" t="n">
        <f aca="false">Narxlar!B190/Narxlar!B$2</f>
        <v>1.24435</v>
      </c>
      <c r="C210" s="50" t="n">
        <f aca="false">Narxlar!C190/Narxlar!C$2</f>
        <v>1.61808</v>
      </c>
      <c r="D210" s="50" t="n">
        <f aca="false">Narxlar!D190/Narxlar!D$2</f>
        <v>1.62625</v>
      </c>
      <c r="E210" s="50" t="n">
        <f aca="false">Narxlar!E190/Narxlar!E$2</f>
        <v>1.35575342465753</v>
      </c>
      <c r="F210" s="50" t="n">
        <f aca="false">Narxlar!F190/Narxlar!F$2</f>
        <v>1.61703125</v>
      </c>
      <c r="G210" s="50" t="n">
        <f aca="false">G209*(1+VaR!B192)</f>
        <v>1.56552391672628</v>
      </c>
      <c r="H210" s="31" t="n">
        <f aca="false">B210/MAX(B$22:B210)-1</f>
        <v>-0.011557709111129</v>
      </c>
      <c r="I210" s="31" t="n">
        <f aca="false">C210/MAX(C$22:C210)-1</f>
        <v>-0.00716669939132153</v>
      </c>
      <c r="J210" s="31" t="n">
        <f aca="false">D210/MAX(D$22:D210)-1</f>
        <v>0</v>
      </c>
      <c r="K210" s="31" t="n">
        <f aca="false">E210/MAX(E$22:E210)-1</f>
        <v>-0.00322288246550517</v>
      </c>
      <c r="L210" s="31" t="n">
        <f aca="false">F210/MAX(F$22:F210)-1</f>
        <v>0</v>
      </c>
      <c r="M210" s="31" t="n">
        <f aca="false">G210/MAX(G$22:G210)-1</f>
        <v>0</v>
      </c>
    </row>
    <row r="211" customFormat="false" ht="15" hidden="false" customHeight="false" outlineLevel="0" collapsed="false">
      <c r="A211" s="19" t="n">
        <f aca="false">Narxlar!A191</f>
        <v>45558</v>
      </c>
      <c r="B211" s="50" t="n">
        <f aca="false">Narxlar!B191/Narxlar!B$2</f>
        <v>1.24815</v>
      </c>
      <c r="C211" s="50" t="n">
        <f aca="false">Narxlar!C191/Narxlar!C$2</f>
        <v>1.63464</v>
      </c>
      <c r="D211" s="50" t="n">
        <f aca="false">Narxlar!D191/Narxlar!D$2</f>
        <v>1.62114130434783</v>
      </c>
      <c r="E211" s="50" t="n">
        <f aca="false">Narxlar!E191/Narxlar!E$2</f>
        <v>1.36191780821918</v>
      </c>
      <c r="F211" s="50" t="n">
        <f aca="false">Narxlar!F191/Narxlar!F$2</f>
        <v>1.6319140625</v>
      </c>
      <c r="G211" s="50" t="n">
        <f aca="false">G210*(1+VaR!B193)</f>
        <v>1.5737623644451</v>
      </c>
      <c r="H211" s="31" t="n">
        <f aca="false">B211/MAX(B$22:B211)-1</f>
        <v>-0.00853920088966564</v>
      </c>
      <c r="I211" s="31" t="n">
        <f aca="false">C211/MAX(C$22:C211)-1</f>
        <v>0</v>
      </c>
      <c r="J211" s="31" t="n">
        <f aca="false">D211/MAX(D$22:D211)-1</f>
        <v>-0.00314139625037602</v>
      </c>
      <c r="K211" s="31" t="n">
        <f aca="false">E211/MAX(E$22:E211)-1</f>
        <v>0</v>
      </c>
      <c r="L211" s="31" t="n">
        <f aca="false">F211/MAX(F$22:F211)-1</f>
        <v>0</v>
      </c>
      <c r="M211" s="31" t="n">
        <f aca="false">G211/MAX(G$22:G211)-1</f>
        <v>0</v>
      </c>
    </row>
    <row r="212" customFormat="false" ht="15" hidden="false" customHeight="false" outlineLevel="0" collapsed="false">
      <c r="A212" s="19" t="n">
        <f aca="false">Narxlar!A192</f>
        <v>45559</v>
      </c>
      <c r="B212" s="50" t="n">
        <f aca="false">Narxlar!B192/Narxlar!B$2</f>
        <v>1.24918</v>
      </c>
      <c r="C212" s="50" t="n">
        <f aca="false">Narxlar!C192/Narxlar!C$2</f>
        <v>1.6348</v>
      </c>
      <c r="D212" s="50" t="n">
        <f aca="false">Narxlar!D192/Narxlar!D$2</f>
        <v>1.62635869565217</v>
      </c>
      <c r="E212" s="50" t="n">
        <f aca="false">Narxlar!E192/Narxlar!E$2</f>
        <v>1.35945205479452</v>
      </c>
      <c r="F212" s="50" t="n">
        <f aca="false">Narxlar!F192/Narxlar!F$2</f>
        <v>1.609765625</v>
      </c>
      <c r="G212" s="50" t="n">
        <f aca="false">G211*(1+VaR!B194)</f>
        <v>1.57009063984022</v>
      </c>
      <c r="H212" s="31" t="n">
        <f aca="false">B212/MAX(B$22:B212)-1</f>
        <v>-0.00772102629279547</v>
      </c>
      <c r="I212" s="31" t="n">
        <f aca="false">C212/MAX(C$22:C212)-1</f>
        <v>0</v>
      </c>
      <c r="J212" s="31" t="n">
        <f aca="false">D212/MAX(D$22:D212)-1</f>
        <v>0</v>
      </c>
      <c r="K212" s="31" t="n">
        <f aca="false">E212/MAX(E$22:E212)-1</f>
        <v>-0.00181050090525037</v>
      </c>
      <c r="L212" s="31" t="n">
        <f aca="false">F212/MAX(F$22:F212)-1</f>
        <v>-0.0135720611819899</v>
      </c>
      <c r="M212" s="31" t="n">
        <f aca="false">G212/MAX(G$22:G212)-1</f>
        <v>-0.00233308705801583</v>
      </c>
    </row>
    <row r="213" customFormat="false" ht="15" hidden="false" customHeight="false" outlineLevel="0" collapsed="false">
      <c r="A213" s="19" t="n">
        <f aca="false">Narxlar!A193</f>
        <v>45560</v>
      </c>
      <c r="B213" s="50" t="n">
        <f aca="false">Narxlar!B193/Narxlar!B$2</f>
        <v>1.24533</v>
      </c>
      <c r="C213" s="50" t="n">
        <f aca="false">Narxlar!C193/Narxlar!C$2</f>
        <v>1.63704</v>
      </c>
      <c r="D213" s="50" t="n">
        <f aca="false">Narxlar!D193/Narxlar!D$2</f>
        <v>1.62315217391304</v>
      </c>
      <c r="E213" s="50" t="n">
        <f aca="false">Narxlar!E193/Narxlar!E$2</f>
        <v>1.35876712328767</v>
      </c>
      <c r="F213" s="50" t="n">
        <f aca="false">Narxlar!F193/Narxlar!F$2</f>
        <v>1.62375</v>
      </c>
      <c r="G213" s="50" t="n">
        <f aca="false">G212*(1+VaR!B195)</f>
        <v>1.57249232213547</v>
      </c>
      <c r="H213" s="31" t="n">
        <f aca="false">B213/MAX(B$22:B213)-1</f>
        <v>-0.010779251727699</v>
      </c>
      <c r="I213" s="31" t="n">
        <f aca="false">C213/MAX(C$22:C213)-1</f>
        <v>0</v>
      </c>
      <c r="J213" s="31" t="n">
        <f aca="false">D213/MAX(D$22:D213)-1</f>
        <v>-0.00197159565580618</v>
      </c>
      <c r="K213" s="31" t="n">
        <f aca="false">E213/MAX(E$22:E213)-1</f>
        <v>-0.00231341782337557</v>
      </c>
      <c r="L213" s="31" t="n">
        <f aca="false">F213/MAX(F$22:F213)-1</f>
        <v>-0.00500275271082173</v>
      </c>
      <c r="M213" s="31" t="n">
        <f aca="false">G213/MAX(G$22:G213)-1</f>
        <v>-0.000807010218524584</v>
      </c>
    </row>
    <row r="214" customFormat="false" ht="15" hidden="false" customHeight="false" outlineLevel="0" collapsed="false">
      <c r="A214" s="19" t="n">
        <f aca="false">Narxlar!A194</f>
        <v>45561</v>
      </c>
      <c r="B214" s="50" t="n">
        <f aca="false">Narxlar!B194/Narxlar!B$2</f>
        <v>1.23693</v>
      </c>
      <c r="C214" s="50" t="n">
        <f aca="false">Narxlar!C194/Narxlar!C$2</f>
        <v>1.60736</v>
      </c>
      <c r="D214" s="50" t="n">
        <f aca="false">Narxlar!D194/Narxlar!D$2</f>
        <v>1.62130434782609</v>
      </c>
      <c r="E214" s="50" t="n">
        <f aca="false">Narxlar!E194/Narxlar!E$2</f>
        <v>1.35547945205479</v>
      </c>
      <c r="F214" s="50" t="n">
        <f aca="false">Narxlar!F194/Narxlar!F$2</f>
        <v>1.60953125</v>
      </c>
      <c r="G214" s="50" t="n">
        <f aca="false">G213*(1+VaR!B196)</f>
        <v>1.55978668383276</v>
      </c>
      <c r="H214" s="31" t="n">
        <f aca="false">B214/MAX(B$22:B214)-1</f>
        <v>-0.01745174358567</v>
      </c>
      <c r="I214" s="31" t="n">
        <f aca="false">C214/MAX(C$22:C214)-1</f>
        <v>-0.018130283927088</v>
      </c>
      <c r="J214" s="31" t="n">
        <f aca="false">D214/MAX(D$22:D214)-1</f>
        <v>-0.00310776942355884</v>
      </c>
      <c r="K214" s="31" t="n">
        <f aca="false">E214/MAX(E$22:E214)-1</f>
        <v>-0.0047274190303761</v>
      </c>
      <c r="L214" s="31" t="n">
        <f aca="false">F214/MAX(F$22:F214)-1</f>
        <v>-0.0137156808770376</v>
      </c>
      <c r="M214" s="31" t="n">
        <f aca="false">G214/MAX(G$22:G214)-1</f>
        <v>-0.00888042624991225</v>
      </c>
    </row>
    <row r="215" customFormat="false" ht="15" hidden="false" customHeight="false" outlineLevel="0" collapsed="false">
      <c r="A215" s="19" t="n">
        <f aca="false">Narxlar!A195</f>
        <v>45562</v>
      </c>
      <c r="B215" s="50" t="n">
        <f aca="false">Narxlar!B195/Narxlar!B$2</f>
        <v>1.23477</v>
      </c>
      <c r="C215" s="50" t="n">
        <f aca="false">Narxlar!C195/Narxlar!C$2</f>
        <v>1.5688</v>
      </c>
      <c r="D215" s="50" t="n">
        <f aca="false">Narxlar!D195/Narxlar!D$2</f>
        <v>1.60929347826087</v>
      </c>
      <c r="E215" s="50" t="n">
        <f aca="false">Narxlar!E195/Narxlar!E$2</f>
        <v>1.35356164383562</v>
      </c>
      <c r="F215" s="50" t="n">
        <f aca="false">Narxlar!F195/Narxlar!F$2</f>
        <v>1.6233203125</v>
      </c>
      <c r="G215" s="50" t="n">
        <f aca="false">G214*(1+VaR!B197)</f>
        <v>1.5477931401156</v>
      </c>
      <c r="H215" s="31" t="n">
        <f aca="false">B215/MAX(B$22:B215)-1</f>
        <v>-0.0191675272062913</v>
      </c>
      <c r="I215" s="31" t="n">
        <f aca="false">C215/MAX(C$22:C215)-1</f>
        <v>-0.0416849924253532</v>
      </c>
      <c r="J215" s="31" t="n">
        <f aca="false">D215/MAX(D$22:D215)-1</f>
        <v>-0.0104928989139514</v>
      </c>
      <c r="K215" s="31" t="n">
        <f aca="false">E215/MAX(E$22:E215)-1</f>
        <v>-0.00613558640112655</v>
      </c>
      <c r="L215" s="31" t="n">
        <f aca="false">F215/MAX(F$22:F215)-1</f>
        <v>-0.00526605548507553</v>
      </c>
      <c r="M215" s="31" t="n">
        <f aca="false">G215/MAX(G$22:G215)-1</f>
        <v>-0.0165013631766839</v>
      </c>
    </row>
    <row r="216" customFormat="false" ht="15" hidden="false" customHeight="false" outlineLevel="0" collapsed="false">
      <c r="A216" s="19" t="n">
        <f aca="false">Narxlar!A196</f>
        <v>45565</v>
      </c>
      <c r="B216" s="50" t="n">
        <f aca="false">Narxlar!B196/Narxlar!B$2</f>
        <v>1.23805</v>
      </c>
      <c r="C216" s="50" t="n">
        <f aca="false">Narxlar!C196/Narxlar!C$2</f>
        <v>1.5916</v>
      </c>
      <c r="D216" s="50" t="n">
        <f aca="false">Narxlar!D196/Narxlar!D$2</f>
        <v>1.62288043478261</v>
      </c>
      <c r="E216" s="50" t="n">
        <f aca="false">Narxlar!E196/Narxlar!E$2</f>
        <v>1.35260273972603</v>
      </c>
      <c r="F216" s="50" t="n">
        <f aca="false">Narxlar!F196/Narxlar!F$2</f>
        <v>1.6356640625</v>
      </c>
      <c r="G216" s="50" t="n">
        <f aca="false">G215*(1+VaR!B198)</f>
        <v>1.55988824218595</v>
      </c>
      <c r="H216" s="31" t="n">
        <f aca="false">B216/MAX(B$22:B216)-1</f>
        <v>-0.0165620780046074</v>
      </c>
      <c r="I216" s="31" t="n">
        <f aca="false">C216/MAX(C$22:C216)-1</f>
        <v>-0.0277574158236819</v>
      </c>
      <c r="J216" s="31" t="n">
        <f aca="false">D216/MAX(D$22:D216)-1</f>
        <v>-0.00213868003341688</v>
      </c>
      <c r="K216" s="31" t="n">
        <f aca="false">E216/MAX(E$22:E216)-1</f>
        <v>-0.00683967008650166</v>
      </c>
      <c r="L216" s="31" t="n">
        <f aca="false">F216/MAX(F$22:F216)-1</f>
        <v>0</v>
      </c>
      <c r="M216" s="31" t="n">
        <f aca="false">G216/MAX(G$22:G216)-1</f>
        <v>-0.00881589404639738</v>
      </c>
    </row>
    <row r="217" customFormat="false" ht="15" hidden="false" customHeight="false" outlineLevel="0" collapsed="false">
      <c r="A217" s="19" t="n">
        <f aca="false">Narxlar!A197</f>
        <v>45566</v>
      </c>
      <c r="B217" s="50" t="n">
        <f aca="false">Narxlar!B197/Narxlar!B$2</f>
        <v>1.24385</v>
      </c>
      <c r="C217" s="50" t="n">
        <f aca="false">Narxlar!C197/Narxlar!C$2</f>
        <v>1.59488</v>
      </c>
      <c r="D217" s="50" t="n">
        <f aca="false">Narxlar!D197/Narxlar!D$2</f>
        <v>1.62739130434783</v>
      </c>
      <c r="E217" s="50" t="n">
        <f aca="false">Narxlar!E197/Narxlar!E$2</f>
        <v>1.36342465753425</v>
      </c>
      <c r="F217" s="50" t="n">
        <f aca="false">Narxlar!F197/Narxlar!F$2</f>
        <v>1.6407421875</v>
      </c>
      <c r="G217" s="50" t="n">
        <f aca="false">G216*(1+VaR!B199)</f>
        <v>1.56602524783277</v>
      </c>
      <c r="H217" s="31" t="n">
        <f aca="false">B217/MAX(B$22:B217)-1</f>
        <v>-0.011954881245532</v>
      </c>
      <c r="I217" s="31" t="n">
        <f aca="false">C217/MAX(C$22:C217)-1</f>
        <v>-0.0257537995406343</v>
      </c>
      <c r="J217" s="31" t="n">
        <f aca="false">D217/MAX(D$22:D217)-1</f>
        <v>0</v>
      </c>
      <c r="K217" s="31" t="n">
        <f aca="false">E217/MAX(E$22:E217)-1</f>
        <v>0</v>
      </c>
      <c r="L217" s="31" t="n">
        <f aca="false">F217/MAX(F$22:F217)-1</f>
        <v>0</v>
      </c>
      <c r="M217" s="31" t="n">
        <f aca="false">G217/MAX(G$22:G217)-1</f>
        <v>-0.00491631823656236</v>
      </c>
    </row>
    <row r="218" customFormat="false" ht="15" hidden="false" customHeight="false" outlineLevel="0" collapsed="false">
      <c r="A218" s="19" t="n">
        <f aca="false">Narxlar!A198</f>
        <v>45567</v>
      </c>
      <c r="B218" s="50" t="n">
        <f aca="false">Narxlar!B198/Narxlar!B$2</f>
        <v>1.24152</v>
      </c>
      <c r="C218" s="50" t="n">
        <f aca="false">Narxlar!C198/Narxlar!C$2</f>
        <v>1.57784</v>
      </c>
      <c r="D218" s="50" t="n">
        <f aca="false">Narxlar!D198/Narxlar!D$2</f>
        <v>1.61733695652174</v>
      </c>
      <c r="E218" s="50" t="n">
        <f aca="false">Narxlar!E198/Narxlar!E$2</f>
        <v>1.36630136986301</v>
      </c>
      <c r="F218" s="50" t="n">
        <f aca="false">Narxlar!F198/Narxlar!F$2</f>
        <v>1.6203515625</v>
      </c>
      <c r="G218" s="50" t="n">
        <f aca="false">G217*(1+VaR!B200)</f>
        <v>1.55552056306836</v>
      </c>
      <c r="H218" s="31" t="n">
        <f aca="false">B218/MAX(B$22:B218)-1</f>
        <v>-0.0138057033918502</v>
      </c>
      <c r="I218" s="31" t="n">
        <f aca="false">C218/MAX(C$22:C218)-1</f>
        <v>-0.0361628304745151</v>
      </c>
      <c r="J218" s="31" t="n">
        <f aca="false">D218/MAX(D$22:D218)-1</f>
        <v>-0.00617819930537011</v>
      </c>
      <c r="K218" s="31" t="n">
        <f aca="false">E218/MAX(E$22:E218)-1</f>
        <v>0</v>
      </c>
      <c r="L218" s="31" t="n">
        <f aca="false">F218/MAX(F$22:F218)-1</f>
        <v>-0.0124276837368759</v>
      </c>
      <c r="M218" s="31" t="n">
        <f aca="false">G218/MAX(G$22:G218)-1</f>
        <v>-0.0115912044847866</v>
      </c>
    </row>
    <row r="219" customFormat="false" ht="15" hidden="false" customHeight="false" outlineLevel="0" collapsed="false">
      <c r="A219" s="19" t="n">
        <f aca="false">Narxlar!A199</f>
        <v>45568</v>
      </c>
      <c r="B219" s="50" t="n">
        <f aca="false">Narxlar!B199/Narxlar!B$2</f>
        <v>1.24156</v>
      </c>
      <c r="C219" s="50" t="n">
        <f aca="false">Narxlar!C199/Narxlar!C$2</f>
        <v>1.57536</v>
      </c>
      <c r="D219" s="50" t="n">
        <f aca="false">Narxlar!D199/Narxlar!D$2</f>
        <v>1.60271739130435</v>
      </c>
      <c r="E219" s="50" t="n">
        <f aca="false">Narxlar!E199/Narxlar!E$2</f>
        <v>1.37904109589041</v>
      </c>
      <c r="F219" s="50" t="n">
        <f aca="false">Narxlar!F199/Narxlar!F$2</f>
        <v>1.6702734375</v>
      </c>
      <c r="G219" s="50" t="n">
        <f aca="false">G218*(1+VaR!B201)</f>
        <v>1.56448279860034</v>
      </c>
      <c r="H219" s="31" t="n">
        <f aca="false">B219/MAX(B$22:B219)-1</f>
        <v>-0.0137739296210979</v>
      </c>
      <c r="I219" s="31" t="n">
        <f aca="false">C219/MAX(C$22:C219)-1</f>
        <v>-0.0376777598592581</v>
      </c>
      <c r="J219" s="31" t="n">
        <f aca="false">D219/MAX(D$22:D219)-1</f>
        <v>-0.0151616350520973</v>
      </c>
      <c r="K219" s="31" t="n">
        <f aca="false">E219/MAX(E$22:E219)-1</f>
        <v>0</v>
      </c>
      <c r="L219" s="31" t="n">
        <f aca="false">F219/MAX(F$22:F219)-1</f>
        <v>0</v>
      </c>
      <c r="M219" s="31" t="n">
        <f aca="false">G219/MAX(G$22:G219)-1</f>
        <v>-0.00589642124783674</v>
      </c>
    </row>
    <row r="220" customFormat="false" ht="15" hidden="false" customHeight="false" outlineLevel="0" collapsed="false">
      <c r="A220" s="19" t="n">
        <f aca="false">Narxlar!A200</f>
        <v>45569</v>
      </c>
      <c r="B220" s="50" t="n">
        <f aca="false">Narxlar!B200/Narxlar!B$2</f>
        <v>1.24514</v>
      </c>
      <c r="C220" s="50" t="n">
        <f aca="false">Narxlar!C200/Narxlar!C$2</f>
        <v>1.58952</v>
      </c>
      <c r="D220" s="50" t="n">
        <f aca="false">Narxlar!D200/Narxlar!D$2</f>
        <v>1.6</v>
      </c>
      <c r="E220" s="50" t="n">
        <f aca="false">Narxlar!E200/Narxlar!E$2</f>
        <v>1.37178082191781</v>
      </c>
      <c r="F220" s="50" t="n">
        <f aca="false">Narxlar!F200/Narxlar!F$2</f>
        <v>1.59109375</v>
      </c>
      <c r="G220" s="50" t="n">
        <f aca="false">G219*(1+VaR!B202)</f>
        <v>1.55114625155784</v>
      </c>
      <c r="H220" s="31" t="n">
        <f aca="false">B220/MAX(B$22:B220)-1</f>
        <v>-0.010930177138772</v>
      </c>
      <c r="I220" s="31" t="n">
        <f aca="false">C220/MAX(C$22:C220)-1</f>
        <v>-0.0290280017592729</v>
      </c>
      <c r="J220" s="31" t="n">
        <f aca="false">D220/MAX(D$22:D220)-1</f>
        <v>-0.0168314186481432</v>
      </c>
      <c r="K220" s="31" t="n">
        <f aca="false">E220/MAX(E$22:E220)-1</f>
        <v>-0.00526472633356501</v>
      </c>
      <c r="L220" s="31" t="n">
        <f aca="false">F220/MAX(F$22:F220)-1</f>
        <v>-0.0474052246310718</v>
      </c>
      <c r="M220" s="31" t="n">
        <f aca="false">G220/MAX(G$22:G220)-1</f>
        <v>-0.0143707292779471</v>
      </c>
    </row>
    <row r="221" customFormat="false" ht="15" hidden="false" customHeight="false" outlineLevel="0" collapsed="false">
      <c r="A221" s="19" t="n">
        <f aca="false">Narxlar!A201</f>
        <v>45572</v>
      </c>
      <c r="B221" s="50" t="n">
        <f aca="false">Narxlar!B201/Narxlar!B$2</f>
        <v>1.24291</v>
      </c>
      <c r="C221" s="50" t="n">
        <f aca="false">Narxlar!C201/Narxlar!C$2</f>
        <v>1.5932</v>
      </c>
      <c r="D221" s="50" t="n">
        <f aca="false">Narxlar!D201/Narxlar!D$2</f>
        <v>1.59842391304348</v>
      </c>
      <c r="E221" s="50" t="n">
        <f aca="false">Narxlar!E201/Narxlar!E$2</f>
        <v>1.37150684931507</v>
      </c>
      <c r="F221" s="50" t="n">
        <f aca="false">Narxlar!F201/Narxlar!F$2</f>
        <v>1.594765625</v>
      </c>
      <c r="G221" s="50" t="n">
        <f aca="false">G220*(1+VaR!B203)</f>
        <v>1.55248009646335</v>
      </c>
      <c r="H221" s="31" t="n">
        <f aca="false">B221/MAX(B$22:B221)-1</f>
        <v>-0.0127015648582095</v>
      </c>
      <c r="I221" s="31" t="n">
        <f aca="false">C221/MAX(C$22:C221)-1</f>
        <v>-0.0267800420270733</v>
      </c>
      <c r="J221" s="31" t="n">
        <f aca="false">D221/MAX(D$22:D221)-1</f>
        <v>-0.0177998931338498</v>
      </c>
      <c r="K221" s="31" t="n">
        <f aca="false">E221/MAX(E$22:E221)-1</f>
        <v>-0.00546339525181294</v>
      </c>
      <c r="L221" s="31" t="n">
        <f aca="false">F221/MAX(F$22:F221)-1</f>
        <v>-0.0452068570359456</v>
      </c>
      <c r="M221" s="31" t="n">
        <f aca="false">G221/MAX(G$22:G221)-1</f>
        <v>-0.0135231776172595</v>
      </c>
    </row>
    <row r="222" customFormat="false" ht="15" hidden="false" customHeight="false" outlineLevel="0" collapsed="false">
      <c r="A222" s="19" t="n">
        <f aca="false">Narxlar!A202</f>
        <v>45573</v>
      </c>
      <c r="B222" s="50" t="n">
        <f aca="false">Narxlar!B202/Narxlar!B$2</f>
        <v>1.2454</v>
      </c>
      <c r="C222" s="50" t="n">
        <f aca="false">Narxlar!C202/Narxlar!C$2</f>
        <v>1.59608</v>
      </c>
      <c r="D222" s="50" t="n">
        <f aca="false">Narxlar!D202/Narxlar!D$2</f>
        <v>1.61</v>
      </c>
      <c r="E222" s="50" t="n">
        <f aca="false">Narxlar!E202/Narxlar!E$2</f>
        <v>1.39260273972603</v>
      </c>
      <c r="F222" s="50" t="n">
        <f aca="false">Narxlar!F202/Narxlar!F$2</f>
        <v>1.5783203125</v>
      </c>
      <c r="G222" s="50" t="n">
        <f aca="false">G221*(1+VaR!B204)</f>
        <v>1.55890088431883</v>
      </c>
      <c r="H222" s="31" t="n">
        <f aca="false">B222/MAX(B$22:B222)-1</f>
        <v>-0.0107236476288824</v>
      </c>
      <c r="I222" s="31" t="n">
        <f aca="false">C222/MAX(C$22:C222)-1</f>
        <v>-0.025020769193178</v>
      </c>
      <c r="J222" s="31" t="n">
        <f aca="false">D222/MAX(D$22:D222)-1</f>
        <v>-0.010686615014694</v>
      </c>
      <c r="K222" s="31" t="n">
        <f aca="false">E222/MAX(E$22:E222)-1</f>
        <v>0</v>
      </c>
      <c r="L222" s="31" t="n">
        <f aca="false">F222/MAX(F$22:F222)-1</f>
        <v>-0.0550527374353936</v>
      </c>
      <c r="M222" s="31" t="n">
        <f aca="false">G222/MAX(G$22:G222)-1</f>
        <v>-0.00944328093111901</v>
      </c>
    </row>
    <row r="223" customFormat="false" ht="15" hidden="false" customHeight="false" outlineLevel="0" collapsed="false">
      <c r="A223" s="19" t="n">
        <f aca="false">Narxlar!A203</f>
        <v>45574</v>
      </c>
      <c r="B223" s="50" t="n">
        <f aca="false">Narxlar!B203/Narxlar!B$2</f>
        <v>1.24835</v>
      </c>
      <c r="C223" s="50" t="n">
        <f aca="false">Narxlar!C203/Narxlar!C$2</f>
        <v>1.64752</v>
      </c>
      <c r="D223" s="50" t="n">
        <f aca="false">Narxlar!D203/Narxlar!D$2</f>
        <v>1.61239130434783</v>
      </c>
      <c r="E223" s="50" t="n">
        <f aca="false">Narxlar!E203/Narxlar!E$2</f>
        <v>1.39260273972603</v>
      </c>
      <c r="F223" s="50" t="n">
        <f aca="false">Narxlar!F203/Narxlar!F$2</f>
        <v>1.595234375</v>
      </c>
      <c r="G223" s="50" t="n">
        <f aca="false">G222*(1+VaR!B205)</f>
        <v>1.57789345383084</v>
      </c>
      <c r="H223" s="31" t="n">
        <f aca="false">B223/MAX(B$22:B223)-1</f>
        <v>-0.0083803320359046</v>
      </c>
      <c r="I223" s="31" t="n">
        <f aca="false">C223/MAX(C$22:C223)-1</f>
        <v>0</v>
      </c>
      <c r="J223" s="31" t="n">
        <f aca="false">D223/MAX(D$22:D223)-1</f>
        <v>-0.00921720545017357</v>
      </c>
      <c r="K223" s="31" t="n">
        <f aca="false">E223/MAX(E$22:E223)-1</f>
        <v>0</v>
      </c>
      <c r="L223" s="31" t="n">
        <f aca="false">F223/MAX(F$22:F223)-1</f>
        <v>-0.0449262143642274</v>
      </c>
      <c r="M223" s="31" t="n">
        <f aca="false">G223/MAX(G$22:G223)-1</f>
        <v>0</v>
      </c>
    </row>
    <row r="224" customFormat="false" ht="15" hidden="false" customHeight="false" outlineLevel="0" collapsed="false">
      <c r="A224" s="19" t="n">
        <f aca="false">Narxlar!A204</f>
        <v>45575</v>
      </c>
      <c r="B224" s="50" t="n">
        <f aca="false">Narxlar!B204/Narxlar!B$2</f>
        <v>1.25544</v>
      </c>
      <c r="C224" s="50" t="n">
        <f aca="false">Narxlar!C204/Narxlar!C$2</f>
        <v>1.67904</v>
      </c>
      <c r="D224" s="50" t="n">
        <f aca="false">Narxlar!D204/Narxlar!D$2</f>
        <v>1.62195652173913</v>
      </c>
      <c r="E224" s="50" t="n">
        <f aca="false">Narxlar!E204/Narxlar!E$2</f>
        <v>1.38041095890411</v>
      </c>
      <c r="F224" s="50" t="n">
        <f aca="false">Narxlar!F204/Narxlar!F$2</f>
        <v>1.553359375</v>
      </c>
      <c r="G224" s="50" t="n">
        <f aca="false">G223*(1+VaR!B206)</f>
        <v>1.57755252603937</v>
      </c>
      <c r="H224" s="31" t="n">
        <f aca="false">B224/MAX(B$22:B224)-1</f>
        <v>-0.00274843117006918</v>
      </c>
      <c r="I224" s="31" t="n">
        <f aca="false">C224/MAX(C$22:C224)-1</f>
        <v>0</v>
      </c>
      <c r="J224" s="31" t="n">
        <f aca="false">D224/MAX(D$22:D224)-1</f>
        <v>-0.00333956719209183</v>
      </c>
      <c r="K224" s="31" t="n">
        <f aca="false">E224/MAX(E$22:E224)-1</f>
        <v>-0.00875467243753691</v>
      </c>
      <c r="L224" s="31" t="n">
        <f aca="false">F224/MAX(F$22:F224)-1</f>
        <v>-0.0699969597043896</v>
      </c>
      <c r="M224" s="31" t="n">
        <f aca="false">G224/MAX(G$22:G224)-1</f>
        <v>-0.000216065153599065</v>
      </c>
    </row>
    <row r="225" customFormat="false" ht="15" hidden="false" customHeight="false" outlineLevel="0" collapsed="false">
      <c r="A225" s="19" t="n">
        <f aca="false">Narxlar!A205</f>
        <v>45576</v>
      </c>
      <c r="B225" s="50" t="n">
        <f aca="false">Narxlar!B205/Narxlar!B$2</f>
        <v>1.2503</v>
      </c>
      <c r="C225" s="50" t="n">
        <f aca="false">Narxlar!C205/Narxlar!C$2</f>
        <v>1.68992</v>
      </c>
      <c r="D225" s="50" t="n">
        <f aca="false">Narxlar!D205/Narxlar!D$2</f>
        <v>1.60858695652174</v>
      </c>
      <c r="E225" s="50" t="n">
        <f aca="false">Narxlar!E205/Narxlar!E$2</f>
        <v>1.38178082191781</v>
      </c>
      <c r="F225" s="50" t="n">
        <f aca="false">Narxlar!F205/Narxlar!F$2</f>
        <v>1.567890625</v>
      </c>
      <c r="G225" s="50" t="n">
        <f aca="false">G224*(1+VaR!B207)</f>
        <v>1.5807112389503</v>
      </c>
      <c r="H225" s="31" t="n">
        <f aca="false">B225/MAX(B$22:B225)-1</f>
        <v>-0.00683136071173263</v>
      </c>
      <c r="I225" s="31" t="n">
        <f aca="false">C225/MAX(C$22:C225)-1</f>
        <v>0</v>
      </c>
      <c r="J225" s="31" t="n">
        <f aca="false">D225/MAX(D$22:D225)-1</f>
        <v>-0.011554902484638</v>
      </c>
      <c r="K225" s="31" t="n">
        <f aca="false">E225/MAX(E$22:E225)-1</f>
        <v>-0.00777100137713949</v>
      </c>
      <c r="L225" s="31" t="n">
        <f aca="false">F225/MAX(F$22:F225)-1</f>
        <v>-0.0612970368811244</v>
      </c>
      <c r="M225" s="31" t="n">
        <f aca="false">G225/MAX(G$22:G225)-1</f>
        <v>0</v>
      </c>
    </row>
    <row r="226" customFormat="false" ht="15" hidden="false" customHeight="false" outlineLevel="0" collapsed="false">
      <c r="A226" s="19" t="n">
        <f aca="false">Narxlar!A206</f>
        <v>45579</v>
      </c>
      <c r="B226" s="50" t="n">
        <f aca="false">Narxlar!B206/Narxlar!B$2</f>
        <v>1.25455</v>
      </c>
      <c r="C226" s="50" t="n">
        <f aca="false">Narxlar!C206/Narxlar!C$2</f>
        <v>1.69544</v>
      </c>
      <c r="D226" s="50" t="n">
        <f aca="false">Narxlar!D206/Narxlar!D$2</f>
        <v>1.60815217391304</v>
      </c>
      <c r="E226" s="50" t="n">
        <f aca="false">Narxlar!E206/Narxlar!E$2</f>
        <v>1.39684931506849</v>
      </c>
      <c r="F226" s="50" t="n">
        <f aca="false">Narxlar!F206/Narxlar!F$2</f>
        <v>1.5836328125</v>
      </c>
      <c r="G226" s="50" t="n">
        <f aca="false">G225*(1+VaR!B208)</f>
        <v>1.58963705598409</v>
      </c>
      <c r="H226" s="31" t="n">
        <f aca="false">B226/MAX(B$22:B226)-1</f>
        <v>-0.00345539756930657</v>
      </c>
      <c r="I226" s="31" t="n">
        <f aca="false">C226/MAX(C$22:C226)-1</f>
        <v>0</v>
      </c>
      <c r="J226" s="31" t="n">
        <f aca="false">D226/MAX(D$22:D226)-1</f>
        <v>-0.0118220678600053</v>
      </c>
      <c r="K226" s="31" t="n">
        <f aca="false">E226/MAX(E$22:E226)-1</f>
        <v>0</v>
      </c>
      <c r="L226" s="31" t="n">
        <f aca="false">F226/MAX(F$22:F226)-1</f>
        <v>-0.0518721204892536</v>
      </c>
      <c r="M226" s="31" t="n">
        <f aca="false">G226/MAX(G$22:G226)-1</f>
        <v>0</v>
      </c>
    </row>
    <row r="227" customFormat="false" ht="15" hidden="false" customHeight="false" outlineLevel="0" collapsed="false">
      <c r="A227" s="19" t="n">
        <f aca="false">Narxlar!A207</f>
        <v>45580</v>
      </c>
      <c r="B227" s="50" t="n">
        <f aca="false">Narxlar!B207/Narxlar!B$2</f>
        <v>1.25957</v>
      </c>
      <c r="C227" s="50" t="n">
        <f aca="false">Narxlar!C207/Narxlar!C$2</f>
        <v>1.70264</v>
      </c>
      <c r="D227" s="50" t="n">
        <f aca="false">Narxlar!D207/Narxlar!D$2</f>
        <v>1.59271739130435</v>
      </c>
      <c r="E227" s="50" t="n">
        <f aca="false">Narxlar!E207/Narxlar!E$2</f>
        <v>1.4027397260274</v>
      </c>
      <c r="F227" s="50" t="n">
        <f aca="false">Narxlar!F207/Narxlar!F$2</f>
        <v>1.556484375</v>
      </c>
      <c r="G227" s="50" t="n">
        <f aca="false">G226*(1+VaR!B209)</f>
        <v>1.58407356492281</v>
      </c>
      <c r="H227" s="31" t="n">
        <f aca="false">B227/MAX(B$22:B227)-1</f>
        <v>0</v>
      </c>
      <c r="I227" s="31" t="n">
        <f aca="false">C227/MAX(C$22:C227)-1</f>
        <v>0</v>
      </c>
      <c r="J227" s="31" t="n">
        <f aca="false">D227/MAX(D$22:D227)-1</f>
        <v>-0.0213064386855464</v>
      </c>
      <c r="K227" s="31" t="n">
        <f aca="false">E227/MAX(E$22:E227)-1</f>
        <v>0</v>
      </c>
      <c r="L227" s="31" t="n">
        <f aca="false">F227/MAX(F$22:F227)-1</f>
        <v>-0.0681260085596015</v>
      </c>
      <c r="M227" s="31" t="n">
        <f aca="false">G227/MAX(G$22:G227)-1</f>
        <v>-0.00349984988103547</v>
      </c>
    </row>
    <row r="228" customFormat="false" ht="15" hidden="false" customHeight="false" outlineLevel="0" collapsed="false">
      <c r="A228" s="19" t="n">
        <f aca="false">Narxlar!A208</f>
        <v>45581</v>
      </c>
      <c r="B228" s="50" t="n">
        <f aca="false">Narxlar!B208/Narxlar!B$2</f>
        <v>1.26008</v>
      </c>
      <c r="C228" s="50" t="n">
        <f aca="false">Narxlar!C208/Narxlar!C$2</f>
        <v>1.70496</v>
      </c>
      <c r="D228" s="50" t="n">
        <f aca="false">Narxlar!D208/Narxlar!D$2</f>
        <v>1.56875</v>
      </c>
      <c r="E228" s="50" t="n">
        <f aca="false">Narxlar!E208/Narxlar!E$2</f>
        <v>1.40506849315069</v>
      </c>
      <c r="F228" s="50" t="n">
        <f aca="false">Narxlar!F208/Narxlar!F$2</f>
        <v>1.5066015625</v>
      </c>
      <c r="G228" s="50" t="n">
        <f aca="false">G227*(1+VaR!B210)</f>
        <v>1.56926582029324</v>
      </c>
      <c r="H228" s="31" t="n">
        <f aca="false">B228/MAX(B$22:B228)-1</f>
        <v>0</v>
      </c>
      <c r="I228" s="31" t="n">
        <f aca="false">C228/MAX(C$22:C228)-1</f>
        <v>0</v>
      </c>
      <c r="J228" s="31" t="n">
        <f aca="false">D228/MAX(D$22:D228)-1</f>
        <v>-0.0360339300026716</v>
      </c>
      <c r="K228" s="31" t="n">
        <f aca="false">E228/MAX(E$22:E228)-1</f>
        <v>0</v>
      </c>
      <c r="L228" s="31" t="n">
        <f aca="false">F228/MAX(F$22:F228)-1</f>
        <v>-0.0979910662082836</v>
      </c>
      <c r="M228" s="31" t="n">
        <f aca="false">G228/MAX(G$22:G228)-1</f>
        <v>-0.0128150231615199</v>
      </c>
    </row>
    <row r="229" customFormat="false" ht="15" hidden="false" customHeight="false" outlineLevel="0" collapsed="false">
      <c r="A229" s="19" t="n">
        <f aca="false">Narxlar!A209</f>
        <v>45582</v>
      </c>
      <c r="B229" s="50" t="n">
        <f aca="false">Narxlar!B209/Narxlar!B$2</f>
        <v>1.27638</v>
      </c>
      <c r="C229" s="50" t="n">
        <f aca="false">Narxlar!C209/Narxlar!C$2</f>
        <v>1.72936</v>
      </c>
      <c r="D229" s="50" t="n">
        <f aca="false">Narxlar!D209/Narxlar!D$2</f>
        <v>1.57641304347826</v>
      </c>
      <c r="E229" s="50" t="n">
        <f aca="false">Narxlar!E209/Narxlar!E$2</f>
        <v>1.39383561643836</v>
      </c>
      <c r="F229" s="50" t="n">
        <f aca="false">Narxlar!F209/Narxlar!F$2</f>
        <v>1.53234375</v>
      </c>
      <c r="G229" s="50" t="n">
        <f aca="false">G228*(1+VaR!B211)</f>
        <v>1.58014581503934</v>
      </c>
      <c r="H229" s="31" t="n">
        <f aca="false">B229/MAX(B$22:B229)-1</f>
        <v>0</v>
      </c>
      <c r="I229" s="31" t="n">
        <f aca="false">C229/MAX(C$22:C229)-1</f>
        <v>0</v>
      </c>
      <c r="J229" s="31" t="n">
        <f aca="false">D229/MAX(D$22:D229)-1</f>
        <v>-0.0313251402618221</v>
      </c>
      <c r="K229" s="31" t="n">
        <f aca="false">E229/MAX(E$22:E229)-1</f>
        <v>-0.00799454031393199</v>
      </c>
      <c r="L229" s="31" t="n">
        <f aca="false">F229/MAX(F$22:F229)-1</f>
        <v>-0.0825791061530906</v>
      </c>
      <c r="M229" s="31" t="n">
        <f aca="false">G229/MAX(G$22:G229)-1</f>
        <v>-0.00597069683863627</v>
      </c>
    </row>
    <row r="230" customFormat="false" ht="15" hidden="false" customHeight="false" outlineLevel="0" collapsed="false">
      <c r="A230" s="19" t="n">
        <f aca="false">Narxlar!A210</f>
        <v>45583</v>
      </c>
      <c r="B230" s="50" t="n">
        <f aca="false">Narxlar!B210/Narxlar!B$2</f>
        <v>1.27253</v>
      </c>
      <c r="C230" s="50" t="n">
        <f aca="false">Narxlar!C210/Narxlar!C$2</f>
        <v>1.7096</v>
      </c>
      <c r="D230" s="50" t="n">
        <f aca="false">Narxlar!D210/Narxlar!D$2</f>
        <v>1.56494565217391</v>
      </c>
      <c r="E230" s="50" t="n">
        <f aca="false">Narxlar!E210/Narxlar!E$2</f>
        <v>1.40630136986301</v>
      </c>
      <c r="F230" s="50" t="n">
        <f aca="false">Narxlar!F210/Narxlar!F$2</f>
        <v>1.4971484375</v>
      </c>
      <c r="G230" s="50" t="n">
        <f aca="false">G229*(1+VaR!B212)</f>
        <v>1.56813001916606</v>
      </c>
      <c r="H230" s="31" t="n">
        <f aca="false">B230/MAX(B$22:B230)-1</f>
        <v>-0.00301634309531651</v>
      </c>
      <c r="I230" s="31" t="n">
        <f aca="false">C230/MAX(C$22:C230)-1</f>
        <v>-0.0114261923486145</v>
      </c>
      <c r="J230" s="31" t="n">
        <f aca="false">D230/MAX(D$22:D230)-1</f>
        <v>-0.0383716270371359</v>
      </c>
      <c r="K230" s="31" t="n">
        <f aca="false">E230/MAX(E$22:E230)-1</f>
        <v>0</v>
      </c>
      <c r="L230" s="31" t="n">
        <f aca="false">F230/MAX(F$22:F230)-1</f>
        <v>-0.103650693421268</v>
      </c>
      <c r="M230" s="31" t="n">
        <f aca="false">G230/MAX(G$22:G230)-1</f>
        <v>-0.0135295265904006</v>
      </c>
    </row>
    <row r="231" customFormat="false" ht="15" hidden="false" customHeight="false" outlineLevel="0" collapsed="false">
      <c r="A231" s="19" t="n">
        <f aca="false">Narxlar!A211</f>
        <v>45586</v>
      </c>
      <c r="B231" s="50" t="n">
        <f aca="false">Narxlar!B211/Narxlar!B$2</f>
        <v>1.27954</v>
      </c>
      <c r="C231" s="50" t="n">
        <f aca="false">Narxlar!C211/Narxlar!C$2</f>
        <v>1.73504</v>
      </c>
      <c r="D231" s="50" t="n">
        <f aca="false">Narxlar!D211/Narxlar!D$2</f>
        <v>1.56923913043478</v>
      </c>
      <c r="E231" s="50" t="n">
        <f aca="false">Narxlar!E211/Narxlar!E$2</f>
        <v>1.42698630136986</v>
      </c>
      <c r="F231" s="50" t="n">
        <f aca="false">Narxlar!F211/Narxlar!F$2</f>
        <v>1.49421875</v>
      </c>
      <c r="G231" s="50" t="n">
        <f aca="false">G230*(1+VaR!B213)</f>
        <v>1.58135861180484</v>
      </c>
      <c r="H231" s="31" t="n">
        <f aca="false">B231/MAX(B$22:B231)-1</f>
        <v>0</v>
      </c>
      <c r="I231" s="31" t="n">
        <f aca="false">C231/MAX(C$22:C231)-1</f>
        <v>0</v>
      </c>
      <c r="J231" s="31" t="n">
        <f aca="false">D231/MAX(D$22:D231)-1</f>
        <v>-0.0357333689553834</v>
      </c>
      <c r="K231" s="31" t="n">
        <f aca="false">E231/MAX(E$22:E231)-1</f>
        <v>0</v>
      </c>
      <c r="L231" s="31" t="n">
        <f aca="false">F231/MAX(F$22:F231)-1</f>
        <v>-0.105404710119507</v>
      </c>
      <c r="M231" s="31" t="n">
        <f aca="false">G231/MAX(G$22:G231)-1</f>
        <v>-0.00520775742367563</v>
      </c>
    </row>
    <row r="232" customFormat="false" ht="15" hidden="false" customHeight="false" outlineLevel="0" collapsed="false">
      <c r="A232" s="19" t="n">
        <f aca="false">Narxlar!A212</f>
        <v>45587</v>
      </c>
      <c r="B232" s="50" t="n">
        <f aca="false">Narxlar!B212/Narxlar!B$2</f>
        <v>1.27727</v>
      </c>
      <c r="C232" s="50" t="n">
        <f aca="false">Narxlar!C212/Narxlar!C$2</f>
        <v>1.68232</v>
      </c>
      <c r="D232" s="50" t="n">
        <f aca="false">Narxlar!D212/Narxlar!D$2</f>
        <v>1.56467391304348</v>
      </c>
      <c r="E232" s="50" t="n">
        <f aca="false">Narxlar!E212/Narxlar!E$2</f>
        <v>1.44246575342466</v>
      </c>
      <c r="F232" s="50" t="n">
        <f aca="false">Narxlar!F212/Narxlar!F$2</f>
        <v>1.5021875</v>
      </c>
      <c r="G232" s="50" t="n">
        <f aca="false">G231*(1+VaR!B214)</f>
        <v>1.57176859883977</v>
      </c>
      <c r="H232" s="31" t="n">
        <f aca="false">B232/MAX(B$22:B232)-1</f>
        <v>-0.00177407505822402</v>
      </c>
      <c r="I232" s="31" t="n">
        <f aca="false">C232/MAX(C$22:C232)-1</f>
        <v>-0.0303854666174842</v>
      </c>
      <c r="J232" s="31" t="n">
        <f aca="false">D232/MAX(D$22:D232)-1</f>
        <v>-0.0385386053967405</v>
      </c>
      <c r="K232" s="31" t="n">
        <f aca="false">E232/MAX(E$22:E232)-1</f>
        <v>0</v>
      </c>
      <c r="L232" s="31" t="n">
        <f aca="false">F232/MAX(F$22:F232)-1</f>
        <v>-0.100633784700297</v>
      </c>
      <c r="M232" s="31" t="n">
        <f aca="false">G232/MAX(G$22:G232)-1</f>
        <v>-0.0112405892131499</v>
      </c>
    </row>
    <row r="233" customFormat="false" ht="15" hidden="false" customHeight="false" outlineLevel="0" collapsed="false">
      <c r="A233" s="19" t="n">
        <f aca="false">Narxlar!A213</f>
        <v>45588</v>
      </c>
      <c r="B233" s="50" t="n">
        <f aca="false">Narxlar!B213/Narxlar!B$2</f>
        <v>1.2776</v>
      </c>
      <c r="C233" s="50" t="n">
        <f aca="false">Narxlar!C213/Narxlar!C$2</f>
        <v>1.7068</v>
      </c>
      <c r="D233" s="50" t="n">
        <f aca="false">Narxlar!D213/Narxlar!D$2</f>
        <v>1.56173913043478</v>
      </c>
      <c r="E233" s="50" t="n">
        <f aca="false">Narxlar!E213/Narxlar!E$2</f>
        <v>1.41684931506849</v>
      </c>
      <c r="F233" s="50" t="n">
        <f aca="false">Narxlar!F213/Narxlar!F$2</f>
        <v>1.4841796875</v>
      </c>
      <c r="G233" s="50" t="n">
        <f aca="false">G232*(1+VaR!B215)</f>
        <v>1.56714641403285</v>
      </c>
      <c r="H233" s="31" t="n">
        <f aca="false">B233/MAX(B$22:B233)-1</f>
        <v>-0.0015161698735483</v>
      </c>
      <c r="I233" s="31" t="n">
        <f aca="false">C233/MAX(C$22:C233)-1</f>
        <v>-0.0162762818148283</v>
      </c>
      <c r="J233" s="31" t="n">
        <f aca="false">D233/MAX(D$22:D233)-1</f>
        <v>-0.0403419716804703</v>
      </c>
      <c r="K233" s="31" t="n">
        <f aca="false">E233/MAX(E$22:E233)-1</f>
        <v>-0.0177587844254511</v>
      </c>
      <c r="L233" s="31" t="n">
        <f aca="false">F233/MAX(F$22:F233)-1</f>
        <v>-0.111415140672139</v>
      </c>
      <c r="M233" s="31" t="n">
        <f aca="false">G233/MAX(G$22:G233)-1</f>
        <v>-0.0141482874135144</v>
      </c>
    </row>
    <row r="234" customFormat="false" ht="15" hidden="false" customHeight="false" outlineLevel="0" collapsed="false">
      <c r="A234" s="19" t="n">
        <f aca="false">Narxlar!A214</f>
        <v>45589</v>
      </c>
      <c r="B234" s="50" t="n">
        <f aca="false">Narxlar!B214/Narxlar!B$2</f>
        <v>1.27663</v>
      </c>
      <c r="C234" s="50" t="n">
        <f aca="false">Narxlar!C214/Narxlar!C$2</f>
        <v>1.6952</v>
      </c>
      <c r="D234" s="50" t="n">
        <f aca="false">Narxlar!D214/Narxlar!D$2</f>
        <v>1.56027173913043</v>
      </c>
      <c r="E234" s="50" t="n">
        <f aca="false">Narxlar!E214/Narxlar!E$2</f>
        <v>1.40438356164384</v>
      </c>
      <c r="F234" s="50" t="n">
        <f aca="false">Narxlar!F214/Narxlar!F$2</f>
        <v>1.4953515625</v>
      </c>
      <c r="G234" s="50" t="n">
        <f aca="false">G233*(1+VaR!B216)</f>
        <v>1.56249528925836</v>
      </c>
      <c r="H234" s="31" t="n">
        <f aca="false">B234/MAX(B$22:B234)-1</f>
        <v>-0.00227425481032229</v>
      </c>
      <c r="I234" s="31" t="n">
        <f aca="false">C234/MAX(C$22:C234)-1</f>
        <v>-0.0229620066396163</v>
      </c>
      <c r="J234" s="31" t="n">
        <f aca="false">D234/MAX(D$22:D234)-1</f>
        <v>-0.0412436548223351</v>
      </c>
      <c r="K234" s="31" t="n">
        <f aca="false">E234/MAX(E$22:E234)-1</f>
        <v>-0.0264007597340931</v>
      </c>
      <c r="L234" s="31" t="n">
        <f aca="false">F234/MAX(F$22:F234)-1</f>
        <v>-0.104726490329521</v>
      </c>
      <c r="M234" s="31" t="n">
        <f aca="false">G234/MAX(G$22:G234)-1</f>
        <v>-0.0170741910070299</v>
      </c>
    </row>
    <row r="235" customFormat="false" ht="15" hidden="false" customHeight="false" outlineLevel="0" collapsed="false">
      <c r="A235" s="19" t="n">
        <f aca="false">Narxlar!A215</f>
        <v>45590</v>
      </c>
      <c r="B235" s="50" t="n">
        <f aca="false">Narxlar!B215/Narxlar!B$2</f>
        <v>1.27895</v>
      </c>
      <c r="C235" s="50" t="n">
        <f aca="false">Narxlar!C215/Narxlar!C$2</f>
        <v>1.6916</v>
      </c>
      <c r="D235" s="50" t="n">
        <f aca="false">Narxlar!D215/Narxlar!D$2</f>
        <v>1.56119565217391</v>
      </c>
      <c r="E235" s="50" t="n">
        <f aca="false">Narxlar!E215/Narxlar!E$2</f>
        <v>1.40109589041096</v>
      </c>
      <c r="F235" s="50" t="n">
        <f aca="false">Narxlar!F215/Narxlar!F$2</f>
        <v>1.516484375</v>
      </c>
      <c r="G235" s="50" t="n">
        <f aca="false">G234*(1+VaR!B217)</f>
        <v>1.56523303102382</v>
      </c>
      <c r="H235" s="31" t="n">
        <f aca="false">B235/MAX(B$22:B235)-1</f>
        <v>-0.000461103208965641</v>
      </c>
      <c r="I235" s="31" t="n">
        <f aca="false">C235/MAX(C$22:C235)-1</f>
        <v>-0.0250368867576539</v>
      </c>
      <c r="J235" s="31" t="n">
        <f aca="false">D235/MAX(D$22:D235)-1</f>
        <v>-0.0406759283996795</v>
      </c>
      <c r="K235" s="31" t="n">
        <f aca="false">E235/MAX(E$22:E235)-1</f>
        <v>-0.0286799620132953</v>
      </c>
      <c r="L235" s="31" t="n">
        <f aca="false">F235/MAX(F$22:F235)-1</f>
        <v>-0.0920741832128907</v>
      </c>
      <c r="M235" s="31" t="n">
        <f aca="false">G235/MAX(G$22:G235)-1</f>
        <v>-0.015351947709319</v>
      </c>
    </row>
    <row r="236" customFormat="false" ht="15" hidden="false" customHeight="false" outlineLevel="0" collapsed="false">
      <c r="A236" s="19" t="n">
        <f aca="false">Narxlar!A216</f>
        <v>45593</v>
      </c>
      <c r="B236" s="50" t="n">
        <f aca="false">Narxlar!B216/Narxlar!B$2</f>
        <v>1.28401</v>
      </c>
      <c r="C236" s="50" t="n">
        <f aca="false">Narxlar!C216/Narxlar!C$2</f>
        <v>1.71328</v>
      </c>
      <c r="D236" s="50" t="n">
        <f aca="false">Narxlar!D216/Narxlar!D$2</f>
        <v>1.53695652173913</v>
      </c>
      <c r="E236" s="50" t="n">
        <f aca="false">Narxlar!E216/Narxlar!E$2</f>
        <v>1.40520547945205</v>
      </c>
      <c r="F236" s="50" t="n">
        <f aca="false">Narxlar!F216/Narxlar!F$2</f>
        <v>1.5222265625</v>
      </c>
      <c r="G236" s="50" t="n">
        <f aca="false">G235*(1+VaR!B218)</f>
        <v>1.56750882233889</v>
      </c>
      <c r="H236" s="31" t="n">
        <f aca="false">B236/MAX(B$22:B236)-1</f>
        <v>0</v>
      </c>
      <c r="I236" s="31" t="n">
        <f aca="false">C236/MAX(C$22:C236)-1</f>
        <v>-0.0125414976023608</v>
      </c>
      <c r="J236" s="31" t="n">
        <f aca="false">D236/MAX(D$22:D236)-1</f>
        <v>-0.0555703980764094</v>
      </c>
      <c r="K236" s="31" t="n">
        <f aca="false">E236/MAX(E$22:E236)-1</f>
        <v>-0.0258309591642925</v>
      </c>
      <c r="L236" s="31" t="n">
        <f aca="false">F236/MAX(F$22:F236)-1</f>
        <v>-0.0886363104843424</v>
      </c>
      <c r="M236" s="31" t="n">
        <f aca="false">G236/MAX(G$22:G236)-1</f>
        <v>-0.0139203056206426</v>
      </c>
    </row>
    <row r="237" customFormat="false" ht="15" hidden="false" customHeight="false" outlineLevel="0" collapsed="false">
      <c r="A237" s="19" t="n">
        <f aca="false">Narxlar!A217</f>
        <v>45594</v>
      </c>
      <c r="B237" s="50" t="n">
        <f aca="false">Narxlar!B217/Narxlar!B$2</f>
        <v>1.29305</v>
      </c>
      <c r="C237" s="50" t="n">
        <f aca="false">Narxlar!C217/Narxlar!C$2</f>
        <v>1.69952</v>
      </c>
      <c r="D237" s="50" t="n">
        <f aca="false">Narxlar!D217/Narxlar!D$2</f>
        <v>1.545</v>
      </c>
      <c r="E237" s="50" t="n">
        <f aca="false">Narxlar!E217/Narxlar!E$2</f>
        <v>1.40383561643836</v>
      </c>
      <c r="F237" s="50" t="n">
        <f aca="false">Narxlar!F217/Narxlar!F$2</f>
        <v>1.5638671875</v>
      </c>
      <c r="G237" s="50" t="n">
        <f aca="false">G236*(1+VaR!B219)</f>
        <v>1.57397673178394</v>
      </c>
      <c r="H237" s="31" t="n">
        <f aca="false">B237/MAX(B$22:B237)-1</f>
        <v>0</v>
      </c>
      <c r="I237" s="31" t="n">
        <f aca="false">C237/MAX(C$22:C237)-1</f>
        <v>-0.0204721504979712</v>
      </c>
      <c r="J237" s="31" t="n">
        <f aca="false">D237/MAX(D$22:D237)-1</f>
        <v>-0.0506278386321133</v>
      </c>
      <c r="K237" s="31" t="n">
        <f aca="false">E237/MAX(E$22:E237)-1</f>
        <v>-0.0267806267806268</v>
      </c>
      <c r="L237" s="31" t="n">
        <f aca="false">F237/MAX(F$22:F237)-1</f>
        <v>-0.0637058864800392</v>
      </c>
      <c r="M237" s="31" t="n">
        <f aca="false">G237/MAX(G$22:G237)-1</f>
        <v>-0.00985150927452239</v>
      </c>
    </row>
    <row r="238" customFormat="false" ht="15" hidden="false" customHeight="false" outlineLevel="0" collapsed="false">
      <c r="A238" s="19" t="n">
        <f aca="false">Narxlar!A218</f>
        <v>45595</v>
      </c>
      <c r="B238" s="50" t="n">
        <f aca="false">Narxlar!B218/Narxlar!B$2</f>
        <v>1.30838</v>
      </c>
      <c r="C238" s="50" t="n">
        <f aca="false">Narxlar!C218/Narxlar!C$2</f>
        <v>1.72808</v>
      </c>
      <c r="D238" s="50" t="n">
        <f aca="false">Narxlar!D218/Narxlar!D$2</f>
        <v>1.57429347826087</v>
      </c>
      <c r="E238" s="50" t="n">
        <f aca="false">Narxlar!E218/Narxlar!E$2</f>
        <v>1.41150684931507</v>
      </c>
      <c r="F238" s="50" t="n">
        <f aca="false">Narxlar!F218/Narxlar!F$2</f>
        <v>1.6198046875</v>
      </c>
      <c r="G238" s="50" t="n">
        <f aca="false">G237*(1+VaR!B220)</f>
        <v>1.60278259807781</v>
      </c>
      <c r="H238" s="31" t="n">
        <f aca="false">B238/MAX(B$22:B238)-1</f>
        <v>0</v>
      </c>
      <c r="I238" s="31" t="n">
        <f aca="false">C238/MAX(C$22:C238)-1</f>
        <v>-0.00401143489487266</v>
      </c>
      <c r="J238" s="31" t="n">
        <f aca="false">D238/MAX(D$22:D238)-1</f>
        <v>-0.0326275714667379</v>
      </c>
      <c r="K238" s="31" t="n">
        <f aca="false">E238/MAX(E$22:E238)-1</f>
        <v>-0.0214624881291547</v>
      </c>
      <c r="L238" s="31" t="n">
        <f aca="false">F238/MAX(F$22:F238)-1</f>
        <v>-0.0302158609883298</v>
      </c>
      <c r="M238" s="31" t="n">
        <f aca="false">G238/MAX(G$22:G238)-1</f>
        <v>0</v>
      </c>
    </row>
    <row r="239" customFormat="false" ht="15" hidden="false" customHeight="false" outlineLevel="0" collapsed="false">
      <c r="A239" s="19" t="n">
        <f aca="false">Narxlar!A219</f>
        <v>45596</v>
      </c>
      <c r="B239" s="50" t="n">
        <f aca="false">Narxlar!B219/Narxlar!B$2</f>
        <v>1.31232</v>
      </c>
      <c r="C239" s="50" t="n">
        <f aca="false">Narxlar!C219/Narxlar!C$2</f>
        <v>1.74584</v>
      </c>
      <c r="D239" s="50" t="n">
        <f aca="false">Narxlar!D219/Narxlar!D$2</f>
        <v>1.57510869565217</v>
      </c>
      <c r="E239" s="50" t="n">
        <f aca="false">Narxlar!E219/Narxlar!E$2</f>
        <v>1.42904109589041</v>
      </c>
      <c r="F239" s="50" t="n">
        <f aca="false">Narxlar!F219/Narxlar!F$2</f>
        <v>1.615546875</v>
      </c>
      <c r="G239" s="50" t="n">
        <f aca="false">G238*(1+VaR!B221)</f>
        <v>1.61206674683779</v>
      </c>
      <c r="H239" s="31" t="n">
        <f aca="false">B239/MAX(B$22:B239)-1</f>
        <v>0</v>
      </c>
      <c r="I239" s="31" t="n">
        <f aca="false">C239/MAX(C$22:C239)-1</f>
        <v>0</v>
      </c>
      <c r="J239" s="31" t="n">
        <f aca="false">D239/MAX(D$22:D239)-1</f>
        <v>-0.0321266363879242</v>
      </c>
      <c r="K239" s="31" t="n">
        <f aca="false">E239/MAX(E$22:E239)-1</f>
        <v>-0.00930674264007592</v>
      </c>
      <c r="L239" s="31" t="n">
        <f aca="false">F239/MAX(F$22:F239)-1</f>
        <v>-0.0327650319231039</v>
      </c>
      <c r="M239" s="31" t="n">
        <f aca="false">G239/MAX(G$22:G239)-1</f>
        <v>0</v>
      </c>
    </row>
    <row r="240" customFormat="false" ht="15" hidden="false" customHeight="false" outlineLevel="0" collapsed="false">
      <c r="A240" s="19" t="n">
        <f aca="false">Narxlar!A220</f>
        <v>45597</v>
      </c>
      <c r="B240" s="50" t="n">
        <f aca="false">Narxlar!B220/Narxlar!B$2</f>
        <v>1.31113</v>
      </c>
      <c r="C240" s="50" t="n">
        <f aca="false">Narxlar!C220/Narxlar!C$2</f>
        <v>1.71424</v>
      </c>
      <c r="D240" s="50" t="n">
        <f aca="false">Narxlar!D220/Narxlar!D$2</f>
        <v>1.56625</v>
      </c>
      <c r="E240" s="50" t="n">
        <f aca="false">Narxlar!E220/Narxlar!E$2</f>
        <v>1.43369863013699</v>
      </c>
      <c r="F240" s="50" t="n">
        <f aca="false">Narxlar!F220/Narxlar!F$2</f>
        <v>1.585078125</v>
      </c>
      <c r="G240" s="50" t="n">
        <f aca="false">G239*(1+VaR!B222)</f>
        <v>1.59627939362351</v>
      </c>
      <c r="H240" s="31" t="n">
        <f aca="false">B240/MAX(B$22:B240)-1</f>
        <v>-0.000906791026578757</v>
      </c>
      <c r="I240" s="31" t="n">
        <f aca="false">C240/MAX(C$22:C240)-1</f>
        <v>-0.018100169545892</v>
      </c>
      <c r="J240" s="31" t="n">
        <f aca="false">D240/MAX(D$22:D240)-1</f>
        <v>-0.037570130911034</v>
      </c>
      <c r="K240" s="31" t="n">
        <f aca="false">E240/MAX(E$22:E240)-1</f>
        <v>-0.0060778727445393</v>
      </c>
      <c r="L240" s="31" t="n">
        <f aca="false">F240/MAX(F$22:F240)-1</f>
        <v>-0.0510068055847892</v>
      </c>
      <c r="M240" s="31" t="n">
        <f aca="false">G240/MAX(G$22:G240)-1</f>
        <v>-0.00979323793214493</v>
      </c>
    </row>
    <row r="241" customFormat="false" ht="15" hidden="false" customHeight="false" outlineLevel="0" collapsed="false">
      <c r="A241" s="19" t="n">
        <f aca="false">Narxlar!A221</f>
        <v>45600</v>
      </c>
      <c r="B241" s="50" t="n">
        <f aca="false">Narxlar!B221/Narxlar!B$2</f>
        <v>1.30969</v>
      </c>
      <c r="C241" s="50" t="n">
        <f aca="false">Narxlar!C221/Narxlar!C$2</f>
        <v>1.72536</v>
      </c>
      <c r="D241" s="50" t="n">
        <f aca="false">Narxlar!D221/Narxlar!D$2</f>
        <v>1.58342391304348</v>
      </c>
      <c r="E241" s="50" t="n">
        <f aca="false">Narxlar!E221/Narxlar!E$2</f>
        <v>1.43643835616438</v>
      </c>
      <c r="F241" s="50" t="n">
        <f aca="false">Narxlar!F221/Narxlar!F$2</f>
        <v>1.52015625</v>
      </c>
      <c r="G241" s="50" t="n">
        <f aca="false">G240*(1+VaR!B223)</f>
        <v>1.59144810317615</v>
      </c>
      <c r="H241" s="31" t="n">
        <f aca="false">B241/MAX(B$22:B241)-1</f>
        <v>-0.00200408436966582</v>
      </c>
      <c r="I241" s="31" t="n">
        <f aca="false">C241/MAX(C$22:C241)-1</f>
        <v>-0.0117307427942996</v>
      </c>
      <c r="J241" s="31" t="n">
        <f aca="false">D241/MAX(D$22:D241)-1</f>
        <v>-0.0270170985840236</v>
      </c>
      <c r="K241" s="31" t="n">
        <f aca="false">E241/MAX(E$22:E241)-1</f>
        <v>-0.0041785375118707</v>
      </c>
      <c r="L241" s="31" t="n">
        <f aca="false">F241/MAX(F$22:F241)-1</f>
        <v>-0.0898758156177646</v>
      </c>
      <c r="M241" s="31" t="n">
        <f aca="false">G241/MAX(G$22:G241)-1</f>
        <v>-0.0127901922808596</v>
      </c>
    </row>
    <row r="242" customFormat="false" ht="15" hidden="false" customHeight="false" outlineLevel="0" collapsed="false">
      <c r="A242" s="19" t="n">
        <f aca="false">Narxlar!A222</f>
        <v>45601</v>
      </c>
      <c r="B242" s="50" t="n">
        <f aca="false">Narxlar!B222/Narxlar!B$2</f>
        <v>1.30986</v>
      </c>
      <c r="C242" s="50" t="n">
        <f aca="false">Narxlar!C222/Narxlar!C$2</f>
        <v>1.73024</v>
      </c>
      <c r="D242" s="50" t="n">
        <f aca="false">Narxlar!D222/Narxlar!D$2</f>
        <v>1.57092391304348</v>
      </c>
      <c r="E242" s="50" t="n">
        <f aca="false">Narxlar!E222/Narxlar!E$2</f>
        <v>1.4258904109589</v>
      </c>
      <c r="F242" s="50" t="n">
        <f aca="false">Narxlar!F222/Narxlar!F$2</f>
        <v>1.50234375</v>
      </c>
      <c r="G242" s="50" t="n">
        <f aca="false">G241*(1+VaR!B224)</f>
        <v>1.58300651677096</v>
      </c>
      <c r="H242" s="31" t="n">
        <f aca="false">B242/MAX(B$22:B242)-1</f>
        <v>-0.00187454279444044</v>
      </c>
      <c r="I242" s="31" t="n">
        <f aca="false">C242/MAX(C$22:C242)-1</f>
        <v>-0.00893552673784548</v>
      </c>
      <c r="J242" s="31" t="n">
        <f aca="false">D242/MAX(D$22:D242)-1</f>
        <v>-0.0346981031258349</v>
      </c>
      <c r="K242" s="31" t="n">
        <f aca="false">E242/MAX(E$22:E242)-1</f>
        <v>-0.0114909781576448</v>
      </c>
      <c r="L242" s="31" t="n">
        <f aca="false">F242/MAX(F$22:F242)-1</f>
        <v>-0.100540237143057</v>
      </c>
      <c r="M242" s="31" t="n">
        <f aca="false">G242/MAX(G$22:G242)-1</f>
        <v>-0.0180266915894354</v>
      </c>
    </row>
    <row r="243" customFormat="false" ht="15" hidden="false" customHeight="false" outlineLevel="0" collapsed="false">
      <c r="A243" s="19" t="n">
        <f aca="false">Narxlar!A223</f>
        <v>45602</v>
      </c>
      <c r="B243" s="50" t="n">
        <f aca="false">Narxlar!B223/Narxlar!B$2</f>
        <v>1.31348</v>
      </c>
      <c r="C243" s="50" t="n">
        <f aca="false">Narxlar!C223/Narxlar!C$2</f>
        <v>1.74408</v>
      </c>
      <c r="D243" s="50" t="n">
        <f aca="false">Narxlar!D223/Narxlar!D$2</f>
        <v>1.57494565217391</v>
      </c>
      <c r="E243" s="50" t="n">
        <f aca="false">Narxlar!E223/Narxlar!E$2</f>
        <v>1.43671232876712</v>
      </c>
      <c r="F243" s="50" t="n">
        <f aca="false">Narxlar!F223/Narxlar!F$2</f>
        <v>1.4924609375</v>
      </c>
      <c r="G243" s="50" t="n">
        <f aca="false">G242*(1+VaR!B225)</f>
        <v>1.58873927772674</v>
      </c>
      <c r="H243" s="31" t="n">
        <f aca="false">B243/MAX(B$22:B243)-1</f>
        <v>0</v>
      </c>
      <c r="I243" s="31" t="n">
        <f aca="false">C243/MAX(C$22:C243)-1</f>
        <v>-0.00100811070888507</v>
      </c>
      <c r="J243" s="31" t="n">
        <f aca="false">D243/MAX(D$22:D243)-1</f>
        <v>-0.0322268234036869</v>
      </c>
      <c r="K243" s="31" t="n">
        <f aca="false">E243/MAX(E$22:E243)-1</f>
        <v>-0.0039886039886039</v>
      </c>
      <c r="L243" s="31" t="n">
        <f aca="false">F243/MAX(F$22:F243)-1</f>
        <v>-0.10645712013845</v>
      </c>
      <c r="M243" s="31" t="n">
        <f aca="false">G243/MAX(G$22:G243)-1</f>
        <v>-0.0144705355139931</v>
      </c>
    </row>
    <row r="244" customFormat="false" ht="15" hidden="false" customHeight="false" outlineLevel="0" collapsed="false">
      <c r="A244" s="19" t="n">
        <f aca="false">Narxlar!A224</f>
        <v>45603</v>
      </c>
      <c r="B244" s="50" t="n">
        <f aca="false">Narxlar!B224/Narxlar!B$2</f>
        <v>1.31824</v>
      </c>
      <c r="C244" s="50" t="n">
        <f aca="false">Narxlar!C224/Narxlar!C$2</f>
        <v>1.78608</v>
      </c>
      <c r="D244" s="50" t="n">
        <f aca="false">Narxlar!D224/Narxlar!D$2</f>
        <v>1.55646739130435</v>
      </c>
      <c r="E244" s="50" t="n">
        <f aca="false">Narxlar!E224/Narxlar!E$2</f>
        <v>1.44972602739726</v>
      </c>
      <c r="F244" s="50" t="n">
        <f aca="false">Narxlar!F224/Narxlar!F$2</f>
        <v>1.474609375</v>
      </c>
      <c r="G244" s="50" t="n">
        <f aca="false">G243*(1+VaR!B226)</f>
        <v>1.59535405998455</v>
      </c>
      <c r="H244" s="31" t="n">
        <f aca="false">B244/MAX(B$22:B244)-1</f>
        <v>0</v>
      </c>
      <c r="I244" s="31" t="n">
        <f aca="false">C244/MAX(C$22:C244)-1</f>
        <v>0</v>
      </c>
      <c r="J244" s="31" t="n">
        <f aca="false">D244/MAX(D$22:D244)-1</f>
        <v>-0.0435813518567993</v>
      </c>
      <c r="K244" s="31" t="n">
        <f aca="false">E244/MAX(E$22:E244)-1</f>
        <v>0</v>
      </c>
      <c r="L244" s="31" t="n">
        <f aca="false">F244/MAX(F$22:F244)-1</f>
        <v>-0.117144928553053</v>
      </c>
      <c r="M244" s="31" t="n">
        <f aca="false">G244/MAX(G$22:G244)-1</f>
        <v>-0.0103672424767894</v>
      </c>
    </row>
    <row r="245" customFormat="false" ht="15" hidden="false" customHeight="false" outlineLevel="0" collapsed="false">
      <c r="A245" s="19" t="n">
        <f aca="false">Narxlar!A225</f>
        <v>45604</v>
      </c>
      <c r="B245" s="50" t="n">
        <f aca="false">Narxlar!B225/Narxlar!B$2</f>
        <v>1.31747</v>
      </c>
      <c r="C245" s="50" t="n">
        <f aca="false">Narxlar!C225/Narxlar!C$2</f>
        <v>1.79112</v>
      </c>
      <c r="D245" s="50" t="n">
        <f aca="false">Narxlar!D225/Narxlar!D$2</f>
        <v>1.54130434782609</v>
      </c>
      <c r="E245" s="50" t="n">
        <f aca="false">Narxlar!E225/Narxlar!E$2</f>
        <v>1.49260273972603</v>
      </c>
      <c r="F245" s="50" t="n">
        <f aca="false">Narxlar!F225/Narxlar!F$2</f>
        <v>1.47703125</v>
      </c>
      <c r="G245" s="50" t="n">
        <f aca="false">G244*(1+VaR!B227)</f>
        <v>1.60513911154399</v>
      </c>
      <c r="H245" s="31" t="n">
        <f aca="false">B245/MAX(B$22:B245)-1</f>
        <v>-0.000584112149532801</v>
      </c>
      <c r="I245" s="31" t="n">
        <f aca="false">C245/MAX(C$22:C245)-1</f>
        <v>0</v>
      </c>
      <c r="J245" s="31" t="n">
        <f aca="false">D245/MAX(D$22:D245)-1</f>
        <v>-0.0528987443227357</v>
      </c>
      <c r="K245" s="31" t="n">
        <f aca="false">E245/MAX(E$22:E245)-1</f>
        <v>0</v>
      </c>
      <c r="L245" s="31" t="n">
        <f aca="false">F245/MAX(F$22:F245)-1</f>
        <v>-0.115694941415842</v>
      </c>
      <c r="M245" s="31" t="n">
        <f aca="false">G245/MAX(G$22:G245)-1</f>
        <v>-0.00429736256726576</v>
      </c>
    </row>
    <row r="246" customFormat="false" ht="15" hidden="false" customHeight="false" outlineLevel="0" collapsed="false">
      <c r="A246" s="19" t="n">
        <f aca="false">Narxlar!A226</f>
        <v>45607</v>
      </c>
      <c r="B246" s="50" t="n">
        <f aca="false">Narxlar!B226/Narxlar!B$2</f>
        <v>1.32011</v>
      </c>
      <c r="C246" s="50" t="n">
        <f aca="false">Narxlar!C226/Narxlar!C$2</f>
        <v>1.76024</v>
      </c>
      <c r="D246" s="50" t="n">
        <f aca="false">Narxlar!D226/Narxlar!D$2</f>
        <v>1.55451086956522</v>
      </c>
      <c r="E246" s="50" t="n">
        <f aca="false">Narxlar!E226/Narxlar!E$2</f>
        <v>1.50205479452055</v>
      </c>
      <c r="F246" s="50" t="n">
        <f aca="false">Narxlar!F226/Narxlar!F$2</f>
        <v>1.458203125</v>
      </c>
      <c r="G246" s="50" t="n">
        <f aca="false">G245*(1+VaR!B228)</f>
        <v>1.59872435504887</v>
      </c>
      <c r="H246" s="31" t="n">
        <f aca="false">B246/MAX(B$22:B246)-1</f>
        <v>0</v>
      </c>
      <c r="I246" s="31" t="n">
        <f aca="false">C246/MAX(C$22:C246)-1</f>
        <v>-0.0172406092277457</v>
      </c>
      <c r="J246" s="31" t="n">
        <f aca="false">D246/MAX(D$22:D246)-1</f>
        <v>-0.0447835960459524</v>
      </c>
      <c r="K246" s="31" t="n">
        <f aca="false">E246/MAX(E$22:E246)-1</f>
        <v>0</v>
      </c>
      <c r="L246" s="31" t="n">
        <f aca="false">F246/MAX(F$22:F246)-1</f>
        <v>-0.126967422063191</v>
      </c>
      <c r="M246" s="31" t="n">
        <f aca="false">G246/MAX(G$22:G246)-1</f>
        <v>-0.00827657528144443</v>
      </c>
    </row>
    <row r="247" customFormat="false" ht="15" hidden="false" customHeight="false" outlineLevel="0" collapsed="false">
      <c r="A247" s="19" t="n">
        <f aca="false">Narxlar!A227</f>
        <v>45608</v>
      </c>
      <c r="B247" s="50" t="n">
        <f aca="false">Narxlar!B227/Narxlar!B$2</f>
        <v>1.32494</v>
      </c>
      <c r="C247" s="50" t="n">
        <f aca="false">Narxlar!C227/Narxlar!C$2</f>
        <v>1.7712</v>
      </c>
      <c r="D247" s="50" t="n">
        <f aca="false">Narxlar!D227/Narxlar!D$2</f>
        <v>1.58532608695652</v>
      </c>
      <c r="E247" s="50" t="n">
        <f aca="false">Narxlar!E227/Narxlar!E$2</f>
        <v>1.51520547945205</v>
      </c>
      <c r="F247" s="50" t="n">
        <f aca="false">Narxlar!F227/Narxlar!F$2</f>
        <v>1.4559375</v>
      </c>
      <c r="G247" s="50" t="n">
        <f aca="false">G246*(1+VaR!B229)</f>
        <v>1.61263604100423</v>
      </c>
      <c r="H247" s="31" t="n">
        <f aca="false">B247/MAX(B$22:B247)-1</f>
        <v>0</v>
      </c>
      <c r="I247" s="31" t="n">
        <f aca="false">C247/MAX(C$22:C247)-1</f>
        <v>-0.0111215328956183</v>
      </c>
      <c r="J247" s="31" t="n">
        <f aca="false">D247/MAX(D$22:D247)-1</f>
        <v>-0.0258482500667914</v>
      </c>
      <c r="K247" s="31" t="n">
        <f aca="false">E247/MAX(E$22:E247)-1</f>
        <v>0</v>
      </c>
      <c r="L247" s="31" t="n">
        <f aca="false">F247/MAX(F$22:F247)-1</f>
        <v>-0.128323861643163</v>
      </c>
      <c r="M247" s="31" t="n">
        <f aca="false">G247/MAX(G$22:G247)-1</f>
        <v>0</v>
      </c>
    </row>
    <row r="248" customFormat="false" ht="15" hidden="false" customHeight="false" outlineLevel="0" collapsed="false">
      <c r="A248" s="19" t="n">
        <f aca="false">Narxlar!A228</f>
        <v>45609</v>
      </c>
      <c r="B248" s="50" t="n">
        <f aca="false">Narxlar!B228/Narxlar!B$2</f>
        <v>1.31692</v>
      </c>
      <c r="C248" s="50" t="n">
        <f aca="false">Narxlar!C228/Narxlar!C$2</f>
        <v>1.75864</v>
      </c>
      <c r="D248" s="50" t="n">
        <f aca="false">Narxlar!D228/Narxlar!D$2</f>
        <v>1.58119565217391</v>
      </c>
      <c r="E248" s="50" t="n">
        <f aca="false">Narxlar!E228/Narxlar!E$2</f>
        <v>1.51356164383562</v>
      </c>
      <c r="F248" s="50" t="n">
        <f aca="false">Narxlar!F228/Narxlar!F$2</f>
        <v>1.4368359375</v>
      </c>
      <c r="G248" s="50" t="n">
        <f aca="false">G247*(1+VaR!B230)</f>
        <v>1.60348610172743</v>
      </c>
      <c r="H248" s="31" t="n">
        <f aca="false">B248/MAX(B$22:B248)-1</f>
        <v>-0.00605310429151507</v>
      </c>
      <c r="I248" s="31" t="n">
        <f aca="false">C248/MAX(C$22:C248)-1</f>
        <v>-0.0181339050426549</v>
      </c>
      <c r="J248" s="31" t="n">
        <f aca="false">D248/MAX(D$22:D248)-1</f>
        <v>-0.0283863211327812</v>
      </c>
      <c r="K248" s="31" t="n">
        <f aca="false">E248/MAX(E$22:E248)-1</f>
        <v>-0.00108489286682933</v>
      </c>
      <c r="L248" s="31" t="n">
        <f aca="false">F248/MAX(F$22:F248)-1</f>
        <v>-0.139760050515681</v>
      </c>
      <c r="M248" s="31" t="n">
        <f aca="false">G248/MAX(G$22:G248)-1</f>
        <v>-0.00567390225949649</v>
      </c>
    </row>
    <row r="249" customFormat="false" ht="15" hidden="false" customHeight="false" outlineLevel="0" collapsed="false">
      <c r="A249" s="19" t="n">
        <f aca="false">Narxlar!A229</f>
        <v>45610</v>
      </c>
      <c r="B249" s="50" t="n">
        <f aca="false">Narxlar!B229/Narxlar!B$2</f>
        <v>1.31022</v>
      </c>
      <c r="C249" s="50" t="n">
        <f aca="false">Narxlar!C229/Narxlar!C$2</f>
        <v>1.71432</v>
      </c>
      <c r="D249" s="50" t="n">
        <f aca="false">Narxlar!D229/Narxlar!D$2</f>
        <v>1.56597826086957</v>
      </c>
      <c r="E249" s="50" t="n">
        <f aca="false">Narxlar!E229/Narxlar!E$2</f>
        <v>1.49369863013699</v>
      </c>
      <c r="F249" s="50" t="n">
        <f aca="false">Narxlar!F229/Narxlar!F$2</f>
        <v>1.414609375</v>
      </c>
      <c r="G249" s="50" t="n">
        <f aca="false">G248*(1+VaR!B231)</f>
        <v>1.5772834674391</v>
      </c>
      <c r="H249" s="31" t="n">
        <f aca="false">B249/MAX(B$22:B249)-1</f>
        <v>-0.0111099370537534</v>
      </c>
      <c r="I249" s="31" t="n">
        <f aca="false">C249/MAX(C$22:C249)-1</f>
        <v>-0.0428781991156372</v>
      </c>
      <c r="J249" s="31" t="n">
        <f aca="false">D249/MAX(D$22:D249)-1</f>
        <v>-0.0377371092706386</v>
      </c>
      <c r="K249" s="31" t="n">
        <f aca="false">E249/MAX(E$22:E249)-1</f>
        <v>-0.0141940150076847</v>
      </c>
      <c r="L249" s="31" t="n">
        <f aca="false">F249/MAX(F$22:F249)-1</f>
        <v>-0.153067190532987</v>
      </c>
      <c r="M249" s="31" t="n">
        <f aca="false">G249/MAX(G$22:G249)-1</f>
        <v>-0.02192222712765</v>
      </c>
    </row>
    <row r="250" customFormat="false" ht="15" hidden="false" customHeight="false" outlineLevel="0" collapsed="false">
      <c r="A250" s="19" t="n">
        <f aca="false">Narxlar!A230</f>
        <v>45611</v>
      </c>
      <c r="B250" s="50" t="n">
        <f aca="false">Narxlar!B230/Narxlar!B$2</f>
        <v>1.30926</v>
      </c>
      <c r="C250" s="50" t="n">
        <f aca="false">Narxlar!C230/Narxlar!C$2</f>
        <v>1.71128</v>
      </c>
      <c r="D250" s="50" t="n">
        <f aca="false">Narxlar!D230/Narxlar!D$2</f>
        <v>1.56597826086957</v>
      </c>
      <c r="E250" s="50" t="n">
        <f aca="false">Narxlar!E230/Narxlar!E$2</f>
        <v>1.48383561643836</v>
      </c>
      <c r="F250" s="50" t="n">
        <f aca="false">Narxlar!F230/Narxlar!F$2</f>
        <v>1.3993359375</v>
      </c>
      <c r="G250" s="50" t="n">
        <f aca="false">G249*(1+VaR!B232)</f>
        <v>1.57043467298271</v>
      </c>
      <c r="H250" s="31" t="n">
        <f aca="false">B250/MAX(B$22:B250)-1</f>
        <v>-0.0118344981659546</v>
      </c>
      <c r="I250" s="31" t="n">
        <f aca="false">C250/MAX(C$22:C250)-1</f>
        <v>-0.0445754611639645</v>
      </c>
      <c r="J250" s="31" t="n">
        <f aca="false">D250/MAX(D$22:D250)-1</f>
        <v>-0.0377371092706386</v>
      </c>
      <c r="K250" s="31" t="n">
        <f aca="false">E250/MAX(E$22:E250)-1</f>
        <v>-0.0207033722086611</v>
      </c>
      <c r="L250" s="31" t="n">
        <f aca="false">F250/MAX(F$22:F250)-1</f>
        <v>-0.16221146425314</v>
      </c>
      <c r="M250" s="31" t="n">
        <f aca="false">G250/MAX(G$22:G250)-1</f>
        <v>-0.0261691832183287</v>
      </c>
    </row>
    <row r="251" customFormat="false" ht="15" hidden="false" customHeight="false" outlineLevel="0" collapsed="false">
      <c r="A251" s="19" t="n">
        <f aca="false">Narxlar!A231</f>
        <v>45614</v>
      </c>
      <c r="B251" s="50" t="n">
        <f aca="false">Narxlar!B231/Narxlar!B$2</f>
        <v>1.30569</v>
      </c>
      <c r="C251" s="50" t="n">
        <f aca="false">Narxlar!C231/Narxlar!C$2</f>
        <v>1.72112</v>
      </c>
      <c r="D251" s="50" t="n">
        <f aca="false">Narxlar!D231/Narxlar!D$2</f>
        <v>1.56679347826087</v>
      </c>
      <c r="E251" s="50" t="n">
        <f aca="false">Narxlar!E231/Narxlar!E$2</f>
        <v>1.49452054794521</v>
      </c>
      <c r="F251" s="50" t="n">
        <f aca="false">Narxlar!F231/Narxlar!F$2</f>
        <v>1.381171875</v>
      </c>
      <c r="G251" s="50" t="n">
        <f aca="false">G250*(1+VaR!B233)</f>
        <v>1.5720982245347</v>
      </c>
      <c r="H251" s="31" t="n">
        <f aca="false">B251/MAX(B$22:B251)-1</f>
        <v>-0.0145289598019532</v>
      </c>
      <c r="I251" s="31" t="n">
        <f aca="false">C251/MAX(C$22:C251)-1</f>
        <v>-0.0390816919022735</v>
      </c>
      <c r="J251" s="31" t="n">
        <f aca="false">D251/MAX(D$22:D251)-1</f>
        <v>-0.0372361741918248</v>
      </c>
      <c r="K251" s="31" t="n">
        <f aca="false">E251/MAX(E$22:E251)-1</f>
        <v>-0.01365156857427</v>
      </c>
      <c r="L251" s="31" t="n">
        <f aca="false">F251/MAX(F$22:F251)-1</f>
        <v>-0.173086367782221</v>
      </c>
      <c r="M251" s="31" t="n">
        <f aca="false">G251/MAX(G$22:G251)-1</f>
        <v>-0.0251376103713304</v>
      </c>
    </row>
    <row r="252" customFormat="false" ht="15" hidden="false" customHeight="false" outlineLevel="0" collapsed="false">
      <c r="A252" s="19" t="n">
        <f aca="false">Narxlar!A232</f>
        <v>45615</v>
      </c>
      <c r="B252" s="50" t="n">
        <f aca="false">Narxlar!B232/Narxlar!B$2</f>
        <v>1.2974</v>
      </c>
      <c r="C252" s="50" t="n">
        <f aca="false">Narxlar!C232/Narxlar!C$2</f>
        <v>1.69816</v>
      </c>
      <c r="D252" s="50" t="n">
        <f aca="false">Narxlar!D232/Narxlar!D$2</f>
        <v>1.55836956521739</v>
      </c>
      <c r="E252" s="50" t="n">
        <f aca="false">Narxlar!E232/Narxlar!E$2</f>
        <v>1.48876712328767</v>
      </c>
      <c r="F252" s="50" t="n">
        <f aca="false">Narxlar!F232/Narxlar!F$2</f>
        <v>1.3596875</v>
      </c>
      <c r="G252" s="50" t="n">
        <f aca="false">G251*(1+VaR!B234)</f>
        <v>1.55728963572519</v>
      </c>
      <c r="H252" s="31" t="n">
        <f aca="false">B252/MAX(B$22:B252)-1</f>
        <v>-0.0207858469062749</v>
      </c>
      <c r="I252" s="31" t="n">
        <f aca="false">C252/MAX(C$22:C252)-1</f>
        <v>-0.0519004868462192</v>
      </c>
      <c r="J252" s="31" t="n">
        <f aca="false">D252/MAX(D$22:D252)-1</f>
        <v>-0.0424125033395673</v>
      </c>
      <c r="K252" s="31" t="n">
        <f aca="false">E252/MAX(E$22:E252)-1</f>
        <v>-0.0174486936081729</v>
      </c>
      <c r="L252" s="31" t="n">
        <f aca="false">F252/MAX(F$22:F252)-1</f>
        <v>-0.18594915690264</v>
      </c>
      <c r="M252" s="31" t="n">
        <f aca="false">G252/MAX(G$22:G252)-1</f>
        <v>-0.0343204566137388</v>
      </c>
    </row>
    <row r="253" customFormat="false" ht="15" hidden="false" customHeight="false" outlineLevel="0" collapsed="false">
      <c r="A253" s="19" t="n">
        <f aca="false">Narxlar!A233</f>
        <v>45616</v>
      </c>
      <c r="B253" s="50" t="n">
        <f aca="false">Narxlar!B233/Narxlar!B$2</f>
        <v>1.29356</v>
      </c>
      <c r="C253" s="50" t="n">
        <f aca="false">Narxlar!C233/Narxlar!C$2</f>
        <v>1.7156</v>
      </c>
      <c r="D253" s="50" t="n">
        <f aca="false">Narxlar!D233/Narxlar!D$2</f>
        <v>1.55701086956522</v>
      </c>
      <c r="E253" s="50" t="n">
        <f aca="false">Narxlar!E233/Narxlar!E$2</f>
        <v>1.49397260273973</v>
      </c>
      <c r="F253" s="50" t="n">
        <f aca="false">Narxlar!F233/Narxlar!F$2</f>
        <v>1.3418359375</v>
      </c>
      <c r="G253" s="50" t="n">
        <f aca="false">G252*(1+VaR!B235)</f>
        <v>1.55902026260484</v>
      </c>
      <c r="H253" s="31" t="n">
        <f aca="false">B253/MAX(B$22:B253)-1</f>
        <v>-0.0236840913550802</v>
      </c>
      <c r="I253" s="31" t="n">
        <f aca="false">C253/MAX(C$22:C253)-1</f>
        <v>-0.0421635624637099</v>
      </c>
      <c r="J253" s="31" t="n">
        <f aca="false">D253/MAX(D$22:D253)-1</f>
        <v>-0.0432473951375901</v>
      </c>
      <c r="K253" s="31" t="n">
        <f aca="false">E253/MAX(E$22:E253)-1</f>
        <v>-0.0140131995298798</v>
      </c>
      <c r="L253" s="31" t="n">
        <f aca="false">F253/MAX(F$22:F253)-1</f>
        <v>-0.196636965317243</v>
      </c>
      <c r="M253" s="31" t="n">
        <f aca="false">G253/MAX(G$22:G253)-1</f>
        <v>-0.033247290173424</v>
      </c>
    </row>
    <row r="254" customFormat="false" ht="15" hidden="false" customHeight="false" outlineLevel="0" collapsed="false">
      <c r="A254" s="19" t="n">
        <f aca="false">Narxlar!A234</f>
        <v>45617</v>
      </c>
      <c r="B254" s="50" t="n">
        <f aca="false">Narxlar!B234/Narxlar!B$2</f>
        <v>1.295</v>
      </c>
      <c r="C254" s="50" t="n">
        <f aca="false">Narxlar!C234/Narxlar!C$2</f>
        <v>1.71</v>
      </c>
      <c r="D254" s="50" t="n">
        <f aca="false">Narxlar!D234/Narxlar!D$2</f>
        <v>1.5558152173913</v>
      </c>
      <c r="E254" s="50" t="n">
        <f aca="false">Narxlar!E234/Narxlar!E$2</f>
        <v>1.47945205479452</v>
      </c>
      <c r="F254" s="50" t="n">
        <f aca="false">Narxlar!F234/Narxlar!F$2</f>
        <v>1.3403125</v>
      </c>
      <c r="G254" s="50" t="n">
        <f aca="false">G253*(1+VaR!B236)</f>
        <v>1.55305209798473</v>
      </c>
      <c r="H254" s="31" t="n">
        <f aca="false">B254/MAX(B$22:B254)-1</f>
        <v>-0.0225972496867783</v>
      </c>
      <c r="I254" s="31" t="n">
        <f aca="false">C254/MAX(C$22:C254)-1</f>
        <v>-0.0452900978158918</v>
      </c>
      <c r="J254" s="31" t="n">
        <f aca="false">D254/MAX(D$22:D254)-1</f>
        <v>-0.0439820999198505</v>
      </c>
      <c r="K254" s="31" t="n">
        <f aca="false">E254/MAX(E$22:E254)-1</f>
        <v>-0.0235964198535396</v>
      </c>
      <c r="L254" s="31" t="n">
        <f aca="false">F254/MAX(F$22:F254)-1</f>
        <v>-0.197549054000327</v>
      </c>
      <c r="M254" s="31" t="n">
        <f aca="false">G254/MAX(G$22:G254)-1</f>
        <v>-0.0369481653047988</v>
      </c>
    </row>
    <row r="255" customFormat="false" ht="15" hidden="false" customHeight="false" outlineLevel="0" collapsed="false">
      <c r="A255" s="19" t="n">
        <f aca="false">Narxlar!A235</f>
        <v>45618</v>
      </c>
      <c r="B255" s="50" t="n">
        <f aca="false">Narxlar!B235/Narxlar!B$2</f>
        <v>1.29447</v>
      </c>
      <c r="C255" s="50" t="n">
        <f aca="false">Narxlar!C235/Narxlar!C$2</f>
        <v>1.6956</v>
      </c>
      <c r="D255" s="50" t="n">
        <f aca="false">Narxlar!D235/Narxlar!D$2</f>
        <v>1.55771739130435</v>
      </c>
      <c r="E255" s="50" t="n">
        <f aca="false">Narxlar!E235/Narxlar!E$2</f>
        <v>1.46452054794521</v>
      </c>
      <c r="F255" s="50" t="n">
        <f aca="false">Narxlar!F235/Narxlar!F$2</f>
        <v>1.3156640625</v>
      </c>
      <c r="G255" s="50" t="n">
        <f aca="false">G254*(1+VaR!B237)</f>
        <v>1.53997256972007</v>
      </c>
      <c r="H255" s="31" t="n">
        <f aca="false">B255/MAX(B$22:B255)-1</f>
        <v>-0.022997267800806</v>
      </c>
      <c r="I255" s="31" t="n">
        <f aca="false">C255/MAX(C$22:C255)-1</f>
        <v>-0.0533297601500737</v>
      </c>
      <c r="J255" s="31" t="n">
        <f aca="false">D255/MAX(D$22:D255)-1</f>
        <v>-0.0428132514026183</v>
      </c>
      <c r="K255" s="31" t="n">
        <f aca="false">E255/MAX(E$22:E255)-1</f>
        <v>-0.0334508633939066</v>
      </c>
      <c r="L255" s="31" t="n">
        <f aca="false">F255/MAX(F$22:F255)-1</f>
        <v>-0.212306181154845</v>
      </c>
      <c r="M255" s="31" t="n">
        <f aca="false">G255/MAX(G$22:G255)-1</f>
        <v>-0.0450588163953686</v>
      </c>
    </row>
    <row r="256" customFormat="false" ht="15" hidden="false" customHeight="false" outlineLevel="0" collapsed="false">
      <c r="A256" s="19" t="n">
        <f aca="false">Narxlar!A236</f>
        <v>45621</v>
      </c>
      <c r="B256" s="50" t="n">
        <f aca="false">Narxlar!B236/Narxlar!B$2</f>
        <v>1.29419</v>
      </c>
      <c r="C256" s="50" t="n">
        <f aca="false">Narxlar!C236/Narxlar!C$2</f>
        <v>1.71592</v>
      </c>
      <c r="D256" s="50" t="n">
        <f aca="false">Narxlar!D236/Narxlar!D$2</f>
        <v>1.58798913043478</v>
      </c>
      <c r="E256" s="50" t="n">
        <f aca="false">Narxlar!E236/Narxlar!E$2</f>
        <v>1.46479452054795</v>
      </c>
      <c r="F256" s="50" t="n">
        <f aca="false">Narxlar!F236/Narxlar!F$2</f>
        <v>1.3348046875</v>
      </c>
      <c r="G256" s="50" t="n">
        <f aca="false">G255*(1+VaR!B238)</f>
        <v>1.55754359085104</v>
      </c>
      <c r="H256" s="31" t="n">
        <f aca="false">B256/MAX(B$22:B256)-1</f>
        <v>-0.0232085981251982</v>
      </c>
      <c r="I256" s="31" t="n">
        <f aca="false">C256/MAX(C$22:C256)-1</f>
        <v>-0.0419849033007281</v>
      </c>
      <c r="J256" s="31" t="n">
        <f aca="false">D256/MAX(D$22:D256)-1</f>
        <v>-0.0242118621426664</v>
      </c>
      <c r="K256" s="31" t="n">
        <f aca="false">E256/MAX(E$22:E256)-1</f>
        <v>-0.0332700479161017</v>
      </c>
      <c r="L256" s="31" t="n">
        <f aca="false">F256/MAX(F$22:F256)-1</f>
        <v>-0.200846605393017</v>
      </c>
      <c r="M256" s="31" t="n">
        <f aca="false">G256/MAX(G$22:G256)-1</f>
        <v>-0.034162978348719</v>
      </c>
    </row>
    <row r="257" customFormat="false" ht="15" hidden="false" customHeight="false" outlineLevel="0" collapsed="false">
      <c r="A257" s="19" t="n">
        <f aca="false">Narxlar!A237</f>
        <v>45622</v>
      </c>
      <c r="B257" s="50" t="n">
        <f aca="false">Narxlar!B237/Narxlar!B$2</f>
        <v>1.29697</v>
      </c>
      <c r="C257" s="50" t="n">
        <f aca="false">Narxlar!C237/Narxlar!C$2</f>
        <v>1.72688</v>
      </c>
      <c r="D257" s="50" t="n">
        <f aca="false">Narxlar!D237/Narxlar!D$2</f>
        <v>1.59853260869565</v>
      </c>
      <c r="E257" s="50" t="n">
        <f aca="false">Narxlar!E237/Narxlar!E$2</f>
        <v>1.45890410958904</v>
      </c>
      <c r="F257" s="50" t="n">
        <f aca="false">Narxlar!F237/Narxlar!F$2</f>
        <v>1.3405859375</v>
      </c>
      <c r="G257" s="50" t="n">
        <f aca="false">G256*(1+VaR!B239)</f>
        <v>1.5628967951301</v>
      </c>
      <c r="H257" s="31" t="n">
        <f aca="false">B257/MAX(B$22:B257)-1</f>
        <v>-0.0211103899044486</v>
      </c>
      <c r="I257" s="31" t="n">
        <f aca="false">C257/MAX(C$22:C257)-1</f>
        <v>-0.0358658269686007</v>
      </c>
      <c r="J257" s="31" t="n">
        <f aca="false">D257/MAX(D$22:D257)-1</f>
        <v>-0.017733101790008</v>
      </c>
      <c r="K257" s="31" t="n">
        <f aca="false">E257/MAX(E$22:E257)-1</f>
        <v>-0.037157580688907</v>
      </c>
      <c r="L257" s="31" t="n">
        <f aca="false">F257/MAX(F$22:F257)-1</f>
        <v>-0.197385345775158</v>
      </c>
      <c r="M257" s="31" t="n">
        <f aca="false">G257/MAX(G$22:G257)-1</f>
        <v>-0.030843441799278</v>
      </c>
    </row>
    <row r="258" customFormat="false" ht="15" hidden="false" customHeight="false" outlineLevel="0" collapsed="false">
      <c r="A258" s="19" t="n">
        <f aca="false">Narxlar!A238</f>
        <v>45623</v>
      </c>
      <c r="B258" s="50" t="n">
        <f aca="false">Narxlar!B238/Narxlar!B$2</f>
        <v>1.30131</v>
      </c>
      <c r="C258" s="50" t="n">
        <f aca="false">Narxlar!C238/Narxlar!C$2</f>
        <v>1.75728</v>
      </c>
      <c r="D258" s="50" t="n">
        <f aca="false">Narxlar!D238/Narxlar!D$2</f>
        <v>1.59402173913043</v>
      </c>
      <c r="E258" s="50" t="n">
        <f aca="false">Narxlar!E238/Narxlar!E$2</f>
        <v>1.47150684931507</v>
      </c>
      <c r="F258" s="50" t="n">
        <f aca="false">Narxlar!F238/Narxlar!F$2</f>
        <v>1.3522265625</v>
      </c>
      <c r="G258" s="50" t="n">
        <f aca="false">G257*(1+VaR!B240)</f>
        <v>1.57613766015335</v>
      </c>
      <c r="H258" s="31" t="n">
        <f aca="false">B258/MAX(B$22:B258)-1</f>
        <v>-0.0178347698763718</v>
      </c>
      <c r="I258" s="31" t="n">
        <f aca="false">C258/MAX(C$22:C258)-1</f>
        <v>-0.0188932064853277</v>
      </c>
      <c r="J258" s="31" t="n">
        <f aca="false">D258/MAX(D$22:D258)-1</f>
        <v>-0.0205049425594444</v>
      </c>
      <c r="K258" s="31" t="n">
        <f aca="false">E258/MAX(E$22:E258)-1</f>
        <v>-0.0288400687098817</v>
      </c>
      <c r="L258" s="31" t="n">
        <f aca="false">F258/MAX(F$22:F258)-1</f>
        <v>-0.190416052760822</v>
      </c>
      <c r="M258" s="31" t="n">
        <f aca="false">G258/MAX(G$22:G258)-1</f>
        <v>-0.0226327453454122</v>
      </c>
    </row>
    <row r="259" customFormat="false" ht="15" hidden="false" customHeight="false" outlineLevel="0" collapsed="false">
      <c r="A259" s="19" t="n">
        <f aca="false">Narxlar!A239</f>
        <v>45624</v>
      </c>
      <c r="B259" s="50" t="n">
        <f aca="false">Narxlar!B239/Narxlar!B$2</f>
        <v>1.30115</v>
      </c>
      <c r="C259" s="50" t="n">
        <f aca="false">Narxlar!C239/Narxlar!C$2</f>
        <v>1.76576</v>
      </c>
      <c r="D259" s="50" t="n">
        <f aca="false">Narxlar!D239/Narxlar!D$2</f>
        <v>1.60402173913043</v>
      </c>
      <c r="E259" s="50" t="n">
        <f aca="false">Narxlar!E239/Narxlar!E$2</f>
        <v>1.46712328767123</v>
      </c>
      <c r="F259" s="50" t="n">
        <f aca="false">Narxlar!F239/Narxlar!F$2</f>
        <v>1.3497265625</v>
      </c>
      <c r="G259" s="50" t="n">
        <f aca="false">G258*(1+VaR!B241)</f>
        <v>1.57913476650876</v>
      </c>
      <c r="H259" s="31" t="n">
        <f aca="false">B259/MAX(B$22:B259)-1</f>
        <v>-0.0179555300617387</v>
      </c>
      <c r="I259" s="31" t="n">
        <f aca="false">C259/MAX(C$22:C259)-1</f>
        <v>-0.0141587386663093</v>
      </c>
      <c r="J259" s="31" t="n">
        <f aca="false">D259/MAX(D$22:D259)-1</f>
        <v>-0.0143601389259952</v>
      </c>
      <c r="K259" s="31" t="n">
        <f aca="false">E259/MAX(E$22:E259)-1</f>
        <v>-0.0317331163547601</v>
      </c>
      <c r="L259" s="31" t="n">
        <f aca="false">F259/MAX(F$22:F259)-1</f>
        <v>-0.191912813676653</v>
      </c>
      <c r="M259" s="31" t="n">
        <f aca="false">G259/MAX(G$22:G259)-1</f>
        <v>-0.0207742315337358</v>
      </c>
    </row>
    <row r="260" customFormat="false" ht="15" hidden="false" customHeight="false" outlineLevel="0" collapsed="false">
      <c r="A260" s="19" t="n">
        <f aca="false">Narxlar!A240</f>
        <v>45625</v>
      </c>
      <c r="B260" s="50" t="n">
        <f aca="false">Narxlar!B240/Narxlar!B$2</f>
        <v>1.30411</v>
      </c>
      <c r="C260" s="50" t="n">
        <f aca="false">Narxlar!C240/Narxlar!C$2</f>
        <v>1.76864</v>
      </c>
      <c r="D260" s="50" t="n">
        <f aca="false">Narxlar!D240/Narxlar!D$2</f>
        <v>1.61336956521739</v>
      </c>
      <c r="E260" s="50" t="n">
        <f aca="false">Narxlar!E240/Narxlar!E$2</f>
        <v>1.45301369863014</v>
      </c>
      <c r="F260" s="50" t="n">
        <f aca="false">Narxlar!F240/Narxlar!F$2</f>
        <v>1.3397265625</v>
      </c>
      <c r="G260" s="50" t="n">
        <f aca="false">G259*(1+VaR!B242)</f>
        <v>1.57607150838169</v>
      </c>
      <c r="H260" s="31" t="n">
        <f aca="false">B260/MAX(B$22:B260)-1</f>
        <v>-0.0157214666324513</v>
      </c>
      <c r="I260" s="31" t="n">
        <f aca="false">C260/MAX(C$22:C260)-1</f>
        <v>-0.012550806199473</v>
      </c>
      <c r="J260" s="31" t="n">
        <f aca="false">D260/MAX(D$22:D260)-1</f>
        <v>-0.00861608335559705</v>
      </c>
      <c r="K260" s="31" t="n">
        <f aca="false">E260/MAX(E$22:E260)-1</f>
        <v>-0.0410451134617124</v>
      </c>
      <c r="L260" s="31" t="n">
        <f aca="false">F260/MAX(F$22:F260)-1</f>
        <v>-0.197899857339975</v>
      </c>
      <c r="M260" s="31" t="n">
        <f aca="false">G260/MAX(G$22:G260)-1</f>
        <v>-0.0226737662391412</v>
      </c>
    </row>
    <row r="261" customFormat="false" ht="15" hidden="false" customHeight="false" outlineLevel="0" collapsed="false">
      <c r="A261" s="19" t="n">
        <f aca="false">Narxlar!A241</f>
        <v>45628</v>
      </c>
      <c r="B261" s="50" t="n">
        <f aca="false">Narxlar!B241/Narxlar!B$2</f>
        <v>1.30336</v>
      </c>
      <c r="C261" s="50" t="n">
        <f aca="false">Narxlar!C241/Narxlar!C$2</f>
        <v>1.76744</v>
      </c>
      <c r="D261" s="50" t="n">
        <f aca="false">Narxlar!D241/Narxlar!D$2</f>
        <v>1.60244565217391</v>
      </c>
      <c r="E261" s="50" t="n">
        <f aca="false">Narxlar!E241/Narxlar!E$2</f>
        <v>1.46164383561644</v>
      </c>
      <c r="F261" s="50" t="n">
        <f aca="false">Narxlar!F241/Narxlar!F$2</f>
        <v>1.2928125</v>
      </c>
      <c r="G261" s="50" t="n">
        <f aca="false">G260*(1+VaR!B243)</f>
        <v>1.56438505973212</v>
      </c>
      <c r="H261" s="31" t="n">
        <f aca="false">B261/MAX(B$22:B261)-1</f>
        <v>-0.0162875300013586</v>
      </c>
      <c r="I261" s="31" t="n">
        <f aca="false">C261/MAX(C$22:C261)-1</f>
        <v>-0.0132207780606549</v>
      </c>
      <c r="J261" s="31" t="n">
        <f aca="false">D261/MAX(D$22:D261)-1</f>
        <v>-0.0153286134117019</v>
      </c>
      <c r="K261" s="31" t="n">
        <f aca="false">E261/MAX(E$22:E261)-1</f>
        <v>-0.0353494259108581</v>
      </c>
      <c r="L261" s="31" t="n">
        <f aca="false">F261/MAX(F$22:F261)-1</f>
        <v>-0.225987511401109</v>
      </c>
      <c r="M261" s="31" t="n">
        <f aca="false">G261/MAX(G$22:G261)-1</f>
        <v>-0.0299205648672359</v>
      </c>
    </row>
    <row r="262" customFormat="false" ht="15" hidden="false" customHeight="false" outlineLevel="0" collapsed="false">
      <c r="A262" s="19" t="n">
        <f aca="false">Narxlar!A242</f>
        <v>45629</v>
      </c>
      <c r="B262" s="50" t="n">
        <f aca="false">Narxlar!B242/Narxlar!B$2</f>
        <v>1.30165</v>
      </c>
      <c r="C262" s="50" t="n">
        <f aca="false">Narxlar!C242/Narxlar!C$2</f>
        <v>1.78104</v>
      </c>
      <c r="D262" s="50" t="n">
        <f aca="false">Narxlar!D242/Narxlar!D$2</f>
        <v>1.5491847826087</v>
      </c>
      <c r="E262" s="50" t="n">
        <f aca="false">Narxlar!E242/Narxlar!E$2</f>
        <v>1.4572602739726</v>
      </c>
      <c r="F262" s="50" t="n">
        <f aca="false">Narxlar!F242/Narxlar!F$2</f>
        <v>1.27265625</v>
      </c>
      <c r="G262" s="50" t="n">
        <f aca="false">G261*(1+VaR!B244)</f>
        <v>1.54894637255732</v>
      </c>
      <c r="H262" s="31" t="n">
        <f aca="false">B262/MAX(B$22:B262)-1</f>
        <v>-0.017578154482467</v>
      </c>
      <c r="I262" s="31" t="n">
        <f aca="false">C262/MAX(C$22:C262)-1</f>
        <v>-0.00562776363392747</v>
      </c>
      <c r="J262" s="31" t="n">
        <f aca="false">D262/MAX(D$22:D262)-1</f>
        <v>-0.0480563718942024</v>
      </c>
      <c r="K262" s="31" t="n">
        <f aca="false">E262/MAX(E$22:E262)-1</f>
        <v>-0.0382424735557364</v>
      </c>
      <c r="L262" s="31" t="n">
        <f aca="false">F262/MAX(F$22:F262)-1</f>
        <v>-0.238055146284993</v>
      </c>
      <c r="M262" s="31" t="n">
        <f aca="false">G262/MAX(G$22:G262)-1</f>
        <v>-0.0394941368216258</v>
      </c>
    </row>
    <row r="263" customFormat="false" ht="15" hidden="false" customHeight="false" outlineLevel="0" collapsed="false">
      <c r="A263" s="19" t="n">
        <f aca="false">Narxlar!A243</f>
        <v>45630</v>
      </c>
      <c r="B263" s="50" t="n">
        <f aca="false">Narxlar!B243/Narxlar!B$2</f>
        <v>1.31759</v>
      </c>
      <c r="C263" s="50" t="n">
        <f aca="false">Narxlar!C243/Narxlar!C$2</f>
        <v>1.80784</v>
      </c>
      <c r="D263" s="50" t="n">
        <f aca="false">Narxlar!D243/Narxlar!D$2</f>
        <v>1.58494565217391</v>
      </c>
      <c r="E263" s="50" t="n">
        <f aca="false">Narxlar!E243/Narxlar!E$2</f>
        <v>1.46657534246575</v>
      </c>
      <c r="F263" s="50" t="n">
        <f aca="false">Narxlar!F243/Narxlar!F$2</f>
        <v>1.31765625</v>
      </c>
      <c r="G263" s="50" t="n">
        <f aca="false">G262*(1+VaR!B245)</f>
        <v>1.57830665375279</v>
      </c>
      <c r="H263" s="31" t="n">
        <f aca="false">B263/MAX(B$22:B263)-1</f>
        <v>-0.00554742101529138</v>
      </c>
      <c r="I263" s="31" t="n">
        <f aca="false">C263/MAX(C$22:C263)-1</f>
        <v>0</v>
      </c>
      <c r="J263" s="31" t="n">
        <f aca="false">D263/MAX(D$22:D263)-1</f>
        <v>-0.0260820197702377</v>
      </c>
      <c r="K263" s="31" t="n">
        <f aca="false">E263/MAX(E$22:E263)-1</f>
        <v>-0.0320947473103698</v>
      </c>
      <c r="L263" s="31" t="n">
        <f aca="false">F263/MAX(F$22:F263)-1</f>
        <v>-0.211113449800042</v>
      </c>
      <c r="M263" s="31" t="n">
        <f aca="false">G263/MAX(G$22:G263)-1</f>
        <v>-0.0212877465085451</v>
      </c>
    </row>
    <row r="264" customFormat="false" ht="15" hidden="false" customHeight="false" outlineLevel="0" collapsed="false">
      <c r="A264" s="19" t="n">
        <f aca="false">Narxlar!A244</f>
        <v>45631</v>
      </c>
      <c r="B264" s="50" t="n">
        <f aca="false">Narxlar!B244/Narxlar!B$2</f>
        <v>1.31827</v>
      </c>
      <c r="C264" s="50" t="n">
        <f aca="false">Narxlar!C244/Narxlar!C$2</f>
        <v>1.76376</v>
      </c>
      <c r="D264" s="50" t="n">
        <f aca="false">Narxlar!D244/Narxlar!D$2</f>
        <v>1.58630434782609</v>
      </c>
      <c r="E264" s="50" t="n">
        <f aca="false">Narxlar!E244/Narxlar!E$2</f>
        <v>1.46657534246575</v>
      </c>
      <c r="F264" s="50" t="n">
        <f aca="false">Narxlar!F244/Narxlar!F$2</f>
        <v>1.3209375</v>
      </c>
      <c r="G264" s="50" t="n">
        <f aca="false">G263*(1+VaR!B246)</f>
        <v>1.56788596209863</v>
      </c>
      <c r="H264" s="31" t="n">
        <f aca="false">B264/MAX(B$22:B264)-1</f>
        <v>-0.00503419022748197</v>
      </c>
      <c r="I264" s="31" t="n">
        <f aca="false">C264/MAX(C$22:C264)-1</f>
        <v>-0.0243826887335162</v>
      </c>
      <c r="J264" s="31" t="n">
        <f aca="false">D264/MAX(D$22:D264)-1</f>
        <v>-0.0252471279722147</v>
      </c>
      <c r="K264" s="31" t="n">
        <f aca="false">E264/MAX(E$22:E264)-1</f>
        <v>-0.0320947473103698</v>
      </c>
      <c r="L264" s="31" t="n">
        <f aca="false">F264/MAX(F$22:F264)-1</f>
        <v>-0.209148951098014</v>
      </c>
      <c r="M264" s="31" t="n">
        <f aca="false">G264/MAX(G$22:G264)-1</f>
        <v>-0.0277496457773133</v>
      </c>
    </row>
    <row r="265" customFormat="false" ht="15" hidden="false" customHeight="false" outlineLevel="0" collapsed="false">
      <c r="A265" s="19" t="n">
        <f aca="false">Narxlar!A245</f>
        <v>45632</v>
      </c>
      <c r="B265" s="50" t="n">
        <f aca="false">Narxlar!B245/Narxlar!B$2</f>
        <v>1.31569</v>
      </c>
      <c r="C265" s="50" t="n">
        <f aca="false">Narxlar!C245/Narxlar!C$2</f>
        <v>1.76384</v>
      </c>
      <c r="D265" s="50" t="n">
        <f aca="false">Narxlar!D245/Narxlar!D$2</f>
        <v>1.60336956521739</v>
      </c>
      <c r="E265" s="50" t="n">
        <f aca="false">Narxlar!E245/Narxlar!E$2</f>
        <v>1.46178082191781</v>
      </c>
      <c r="F265" s="50" t="n">
        <f aca="false">Narxlar!F245/Narxlar!F$2</f>
        <v>1.31828125</v>
      </c>
      <c r="G265" s="50" t="n">
        <f aca="false">G264*(1+VaR!B247)</f>
        <v>1.57021206755289</v>
      </c>
      <c r="H265" s="31" t="n">
        <f aca="false">B265/MAX(B$22:B265)-1</f>
        <v>-0.00698144821652302</v>
      </c>
      <c r="I265" s="31" t="n">
        <f aca="false">C265/MAX(C$22:C265)-1</f>
        <v>-0.0243384370298255</v>
      </c>
      <c r="J265" s="31" t="n">
        <f aca="false">D265/MAX(D$22:D265)-1</f>
        <v>-0.0147608869890462</v>
      </c>
      <c r="K265" s="31" t="n">
        <f aca="false">E265/MAX(E$22:E265)-1</f>
        <v>-0.0352590181719557</v>
      </c>
      <c r="L265" s="31" t="n">
        <f aca="false">F265/MAX(F$22:F265)-1</f>
        <v>-0.210739259571084</v>
      </c>
      <c r="M265" s="31" t="n">
        <f aca="false">G265/MAX(G$22:G265)-1</f>
        <v>-0.0263072214514807</v>
      </c>
    </row>
    <row r="266" customFormat="false" ht="15" hidden="false" customHeight="false" outlineLevel="0" collapsed="false">
      <c r="A266" s="19" t="n">
        <f aca="false">Narxlar!A246</f>
        <v>45635</v>
      </c>
      <c r="B266" s="50" t="n">
        <f aca="false">Narxlar!B246/Narxlar!B$2</f>
        <v>1.3098</v>
      </c>
      <c r="C266" s="50" t="n">
        <f aca="false">Narxlar!C246/Narxlar!C$2</f>
        <v>1.7268</v>
      </c>
      <c r="D266" s="50" t="n">
        <f aca="false">Narxlar!D246/Narxlar!D$2</f>
        <v>1.6154347826087</v>
      </c>
      <c r="E266" s="50" t="n">
        <f aca="false">Narxlar!E246/Narxlar!E$2</f>
        <v>1.48027397260274</v>
      </c>
      <c r="F266" s="50" t="n">
        <f aca="false">Narxlar!F246/Narxlar!F$2</f>
        <v>1.3102734375</v>
      </c>
      <c r="G266" s="50" t="n">
        <f aca="false">G265*(1+VaR!B248)</f>
        <v>1.56633243163369</v>
      </c>
      <c r="H266" s="31" t="n">
        <f aca="false">B266/MAX(B$22:B266)-1</f>
        <v>-0.0114269325403416</v>
      </c>
      <c r="I266" s="31" t="n">
        <f aca="false">C266/MAX(C$22:C266)-1</f>
        <v>-0.0448269758385698</v>
      </c>
      <c r="J266" s="31" t="n">
        <f aca="false">D266/MAX(D$22:D266)-1</f>
        <v>-0.0073470478226022</v>
      </c>
      <c r="K266" s="31" t="n">
        <f aca="false">E266/MAX(E$22:E266)-1</f>
        <v>-0.0230539734201248</v>
      </c>
      <c r="L266" s="31" t="n">
        <f aca="false">F266/MAX(F$22:F266)-1</f>
        <v>-0.215533571879604</v>
      </c>
      <c r="M266" s="31" t="n">
        <f aca="false">G266/MAX(G$22:G266)-1</f>
        <v>-0.028712994248661</v>
      </c>
    </row>
    <row r="267" customFormat="false" ht="15" hidden="false" customHeight="false" outlineLevel="0" collapsed="false">
      <c r="A267" s="19" t="n">
        <f aca="false">Narxlar!A247</f>
        <v>45636</v>
      </c>
      <c r="B267" s="50" t="n">
        <f aca="false">Narxlar!B247/Narxlar!B$2</f>
        <v>1.30092</v>
      </c>
      <c r="C267" s="50" t="n">
        <f aca="false">Narxlar!C247/Narxlar!C$2</f>
        <v>1.73888</v>
      </c>
      <c r="D267" s="50" t="n">
        <f aca="false">Narxlar!D247/Narxlar!D$2</f>
        <v>1.59989130434783</v>
      </c>
      <c r="E267" s="50" t="n">
        <f aca="false">Narxlar!E247/Narxlar!E$2</f>
        <v>1.47876712328767</v>
      </c>
      <c r="F267" s="50" t="n">
        <f aca="false">Narxlar!F247/Narxlar!F$2</f>
        <v>1.314453125</v>
      </c>
      <c r="G267" s="50" t="n">
        <f aca="false">G266*(1+VaR!B249)</f>
        <v>1.56645259259799</v>
      </c>
      <c r="H267" s="31" t="n">
        <f aca="false">B267/MAX(B$22:B267)-1</f>
        <v>-0.0181291228282034</v>
      </c>
      <c r="I267" s="31" t="n">
        <f aca="false">C267/MAX(C$22:C267)-1</f>
        <v>-0.0381449685812904</v>
      </c>
      <c r="J267" s="31" t="n">
        <f aca="false">D267/MAX(D$22:D267)-1</f>
        <v>-0.0168982099919851</v>
      </c>
      <c r="K267" s="31" t="n">
        <f aca="false">E267/MAX(E$22:E267)-1</f>
        <v>-0.0240484585480518</v>
      </c>
      <c r="L267" s="31" t="n">
        <f aca="false">F267/MAX(F$22:F267)-1</f>
        <v>-0.21303117472345</v>
      </c>
      <c r="M267" s="31" t="n">
        <f aca="false">G267/MAX(G$22:G267)-1</f>
        <v>-0.0286384821075188</v>
      </c>
    </row>
    <row r="268" customFormat="false" ht="15" hidden="false" customHeight="false" outlineLevel="0" collapsed="false">
      <c r="A268" s="19" t="n">
        <f aca="false">Narxlar!A248</f>
        <v>45637</v>
      </c>
      <c r="B268" s="50" t="n">
        <f aca="false">Narxlar!B248/Narxlar!B$2</f>
        <v>1.31203</v>
      </c>
      <c r="C268" s="50" t="n">
        <f aca="false">Narxlar!C248/Narxlar!C$2</f>
        <v>1.77728</v>
      </c>
      <c r="D268" s="50" t="n">
        <f aca="false">Narxlar!D248/Narxlar!D$2</f>
        <v>1.62978260869565</v>
      </c>
      <c r="E268" s="50" t="n">
        <f aca="false">Narxlar!E248/Narxlar!E$2</f>
        <v>1.47</v>
      </c>
      <c r="F268" s="50" t="n">
        <f aca="false">Narxlar!F248/Narxlar!F$2</f>
        <v>1.307734375</v>
      </c>
      <c r="G268" s="50" t="n">
        <f aca="false">G267*(1+VaR!B250)</f>
        <v>1.58022379689747</v>
      </c>
      <c r="H268" s="31" t="n">
        <f aca="false">B268/MAX(B$22:B268)-1</f>
        <v>-0.00974383745679053</v>
      </c>
      <c r="I268" s="31" t="n">
        <f aca="false">C268/MAX(C$22:C268)-1</f>
        <v>-0.0169041508098061</v>
      </c>
      <c r="J268" s="31" t="n">
        <f aca="false">D268/MAX(D$22:D268)-1</f>
        <v>0</v>
      </c>
      <c r="K268" s="31" t="n">
        <f aca="false">E268/MAX(E$22:E268)-1</f>
        <v>-0.0298345538378085</v>
      </c>
      <c r="L268" s="31" t="n">
        <f aca="false">F268/MAX(F$22:F268)-1</f>
        <v>-0.217053719684745</v>
      </c>
      <c r="M268" s="31" t="n">
        <f aca="false">G268/MAX(G$22:G268)-1</f>
        <v>-0.0200989208244262</v>
      </c>
    </row>
    <row r="269" customFormat="false" ht="15" hidden="false" customHeight="false" outlineLevel="0" collapsed="false">
      <c r="A269" s="19" t="n">
        <f aca="false">Narxlar!A249</f>
        <v>45638</v>
      </c>
      <c r="B269" s="50" t="n">
        <f aca="false">Narxlar!B249/Narxlar!B$2</f>
        <v>1.30848</v>
      </c>
      <c r="C269" s="50" t="n">
        <f aca="false">Narxlar!C249/Narxlar!C$2</f>
        <v>1.76128</v>
      </c>
      <c r="D269" s="50" t="n">
        <f aca="false">Narxlar!D249/Narxlar!D$2</f>
        <v>1.60048913043478</v>
      </c>
      <c r="E269" s="50" t="n">
        <f aca="false">Narxlar!E249/Narxlar!E$2</f>
        <v>1.45178082191781</v>
      </c>
      <c r="F269" s="50" t="n">
        <f aca="false">Narxlar!F249/Narxlar!F$2</f>
        <v>1.327265625</v>
      </c>
      <c r="G269" s="50" t="n">
        <f aca="false">G268*(1+VaR!B251)</f>
        <v>1.56867918170124</v>
      </c>
      <c r="H269" s="31" t="n">
        <f aca="false">B269/MAX(B$22:B269)-1</f>
        <v>-0.0124232040696182</v>
      </c>
      <c r="I269" s="31" t="n">
        <f aca="false">C269/MAX(C$22:C269)-1</f>
        <v>-0.0257544915479245</v>
      </c>
      <c r="J269" s="31" t="n">
        <f aca="false">D269/MAX(D$22:D269)-1</f>
        <v>-0.0179738562091504</v>
      </c>
      <c r="K269" s="31" t="n">
        <f aca="false">E269/MAX(E$22:E269)-1</f>
        <v>-0.0418587831118343</v>
      </c>
      <c r="L269" s="31" t="n">
        <f aca="false">F269/MAX(F$22:F269)-1</f>
        <v>-0.205360275029818</v>
      </c>
      <c r="M269" s="31" t="n">
        <f aca="false">G269/MAX(G$22:G269)-1</f>
        <v>-0.0272577681419181</v>
      </c>
    </row>
    <row r="270" customFormat="false" ht="15" hidden="false" customHeight="false" outlineLevel="0" collapsed="false">
      <c r="A270" s="19" t="n">
        <f aca="false">Narxlar!A250</f>
        <v>45639</v>
      </c>
      <c r="B270" s="50" t="n">
        <f aca="false">Narxlar!B250/Narxlar!B$2</f>
        <v>1.30801</v>
      </c>
      <c r="C270" s="50" t="n">
        <f aca="false">Narxlar!C250/Narxlar!C$2</f>
        <v>1.77832</v>
      </c>
      <c r="D270" s="50" t="n">
        <f aca="false">Narxlar!D250/Narxlar!D$2</f>
        <v>1.59548913043478</v>
      </c>
      <c r="E270" s="50" t="n">
        <f aca="false">Narxlar!E250/Narxlar!E$2</f>
        <v>1.45808219178082</v>
      </c>
      <c r="F270" s="50" t="n">
        <f aca="false">Narxlar!F250/Narxlar!F$2</f>
        <v>1.339140625</v>
      </c>
      <c r="G270" s="50" t="n">
        <f aca="false">G269*(1+VaR!B252)</f>
        <v>1.57651618820402</v>
      </c>
      <c r="H270" s="31" t="n">
        <f aca="false">B270/MAX(B$22:B270)-1</f>
        <v>-0.0127779371141336</v>
      </c>
      <c r="I270" s="31" t="n">
        <f aca="false">C270/MAX(C$22:C270)-1</f>
        <v>-0.0163288786618285</v>
      </c>
      <c r="J270" s="31" t="n">
        <f aca="false">D270/MAX(D$22:D270)-1</f>
        <v>-0.0210417500333466</v>
      </c>
      <c r="K270" s="31" t="n">
        <f aca="false">E270/MAX(E$22:E270)-1</f>
        <v>-0.0377000271223217</v>
      </c>
      <c r="L270" s="31" t="n">
        <f aca="false">F270/MAX(F$22:F270)-1</f>
        <v>-0.198250660679623</v>
      </c>
      <c r="M270" s="31" t="n">
        <f aca="false">G270/MAX(G$22:G270)-1</f>
        <v>-0.0223980190705133</v>
      </c>
    </row>
    <row r="271" customFormat="false" ht="15" hidden="false" customHeight="false" outlineLevel="0" collapsed="false">
      <c r="A271" s="19" t="n">
        <f aca="false">Narxlar!A251</f>
        <v>45642</v>
      </c>
      <c r="B271" s="50" t="n">
        <f aca="false">Narxlar!B251/Narxlar!B$2</f>
        <v>1.3086</v>
      </c>
      <c r="C271" s="50" t="n">
        <f aca="false">Narxlar!C251/Narxlar!C$2</f>
        <v>1.82328</v>
      </c>
      <c r="D271" s="50" t="n">
        <f aca="false">Narxlar!D251/Narxlar!D$2</f>
        <v>1.58429347826087</v>
      </c>
      <c r="E271" s="50" t="n">
        <f aca="false">Narxlar!E251/Narxlar!E$2</f>
        <v>1.43835616438356</v>
      </c>
      <c r="F271" s="50" t="n">
        <f aca="false">Narxlar!F251/Narxlar!F$2</f>
        <v>1.31265625</v>
      </c>
      <c r="G271" s="50" t="n">
        <f aca="false">G270*(1+VaR!B253)</f>
        <v>1.57414007021615</v>
      </c>
      <c r="H271" s="31" t="n">
        <f aca="false">B271/MAX(B$22:B271)-1</f>
        <v>-0.0123326339305931</v>
      </c>
      <c r="I271" s="31" t="n">
        <f aca="false">C271/MAX(C$22:C271)-1</f>
        <v>0</v>
      </c>
      <c r="J271" s="31" t="n">
        <f aca="false">D271/MAX(D$22:D271)-1</f>
        <v>-0.0279111644657863</v>
      </c>
      <c r="K271" s="31" t="n">
        <f aca="false">E271/MAX(E$22:E271)-1</f>
        <v>-0.0507187415242746</v>
      </c>
      <c r="L271" s="31" t="n">
        <f aca="false">F271/MAX(F$22:F271)-1</f>
        <v>-0.214106971631703</v>
      </c>
      <c r="M271" s="31" t="n">
        <f aca="false">G271/MAX(G$22:G271)-1</f>
        <v>-0.0238714563046157</v>
      </c>
    </row>
    <row r="272" customFormat="false" ht="15" hidden="false" customHeight="false" outlineLevel="0" collapsed="false">
      <c r="A272" s="19" t="n">
        <f aca="false">Narxlar!A252</f>
        <v>45643</v>
      </c>
      <c r="B272" s="50" t="n">
        <f aca="false">Narxlar!B252/Narxlar!B$2</f>
        <v>1.31834</v>
      </c>
      <c r="C272" s="50" t="n">
        <f aca="false">Narxlar!C252/Narxlar!C$2</f>
        <v>1.85504</v>
      </c>
      <c r="D272" s="50" t="n">
        <f aca="false">Narxlar!D252/Narxlar!D$2</f>
        <v>1.5875</v>
      </c>
      <c r="E272" s="50" t="n">
        <f aca="false">Narxlar!E252/Narxlar!E$2</f>
        <v>1.44178082191781</v>
      </c>
      <c r="F272" s="50" t="n">
        <f aca="false">Narxlar!F252/Narxlar!F$2</f>
        <v>1.3201171875</v>
      </c>
      <c r="G272" s="50" t="n">
        <f aca="false">G271*(1+VaR!B254)</f>
        <v>1.58588904337675</v>
      </c>
      <c r="H272" s="31" t="n">
        <f aca="false">B272/MAX(B$22:B272)-1</f>
        <v>-0.00498135764638408</v>
      </c>
      <c r="I272" s="31" t="n">
        <f aca="false">C272/MAX(C$22:C272)-1</f>
        <v>0</v>
      </c>
      <c r="J272" s="31" t="n">
        <f aca="false">D272/MAX(D$22:D272)-1</f>
        <v>-0.0259437108176604</v>
      </c>
      <c r="K272" s="31" t="n">
        <f aca="false">E272/MAX(E$22:E272)-1</f>
        <v>-0.0484585480517132</v>
      </c>
      <c r="L272" s="31" t="n">
        <f aca="false">F272/MAX(F$22:F272)-1</f>
        <v>-0.209640075773521</v>
      </c>
      <c r="M272" s="31" t="n">
        <f aca="false">G272/MAX(G$22:G272)-1</f>
        <v>-0.0165858860569813</v>
      </c>
    </row>
    <row r="273" customFormat="false" ht="15" hidden="false" customHeight="false" outlineLevel="0" collapsed="false">
      <c r="A273" s="19" t="n">
        <f aca="false">Narxlar!A253</f>
        <v>45644</v>
      </c>
      <c r="B273" s="50" t="n">
        <f aca="false">Narxlar!B253/Narxlar!B$2</f>
        <v>1.31086</v>
      </c>
      <c r="C273" s="50" t="n">
        <f aca="false">Narxlar!C253/Narxlar!C$2</f>
        <v>1.84408</v>
      </c>
      <c r="D273" s="50" t="n">
        <f aca="false">Narxlar!D253/Narxlar!D$2</f>
        <v>1.58684782608696</v>
      </c>
      <c r="E273" s="50" t="n">
        <f aca="false">Narxlar!E253/Narxlar!E$2</f>
        <v>1.44397260273973</v>
      </c>
      <c r="F273" s="50" t="n">
        <f aca="false">Narxlar!F253/Narxlar!F$2</f>
        <v>1.2949609375</v>
      </c>
      <c r="G273" s="50" t="n">
        <f aca="false">G272*(1+VaR!B255)</f>
        <v>1.57747377652618</v>
      </c>
      <c r="H273" s="31" t="n">
        <f aca="false">B273/MAX(B$22:B273)-1</f>
        <v>-0.0106268963122859</v>
      </c>
      <c r="I273" s="31" t="n">
        <f aca="false">C273/MAX(C$22:C273)-1</f>
        <v>-0.00590822839399696</v>
      </c>
      <c r="J273" s="31" t="n">
        <f aca="false">D273/MAX(D$22:D273)-1</f>
        <v>-0.026343870881686</v>
      </c>
      <c r="K273" s="31" t="n">
        <f aca="false">E273/MAX(E$22:E273)-1</f>
        <v>-0.0470120242292741</v>
      </c>
      <c r="L273" s="31" t="n">
        <f aca="false">F273/MAX(F$22:F273)-1</f>
        <v>-0.224701232489067</v>
      </c>
      <c r="M273" s="31" t="n">
        <f aca="false">G273/MAX(G$22:G273)-1</f>
        <v>-0.0218042159445675</v>
      </c>
    </row>
    <row r="274" customFormat="false" ht="15" hidden="false" customHeight="false" outlineLevel="0" collapsed="false">
      <c r="A274" s="19" t="n">
        <f aca="false">Narxlar!A254</f>
        <v>45645</v>
      </c>
      <c r="B274" s="50" t="n">
        <f aca="false">Narxlar!B254/Narxlar!B$2</f>
        <v>1.30024</v>
      </c>
      <c r="C274" s="50" t="n">
        <f aca="false">Narxlar!C254/Narxlar!C$2</f>
        <v>1.81552</v>
      </c>
      <c r="D274" s="50" t="n">
        <f aca="false">Narxlar!D254/Narxlar!D$2</f>
        <v>1.55059782608696</v>
      </c>
      <c r="E274" s="50" t="n">
        <f aca="false">Narxlar!E254/Narxlar!E$2</f>
        <v>1.42808219178082</v>
      </c>
      <c r="F274" s="50" t="n">
        <f aca="false">Narxlar!F254/Narxlar!F$2</f>
        <v>1.29765625</v>
      </c>
      <c r="G274" s="50" t="n">
        <f aca="false">G273*(1+VaR!B256)</f>
        <v>1.55745230275685</v>
      </c>
      <c r="H274" s="31" t="n">
        <f aca="false">B274/MAX(B$22:B274)-1</f>
        <v>-0.0186423536160127</v>
      </c>
      <c r="I274" s="31" t="n">
        <f aca="false">C274/MAX(C$22:C274)-1</f>
        <v>-0.0213041228221494</v>
      </c>
      <c r="J274" s="31" t="n">
        <f aca="false">D274/MAX(D$22:D274)-1</f>
        <v>-0.0485861011071095</v>
      </c>
      <c r="K274" s="31" t="n">
        <f aca="false">E274/MAX(E$22:E274)-1</f>
        <v>-0.0574993219419583</v>
      </c>
      <c r="L274" s="31" t="n">
        <f aca="false">F274/MAX(F$22:F274)-1</f>
        <v>-0.223087537126687</v>
      </c>
      <c r="M274" s="31" t="n">
        <f aca="false">G274/MAX(G$22:G274)-1</f>
        <v>-0.0342195863444923</v>
      </c>
    </row>
    <row r="275" customFormat="false" ht="15" hidden="false" customHeight="false" outlineLevel="0" collapsed="false">
      <c r="A275" s="19" t="n">
        <f aca="false">Narxlar!A255</f>
        <v>45646</v>
      </c>
      <c r="B275" s="50" t="n">
        <f aca="false">Narxlar!B255/Narxlar!B$2</f>
        <v>1.31279</v>
      </c>
      <c r="C275" s="50" t="n">
        <f aca="false">Narxlar!C255/Narxlar!C$2</f>
        <v>1.84232</v>
      </c>
      <c r="D275" s="50" t="n">
        <f aca="false">Narxlar!D255/Narxlar!D$2</f>
        <v>1.59211956521739</v>
      </c>
      <c r="E275" s="50" t="n">
        <f aca="false">Narxlar!E255/Narxlar!E$2</f>
        <v>1.4427397260274</v>
      </c>
      <c r="F275" s="50" t="n">
        <f aca="false">Narxlar!F255/Narxlar!F$2</f>
        <v>1.3256640625</v>
      </c>
      <c r="G275" s="50" t="n">
        <f aca="false">G274*(1+VaR!B257)</f>
        <v>1.58549513466787</v>
      </c>
      <c r="H275" s="31" t="n">
        <f aca="false">B275/MAX(B$22:B275)-1</f>
        <v>-0.00917022657629785</v>
      </c>
      <c r="I275" s="31" t="n">
        <f aca="false">C275/MAX(C$22:C275)-1</f>
        <v>-0.00685699499741244</v>
      </c>
      <c r="J275" s="31" t="n">
        <f aca="false">D275/MAX(D$22:D275)-1</f>
        <v>-0.0231092436974789</v>
      </c>
      <c r="K275" s="31" t="n">
        <f aca="false">E275/MAX(E$22:E275)-1</f>
        <v>-0.0478256938793961</v>
      </c>
      <c r="L275" s="31" t="n">
        <f aca="false">F275/MAX(F$22:F275)-1</f>
        <v>-0.206319137491522</v>
      </c>
      <c r="M275" s="31" t="n">
        <f aca="false">G275/MAX(G$22:G275)-1</f>
        <v>-0.0168301499199147</v>
      </c>
    </row>
    <row r="276" customFormat="false" ht="15" hidden="false" customHeight="false" outlineLevel="0" collapsed="false">
      <c r="A276" s="19" t="n">
        <f aca="false">Narxlar!A256</f>
        <v>45649</v>
      </c>
      <c r="B276" s="50" t="n">
        <f aca="false">Narxlar!B256/Narxlar!B$2</f>
        <v>1.31839</v>
      </c>
      <c r="C276" s="50" t="n">
        <f aca="false">Narxlar!C256/Narxlar!C$2</f>
        <v>1.83864</v>
      </c>
      <c r="D276" s="50" t="n">
        <f aca="false">Narxlar!D256/Narxlar!D$2</f>
        <v>1.60201086956522</v>
      </c>
      <c r="E276" s="50" t="n">
        <f aca="false">Narxlar!E256/Narxlar!E$2</f>
        <v>1.43328767123288</v>
      </c>
      <c r="F276" s="50" t="n">
        <f aca="false">Narxlar!F256/Narxlar!F$2</f>
        <v>1.334140625</v>
      </c>
      <c r="G276" s="50" t="n">
        <f aca="false">G275*(1+VaR!B258)</f>
        <v>1.58643833984077</v>
      </c>
      <c r="H276" s="31" t="n">
        <f aca="false">B276/MAX(B$22:B276)-1</f>
        <v>-0.00494362008845672</v>
      </c>
      <c r="I276" s="31" t="n">
        <f aca="false">C276/MAX(C$22:C276)-1</f>
        <v>-0.00884077971364494</v>
      </c>
      <c r="J276" s="31" t="n">
        <f aca="false">D276/MAX(D$22:D276)-1</f>
        <v>-0.0170401493930906</v>
      </c>
      <c r="K276" s="31" t="n">
        <f aca="false">E276/MAX(E$22:E276)-1</f>
        <v>-0.0540638278636652</v>
      </c>
      <c r="L276" s="31" t="n">
        <f aca="false">F276/MAX(F$22:F276)-1</f>
        <v>-0.201244182511284</v>
      </c>
      <c r="M276" s="31" t="n">
        <f aca="false">G276/MAX(G$22:G276)-1</f>
        <v>-0.0162452658239909</v>
      </c>
    </row>
    <row r="277" customFormat="false" ht="15" hidden="false" customHeight="false" outlineLevel="0" collapsed="false">
      <c r="A277" s="19" t="n">
        <f aca="false">Narxlar!A257</f>
        <v>45650</v>
      </c>
      <c r="B277" s="50" t="n">
        <f aca="false">Narxlar!B257/Narxlar!B$2</f>
        <v>1.32469</v>
      </c>
      <c r="C277" s="50" t="n">
        <f aca="false">Narxlar!C257/Narxlar!C$2</f>
        <v>1.82272</v>
      </c>
      <c r="D277" s="50" t="n">
        <f aca="false">Narxlar!D257/Narxlar!D$2</f>
        <v>1.61309782608696</v>
      </c>
      <c r="E277" s="50" t="n">
        <f aca="false">Narxlar!E257/Narxlar!E$2</f>
        <v>1.43657534246575</v>
      </c>
      <c r="F277" s="50" t="n">
        <f aca="false">Narxlar!F257/Narxlar!F$2</f>
        <v>1.373515625</v>
      </c>
      <c r="G277" s="50" t="n">
        <f aca="false">G276*(1+VaR!B259)</f>
        <v>1.5953362216115</v>
      </c>
      <c r="H277" s="31" t="n">
        <f aca="false">B277/MAX(B$22:B277)-1</f>
        <v>-0.000188687789635655</v>
      </c>
      <c r="I277" s="31" t="n">
        <f aca="false">C277/MAX(C$22:C277)-1</f>
        <v>-0.0174228048990858</v>
      </c>
      <c r="J277" s="31" t="n">
        <f aca="false">D277/MAX(D$22:D277)-1</f>
        <v>-0.0102374283046551</v>
      </c>
      <c r="K277" s="31" t="n">
        <f aca="false">E277/MAX(E$22:E277)-1</f>
        <v>-0.0518940421300064</v>
      </c>
      <c r="L277" s="31" t="n">
        <f aca="false">F277/MAX(F$22:F277)-1</f>
        <v>-0.177670198086952</v>
      </c>
      <c r="M277" s="31" t="n">
        <f aca="false">G277/MAX(G$22:G277)-1</f>
        <v>-0.010727665110324</v>
      </c>
    </row>
    <row r="278" customFormat="false" ht="15" hidden="false" customHeight="false" outlineLevel="0" collapsed="false">
      <c r="A278" s="19" t="n">
        <f aca="false">Narxlar!A258</f>
        <v>45651</v>
      </c>
      <c r="B278" s="50" t="n">
        <f aca="false">Narxlar!B258/Narxlar!B$2</f>
        <v>1.33059</v>
      </c>
      <c r="C278" s="50" t="n">
        <f aca="false">Narxlar!C258/Narxlar!C$2</f>
        <v>1.83272</v>
      </c>
      <c r="D278" s="50" t="n">
        <f aca="false">Narxlar!D258/Narxlar!D$2</f>
        <v>1.63679347826087</v>
      </c>
      <c r="E278" s="50" t="n">
        <f aca="false">Narxlar!E258/Narxlar!E$2</f>
        <v>1.45027397260274</v>
      </c>
      <c r="F278" s="50" t="n">
        <f aca="false">Narxlar!F258/Narxlar!F$2</f>
        <v>1.396640625</v>
      </c>
      <c r="G278" s="50" t="n">
        <f aca="false">G277*(1+VaR!B260)</f>
        <v>1.61299571651221</v>
      </c>
      <c r="H278" s="31" t="n">
        <f aca="false">B278/MAX(B$22:B278)-1</f>
        <v>0</v>
      </c>
      <c r="I278" s="31" t="n">
        <f aca="false">C278/MAX(C$22:C278)-1</f>
        <v>-0.0120320855614974</v>
      </c>
      <c r="J278" s="31" t="n">
        <f aca="false">D278/MAX(D$22:D278)-1</f>
        <v>0</v>
      </c>
      <c r="K278" s="31" t="n">
        <f aca="false">E278/MAX(E$22:E278)-1</f>
        <v>-0.0428532682397613</v>
      </c>
      <c r="L278" s="31" t="n">
        <f aca="false">F278/MAX(F$22:F278)-1</f>
        <v>-0.163825159615519</v>
      </c>
      <c r="M278" s="31" t="n">
        <f aca="false">G278/MAX(G$22:G278)-1</f>
        <v>0</v>
      </c>
    </row>
    <row r="279" customFormat="false" ht="15" hidden="false" customHeight="false" outlineLevel="0" collapsed="false">
      <c r="A279" s="19" t="n">
        <f aca="false">Narxlar!A259</f>
        <v>45652</v>
      </c>
      <c r="B279" s="50" t="n">
        <f aca="false">Narxlar!B259/Narxlar!B$2</f>
        <v>1.34513</v>
      </c>
      <c r="C279" s="50" t="n">
        <f aca="false">Narxlar!C259/Narxlar!C$2</f>
        <v>1.864</v>
      </c>
      <c r="D279" s="50" t="n">
        <f aca="false">Narxlar!D259/Narxlar!D$2</f>
        <v>1.64847826086957</v>
      </c>
      <c r="E279" s="50" t="n">
        <f aca="false">Narxlar!E259/Narxlar!E$2</f>
        <v>1.45575342465753</v>
      </c>
      <c r="F279" s="50" t="n">
        <f aca="false">Narxlar!F259/Narxlar!F$2</f>
        <v>1.4530078125</v>
      </c>
      <c r="G279" s="50" t="n">
        <f aca="false">G278*(1+VaR!B261)</f>
        <v>1.63867677537854</v>
      </c>
      <c r="H279" s="31" t="n">
        <f aca="false">B279/MAX(B$22:B279)-1</f>
        <v>0</v>
      </c>
      <c r="I279" s="31" t="n">
        <f aca="false">C279/MAX(C$22:C279)-1</f>
        <v>0</v>
      </c>
      <c r="J279" s="31" t="n">
        <f aca="false">D279/MAX(D$22:D279)-1</f>
        <v>0</v>
      </c>
      <c r="K279" s="31" t="n">
        <f aca="false">E279/MAX(E$22:E279)-1</f>
        <v>-0.0392369586836633</v>
      </c>
      <c r="L279" s="31" t="n">
        <f aca="false">F279/MAX(F$22:F279)-1</f>
        <v>-0.130077878341402</v>
      </c>
      <c r="M279" s="31" t="n">
        <f aca="false">G279/MAX(G$22:G279)-1</f>
        <v>0</v>
      </c>
    </row>
    <row r="280" customFormat="false" ht="15" hidden="false" customHeight="false" outlineLevel="0" collapsed="false">
      <c r="A280" s="19" t="n">
        <f aca="false">Narxlar!A260</f>
        <v>45653</v>
      </c>
      <c r="B280" s="50" t="n">
        <f aca="false">Narxlar!B260/Narxlar!B$2</f>
        <v>1.36055</v>
      </c>
      <c r="C280" s="50" t="n">
        <f aca="false">Narxlar!C260/Narxlar!C$2</f>
        <v>1.88576</v>
      </c>
      <c r="D280" s="50" t="n">
        <f aca="false">Narxlar!D260/Narxlar!D$2</f>
        <v>1.65054347826087</v>
      </c>
      <c r="E280" s="50" t="n">
        <f aca="false">Narxlar!E260/Narxlar!E$2</f>
        <v>1.45739726027397</v>
      </c>
      <c r="F280" s="50" t="n">
        <f aca="false">Narxlar!F260/Narxlar!F$2</f>
        <v>1.463671875</v>
      </c>
      <c r="G280" s="50" t="n">
        <f aca="false">G279*(1+VaR!B262)</f>
        <v>1.64779684181454</v>
      </c>
      <c r="H280" s="31" t="n">
        <f aca="false">B280/MAX(B$22:B280)-1</f>
        <v>0</v>
      </c>
      <c r="I280" s="31" t="n">
        <f aca="false">C280/MAX(C$22:C280)-1</f>
        <v>0</v>
      </c>
      <c r="J280" s="31" t="n">
        <f aca="false">D280/MAX(D$22:D280)-1</f>
        <v>0</v>
      </c>
      <c r="K280" s="31" t="n">
        <f aca="false">E280/MAX(E$22:E280)-1</f>
        <v>-0.038152065816834</v>
      </c>
      <c r="L280" s="31" t="n">
        <f aca="false">F280/MAX(F$22:F280)-1</f>
        <v>-0.123693257559812</v>
      </c>
      <c r="M280" s="31" t="n">
        <f aca="false">G280/MAX(G$22:G280)-1</f>
        <v>0</v>
      </c>
    </row>
    <row r="281" customFormat="false" ht="15" hidden="false" customHeight="false" outlineLevel="0" collapsed="false">
      <c r="A281" s="19" t="n">
        <f aca="false">Narxlar!A261</f>
        <v>45656</v>
      </c>
      <c r="B281" s="50" t="n">
        <f aca="false">Narxlar!B261/Narxlar!B$2</f>
        <v>1.35631</v>
      </c>
      <c r="C281" s="50" t="n">
        <f aca="false">Narxlar!C261/Narxlar!C$2</f>
        <v>1.87952</v>
      </c>
      <c r="D281" s="50" t="n">
        <f aca="false">Narxlar!D261/Narxlar!D$2</f>
        <v>1.65391304347826</v>
      </c>
      <c r="E281" s="50" t="n">
        <f aca="false">Narxlar!E261/Narxlar!E$2</f>
        <v>1.43821917808219</v>
      </c>
      <c r="F281" s="50" t="n">
        <f aca="false">Narxlar!F261/Narxlar!F$2</f>
        <v>1.437578125</v>
      </c>
      <c r="G281" s="50" t="n">
        <f aca="false">G280*(1+VaR!B263)</f>
        <v>1.63570591318945</v>
      </c>
      <c r="H281" s="31" t="n">
        <f aca="false">B281/MAX(B$22:B281)-1</f>
        <v>-0.0031163867553563</v>
      </c>
      <c r="I281" s="31" t="n">
        <f aca="false">C281/MAX(C$22:C281)-1</f>
        <v>-0.00330901069064993</v>
      </c>
      <c r="J281" s="31" t="n">
        <f aca="false">D281/MAX(D$22:D281)-1</f>
        <v>0</v>
      </c>
      <c r="K281" s="31" t="n">
        <f aca="false">E281/MAX(E$22:E281)-1</f>
        <v>-0.0508091492631769</v>
      </c>
      <c r="L281" s="31" t="n">
        <f aca="false">F281/MAX(F$22:F281)-1</f>
        <v>-0.139315699618794</v>
      </c>
      <c r="M281" s="31" t="n">
        <f aca="false">G281/MAX(G$22:G281)-1</f>
        <v>-0.0073376330857492</v>
      </c>
    </row>
    <row r="282" customFormat="false" ht="15" hidden="false" customHeight="false" outlineLevel="0" collapsed="false">
      <c r="A282" s="19" t="n">
        <f aca="false">Narxlar!A262</f>
        <v>45657</v>
      </c>
      <c r="B282" s="50" t="n">
        <f aca="false">Narxlar!B262/Narxlar!B$2</f>
        <v>1.35688</v>
      </c>
      <c r="C282" s="50" t="n">
        <f aca="false">Narxlar!C262/Narxlar!C$2</f>
        <v>1.90416</v>
      </c>
      <c r="D282" s="50" t="n">
        <f aca="false">Narxlar!D262/Narxlar!D$2</f>
        <v>1.65532608695652</v>
      </c>
      <c r="E282" s="50" t="n">
        <f aca="false">Narxlar!E262/Narxlar!E$2</f>
        <v>1.44986301369863</v>
      </c>
      <c r="F282" s="50" t="n">
        <f aca="false">Narxlar!F262/Narxlar!F$2</f>
        <v>1.462578125</v>
      </c>
      <c r="G282" s="50" t="n">
        <f aca="false">G281*(1+VaR!B264)</f>
        <v>1.65148815930463</v>
      </c>
      <c r="H282" s="31" t="n">
        <f aca="false">B282/MAX(B$22:B282)-1</f>
        <v>-0.00269743853588611</v>
      </c>
      <c r="I282" s="31" t="n">
        <f aca="false">C282/MAX(C$22:C282)-1</f>
        <v>0</v>
      </c>
      <c r="J282" s="31" t="n">
        <f aca="false">D282/MAX(D$22:D282)-1</f>
        <v>0</v>
      </c>
      <c r="K282" s="31" t="n">
        <f aca="false">E282/MAX(E$22:E282)-1</f>
        <v>-0.0431244914564687</v>
      </c>
      <c r="L282" s="31" t="n">
        <f aca="false">F282/MAX(F$22:F282)-1</f>
        <v>-0.124348090460488</v>
      </c>
      <c r="M282" s="31" t="n">
        <f aca="false">G282/MAX(G$22:G282)-1</f>
        <v>0</v>
      </c>
    </row>
    <row r="283" customFormat="false" ht="15" hidden="false" customHeight="false" outlineLevel="0" collapsed="false">
      <c r="A283" s="19" t="n">
        <f aca="false">Narxlar!A263</f>
        <v>45658</v>
      </c>
      <c r="B283" s="50" t="n">
        <f aca="false">Narxlar!B263/Narxlar!B$2</f>
        <v>1.35469</v>
      </c>
      <c r="C283" s="50" t="n">
        <f aca="false">Narxlar!C263/Narxlar!C$2</f>
        <v>1.86976</v>
      </c>
      <c r="D283" s="50" t="n">
        <f aca="false">Narxlar!D263/Narxlar!D$2</f>
        <v>1.67385869565217</v>
      </c>
      <c r="E283" s="50" t="n">
        <f aca="false">Narxlar!E263/Narxlar!E$2</f>
        <v>1.45561643835616</v>
      </c>
      <c r="F283" s="50" t="n">
        <f aca="false">Narxlar!F263/Narxlar!F$2</f>
        <v>1.4244921875</v>
      </c>
      <c r="G283" s="50" t="n">
        <f aca="false">G282*(1+VaR!B265)</f>
        <v>1.64019731786786</v>
      </c>
      <c r="H283" s="31" t="n">
        <f aca="false">B283/MAX(B$22:B283)-1</f>
        <v>-0.00430708169490279</v>
      </c>
      <c r="I283" s="31" t="n">
        <f aca="false">C283/MAX(C$22:C283)-1</f>
        <v>-0.0180657087639694</v>
      </c>
      <c r="J283" s="31" t="n">
        <f aca="false">D283/MAX(D$22:D283)-1</f>
        <v>0</v>
      </c>
      <c r="K283" s="31" t="n">
        <f aca="false">E283/MAX(E$22:E283)-1</f>
        <v>-0.0393273664225658</v>
      </c>
      <c r="L283" s="31" t="n">
        <f aca="false">F283/MAX(F$22:F283)-1</f>
        <v>-0.147150307537594</v>
      </c>
      <c r="M283" s="31" t="n">
        <f aca="false">G283/MAX(G$22:G283)-1</f>
        <v>-0.00683676802231947</v>
      </c>
    </row>
    <row r="284" customFormat="false" ht="15" hidden="false" customHeight="false" outlineLevel="0" collapsed="false">
      <c r="A284" s="19" t="n">
        <f aca="false">Narxlar!A264</f>
        <v>45659</v>
      </c>
      <c r="B284" s="50" t="n">
        <f aca="false">Narxlar!B264/Narxlar!B$2</f>
        <v>1.3687</v>
      </c>
      <c r="C284" s="50" t="n">
        <f aca="false">Narxlar!C264/Narxlar!C$2</f>
        <v>1.88144</v>
      </c>
      <c r="D284" s="50" t="n">
        <f aca="false">Narxlar!D264/Narxlar!D$2</f>
        <v>1.69934782608696</v>
      </c>
      <c r="E284" s="50" t="n">
        <f aca="false">Narxlar!E264/Narxlar!E$2</f>
        <v>1.47520547945205</v>
      </c>
      <c r="F284" s="50" t="n">
        <f aca="false">Narxlar!F264/Narxlar!F$2</f>
        <v>1.4385546875</v>
      </c>
      <c r="G284" s="50" t="n">
        <f aca="false">G283*(1+VaR!B266)</f>
        <v>1.65827189231593</v>
      </c>
      <c r="H284" s="31" t="n">
        <f aca="false">B284/MAX(B$22:B284)-1</f>
        <v>0</v>
      </c>
      <c r="I284" s="31" t="n">
        <f aca="false">C284/MAX(C$22:C284)-1</f>
        <v>-0.0119317704394589</v>
      </c>
      <c r="J284" s="31" t="n">
        <f aca="false">D284/MAX(D$22:D284)-1</f>
        <v>0</v>
      </c>
      <c r="K284" s="31" t="n">
        <f aca="false">E284/MAX(E$22:E284)-1</f>
        <v>-0.0263990597595154</v>
      </c>
      <c r="L284" s="31" t="n">
        <f aca="false">F284/MAX(F$22:F284)-1</f>
        <v>-0.138731027386047</v>
      </c>
      <c r="M284" s="31" t="n">
        <f aca="false">G284/MAX(G$22:G284)-1</f>
        <v>0</v>
      </c>
    </row>
    <row r="285" customFormat="false" ht="15" hidden="false" customHeight="false" outlineLevel="0" collapsed="false">
      <c r="A285" s="19" t="n">
        <f aca="false">Narxlar!A265</f>
        <v>45660</v>
      </c>
      <c r="B285" s="50" t="n">
        <f aca="false">Narxlar!B265/Narxlar!B$2</f>
        <v>1.38193</v>
      </c>
      <c r="C285" s="50" t="n">
        <f aca="false">Narxlar!C265/Narxlar!C$2</f>
        <v>1.88256</v>
      </c>
      <c r="D285" s="50" t="n">
        <f aca="false">Narxlar!D265/Narxlar!D$2</f>
        <v>1.6983152173913</v>
      </c>
      <c r="E285" s="50" t="n">
        <f aca="false">Narxlar!E265/Narxlar!E$2</f>
        <v>1.47424657534247</v>
      </c>
      <c r="F285" s="50" t="n">
        <f aca="false">Narxlar!F265/Narxlar!F$2</f>
        <v>1.4498828125</v>
      </c>
      <c r="G285" s="50" t="n">
        <f aca="false">G284*(1+VaR!B267)</f>
        <v>1.66065831482889</v>
      </c>
      <c r="H285" s="31" t="n">
        <f aca="false">B285/MAX(B$22:B285)-1</f>
        <v>0</v>
      </c>
      <c r="I285" s="31" t="n">
        <f aca="false">C285/MAX(C$22:C285)-1</f>
        <v>-0.011343584572725</v>
      </c>
      <c r="J285" s="31" t="n">
        <f aca="false">D285/MAX(D$22:D285)-1</f>
        <v>-0.000607649993603743</v>
      </c>
      <c r="K285" s="31" t="n">
        <f aca="false">E285/MAX(E$22:E285)-1</f>
        <v>-0.0270319139318326</v>
      </c>
      <c r="L285" s="31" t="n">
        <f aca="false">F285/MAX(F$22:F285)-1</f>
        <v>-0.13194882948619</v>
      </c>
      <c r="M285" s="31" t="n">
        <f aca="false">G285/MAX(G$22:G285)-1</f>
        <v>0</v>
      </c>
    </row>
    <row r="286" customFormat="false" ht="15" hidden="false" customHeight="false" outlineLevel="0" collapsed="false">
      <c r="A286" s="19" t="n">
        <f aca="false">Narxlar!A266</f>
        <v>45663</v>
      </c>
      <c r="B286" s="50" t="n">
        <f aca="false">Narxlar!B266/Narxlar!B$2</f>
        <v>1.37071</v>
      </c>
      <c r="C286" s="50" t="n">
        <f aca="false">Narxlar!C266/Narxlar!C$2</f>
        <v>1.87872</v>
      </c>
      <c r="D286" s="50" t="n">
        <f aca="false">Narxlar!D266/Narxlar!D$2</f>
        <v>1.67755434782609</v>
      </c>
      <c r="E286" s="50" t="n">
        <f aca="false">Narxlar!E266/Narxlar!E$2</f>
        <v>1.43657534246575</v>
      </c>
      <c r="F286" s="50" t="n">
        <f aca="false">Narxlar!F266/Narxlar!F$2</f>
        <v>1.4188671875</v>
      </c>
      <c r="G286" s="50" t="n">
        <f aca="false">G285*(1+VaR!B268)</f>
        <v>1.63685342338342</v>
      </c>
      <c r="H286" s="31" t="n">
        <f aca="false">B286/MAX(B$22:B286)-1</f>
        <v>-0.00811907983761839</v>
      </c>
      <c r="I286" s="31" t="n">
        <f aca="false">C286/MAX(C$22:C286)-1</f>
        <v>-0.0133602218300983</v>
      </c>
      <c r="J286" s="31" t="n">
        <f aca="false">D286/MAX(D$22:D286)-1</f>
        <v>-0.0128246130228988</v>
      </c>
      <c r="K286" s="31" t="n">
        <f aca="false">E286/MAX(E$22:E286)-1</f>
        <v>-0.0518940421300064</v>
      </c>
      <c r="L286" s="31" t="n">
        <f aca="false">F286/MAX(F$22:F286)-1</f>
        <v>-0.150518019598213</v>
      </c>
      <c r="M286" s="31" t="n">
        <f aca="false">G286/MAX(G$22:G286)-1</f>
        <v>-0.0143346113001683</v>
      </c>
    </row>
    <row r="287" customFormat="false" ht="15" hidden="false" customHeight="false" outlineLevel="0" collapsed="false">
      <c r="A287" s="19" t="n">
        <f aca="false">Narxlar!A267</f>
        <v>45664</v>
      </c>
      <c r="B287" s="50" t="n">
        <f aca="false">Narxlar!B267/Narxlar!B$2</f>
        <v>1.35568</v>
      </c>
      <c r="C287" s="50" t="n">
        <f aca="false">Narxlar!C267/Narxlar!C$2</f>
        <v>1.8696</v>
      </c>
      <c r="D287" s="50" t="n">
        <f aca="false">Narxlar!D267/Narxlar!D$2</f>
        <v>1.66211956521739</v>
      </c>
      <c r="E287" s="50" t="n">
        <f aca="false">Narxlar!E267/Narxlar!E$2</f>
        <v>1.42561643835616</v>
      </c>
      <c r="F287" s="50" t="n">
        <f aca="false">Narxlar!F267/Narxlar!F$2</f>
        <v>1.372578125</v>
      </c>
      <c r="G287" s="50" t="n">
        <f aca="false">G286*(1+VaR!B269)</f>
        <v>1.61690277230374</v>
      </c>
      <c r="H287" s="31" t="n">
        <f aca="false">B287/MAX(B$22:B287)-1</f>
        <v>-0.0189951734168881</v>
      </c>
      <c r="I287" s="31" t="n">
        <f aca="false">C287/MAX(C$22:C287)-1</f>
        <v>-0.01814973531636</v>
      </c>
      <c r="J287" s="31" t="n">
        <f aca="false">D287/MAX(D$22:D287)-1</f>
        <v>-0.0219073813483435</v>
      </c>
      <c r="K287" s="31" t="n">
        <f aca="false">E287/MAX(E$22:E287)-1</f>
        <v>-0.0591266612422023</v>
      </c>
      <c r="L287" s="31" t="n">
        <f aca="false">F287/MAX(F$22:F287)-1</f>
        <v>-0.178231483430389</v>
      </c>
      <c r="M287" s="31" t="n">
        <f aca="false">G287/MAX(G$22:G287)-1</f>
        <v>-0.0263483114704777</v>
      </c>
    </row>
    <row r="288" customFormat="false" ht="15" hidden="false" customHeight="false" outlineLevel="0" collapsed="false">
      <c r="A288" s="19" t="n">
        <f aca="false">Narxlar!A268</f>
        <v>45665</v>
      </c>
      <c r="B288" s="50" t="n">
        <f aca="false">Narxlar!B268/Narxlar!B$2</f>
        <v>1.35171</v>
      </c>
      <c r="C288" s="50" t="n">
        <f aca="false">Narxlar!C268/Narxlar!C$2</f>
        <v>1.8804</v>
      </c>
      <c r="D288" s="50" t="n">
        <f aca="false">Narxlar!D268/Narxlar!D$2</f>
        <v>1.64891304347826</v>
      </c>
      <c r="E288" s="50" t="n">
        <f aca="false">Narxlar!E268/Narxlar!E$2</f>
        <v>1.4341095890411</v>
      </c>
      <c r="F288" s="50" t="n">
        <f aca="false">Narxlar!F268/Narxlar!F$2</f>
        <v>1.3752734375</v>
      </c>
      <c r="G288" s="50" t="n">
        <f aca="false">G287*(1+VaR!B270)</f>
        <v>1.61953624237788</v>
      </c>
      <c r="H288" s="31" t="n">
        <f aca="false">B288/MAX(B$22:B288)-1</f>
        <v>-0.0218679672631755</v>
      </c>
      <c r="I288" s="31" t="n">
        <f aca="false">C288/MAX(C$22:C288)-1</f>
        <v>-0.0124779430299975</v>
      </c>
      <c r="J288" s="31" t="n">
        <f aca="false">D288/MAX(D$22:D288)-1</f>
        <v>-0.0296789049507484</v>
      </c>
      <c r="K288" s="31" t="n">
        <f aca="false">E288/MAX(E$22:E288)-1</f>
        <v>-0.0535213814302504</v>
      </c>
      <c r="L288" s="31" t="n">
        <f aca="false">F288/MAX(F$22:F288)-1</f>
        <v>-0.176617788068009</v>
      </c>
      <c r="M288" s="31" t="n">
        <f aca="false">G288/MAX(G$22:G288)-1</f>
        <v>-0.0247625126034738</v>
      </c>
    </row>
    <row r="289" customFormat="false" ht="15" hidden="false" customHeight="false" outlineLevel="0" collapsed="false">
      <c r="A289" s="19" t="n">
        <f aca="false">Narxlar!A269</f>
        <v>45666</v>
      </c>
      <c r="B289" s="50" t="n">
        <f aca="false">Narxlar!B269/Narxlar!B$2</f>
        <v>1.34417</v>
      </c>
      <c r="C289" s="50" t="n">
        <f aca="false">Narxlar!C269/Narxlar!C$2</f>
        <v>1.84792</v>
      </c>
      <c r="D289" s="50" t="n">
        <f aca="false">Narxlar!D269/Narxlar!D$2</f>
        <v>1.63472826086957</v>
      </c>
      <c r="E289" s="50" t="n">
        <f aca="false">Narxlar!E269/Narxlar!E$2</f>
        <v>1.42575342465753</v>
      </c>
      <c r="F289" s="50" t="n">
        <f aca="false">Narxlar!F269/Narxlar!F$2</f>
        <v>1.358984375</v>
      </c>
      <c r="G289" s="50" t="n">
        <f aca="false">G288*(1+VaR!B271)</f>
        <v>1.60146540650723</v>
      </c>
      <c r="H289" s="31" t="n">
        <f aca="false">B289/MAX(B$22:B289)-1</f>
        <v>-0.0273241046941596</v>
      </c>
      <c r="I289" s="31" t="n">
        <f aca="false">C289/MAX(C$22:C289)-1</f>
        <v>-0.0295353331652802</v>
      </c>
      <c r="J289" s="31" t="n">
        <f aca="false">D289/MAX(D$22:D289)-1</f>
        <v>-0.0380260969681464</v>
      </c>
      <c r="K289" s="31" t="n">
        <f aca="false">E289/MAX(E$22:E289)-1</f>
        <v>-0.0590362535032999</v>
      </c>
      <c r="L289" s="31" t="n">
        <f aca="false">F289/MAX(F$22:F289)-1</f>
        <v>-0.186370120910218</v>
      </c>
      <c r="M289" s="31" t="n">
        <f aca="false">G289/MAX(G$22:G289)-1</f>
        <v>-0.0356442428843374</v>
      </c>
    </row>
    <row r="290" customFormat="false" ht="15" hidden="false" customHeight="false" outlineLevel="0" collapsed="false">
      <c r="A290" s="19" t="n">
        <f aca="false">Narxlar!A270</f>
        <v>45667</v>
      </c>
      <c r="B290" s="50" t="n">
        <f aca="false">Narxlar!B270/Narxlar!B$2</f>
        <v>1.34338</v>
      </c>
      <c r="C290" s="50" t="n">
        <f aca="false">Narxlar!C270/Narxlar!C$2</f>
        <v>1.86472</v>
      </c>
      <c r="D290" s="50" t="n">
        <f aca="false">Narxlar!D270/Narxlar!D$2</f>
        <v>1.58516304347826</v>
      </c>
      <c r="E290" s="50" t="n">
        <f aca="false">Narxlar!E270/Narxlar!E$2</f>
        <v>1.42150684931507</v>
      </c>
      <c r="F290" s="50" t="n">
        <f aca="false">Narxlar!F270/Narxlar!F$2</f>
        <v>1.388984375</v>
      </c>
      <c r="G290" s="50" t="n">
        <f aca="false">G289*(1+VaR!B272)</f>
        <v>1.59957214424189</v>
      </c>
      <c r="H290" s="31" t="n">
        <f aca="false">B290/MAX(B$22:B290)-1</f>
        <v>-0.0278957689608013</v>
      </c>
      <c r="I290" s="31" t="n">
        <f aca="false">C290/MAX(C$22:C290)-1</f>
        <v>-0.020712545164272</v>
      </c>
      <c r="J290" s="31" t="n">
        <f aca="false">D290/MAX(D$22:D290)-1</f>
        <v>-0.0671932966611232</v>
      </c>
      <c r="K290" s="31" t="n">
        <f aca="false">E290/MAX(E$22:E290)-1</f>
        <v>-0.061838893409276</v>
      </c>
      <c r="L290" s="31" t="n">
        <f aca="false">F290/MAX(F$22:F290)-1</f>
        <v>-0.168408989920251</v>
      </c>
      <c r="M290" s="31" t="n">
        <f aca="false">G290/MAX(G$22:G290)-1</f>
        <v>-0.0367843101988686</v>
      </c>
    </row>
    <row r="291" customFormat="false" ht="15" hidden="false" customHeight="false" outlineLevel="0" collapsed="false">
      <c r="A291" s="19" t="n">
        <f aca="false">Narxlar!A271</f>
        <v>45670</v>
      </c>
      <c r="B291" s="50" t="n">
        <f aca="false">Narxlar!B271/Narxlar!B$2</f>
        <v>1.35181</v>
      </c>
      <c r="C291" s="50" t="n">
        <f aca="false">Narxlar!C271/Narxlar!C$2</f>
        <v>1.88608</v>
      </c>
      <c r="D291" s="50" t="n">
        <f aca="false">Narxlar!D271/Narxlar!D$2</f>
        <v>1.59461956521739</v>
      </c>
      <c r="E291" s="50" t="n">
        <f aca="false">Narxlar!E271/Narxlar!E$2</f>
        <v>1.43219178082192</v>
      </c>
      <c r="F291" s="50" t="n">
        <f aca="false">Narxlar!F271/Narxlar!F$2</f>
        <v>1.3657421875</v>
      </c>
      <c r="G291" s="50" t="n">
        <f aca="false">G290*(1+VaR!B273)</f>
        <v>1.60510724497545</v>
      </c>
      <c r="H291" s="31" t="n">
        <f aca="false">B291/MAX(B$22:B291)-1</f>
        <v>-0.0217956046977779</v>
      </c>
      <c r="I291" s="31" t="n">
        <f aca="false">C291/MAX(C$22:C291)-1</f>
        <v>-0.00949500042013285</v>
      </c>
      <c r="J291" s="31" t="n">
        <f aca="false">D291/MAX(D$22:D291)-1</f>
        <v>-0.0616285019828579</v>
      </c>
      <c r="K291" s="31" t="n">
        <f aca="false">E291/MAX(E$22:E291)-1</f>
        <v>-0.0547870897748848</v>
      </c>
      <c r="L291" s="31" t="n">
        <f aca="false">F291/MAX(F$22:F291)-1</f>
        <v>-0.182324189059613</v>
      </c>
      <c r="M291" s="31" t="n">
        <f aca="false">G291/MAX(G$22:G291)-1</f>
        <v>-0.0334512339819646</v>
      </c>
    </row>
    <row r="292" customFormat="false" ht="15" hidden="false" customHeight="false" outlineLevel="0" collapsed="false">
      <c r="A292" s="19" t="n">
        <f aca="false">Narxlar!A272</f>
        <v>45671</v>
      </c>
      <c r="B292" s="50" t="n">
        <f aca="false">Narxlar!B272/Narxlar!B$2</f>
        <v>1.34647</v>
      </c>
      <c r="C292" s="50" t="n">
        <f aca="false">Narxlar!C272/Narxlar!C$2</f>
        <v>1.9028</v>
      </c>
      <c r="D292" s="50" t="n">
        <f aca="false">Narxlar!D272/Narxlar!D$2</f>
        <v>1.59782608695652</v>
      </c>
      <c r="E292" s="50" t="n">
        <f aca="false">Narxlar!E272/Narxlar!E$2</f>
        <v>1.42369863013699</v>
      </c>
      <c r="F292" s="50" t="n">
        <f aca="false">Narxlar!F272/Narxlar!F$2</f>
        <v>1.355703125</v>
      </c>
      <c r="G292" s="50" t="n">
        <f aca="false">G291*(1+VaR!B274)</f>
        <v>1.60544355337248</v>
      </c>
      <c r="H292" s="31" t="n">
        <f aca="false">B292/MAX(B$22:B292)-1</f>
        <v>-0.0256597656900133</v>
      </c>
      <c r="I292" s="31" t="n">
        <f aca="false">C292/MAX(C$22:C292)-1</f>
        <v>-0.000714225695319759</v>
      </c>
      <c r="J292" s="31" t="n">
        <f aca="false">D292/MAX(D$22:D292)-1</f>
        <v>-0.0597415888448254</v>
      </c>
      <c r="K292" s="31" t="n">
        <f aca="false">E292/MAX(E$22:E292)-1</f>
        <v>-0.0603923695868367</v>
      </c>
      <c r="L292" s="31" t="n">
        <f aca="false">F292/MAX(F$22:F292)-1</f>
        <v>-0.188334619612245</v>
      </c>
      <c r="M292" s="31" t="n">
        <f aca="false">G292/MAX(G$22:G292)-1</f>
        <v>-0.0332487188745376</v>
      </c>
    </row>
    <row r="293" customFormat="false" ht="15" hidden="false" customHeight="false" outlineLevel="0" collapsed="false">
      <c r="A293" s="19" t="n">
        <f aca="false">Narxlar!A273</f>
        <v>45672</v>
      </c>
      <c r="B293" s="50" t="n">
        <f aca="false">Narxlar!B273/Narxlar!B$2</f>
        <v>1.36164</v>
      </c>
      <c r="C293" s="50" t="n">
        <f aca="false">Narxlar!C273/Narxlar!C$2</f>
        <v>1.914</v>
      </c>
      <c r="D293" s="50" t="n">
        <f aca="false">Narxlar!D273/Narxlar!D$2</f>
        <v>1.61288043478261</v>
      </c>
      <c r="E293" s="50" t="n">
        <f aca="false">Narxlar!E273/Narxlar!E$2</f>
        <v>1.40219178082192</v>
      </c>
      <c r="F293" s="50" t="n">
        <f aca="false">Narxlar!F273/Narxlar!F$2</f>
        <v>1.403984375</v>
      </c>
      <c r="G293" s="50" t="n">
        <f aca="false">G292*(1+VaR!B275)</f>
        <v>1.61743199166922</v>
      </c>
      <c r="H293" s="31" t="n">
        <f aca="false">B293/MAX(B$22:B293)-1</f>
        <v>-0.0146823645191869</v>
      </c>
      <c r="I293" s="31" t="n">
        <f aca="false">C293/MAX(C$22:C293)-1</f>
        <v>0</v>
      </c>
      <c r="J293" s="31" t="n">
        <f aca="false">D293/MAX(D$22:D293)-1</f>
        <v>-0.0508826915696559</v>
      </c>
      <c r="K293" s="31" t="n">
        <f aca="false">E293/MAX(E$22:E293)-1</f>
        <v>-0.0745863845945214</v>
      </c>
      <c r="L293" s="31" t="n">
        <f aca="false">F293/MAX(F$22:F293)-1</f>
        <v>-0.159428424425267</v>
      </c>
      <c r="M293" s="31" t="n">
        <f aca="false">G293/MAX(G$22:G293)-1</f>
        <v>-0.0260296310045701</v>
      </c>
    </row>
    <row r="294" customFormat="false" ht="15" hidden="false" customHeight="false" outlineLevel="0" collapsed="false">
      <c r="A294" s="19" t="n">
        <f aca="false">Narxlar!A274</f>
        <v>45673</v>
      </c>
      <c r="B294" s="50" t="n">
        <f aca="false">Narxlar!B274/Narxlar!B$2</f>
        <v>1.34842</v>
      </c>
      <c r="C294" s="50" t="n">
        <f aca="false">Narxlar!C274/Narxlar!C$2</f>
        <v>1.87856</v>
      </c>
      <c r="D294" s="50" t="n">
        <f aca="false">Narxlar!D274/Narxlar!D$2</f>
        <v>1.60119565217391</v>
      </c>
      <c r="E294" s="50" t="n">
        <f aca="false">Narxlar!E274/Narxlar!E$2</f>
        <v>1.39712328767123</v>
      </c>
      <c r="F294" s="50" t="n">
        <f aca="false">Narxlar!F274/Narxlar!F$2</f>
        <v>1.3470703125</v>
      </c>
      <c r="G294" s="50" t="n">
        <f aca="false">G293*(1+VaR!B276)</f>
        <v>1.59094297526939</v>
      </c>
      <c r="H294" s="31" t="n">
        <f aca="false">B294/MAX(B$22:B294)-1</f>
        <v>-0.0242486956647586</v>
      </c>
      <c r="I294" s="31" t="n">
        <f aca="false">C294/MAX(C$22:C294)-1</f>
        <v>-0.0185161964472309</v>
      </c>
      <c r="J294" s="31" t="n">
        <f aca="false">D294/MAX(D$22:D294)-1</f>
        <v>-0.0577587309709607</v>
      </c>
      <c r="K294" s="31" t="n">
        <f aca="false">E294/MAX(E$22:E294)-1</f>
        <v>-0.077931470933912</v>
      </c>
      <c r="L294" s="31" t="n">
        <f aca="false">F294/MAX(F$22:F294)-1</f>
        <v>-0.193503122149723</v>
      </c>
      <c r="M294" s="31" t="n">
        <f aca="false">G294/MAX(G$22:G294)-1</f>
        <v>-0.0419805440631436</v>
      </c>
    </row>
    <row r="295" customFormat="false" ht="15" hidden="false" customHeight="false" outlineLevel="0" collapsed="false">
      <c r="A295" s="19" t="n">
        <f aca="false">Narxlar!A275</f>
        <v>45674</v>
      </c>
      <c r="B295" s="50" t="n">
        <f aca="false">Narxlar!B275/Narxlar!B$2</f>
        <v>1.3548</v>
      </c>
      <c r="C295" s="50" t="n">
        <f aca="false">Narxlar!C275/Narxlar!C$2</f>
        <v>1.88552</v>
      </c>
      <c r="D295" s="50" t="n">
        <f aca="false">Narxlar!D275/Narxlar!D$2</f>
        <v>1.61625</v>
      </c>
      <c r="E295" s="50" t="n">
        <f aca="false">Narxlar!E275/Narxlar!E$2</f>
        <v>1.40123287671233</v>
      </c>
      <c r="F295" s="50" t="n">
        <f aca="false">Narxlar!F275/Narxlar!F$2</f>
        <v>1.33171875</v>
      </c>
      <c r="G295" s="50" t="n">
        <f aca="false">G294*(1+VaR!B277)</f>
        <v>1.59399454610459</v>
      </c>
      <c r="H295" s="31" t="n">
        <f aca="false">B295/MAX(B$22:B295)-1</f>
        <v>-0.0196319639923875</v>
      </c>
      <c r="I295" s="31" t="n">
        <f aca="false">C295/MAX(C$22:C295)-1</f>
        <v>-0.0148798328108672</v>
      </c>
      <c r="J295" s="31" t="n">
        <f aca="false">D295/MAX(D$22:D295)-1</f>
        <v>-0.0488998336957913</v>
      </c>
      <c r="K295" s="31" t="n">
        <f aca="false">E295/MAX(E$22:E295)-1</f>
        <v>-0.0752192387668385</v>
      </c>
      <c r="L295" s="31" t="n">
        <f aca="false">F295/MAX(F$22:F295)-1</f>
        <v>-0.202694169648495</v>
      </c>
      <c r="M295" s="31" t="n">
        <f aca="false">G295/MAX(G$22:G295)-1</f>
        <v>-0.040142977112767</v>
      </c>
    </row>
    <row r="296" customFormat="false" ht="15" hidden="false" customHeight="false" outlineLevel="0" collapsed="false">
      <c r="A296" s="19" t="n">
        <f aca="false">Narxlar!A276</f>
        <v>45677</v>
      </c>
      <c r="B296" s="50" t="n">
        <f aca="false">Narxlar!B276/Narxlar!B$2</f>
        <v>1.35126</v>
      </c>
      <c r="C296" s="50" t="n">
        <f aca="false">Narxlar!C276/Narxlar!C$2</f>
        <v>1.87088</v>
      </c>
      <c r="D296" s="50" t="n">
        <f aca="false">Narxlar!D276/Narxlar!D$2</f>
        <v>1.60701086956522</v>
      </c>
      <c r="E296" s="50" t="n">
        <f aca="false">Narxlar!E276/Narxlar!E$2</f>
        <v>1.38068493150685</v>
      </c>
      <c r="F296" s="50" t="n">
        <f aca="false">Narxlar!F276/Narxlar!F$2</f>
        <v>1.3382421875</v>
      </c>
      <c r="G296" s="50" t="n">
        <f aca="false">G295*(1+VaR!B278)</f>
        <v>1.58372160788716</v>
      </c>
      <c r="H296" s="31" t="n">
        <f aca="false">B296/MAX(B$22:B296)-1</f>
        <v>-0.0221935988074651</v>
      </c>
      <c r="I296" s="31" t="n">
        <f aca="false">C296/MAX(C$22:C296)-1</f>
        <v>-0.0225287356321838</v>
      </c>
      <c r="J296" s="31" t="n">
        <f aca="false">D296/MAX(D$22:D296)-1</f>
        <v>-0.0543367020596136</v>
      </c>
      <c r="K296" s="31" t="n">
        <f aca="false">E296/MAX(E$22:E296)-1</f>
        <v>-0.0887803996022061</v>
      </c>
      <c r="L296" s="31" t="n">
        <f aca="false">F296/MAX(F$22:F296)-1</f>
        <v>-0.19878855913375</v>
      </c>
      <c r="M296" s="31" t="n">
        <f aca="false">G296/MAX(G$22:G296)-1</f>
        <v>-0.0463290408717588</v>
      </c>
    </row>
    <row r="297" customFormat="false" ht="15" hidden="false" customHeight="false" outlineLevel="0" collapsed="false">
      <c r="A297" s="19" t="n">
        <f aca="false">Narxlar!A277</f>
        <v>45678</v>
      </c>
      <c r="B297" s="50" t="n">
        <f aca="false">Narxlar!B277/Narxlar!B$2</f>
        <v>1.36149</v>
      </c>
      <c r="C297" s="50" t="n">
        <f aca="false">Narxlar!C277/Narxlar!C$2</f>
        <v>1.90064</v>
      </c>
      <c r="D297" s="50" t="n">
        <f aca="false">Narxlar!D277/Narxlar!D$2</f>
        <v>1.6125</v>
      </c>
      <c r="E297" s="50" t="n">
        <f aca="false">Narxlar!E277/Narxlar!E$2</f>
        <v>1.38808219178082</v>
      </c>
      <c r="F297" s="50" t="n">
        <f aca="false">Narxlar!F277/Narxlar!F$2</f>
        <v>1.35328125</v>
      </c>
      <c r="G297" s="50" t="n">
        <f aca="false">G296*(1+VaR!B279)</f>
        <v>1.59831247290679</v>
      </c>
      <c r="H297" s="31" t="n">
        <f aca="false">B297/MAX(B$22:B297)-1</f>
        <v>-0.0147909083672835</v>
      </c>
      <c r="I297" s="31" t="n">
        <f aca="false">C297/MAX(C$22:C297)-1</f>
        <v>-0.00698014629049104</v>
      </c>
      <c r="J297" s="31" t="n">
        <f aca="false">D297/MAX(D$22:D297)-1</f>
        <v>-0.051106562619931</v>
      </c>
      <c r="K297" s="31" t="n">
        <f aca="false">E297/MAX(E$22:E297)-1</f>
        <v>-0.0838983817014737</v>
      </c>
      <c r="L297" s="31" t="n">
        <f aca="false">F297/MAX(F$22:F297)-1</f>
        <v>-0.189784606749456</v>
      </c>
      <c r="M297" s="31" t="n">
        <f aca="false">G297/MAX(G$22:G297)-1</f>
        <v>-0.0375428475354517</v>
      </c>
    </row>
    <row r="298" customFormat="false" ht="15" hidden="false" customHeight="false" outlineLevel="0" collapsed="false">
      <c r="A298" s="19" t="n">
        <f aca="false">Narxlar!A278</f>
        <v>45679</v>
      </c>
      <c r="B298" s="50" t="n">
        <f aca="false">Narxlar!B278/Narxlar!B$2</f>
        <v>1.36946</v>
      </c>
      <c r="C298" s="50" t="n">
        <f aca="false">Narxlar!C278/Narxlar!C$2</f>
        <v>1.95608</v>
      </c>
      <c r="D298" s="50" t="n">
        <f aca="false">Narxlar!D278/Narxlar!D$2</f>
        <v>1.64380434782609</v>
      </c>
      <c r="E298" s="50" t="n">
        <f aca="false">Narxlar!E278/Narxlar!E$2</f>
        <v>1.38150684931507</v>
      </c>
      <c r="F298" s="50" t="n">
        <f aca="false">Narxlar!F278/Narxlar!F$2</f>
        <v>1.3623046875</v>
      </c>
      <c r="G298" s="50" t="n">
        <f aca="false">G297*(1+VaR!B280)</f>
        <v>1.62029476540729</v>
      </c>
      <c r="H298" s="31" t="n">
        <f aca="false">B298/MAX(B$22:B298)-1</f>
        <v>-0.00902361190508927</v>
      </c>
      <c r="I298" s="31" t="n">
        <f aca="false">C298/MAX(C$22:C298)-1</f>
        <v>0</v>
      </c>
      <c r="J298" s="31" t="n">
        <f aca="false">D298/MAX(D$22:D298)-1</f>
        <v>-0.0326851733401562</v>
      </c>
      <c r="K298" s="31" t="n">
        <f aca="false">E298/MAX(E$22:E298)-1</f>
        <v>-0.0882379531687914</v>
      </c>
      <c r="L298" s="31" t="n">
        <f aca="false">F298/MAX(F$22:F298)-1</f>
        <v>-0.18438223531888</v>
      </c>
      <c r="M298" s="31" t="n">
        <f aca="false">G298/MAX(G$22:G298)-1</f>
        <v>-0.0243057521593498</v>
      </c>
    </row>
    <row r="299" customFormat="false" ht="15" hidden="false" customHeight="false" outlineLevel="0" collapsed="false">
      <c r="A299" s="19" t="n">
        <f aca="false">Narxlar!A279</f>
        <v>45680</v>
      </c>
      <c r="B299" s="50" t="n">
        <f aca="false">Narxlar!B279/Narxlar!B$2</f>
        <v>1.33613</v>
      </c>
      <c r="C299" s="50" t="n">
        <f aca="false">Narxlar!C279/Narxlar!C$2</f>
        <v>1.90944</v>
      </c>
      <c r="D299" s="50" t="n">
        <f aca="false">Narxlar!D279/Narxlar!D$2</f>
        <v>1.6020652173913</v>
      </c>
      <c r="E299" s="50" t="n">
        <f aca="false">Narxlar!E279/Narxlar!E$2</f>
        <v>1.34698630136986</v>
      </c>
      <c r="F299" s="50" t="n">
        <f aca="false">Narxlar!F279/Narxlar!F$2</f>
        <v>1.3080859375</v>
      </c>
      <c r="G299" s="50" t="n">
        <f aca="false">G298*(1+VaR!B281)</f>
        <v>1.57539998401444</v>
      </c>
      <c r="H299" s="31" t="n">
        <f aca="false">B299/MAX(B$22:B299)-1</f>
        <v>-0.0331420549521322</v>
      </c>
      <c r="I299" s="31" t="n">
        <f aca="false">C299/MAX(C$22:C299)-1</f>
        <v>-0.023843605578504</v>
      </c>
      <c r="J299" s="31" t="n">
        <f aca="false">D299/MAX(D$22:D299)-1</f>
        <v>-0.0572470257131892</v>
      </c>
      <c r="K299" s="31" t="n">
        <f aca="false">E299/MAX(E$22:E299)-1</f>
        <v>-0.111020703372209</v>
      </c>
      <c r="L299" s="31" t="n">
        <f aca="false">F299/MAX(F$22:F299)-1</f>
        <v>-0.216843237680956</v>
      </c>
      <c r="M299" s="31" t="n">
        <f aca="false">G299/MAX(G$22:G299)-1</f>
        <v>-0.0513400800472511</v>
      </c>
    </row>
    <row r="300" customFormat="false" ht="15" hidden="false" customHeight="false" outlineLevel="0" collapsed="false">
      <c r="A300" s="19" t="n">
        <f aca="false">Narxlar!A280</f>
        <v>45681</v>
      </c>
      <c r="B300" s="50" t="n">
        <f aca="false">Narxlar!B280/Narxlar!B$2</f>
        <v>1.34808</v>
      </c>
      <c r="C300" s="50" t="n">
        <f aca="false">Narxlar!C280/Narxlar!C$2</f>
        <v>1.94912</v>
      </c>
      <c r="D300" s="50" t="n">
        <f aca="false">Narxlar!D280/Narxlar!D$2</f>
        <v>1.60521739130435</v>
      </c>
      <c r="E300" s="50" t="n">
        <f aca="false">Narxlar!E280/Narxlar!E$2</f>
        <v>1.34958904109589</v>
      </c>
      <c r="F300" s="50" t="n">
        <f aca="false">Narxlar!F280/Narxlar!F$2</f>
        <v>1.3988671875</v>
      </c>
      <c r="G300" s="50" t="n">
        <f aca="false">G299*(1+VaR!B282)</f>
        <v>1.60862400578426</v>
      </c>
      <c r="H300" s="31" t="n">
        <f aca="false">B300/MAX(B$22:B300)-1</f>
        <v>-0.0244947283871109</v>
      </c>
      <c r="I300" s="31" t="n">
        <f aca="false">C300/MAX(C$22:C300)-1</f>
        <v>-0.00355813668152638</v>
      </c>
      <c r="J300" s="31" t="n">
        <f aca="false">D300/MAX(D$22:D300)-1</f>
        <v>-0.0553920941537673</v>
      </c>
      <c r="K300" s="31" t="n">
        <f aca="false">E300/MAX(E$22:E300)-1</f>
        <v>-0.109302956333062</v>
      </c>
      <c r="L300" s="31" t="n">
        <f aca="false">F300/MAX(F$22:F300)-1</f>
        <v>-0.162492106924858</v>
      </c>
      <c r="M300" s="31" t="n">
        <f aca="false">G300/MAX(G$22:G300)-1</f>
        <v>-0.0313335431978942</v>
      </c>
    </row>
    <row r="301" customFormat="false" ht="15" hidden="false" customHeight="false" outlineLevel="0" collapsed="false">
      <c r="A301" s="19" t="n">
        <f aca="false">Narxlar!A281</f>
        <v>45684</v>
      </c>
      <c r="B301" s="50" t="n">
        <f aca="false">Narxlar!B281/Narxlar!B$2</f>
        <v>1.34857</v>
      </c>
      <c r="C301" s="50" t="n">
        <f aca="false">Narxlar!C281/Narxlar!C$2</f>
        <v>1.95912</v>
      </c>
      <c r="D301" s="50" t="n">
        <f aca="false">Narxlar!D281/Narxlar!D$2</f>
        <v>1.59266304347826</v>
      </c>
      <c r="E301" s="50" t="n">
        <f aca="false">Narxlar!E281/Narxlar!E$2</f>
        <v>1.35</v>
      </c>
      <c r="F301" s="50" t="n">
        <f aca="false">Narxlar!F281/Narxlar!F$2</f>
        <v>1.3980078125</v>
      </c>
      <c r="G301" s="50" t="n">
        <f aca="false">G300*(1+VaR!B283)</f>
        <v>1.60787949352558</v>
      </c>
      <c r="H301" s="31" t="n">
        <f aca="false">B301/MAX(B$22:B301)-1</f>
        <v>-0.0241401518166623</v>
      </c>
      <c r="I301" s="31" t="n">
        <f aca="false">C301/MAX(C$22:C301)-1</f>
        <v>0</v>
      </c>
      <c r="J301" s="31" t="n">
        <f aca="false">D301/MAX(D$22:D301)-1</f>
        <v>-0.0627798388128438</v>
      </c>
      <c r="K301" s="31" t="n">
        <f aca="false">E301/MAX(E$22:E301)-1</f>
        <v>-0.109031733116355</v>
      </c>
      <c r="L301" s="31" t="n">
        <f aca="false">F301/MAX(F$22:F301)-1</f>
        <v>-0.163006618489675</v>
      </c>
      <c r="M301" s="31" t="n">
        <f aca="false">G301/MAX(G$22:G301)-1</f>
        <v>-0.0317818667645331</v>
      </c>
    </row>
    <row r="302" customFormat="false" ht="15" hidden="false" customHeight="false" outlineLevel="0" collapsed="false">
      <c r="A302" s="19" t="n">
        <f aca="false">Narxlar!A282</f>
        <v>45685</v>
      </c>
      <c r="B302" s="50" t="n">
        <f aca="false">Narxlar!B282/Narxlar!B$2</f>
        <v>1.34279</v>
      </c>
      <c r="C302" s="50" t="n">
        <f aca="false">Narxlar!C282/Narxlar!C$2</f>
        <v>1.95</v>
      </c>
      <c r="D302" s="50" t="n">
        <f aca="false">Narxlar!D282/Narxlar!D$2</f>
        <v>1.58103260869565</v>
      </c>
      <c r="E302" s="50" t="n">
        <f aca="false">Narxlar!E282/Narxlar!E$2</f>
        <v>1.33794520547945</v>
      </c>
      <c r="F302" s="50" t="n">
        <f aca="false">Narxlar!F282/Narxlar!F$2</f>
        <v>1.344765625</v>
      </c>
      <c r="G302" s="50" t="n">
        <f aca="false">G301*(1+VaR!B284)</f>
        <v>1.58686224579758</v>
      </c>
      <c r="H302" s="31" t="n">
        <f aca="false">B302/MAX(B$22:B302)-1</f>
        <v>-0.0283227080966476</v>
      </c>
      <c r="I302" s="31" t="n">
        <f aca="false">C302/MAX(C$22:C302)-1</f>
        <v>-0.004655151292417</v>
      </c>
      <c r="J302" s="31" t="n">
        <f aca="false">D302/MAX(D$22:D302)-1</f>
        <v>-0.069623896635538</v>
      </c>
      <c r="K302" s="31" t="n">
        <f aca="false">E302/MAX(E$22:E302)-1</f>
        <v>-0.11698761413977</v>
      </c>
      <c r="L302" s="31" t="n">
        <f aca="false">F302/MAX(F$22:F302)-1</f>
        <v>-0.194882948619004</v>
      </c>
      <c r="M302" s="31" t="n">
        <f aca="false">G302/MAX(G$22:G302)-1</f>
        <v>-0.0444378403265429</v>
      </c>
    </row>
    <row r="303" customFormat="false" ht="15" hidden="false" customHeight="false" outlineLevel="0" collapsed="false">
      <c r="A303" s="19" t="n">
        <f aca="false">Narxlar!A283</f>
        <v>45686</v>
      </c>
      <c r="B303" s="50" t="n">
        <f aca="false">Narxlar!B283/Narxlar!B$2</f>
        <v>1.34162</v>
      </c>
      <c r="C303" s="50" t="n">
        <f aca="false">Narxlar!C283/Narxlar!C$2</f>
        <v>1.96328</v>
      </c>
      <c r="D303" s="50" t="n">
        <f aca="false">Narxlar!D283/Narxlar!D$2</f>
        <v>1.60152173913043</v>
      </c>
      <c r="E303" s="50" t="n">
        <f aca="false">Narxlar!E283/Narxlar!E$2</f>
        <v>1.33109589041096</v>
      </c>
      <c r="F303" s="50" t="n">
        <f aca="false">Narxlar!F283/Narxlar!F$2</f>
        <v>1.3353515625</v>
      </c>
      <c r="G303" s="50" t="n">
        <f aca="false">G302*(1+VaR!B285)</f>
        <v>1.59099282628518</v>
      </c>
      <c r="H303" s="31" t="n">
        <f aca="false">B303/MAX(B$22:B303)-1</f>
        <v>-0.0291693501118003</v>
      </c>
      <c r="I303" s="31" t="n">
        <f aca="false">C303/MAX(C$22:C303)-1</f>
        <v>0</v>
      </c>
      <c r="J303" s="31" t="n">
        <f aca="false">D303/MAX(D$22:D303)-1</f>
        <v>-0.0575668414992964</v>
      </c>
      <c r="K303" s="31" t="n">
        <f aca="false">E303/MAX(E$22:E303)-1</f>
        <v>-0.121508001084893</v>
      </c>
      <c r="L303" s="31" t="n">
        <f aca="false">F303/MAX(F$22:F303)-1</f>
        <v>-0.200519188942679</v>
      </c>
      <c r="M303" s="31" t="n">
        <f aca="false">G303/MAX(G$22:G303)-1</f>
        <v>-0.0419505252354649</v>
      </c>
    </row>
    <row r="304" customFormat="false" ht="15" hidden="false" customHeight="false" outlineLevel="0" collapsed="false">
      <c r="A304" s="19" t="n">
        <f aca="false">Narxlar!A284</f>
        <v>45687</v>
      </c>
      <c r="B304" s="50" t="n">
        <f aca="false">Narxlar!B284/Narxlar!B$2</f>
        <v>1.33388</v>
      </c>
      <c r="C304" s="50" t="n">
        <f aca="false">Narxlar!C284/Narxlar!C$2</f>
        <v>1.95128</v>
      </c>
      <c r="D304" s="50" t="n">
        <f aca="false">Narxlar!D284/Narxlar!D$2</f>
        <v>1.59336956521739</v>
      </c>
      <c r="E304" s="50" t="n">
        <f aca="false">Narxlar!E284/Narxlar!E$2</f>
        <v>1.32753424657534</v>
      </c>
      <c r="F304" s="50" t="n">
        <f aca="false">Narxlar!F284/Narxlar!F$2</f>
        <v>1.2971875</v>
      </c>
      <c r="G304" s="50" t="n">
        <f aca="false">G303*(1+VaR!B286)</f>
        <v>1.57589252087174</v>
      </c>
      <c r="H304" s="31" t="n">
        <f aca="false">B304/MAX(B$22:B304)-1</f>
        <v>-0.0347702126735796</v>
      </c>
      <c r="I304" s="31" t="n">
        <f aca="false">C304/MAX(C$22:C304)-1</f>
        <v>-0.0061122203659183</v>
      </c>
      <c r="J304" s="31" t="n">
        <f aca="false">D304/MAX(D$22:D304)-1</f>
        <v>-0.0623640782909044</v>
      </c>
      <c r="K304" s="31" t="n">
        <f aca="false">E304/MAX(E$22:E304)-1</f>
        <v>-0.123858602296357</v>
      </c>
      <c r="L304" s="31" t="n">
        <f aca="false">F304/MAX(F$22:F304)-1</f>
        <v>-0.223368179798405</v>
      </c>
      <c r="M304" s="31" t="n">
        <f aca="false">G304/MAX(G$22:G304)-1</f>
        <v>-0.0510434887178349</v>
      </c>
    </row>
    <row r="305" customFormat="false" ht="15" hidden="false" customHeight="false" outlineLevel="0" collapsed="false">
      <c r="A305" s="19" t="n">
        <f aca="false">Narxlar!A285</f>
        <v>45688</v>
      </c>
      <c r="B305" s="50" t="n">
        <f aca="false">Narxlar!B285/Narxlar!B$2</f>
        <v>1.31676</v>
      </c>
      <c r="C305" s="50" t="n">
        <f aca="false">Narxlar!C285/Narxlar!C$2</f>
        <v>1.92624</v>
      </c>
      <c r="D305" s="50" t="n">
        <f aca="false">Narxlar!D285/Narxlar!D$2</f>
        <v>1.57576086956522</v>
      </c>
      <c r="E305" s="50" t="n">
        <f aca="false">Narxlar!E285/Narxlar!E$2</f>
        <v>1.31178082191781</v>
      </c>
      <c r="F305" s="50" t="n">
        <f aca="false">Narxlar!F285/Narxlar!F$2</f>
        <v>1.2797265625</v>
      </c>
      <c r="G305" s="50" t="n">
        <f aca="false">G304*(1+VaR!B287)</f>
        <v>1.5565541433731</v>
      </c>
      <c r="H305" s="31" t="n">
        <f aca="false">B305/MAX(B$22:B305)-1</f>
        <v>-0.0471586838696607</v>
      </c>
      <c r="I305" s="31" t="n">
        <f aca="false">C305/MAX(C$22:C305)-1</f>
        <v>-0.018866386862801</v>
      </c>
      <c r="J305" s="31" t="n">
        <f aca="false">D305/MAX(D$22:D305)-1</f>
        <v>-0.0727261097607778</v>
      </c>
      <c r="K305" s="31" t="n">
        <f aca="false">E305/MAX(E$22:E305)-1</f>
        <v>-0.134255492270138</v>
      </c>
      <c r="L305" s="31" t="n">
        <f aca="false">F305/MAX(F$22:F305)-1</f>
        <v>-0.233822119319909</v>
      </c>
      <c r="M305" s="31" t="n">
        <f aca="false">G305/MAX(G$22:G305)-1</f>
        <v>-0.0626884955961052</v>
      </c>
    </row>
    <row r="306" customFormat="false" ht="15" hidden="false" customHeight="false" outlineLevel="0" collapsed="false">
      <c r="A306" s="19" t="n">
        <f aca="false">Narxlar!A286</f>
        <v>45691</v>
      </c>
      <c r="B306" s="50" t="n">
        <f aca="false">Narxlar!B286/Narxlar!B$2</f>
        <v>1.323</v>
      </c>
      <c r="C306" s="50" t="n">
        <f aca="false">Narxlar!C286/Narxlar!C$2</f>
        <v>1.93272</v>
      </c>
      <c r="D306" s="50" t="n">
        <f aca="false">Narxlar!D286/Narxlar!D$2</f>
        <v>1.60516304347826</v>
      </c>
      <c r="E306" s="50" t="n">
        <f aca="false">Narxlar!E286/Narxlar!E$2</f>
        <v>1.32178082191781</v>
      </c>
      <c r="F306" s="50" t="n">
        <f aca="false">Narxlar!F286/Narxlar!F$2</f>
        <v>1.301953125</v>
      </c>
      <c r="G306" s="50" t="n">
        <f aca="false">G305*(1+VaR!B288)</f>
        <v>1.57375940078717</v>
      </c>
      <c r="H306" s="31" t="n">
        <f aca="false">B306/MAX(B$22:B306)-1</f>
        <v>-0.0426432597888461</v>
      </c>
      <c r="I306" s="31" t="n">
        <f aca="false">C306/MAX(C$22:C306)-1</f>
        <v>-0.0155657878652051</v>
      </c>
      <c r="J306" s="31" t="n">
        <f aca="false">D306/MAX(D$22:D306)-1</f>
        <v>-0.0554240757323782</v>
      </c>
      <c r="K306" s="31" t="n">
        <f aca="false">E306/MAX(E$22:E306)-1</f>
        <v>-0.12765572733026</v>
      </c>
      <c r="L306" s="31" t="n">
        <f aca="false">F306/MAX(F$22:F306)-1</f>
        <v>-0.220514979302603</v>
      </c>
      <c r="M306" s="31" t="n">
        <f aca="false">G306/MAX(G$22:G306)-1</f>
        <v>-0.0523279914150615</v>
      </c>
    </row>
    <row r="307" customFormat="false" ht="15" hidden="false" customHeight="false" outlineLevel="0" collapsed="false">
      <c r="A307" s="19" t="n">
        <f aca="false">Narxlar!A287</f>
        <v>45692</v>
      </c>
      <c r="B307" s="50" t="n">
        <f aca="false">Narxlar!B287/Narxlar!B$2</f>
        <v>1.33438</v>
      </c>
      <c r="C307" s="50" t="n">
        <f aca="false">Narxlar!C287/Narxlar!C$2</f>
        <v>1.93328</v>
      </c>
      <c r="D307" s="50" t="n">
        <f aca="false">Narxlar!D287/Narxlar!D$2</f>
        <v>1.62304347826087</v>
      </c>
      <c r="E307" s="50" t="n">
        <f aca="false">Narxlar!E287/Narxlar!E$2</f>
        <v>1.33917808219178</v>
      </c>
      <c r="F307" s="50" t="n">
        <f aca="false">Narxlar!F287/Narxlar!F$2</f>
        <v>1.30515625</v>
      </c>
      <c r="G307" s="50" t="n">
        <f aca="false">G306*(1+VaR!B289)</f>
        <v>1.58423167003395</v>
      </c>
      <c r="H307" s="31" t="n">
        <f aca="false">B307/MAX(B$22:B307)-1</f>
        <v>-0.0344083998465914</v>
      </c>
      <c r="I307" s="31" t="n">
        <f aca="false">C307/MAX(C$22:C307)-1</f>
        <v>-0.0152805509147955</v>
      </c>
      <c r="J307" s="31" t="n">
        <f aca="false">D307/MAX(D$22:D307)-1</f>
        <v>-0.0449021363694512</v>
      </c>
      <c r="K307" s="31" t="n">
        <f aca="false">E307/MAX(E$22:E307)-1</f>
        <v>-0.116173944489648</v>
      </c>
      <c r="L307" s="31" t="n">
        <f aca="false">F307/MAX(F$22:F307)-1</f>
        <v>-0.218597254379195</v>
      </c>
      <c r="M307" s="31" t="n">
        <f aca="false">G307/MAX(G$22:G307)-1</f>
        <v>-0.046021896324178</v>
      </c>
    </row>
    <row r="308" customFormat="false" ht="15" hidden="false" customHeight="false" outlineLevel="0" collapsed="false">
      <c r="A308" s="19" t="n">
        <f aca="false">Narxlar!A288</f>
        <v>45693</v>
      </c>
      <c r="B308" s="50" t="n">
        <f aca="false">Narxlar!B288/Narxlar!B$2</f>
        <v>1.33087</v>
      </c>
      <c r="C308" s="50" t="n">
        <f aca="false">Narxlar!C288/Narxlar!C$2</f>
        <v>1.9752</v>
      </c>
      <c r="D308" s="50" t="n">
        <f aca="false">Narxlar!D288/Narxlar!D$2</f>
        <v>1.62195652173913</v>
      </c>
      <c r="E308" s="50" t="n">
        <f aca="false">Narxlar!E288/Narxlar!E$2</f>
        <v>1.33342465753425</v>
      </c>
      <c r="F308" s="50" t="n">
        <f aca="false">Narxlar!F288/Narxlar!F$2</f>
        <v>1.3071484375</v>
      </c>
      <c r="G308" s="50" t="n">
        <f aca="false">G307*(1+VaR!B290)</f>
        <v>1.59305394251407</v>
      </c>
      <c r="H308" s="31" t="n">
        <f aca="false">B308/MAX(B$22:B308)-1</f>
        <v>-0.0369483258920496</v>
      </c>
      <c r="I308" s="31" t="n">
        <f aca="false">C308/MAX(C$22:C308)-1</f>
        <v>0</v>
      </c>
      <c r="J308" s="31" t="n">
        <f aca="false">D308/MAX(D$22:D308)-1</f>
        <v>-0.0455417679416655</v>
      </c>
      <c r="K308" s="31" t="n">
        <f aca="false">E308/MAX(E$22:E308)-1</f>
        <v>-0.119971069523551</v>
      </c>
      <c r="L308" s="31" t="n">
        <f aca="false">F308/MAX(F$22:F308)-1</f>
        <v>-0.217404523024393</v>
      </c>
      <c r="M308" s="31" t="n">
        <f aca="false">G308/MAX(G$22:G308)-1</f>
        <v>-0.0407093811599583</v>
      </c>
    </row>
    <row r="309" customFormat="false" ht="15" hidden="false" customHeight="false" outlineLevel="0" collapsed="false">
      <c r="A309" s="19" t="n">
        <f aca="false">Narxlar!A289</f>
        <v>45694</v>
      </c>
      <c r="B309" s="50" t="n">
        <f aca="false">Narxlar!B289/Narxlar!B$2</f>
        <v>1.32303</v>
      </c>
      <c r="C309" s="50" t="n">
        <f aca="false">Narxlar!C289/Narxlar!C$2</f>
        <v>1.9844</v>
      </c>
      <c r="D309" s="50" t="n">
        <f aca="false">Narxlar!D289/Narxlar!D$2</f>
        <v>1.64755434782609</v>
      </c>
      <c r="E309" s="50" t="n">
        <f aca="false">Narxlar!E289/Narxlar!E$2</f>
        <v>1.30657534246575</v>
      </c>
      <c r="F309" s="50" t="n">
        <f aca="false">Narxlar!F289/Narxlar!F$2</f>
        <v>1.3052734375</v>
      </c>
      <c r="G309" s="50" t="n">
        <f aca="false">G308*(1+VaR!B291)</f>
        <v>1.59308908166947</v>
      </c>
      <c r="H309" s="31" t="n">
        <f aca="false">B309/MAX(B$22:B309)-1</f>
        <v>-0.0426215510192268</v>
      </c>
      <c r="I309" s="31" t="n">
        <f aca="false">C309/MAX(C$22:C309)-1</f>
        <v>0</v>
      </c>
      <c r="J309" s="31" t="n">
        <f aca="false">D309/MAX(D$22:D309)-1</f>
        <v>-0.0304784444160163</v>
      </c>
      <c r="K309" s="31" t="n">
        <f aca="false">E309/MAX(E$22:E309)-1</f>
        <v>-0.137690986348431</v>
      </c>
      <c r="L309" s="31" t="n">
        <f aca="false">F309/MAX(F$22:F309)-1</f>
        <v>-0.218527093711265</v>
      </c>
      <c r="M309" s="31" t="n">
        <f aca="false">G309/MAX(G$22:G309)-1</f>
        <v>-0.040688221385497</v>
      </c>
    </row>
    <row r="310" customFormat="false" ht="15" hidden="false" customHeight="false" outlineLevel="0" collapsed="false">
      <c r="A310" s="19" t="n">
        <f aca="false">Narxlar!A290</f>
        <v>45695</v>
      </c>
      <c r="B310" s="50" t="n">
        <f aca="false">Narxlar!B290/Narxlar!B$2</f>
        <v>1.34309</v>
      </c>
      <c r="C310" s="50" t="n">
        <f aca="false">Narxlar!C290/Narxlar!C$2</f>
        <v>1.98168</v>
      </c>
      <c r="D310" s="50" t="n">
        <f aca="false">Narxlar!D290/Narxlar!D$2</f>
        <v>1.68190217391304</v>
      </c>
      <c r="E310" s="50" t="n">
        <f aca="false">Narxlar!E290/Narxlar!E$2</f>
        <v>1.32287671232877</v>
      </c>
      <c r="F310" s="50" t="n">
        <f aca="false">Narxlar!F290/Narxlar!F$2</f>
        <v>1.370703125</v>
      </c>
      <c r="G310" s="50" t="n">
        <f aca="false">G309*(1+VaR!B292)</f>
        <v>1.62167750187427</v>
      </c>
      <c r="H310" s="31" t="n">
        <f aca="false">B310/MAX(B$22:B310)-1</f>
        <v>-0.0281056204004546</v>
      </c>
      <c r="I310" s="31" t="n">
        <f aca="false">C310/MAX(C$22:C310)-1</f>
        <v>-0.00137069139286428</v>
      </c>
      <c r="J310" s="31" t="n">
        <f aca="false">D310/MAX(D$22:D310)-1</f>
        <v>-0.0102660867340412</v>
      </c>
      <c r="K310" s="31" t="n">
        <f aca="false">E310/MAX(E$22:E310)-1</f>
        <v>-0.12693246541904</v>
      </c>
      <c r="L310" s="31" t="n">
        <f aca="false">F310/MAX(F$22:F310)-1</f>
        <v>-0.179354054117262</v>
      </c>
      <c r="M310" s="31" t="n">
        <f aca="false">G310/MAX(G$22:G310)-1</f>
        <v>-0.0234731085898543</v>
      </c>
    </row>
    <row r="311" customFormat="false" ht="15" hidden="false" customHeight="false" outlineLevel="0" collapsed="false">
      <c r="A311" s="19" t="n">
        <f aca="false">Narxlar!A291</f>
        <v>45698</v>
      </c>
      <c r="B311" s="50" t="n">
        <f aca="false">Narxlar!B291/Narxlar!B$2</f>
        <v>1.34949</v>
      </c>
      <c r="C311" s="50" t="n">
        <f aca="false">Narxlar!C291/Narxlar!C$2</f>
        <v>2.02712</v>
      </c>
      <c r="D311" s="50" t="n">
        <f aca="false">Narxlar!D291/Narxlar!D$2</f>
        <v>1.68597826086957</v>
      </c>
      <c r="E311" s="50" t="n">
        <f aca="false">Narxlar!E291/Narxlar!E$2</f>
        <v>1.32232876712329</v>
      </c>
      <c r="F311" s="50" t="n">
        <f aca="false">Narxlar!F291/Narxlar!F$2</f>
        <v>1.3445703125</v>
      </c>
      <c r="G311" s="50" t="n">
        <f aca="false">G310*(1+VaR!B293)</f>
        <v>1.62746410504598</v>
      </c>
      <c r="H311" s="31" t="n">
        <f aca="false">B311/MAX(B$22:B311)-1</f>
        <v>-0.0234744162150037</v>
      </c>
      <c r="I311" s="31" t="n">
        <f aca="false">C311/MAX(C$22:C311)-1</f>
        <v>0</v>
      </c>
      <c r="J311" s="31" t="n">
        <f aca="false">D311/MAX(D$22:D311)-1</f>
        <v>-0.00786746833823715</v>
      </c>
      <c r="K311" s="31" t="n">
        <f aca="false">E311/MAX(E$22:E311)-1</f>
        <v>-0.12729409637465</v>
      </c>
      <c r="L311" s="31" t="n">
        <f aca="false">F311/MAX(F$22:F311)-1</f>
        <v>-0.194999883065554</v>
      </c>
      <c r="M311" s="31" t="n">
        <f aca="false">G311/MAX(G$22:G311)-1</f>
        <v>-0.0199885849403801</v>
      </c>
    </row>
    <row r="312" customFormat="false" ht="15" hidden="false" customHeight="false" outlineLevel="0" collapsed="false">
      <c r="A312" s="19" t="n">
        <f aca="false">Narxlar!A292</f>
        <v>45699</v>
      </c>
      <c r="B312" s="50" t="n">
        <f aca="false">Narxlar!B292/Narxlar!B$2</f>
        <v>1.35704</v>
      </c>
      <c r="C312" s="50" t="n">
        <f aca="false">Narxlar!C292/Narxlar!C$2</f>
        <v>2.04304</v>
      </c>
      <c r="D312" s="50" t="n">
        <f aca="false">Narxlar!D292/Narxlar!D$2</f>
        <v>1.70673913043478</v>
      </c>
      <c r="E312" s="50" t="n">
        <f aca="false">Narxlar!E292/Narxlar!E$2</f>
        <v>1.31178082191781</v>
      </c>
      <c r="F312" s="50" t="n">
        <f aca="false">Narxlar!F292/Narxlar!F$2</f>
        <v>1.3727734375</v>
      </c>
      <c r="G312" s="50" t="n">
        <f aca="false">G311*(1+VaR!B294)</f>
        <v>1.63989048863758</v>
      </c>
      <c r="H312" s="31" t="n">
        <f aca="false">B312/MAX(B$22:B312)-1</f>
        <v>-0.0180110425274798</v>
      </c>
      <c r="I312" s="31" t="n">
        <f aca="false">C312/MAX(C$22:C312)-1</f>
        <v>0</v>
      </c>
      <c r="J312" s="31" t="n">
        <f aca="false">D312/MAX(D$22:D312)-1</f>
        <v>0</v>
      </c>
      <c r="K312" s="31" t="n">
        <f aca="false">E312/MAX(E$22:E312)-1</f>
        <v>-0.134255492270138</v>
      </c>
      <c r="L312" s="31" t="n">
        <f aca="false">F312/MAX(F$22:F312)-1</f>
        <v>-0.17811454898384</v>
      </c>
      <c r="M312" s="31" t="n">
        <f aca="false">G312/MAX(G$22:G312)-1</f>
        <v>-0.0125057791876023</v>
      </c>
    </row>
    <row r="313" customFormat="false" ht="15" hidden="false" customHeight="false" outlineLevel="0" collapsed="false">
      <c r="A313" s="19" t="n">
        <f aca="false">Narxlar!A293</f>
        <v>45700</v>
      </c>
      <c r="B313" s="50" t="n">
        <f aca="false">Narxlar!B293/Narxlar!B$2</f>
        <v>1.36319</v>
      </c>
      <c r="C313" s="50" t="n">
        <f aca="false">Narxlar!C293/Narxlar!C$2</f>
        <v>2.0664</v>
      </c>
      <c r="D313" s="50" t="n">
        <f aca="false">Narxlar!D293/Narxlar!D$2</f>
        <v>1.71755434782609</v>
      </c>
      <c r="E313" s="50" t="n">
        <f aca="false">Narxlar!E293/Narxlar!E$2</f>
        <v>1.30547945205479</v>
      </c>
      <c r="F313" s="50" t="n">
        <f aca="false">Narxlar!F293/Narxlar!F$2</f>
        <v>1.3967578125</v>
      </c>
      <c r="G313" s="50" t="n">
        <f aca="false">G312*(1+VaR!B295)</f>
        <v>1.6518744005602</v>
      </c>
      <c r="H313" s="31" t="n">
        <f aca="false">B313/MAX(B$22:B313)-1</f>
        <v>-0.013560744755523</v>
      </c>
      <c r="I313" s="31" t="n">
        <f aca="false">C313/MAX(C$22:C313)-1</f>
        <v>0</v>
      </c>
      <c r="J313" s="31" t="n">
        <f aca="false">D313/MAX(D$22:D313)-1</f>
        <v>0</v>
      </c>
      <c r="K313" s="31" t="n">
        <f aca="false">E313/MAX(E$22:E313)-1</f>
        <v>-0.138414248259651</v>
      </c>
      <c r="L313" s="31" t="n">
        <f aca="false">F313/MAX(F$22:F313)-1</f>
        <v>-0.16375499894759</v>
      </c>
      <c r="M313" s="31" t="n">
        <f aca="false">G313/MAX(G$22:G313)-1</f>
        <v>-0.0052894169681097</v>
      </c>
    </row>
    <row r="314" customFormat="false" ht="15" hidden="false" customHeight="false" outlineLevel="0" collapsed="false">
      <c r="A314" s="19" t="n">
        <f aca="false">Narxlar!A294</f>
        <v>45701</v>
      </c>
      <c r="B314" s="50" t="n">
        <f aca="false">Narxlar!B294/Narxlar!B$2</f>
        <v>1.37756</v>
      </c>
      <c r="C314" s="50" t="n">
        <f aca="false">Narxlar!C294/Narxlar!C$2</f>
        <v>2.08936</v>
      </c>
      <c r="D314" s="50" t="n">
        <f aca="false">Narxlar!D294/Narxlar!D$2</f>
        <v>1.7241847826087</v>
      </c>
      <c r="E314" s="50" t="n">
        <f aca="false">Narxlar!E294/Narxlar!E$2</f>
        <v>1.3058904109589</v>
      </c>
      <c r="F314" s="50" t="n">
        <f aca="false">Narxlar!F294/Narxlar!F$2</f>
        <v>1.4253515625</v>
      </c>
      <c r="G314" s="50" t="n">
        <f aca="false">G313*(1+VaR!B296)</f>
        <v>1.66586814493047</v>
      </c>
      <c r="H314" s="31" t="n">
        <f aca="false">B314/MAX(B$22:B314)-1</f>
        <v>-0.00316224410787824</v>
      </c>
      <c r="I314" s="31" t="n">
        <f aca="false">C314/MAX(C$22:C314)-1</f>
        <v>0</v>
      </c>
      <c r="J314" s="31" t="n">
        <f aca="false">D314/MAX(D$22:D314)-1</f>
        <v>0</v>
      </c>
      <c r="K314" s="31" t="n">
        <f aca="false">E314/MAX(E$22:E314)-1</f>
        <v>-0.138143025042944</v>
      </c>
      <c r="L314" s="31" t="n">
        <f aca="false">F314/MAX(F$22:F314)-1</f>
        <v>-0.146635795972778</v>
      </c>
      <c r="M314" s="31" t="n">
        <f aca="false">G314/MAX(G$22:G314)-1</f>
        <v>0</v>
      </c>
    </row>
    <row r="315" customFormat="false" ht="15" hidden="false" customHeight="false" outlineLevel="0" collapsed="false">
      <c r="A315" s="19" t="n">
        <f aca="false">Narxlar!A295</f>
        <v>45702</v>
      </c>
      <c r="B315" s="50" t="n">
        <f aca="false">Narxlar!B295/Narxlar!B$2</f>
        <v>1.36389</v>
      </c>
      <c r="C315" s="50" t="n">
        <f aca="false">Narxlar!C295/Narxlar!C$2</f>
        <v>2.04344</v>
      </c>
      <c r="D315" s="50" t="n">
        <f aca="false">Narxlar!D295/Narxlar!D$2</f>
        <v>1.71494565217391</v>
      </c>
      <c r="E315" s="50" t="n">
        <f aca="false">Narxlar!E295/Narxlar!E$2</f>
        <v>1.29260273972603</v>
      </c>
      <c r="F315" s="50" t="n">
        <f aca="false">Narxlar!F295/Narxlar!F$2</f>
        <v>1.4190234375</v>
      </c>
      <c r="G315" s="50" t="n">
        <f aca="false">G314*(1+VaR!B297)</f>
        <v>1.64693592299998</v>
      </c>
      <c r="H315" s="31" t="n">
        <f aca="false">B315/MAX(B$22:B315)-1</f>
        <v>-0.0130542067977394</v>
      </c>
      <c r="I315" s="31" t="n">
        <f aca="false">C315/MAX(C$22:C315)-1</f>
        <v>-0.021978021978022</v>
      </c>
      <c r="J315" s="31" t="n">
        <f aca="false">D315/MAX(D$22:D315)-1</f>
        <v>-0.00535855003940111</v>
      </c>
      <c r="K315" s="31" t="n">
        <f aca="false">E315/MAX(E$22:E315)-1</f>
        <v>-0.146912575716481</v>
      </c>
      <c r="L315" s="31" t="n">
        <f aca="false">F315/MAX(F$22:F315)-1</f>
        <v>-0.150424472040974</v>
      </c>
      <c r="M315" s="31" t="n">
        <f aca="false">G315/MAX(G$22:G315)-1</f>
        <v>-0.0113647781717331</v>
      </c>
    </row>
    <row r="316" customFormat="false" ht="15" hidden="false" customHeight="false" outlineLevel="0" collapsed="false">
      <c r="A316" s="19" t="n">
        <f aca="false">Narxlar!A296</f>
        <v>45705</v>
      </c>
      <c r="B316" s="50" t="n">
        <f aca="false">Narxlar!B296/Narxlar!B$2</f>
        <v>1.37484</v>
      </c>
      <c r="C316" s="50" t="n">
        <f aca="false">Narxlar!C296/Narxlar!C$2</f>
        <v>2.05248</v>
      </c>
      <c r="D316" s="50" t="n">
        <f aca="false">Narxlar!D296/Narxlar!D$2</f>
        <v>1.79282608695652</v>
      </c>
      <c r="E316" s="50" t="n">
        <f aca="false">Narxlar!E296/Narxlar!E$2</f>
        <v>1.30232876712329</v>
      </c>
      <c r="F316" s="50" t="n">
        <f aca="false">Narxlar!F296/Narxlar!F$2</f>
        <v>1.3888671875</v>
      </c>
      <c r="G316" s="50" t="n">
        <f aca="false">G315*(1+VaR!B298)</f>
        <v>1.66391777269999</v>
      </c>
      <c r="H316" s="31" t="n">
        <f aca="false">B316/MAX(B$22:B316)-1</f>
        <v>-0.00513050588669484</v>
      </c>
      <c r="I316" s="31" t="n">
        <f aca="false">C316/MAX(C$22:C316)-1</f>
        <v>-0.0176513382088295</v>
      </c>
      <c r="J316" s="31" t="n">
        <f aca="false">D316/MAX(D$22:D316)-1</f>
        <v>0</v>
      </c>
      <c r="K316" s="31" t="n">
        <f aca="false">E316/MAX(E$22:E316)-1</f>
        <v>-0.140493626254407</v>
      </c>
      <c r="L316" s="31" t="n">
        <f aca="false">F316/MAX(F$22:F316)-1</f>
        <v>-0.16847915058818</v>
      </c>
      <c r="M316" s="31" t="n">
        <f aca="false">G316/MAX(G$22:G316)-1</f>
        <v>-0.00117078427629924</v>
      </c>
    </row>
    <row r="317" customFormat="false" ht="15" hidden="false" customHeight="false" outlineLevel="0" collapsed="false">
      <c r="A317" s="19" t="n">
        <f aca="false">Narxlar!A297</f>
        <v>45706</v>
      </c>
      <c r="B317" s="50" t="n">
        <f aca="false">Narxlar!B297/Narxlar!B$2</f>
        <v>1.40259</v>
      </c>
      <c r="C317" s="50" t="n">
        <f aca="false">Narxlar!C297/Narxlar!C$2</f>
        <v>2.07608</v>
      </c>
      <c r="D317" s="50" t="n">
        <f aca="false">Narxlar!D297/Narxlar!D$2</f>
        <v>1.8258152173913</v>
      </c>
      <c r="E317" s="50" t="n">
        <f aca="false">Narxlar!E297/Narxlar!E$2</f>
        <v>1.31383561643836</v>
      </c>
      <c r="F317" s="50" t="n">
        <f aca="false">Narxlar!F297/Narxlar!F$2</f>
        <v>1.403125</v>
      </c>
      <c r="G317" s="50" t="n">
        <f aca="false">G316*(1+VaR!B299)</f>
        <v>1.68440342734568</v>
      </c>
      <c r="H317" s="31" t="n">
        <f aca="false">B317/MAX(B$22:B317)-1</f>
        <v>0</v>
      </c>
      <c r="I317" s="31" t="n">
        <f aca="false">C317/MAX(C$22:C317)-1</f>
        <v>-0.00635601332465441</v>
      </c>
      <c r="J317" s="31" t="n">
        <f aca="false">D317/MAX(D$22:D317)-1</f>
        <v>0</v>
      </c>
      <c r="K317" s="31" t="n">
        <f aca="false">E317/MAX(E$22:E317)-1</f>
        <v>-0.132899376186602</v>
      </c>
      <c r="L317" s="31" t="n">
        <f aca="false">F317/MAX(F$22:F317)-1</f>
        <v>-0.159942935990084</v>
      </c>
      <c r="M317" s="31" t="n">
        <f aca="false">G317/MAX(G$22:G317)-1</f>
        <v>0</v>
      </c>
    </row>
    <row r="318" customFormat="false" ht="15" hidden="false" customHeight="false" outlineLevel="0" collapsed="false">
      <c r="A318" s="19" t="n">
        <f aca="false">Narxlar!A298</f>
        <v>45707</v>
      </c>
      <c r="B318" s="50" t="n">
        <f aca="false">Narxlar!B298/Narxlar!B$2</f>
        <v>1.38933</v>
      </c>
      <c r="C318" s="50" t="n">
        <f aca="false">Narxlar!C298/Narxlar!C$2</f>
        <v>2.04632</v>
      </c>
      <c r="D318" s="50" t="n">
        <f aca="false">Narxlar!D298/Narxlar!D$2</f>
        <v>1.83896739130435</v>
      </c>
      <c r="E318" s="50" t="n">
        <f aca="false">Narxlar!E298/Narxlar!E$2</f>
        <v>1.2858904109589</v>
      </c>
      <c r="F318" s="50" t="n">
        <f aca="false">Narxlar!F298/Narxlar!F$2</f>
        <v>1.375859375</v>
      </c>
      <c r="G318" s="50" t="n">
        <f aca="false">G317*(1+VaR!B300)</f>
        <v>1.66469009860066</v>
      </c>
      <c r="H318" s="31" t="n">
        <f aca="false">B318/MAX(B$22:B318)-1</f>
        <v>-0.00945393878467693</v>
      </c>
      <c r="I318" s="31" t="n">
        <f aca="false">C318/MAX(C$22:C318)-1</f>
        <v>-0.0205996094497837</v>
      </c>
      <c r="J318" s="31" t="n">
        <f aca="false">D318/MAX(D$22:D318)-1</f>
        <v>0</v>
      </c>
      <c r="K318" s="31" t="n">
        <f aca="false">E318/MAX(E$22:E318)-1</f>
        <v>-0.151342554922701</v>
      </c>
      <c r="L318" s="31" t="n">
        <f aca="false">F318/MAX(F$22:F318)-1</f>
        <v>-0.176266984728361</v>
      </c>
      <c r="M318" s="31" t="n">
        <f aca="false">G318/MAX(G$22:G318)-1</f>
        <v>-0.0117034484880422</v>
      </c>
    </row>
    <row r="319" customFormat="false" ht="15" hidden="false" customHeight="false" outlineLevel="0" collapsed="false">
      <c r="A319" s="19" t="n">
        <f aca="false">Narxlar!A299</f>
        <v>45708</v>
      </c>
      <c r="B319" s="50" t="n">
        <f aca="false">Narxlar!B299/Narxlar!B$2</f>
        <v>1.39464</v>
      </c>
      <c r="C319" s="50" t="n">
        <f aca="false">Narxlar!C299/Narxlar!C$2</f>
        <v>2.01832</v>
      </c>
      <c r="D319" s="50" t="n">
        <f aca="false">Narxlar!D299/Narxlar!D$2</f>
        <v>1.85054347826087</v>
      </c>
      <c r="E319" s="50" t="n">
        <f aca="false">Narxlar!E299/Narxlar!E$2</f>
        <v>1.27821917808219</v>
      </c>
      <c r="F319" s="50" t="n">
        <f aca="false">Narxlar!F299/Narxlar!F$2</f>
        <v>1.3330859375</v>
      </c>
      <c r="G319" s="50" t="n">
        <f aca="false">G318*(1+VaR!B301)</f>
        <v>1.64764310948478</v>
      </c>
      <c r="H319" s="31" t="n">
        <f aca="false">B319/MAX(B$22:B319)-1</f>
        <v>-0.00566808547045106</v>
      </c>
      <c r="I319" s="31" t="n">
        <f aca="false">C319/MAX(C$22:C319)-1</f>
        <v>-0.0340008423632117</v>
      </c>
      <c r="J319" s="31" t="n">
        <f aca="false">D319/MAX(D$22:D319)-1</f>
        <v>0</v>
      </c>
      <c r="K319" s="31" t="n">
        <f aca="false">E319/MAX(E$22:E319)-1</f>
        <v>-0.156405388301239</v>
      </c>
      <c r="L319" s="31" t="n">
        <f aca="false">F319/MAX(F$22:F319)-1</f>
        <v>-0.20187562852265</v>
      </c>
      <c r="M319" s="31" t="n">
        <f aca="false">G319/MAX(G$22:G319)-1</f>
        <v>-0.021823939125341</v>
      </c>
    </row>
    <row r="320" customFormat="false" ht="15" hidden="false" customHeight="false" outlineLevel="0" collapsed="false">
      <c r="A320" s="19" t="n">
        <f aca="false">Narxlar!A300</f>
        <v>45709</v>
      </c>
      <c r="B320" s="50" t="n">
        <f aca="false">Narxlar!B300/Narxlar!B$2</f>
        <v>1.39233</v>
      </c>
      <c r="C320" s="50" t="n">
        <f aca="false">Narxlar!C300/Narxlar!C$2</f>
        <v>1.95744</v>
      </c>
      <c r="D320" s="50" t="n">
        <f aca="false">Narxlar!D300/Narxlar!D$2</f>
        <v>1.83826086956522</v>
      </c>
      <c r="E320" s="50" t="n">
        <f aca="false">Narxlar!E300/Narxlar!E$2</f>
        <v>1.24369863013699</v>
      </c>
      <c r="F320" s="50" t="n">
        <f aca="false">Narxlar!F300/Narxlar!F$2</f>
        <v>1.341484375</v>
      </c>
      <c r="G320" s="50" t="n">
        <f aca="false">G319*(1+VaR!B302)</f>
        <v>1.62095108815147</v>
      </c>
      <c r="H320" s="31" t="n">
        <f aca="false">B320/MAX(B$22:B320)-1</f>
        <v>-0.00731503860714833</v>
      </c>
      <c r="I320" s="31" t="n">
        <f aca="false">C320/MAX(C$22:C320)-1</f>
        <v>-0.0631389516406938</v>
      </c>
      <c r="J320" s="31" t="n">
        <f aca="false">D320/MAX(D$22:D320)-1</f>
        <v>-0.00663729809104263</v>
      </c>
      <c r="K320" s="31" t="n">
        <f aca="false">E320/MAX(E$22:E320)-1</f>
        <v>-0.179188138504656</v>
      </c>
      <c r="L320" s="31" t="n">
        <f aca="false">F320/MAX(F$22:F320)-1</f>
        <v>-0.196847447321032</v>
      </c>
      <c r="M320" s="31" t="n">
        <f aca="false">G320/MAX(G$22:G320)-1</f>
        <v>-0.0376705118050025</v>
      </c>
    </row>
    <row r="321" customFormat="false" ht="15" hidden="false" customHeight="false" outlineLevel="0" collapsed="false">
      <c r="A321" s="19" t="n">
        <f aca="false">Narxlar!A301</f>
        <v>45712</v>
      </c>
      <c r="B321" s="50" t="n">
        <f aca="false">Narxlar!B301/Narxlar!B$2</f>
        <v>1.38672</v>
      </c>
      <c r="C321" s="50" t="n">
        <f aca="false">Narxlar!C301/Narxlar!C$2</f>
        <v>1.94768</v>
      </c>
      <c r="D321" s="50" t="n">
        <f aca="false">Narxlar!D301/Narxlar!D$2</f>
        <v>1.85059782608696</v>
      </c>
      <c r="E321" s="50" t="n">
        <f aca="false">Narxlar!E301/Narxlar!E$2</f>
        <v>1.23561643835616</v>
      </c>
      <c r="F321" s="50" t="n">
        <f aca="false">Narxlar!F301/Narxlar!F$2</f>
        <v>1.3271875</v>
      </c>
      <c r="G321" s="50" t="n">
        <f aca="false">G320*(1+VaR!B303)</f>
        <v>1.61515755350787</v>
      </c>
      <c r="H321" s="31" t="n">
        <f aca="false">B321/MAX(B$22:B321)-1</f>
        <v>-0.0113147819391269</v>
      </c>
      <c r="I321" s="31" t="n">
        <f aca="false">C321/MAX(C$22:C321)-1</f>
        <v>-0.0678102385419459</v>
      </c>
      <c r="J321" s="31" t="n">
        <f aca="false">D321/MAX(D$22:D321)-1</f>
        <v>0</v>
      </c>
      <c r="K321" s="31" t="n">
        <f aca="false">E321/MAX(E$22:E321)-1</f>
        <v>-0.184522195099901</v>
      </c>
      <c r="L321" s="31" t="n">
        <f aca="false">F321/MAX(F$22:F321)-1</f>
        <v>-0.205407048808438</v>
      </c>
      <c r="M321" s="31" t="n">
        <f aca="false">G321/MAX(G$22:G321)-1</f>
        <v>-0.0411100290545773</v>
      </c>
    </row>
    <row r="322" customFormat="false" ht="15" hidden="false" customHeight="false" outlineLevel="0" collapsed="false">
      <c r="A322" s="19" t="n">
        <f aca="false">Narxlar!A302</f>
        <v>45713</v>
      </c>
      <c r="B322" s="50" t="n">
        <f aca="false">Narxlar!B302/Narxlar!B$2</f>
        <v>1.39419</v>
      </c>
      <c r="C322" s="50" t="n">
        <f aca="false">Narxlar!C302/Narxlar!C$2</f>
        <v>1.98104</v>
      </c>
      <c r="D322" s="50" t="n">
        <f aca="false">Narxlar!D302/Narxlar!D$2</f>
        <v>1.86467391304348</v>
      </c>
      <c r="E322" s="50" t="n">
        <f aca="false">Narxlar!E302/Narxlar!E$2</f>
        <v>1.24849315068493</v>
      </c>
      <c r="F322" s="50" t="n">
        <f aca="false">Narxlar!F302/Narxlar!F$2</f>
        <v>1.3510546875</v>
      </c>
      <c r="G322" s="50" t="n">
        <f aca="false">G321*(1+VaR!B304)</f>
        <v>1.6365454027904</v>
      </c>
      <c r="H322" s="31" t="n">
        <f aca="false">B322/MAX(B$22:B322)-1</f>
        <v>-0.00598892049708033</v>
      </c>
      <c r="I322" s="31" t="n">
        <f aca="false">C322/MAX(C$22:C322)-1</f>
        <v>-0.0518436267565189</v>
      </c>
      <c r="J322" s="31" t="n">
        <f aca="false">D322/MAX(D$22:D322)-1</f>
        <v>0</v>
      </c>
      <c r="K322" s="31" t="n">
        <f aca="false">E322/MAX(E$22:E322)-1</f>
        <v>-0.17602386764307</v>
      </c>
      <c r="L322" s="31" t="n">
        <f aca="false">F322/MAX(F$22:F322)-1</f>
        <v>-0.191117659440118</v>
      </c>
      <c r="M322" s="31" t="n">
        <f aca="false">G322/MAX(G$22:G322)-1</f>
        <v>-0.0284124478603647</v>
      </c>
    </row>
    <row r="323" customFormat="false" ht="15" hidden="false" customHeight="false" outlineLevel="0" collapsed="false">
      <c r="A323" s="19" t="n">
        <f aca="false">Narxlar!A303</f>
        <v>45714</v>
      </c>
      <c r="B323" s="50" t="n">
        <f aca="false">Narxlar!B303/Narxlar!B$2</f>
        <v>1.38242</v>
      </c>
      <c r="C323" s="50" t="n">
        <f aca="false">Narxlar!C303/Narxlar!C$2</f>
        <v>1.94152</v>
      </c>
      <c r="D323" s="50" t="n">
        <f aca="false">Narxlar!D303/Narxlar!D$2</f>
        <v>1.84461956521739</v>
      </c>
      <c r="E323" s="50" t="n">
        <f aca="false">Narxlar!E303/Narxlar!E$2</f>
        <v>1.25506849315069</v>
      </c>
      <c r="F323" s="50" t="n">
        <f aca="false">Narxlar!F303/Narxlar!F$2</f>
        <v>1.282578125</v>
      </c>
      <c r="G323" s="50" t="n">
        <f aca="false">G322*(1+VaR!B305)</f>
        <v>1.60791640304282</v>
      </c>
      <c r="H323" s="31" t="n">
        <f aca="false">B323/MAX(B$22:B323)-1</f>
        <v>-0.0143805388602514</v>
      </c>
      <c r="I323" s="31" t="n">
        <f aca="false">C323/MAX(C$22:C323)-1</f>
        <v>-0.0707585097829001</v>
      </c>
      <c r="J323" s="31" t="n">
        <f aca="false">D323/MAX(D$22:D323)-1</f>
        <v>-0.0107548819586126</v>
      </c>
      <c r="K323" s="31" t="n">
        <f aca="false">E323/MAX(E$22:E323)-1</f>
        <v>-0.171684296175753</v>
      </c>
      <c r="L323" s="31" t="n">
        <f aca="false">F323/MAX(F$22:F323)-1</f>
        <v>-0.23211487640029</v>
      </c>
      <c r="M323" s="31" t="n">
        <f aca="false">G323/MAX(G$22:G323)-1</f>
        <v>-0.045408969764087</v>
      </c>
    </row>
    <row r="324" customFormat="false" ht="15" hidden="false" customHeight="false" outlineLevel="0" collapsed="false">
      <c r="A324" s="19" t="n">
        <f aca="false">Narxlar!A304</f>
        <v>45715</v>
      </c>
      <c r="B324" s="50" t="n">
        <f aca="false">Narxlar!B304/Narxlar!B$2</f>
        <v>1.38284</v>
      </c>
      <c r="C324" s="50" t="n">
        <f aca="false">Narxlar!C304/Narxlar!C$2</f>
        <v>1.9668</v>
      </c>
      <c r="D324" s="50" t="n">
        <f aca="false">Narxlar!D304/Narxlar!D$2</f>
        <v>1.85771739130435</v>
      </c>
      <c r="E324" s="50" t="n">
        <f aca="false">Narxlar!E304/Narxlar!E$2</f>
        <v>1.25479452054795</v>
      </c>
      <c r="F324" s="50" t="n">
        <f aca="false">Narxlar!F304/Narxlar!F$2</f>
        <v>1.2694140625</v>
      </c>
      <c r="G324" s="50" t="n">
        <f aca="false">G323*(1+VaR!B306)</f>
        <v>1.61366315027019</v>
      </c>
      <c r="H324" s="31" t="n">
        <f aca="false">B324/MAX(B$22:B324)-1</f>
        <v>-0.0140810928353975</v>
      </c>
      <c r="I324" s="31" t="n">
        <f aca="false">C324/MAX(C$22:C324)-1</f>
        <v>-0.0586591109239193</v>
      </c>
      <c r="J324" s="31" t="n">
        <f aca="false">D324/MAX(D$22:D324)-1</f>
        <v>-0.00373069076071109</v>
      </c>
      <c r="K324" s="31" t="n">
        <f aca="false">E324/MAX(E$22:E324)-1</f>
        <v>-0.171865111653558</v>
      </c>
      <c r="L324" s="31" t="n">
        <f aca="false">F324/MAX(F$22:F324)-1</f>
        <v>-0.23999625809771</v>
      </c>
      <c r="M324" s="31" t="n">
        <f aca="false">G324/MAX(G$22:G324)-1</f>
        <v>-0.0419972293614737</v>
      </c>
    </row>
    <row r="325" customFormat="false" ht="15" hidden="false" customHeight="false" outlineLevel="0" collapsed="false">
      <c r="A325" s="19" t="n">
        <f aca="false">Narxlar!A305</f>
        <v>45716</v>
      </c>
      <c r="B325" s="50" t="n">
        <f aca="false">Narxlar!B305/Narxlar!B$2</f>
        <v>1.34413</v>
      </c>
      <c r="C325" s="50" t="n">
        <f aca="false">Narxlar!C305/Narxlar!C$2</f>
        <v>1.9264</v>
      </c>
      <c r="D325" s="50" t="n">
        <f aca="false">Narxlar!D305/Narxlar!D$2</f>
        <v>1.82788043478261</v>
      </c>
      <c r="E325" s="50" t="n">
        <f aca="false">Narxlar!E305/Narxlar!E$2</f>
        <v>1.23013698630137</v>
      </c>
      <c r="F325" s="50" t="n">
        <f aca="false">Narxlar!F305/Narxlar!F$2</f>
        <v>1.221953125</v>
      </c>
      <c r="G325" s="50" t="n">
        <f aca="false">G324*(1+VaR!B307)</f>
        <v>1.57724625468771</v>
      </c>
      <c r="H325" s="31" t="n">
        <f aca="false">B325/MAX(B$22:B325)-1</f>
        <v>-0.0416800347927762</v>
      </c>
      <c r="I325" s="31" t="n">
        <f aca="false">C325/MAX(C$22:C325)-1</f>
        <v>-0.0779951755561513</v>
      </c>
      <c r="J325" s="31" t="n">
        <f aca="false">D325/MAX(D$22:D325)-1</f>
        <v>-0.0197318566015738</v>
      </c>
      <c r="K325" s="31" t="n">
        <f aca="false">E325/MAX(E$22:E325)-1</f>
        <v>-0.188138504655999</v>
      </c>
      <c r="L325" s="31" t="n">
        <f aca="false">F325/MAX(F$22:F325)-1</f>
        <v>-0.268411328609182</v>
      </c>
      <c r="M325" s="31" t="n">
        <f aca="false">G325/MAX(G$22:G325)-1</f>
        <v>-0.0636172848608105</v>
      </c>
    </row>
    <row r="326" customFormat="false" ht="15" hidden="false" customHeight="false" outlineLevel="0" collapsed="false">
      <c r="A326" s="19" t="n">
        <f aca="false">Narxlar!A306</f>
        <v>45719</v>
      </c>
      <c r="B326" s="50" t="n">
        <f aca="false">Narxlar!B306/Narxlar!B$2</f>
        <v>1.32448</v>
      </c>
      <c r="C326" s="50" t="n">
        <f aca="false">Narxlar!C306/Narxlar!C$2</f>
        <v>1.87248</v>
      </c>
      <c r="D326" s="50" t="n">
        <f aca="false">Narxlar!D306/Narxlar!D$2</f>
        <v>1.81766304347826</v>
      </c>
      <c r="E326" s="50" t="n">
        <f aca="false">Narxlar!E306/Narxlar!E$2</f>
        <v>1.2341095890411</v>
      </c>
      <c r="F326" s="50" t="n">
        <f aca="false">Narxlar!F306/Narxlar!F$2</f>
        <v>1.18796875</v>
      </c>
      <c r="G326" s="50" t="n">
        <f aca="false">G325*(1+VaR!B308)</f>
        <v>1.55429826559708</v>
      </c>
      <c r="H326" s="31" t="n">
        <f aca="false">B326/MAX(B$22:B326)-1</f>
        <v>-0.0556898309555892</v>
      </c>
      <c r="I326" s="31" t="n">
        <f aca="false">C326/MAX(C$22:C326)-1</f>
        <v>-0.103802121223724</v>
      </c>
      <c r="J326" s="31" t="n">
        <f aca="false">D326/MAX(D$22:D326)-1</f>
        <v>-0.0252113086563684</v>
      </c>
      <c r="K326" s="31" t="n">
        <f aca="false">E326/MAX(E$22:E326)-1</f>
        <v>-0.185516680227828</v>
      </c>
      <c r="L326" s="31" t="n">
        <f aca="false">F326/MAX(F$22:F326)-1</f>
        <v>-0.288757922308754</v>
      </c>
      <c r="M326" s="31" t="n">
        <f aca="false">G326/MAX(G$22:G326)-1</f>
        <v>-0.0772410929806895</v>
      </c>
    </row>
    <row r="327" customFormat="false" ht="15" hidden="false" customHeight="false" outlineLevel="0" collapsed="false">
      <c r="A327" s="19" t="n">
        <f aca="false">Narxlar!A307</f>
        <v>45720</v>
      </c>
      <c r="B327" s="50" t="n">
        <f aca="false">Narxlar!B307/Narxlar!B$2</f>
        <v>1.33151</v>
      </c>
      <c r="C327" s="50" t="n">
        <f aca="false">Narxlar!C307/Narxlar!C$2</f>
        <v>1.88344</v>
      </c>
      <c r="D327" s="50" t="n">
        <f aca="false">Narxlar!D307/Narxlar!D$2</f>
        <v>1.79896739130435</v>
      </c>
      <c r="E327" s="50" t="n">
        <f aca="false">Narxlar!E307/Narxlar!E$2</f>
        <v>1.21712328767123</v>
      </c>
      <c r="F327" s="50" t="n">
        <f aca="false">Narxlar!F307/Narxlar!F$2</f>
        <v>1.155859375</v>
      </c>
      <c r="G327" s="50" t="n">
        <f aca="false">G326*(1+VaR!B309)</f>
        <v>1.53928034017089</v>
      </c>
      <c r="H327" s="31" t="n">
        <f aca="false">B327/MAX(B$22:B327)-1</f>
        <v>-0.0506776748729138</v>
      </c>
      <c r="I327" s="31" t="n">
        <f aca="false">C327/MAX(C$22:C327)-1</f>
        <v>-0.0985564957690394</v>
      </c>
      <c r="J327" s="31" t="n">
        <f aca="false">D327/MAX(D$22:D327)-1</f>
        <v>-0.0352375400757796</v>
      </c>
      <c r="K327" s="31" t="n">
        <f aca="false">E327/MAX(E$22:E327)-1</f>
        <v>-0.196727239851731</v>
      </c>
      <c r="L327" s="31" t="n">
        <f aca="false">F327/MAX(F$22:F327)-1</f>
        <v>-0.307981945321453</v>
      </c>
      <c r="M327" s="31" t="n">
        <f aca="false">G327/MAX(G$22:G327)-1</f>
        <v>-0.0861569650232069</v>
      </c>
    </row>
    <row r="328" customFormat="false" ht="15" hidden="false" customHeight="false" outlineLevel="0" collapsed="false">
      <c r="A328" s="19" t="n">
        <f aca="false">Narxlar!A308</f>
        <v>45721</v>
      </c>
      <c r="B328" s="50" t="n">
        <f aca="false">Narxlar!B308/Narxlar!B$2</f>
        <v>1.30417</v>
      </c>
      <c r="C328" s="50" t="n">
        <f aca="false">Narxlar!C308/Narxlar!C$2</f>
        <v>1.84456</v>
      </c>
      <c r="D328" s="50" t="n">
        <f aca="false">Narxlar!D308/Narxlar!D$2</f>
        <v>1.765</v>
      </c>
      <c r="E328" s="50" t="n">
        <f aca="false">Narxlar!E308/Narxlar!E$2</f>
        <v>1.21164383561644</v>
      </c>
      <c r="F328" s="50" t="n">
        <f aca="false">Narxlar!F308/Narxlar!F$2</f>
        <v>1.1033203125</v>
      </c>
      <c r="G328" s="50" t="n">
        <f aca="false">G327*(1+VaR!B310)</f>
        <v>1.50675576791982</v>
      </c>
      <c r="H328" s="31" t="n">
        <f aca="false">B328/MAX(B$22:B328)-1</f>
        <v>-0.0701701851574587</v>
      </c>
      <c r="I328" s="31" t="n">
        <f aca="false">C328/MAX(C$22:C328)-1</f>
        <v>-0.117165064900257</v>
      </c>
      <c r="J328" s="31" t="n">
        <f aca="false">D328/MAX(D$22:D328)-1</f>
        <v>-0.0534538035558146</v>
      </c>
      <c r="K328" s="31" t="n">
        <f aca="false">E328/MAX(E$22:E328)-1</f>
        <v>-0.200343549407829</v>
      </c>
      <c r="L328" s="31" t="n">
        <f aca="false">F328/MAX(F$22:F328)-1</f>
        <v>-0.339437311443205</v>
      </c>
      <c r="M328" s="31" t="n">
        <f aca="false">G328/MAX(G$22:G328)-1</f>
        <v>-0.105466218212229</v>
      </c>
    </row>
    <row r="329" customFormat="false" ht="15" hidden="false" customHeight="false" outlineLevel="0" collapsed="false">
      <c r="A329" s="19" t="n">
        <f aca="false">Narxlar!A309</f>
        <v>45722</v>
      </c>
      <c r="B329" s="50" t="n">
        <f aca="false">Narxlar!B309/Narxlar!B$2</f>
        <v>1.28789</v>
      </c>
      <c r="C329" s="50" t="n">
        <f aca="false">Narxlar!C309/Narxlar!C$2</f>
        <v>1.82104</v>
      </c>
      <c r="D329" s="50" t="n">
        <f aca="false">Narxlar!D309/Narxlar!D$2</f>
        <v>1.7470652173913</v>
      </c>
      <c r="E329" s="50" t="n">
        <f aca="false">Narxlar!E309/Narxlar!E$2</f>
        <v>1.20397260273973</v>
      </c>
      <c r="F329" s="50" t="n">
        <f aca="false">Narxlar!F309/Narxlar!F$2</f>
        <v>1.0848828125</v>
      </c>
      <c r="G329" s="50" t="n">
        <f aca="false">G328*(1+VaR!B311)</f>
        <v>1.48974353158145</v>
      </c>
      <c r="H329" s="31" t="n">
        <f aca="false">B329/MAX(B$22:B329)-1</f>
        <v>-0.081777283454181</v>
      </c>
      <c r="I329" s="31" t="n">
        <f aca="false">C329/MAX(C$22:C329)-1</f>
        <v>-0.128422100547536</v>
      </c>
      <c r="J329" s="31" t="n">
        <f aca="false">D329/MAX(D$22:D329)-1</f>
        <v>-0.0630719906732731</v>
      </c>
      <c r="K329" s="31" t="n">
        <f aca="false">E329/MAX(E$22:E329)-1</f>
        <v>-0.205406382786367</v>
      </c>
      <c r="L329" s="31" t="n">
        <f aca="false">F329/MAX(F$22:F329)-1</f>
        <v>-0.350475923197455</v>
      </c>
      <c r="M329" s="31" t="n">
        <f aca="false">G329/MAX(G$22:G329)-1</f>
        <v>-0.115566076750972</v>
      </c>
    </row>
    <row r="330" customFormat="false" ht="15" hidden="false" customHeight="false" outlineLevel="0" collapsed="false">
      <c r="A330" s="19" t="n">
        <f aca="false">Narxlar!A310</f>
        <v>45723</v>
      </c>
      <c r="B330" s="50" t="n">
        <f aca="false">Narxlar!B310/Narxlar!B$2</f>
        <v>1.25361</v>
      </c>
      <c r="C330" s="50" t="n">
        <f aca="false">Narxlar!C310/Narxlar!C$2</f>
        <v>1.77352</v>
      </c>
      <c r="D330" s="50" t="n">
        <f aca="false">Narxlar!D310/Narxlar!D$2</f>
        <v>1.70858695652174</v>
      </c>
      <c r="E330" s="50" t="n">
        <f aca="false">Narxlar!E310/Narxlar!E$2</f>
        <v>1.18479452054795</v>
      </c>
      <c r="F330" s="50" t="n">
        <f aca="false">Narxlar!F310/Narxlar!F$2</f>
        <v>1.0425</v>
      </c>
      <c r="G330" s="50" t="n">
        <f aca="false">G329*(1+VaR!B312)</f>
        <v>1.45230595435164</v>
      </c>
      <c r="H330" s="31" t="n">
        <f aca="false">B330/MAX(B$22:B330)-1</f>
        <v>-0.106217782816076</v>
      </c>
      <c r="I330" s="31" t="n">
        <f aca="false">C330/MAX(C$22:C330)-1</f>
        <v>-0.151165907263468</v>
      </c>
      <c r="J330" s="31" t="n">
        <f aca="false">D330/MAX(D$22:D330)-1</f>
        <v>-0.0837073739434567</v>
      </c>
      <c r="K330" s="31" t="n">
        <f aca="false">E330/MAX(E$22:E330)-1</f>
        <v>-0.21806346623271</v>
      </c>
      <c r="L330" s="31" t="n">
        <f aca="false">F330/MAX(F$22:F330)-1</f>
        <v>-0.375850698098646</v>
      </c>
      <c r="M330" s="31" t="n">
        <f aca="false">G330/MAX(G$22:G330)-1</f>
        <v>-0.137792092574751</v>
      </c>
    </row>
    <row r="331" customFormat="false" ht="15" hidden="false" customHeight="false" outlineLevel="0" collapsed="false">
      <c r="A331" s="19" t="n">
        <f aca="false">Narxlar!A311</f>
        <v>45726</v>
      </c>
      <c r="B331" s="50" t="n">
        <f aca="false">Narxlar!B311/Narxlar!B$2</f>
        <v>1.23255</v>
      </c>
      <c r="C331" s="50" t="n">
        <f aca="false">Narxlar!C311/Narxlar!C$2</f>
        <v>1.72264</v>
      </c>
      <c r="D331" s="50" t="n">
        <f aca="false">Narxlar!D311/Narxlar!D$2</f>
        <v>1.70010869565217</v>
      </c>
      <c r="E331" s="50" t="n">
        <f aca="false">Narxlar!E311/Narxlar!E$2</f>
        <v>1.17369863013699</v>
      </c>
      <c r="F331" s="50" t="n">
        <f aca="false">Narxlar!F311/Narxlar!F$2</f>
        <v>1.0457421875</v>
      </c>
      <c r="G331" s="50" t="n">
        <f aca="false">G330*(1+VaR!B313)</f>
        <v>1.43550791779591</v>
      </c>
      <c r="H331" s="31" t="n">
        <f aca="false">B331/MAX(B$22:B331)-1</f>
        <v>-0.121232862062328</v>
      </c>
      <c r="I331" s="31" t="n">
        <f aca="false">C331/MAX(C$22:C331)-1</f>
        <v>-0.175517861929012</v>
      </c>
      <c r="J331" s="31" t="n">
        <f aca="false">D331/MAX(D$22:D331)-1</f>
        <v>-0.0882541533080735</v>
      </c>
      <c r="K331" s="31" t="n">
        <f aca="false">E331/MAX(E$22:E331)-1</f>
        <v>-0.225386493083808</v>
      </c>
      <c r="L331" s="31" t="n">
        <f aca="false">F331/MAX(F$22:F331)-1</f>
        <v>-0.373909586285928</v>
      </c>
      <c r="M331" s="31" t="n">
        <f aca="false">G331/MAX(G$22:G331)-1</f>
        <v>-0.147764784557573</v>
      </c>
    </row>
    <row r="332" customFormat="false" ht="15" hidden="false" customHeight="false" outlineLevel="0" collapsed="false">
      <c r="A332" s="19" t="n">
        <f aca="false">Narxlar!A312</f>
        <v>45727</v>
      </c>
      <c r="B332" s="50" t="n">
        <f aca="false">Narxlar!B312/Narxlar!B$2</f>
        <v>1.21307</v>
      </c>
      <c r="C332" s="50" t="n">
        <f aca="false">Narxlar!C312/Narxlar!C$2</f>
        <v>1.702</v>
      </c>
      <c r="D332" s="50" t="n">
        <f aca="false">Narxlar!D312/Narxlar!D$2</f>
        <v>1.67809782608696</v>
      </c>
      <c r="E332" s="50" t="n">
        <f aca="false">Narxlar!E312/Narxlar!E$2</f>
        <v>1.17643835616438</v>
      </c>
      <c r="F332" s="50" t="n">
        <f aca="false">Narxlar!F312/Narxlar!F$2</f>
        <v>1.0140625</v>
      </c>
      <c r="G332" s="50" t="n">
        <f aca="false">G331*(1+VaR!B314)</f>
        <v>1.4178419878572</v>
      </c>
      <c r="H332" s="31" t="n">
        <f aca="false">B332/MAX(B$22:B332)-1</f>
        <v>-0.135121453881747</v>
      </c>
      <c r="I332" s="31" t="n">
        <f aca="false">C332/MAX(C$22:C332)-1</f>
        <v>-0.185396485048053</v>
      </c>
      <c r="J332" s="31" t="n">
        <f aca="false">D332/MAX(D$22:D332)-1</f>
        <v>-0.100058292043136</v>
      </c>
      <c r="K332" s="31" t="n">
        <f aca="false">E332/MAX(E$22:E332)-1</f>
        <v>-0.223578338305759</v>
      </c>
      <c r="L332" s="31" t="n">
        <f aca="false">F332/MAX(F$22:F332)-1</f>
        <v>-0.392876353516219</v>
      </c>
      <c r="M332" s="31" t="n">
        <f aca="false">G332/MAX(G$22:G332)-1</f>
        <v>-0.158252729222085</v>
      </c>
    </row>
    <row r="333" customFormat="false" ht="15" hidden="false" customHeight="false" outlineLevel="0" collapsed="false">
      <c r="A333" s="19" t="n">
        <f aca="false">Narxlar!A313</f>
        <v>45728</v>
      </c>
      <c r="B333" s="50" t="n">
        <f aca="false">Narxlar!B313/Narxlar!B$2</f>
        <v>1.21766</v>
      </c>
      <c r="C333" s="50" t="n">
        <f aca="false">Narxlar!C313/Narxlar!C$2</f>
        <v>1.72896</v>
      </c>
      <c r="D333" s="50" t="n">
        <f aca="false">Narxlar!D313/Narxlar!D$2</f>
        <v>1.67402173913043</v>
      </c>
      <c r="E333" s="50" t="n">
        <f aca="false">Narxlar!E313/Narxlar!E$2</f>
        <v>1.18205479452055</v>
      </c>
      <c r="F333" s="50" t="n">
        <f aca="false">Narxlar!F313/Narxlar!F$2</f>
        <v>1.03625</v>
      </c>
      <c r="G333" s="50" t="n">
        <f aca="false">G332*(1+VaR!B315)</f>
        <v>1.4316153262543</v>
      </c>
      <c r="H333" s="31" t="n">
        <f aca="false">B333/MAX(B$22:B333)-1</f>
        <v>-0.131848936610128</v>
      </c>
      <c r="I333" s="31" t="n">
        <f aca="false">C333/MAX(C$22:C333)-1</f>
        <v>-0.172493012214267</v>
      </c>
      <c r="J333" s="31" t="n">
        <f aca="false">D333/MAX(D$22:D333)-1</f>
        <v>-0.10224424366074</v>
      </c>
      <c r="K333" s="31" t="n">
        <f aca="false">E333/MAX(E$22:E333)-1</f>
        <v>-0.219871621010759</v>
      </c>
      <c r="L333" s="31" t="n">
        <f aca="false">F333/MAX(F$22:F333)-1</f>
        <v>-0.379592600388222</v>
      </c>
      <c r="M333" s="31" t="n">
        <f aca="false">G333/MAX(G$22:G333)-1</f>
        <v>-0.150075746099454</v>
      </c>
    </row>
    <row r="334" customFormat="false" ht="15" hidden="false" customHeight="false" outlineLevel="0" collapsed="false">
      <c r="A334" s="19" t="n">
        <f aca="false">Narxlar!A314</f>
        <v>45729</v>
      </c>
      <c r="B334" s="50" t="n">
        <f aca="false">Narxlar!B314/Narxlar!B$2</f>
        <v>1.21408</v>
      </c>
      <c r="C334" s="50" t="n">
        <f aca="false">Narxlar!C314/Narxlar!C$2</f>
        <v>1.7796</v>
      </c>
      <c r="D334" s="50" t="n">
        <f aca="false">Narxlar!D314/Narxlar!D$2</f>
        <v>1.67940217391304</v>
      </c>
      <c r="E334" s="50" t="n">
        <f aca="false">Narxlar!E314/Narxlar!E$2</f>
        <v>1.16452054794521</v>
      </c>
      <c r="F334" s="50" t="n">
        <f aca="false">Narxlar!F314/Narxlar!F$2</f>
        <v>1.0481640625</v>
      </c>
      <c r="G334" s="50" t="n">
        <f aca="false">G333*(1+VaR!B316)</f>
        <v>1.44332785293467</v>
      </c>
      <c r="H334" s="31" t="n">
        <f aca="false">B334/MAX(B$22:B334)-1</f>
        <v>-0.134401357488646</v>
      </c>
      <c r="I334" s="31" t="n">
        <f aca="false">C334/MAX(C$22:C334)-1</f>
        <v>-0.14825592525941</v>
      </c>
      <c r="J334" s="31" t="n">
        <f aca="false">D334/MAX(D$22:D334)-1</f>
        <v>-0.0993587875255027</v>
      </c>
      <c r="K334" s="31" t="n">
        <f aca="false">E334/MAX(E$22:E334)-1</f>
        <v>-0.231443811590272</v>
      </c>
      <c r="L334" s="31" t="n">
        <f aca="false">F334/MAX(F$22:F334)-1</f>
        <v>-0.372459599148717</v>
      </c>
      <c r="M334" s="31" t="n">
        <f aca="false">G334/MAX(G$22:G334)-1</f>
        <v>-0.143122229803879</v>
      </c>
    </row>
    <row r="335" customFormat="false" ht="15" hidden="false" customHeight="false" outlineLevel="0" collapsed="false">
      <c r="A335" s="19" t="n">
        <f aca="false">Narxlar!A315</f>
        <v>45730</v>
      </c>
      <c r="B335" s="50" t="n">
        <f aca="false">Narxlar!B315/Narxlar!B$2</f>
        <v>1.2077</v>
      </c>
      <c r="C335" s="50" t="n">
        <f aca="false">Narxlar!C315/Narxlar!C$2</f>
        <v>1.75656</v>
      </c>
      <c r="D335" s="50" t="n">
        <f aca="false">Narxlar!D315/Narxlar!D$2</f>
        <v>1.70527173913043</v>
      </c>
      <c r="E335" s="50" t="n">
        <f aca="false">Narxlar!E315/Narxlar!E$2</f>
        <v>1.17616438356164</v>
      </c>
      <c r="F335" s="50" t="n">
        <f aca="false">Narxlar!F315/Narxlar!F$2</f>
        <v>1.03515625</v>
      </c>
      <c r="G335" s="50" t="n">
        <f aca="false">G334*(1+VaR!B317)</f>
        <v>1.44330573636608</v>
      </c>
      <c r="H335" s="31" t="n">
        <f aca="false">B335/MAX(B$22:B335)-1</f>
        <v>-0.138950085199524</v>
      </c>
      <c r="I335" s="31" t="n">
        <f aca="false">C335/MAX(C$22:C335)-1</f>
        <v>-0.159283225485316</v>
      </c>
      <c r="J335" s="31" t="n">
        <f aca="false">D335/MAX(D$22:D335)-1</f>
        <v>-0.085485281259108</v>
      </c>
      <c r="K335" s="31" t="n">
        <f aca="false">E335/MAX(E$22:E335)-1</f>
        <v>-0.223759153783564</v>
      </c>
      <c r="L335" s="31" t="n">
        <f aca="false">F335/MAX(F$22:F335)-1</f>
        <v>-0.380247433288898</v>
      </c>
      <c r="M335" s="31" t="n">
        <f aca="false">G335/MAX(G$22:G335)-1</f>
        <v>-0.143135360012614</v>
      </c>
    </row>
    <row r="336" customFormat="false" ht="15" hidden="false" customHeight="false" outlineLevel="0" collapsed="false">
      <c r="A336" s="19" t="n">
        <f aca="false">Narxlar!A316</f>
        <v>45733</v>
      </c>
      <c r="B336" s="50" t="n">
        <f aca="false">Narxlar!B316/Narxlar!B$2</f>
        <v>1.20596</v>
      </c>
      <c r="C336" s="50" t="n">
        <f aca="false">Narxlar!C316/Narxlar!C$2</f>
        <v>1.79128</v>
      </c>
      <c r="D336" s="50" t="n">
        <f aca="false">Narxlar!D316/Narxlar!D$2</f>
        <v>1.68038043478261</v>
      </c>
      <c r="E336" s="50" t="n">
        <f aca="false">Narxlar!E316/Narxlar!E$2</f>
        <v>1.16356164383562</v>
      </c>
      <c r="F336" s="50" t="n">
        <f aca="false">Narxlar!F316/Narxlar!F$2</f>
        <v>1.03171875</v>
      </c>
      <c r="G336" s="50" t="n">
        <f aca="false">G335*(1+VaR!B318)</f>
        <v>1.4417724718382</v>
      </c>
      <c r="H336" s="31" t="n">
        <f aca="false">B336/MAX(B$22:B336)-1</f>
        <v>-0.14019064730249</v>
      </c>
      <c r="I336" s="31" t="n">
        <f aca="false">C336/MAX(C$22:C336)-1</f>
        <v>-0.142665696672665</v>
      </c>
      <c r="J336" s="31" t="n">
        <f aca="false">D336/MAX(D$22:D336)-1</f>
        <v>-0.0988341591372777</v>
      </c>
      <c r="K336" s="31" t="n">
        <f aca="false">E336/MAX(E$22:E336)-1</f>
        <v>-0.232076665762589</v>
      </c>
      <c r="L336" s="31" t="n">
        <f aca="false">F336/MAX(F$22:F336)-1</f>
        <v>-0.382305479548165</v>
      </c>
      <c r="M336" s="31" t="n">
        <f aca="false">G336/MAX(G$22:G336)-1</f>
        <v>-0.144045631568104</v>
      </c>
    </row>
    <row r="337" customFormat="false" ht="15" hidden="false" customHeight="false" outlineLevel="0" collapsed="false">
      <c r="A337" s="19" t="n">
        <f aca="false">Narxlar!A317</f>
        <v>45734</v>
      </c>
      <c r="B337" s="50" t="n">
        <f aca="false">Narxlar!B317/Narxlar!B$2</f>
        <v>1.22827</v>
      </c>
      <c r="C337" s="50" t="n">
        <f aca="false">Narxlar!C317/Narxlar!C$2</f>
        <v>1.84304</v>
      </c>
      <c r="D337" s="50" t="n">
        <f aca="false">Narxlar!D317/Narxlar!D$2</f>
        <v>1.70771739130435</v>
      </c>
      <c r="E337" s="50" t="n">
        <f aca="false">Narxlar!E317/Narxlar!E$2</f>
        <v>1.17712328767123</v>
      </c>
      <c r="F337" s="50" t="n">
        <f aca="false">Narxlar!F317/Narxlar!F$2</f>
        <v>1.0511328125</v>
      </c>
      <c r="G337" s="50" t="n">
        <f aca="false">G336*(1+VaR!B319)</f>
        <v>1.46976160428343</v>
      </c>
      <c r="H337" s="31" t="n">
        <f aca="false">B337/MAX(B$22:B337)-1</f>
        <v>-0.124284359648935</v>
      </c>
      <c r="I337" s="31" t="n">
        <f aca="false">C337/MAX(C$22:C337)-1</f>
        <v>-0.117892560401271</v>
      </c>
      <c r="J337" s="31" t="n">
        <f aca="false">D337/MAX(D$22:D337)-1</f>
        <v>-0.0841737102885456</v>
      </c>
      <c r="K337" s="31" t="n">
        <f aca="false">E337/MAX(E$22:E337)-1</f>
        <v>-0.223126299611247</v>
      </c>
      <c r="L337" s="31" t="n">
        <f aca="false">F337/MAX(F$22:F337)-1</f>
        <v>-0.370682195561168</v>
      </c>
      <c r="M337" s="31" t="n">
        <f aca="false">G337/MAX(G$22:G337)-1</f>
        <v>-0.127428987365865</v>
      </c>
    </row>
    <row r="338" customFormat="false" ht="15" hidden="false" customHeight="false" outlineLevel="0" collapsed="false">
      <c r="A338" s="19" t="n">
        <f aca="false">Narxlar!A318</f>
        <v>45735</v>
      </c>
      <c r="B338" s="50" t="n">
        <f aca="false">Narxlar!B318/Narxlar!B$2</f>
        <v>1.22039</v>
      </c>
      <c r="C338" s="50" t="n">
        <f aca="false">Narxlar!C318/Narxlar!C$2</f>
        <v>1.84552</v>
      </c>
      <c r="D338" s="50" t="n">
        <f aca="false">Narxlar!D318/Narxlar!D$2</f>
        <v>1.69972826086957</v>
      </c>
      <c r="E338" s="50" t="n">
        <f aca="false">Narxlar!E318/Narxlar!E$2</f>
        <v>1.18301369863014</v>
      </c>
      <c r="F338" s="50" t="n">
        <f aca="false">Narxlar!F318/Narxlar!F$2</f>
        <v>1.0580859375</v>
      </c>
      <c r="G338" s="50" t="n">
        <f aca="false">G337*(1+VaR!B320)</f>
        <v>1.47241910061324</v>
      </c>
      <c r="H338" s="31" t="n">
        <f aca="false">B338/MAX(B$22:B338)-1</f>
        <v>-0.129902537448577</v>
      </c>
      <c r="I338" s="31" t="n">
        <f aca="false">C338/MAX(C$22:C338)-1</f>
        <v>-0.11670559405751</v>
      </c>
      <c r="J338" s="31" t="n">
        <f aca="false">D338/MAX(D$22:D338)-1</f>
        <v>-0.0884581754590498</v>
      </c>
      <c r="K338" s="31" t="n">
        <f aca="false">E338/MAX(E$22:E338)-1</f>
        <v>-0.219238766838441</v>
      </c>
      <c r="L338" s="31" t="n">
        <f aca="false">F338/MAX(F$22:F338)-1</f>
        <v>-0.366519329264015</v>
      </c>
      <c r="M338" s="31" t="n">
        <f aca="false">G338/MAX(G$22:G338)-1</f>
        <v>-0.125851279622777</v>
      </c>
    </row>
    <row r="339" customFormat="false" ht="15" hidden="false" customHeight="false" outlineLevel="0" collapsed="false">
      <c r="A339" s="19" t="n">
        <f aca="false">Narxlar!A319</f>
        <v>45736</v>
      </c>
      <c r="B339" s="50" t="n">
        <f aca="false">Narxlar!B319/Narxlar!B$2</f>
        <v>1.23296</v>
      </c>
      <c r="C339" s="50" t="n">
        <f aca="false">Narxlar!C319/Narxlar!C$2</f>
        <v>1.87864</v>
      </c>
      <c r="D339" s="50" t="n">
        <f aca="false">Narxlar!D319/Narxlar!D$2</f>
        <v>1.72260869565217</v>
      </c>
      <c r="E339" s="50" t="n">
        <f aca="false">Narxlar!E319/Narxlar!E$2</f>
        <v>1.19095890410959</v>
      </c>
      <c r="F339" s="50" t="n">
        <f aca="false">Narxlar!F319/Narxlar!F$2</f>
        <v>1.07671875</v>
      </c>
      <c r="G339" s="50" t="n">
        <f aca="false">G338*(1+VaR!B321)</f>
        <v>1.49295958116415</v>
      </c>
      <c r="H339" s="31" t="n">
        <f aca="false">B339/MAX(B$22:B339)-1</f>
        <v>-0.120940545704732</v>
      </c>
      <c r="I339" s="31" t="n">
        <f aca="false">C339/MAX(C$22:C339)-1</f>
        <v>-0.10085384998277</v>
      </c>
      <c r="J339" s="31" t="n">
        <f aca="false">D339/MAX(D$22:D339)-1</f>
        <v>-0.0761877003788982</v>
      </c>
      <c r="K339" s="31" t="n">
        <f aca="false">E339/MAX(E$22:E339)-1</f>
        <v>-0.213995117982099</v>
      </c>
      <c r="L339" s="31" t="n">
        <f aca="false">F339/MAX(F$22:F339)-1</f>
        <v>-0.355363783063215</v>
      </c>
      <c r="M339" s="31" t="n">
        <f aca="false">G339/MAX(G$22:G339)-1</f>
        <v>-0.113656765994125</v>
      </c>
    </row>
    <row r="340" customFormat="false" ht="15" hidden="false" customHeight="false" outlineLevel="0" collapsed="false">
      <c r="A340" s="19" t="n">
        <f aca="false">Narxlar!A320</f>
        <v>45737</v>
      </c>
      <c r="B340" s="50" t="n">
        <f aca="false">Narxlar!B320/Narxlar!B$2</f>
        <v>1.21064</v>
      </c>
      <c r="C340" s="50" t="n">
        <f aca="false">Narxlar!C320/Narxlar!C$2</f>
        <v>1.84112</v>
      </c>
      <c r="D340" s="50" t="n">
        <f aca="false">Narxlar!D320/Narxlar!D$2</f>
        <v>1.70532608695652</v>
      </c>
      <c r="E340" s="50" t="n">
        <f aca="false">Narxlar!E320/Narxlar!E$2</f>
        <v>1.18369863013699</v>
      </c>
      <c r="F340" s="50" t="n">
        <f aca="false">Narxlar!F320/Narxlar!F$2</f>
        <v>1.057109375</v>
      </c>
      <c r="G340" s="50" t="n">
        <f aca="false">G339*(1+VaR!B322)</f>
        <v>1.4725564327062</v>
      </c>
      <c r="H340" s="31" t="n">
        <f aca="false">B340/MAX(B$22:B340)-1</f>
        <v>-0.136853963025546</v>
      </c>
      <c r="I340" s="31" t="n">
        <f aca="false">C340/MAX(C$22:C340)-1</f>
        <v>-0.118811502086763</v>
      </c>
      <c r="J340" s="31" t="n">
        <f aca="false">D340/MAX(D$22:D340)-1</f>
        <v>-0.08545613523754</v>
      </c>
      <c r="K340" s="31" t="n">
        <f aca="false">E340/MAX(E$22:E340)-1</f>
        <v>-0.218786728143929</v>
      </c>
      <c r="L340" s="31" t="n">
        <f aca="false">F340/MAX(F$22:F340)-1</f>
        <v>-0.367104001496761</v>
      </c>
      <c r="M340" s="31" t="n">
        <f aca="false">G340/MAX(G$22:G340)-1</f>
        <v>-0.1257697480308</v>
      </c>
    </row>
    <row r="341" customFormat="false" ht="15" hidden="false" customHeight="false" outlineLevel="0" collapsed="false">
      <c r="A341" s="19" t="n">
        <f aca="false">Narxlar!A321</f>
        <v>45740</v>
      </c>
      <c r="B341" s="50" t="n">
        <f aca="false">Narxlar!B321/Narxlar!B$2</f>
        <v>1.16999</v>
      </c>
      <c r="C341" s="50" t="n">
        <f aca="false">Narxlar!C321/Narxlar!C$2</f>
        <v>1.74824</v>
      </c>
      <c r="D341" s="50" t="n">
        <f aca="false">Narxlar!D321/Narxlar!D$2</f>
        <v>1.6545652173913</v>
      </c>
      <c r="E341" s="50" t="n">
        <f aca="false">Narxlar!E321/Narxlar!E$2</f>
        <v>1.15630136986301</v>
      </c>
      <c r="F341" s="50" t="n">
        <f aca="false">Narxlar!F321/Narxlar!F$2</f>
        <v>1.028828125</v>
      </c>
      <c r="G341" s="50" t="n">
        <f aca="false">G340*(1+VaR!B323)</f>
        <v>1.42291238923476</v>
      </c>
      <c r="H341" s="31" t="n">
        <f aca="false">B341/MAX(B$22:B341)-1</f>
        <v>-0.16583606043106</v>
      </c>
      <c r="I341" s="31" t="n">
        <f aca="false">C341/MAX(C$22:C341)-1</f>
        <v>-0.163265306122449</v>
      </c>
      <c r="J341" s="31" t="n">
        <f aca="false">D341/MAX(D$22:D341)-1</f>
        <v>-0.112678519382104</v>
      </c>
      <c r="K341" s="31" t="n">
        <f aca="false">E341/MAX(E$22:E341)-1</f>
        <v>-0.236868275924419</v>
      </c>
      <c r="L341" s="31" t="n">
        <f aca="false">F341/MAX(F$22:F341)-1</f>
        <v>-0.384036109357094</v>
      </c>
      <c r="M341" s="31" t="n">
        <f aca="false">G341/MAX(G$22:G341)-1</f>
        <v>-0.155242523178062</v>
      </c>
    </row>
    <row r="342" customFormat="false" ht="15" hidden="false" customHeight="false" outlineLevel="0" collapsed="false">
      <c r="A342" s="19" t="n">
        <f aca="false">Narxlar!A322</f>
        <v>45741</v>
      </c>
      <c r="B342" s="50" t="n">
        <f aca="false">Narxlar!B322/Narxlar!B$2</f>
        <v>1.15084</v>
      </c>
      <c r="C342" s="50" t="n">
        <f aca="false">Narxlar!C322/Narxlar!C$2</f>
        <v>1.67112</v>
      </c>
      <c r="D342" s="50" t="n">
        <f aca="false">Narxlar!D322/Narxlar!D$2</f>
        <v>1.65016304347826</v>
      </c>
      <c r="E342" s="50" t="n">
        <f aca="false">Narxlar!E322/Narxlar!E$2</f>
        <v>1.1413698630137</v>
      </c>
      <c r="F342" s="50" t="n">
        <f aca="false">Narxlar!F322/Narxlar!F$2</f>
        <v>0.9773828125</v>
      </c>
      <c r="G342" s="50" t="n">
        <f aca="false">G341*(1+VaR!B324)</f>
        <v>1.38431149889554</v>
      </c>
      <c r="H342" s="31" t="n">
        <f aca="false">B342/MAX(B$22:B342)-1</f>
        <v>-0.179489373230951</v>
      </c>
      <c r="I342" s="31" t="n">
        <f aca="false">C342/MAX(C$22:C342)-1</f>
        <v>-0.200176130489719</v>
      </c>
      <c r="J342" s="31" t="n">
        <f aca="false">D342/MAX(D$22:D342)-1</f>
        <v>-0.115039347129117</v>
      </c>
      <c r="K342" s="31" t="n">
        <f aca="false">E342/MAX(E$22:E342)-1</f>
        <v>-0.246722719464786</v>
      </c>
      <c r="L342" s="31" t="n">
        <f aca="false">F342/MAX(F$22:F342)-1</f>
        <v>-0.414836642578171</v>
      </c>
      <c r="M342" s="31" t="n">
        <f aca="false">G342/MAX(G$22:G342)-1</f>
        <v>-0.178159177058333</v>
      </c>
    </row>
    <row r="343" customFormat="false" ht="15" hidden="false" customHeight="false" outlineLevel="0" collapsed="false">
      <c r="A343" s="19" t="n">
        <f aca="false">Narxlar!A323</f>
        <v>45742</v>
      </c>
      <c r="B343" s="50" t="n">
        <f aca="false">Narxlar!B323/Narxlar!B$2</f>
        <v>1.15849</v>
      </c>
      <c r="C343" s="50" t="n">
        <f aca="false">Narxlar!C323/Narxlar!C$2</f>
        <v>1.70088</v>
      </c>
      <c r="D343" s="50" t="n">
        <f aca="false">Narxlar!D323/Narxlar!D$2</f>
        <v>1.68711956521739</v>
      </c>
      <c r="E343" s="50" t="n">
        <f aca="false">Narxlar!E323/Narxlar!E$2</f>
        <v>1.16082191780822</v>
      </c>
      <c r="F343" s="50" t="n">
        <f aca="false">Narxlar!F323/Narxlar!F$2</f>
        <v>0.99640625</v>
      </c>
      <c r="G343" s="50" t="n">
        <f aca="false">G342*(1+VaR!B325)</f>
        <v>1.41074472807936</v>
      </c>
      <c r="H343" s="31" t="n">
        <f aca="false">B343/MAX(B$22:B343)-1</f>
        <v>-0.174035177778253</v>
      </c>
      <c r="I343" s="31" t="n">
        <f aca="false">C343/MAX(C$22:C343)-1</f>
        <v>-0.18593253436459</v>
      </c>
      <c r="J343" s="31" t="n">
        <f aca="false">D343/MAX(D$22:D343)-1</f>
        <v>-0.0952200524628387</v>
      </c>
      <c r="K343" s="31" t="n">
        <f aca="false">E343/MAX(E$22:E343)-1</f>
        <v>-0.233884820540638</v>
      </c>
      <c r="L343" s="31" t="n">
        <f aca="false">F343/MAX(F$22:F343)-1</f>
        <v>-0.403447227484272</v>
      </c>
      <c r="M343" s="31" t="n">
        <f aca="false">G343/MAX(G$22:G343)-1</f>
        <v>-0.162466244620247</v>
      </c>
    </row>
    <row r="344" customFormat="false" ht="15" hidden="false" customHeight="false" outlineLevel="0" collapsed="false">
      <c r="A344" s="19" t="n">
        <f aca="false">Narxlar!A324</f>
        <v>45743</v>
      </c>
      <c r="B344" s="50" t="n">
        <f aca="false">Narxlar!B324/Narxlar!B$2</f>
        <v>1.169</v>
      </c>
      <c r="C344" s="50" t="n">
        <f aca="false">Narxlar!C324/Narxlar!C$2</f>
        <v>1.7716</v>
      </c>
      <c r="D344" s="50" t="n">
        <f aca="false">Narxlar!D324/Narxlar!D$2</f>
        <v>1.72038043478261</v>
      </c>
      <c r="E344" s="50" t="n">
        <f aca="false">Narxlar!E324/Narxlar!E$2</f>
        <v>1.16547945205479</v>
      </c>
      <c r="F344" s="50" t="n">
        <f aca="false">Narxlar!F324/Narxlar!F$2</f>
        <v>1.026875</v>
      </c>
      <c r="G344" s="50" t="n">
        <f aca="false">G343*(1+VaR!B326)</f>
        <v>1.44533758132241</v>
      </c>
      <c r="H344" s="31" t="n">
        <f aca="false">B344/MAX(B$22:B344)-1</f>
        <v>-0.166541897489644</v>
      </c>
      <c r="I344" s="31" t="n">
        <f aca="false">C344/MAX(C$22:C344)-1</f>
        <v>-0.15208484894896</v>
      </c>
      <c r="J344" s="31" t="n">
        <f aca="false">D344/MAX(D$22:D344)-1</f>
        <v>-0.0773826872631885</v>
      </c>
      <c r="K344" s="31" t="n">
        <f aca="false">E344/MAX(E$22:E344)-1</f>
        <v>-0.230810957417955</v>
      </c>
      <c r="L344" s="31" t="n">
        <f aca="false">F344/MAX(F$22:F344)-1</f>
        <v>-0.385205453822587</v>
      </c>
      <c r="M344" s="31" t="n">
        <f aca="false">G344/MAX(G$22:G344)-1</f>
        <v>-0.141929090229886</v>
      </c>
    </row>
    <row r="345" customFormat="false" ht="15" hidden="false" customHeight="false" outlineLevel="0" collapsed="false">
      <c r="A345" s="19" t="n">
        <f aca="false">Narxlar!A325</f>
        <v>45744</v>
      </c>
      <c r="B345" s="50" t="n">
        <f aca="false">Narxlar!B325/Narxlar!B$2</f>
        <v>1.18876</v>
      </c>
      <c r="C345" s="50" t="n">
        <f aca="false">Narxlar!C325/Narxlar!C$2</f>
        <v>1.83528</v>
      </c>
      <c r="D345" s="50" t="n">
        <f aca="false">Narxlar!D325/Narxlar!D$2</f>
        <v>1.76961956521739</v>
      </c>
      <c r="E345" s="50" t="n">
        <f aca="false">Narxlar!E325/Narxlar!E$2</f>
        <v>1.18246575342466</v>
      </c>
      <c r="F345" s="50" t="n">
        <f aca="false">Narxlar!F325/Narxlar!F$2</f>
        <v>1.0537890625</v>
      </c>
      <c r="G345" s="50" t="n">
        <f aca="false">G344*(1+VaR!B327)</f>
        <v>1.48410775787463</v>
      </c>
      <c r="H345" s="31" t="n">
        <f aca="false">B345/MAX(B$22:B345)-1</f>
        <v>-0.152453674986988</v>
      </c>
      <c r="I345" s="31" t="n">
        <f aca="false">C345/MAX(C$22:C345)-1</f>
        <v>-0.121606616380136</v>
      </c>
      <c r="J345" s="31" t="n">
        <f aca="false">D345/MAX(D$22:D345)-1</f>
        <v>-0.0509763917225298</v>
      </c>
      <c r="K345" s="31" t="n">
        <f aca="false">E345/MAX(E$22:E345)-1</f>
        <v>-0.219600397794051</v>
      </c>
      <c r="L345" s="31" t="n">
        <f aca="false">F345/MAX(F$22:F345)-1</f>
        <v>-0.369091887088098</v>
      </c>
      <c r="M345" s="31" t="n">
        <f aca="false">G345/MAX(G$22:G345)-1</f>
        <v>-0.118911934171663</v>
      </c>
    </row>
    <row r="346" customFormat="false" ht="15" hidden="false" customHeight="false" outlineLevel="0" collapsed="false">
      <c r="A346" s="19" t="n">
        <f aca="false">Narxlar!A326</f>
        <v>45747</v>
      </c>
      <c r="B346" s="50" t="n">
        <f aca="false">Narxlar!B326/Narxlar!B$2</f>
        <v>1.19166</v>
      </c>
      <c r="C346" s="50" t="n">
        <f aca="false">Narxlar!C326/Narxlar!C$2</f>
        <v>1.83352</v>
      </c>
      <c r="D346" s="50" t="n">
        <f aca="false">Narxlar!D326/Narxlar!D$2</f>
        <v>1.74358695652174</v>
      </c>
      <c r="E346" s="50" t="n">
        <f aca="false">Narxlar!E326/Narxlar!E$2</f>
        <v>1.19767123287671</v>
      </c>
      <c r="F346" s="50" t="n">
        <f aca="false">Narxlar!F326/Narxlar!F$2</f>
        <v>1.03953125</v>
      </c>
      <c r="G346" s="50" t="n">
        <f aca="false">G345*(1+VaR!B328)</f>
        <v>1.47897774092752</v>
      </c>
      <c r="H346" s="31" t="n">
        <f aca="false">B346/MAX(B$22:B346)-1</f>
        <v>-0.150386071482044</v>
      </c>
      <c r="I346" s="31" t="n">
        <f aca="false">C346/MAX(C$22:C346)-1</f>
        <v>-0.122448979591837</v>
      </c>
      <c r="J346" s="31" t="n">
        <f aca="false">D346/MAX(D$22:D346)-1</f>
        <v>-0.0649373360536286</v>
      </c>
      <c r="K346" s="31" t="n">
        <f aca="false">E346/MAX(E$22:E346)-1</f>
        <v>-0.209565138775879</v>
      </c>
      <c r="L346" s="31" t="n">
        <f aca="false">F346/MAX(F$22:F346)-1</f>
        <v>-0.377628101686195</v>
      </c>
      <c r="M346" s="31" t="n">
        <f aca="false">G346/MAX(G$22:G346)-1</f>
        <v>-0.121957532906397</v>
      </c>
    </row>
    <row r="347" customFormat="false" ht="15" hidden="false" customHeight="false" outlineLevel="0" collapsed="false">
      <c r="A347" s="19" t="n">
        <f aca="false">Narxlar!A327</f>
        <v>45748</v>
      </c>
      <c r="B347" s="50" t="n">
        <f aca="false">Narxlar!B327/Narxlar!B$2</f>
        <v>1.20969</v>
      </c>
      <c r="C347" s="50" t="n">
        <f aca="false">Narxlar!C327/Narxlar!C$2</f>
        <v>1.89672</v>
      </c>
      <c r="D347" s="50" t="n">
        <f aca="false">Narxlar!D327/Narxlar!D$2</f>
        <v>1.74961956521739</v>
      </c>
      <c r="E347" s="50" t="n">
        <f aca="false">Narxlar!E327/Narxlar!E$2</f>
        <v>1.20095890410959</v>
      </c>
      <c r="F347" s="50" t="n">
        <f aca="false">Narxlar!F327/Narxlar!F$2</f>
        <v>1.0748828125</v>
      </c>
      <c r="G347" s="50" t="n">
        <f aca="false">G346*(1+VaR!B329)</f>
        <v>1.50662492639</v>
      </c>
      <c r="H347" s="31" t="n">
        <f aca="false">B347/MAX(B$22:B347)-1</f>
        <v>-0.137531281415096</v>
      </c>
      <c r="I347" s="31" t="n">
        <f aca="false">C347/MAX(C$22:C347)-1</f>
        <v>-0.092200482444385</v>
      </c>
      <c r="J347" s="31" t="n">
        <f aca="false">D347/MAX(D$22:D347)-1</f>
        <v>-0.0617021276595744</v>
      </c>
      <c r="K347" s="31" t="n">
        <f aca="false">E347/MAX(E$22:E347)-1</f>
        <v>-0.207395353042221</v>
      </c>
      <c r="L347" s="31" t="n">
        <f aca="false">F347/MAX(F$22:F347)-1</f>
        <v>-0.356462966860778</v>
      </c>
      <c r="M347" s="31" t="n">
        <f aca="false">G347/MAX(G$22:G347)-1</f>
        <v>-0.105543896473679</v>
      </c>
    </row>
    <row r="348" customFormat="false" ht="15" hidden="false" customHeight="false" outlineLevel="0" collapsed="false">
      <c r="A348" s="19" t="n">
        <f aca="false">Narxlar!A328</f>
        <v>45749</v>
      </c>
      <c r="B348" s="50" t="n">
        <f aca="false">Narxlar!B328/Narxlar!B$2</f>
        <v>1.26345</v>
      </c>
      <c r="C348" s="50" t="n">
        <f aca="false">Narxlar!C328/Narxlar!C$2</f>
        <v>1.99936</v>
      </c>
      <c r="D348" s="50" t="n">
        <f aca="false">Narxlar!D328/Narxlar!D$2</f>
        <v>1.82108695652174</v>
      </c>
      <c r="E348" s="50" t="n">
        <f aca="false">Narxlar!E328/Narxlar!E$2</f>
        <v>1.25479452054795</v>
      </c>
      <c r="F348" s="50" t="n">
        <f aca="false">Narxlar!F328/Narxlar!F$2</f>
        <v>1.1187890625</v>
      </c>
      <c r="G348" s="50" t="n">
        <f aca="false">G347*(1+VaR!B330)</f>
        <v>1.57566222015172</v>
      </c>
      <c r="H348" s="31" t="n">
        <f aca="false">B348/MAX(B$22:B348)-1</f>
        <v>-0.0992021902337819</v>
      </c>
      <c r="I348" s="31" t="n">
        <f aca="false">C348/MAX(C$22:C348)-1</f>
        <v>-0.0430753915074473</v>
      </c>
      <c r="J348" s="31" t="n">
        <f aca="false">D348/MAX(D$22:D348)-1</f>
        <v>-0.0233751092975808</v>
      </c>
      <c r="K348" s="31" t="n">
        <f aca="false">E348/MAX(E$22:E348)-1</f>
        <v>-0.171865111653558</v>
      </c>
      <c r="L348" s="31" t="n">
        <f aca="false">F348/MAX(F$22:F348)-1</f>
        <v>-0.330176103276503</v>
      </c>
      <c r="M348" s="31" t="n">
        <f aca="false">G348/MAX(G$22:G348)-1</f>
        <v>-0.0645576976563886</v>
      </c>
    </row>
    <row r="349" customFormat="false" ht="15" hidden="false" customHeight="false" outlineLevel="0" collapsed="false">
      <c r="A349" s="19" t="n">
        <f aca="false">Narxlar!A329</f>
        <v>45750</v>
      </c>
      <c r="B349" s="50" t="n">
        <f aca="false">Narxlar!B329/Narxlar!B$2</f>
        <v>1.27999</v>
      </c>
      <c r="C349" s="50" t="n">
        <f aca="false">Narxlar!C329/Narxlar!C$2</f>
        <v>2.02328</v>
      </c>
      <c r="D349" s="50" t="n">
        <f aca="false">Narxlar!D329/Narxlar!D$2</f>
        <v>1.84211956521739</v>
      </c>
      <c r="E349" s="50" t="n">
        <f aca="false">Narxlar!E329/Narxlar!E$2</f>
        <v>1.25506849315069</v>
      </c>
      <c r="F349" s="50" t="n">
        <f aca="false">Narxlar!F329/Narxlar!F$2</f>
        <v>1.1449609375</v>
      </c>
      <c r="G349" s="50" t="n">
        <f aca="false">G348*(1+VaR!B331)</f>
        <v>1.59332493898408</v>
      </c>
      <c r="H349" s="31" t="n">
        <f aca="false">B349/MAX(B$22:B349)-1</f>
        <v>-0.0874097205883402</v>
      </c>
      <c r="I349" s="31" t="n">
        <f aca="false">C349/MAX(C$22:C349)-1</f>
        <v>-0.0316269096756902</v>
      </c>
      <c r="J349" s="31" t="n">
        <f aca="false">D349/MAX(D$22:D349)-1</f>
        <v>-0.0120955989507431</v>
      </c>
      <c r="K349" s="31" t="n">
        <f aca="false">E349/MAX(E$22:E349)-1</f>
        <v>-0.171684296175753</v>
      </c>
      <c r="L349" s="31" t="n">
        <f aca="false">F349/MAX(F$22:F349)-1</f>
        <v>-0.314506887438902</v>
      </c>
      <c r="M349" s="31" t="n">
        <f aca="false">G349/MAX(G$22:G349)-1</f>
        <v>-0.0540716593679269</v>
      </c>
    </row>
    <row r="350" customFormat="false" ht="15" hidden="false" customHeight="false" outlineLevel="0" collapsed="false">
      <c r="A350" s="19" t="n">
        <f aca="false">Narxlar!A330</f>
        <v>45751</v>
      </c>
      <c r="B350" s="50" t="n">
        <f aca="false">Narxlar!B330/Narxlar!B$2</f>
        <v>1.28786</v>
      </c>
      <c r="C350" s="50" t="n">
        <f aca="false">Narxlar!C330/Narxlar!C$2</f>
        <v>2.04304</v>
      </c>
      <c r="D350" s="50" t="n">
        <f aca="false">Narxlar!D330/Narxlar!D$2</f>
        <v>1.85114130434783</v>
      </c>
      <c r="E350" s="50" t="n">
        <f aca="false">Narxlar!E330/Narxlar!E$2</f>
        <v>1.2541095890411</v>
      </c>
      <c r="F350" s="50" t="n">
        <f aca="false">Narxlar!F330/Narxlar!F$2</f>
        <v>1.157890625</v>
      </c>
      <c r="G350" s="50" t="n">
        <f aca="false">G349*(1+VaR!B332)</f>
        <v>1.60323828300083</v>
      </c>
      <c r="H350" s="31" t="n">
        <f aca="false">B350/MAX(B$22:B350)-1</f>
        <v>-0.0817986724559565</v>
      </c>
      <c r="I350" s="31" t="n">
        <f aca="false">C350/MAX(C$22:C350)-1</f>
        <v>-0.0221694681624995</v>
      </c>
      <c r="J350" s="31" t="n">
        <f aca="false">D350/MAX(D$22:D350)-1</f>
        <v>-0.00725735937044592</v>
      </c>
      <c r="K350" s="31" t="n">
        <f aca="false">E350/MAX(E$22:E350)-1</f>
        <v>-0.17231715034807</v>
      </c>
      <c r="L350" s="31" t="n">
        <f aca="false">F350/MAX(F$22:F350)-1</f>
        <v>-0.30676582707734</v>
      </c>
      <c r="M350" s="31" t="n">
        <f aca="false">G350/MAX(G$22:G350)-1</f>
        <v>-0.0481862854392032</v>
      </c>
    </row>
    <row r="351" customFormat="false" ht="15" hidden="false" customHeight="false" outlineLevel="0" collapsed="false">
      <c r="A351" s="19" t="n">
        <f aca="false">Narxlar!A331</f>
        <v>45754</v>
      </c>
      <c r="B351" s="50" t="n">
        <f aca="false">Narxlar!B331/Narxlar!B$2</f>
        <v>1.30026</v>
      </c>
      <c r="C351" s="50" t="n">
        <f aca="false">Narxlar!C331/Narxlar!C$2</f>
        <v>2.03808</v>
      </c>
      <c r="D351" s="50" t="n">
        <f aca="false">Narxlar!D331/Narxlar!D$2</f>
        <v>1.87630434782609</v>
      </c>
      <c r="E351" s="50" t="n">
        <f aca="false">Narxlar!E331/Narxlar!E$2</f>
        <v>1.26452054794521</v>
      </c>
      <c r="F351" s="50" t="n">
        <f aca="false">Narxlar!F331/Narxlar!F$2</f>
        <v>1.168984375</v>
      </c>
      <c r="G351" s="50" t="n">
        <f aca="false">G350*(1+VaR!B333)</f>
        <v>1.6139183462239</v>
      </c>
      <c r="H351" s="31" t="n">
        <f aca="false">B351/MAX(B$22:B351)-1</f>
        <v>-0.0729578850555045</v>
      </c>
      <c r="I351" s="31" t="n">
        <f aca="false">C351/MAX(C$22:C351)-1</f>
        <v>-0.0245434008500212</v>
      </c>
      <c r="J351" s="31" t="n">
        <f aca="false">D351/MAX(D$22:D351)-1</f>
        <v>0</v>
      </c>
      <c r="K351" s="31" t="n">
        <f aca="false">E351/MAX(E$22:E351)-1</f>
        <v>-0.165446162191484</v>
      </c>
      <c r="L351" s="31" t="n">
        <f aca="false">F351/MAX(F$22:F351)-1</f>
        <v>-0.300123950513342</v>
      </c>
      <c r="M351" s="31" t="n">
        <f aca="false">G351/MAX(G$22:G351)-1</f>
        <v>-0.0418457241166115</v>
      </c>
    </row>
    <row r="352" customFormat="false" ht="15" hidden="false" customHeight="false" outlineLevel="0" collapsed="false">
      <c r="A352" s="19" t="n">
        <f aca="false">Narxlar!A332</f>
        <v>45755</v>
      </c>
      <c r="B352" s="50" t="n">
        <f aca="false">Narxlar!B332/Narxlar!B$2</f>
        <v>1.29379</v>
      </c>
      <c r="C352" s="50" t="n">
        <f aca="false">Narxlar!C332/Narxlar!C$2</f>
        <v>2.03208</v>
      </c>
      <c r="D352" s="50" t="n">
        <f aca="false">Narxlar!D332/Narxlar!D$2</f>
        <v>1.85005434782609</v>
      </c>
      <c r="E352" s="50" t="n">
        <f aca="false">Narxlar!E332/Narxlar!E$2</f>
        <v>1.24356164383562</v>
      </c>
      <c r="F352" s="50" t="n">
        <f aca="false">Narxlar!F332/Narxlar!F$2</f>
        <v>1.148125</v>
      </c>
      <c r="G352" s="50" t="n">
        <f aca="false">G351*(1+VaR!B334)</f>
        <v>1.59440090800836</v>
      </c>
      <c r="H352" s="31" t="n">
        <f aca="false">B352/MAX(B$22:B352)-1</f>
        <v>-0.077570779771708</v>
      </c>
      <c r="I352" s="31" t="n">
        <f aca="false">C352/MAX(C$22:C352)-1</f>
        <v>-0.0274150936171842</v>
      </c>
      <c r="J352" s="31" t="n">
        <f aca="false">D352/MAX(D$22:D352)-1</f>
        <v>-0.0139902676399027</v>
      </c>
      <c r="K352" s="31" t="n">
        <f aca="false">E352/MAX(E$22:E352)-1</f>
        <v>-0.179278546243558</v>
      </c>
      <c r="L352" s="31" t="n">
        <f aca="false">F352/MAX(F$22:F352)-1</f>
        <v>-0.312612549404804</v>
      </c>
      <c r="M352" s="31" t="n">
        <f aca="false">G352/MAX(G$22:G352)-1</f>
        <v>-0.0534328759228138</v>
      </c>
    </row>
    <row r="353" customFormat="false" ht="15" hidden="false" customHeight="false" outlineLevel="0" collapsed="false">
      <c r="A353" s="19" t="n">
        <f aca="false">Narxlar!A333</f>
        <v>45756</v>
      </c>
      <c r="B353" s="50" t="n">
        <f aca="false">Narxlar!B333/Narxlar!B$2</f>
        <v>1.34558</v>
      </c>
      <c r="C353" s="50" t="n">
        <f aca="false">Narxlar!C333/Narxlar!C$2</f>
        <v>2.16392</v>
      </c>
      <c r="D353" s="50" t="n">
        <f aca="false">Narxlar!D333/Narxlar!D$2</f>
        <v>1.9241847826087</v>
      </c>
      <c r="E353" s="50" t="n">
        <f aca="false">Narxlar!E333/Narxlar!E$2</f>
        <v>1.27054794520548</v>
      </c>
      <c r="F353" s="50" t="n">
        <f aca="false">Narxlar!F333/Narxlar!F$2</f>
        <v>1.2255078125</v>
      </c>
      <c r="G353" s="50" t="n">
        <f aca="false">G352*(1+VaR!B335)</f>
        <v>1.67154790114431</v>
      </c>
      <c r="H353" s="31" t="n">
        <f aca="false">B353/MAX(B$22:B353)-1</f>
        <v>-0.040646233040304</v>
      </c>
      <c r="I353" s="31" t="n">
        <f aca="false">C353/MAX(C$22:C353)-1</f>
        <v>0</v>
      </c>
      <c r="J353" s="31" t="n">
        <f aca="false">D353/MAX(D$22:D353)-1</f>
        <v>0</v>
      </c>
      <c r="K353" s="31" t="n">
        <f aca="false">E353/MAX(E$22:E353)-1</f>
        <v>-0.161468221679776</v>
      </c>
      <c r="L353" s="31" t="n">
        <f aca="false">F353/MAX(F$22:F353)-1</f>
        <v>-0.266283121681985</v>
      </c>
      <c r="M353" s="31" t="n">
        <f aca="false">G353/MAX(G$22:G353)-1</f>
        <v>-0.00763209454022196</v>
      </c>
    </row>
    <row r="354" customFormat="false" ht="15" hidden="false" customHeight="false" outlineLevel="0" collapsed="false">
      <c r="A354" s="19" t="n">
        <f aca="false">Narxlar!A334</f>
        <v>45757</v>
      </c>
      <c r="B354" s="50" t="n">
        <f aca="false">Narxlar!B334/Narxlar!B$2</f>
        <v>1.34881</v>
      </c>
      <c r="C354" s="50" t="n">
        <f aca="false">Narxlar!C334/Narxlar!C$2</f>
        <v>2.21744</v>
      </c>
      <c r="D354" s="50" t="n">
        <f aca="false">Narxlar!D334/Narxlar!D$2</f>
        <v>1.95728260869565</v>
      </c>
      <c r="E354" s="50" t="n">
        <f aca="false">Narxlar!E334/Narxlar!E$2</f>
        <v>1.29</v>
      </c>
      <c r="F354" s="50" t="n">
        <f aca="false">Narxlar!F334/Narxlar!F$2</f>
        <v>1.212578125</v>
      </c>
      <c r="G354" s="50" t="n">
        <f aca="false">G353*(1+VaR!B336)</f>
        <v>1.69400933663138</v>
      </c>
      <c r="H354" s="31" t="n">
        <f aca="false">B354/MAX(B$22:B354)-1</f>
        <v>-0.0383433505158315</v>
      </c>
      <c r="I354" s="31" t="n">
        <f aca="false">C354/MAX(C$22:C354)-1</f>
        <v>0</v>
      </c>
      <c r="J354" s="31" t="n">
        <f aca="false">D354/MAX(D$22:D354)-1</f>
        <v>0</v>
      </c>
      <c r="K354" s="31" t="n">
        <f aca="false">E354/MAX(E$22:E354)-1</f>
        <v>-0.148630322755628</v>
      </c>
      <c r="L354" s="31" t="n">
        <f aca="false">F354/MAX(F$22:F354)-1</f>
        <v>-0.274024182043546</v>
      </c>
      <c r="M354" s="31" t="n">
        <f aca="false">G354/MAX(G$22:G354)-1</f>
        <v>0</v>
      </c>
    </row>
    <row r="355" customFormat="false" ht="15" hidden="false" customHeight="false" outlineLevel="0" collapsed="false">
      <c r="A355" s="19" t="n">
        <f aca="false">Narxlar!A335</f>
        <v>45758</v>
      </c>
      <c r="B355" s="50" t="n">
        <f aca="false">Narxlar!B335/Narxlar!B$2</f>
        <v>1.32326</v>
      </c>
      <c r="C355" s="50" t="n">
        <f aca="false">Narxlar!C335/Narxlar!C$2</f>
        <v>2.15624</v>
      </c>
      <c r="D355" s="50" t="n">
        <f aca="false">Narxlar!D335/Narxlar!D$2</f>
        <v>1.91875</v>
      </c>
      <c r="E355" s="50" t="n">
        <f aca="false">Narxlar!E335/Narxlar!E$2</f>
        <v>1.27356164383562</v>
      </c>
      <c r="F355" s="50" t="n">
        <f aca="false">Narxlar!F335/Narxlar!F$2</f>
        <v>1.18859375</v>
      </c>
      <c r="G355" s="50" t="n">
        <f aca="false">G354*(1+VaR!B337)</f>
        <v>1.65954781010825</v>
      </c>
      <c r="H355" s="31" t="n">
        <f aca="false">B355/MAX(B$22:B355)-1</f>
        <v>-0.0565596503611178</v>
      </c>
      <c r="I355" s="31" t="n">
        <f aca="false">C355/MAX(C$22:C355)-1</f>
        <v>-0.0275993938956635</v>
      </c>
      <c r="J355" s="31" t="n">
        <f aca="false">D355/MAX(D$22:D355)-1</f>
        <v>-0.0196867884711501</v>
      </c>
      <c r="K355" s="31" t="n">
        <f aca="false">E355/MAX(E$22:E355)-1</f>
        <v>-0.159479251423922</v>
      </c>
      <c r="L355" s="31" t="n">
        <f aca="false">F355/MAX(F$22:F355)-1</f>
        <v>-0.288383732079796</v>
      </c>
      <c r="M355" s="31" t="n">
        <f aca="false">G355/MAX(G$22:G355)-1</f>
        <v>-0.0203431738998905</v>
      </c>
    </row>
    <row r="356" customFormat="false" ht="15" hidden="false" customHeight="false" outlineLevel="0" collapsed="false">
      <c r="A356" s="19" t="n">
        <f aca="false">Narxlar!A336</f>
        <v>45761</v>
      </c>
      <c r="B356" s="50" t="n">
        <f aca="false">Narxlar!B336/Narxlar!B$2</f>
        <v>1.31914</v>
      </c>
      <c r="C356" s="50" t="n">
        <f aca="false">Narxlar!C336/Narxlar!C$2</f>
        <v>2.16848</v>
      </c>
      <c r="D356" s="50" t="n">
        <f aca="false">Narxlar!D336/Narxlar!D$2</f>
        <v>1.91913043478261</v>
      </c>
      <c r="E356" s="50" t="n">
        <f aca="false">Narxlar!E336/Narxlar!E$2</f>
        <v>1.27068493150685</v>
      </c>
      <c r="F356" s="50" t="n">
        <f aca="false">Narxlar!F336/Narxlar!F$2</f>
        <v>1.177578125</v>
      </c>
      <c r="G356" s="50" t="n">
        <f aca="false">G355*(1+VaR!B338)</f>
        <v>1.65844301302644</v>
      </c>
      <c r="H356" s="31" t="n">
        <f aca="false">B356/MAX(B$22:B356)-1</f>
        <v>-0.0594970732715903</v>
      </c>
      <c r="I356" s="31" t="n">
        <f aca="false">C356/MAX(C$22:C356)-1</f>
        <v>-0.0220795151165306</v>
      </c>
      <c r="J356" s="31" t="n">
        <f aca="false">D356/MAX(D$22:D356)-1</f>
        <v>-0.0194924196145944</v>
      </c>
      <c r="K356" s="31" t="n">
        <f aca="false">E356/MAX(E$22:E356)-1</f>
        <v>-0.161377813940873</v>
      </c>
      <c r="L356" s="31" t="n">
        <f aca="false">F356/MAX(F$22:F356)-1</f>
        <v>-0.294978834865175</v>
      </c>
      <c r="M356" s="31" t="n">
        <f aca="false">G356/MAX(G$22:G356)-1</f>
        <v>-0.0209953527621427</v>
      </c>
    </row>
    <row r="357" customFormat="false" ht="15" hidden="false" customHeight="false" outlineLevel="0" collapsed="false">
      <c r="A357" s="19" t="n">
        <f aca="false">Narxlar!A337</f>
        <v>45762</v>
      </c>
      <c r="B357" s="50" t="n">
        <f aca="false">Narxlar!B337/Narxlar!B$2</f>
        <v>1.28192</v>
      </c>
      <c r="C357" s="50" t="n">
        <f aca="false">Narxlar!C337/Narxlar!C$2</f>
        <v>2.07296</v>
      </c>
      <c r="D357" s="50" t="n">
        <f aca="false">Narxlar!D337/Narxlar!D$2</f>
        <v>1.90527173913043</v>
      </c>
      <c r="E357" s="50" t="n">
        <f aca="false">Narxlar!E337/Narxlar!E$2</f>
        <v>1.25561643835616</v>
      </c>
      <c r="F357" s="50" t="n">
        <f aca="false">Narxlar!F337/Narxlar!F$2</f>
        <v>1.2226953125</v>
      </c>
      <c r="G357" s="50" t="n">
        <f aca="false">G356*(1+VaR!B339)</f>
        <v>1.64132447557186</v>
      </c>
      <c r="H357" s="31" t="n">
        <f aca="false">B357/MAX(B$22:B357)-1</f>
        <v>-0.0860336948074633</v>
      </c>
      <c r="I357" s="31" t="n">
        <f aca="false">C357/MAX(C$22:C357)-1</f>
        <v>-0.0651562161772132</v>
      </c>
      <c r="J357" s="31" t="n">
        <f aca="false">D357/MAX(D$22:D357)-1</f>
        <v>-0.0265729993891264</v>
      </c>
      <c r="K357" s="31" t="n">
        <f aca="false">E357/MAX(E$22:E357)-1</f>
        <v>-0.171322665220143</v>
      </c>
      <c r="L357" s="31" t="n">
        <f aca="false">F357/MAX(F$22:F357)-1</f>
        <v>-0.267966977712295</v>
      </c>
      <c r="M357" s="31" t="n">
        <f aca="false">G357/MAX(G$22:G357)-1</f>
        <v>-0.0311006910766379</v>
      </c>
    </row>
    <row r="358" customFormat="false" ht="15" hidden="false" customHeight="false" outlineLevel="0" collapsed="false">
      <c r="A358" s="19" t="n">
        <f aca="false">Narxlar!A338</f>
        <v>45763</v>
      </c>
      <c r="B358" s="50" t="n">
        <f aca="false">Narxlar!B338/Narxlar!B$2</f>
        <v>1.25946</v>
      </c>
      <c r="C358" s="50" t="n">
        <f aca="false">Narxlar!C338/Narxlar!C$2</f>
        <v>2.02544</v>
      </c>
      <c r="D358" s="50" t="n">
        <f aca="false">Narxlar!D338/Narxlar!D$2</f>
        <v>1.85097826086957</v>
      </c>
      <c r="E358" s="50" t="n">
        <f aca="false">Narxlar!E338/Narxlar!E$2</f>
        <v>1.24328767123288</v>
      </c>
      <c r="F358" s="50" t="n">
        <f aca="false">Narxlar!F338/Narxlar!F$2</f>
        <v>1.20140625</v>
      </c>
      <c r="G358" s="50" t="n">
        <f aca="false">G357*(1+VaR!B340)</f>
        <v>1.6085992958819</v>
      </c>
      <c r="H358" s="31" t="n">
        <f aca="false">B358/MAX(B$22:B358)-1</f>
        <v>-0.102046927469895</v>
      </c>
      <c r="I358" s="31" t="n">
        <f aca="false">C358/MAX(C$22:C358)-1</f>
        <v>-0.0865863337903167</v>
      </c>
      <c r="J358" s="31" t="n">
        <f aca="false">D358/MAX(D$22:D358)-1</f>
        <v>-0.0543122119175875</v>
      </c>
      <c r="K358" s="31" t="n">
        <f aca="false">E358/MAX(E$22:E358)-1</f>
        <v>-0.179459361721363</v>
      </c>
      <c r="L358" s="31" t="n">
        <f aca="false">F358/MAX(F$22:F358)-1</f>
        <v>-0.280712832386164</v>
      </c>
      <c r="M358" s="31" t="n">
        <f aca="false">G358/MAX(G$22:G358)-1</f>
        <v>-0.0504188724953084</v>
      </c>
    </row>
    <row r="359" customFormat="false" ht="15" hidden="false" customHeight="false" outlineLevel="0" collapsed="false">
      <c r="A359" s="19" t="n">
        <f aca="false">Narxlar!A339</f>
        <v>45764</v>
      </c>
      <c r="B359" s="50" t="n">
        <f aca="false">Narxlar!B339/Narxlar!B$2</f>
        <v>1.23811</v>
      </c>
      <c r="C359" s="50" t="n">
        <f aca="false">Narxlar!C339/Narxlar!C$2</f>
        <v>2.01616</v>
      </c>
      <c r="D359" s="50" t="n">
        <f aca="false">Narxlar!D339/Narxlar!D$2</f>
        <v>1.82804347826087</v>
      </c>
      <c r="E359" s="50" t="n">
        <f aca="false">Narxlar!E339/Narxlar!E$2</f>
        <v>1.21328767123288</v>
      </c>
      <c r="F359" s="50" t="n">
        <f aca="false">Narxlar!F339/Narxlar!F$2</f>
        <v>1.1809375</v>
      </c>
      <c r="G359" s="50" t="n">
        <f aca="false">G358*(1+VaR!B341)</f>
        <v>1.58622041192342</v>
      </c>
      <c r="H359" s="31" t="n">
        <f aca="false">B359/MAX(B$22:B359)-1</f>
        <v>-0.117268767066641</v>
      </c>
      <c r="I359" s="31" t="n">
        <f aca="false">C359/MAX(C$22:C359)-1</f>
        <v>-0.0907713399235153</v>
      </c>
      <c r="J359" s="31" t="n">
        <f aca="false">D359/MAX(D$22:D359)-1</f>
        <v>-0.0660298772699505</v>
      </c>
      <c r="K359" s="31" t="n">
        <f aca="false">E359/MAX(E$22:E359)-1</f>
        <v>-0.199258656541</v>
      </c>
      <c r="L359" s="31" t="n">
        <f aca="false">F359/MAX(F$22:F359)-1</f>
        <v>-0.292967562384527</v>
      </c>
      <c r="M359" s="31" t="n">
        <f aca="false">G359/MAX(G$22:G359)-1</f>
        <v>-0.0636294749840611</v>
      </c>
    </row>
    <row r="360" customFormat="false" ht="15" hidden="false" customHeight="false" outlineLevel="0" collapsed="false">
      <c r="A360" s="19" t="n">
        <f aca="false">Narxlar!A340</f>
        <v>45765</v>
      </c>
      <c r="B360" s="50" t="n">
        <f aca="false">Narxlar!B340/Narxlar!B$2</f>
        <v>1.23496</v>
      </c>
      <c r="C360" s="50" t="n">
        <f aca="false">Narxlar!C340/Narxlar!C$2</f>
        <v>2.05824</v>
      </c>
      <c r="D360" s="50" t="n">
        <f aca="false">Narxlar!D340/Narxlar!D$2</f>
        <v>1.82701086956522</v>
      </c>
      <c r="E360" s="50" t="n">
        <f aca="false">Narxlar!E340/Narxlar!E$2</f>
        <v>1.2013698630137</v>
      </c>
      <c r="F360" s="50" t="n">
        <f aca="false">Narxlar!F340/Narxlar!F$2</f>
        <v>1.16921875</v>
      </c>
      <c r="G360" s="50" t="n">
        <f aca="false">G359*(1+VaR!B342)</f>
        <v>1.58888502949856</v>
      </c>
      <c r="H360" s="31" t="n">
        <f aca="false">B360/MAX(B$22:B360)-1</f>
        <v>-0.119514612253046</v>
      </c>
      <c r="I360" s="31" t="n">
        <f aca="false">C360/MAX(C$22:C360)-1</f>
        <v>-0.0717945017678042</v>
      </c>
      <c r="J360" s="31" t="n">
        <f aca="false">D360/MAX(D$22:D360)-1</f>
        <v>-0.066557449880602</v>
      </c>
      <c r="K360" s="31" t="n">
        <f aca="false">E360/MAX(E$22:E360)-1</f>
        <v>-0.207124129825513</v>
      </c>
      <c r="L360" s="31" t="n">
        <f aca="false">F360/MAX(F$22:F360)-1</f>
        <v>-0.299983629177483</v>
      </c>
      <c r="M360" s="31" t="n">
        <f aca="false">G360/MAX(G$22:G360)-1</f>
        <v>-0.0620565098784269</v>
      </c>
    </row>
    <row r="361" customFormat="false" ht="15" hidden="false" customHeight="false" outlineLevel="0" collapsed="false">
      <c r="A361" s="19" t="n">
        <f aca="false">Narxlar!A341</f>
        <v>45768</v>
      </c>
      <c r="B361" s="50" t="n">
        <f aca="false">Narxlar!B341/Narxlar!B$2</f>
        <v>1.23098</v>
      </c>
      <c r="C361" s="50" t="n">
        <f aca="false">Narxlar!C341/Narxlar!C$2</f>
        <v>2.04808</v>
      </c>
      <c r="D361" s="50" t="n">
        <f aca="false">Narxlar!D341/Narxlar!D$2</f>
        <v>1.81152173913043</v>
      </c>
      <c r="E361" s="50" t="n">
        <f aca="false">Narxlar!E341/Narxlar!E$2</f>
        <v>1.18917808219178</v>
      </c>
      <c r="F361" s="50" t="n">
        <f aca="false">Narxlar!F341/Narxlar!F$2</f>
        <v>1.19</v>
      </c>
      <c r="G361" s="50" t="n">
        <f aca="false">G360*(1+VaR!B343)</f>
        <v>1.58478145689723</v>
      </c>
      <c r="H361" s="31" t="n">
        <f aca="false">B361/MAX(B$22:B361)-1</f>
        <v>-0.122352219821901</v>
      </c>
      <c r="I361" s="31" t="n">
        <f aca="false">C361/MAX(C$22:C361)-1</f>
        <v>-0.0763763619308752</v>
      </c>
      <c r="J361" s="31" t="n">
        <f aca="false">D361/MAX(D$22:D361)-1</f>
        <v>-0.0744710390403731</v>
      </c>
      <c r="K361" s="31" t="n">
        <f aca="false">E361/MAX(E$22:E361)-1</f>
        <v>-0.215170418587831</v>
      </c>
      <c r="L361" s="31" t="n">
        <f aca="false">F361/MAX(F$22:F361)-1</f>
        <v>-0.287541804064641</v>
      </c>
      <c r="M361" s="31" t="n">
        <f aca="false">G361/MAX(G$22:G361)-1</f>
        <v>-0.0644789124665367</v>
      </c>
    </row>
    <row r="362" customFormat="false" ht="15" hidden="false" customHeight="false" outlineLevel="0" collapsed="false">
      <c r="A362" s="19" t="n">
        <f aca="false">Narxlar!A342</f>
        <v>45769</v>
      </c>
      <c r="B362" s="50" t="n">
        <f aca="false">Narxlar!B342/Narxlar!B$2</f>
        <v>1.23444</v>
      </c>
      <c r="C362" s="50" t="n">
        <f aca="false">Narxlar!C342/Narxlar!C$2</f>
        <v>2.07552</v>
      </c>
      <c r="D362" s="50" t="n">
        <f aca="false">Narxlar!D342/Narxlar!D$2</f>
        <v>1.82570652173913</v>
      </c>
      <c r="E362" s="50" t="n">
        <f aca="false">Narxlar!E342/Narxlar!E$2</f>
        <v>1.1841095890411</v>
      </c>
      <c r="F362" s="50" t="n">
        <f aca="false">Narxlar!F342/Narxlar!F$2</f>
        <v>1.1959765625</v>
      </c>
      <c r="G362" s="50" t="n">
        <f aca="false">G361*(1+VaR!B344)</f>
        <v>1.59415682017426</v>
      </c>
      <c r="H362" s="31" t="n">
        <f aca="false">B362/MAX(B$22:B362)-1</f>
        <v>-0.119885354950484</v>
      </c>
      <c r="I362" s="31" t="n">
        <f aca="false">C362/MAX(C$22:C362)-1</f>
        <v>-0.0640017317266758</v>
      </c>
      <c r="J362" s="31" t="n">
        <f aca="false">D362/MAX(D$22:D362)-1</f>
        <v>-0.0672238573887932</v>
      </c>
      <c r="K362" s="31" t="n">
        <f aca="false">E362/MAX(E$22:E362)-1</f>
        <v>-0.218515504927222</v>
      </c>
      <c r="L362" s="31" t="n">
        <f aca="false">F362/MAX(F$22:F362)-1</f>
        <v>-0.283963610000234</v>
      </c>
      <c r="M362" s="31" t="n">
        <f aca="false">G362/MAX(G$22:G362)-1</f>
        <v>-0.0589444900319579</v>
      </c>
    </row>
    <row r="363" customFormat="false" ht="15" hidden="false" customHeight="false" outlineLevel="0" collapsed="false">
      <c r="A363" s="19" t="n">
        <f aca="false">Narxlar!A343</f>
        <v>45770</v>
      </c>
      <c r="B363" s="50" t="n">
        <f aca="false">Narxlar!B343/Narxlar!B$2</f>
        <v>1.25306</v>
      </c>
      <c r="C363" s="50" t="n">
        <f aca="false">Narxlar!C343/Narxlar!C$2</f>
        <v>2.13232</v>
      </c>
      <c r="D363" s="50" t="n">
        <f aca="false">Narxlar!D343/Narxlar!D$2</f>
        <v>1.8625</v>
      </c>
      <c r="E363" s="50" t="n">
        <f aca="false">Narxlar!E343/Narxlar!E$2</f>
        <v>1.18904109589041</v>
      </c>
      <c r="F363" s="50" t="n">
        <f aca="false">Narxlar!F343/Narxlar!F$2</f>
        <v>1.2333984375</v>
      </c>
      <c r="G363" s="50" t="n">
        <f aca="false">G362*(1+VaR!B345)</f>
        <v>1.62691257995324</v>
      </c>
      <c r="H363" s="31" t="n">
        <f aca="false">B363/MAX(B$22:B363)-1</f>
        <v>-0.10660991451529</v>
      </c>
      <c r="I363" s="31" t="n">
        <f aca="false">C363/MAX(C$22:C363)-1</f>
        <v>-0.0383866079803737</v>
      </c>
      <c r="J363" s="31" t="n">
        <f aca="false">D363/MAX(D$22:D363)-1</f>
        <v>-0.0484256122618981</v>
      </c>
      <c r="K363" s="31" t="n">
        <f aca="false">E363/MAX(E$22:E363)-1</f>
        <v>-0.215260826326734</v>
      </c>
      <c r="L363" s="31" t="n">
        <f aca="false">F363/MAX(F$22:F363)-1</f>
        <v>-0.261558970041395</v>
      </c>
      <c r="M363" s="31" t="n">
        <f aca="false">G363/MAX(G$22:G363)-1</f>
        <v>-0.0396082567121868</v>
      </c>
    </row>
    <row r="364" customFormat="false" ht="15" hidden="false" customHeight="false" outlineLevel="0" collapsed="false">
      <c r="A364" s="19" t="n">
        <f aca="false">Narxlar!A344</f>
        <v>45771</v>
      </c>
      <c r="B364" s="50" t="n">
        <f aca="false">Narxlar!B344/Narxlar!B$2</f>
        <v>1.22107</v>
      </c>
      <c r="C364" s="50" t="n">
        <f aca="false">Narxlar!C344/Narxlar!C$2</f>
        <v>2.0712</v>
      </c>
      <c r="D364" s="50" t="n">
        <f aca="false">Narxlar!D344/Narxlar!D$2</f>
        <v>1.83021739130435</v>
      </c>
      <c r="E364" s="50" t="n">
        <f aca="false">Narxlar!E344/Narxlar!E$2</f>
        <v>1.16986301369863</v>
      </c>
      <c r="F364" s="50" t="n">
        <f aca="false">Narxlar!F344/Narxlar!F$2</f>
        <v>1.2182421875</v>
      </c>
      <c r="G364" s="50" t="n">
        <f aca="false">G363*(1+VaR!B346)</f>
        <v>1.59531432714983</v>
      </c>
      <c r="H364" s="31" t="n">
        <f aca="false">B364/MAX(B$22:B364)-1</f>
        <v>-0.129417720075004</v>
      </c>
      <c r="I364" s="31" t="n">
        <f aca="false">C364/MAX(C$22:C364)-1</f>
        <v>-0.0659499242369578</v>
      </c>
      <c r="J364" s="31" t="n">
        <f aca="false">D364/MAX(D$22:D364)-1</f>
        <v>-0.0649191980896318</v>
      </c>
      <c r="K364" s="31" t="n">
        <f aca="false">E364/MAX(E$22:E364)-1</f>
        <v>-0.227917909773077</v>
      </c>
      <c r="L364" s="31" t="n">
        <f aca="false">F364/MAX(F$22:F364)-1</f>
        <v>-0.270633083093618</v>
      </c>
      <c r="M364" s="31" t="n">
        <f aca="false">G364/MAX(G$22:G364)-1</f>
        <v>-0.0582611957014376</v>
      </c>
    </row>
    <row r="365" customFormat="false" ht="15" hidden="false" customHeight="false" outlineLevel="0" collapsed="false">
      <c r="A365" s="19" t="n">
        <f aca="false">Narxlar!A345</f>
        <v>45772</v>
      </c>
      <c r="B365" s="50" t="n">
        <f aca="false">Narxlar!B345/Narxlar!B$2</f>
        <v>1.21337</v>
      </c>
      <c r="C365" s="50" t="n">
        <f aca="false">Narxlar!C345/Narxlar!C$2</f>
        <v>2.04144</v>
      </c>
      <c r="D365" s="50" t="n">
        <f aca="false">Narxlar!D345/Narxlar!D$2</f>
        <v>1.83086956521739</v>
      </c>
      <c r="E365" s="50" t="n">
        <f aca="false">Narxlar!E345/Narxlar!E$2</f>
        <v>1.12054794520548</v>
      </c>
      <c r="F365" s="50" t="n">
        <f aca="false">Narxlar!F345/Narxlar!F$2</f>
        <v>1.1970703125</v>
      </c>
      <c r="G365" s="50" t="n">
        <f aca="false">G364*(1+VaR!B347)</f>
        <v>1.56622231975724</v>
      </c>
      <c r="H365" s="31" t="n">
        <f aca="false">B365/MAX(B$22:B365)-1</f>
        <v>-0.134907563863995</v>
      </c>
      <c r="I365" s="31" t="n">
        <f aca="false">C365/MAX(C$22:C365)-1</f>
        <v>-0.0793708059744569</v>
      </c>
      <c r="J365" s="31" t="n">
        <f aca="false">D365/MAX(D$22:D365)-1</f>
        <v>-0.064585994335536</v>
      </c>
      <c r="K365" s="31" t="n">
        <f aca="false">E365/MAX(E$22:E365)-1</f>
        <v>-0.260464695777959</v>
      </c>
      <c r="L365" s="31" t="n">
        <f aca="false">F365/MAX(F$22:F365)-1</f>
        <v>-0.283308777099558</v>
      </c>
      <c r="M365" s="31" t="n">
        <f aca="false">G365/MAX(G$22:G365)-1</f>
        <v>-0.0754346591313653</v>
      </c>
    </row>
    <row r="366" customFormat="false" ht="15" hidden="false" customHeight="false" outlineLevel="0" collapsed="false">
      <c r="A366" s="19" t="n">
        <f aca="false">Narxlar!A346</f>
        <v>45775</v>
      </c>
      <c r="B366" s="50" t="n">
        <f aca="false">Narxlar!B346/Narxlar!B$2</f>
        <v>1.20599</v>
      </c>
      <c r="C366" s="50" t="n">
        <f aca="false">Narxlar!C346/Narxlar!C$2</f>
        <v>2.02</v>
      </c>
      <c r="D366" s="50" t="n">
        <f aca="false">Narxlar!D346/Narxlar!D$2</f>
        <v>1.79255434782609</v>
      </c>
      <c r="E366" s="50" t="n">
        <f aca="false">Narxlar!E346/Narxlar!E$2</f>
        <v>1.11808219178082</v>
      </c>
      <c r="F366" s="50" t="n">
        <f aca="false">Narxlar!F346/Narxlar!F$2</f>
        <v>1.16609375</v>
      </c>
      <c r="G366" s="50" t="n">
        <f aca="false">G365*(1+VaR!B348)</f>
        <v>1.54412594822826</v>
      </c>
      <c r="H366" s="31" t="n">
        <f aca="false">B366/MAX(B$22:B366)-1</f>
        <v>-0.140169258300715</v>
      </c>
      <c r="I366" s="31" t="n">
        <f aca="false">C366/MAX(C$22:C366)-1</f>
        <v>-0.089039613247709</v>
      </c>
      <c r="J366" s="31" t="n">
        <f aca="false">D366/MAX(D$22:D366)-1</f>
        <v>-0.0841617148886543</v>
      </c>
      <c r="K366" s="31" t="n">
        <f aca="false">E366/MAX(E$22:E366)-1</f>
        <v>-0.262092035078203</v>
      </c>
      <c r="L366" s="31" t="n">
        <f aca="false">F366/MAX(F$22:F366)-1</f>
        <v>-0.301854580322271</v>
      </c>
      <c r="M366" s="31" t="n">
        <f aca="false">G366/MAX(G$22:G366)-1</f>
        <v>-0.0884784901487987</v>
      </c>
    </row>
    <row r="367" customFormat="false" ht="15" hidden="false" customHeight="false" outlineLevel="0" collapsed="false">
      <c r="A367" s="19" t="n">
        <f aca="false">Narxlar!A347</f>
        <v>45776</v>
      </c>
      <c r="B367" s="50" t="n">
        <f aca="false">Narxlar!B347/Narxlar!B$2</f>
        <v>1.2116</v>
      </c>
      <c r="C367" s="50" t="n">
        <f aca="false">Narxlar!C347/Narxlar!C$2</f>
        <v>2.01672</v>
      </c>
      <c r="D367" s="50" t="n">
        <f aca="false">Narxlar!D347/Narxlar!D$2</f>
        <v>1.80695652173913</v>
      </c>
      <c r="E367" s="50" t="n">
        <f aca="false">Narxlar!E347/Narxlar!E$2</f>
        <v>1.11808219178082</v>
      </c>
      <c r="F367" s="50" t="n">
        <f aca="false">Narxlar!F347/Narxlar!F$2</f>
        <v>1.180390625</v>
      </c>
      <c r="G367" s="50" t="n">
        <f aca="false">G366*(1+VaR!B349)</f>
        <v>1.55026165435353</v>
      </c>
      <c r="H367" s="31" t="n">
        <f aca="false">B367/MAX(B$22:B367)-1</f>
        <v>-0.136169514968736</v>
      </c>
      <c r="I367" s="31" t="n">
        <f aca="false">C367/MAX(C$22:C367)-1</f>
        <v>-0.0905187964499603</v>
      </c>
      <c r="J367" s="31" t="n">
        <f aca="false">D367/MAX(D$22:D367)-1</f>
        <v>-0.0768034653190426</v>
      </c>
      <c r="K367" s="31" t="n">
        <f aca="false">E367/MAX(E$22:E367)-1</f>
        <v>-0.262092035078203</v>
      </c>
      <c r="L367" s="31" t="n">
        <f aca="false">F367/MAX(F$22:F367)-1</f>
        <v>-0.293294978834865</v>
      </c>
      <c r="M367" s="31" t="n">
        <f aca="false">G367/MAX(G$22:G367)-1</f>
        <v>-0.08485648760573</v>
      </c>
    </row>
    <row r="368" customFormat="false" ht="15" hidden="false" customHeight="false" outlineLevel="0" collapsed="false">
      <c r="A368" s="19" t="n">
        <f aca="false">Narxlar!A348</f>
        <v>45777</v>
      </c>
      <c r="B368" s="50" t="n">
        <f aca="false">Narxlar!B348/Narxlar!B$2</f>
        <v>1.20566</v>
      </c>
      <c r="C368" s="50" t="n">
        <f aca="false">Narxlar!C348/Narxlar!C$2</f>
        <v>2.02272</v>
      </c>
      <c r="D368" s="50" t="n">
        <f aca="false">Narxlar!D348/Narxlar!D$2</f>
        <v>1.78652173913043</v>
      </c>
      <c r="E368" s="50" t="n">
        <f aca="false">Narxlar!E348/Narxlar!E$2</f>
        <v>1.11465753424658</v>
      </c>
      <c r="F368" s="50" t="n">
        <f aca="false">Narxlar!F348/Narxlar!F$2</f>
        <v>1.1692578125</v>
      </c>
      <c r="G368" s="50" t="n">
        <f aca="false">G367*(1+VaR!B350)</f>
        <v>1.54315101344867</v>
      </c>
      <c r="H368" s="31" t="n">
        <f aca="false">B368/MAX(B$22:B368)-1</f>
        <v>-0.140404537320243</v>
      </c>
      <c r="I368" s="31" t="n">
        <f aca="false">C368/MAX(C$22:C368)-1</f>
        <v>-0.0878129735190129</v>
      </c>
      <c r="J368" s="31" t="n">
        <f aca="false">D368/MAX(D$22:D368)-1</f>
        <v>-0.0872438496140389</v>
      </c>
      <c r="K368" s="31" t="n">
        <f aca="false">E368/MAX(E$22:E368)-1</f>
        <v>-0.264352228550764</v>
      </c>
      <c r="L368" s="31" t="n">
        <f aca="false">F368/MAX(F$22:F368)-1</f>
        <v>-0.299960242288173</v>
      </c>
      <c r="M368" s="31" t="n">
        <f aca="false">G368/MAX(G$22:G368)-1</f>
        <v>-0.089054009278779</v>
      </c>
    </row>
    <row r="369" customFormat="false" ht="15" hidden="false" customHeight="false" outlineLevel="0" collapsed="false">
      <c r="A369" s="19" t="n">
        <f aca="false">Narxlar!A349</f>
        <v>45778</v>
      </c>
      <c r="B369" s="50" t="n">
        <f aca="false">Narxlar!B349/Narxlar!B$2</f>
        <v>1.2005</v>
      </c>
      <c r="C369" s="50" t="n">
        <f aca="false">Narxlar!C349/Narxlar!C$2</f>
        <v>2.03912</v>
      </c>
      <c r="D369" s="50" t="n">
        <f aca="false">Narxlar!D349/Narxlar!D$2</f>
        <v>1.7616847826087</v>
      </c>
      <c r="E369" s="50" t="n">
        <f aca="false">Narxlar!E349/Narxlar!E$2</f>
        <v>1.10547945205479</v>
      </c>
      <c r="F369" s="50" t="n">
        <f aca="false">Narxlar!F349/Narxlar!F$2</f>
        <v>1.1630078125</v>
      </c>
      <c r="G369" s="50" t="n">
        <f aca="false">G368*(1+VaR!B351)</f>
        <v>1.53671486006627</v>
      </c>
      <c r="H369" s="31" t="n">
        <f aca="false">B369/MAX(B$22:B369)-1</f>
        <v>-0.144083445625593</v>
      </c>
      <c r="I369" s="31" t="n">
        <f aca="false">C369/MAX(C$22:C369)-1</f>
        <v>-0.0804170575077566</v>
      </c>
      <c r="J369" s="31" t="n">
        <f aca="false">D369/MAX(D$22:D369)-1</f>
        <v>-0.0999333592491808</v>
      </c>
      <c r="K369" s="31" t="n">
        <f aca="false">E369/MAX(E$22:E369)-1</f>
        <v>-0.270409547057228</v>
      </c>
      <c r="L369" s="31" t="n">
        <f aca="false">F369/MAX(F$22:F369)-1</f>
        <v>-0.30370214457775</v>
      </c>
      <c r="M369" s="31" t="n">
        <f aca="false">G369/MAX(G$22:G369)-1</f>
        <v>-0.0928533705002421</v>
      </c>
    </row>
    <row r="370" customFormat="false" ht="15" hidden="false" customHeight="false" outlineLevel="0" collapsed="false">
      <c r="A370" s="19" t="n">
        <f aca="false">Narxlar!A350</f>
        <v>45779</v>
      </c>
      <c r="B370" s="50" t="n">
        <f aca="false">Narxlar!B350/Narxlar!B$2</f>
        <v>1.19482</v>
      </c>
      <c r="C370" s="50" t="n">
        <f aca="false">Narxlar!C350/Narxlar!C$2</f>
        <v>2.02896</v>
      </c>
      <c r="D370" s="50" t="n">
        <f aca="false">Narxlar!D350/Narxlar!D$2</f>
        <v>1.76157608695652</v>
      </c>
      <c r="E370" s="50" t="n">
        <f aca="false">Narxlar!E350/Narxlar!E$2</f>
        <v>1.10849315068493</v>
      </c>
      <c r="F370" s="50" t="n">
        <f aca="false">Narxlar!F350/Narxlar!F$2</f>
        <v>1.1489453125</v>
      </c>
      <c r="G370" s="50" t="n">
        <f aca="false">G369*(1+VaR!B352)</f>
        <v>1.53172522481583</v>
      </c>
      <c r="H370" s="31" t="n">
        <f aca="false">B370/MAX(B$22:B370)-1</f>
        <v>-0.14813309662838</v>
      </c>
      <c r="I370" s="31" t="n">
        <f aca="false">C370/MAX(C$22:C370)-1</f>
        <v>-0.0849989176708276</v>
      </c>
      <c r="J370" s="31" t="n">
        <f aca="false">D370/MAX(D$22:D370)-1</f>
        <v>-0.0999888932081967</v>
      </c>
      <c r="K370" s="31" t="n">
        <f aca="false">E370/MAX(E$22:E370)-1</f>
        <v>-0.268420576801374</v>
      </c>
      <c r="L370" s="31" t="n">
        <f aca="false">F370/MAX(F$22:F370)-1</f>
        <v>-0.312121424729297</v>
      </c>
      <c r="M370" s="31" t="n">
        <f aca="false">G370/MAX(G$22:G370)-1</f>
        <v>-0.0957988296205332</v>
      </c>
    </row>
    <row r="371" customFormat="false" ht="15" hidden="false" customHeight="false" outlineLevel="0" collapsed="false">
      <c r="A371" s="19" t="n">
        <f aca="false">Narxlar!A351</f>
        <v>45782</v>
      </c>
      <c r="B371" s="50" t="n">
        <f aca="false">Narxlar!B351/Narxlar!B$2</f>
        <v>1.21719</v>
      </c>
      <c r="C371" s="50" t="n">
        <f aca="false">Narxlar!C351/Narxlar!C$2</f>
        <v>2.07064</v>
      </c>
      <c r="D371" s="50" t="n">
        <f aca="false">Narxlar!D351/Narxlar!D$2</f>
        <v>1.7908152173913</v>
      </c>
      <c r="E371" s="50" t="n">
        <f aca="false">Narxlar!E351/Narxlar!E$2</f>
        <v>1.11739726027397</v>
      </c>
      <c r="F371" s="50" t="n">
        <f aca="false">Narxlar!F351/Narxlar!F$2</f>
        <v>1.2166015625</v>
      </c>
      <c r="G371" s="50" t="n">
        <f aca="false">G370*(1+VaR!B353)</f>
        <v>1.56863611797186</v>
      </c>
      <c r="H371" s="31" t="n">
        <f aca="false">B371/MAX(B$22:B371)-1</f>
        <v>-0.132184030971275</v>
      </c>
      <c r="I371" s="31" t="n">
        <f aca="false">C371/MAX(C$22:C371)-1</f>
        <v>-0.066202467710513</v>
      </c>
      <c r="J371" s="31" t="n">
        <f aca="false">D371/MAX(D$22:D371)-1</f>
        <v>-0.0850502582329094</v>
      </c>
      <c r="K371" s="31" t="n">
        <f aca="false">E371/MAX(E$22:E371)-1</f>
        <v>-0.262544073772715</v>
      </c>
      <c r="L371" s="31" t="n">
        <f aca="false">F371/MAX(F$22:F371)-1</f>
        <v>-0.271615332444632</v>
      </c>
      <c r="M371" s="31" t="n">
        <f aca="false">G371/MAX(G$22:G371)-1</f>
        <v>-0.0740097565865977</v>
      </c>
    </row>
    <row r="372" customFormat="false" ht="15" hidden="false" customHeight="false" outlineLevel="0" collapsed="false">
      <c r="A372" s="19" t="n">
        <f aca="false">Narxlar!A352</f>
        <v>45783</v>
      </c>
      <c r="B372" s="50" t="n">
        <f aca="false">Narxlar!B352/Narxlar!B$2</f>
        <v>1.2081</v>
      </c>
      <c r="C372" s="50" t="n">
        <f aca="false">Narxlar!C352/Narxlar!C$2</f>
        <v>2.04808</v>
      </c>
      <c r="D372" s="50" t="n">
        <f aca="false">Narxlar!D352/Narxlar!D$2</f>
        <v>1.78532608695652</v>
      </c>
      <c r="E372" s="50" t="n">
        <f aca="false">Narxlar!E352/Narxlar!E$2</f>
        <v>1.10301369863014</v>
      </c>
      <c r="F372" s="50" t="n">
        <f aca="false">Narxlar!F352/Narxlar!F$2</f>
        <v>1.2166796875</v>
      </c>
      <c r="G372" s="50" t="n">
        <f aca="false">G371*(1+VaR!B354)</f>
        <v>1.5572790423227</v>
      </c>
      <c r="H372" s="31" t="n">
        <f aca="false">B372/MAX(B$22:B372)-1</f>
        <v>-0.138664898509187</v>
      </c>
      <c r="I372" s="31" t="n">
        <f aca="false">C372/MAX(C$22:C372)-1</f>
        <v>-0.0763763619308752</v>
      </c>
      <c r="J372" s="31" t="n">
        <f aca="false">D372/MAX(D$22:D372)-1</f>
        <v>-0.0878547231632143</v>
      </c>
      <c r="K372" s="31" t="n">
        <f aca="false">E372/MAX(E$22:E372)-1</f>
        <v>-0.272036886357472</v>
      </c>
      <c r="L372" s="31" t="n">
        <f aca="false">F372/MAX(F$22:F372)-1</f>
        <v>-0.271568558666012</v>
      </c>
      <c r="M372" s="31" t="n">
        <f aca="false">G372/MAX(G$22:G372)-1</f>
        <v>-0.0807140145877687</v>
      </c>
    </row>
    <row r="373" customFormat="false" ht="15" hidden="false" customHeight="false" outlineLevel="0" collapsed="false">
      <c r="A373" s="19" t="n">
        <f aca="false">Narxlar!A353</f>
        <v>45784</v>
      </c>
      <c r="B373" s="50" t="n">
        <f aca="false">Narxlar!B353/Narxlar!B$2</f>
        <v>1.26342</v>
      </c>
      <c r="C373" s="50" t="n">
        <f aca="false">Narxlar!C353/Narxlar!C$2</f>
        <v>2.15984</v>
      </c>
      <c r="D373" s="50" t="n">
        <f aca="false">Narxlar!D353/Narxlar!D$2</f>
        <v>1.90701086956522</v>
      </c>
      <c r="E373" s="50" t="n">
        <f aca="false">Narxlar!E353/Narxlar!E$2</f>
        <v>1.13767123287671</v>
      </c>
      <c r="F373" s="50" t="n">
        <f aca="false">Narxlar!F353/Narxlar!F$2</f>
        <v>1.3045703125</v>
      </c>
      <c r="G373" s="50" t="n">
        <f aca="false">G372*(1+VaR!B355)</f>
        <v>1.64403947843369</v>
      </c>
      <c r="H373" s="31" t="n">
        <f aca="false">B373/MAX(B$22:B373)-1</f>
        <v>-0.0992235792355571</v>
      </c>
      <c r="I373" s="31" t="n">
        <f aca="false">C373/MAX(C$22:C373)-1</f>
        <v>-0.0259759001370949</v>
      </c>
      <c r="J373" s="31" t="n">
        <f aca="false">D373/MAX(D$22:D373)-1</f>
        <v>-0.0256844560448714</v>
      </c>
      <c r="K373" s="31" t="n">
        <f aca="false">E373/MAX(E$22:E373)-1</f>
        <v>-0.249163728415152</v>
      </c>
      <c r="L373" s="31" t="n">
        <f aca="false">F373/MAX(F$22:F373)-1</f>
        <v>-0.218948057718843</v>
      </c>
      <c r="M373" s="31" t="n">
        <f aca="false">G373/MAX(G$22:G373)-1</f>
        <v>-0.0294979827543683</v>
      </c>
    </row>
    <row r="374" customFormat="false" ht="15" hidden="false" customHeight="false" outlineLevel="0" collapsed="false">
      <c r="A374" s="19" t="n">
        <f aca="false">Narxlar!A354</f>
        <v>45785</v>
      </c>
      <c r="B374" s="50" t="n">
        <f aca="false">Narxlar!B354/Narxlar!B$2</f>
        <v>1.25821</v>
      </c>
      <c r="C374" s="50" t="n">
        <f aca="false">Narxlar!C354/Narxlar!C$2</f>
        <v>2.15192</v>
      </c>
      <c r="D374" s="50" t="n">
        <f aca="false">Narxlar!D354/Narxlar!D$2</f>
        <v>1.85038043478261</v>
      </c>
      <c r="E374" s="50" t="n">
        <f aca="false">Narxlar!E354/Narxlar!E$2</f>
        <v>1.13630136986301</v>
      </c>
      <c r="F374" s="50" t="n">
        <f aca="false">Narxlar!F354/Narxlar!F$2</f>
        <v>1.292109375</v>
      </c>
      <c r="G374" s="50" t="n">
        <f aca="false">G373*(1+VaR!B356)</f>
        <v>1.62638999911176</v>
      </c>
      <c r="H374" s="31" t="n">
        <f aca="false">B374/MAX(B$22:B374)-1</f>
        <v>-0.102938135877199</v>
      </c>
      <c r="I374" s="31" t="n">
        <f aca="false">C374/MAX(C$22:C374)-1</f>
        <v>-0.0295475864059455</v>
      </c>
      <c r="J374" s="31" t="n">
        <f aca="false">D374/MAX(D$22:D374)-1</f>
        <v>-0.0546176486921752</v>
      </c>
      <c r="K374" s="31" t="n">
        <f aca="false">E374/MAX(E$22:E374)-1</f>
        <v>-0.250067805804177</v>
      </c>
      <c r="L374" s="31" t="n">
        <f aca="false">F374/MAX(F$22:F374)-1</f>
        <v>-0.226408475408686</v>
      </c>
      <c r="M374" s="31" t="n">
        <f aca="false">G374/MAX(G$22:G374)-1</f>
        <v>-0.0399167442926177</v>
      </c>
    </row>
    <row r="375" customFormat="false" ht="15" hidden="false" customHeight="false" outlineLevel="0" collapsed="false">
      <c r="A375" s="19" t="n">
        <f aca="false">Narxlar!A355</f>
        <v>45786</v>
      </c>
      <c r="B375" s="50" t="n">
        <f aca="false">Narxlar!B355/Narxlar!B$2</f>
        <v>1.26575</v>
      </c>
      <c r="C375" s="50" t="n">
        <f aca="false">Narxlar!C355/Narxlar!C$2</f>
        <v>2.18304</v>
      </c>
      <c r="D375" s="50" t="n">
        <f aca="false">Narxlar!D355/Narxlar!D$2</f>
        <v>1.85586956521739</v>
      </c>
      <c r="E375" s="50" t="n">
        <f aca="false">Narxlar!E355/Narxlar!E$2</f>
        <v>1.14082191780822</v>
      </c>
      <c r="F375" s="50" t="n">
        <f aca="false">Narxlar!F355/Narxlar!F$2</f>
        <v>1.2965234375</v>
      </c>
      <c r="G375" s="50" t="n">
        <f aca="false">G374*(1+VaR!B357)</f>
        <v>1.63738095037835</v>
      </c>
      <c r="H375" s="31" t="n">
        <f aca="false">B375/MAX(B$22:B375)-1</f>
        <v>-0.0975623667643432</v>
      </c>
      <c r="I375" s="31" t="n">
        <f aca="false">C375/MAX(C$22:C375)-1</f>
        <v>-0.0155133848040984</v>
      </c>
      <c r="J375" s="31" t="n">
        <f aca="false">D375/MAX(D$22:D375)-1</f>
        <v>-0.0518131837618703</v>
      </c>
      <c r="K375" s="31" t="n">
        <f aca="false">E375/MAX(E$22:E375)-1</f>
        <v>-0.247084350420396</v>
      </c>
      <c r="L375" s="31" t="n">
        <f aca="false">F375/MAX(F$22:F375)-1</f>
        <v>-0.223765756916672</v>
      </c>
      <c r="M375" s="31" t="n">
        <f aca="false">G375/MAX(G$22:G375)-1</f>
        <v>-0.0334286151962041</v>
      </c>
    </row>
    <row r="376" customFormat="false" ht="15" hidden="false" customHeight="false" outlineLevel="0" collapsed="false">
      <c r="A376" s="19" t="n">
        <f aca="false">Narxlar!A356</f>
        <v>45789</v>
      </c>
      <c r="B376" s="50" t="n">
        <f aca="false">Narxlar!B356/Narxlar!B$2</f>
        <v>1.27026</v>
      </c>
      <c r="C376" s="50" t="n">
        <f aca="false">Narxlar!C356/Narxlar!C$2</f>
        <v>2.18248</v>
      </c>
      <c r="D376" s="50" t="n">
        <f aca="false">Narxlar!D356/Narxlar!D$2</f>
        <v>1.86847826086957</v>
      </c>
      <c r="E376" s="50" t="n">
        <f aca="false">Narxlar!E356/Narxlar!E$2</f>
        <v>1.15356164383562</v>
      </c>
      <c r="F376" s="50" t="n">
        <f aca="false">Narxlar!F356/Narxlar!F$2</f>
        <v>1.29921875</v>
      </c>
      <c r="G376" s="50" t="n">
        <f aca="false">G375*(1+VaR!B358)</f>
        <v>1.64528801711556</v>
      </c>
      <c r="H376" s="31" t="n">
        <f aca="false">B376/MAX(B$22:B376)-1</f>
        <v>-0.0943468868307916</v>
      </c>
      <c r="I376" s="31" t="n">
        <f aca="false">C376/MAX(C$22:C376)-1</f>
        <v>-0.0157659282776534</v>
      </c>
      <c r="J376" s="31" t="n">
        <f aca="false">D376/MAX(D$22:D376)-1</f>
        <v>-0.0453712445160215</v>
      </c>
      <c r="K376" s="31" t="n">
        <f aca="false">E376/MAX(E$22:E376)-1</f>
        <v>-0.238676430702468</v>
      </c>
      <c r="L376" s="31" t="n">
        <f aca="false">F376/MAX(F$22:F376)-1</f>
        <v>-0.222152061554293</v>
      </c>
      <c r="M376" s="31" t="n">
        <f aca="false">G376/MAX(G$22:G376)-1</f>
        <v>-0.0287609509949355</v>
      </c>
    </row>
    <row r="377" customFormat="false" ht="15" hidden="false" customHeight="false" outlineLevel="0" collapsed="false">
      <c r="A377" s="19" t="n">
        <f aca="false">Narxlar!A357</f>
        <v>45790</v>
      </c>
      <c r="B377" s="50" t="n">
        <f aca="false">Narxlar!B357/Narxlar!B$2</f>
        <v>1.27696</v>
      </c>
      <c r="C377" s="50" t="n">
        <f aca="false">Narxlar!C357/Narxlar!C$2</f>
        <v>2.15592</v>
      </c>
      <c r="D377" s="50" t="n">
        <f aca="false">Narxlar!D357/Narxlar!D$2</f>
        <v>1.87032608695652</v>
      </c>
      <c r="E377" s="50" t="n">
        <f aca="false">Narxlar!E357/Narxlar!E$2</f>
        <v>1.15712328767123</v>
      </c>
      <c r="F377" s="50" t="n">
        <f aca="false">Narxlar!F357/Narxlar!F$2</f>
        <v>1.341015625</v>
      </c>
      <c r="G377" s="50" t="n">
        <f aca="false">G376*(1+VaR!B359)</f>
        <v>1.65154402599807</v>
      </c>
      <c r="H377" s="31" t="n">
        <f aca="false">B377/MAX(B$22:B377)-1</f>
        <v>-0.0895700097676441</v>
      </c>
      <c r="I377" s="31" t="n">
        <f aca="false">C377/MAX(C$22:C377)-1</f>
        <v>-0.0277437044519806</v>
      </c>
      <c r="J377" s="31" t="n">
        <f aca="false">D377/MAX(D$22:D377)-1</f>
        <v>-0.0444271672127505</v>
      </c>
      <c r="K377" s="31" t="n">
        <f aca="false">E377/MAX(E$22:E377)-1</f>
        <v>-0.236325829491004</v>
      </c>
      <c r="L377" s="31" t="n">
        <f aca="false">F377/MAX(F$22:F377)-1</f>
        <v>-0.19712808999275</v>
      </c>
      <c r="M377" s="31" t="n">
        <f aca="false">G377/MAX(G$22:G377)-1</f>
        <v>-0.025067931867334</v>
      </c>
    </row>
    <row r="378" customFormat="false" ht="15" hidden="false" customHeight="false" outlineLevel="0" collapsed="false">
      <c r="A378" s="19" t="n">
        <f aca="false">Narxlar!A358</f>
        <v>45791</v>
      </c>
      <c r="B378" s="50" t="n">
        <f aca="false">Narxlar!B358/Narxlar!B$2</f>
        <v>1.2744</v>
      </c>
      <c r="C378" s="50" t="n">
        <f aca="false">Narxlar!C358/Narxlar!C$2</f>
        <v>2.1568</v>
      </c>
      <c r="D378" s="50" t="n">
        <f aca="false">Narxlar!D358/Narxlar!D$2</f>
        <v>1.87717391304348</v>
      </c>
      <c r="E378" s="50" t="n">
        <f aca="false">Narxlar!E358/Narxlar!E$2</f>
        <v>1.17054794520548</v>
      </c>
      <c r="F378" s="50" t="n">
        <f aca="false">Narxlar!F358/Narxlar!F$2</f>
        <v>1.345625</v>
      </c>
      <c r="G378" s="50" t="n">
        <f aca="false">G377*(1+VaR!B360)</f>
        <v>1.65918351058921</v>
      </c>
      <c r="H378" s="31" t="n">
        <f aca="false">B378/MAX(B$22:B378)-1</f>
        <v>-0.0913952045858019</v>
      </c>
      <c r="I378" s="31" t="n">
        <f aca="false">C378/MAX(C$22:C378)-1</f>
        <v>-0.0273468504221083</v>
      </c>
      <c r="J378" s="31" t="n">
        <f aca="false">D378/MAX(D$22:D378)-1</f>
        <v>-0.0409285277947464</v>
      </c>
      <c r="K378" s="31" t="n">
        <f aca="false">E378/MAX(E$22:E378)-1</f>
        <v>-0.227465871078564</v>
      </c>
      <c r="L378" s="31" t="n">
        <f aca="false">F378/MAX(F$22:F378)-1</f>
        <v>-0.194368437054187</v>
      </c>
      <c r="M378" s="31" t="n">
        <f aca="false">G378/MAX(G$22:G378)-1</f>
        <v>-0.0205582255593804</v>
      </c>
    </row>
    <row r="379" customFormat="false" ht="15" hidden="false" customHeight="false" outlineLevel="0" collapsed="false">
      <c r="A379" s="19" t="n">
        <f aca="false">Narxlar!A359</f>
        <v>45792</v>
      </c>
      <c r="B379" s="50" t="n">
        <f aca="false">Narxlar!B359/Narxlar!B$2</f>
        <v>1.27356</v>
      </c>
      <c r="C379" s="50" t="n">
        <f aca="false">Narxlar!C359/Narxlar!C$2</f>
        <v>2.1464</v>
      </c>
      <c r="D379" s="50" t="n">
        <f aca="false">Narxlar!D359/Narxlar!D$2</f>
        <v>1.87016304347826</v>
      </c>
      <c r="E379" s="50" t="n">
        <f aca="false">Narxlar!E359/Narxlar!E$2</f>
        <v>1.16890410958904</v>
      </c>
      <c r="F379" s="50" t="n">
        <f aca="false">Narxlar!F359/Narxlar!F$2</f>
        <v>1.3290234375</v>
      </c>
      <c r="G379" s="50" t="n">
        <f aca="false">G378*(1+VaR!B361)</f>
        <v>1.65055765223916</v>
      </c>
      <c r="H379" s="31" t="n">
        <f aca="false">B379/MAX(B$22:B379)-1</f>
        <v>-0.0919940966355101</v>
      </c>
      <c r="I379" s="31" t="n">
        <f aca="false">C379/MAX(C$22:C379)-1</f>
        <v>-0.0320369435024172</v>
      </c>
      <c r="J379" s="31" t="n">
        <f aca="false">D379/MAX(D$22:D379)-1</f>
        <v>-0.0445104681512745</v>
      </c>
      <c r="K379" s="31" t="n">
        <f aca="false">E379/MAX(E$22:E379)-1</f>
        <v>-0.228550763945394</v>
      </c>
      <c r="L379" s="31" t="n">
        <f aca="false">F379/MAX(F$22:F379)-1</f>
        <v>-0.204307865010875</v>
      </c>
      <c r="M379" s="31" t="n">
        <f aca="false">G379/MAX(G$22:G379)-1</f>
        <v>-0.0256502036043202</v>
      </c>
    </row>
    <row r="380" customFormat="false" ht="15" hidden="false" customHeight="false" outlineLevel="0" collapsed="false">
      <c r="A380" s="19" t="n">
        <f aca="false">Narxlar!A360</f>
        <v>45793</v>
      </c>
      <c r="B380" s="50" t="n">
        <f aca="false">Narxlar!B360/Narxlar!B$2</f>
        <v>1.25329</v>
      </c>
      <c r="C380" s="50" t="n">
        <f aca="false">Narxlar!C360/Narxlar!C$2</f>
        <v>2.10232</v>
      </c>
      <c r="D380" s="50" t="n">
        <f aca="false">Narxlar!D360/Narxlar!D$2</f>
        <v>1.85483695652174</v>
      </c>
      <c r="E380" s="50" t="n">
        <f aca="false">Narxlar!E360/Narxlar!E$2</f>
        <v>1.16821917808219</v>
      </c>
      <c r="F380" s="50" t="n">
        <f aca="false">Narxlar!F360/Narxlar!F$2</f>
        <v>1.3131640625</v>
      </c>
      <c r="G380" s="50" t="n">
        <f aca="false">G379*(1+VaR!B362)</f>
        <v>1.63282589594663</v>
      </c>
      <c r="H380" s="31" t="n">
        <f aca="false">B380/MAX(B$22:B380)-1</f>
        <v>-0.106445932168346</v>
      </c>
      <c r="I380" s="31" t="n">
        <f aca="false">C380/MAX(C$22:C380)-1</f>
        <v>-0.0519157226351106</v>
      </c>
      <c r="J380" s="31" t="n">
        <f aca="false">D380/MAX(D$22:D380)-1</f>
        <v>-0.0523407563725218</v>
      </c>
      <c r="K380" s="31" t="n">
        <f aca="false">E380/MAX(E$22:E380)-1</f>
        <v>-0.229002802639906</v>
      </c>
      <c r="L380" s="31" t="n">
        <f aca="false">F380/MAX(F$22:F380)-1</f>
        <v>-0.213802942070675</v>
      </c>
      <c r="M380" s="31" t="n">
        <f aca="false">G380/MAX(G$22:G380)-1</f>
        <v>-0.0361175345151351</v>
      </c>
    </row>
    <row r="381" customFormat="false" ht="15" hidden="false" customHeight="false" outlineLevel="0" collapsed="false">
      <c r="A381" s="19" t="n">
        <f aca="false">Narxlar!A361</f>
        <v>45796</v>
      </c>
      <c r="B381" s="50" t="n">
        <f aca="false">Narxlar!B361/Narxlar!B$2</f>
        <v>1.25291</v>
      </c>
      <c r="C381" s="50" t="n">
        <f aca="false">Narxlar!C361/Narxlar!C$2</f>
        <v>2.08328</v>
      </c>
      <c r="D381" s="50" t="n">
        <f aca="false">Narxlar!D361/Narxlar!D$2</f>
        <v>1.87875</v>
      </c>
      <c r="E381" s="50" t="n">
        <f aca="false">Narxlar!E361/Narxlar!E$2</f>
        <v>1.16630136986301</v>
      </c>
      <c r="F381" s="50" t="n">
        <f aca="false">Narxlar!F361/Narxlar!F$2</f>
        <v>1.33125</v>
      </c>
      <c r="G381" s="50" t="n">
        <f aca="false">G380*(1+VaR!B363)</f>
        <v>1.63747979756152</v>
      </c>
      <c r="H381" s="31" t="n">
        <f aca="false">B381/MAX(B$22:B381)-1</f>
        <v>-0.106716859524166</v>
      </c>
      <c r="I381" s="31" t="n">
        <f aca="false">C381/MAX(C$22:C381)-1</f>
        <v>-0.0605022007359839</v>
      </c>
      <c r="J381" s="31" t="n">
        <f aca="false">D381/MAX(D$22:D381)-1</f>
        <v>-0.0401232853890153</v>
      </c>
      <c r="K381" s="31" t="n">
        <f aca="false">E381/MAX(E$22:E381)-1</f>
        <v>-0.23026851098454</v>
      </c>
      <c r="L381" s="31" t="n">
        <f aca="false">F381/MAX(F$22:F381)-1</f>
        <v>-0.202974812320213</v>
      </c>
      <c r="M381" s="31" t="n">
        <f aca="false">G381/MAX(G$22:G381)-1</f>
        <v>-0.033370264170011</v>
      </c>
    </row>
    <row r="382" customFormat="false" ht="15" hidden="false" customHeight="false" outlineLevel="0" collapsed="false">
      <c r="A382" s="19" t="n">
        <f aca="false">Narxlar!A362</f>
        <v>45797</v>
      </c>
      <c r="B382" s="50" t="n">
        <f aca="false">Narxlar!B362/Narxlar!B$2</f>
        <v>1.28205</v>
      </c>
      <c r="C382" s="50" t="n">
        <f aca="false">Narxlar!C362/Narxlar!C$2</f>
        <v>2.1456</v>
      </c>
      <c r="D382" s="50" t="n">
        <f aca="false">Narxlar!D362/Narxlar!D$2</f>
        <v>1.93163043478261</v>
      </c>
      <c r="E382" s="50" t="n">
        <f aca="false">Narxlar!E362/Narxlar!E$2</f>
        <v>1.19712328767123</v>
      </c>
      <c r="F382" s="50" t="n">
        <f aca="false">Narxlar!F362/Narxlar!F$2</f>
        <v>1.3967578125</v>
      </c>
      <c r="G382" s="50" t="n">
        <f aca="false">G381*(1+VaR!B364)</f>
        <v>1.69063120576508</v>
      </c>
      <c r="H382" s="31" t="n">
        <f aca="false">B382/MAX(B$22:B382)-1</f>
        <v>-0.0859410091331039</v>
      </c>
      <c r="I382" s="31" t="n">
        <f aca="false">C382/MAX(C$22:C382)-1</f>
        <v>-0.0323977198932102</v>
      </c>
      <c r="J382" s="31" t="n">
        <f aca="false">D382/MAX(D$22:D382)-1</f>
        <v>-0.0131060143277614</v>
      </c>
      <c r="K382" s="31" t="n">
        <f aca="false">E382/MAX(E$22:E382)-1</f>
        <v>-0.209926769731489</v>
      </c>
      <c r="L382" s="31" t="n">
        <f aca="false">F382/MAX(F$22:F382)-1</f>
        <v>-0.16375499894759</v>
      </c>
      <c r="M382" s="31" t="n">
        <f aca="false">G382/MAX(G$22:G382)-1</f>
        <v>-0.00199416307410361</v>
      </c>
    </row>
    <row r="383" customFormat="false" ht="15" hidden="false" customHeight="false" outlineLevel="0" collapsed="false">
      <c r="A383" s="19" t="n">
        <f aca="false">Narxlar!A363</f>
        <v>45798</v>
      </c>
      <c r="B383" s="50" t="n">
        <f aca="false">Narxlar!B363/Narxlar!B$2</f>
        <v>1.30671</v>
      </c>
      <c r="C383" s="50" t="n">
        <f aca="false">Narxlar!C363/Narxlar!C$2</f>
        <v>2.17064</v>
      </c>
      <c r="D383" s="50" t="n">
        <f aca="false">Narxlar!D363/Narxlar!D$2</f>
        <v>1.9458152173913</v>
      </c>
      <c r="E383" s="50" t="n">
        <f aca="false">Narxlar!E363/Narxlar!E$2</f>
        <v>1.21383561643836</v>
      </c>
      <c r="F383" s="50" t="n">
        <f aca="false">Narxlar!F363/Narxlar!F$2</f>
        <v>1.4285546875</v>
      </c>
      <c r="G383" s="50" t="n">
        <f aca="false">G382*(1+VaR!B365)</f>
        <v>1.71325190412526</v>
      </c>
      <c r="H383" s="31" t="n">
        <f aca="false">B383/MAX(B$22:B383)-1</f>
        <v>-0.0683592496738177</v>
      </c>
      <c r="I383" s="31" t="n">
        <f aca="false">C383/MAX(C$22:C383)-1</f>
        <v>-0.0211054188613896</v>
      </c>
      <c r="J383" s="31" t="n">
        <f aca="false">D383/MAX(D$22:D383)-1</f>
        <v>-0.00585883267618137</v>
      </c>
      <c r="K383" s="31" t="n">
        <f aca="false">E383/MAX(E$22:E383)-1</f>
        <v>-0.19889702558539</v>
      </c>
      <c r="L383" s="31" t="n">
        <f aca="false">F383/MAX(F$22:F383)-1</f>
        <v>-0.14471807104937</v>
      </c>
      <c r="M383" s="31" t="n">
        <f aca="false">G383/MAX(G$22:G383)-1</f>
        <v>0</v>
      </c>
    </row>
    <row r="384" customFormat="false" ht="15" hidden="false" customHeight="false" outlineLevel="0" collapsed="false">
      <c r="A384" s="19" t="n">
        <f aca="false">Narxlar!A364</f>
        <v>45799</v>
      </c>
      <c r="B384" s="50" t="n">
        <f aca="false">Narxlar!B364/Narxlar!B$2</f>
        <v>1.27354</v>
      </c>
      <c r="C384" s="50" t="n">
        <f aca="false">Narxlar!C364/Narxlar!C$2</f>
        <v>2.08432</v>
      </c>
      <c r="D384" s="50" t="n">
        <f aca="false">Narxlar!D364/Narxlar!D$2</f>
        <v>1.90559782608696</v>
      </c>
      <c r="E384" s="50" t="n">
        <f aca="false">Narxlar!E364/Narxlar!E$2</f>
        <v>1.19013698630137</v>
      </c>
      <c r="F384" s="50" t="n">
        <f aca="false">Narxlar!F364/Narxlar!F$2</f>
        <v>1.3910546875</v>
      </c>
      <c r="G384" s="50" t="n">
        <f aca="false">G383*(1+VaR!B366)</f>
        <v>1.66660298919181</v>
      </c>
      <c r="H384" s="31" t="n">
        <f aca="false">B384/MAX(B$22:B384)-1</f>
        <v>-0.092008355970027</v>
      </c>
      <c r="I384" s="31" t="n">
        <f aca="false">C384/MAX(C$22:C384)-1</f>
        <v>-0.0600331914279529</v>
      </c>
      <c r="J384" s="31" t="n">
        <f aca="false">D384/MAX(D$22:D384)-1</f>
        <v>-0.0264063975120785</v>
      </c>
      <c r="K384" s="31" t="n">
        <f aca="false">E384/MAX(E$22:E384)-1</f>
        <v>-0.214537564415514</v>
      </c>
      <c r="L384" s="31" t="n">
        <f aca="false">F384/MAX(F$22:F384)-1</f>
        <v>-0.167169484786828</v>
      </c>
      <c r="M384" s="31" t="n">
        <f aca="false">G384/MAX(G$22:G384)-1</f>
        <v>-0.0272282872245013</v>
      </c>
    </row>
    <row r="385" customFormat="false" ht="15" hidden="false" customHeight="false" outlineLevel="0" collapsed="false">
      <c r="A385" s="19" t="n">
        <f aca="false">Narxlar!A365</f>
        <v>45800</v>
      </c>
      <c r="B385" s="50" t="n">
        <f aca="false">Narxlar!B365/Narxlar!B$2</f>
        <v>1.26891</v>
      </c>
      <c r="C385" s="50" t="n">
        <f aca="false">Narxlar!C365/Narxlar!C$2</f>
        <v>2.06928</v>
      </c>
      <c r="D385" s="50" t="n">
        <f aca="false">Narxlar!D365/Narxlar!D$2</f>
        <v>1.87592391304348</v>
      </c>
      <c r="E385" s="50" t="n">
        <f aca="false">Narxlar!E365/Narxlar!E$2</f>
        <v>1.18972602739726</v>
      </c>
      <c r="F385" s="50" t="n">
        <f aca="false">Narxlar!F365/Narxlar!F$2</f>
        <v>1.384921875</v>
      </c>
      <c r="G385" s="50" t="n">
        <f aca="false">G384*(1+VaR!B367)</f>
        <v>1.65489376427254</v>
      </c>
      <c r="H385" s="31" t="n">
        <f aca="false">B385/MAX(B$22:B385)-1</f>
        <v>-0.0953093919106796</v>
      </c>
      <c r="I385" s="31" t="n">
        <f aca="false">C385/MAX(C$22:C385)-1</f>
        <v>-0.0668157875748611</v>
      </c>
      <c r="J385" s="31" t="n">
        <f aca="false">D385/MAX(D$22:D385)-1</f>
        <v>-0.0415671683234298</v>
      </c>
      <c r="K385" s="31" t="n">
        <f aca="false">E385/MAX(E$22:E385)-1</f>
        <v>-0.214808787632221</v>
      </c>
      <c r="L385" s="31" t="n">
        <f aca="false">F385/MAX(F$22:F385)-1</f>
        <v>-0.170841226408475</v>
      </c>
      <c r="M385" s="31" t="n">
        <f aca="false">G385/MAX(G$22:G385)-1</f>
        <v>-0.0340627900148265</v>
      </c>
    </row>
    <row r="386" customFormat="false" ht="15" hidden="false" customHeight="false" outlineLevel="0" collapsed="false">
      <c r="A386" s="19" t="n">
        <f aca="false">Narxlar!A366</f>
        <v>45803</v>
      </c>
      <c r="B386" s="50" t="n">
        <f aca="false">Narxlar!B366/Narxlar!B$2</f>
        <v>1.29296</v>
      </c>
      <c r="C386" s="50" t="n">
        <f aca="false">Narxlar!C366/Narxlar!C$2</f>
        <v>2.10856</v>
      </c>
      <c r="D386" s="50" t="n">
        <f aca="false">Narxlar!D366/Narxlar!D$2</f>
        <v>1.90679347826087</v>
      </c>
      <c r="E386" s="50" t="n">
        <f aca="false">Narxlar!E366/Narxlar!E$2</f>
        <v>1.21794520547945</v>
      </c>
      <c r="F386" s="50" t="n">
        <f aca="false">Narxlar!F366/Narxlar!F$2</f>
        <v>1.44359375</v>
      </c>
      <c r="G386" s="50" t="n">
        <f aca="false">G385*(1+VaR!B368)</f>
        <v>1.69496099976214</v>
      </c>
      <c r="H386" s="31" t="n">
        <f aca="false">B386/MAX(B$22:B386)-1</f>
        <v>-0.0781625421541576</v>
      </c>
      <c r="I386" s="31" t="n">
        <f aca="false">C386/MAX(C$22:C386)-1</f>
        <v>-0.0491016667869253</v>
      </c>
      <c r="J386" s="31" t="n">
        <f aca="false">D386/MAX(D$22:D386)-1</f>
        <v>-0.0257955239629033</v>
      </c>
      <c r="K386" s="31" t="n">
        <f aca="false">E386/MAX(E$22:E386)-1</f>
        <v>-0.196184793418317</v>
      </c>
      <c r="L386" s="31" t="n">
        <f aca="false">F386/MAX(F$22:F386)-1</f>
        <v>-0.135714118665076</v>
      </c>
      <c r="M386" s="31" t="n">
        <f aca="false">G386/MAX(G$22:G386)-1</f>
        <v>-0.0106761325168107</v>
      </c>
    </row>
    <row r="387" customFormat="false" ht="15" hidden="false" customHeight="false" outlineLevel="0" collapsed="false">
      <c r="A387" s="19" t="n">
        <f aca="false">Narxlar!A367</f>
        <v>45804</v>
      </c>
      <c r="B387" s="50" t="n">
        <f aca="false">Narxlar!B367/Narxlar!B$2</f>
        <v>1.30841</v>
      </c>
      <c r="C387" s="50" t="n">
        <f aca="false">Narxlar!C367/Narxlar!C$2</f>
        <v>2.13992</v>
      </c>
      <c r="D387" s="50" t="n">
        <f aca="false">Narxlar!D367/Narxlar!D$2</f>
        <v>1.9395652173913</v>
      </c>
      <c r="E387" s="50" t="n">
        <f aca="false">Narxlar!E367/Narxlar!E$2</f>
        <v>1.22616438356164</v>
      </c>
      <c r="F387" s="50" t="n">
        <f aca="false">Narxlar!F367/Narxlar!F$2</f>
        <v>1.44625</v>
      </c>
      <c r="G387" s="50" t="n">
        <f aca="false">G386*(1+VaR!B369)</f>
        <v>1.71328967292067</v>
      </c>
      <c r="H387" s="31" t="n">
        <f aca="false">B387/MAX(B$22:B387)-1</f>
        <v>-0.0671472062398847</v>
      </c>
      <c r="I387" s="31" t="n">
        <f aca="false">C387/MAX(C$22:C387)-1</f>
        <v>-0.0349592322678403</v>
      </c>
      <c r="J387" s="31" t="n">
        <f aca="false">D387/MAX(D$22:D387)-1</f>
        <v>-0.00905203531959797</v>
      </c>
      <c r="K387" s="31" t="n">
        <f aca="false">E387/MAX(E$22:E387)-1</f>
        <v>-0.19076032908417</v>
      </c>
      <c r="L387" s="31" t="n">
        <f aca="false">F387/MAX(F$22:F387)-1</f>
        <v>-0.134123810192006</v>
      </c>
      <c r="M387" s="31" t="n">
        <f aca="false">G387/MAX(G$22:G387)-1</f>
        <v>0</v>
      </c>
    </row>
    <row r="388" customFormat="false" ht="15" hidden="false" customHeight="false" outlineLevel="0" collapsed="false">
      <c r="A388" s="19" t="n">
        <f aca="false">Narxlar!A368</f>
        <v>45805</v>
      </c>
      <c r="B388" s="50" t="n">
        <f aca="false">Narxlar!B368/Narxlar!B$2</f>
        <v>1.31956</v>
      </c>
      <c r="C388" s="50" t="n">
        <f aca="false">Narxlar!C368/Narxlar!C$2</f>
        <v>2.19992</v>
      </c>
      <c r="D388" s="50" t="n">
        <f aca="false">Narxlar!D368/Narxlar!D$2</f>
        <v>1.95336956521739</v>
      </c>
      <c r="E388" s="50" t="n">
        <f aca="false">Narxlar!E368/Narxlar!E$2</f>
        <v>1.23328767123288</v>
      </c>
      <c r="F388" s="50" t="n">
        <f aca="false">Narxlar!F368/Narxlar!F$2</f>
        <v>1.477421875</v>
      </c>
      <c r="G388" s="50" t="n">
        <f aca="false">G387*(1+VaR!B370)</f>
        <v>1.74062333880811</v>
      </c>
      <c r="H388" s="31" t="n">
        <f aca="false">B388/MAX(B$22:B388)-1</f>
        <v>-0.0591976272467365</v>
      </c>
      <c r="I388" s="31" t="n">
        <f aca="false">C388/MAX(C$22:C388)-1</f>
        <v>-0.00790100295836627</v>
      </c>
      <c r="J388" s="31" t="n">
        <f aca="false">D388/MAX(D$22:D388)-1</f>
        <v>-0.00199922252457374</v>
      </c>
      <c r="K388" s="31" t="n">
        <f aca="false">E388/MAX(E$22:E388)-1</f>
        <v>-0.186059126661242</v>
      </c>
      <c r="L388" s="31" t="n">
        <f aca="false">F388/MAX(F$22:F388)-1</f>
        <v>-0.115461072522744</v>
      </c>
      <c r="M388" s="31" t="n">
        <f aca="false">G388/MAX(G$22:G388)-1</f>
        <v>0</v>
      </c>
    </row>
    <row r="389" customFormat="false" ht="15" hidden="false" customHeight="false" outlineLevel="0" collapsed="false">
      <c r="A389" s="19" t="n">
        <f aca="false">Narxlar!A369</f>
        <v>45806</v>
      </c>
      <c r="B389" s="50" t="n">
        <f aca="false">Narxlar!B369/Narxlar!B$2</f>
        <v>1.32863</v>
      </c>
      <c r="C389" s="50" t="n">
        <f aca="false">Narxlar!C369/Narxlar!C$2</f>
        <v>2.1772</v>
      </c>
      <c r="D389" s="50" t="n">
        <f aca="false">Narxlar!D369/Narxlar!D$2</f>
        <v>1.96407608695652</v>
      </c>
      <c r="E389" s="50" t="n">
        <f aca="false">Narxlar!E369/Narxlar!E$2</f>
        <v>1.25479452054795</v>
      </c>
      <c r="F389" s="50" t="n">
        <f aca="false">Narxlar!F369/Narxlar!F$2</f>
        <v>1.4666796875</v>
      </c>
      <c r="G389" s="50" t="n">
        <f aca="false">G388*(1+VaR!B371)</f>
        <v>1.74267282967211</v>
      </c>
      <c r="H389" s="31" t="n">
        <f aca="false">B389/MAX(B$22:B389)-1</f>
        <v>-0.0527310190433411</v>
      </c>
      <c r="I389" s="31" t="n">
        <f aca="false">C389/MAX(C$22:C389)-1</f>
        <v>-0.0181470524568872</v>
      </c>
      <c r="J389" s="31" t="n">
        <f aca="false">D389/MAX(D$22:D389)-1</f>
        <v>0</v>
      </c>
      <c r="K389" s="31" t="n">
        <f aca="false">E389/MAX(E$22:E389)-1</f>
        <v>-0.171865111653558</v>
      </c>
      <c r="L389" s="31" t="n">
        <f aca="false">F389/MAX(F$22:F389)-1</f>
        <v>-0.121892467082953</v>
      </c>
      <c r="M389" s="31" t="n">
        <f aca="false">G389/MAX(G$22:G389)-1</f>
        <v>0</v>
      </c>
    </row>
    <row r="390" customFormat="false" ht="15" hidden="false" customHeight="false" outlineLevel="0" collapsed="false">
      <c r="A390" s="19" t="n">
        <f aca="false">Narxlar!A370</f>
        <v>45807</v>
      </c>
      <c r="B390" s="50" t="n">
        <f aca="false">Narxlar!B370/Narxlar!B$2</f>
        <v>1.32774</v>
      </c>
      <c r="C390" s="50" t="n">
        <f aca="false">Narxlar!C370/Narxlar!C$2</f>
        <v>2.2204</v>
      </c>
      <c r="D390" s="50" t="n">
        <f aca="false">Narxlar!D370/Narxlar!D$2</f>
        <v>1.9854347826087</v>
      </c>
      <c r="E390" s="50" t="n">
        <f aca="false">Narxlar!E370/Narxlar!E$2</f>
        <v>1.25931506849315</v>
      </c>
      <c r="F390" s="50" t="n">
        <f aca="false">Narxlar!F370/Narxlar!F$2</f>
        <v>1.4768359375</v>
      </c>
      <c r="G390" s="50" t="n">
        <f aca="false">G389*(1+VaR!B372)</f>
        <v>1.76176704345651</v>
      </c>
      <c r="H390" s="31" t="n">
        <f aca="false">B390/MAX(B$22:B390)-1</f>
        <v>-0.0533655594293415</v>
      </c>
      <c r="I390" s="31" t="n">
        <f aca="false">C390/MAX(C$22:C390)-1</f>
        <v>0</v>
      </c>
      <c r="J390" s="31" t="n">
        <f aca="false">D390/MAX(D$22:D390)-1</f>
        <v>0</v>
      </c>
      <c r="K390" s="31" t="n">
        <f aca="false">E390/MAX(E$22:E390)-1</f>
        <v>-0.168881656269777</v>
      </c>
      <c r="L390" s="31" t="n">
        <f aca="false">F390/MAX(F$22:F390)-1</f>
        <v>-0.115811875862392</v>
      </c>
      <c r="M390" s="31" t="n">
        <f aca="false">G390/MAX(G$22:G390)-1</f>
        <v>0</v>
      </c>
    </row>
    <row r="391" customFormat="false" ht="15" hidden="false" customHeight="false" outlineLevel="0" collapsed="false">
      <c r="A391" s="19" t="n">
        <f aca="false">Narxlar!A371</f>
        <v>45810</v>
      </c>
      <c r="B391" s="50" t="n">
        <f aca="false">Narxlar!B371/Narxlar!B$2</f>
        <v>1.34675</v>
      </c>
      <c r="C391" s="50" t="n">
        <f aca="false">Narxlar!C371/Narxlar!C$2</f>
        <v>2.28704</v>
      </c>
      <c r="D391" s="50" t="n">
        <f aca="false">Narxlar!D371/Narxlar!D$2</f>
        <v>1.99576086956522</v>
      </c>
      <c r="E391" s="50" t="n">
        <f aca="false">Narxlar!E371/Narxlar!E$2</f>
        <v>1.26068493150685</v>
      </c>
      <c r="F391" s="50" t="n">
        <f aca="false">Narxlar!F371/Narxlar!F$2</f>
        <v>1.498984375</v>
      </c>
      <c r="G391" s="50" t="n">
        <f aca="false">G390*(1+VaR!B373)</f>
        <v>1.7856837421748</v>
      </c>
      <c r="H391" s="31" t="n">
        <f aca="false">B391/MAX(B$22:B391)-1</f>
        <v>-0.0398120619710679</v>
      </c>
      <c r="I391" s="31" t="n">
        <f aca="false">C391/MAX(C$22:C391)-1</f>
        <v>0</v>
      </c>
      <c r="J391" s="31" t="n">
        <f aca="false">D391/MAX(D$22:D391)-1</f>
        <v>0</v>
      </c>
      <c r="K391" s="31" t="n">
        <f aca="false">E391/MAX(E$22:E391)-1</f>
        <v>-0.167977578880752</v>
      </c>
      <c r="L391" s="31" t="n">
        <f aca="false">F391/MAX(F$22:F391)-1</f>
        <v>-0.102551509623705</v>
      </c>
      <c r="M391" s="31" t="n">
        <f aca="false">G391/MAX(G$22:G391)-1</f>
        <v>0</v>
      </c>
    </row>
    <row r="392" customFormat="false" ht="15" hidden="false" customHeight="false" outlineLevel="0" collapsed="false">
      <c r="A392" s="19" t="n">
        <f aca="false">Narxlar!A372</f>
        <v>45811</v>
      </c>
      <c r="B392" s="50" t="n">
        <f aca="false">Narxlar!B372/Narxlar!B$2</f>
        <v>1.33676</v>
      </c>
      <c r="C392" s="50" t="n">
        <f aca="false">Narxlar!C372/Narxlar!C$2</f>
        <v>2.2628</v>
      </c>
      <c r="D392" s="50" t="n">
        <f aca="false">Narxlar!D372/Narxlar!D$2</f>
        <v>1.99619565217391</v>
      </c>
      <c r="E392" s="50" t="n">
        <f aca="false">Narxlar!E372/Narxlar!E$2</f>
        <v>1.25260273972603</v>
      </c>
      <c r="F392" s="50" t="n">
        <f aca="false">Narxlar!F372/Narxlar!F$2</f>
        <v>1.50046875</v>
      </c>
      <c r="G392" s="50" t="n">
        <f aca="false">G391*(1+VaR!B374)</f>
        <v>1.77759480908854</v>
      </c>
      <c r="H392" s="31" t="n">
        <f aca="false">B392/MAX(B$22:B392)-1</f>
        <v>-0.0469345995622384</v>
      </c>
      <c r="I392" s="31" t="n">
        <f aca="false">C392/MAX(C$22:C392)-1</f>
        <v>-0.0105988526654541</v>
      </c>
      <c r="J392" s="31" t="n">
        <f aca="false">D392/MAX(D$22:D392)-1</f>
        <v>0</v>
      </c>
      <c r="K392" s="31" t="n">
        <f aca="false">E392/MAX(E$22:E392)-1</f>
        <v>-0.173311635475997</v>
      </c>
      <c r="L392" s="31" t="n">
        <f aca="false">F392/MAX(F$22:F392)-1</f>
        <v>-0.10166280782993</v>
      </c>
      <c r="M392" s="31" t="n">
        <f aca="false">G392/MAX(G$22:G392)-1</f>
        <v>-0.00452988000910159</v>
      </c>
    </row>
    <row r="393" customFormat="false" ht="15" hidden="false" customHeight="false" outlineLevel="0" collapsed="false">
      <c r="A393" s="19" t="n">
        <f aca="false">Narxlar!A373</f>
        <v>45812</v>
      </c>
      <c r="B393" s="50" t="n">
        <f aca="false">Narxlar!B373/Narxlar!B$2</f>
        <v>1.30896</v>
      </c>
      <c r="C393" s="50" t="n">
        <f aca="false">Narxlar!C373/Narxlar!C$2</f>
        <v>2.2316</v>
      </c>
      <c r="D393" s="50" t="n">
        <f aca="false">Narxlar!D373/Narxlar!D$2</f>
        <v>1.93880434782609</v>
      </c>
      <c r="E393" s="50" t="n">
        <f aca="false">Narxlar!E373/Narxlar!E$2</f>
        <v>1.22904109589041</v>
      </c>
      <c r="F393" s="50" t="n">
        <f aca="false">Narxlar!F373/Narxlar!F$2</f>
        <v>1.4642578125</v>
      </c>
      <c r="G393" s="50" t="n">
        <f aca="false">G392*(1+VaR!B375)</f>
        <v>1.74052625650479</v>
      </c>
      <c r="H393" s="31" t="n">
        <f aca="false">B393/MAX(B$22:B393)-1</f>
        <v>-0.0667550745406711</v>
      </c>
      <c r="I393" s="31" t="n">
        <f aca="false">C393/MAX(C$22:C393)-1</f>
        <v>-0.0242409402546525</v>
      </c>
      <c r="J393" s="31" t="n">
        <f aca="false">D393/MAX(D$22:D393)-1</f>
        <v>-0.0287503403212632</v>
      </c>
      <c r="K393" s="31" t="n">
        <f aca="false">E393/MAX(E$22:E393)-1</f>
        <v>-0.188861766567218</v>
      </c>
      <c r="L393" s="31" t="n">
        <f aca="false">F393/MAX(F$22:F393)-1</f>
        <v>-0.123342454220164</v>
      </c>
      <c r="M393" s="31" t="n">
        <f aca="false">G393/MAX(G$22:G393)-1</f>
        <v>-0.0252886245214974</v>
      </c>
    </row>
    <row r="394" customFormat="false" ht="15" hidden="false" customHeight="false" outlineLevel="0" collapsed="false">
      <c r="A394" s="19" t="n">
        <f aca="false">Narxlar!A374</f>
        <v>45813</v>
      </c>
      <c r="B394" s="50" t="n">
        <f aca="false">Narxlar!B374/Narxlar!B$2</f>
        <v>1.29675</v>
      </c>
      <c r="C394" s="50" t="n">
        <f aca="false">Narxlar!C374/Narxlar!C$2</f>
        <v>2.17624</v>
      </c>
      <c r="D394" s="50" t="n">
        <f aca="false">Narxlar!D374/Narxlar!D$2</f>
        <v>1.92010869565217</v>
      </c>
      <c r="E394" s="50" t="n">
        <f aca="false">Narxlar!E374/Narxlar!E$2</f>
        <v>1.22575342465753</v>
      </c>
      <c r="F394" s="50" t="n">
        <f aca="false">Narxlar!F374/Narxlar!F$2</f>
        <v>1.47234375</v>
      </c>
      <c r="G394" s="50" t="n">
        <f aca="false">G393*(1+VaR!B376)</f>
        <v>1.72413534014681</v>
      </c>
      <c r="H394" s="31" t="n">
        <f aca="false">B394/MAX(B$22:B394)-1</f>
        <v>-0.0754603982632131</v>
      </c>
      <c r="I394" s="31" t="n">
        <f aca="false">C394/MAX(C$22:C394)-1</f>
        <v>-0.0484469007975376</v>
      </c>
      <c r="J394" s="31" t="n">
        <f aca="false">D394/MAX(D$22:D394)-1</f>
        <v>-0.0381159814865232</v>
      </c>
      <c r="K394" s="31" t="n">
        <f aca="false">E394/MAX(E$22:E394)-1</f>
        <v>-0.191031552300877</v>
      </c>
      <c r="L394" s="31" t="n">
        <f aca="false">F394/MAX(F$22:F394)-1</f>
        <v>-0.118501368133025</v>
      </c>
      <c r="M394" s="31" t="n">
        <f aca="false">G394/MAX(G$22:G394)-1</f>
        <v>-0.0344676946842907</v>
      </c>
    </row>
    <row r="395" customFormat="false" ht="15" hidden="false" customHeight="false" outlineLevel="0" collapsed="false">
      <c r="A395" s="19" t="n">
        <f aca="false">Narxlar!A375</f>
        <v>45814</v>
      </c>
      <c r="B395" s="50" t="n">
        <f aca="false">Narxlar!B375/Narxlar!B$2</f>
        <v>1.29161</v>
      </c>
      <c r="C395" s="50" t="n">
        <f aca="false">Narxlar!C375/Narxlar!C$2</f>
        <v>2.16784</v>
      </c>
      <c r="D395" s="50" t="n">
        <f aca="false">Narxlar!D375/Narxlar!D$2</f>
        <v>1.90820652173913</v>
      </c>
      <c r="E395" s="50" t="n">
        <f aca="false">Narxlar!E375/Narxlar!E$2</f>
        <v>1.23082191780822</v>
      </c>
      <c r="F395" s="50" t="n">
        <f aca="false">Narxlar!F375/Narxlar!F$2</f>
        <v>1.459375</v>
      </c>
      <c r="G395" s="50" t="n">
        <f aca="false">G394*(1+VaR!B377)</f>
        <v>1.71821201888974</v>
      </c>
      <c r="H395" s="31" t="n">
        <f aca="false">B395/MAX(B$22:B395)-1</f>
        <v>-0.0791250472340457</v>
      </c>
      <c r="I395" s="31" t="n">
        <f aca="false">C395/MAX(C$22:C395)-1</f>
        <v>-0.0521197705330909</v>
      </c>
      <c r="J395" s="31" t="n">
        <f aca="false">D395/MAX(D$22:D395)-1</f>
        <v>-0.044078410019058</v>
      </c>
      <c r="K395" s="31" t="n">
        <f aca="false">E395/MAX(E$22:E395)-1</f>
        <v>-0.187686465961486</v>
      </c>
      <c r="L395" s="31" t="n">
        <f aca="false">F395/MAX(F$22:F395)-1</f>
        <v>-0.126265815383896</v>
      </c>
      <c r="M395" s="31" t="n">
        <f aca="false">G395/MAX(G$22:G395)-1</f>
        <v>-0.0377848113254795</v>
      </c>
    </row>
    <row r="396" customFormat="false" ht="15" hidden="false" customHeight="false" outlineLevel="0" collapsed="false">
      <c r="A396" s="19" t="n">
        <f aca="false">Narxlar!A376</f>
        <v>45817</v>
      </c>
      <c r="B396" s="50" t="n">
        <f aca="false">Narxlar!B376/Narxlar!B$2</f>
        <v>1.28571</v>
      </c>
      <c r="C396" s="50" t="n">
        <f aca="false">Narxlar!C376/Narxlar!C$2</f>
        <v>2.15016</v>
      </c>
      <c r="D396" s="50" t="n">
        <f aca="false">Narxlar!D376/Narxlar!D$2</f>
        <v>1.90326086956522</v>
      </c>
      <c r="E396" s="50" t="n">
        <f aca="false">Narxlar!E376/Narxlar!E$2</f>
        <v>1.22547945205479</v>
      </c>
      <c r="F396" s="50" t="n">
        <f aca="false">Narxlar!F376/Narxlar!F$2</f>
        <v>1.4446875</v>
      </c>
      <c r="G396" s="50" t="n">
        <f aca="false">G395*(1+VaR!B378)</f>
        <v>1.70757180197884</v>
      </c>
      <c r="H396" s="31" t="n">
        <f aca="false">B396/MAX(B$22:B396)-1</f>
        <v>-0.0833315509165187</v>
      </c>
      <c r="I396" s="31" t="n">
        <f aca="false">C396/MAX(C$22:C396)-1</f>
        <v>-0.0598502868336366</v>
      </c>
      <c r="J396" s="31" t="n">
        <f aca="false">D396/MAX(D$22:D396)-1</f>
        <v>-0.046555948815682</v>
      </c>
      <c r="K396" s="31" t="n">
        <f aca="false">E396/MAX(E$22:E396)-1</f>
        <v>-0.191212367778682</v>
      </c>
      <c r="L396" s="31" t="n">
        <f aca="false">F396/MAX(F$22:F396)-1</f>
        <v>-0.135059285764401</v>
      </c>
      <c r="M396" s="31" t="n">
        <f aca="false">G396/MAX(G$22:G396)-1</f>
        <v>-0.0437434347141559</v>
      </c>
    </row>
    <row r="397" customFormat="false" ht="15" hidden="false" customHeight="false" outlineLevel="0" collapsed="false">
      <c r="A397" s="19" t="n">
        <f aca="false">Narxlar!A377</f>
        <v>45818</v>
      </c>
      <c r="B397" s="50" t="n">
        <f aca="false">Narxlar!B377/Narxlar!B$2</f>
        <v>1.28343</v>
      </c>
      <c r="C397" s="50" t="n">
        <f aca="false">Narxlar!C377/Narxlar!C$2</f>
        <v>2.15688</v>
      </c>
      <c r="D397" s="50" t="n">
        <f aca="false">Narxlar!D377/Narxlar!D$2</f>
        <v>1.90385869565217</v>
      </c>
      <c r="E397" s="50" t="n">
        <f aca="false">Narxlar!E377/Narxlar!E$2</f>
        <v>1.22150684931507</v>
      </c>
      <c r="F397" s="50" t="n">
        <f aca="false">Narxlar!F377/Narxlar!F$2</f>
        <v>1.4419921875</v>
      </c>
      <c r="G397" s="50" t="n">
        <f aca="false">G396*(1+VaR!B379)</f>
        <v>1.70728591827119</v>
      </c>
      <c r="H397" s="31" t="n">
        <f aca="false">B397/MAX(B$22:B397)-1</f>
        <v>-0.0849571150514406</v>
      </c>
      <c r="I397" s="31" t="n">
        <f aca="false">C397/MAX(C$22:C397)-1</f>
        <v>-0.0569119910451938</v>
      </c>
      <c r="J397" s="31" t="n">
        <f aca="false">D397/MAX(D$22:D397)-1</f>
        <v>-0.0462564661040021</v>
      </c>
      <c r="K397" s="31" t="n">
        <f aca="false">E397/MAX(E$22:E397)-1</f>
        <v>-0.193834192206853</v>
      </c>
      <c r="L397" s="31" t="n">
        <f aca="false">F397/MAX(F$22:F397)-1</f>
        <v>-0.13667298112678</v>
      </c>
      <c r="M397" s="31" t="n">
        <f aca="false">G397/MAX(G$22:G397)-1</f>
        <v>-0.0439035323288131</v>
      </c>
    </row>
    <row r="398" customFormat="false" ht="15" hidden="false" customHeight="false" outlineLevel="0" collapsed="false">
      <c r="A398" s="19" t="n">
        <f aca="false">Narxlar!A378</f>
        <v>45819</v>
      </c>
      <c r="B398" s="50" t="n">
        <f aca="false">Narxlar!B378/Narxlar!B$2</f>
        <v>1.29017</v>
      </c>
      <c r="C398" s="50" t="n">
        <f aca="false">Narxlar!C378/Narxlar!C$2</f>
        <v>2.14456</v>
      </c>
      <c r="D398" s="50" t="n">
        <f aca="false">Narxlar!D378/Narxlar!D$2</f>
        <v>1.9154347826087</v>
      </c>
      <c r="E398" s="50" t="n">
        <f aca="false">Narxlar!E378/Narxlar!E$2</f>
        <v>1.21945205479452</v>
      </c>
      <c r="F398" s="50" t="n">
        <f aca="false">Narxlar!F378/Narxlar!F$2</f>
        <v>1.4522265625</v>
      </c>
      <c r="G398" s="50" t="n">
        <f aca="false">G397*(1+VaR!B380)</f>
        <v>1.7086610142776</v>
      </c>
      <c r="H398" s="31" t="n">
        <f aca="false">B398/MAX(B$22:B398)-1</f>
        <v>-0.0801517193192594</v>
      </c>
      <c r="I398" s="31" t="n">
        <f aca="false">C398/MAX(C$22:C398)-1</f>
        <v>-0.0622988666573389</v>
      </c>
      <c r="J398" s="31" t="n">
        <f aca="false">D398/MAX(D$22:D398)-1</f>
        <v>-0.0404573917778383</v>
      </c>
      <c r="K398" s="31" t="n">
        <f aca="false">E398/MAX(E$22:E398)-1</f>
        <v>-0.19519030829039</v>
      </c>
      <c r="L398" s="31" t="n">
        <f aca="false">F398/MAX(F$22:F398)-1</f>
        <v>-0.130545616127599</v>
      </c>
      <c r="M398" s="31" t="n">
        <f aca="false">G398/MAX(G$22:G398)-1</f>
        <v>-0.0431334653937016</v>
      </c>
    </row>
    <row r="399" customFormat="false" ht="15" hidden="false" customHeight="false" outlineLevel="0" collapsed="false">
      <c r="A399" s="19" t="n">
        <f aca="false">Narxlar!A379</f>
        <v>45820</v>
      </c>
      <c r="B399" s="50" t="n">
        <f aca="false">Narxlar!B379/Narxlar!B$2</f>
        <v>1.25331</v>
      </c>
      <c r="C399" s="50" t="n">
        <f aca="false">Narxlar!C379/Narxlar!C$2</f>
        <v>2.10624</v>
      </c>
      <c r="D399" s="50" t="n">
        <f aca="false">Narxlar!D379/Narxlar!D$2</f>
        <v>1.87739130434783</v>
      </c>
      <c r="E399" s="50" t="n">
        <f aca="false">Narxlar!E379/Narxlar!E$2</f>
        <v>1.18890410958904</v>
      </c>
      <c r="F399" s="50" t="n">
        <f aca="false">Narxlar!F379/Narxlar!F$2</f>
        <v>1.403046875</v>
      </c>
      <c r="G399" s="50" t="n">
        <f aca="false">G398*(1+VaR!B381)</f>
        <v>1.66874401592129</v>
      </c>
      <c r="H399" s="31" t="n">
        <f aca="false">B399/MAX(B$22:B399)-1</f>
        <v>-0.106431672833829</v>
      </c>
      <c r="I399" s="31" t="n">
        <f aca="false">C399/MAX(C$22:C399)-1</f>
        <v>-0.0790541485938157</v>
      </c>
      <c r="J399" s="31" t="n">
        <f aca="false">D399/MAX(D$22:D399)-1</f>
        <v>-0.0595153825210999</v>
      </c>
      <c r="K399" s="31" t="n">
        <f aca="false">E399/MAX(E$22:E399)-1</f>
        <v>-0.215351234065636</v>
      </c>
      <c r="L399" s="31" t="n">
        <f aca="false">F399/MAX(F$22:F399)-1</f>
        <v>-0.159989709768704</v>
      </c>
      <c r="M399" s="31" t="n">
        <f aca="false">G399/MAX(G$22:G399)-1</f>
        <v>-0.0654873668229095</v>
      </c>
    </row>
    <row r="400" customFormat="false" ht="15" hidden="false" customHeight="false" outlineLevel="0" collapsed="false">
      <c r="A400" s="19" t="n">
        <f aca="false">Narxlar!A380</f>
        <v>45821</v>
      </c>
      <c r="B400" s="50" t="n">
        <f aca="false">Narxlar!B380/Narxlar!B$2</f>
        <v>1.28725</v>
      </c>
      <c r="C400" s="50" t="n">
        <f aca="false">Narxlar!C380/Narxlar!C$2</f>
        <v>2.1516</v>
      </c>
      <c r="D400" s="50" t="n">
        <f aca="false">Narxlar!D380/Narxlar!D$2</f>
        <v>1.92429347826087</v>
      </c>
      <c r="E400" s="50" t="n">
        <f aca="false">Narxlar!E380/Narxlar!E$2</f>
        <v>1.20506849315069</v>
      </c>
      <c r="F400" s="50" t="n">
        <f aca="false">Narxlar!F380/Narxlar!F$2</f>
        <v>1.4518359375</v>
      </c>
      <c r="G400" s="50" t="n">
        <f aca="false">G399*(1+VaR!B382)</f>
        <v>1.7072255853772</v>
      </c>
      <c r="H400" s="31" t="n">
        <f aca="false">B400/MAX(B$22:B400)-1</f>
        <v>-0.0822335821587207</v>
      </c>
      <c r="I400" s="31" t="n">
        <f aca="false">C400/MAX(C$22:C400)-1</f>
        <v>-0.0592206520218274</v>
      </c>
      <c r="J400" s="31" t="n">
        <f aca="false">D400/MAX(D$22:D400)-1</f>
        <v>-0.0360196025047644</v>
      </c>
      <c r="K400" s="31" t="n">
        <f aca="false">E400/MAX(E$22:E400)-1</f>
        <v>-0.204683120875147</v>
      </c>
      <c r="L400" s="31" t="n">
        <f aca="false">F400/MAX(F$22:F400)-1</f>
        <v>-0.130779485020697</v>
      </c>
      <c r="M400" s="31" t="n">
        <f aca="false">G400/MAX(G$22:G400)-1</f>
        <v>-0.0439373193273497</v>
      </c>
    </row>
    <row r="401" customFormat="false" ht="15" hidden="false" customHeight="false" outlineLevel="0" collapsed="false">
      <c r="A401" s="19" t="n">
        <f aca="false">Narxlar!A381</f>
        <v>45824</v>
      </c>
      <c r="B401" s="50" t="n">
        <f aca="false">Narxlar!B381/Narxlar!B$2</f>
        <v>1.30825</v>
      </c>
      <c r="C401" s="50" t="n">
        <f aca="false">Narxlar!C381/Narxlar!C$2</f>
        <v>2.18888</v>
      </c>
      <c r="D401" s="50" t="n">
        <f aca="false">Narxlar!D381/Narxlar!D$2</f>
        <v>1.95907608695652</v>
      </c>
      <c r="E401" s="50" t="n">
        <f aca="false">Narxlar!E381/Narxlar!E$2</f>
        <v>1.22575342465753</v>
      </c>
      <c r="F401" s="50" t="n">
        <f aca="false">Narxlar!F381/Narxlar!F$2</f>
        <v>1.469140625</v>
      </c>
      <c r="G401" s="50" t="n">
        <f aca="false">G400*(1+VaR!B383)</f>
        <v>1.73521033056132</v>
      </c>
      <c r="H401" s="31" t="n">
        <f aca="false">B401/MAX(B$22:B401)-1</f>
        <v>-0.0672612809160197</v>
      </c>
      <c r="I401" s="31" t="n">
        <f aca="false">C401/MAX(C$22:C401)-1</f>
        <v>-0.0429201063383238</v>
      </c>
      <c r="J401" s="31" t="n">
        <f aca="false">D401/MAX(D$22:D401)-1</f>
        <v>-0.0185951538252109</v>
      </c>
      <c r="K401" s="31" t="n">
        <f aca="false">E401/MAX(E$22:E401)-1</f>
        <v>-0.191031552300877</v>
      </c>
      <c r="L401" s="31" t="n">
        <f aca="false">F401/MAX(F$22:F401)-1</f>
        <v>-0.120419093056433</v>
      </c>
      <c r="M401" s="31" t="n">
        <f aca="false">G401/MAX(G$22:G401)-1</f>
        <v>-0.0282655939690658</v>
      </c>
    </row>
    <row r="402" customFormat="false" ht="15" hidden="false" customHeight="false" outlineLevel="0" collapsed="false">
      <c r="A402" s="19" t="n">
        <f aca="false">Narxlar!A382</f>
        <v>45825</v>
      </c>
      <c r="B402" s="50" t="n">
        <f aca="false">Narxlar!B382/Narxlar!B$2</f>
        <v>1.28147</v>
      </c>
      <c r="C402" s="50" t="n">
        <f aca="false">Narxlar!C382/Narxlar!C$2</f>
        <v>2.13552</v>
      </c>
      <c r="D402" s="50" t="n">
        <f aca="false">Narxlar!D382/Narxlar!D$2</f>
        <v>1.91570652173913</v>
      </c>
      <c r="E402" s="50" t="n">
        <f aca="false">Narxlar!E382/Narxlar!E$2</f>
        <v>1.19808219178082</v>
      </c>
      <c r="F402" s="50" t="n">
        <f aca="false">Narxlar!F382/Narxlar!F$2</f>
        <v>1.406875</v>
      </c>
      <c r="G402" s="50" t="n">
        <f aca="false">G401*(1+VaR!B384)</f>
        <v>1.68841525015493</v>
      </c>
      <c r="H402" s="31" t="n">
        <f aca="false">B402/MAX(B$22:B402)-1</f>
        <v>-0.0863545298340925</v>
      </c>
      <c r="I402" s="31" t="n">
        <f aca="false">C402/MAX(C$22:C402)-1</f>
        <v>-0.0662515740870295</v>
      </c>
      <c r="J402" s="31" t="n">
        <f aca="false">D402/MAX(D$22:D402)-1</f>
        <v>-0.0403212632725293</v>
      </c>
      <c r="K402" s="31" t="n">
        <f aca="false">E402/MAX(E$22:E402)-1</f>
        <v>-0.209293915559172</v>
      </c>
      <c r="L402" s="31" t="n">
        <f aca="false">F402/MAX(F$22:F402)-1</f>
        <v>-0.157697794616338</v>
      </c>
      <c r="M402" s="31" t="n">
        <f aca="false">G402/MAX(G$22:G402)-1</f>
        <v>-0.0544712872288338</v>
      </c>
    </row>
    <row r="403" customFormat="false" ht="15" hidden="false" customHeight="false" outlineLevel="0" collapsed="false">
      <c r="A403" s="19" t="n">
        <f aca="false">Narxlar!A383</f>
        <v>45826</v>
      </c>
      <c r="B403" s="50" t="n">
        <f aca="false">Narxlar!B383/Narxlar!B$2</f>
        <v>1.29045</v>
      </c>
      <c r="C403" s="50" t="n">
        <f aca="false">Narxlar!C383/Narxlar!C$2</f>
        <v>2.15248</v>
      </c>
      <c r="D403" s="50" t="n">
        <f aca="false">Narxlar!D383/Narxlar!D$2</f>
        <v>1.9454347826087</v>
      </c>
      <c r="E403" s="50" t="n">
        <f aca="false">Narxlar!E383/Narxlar!E$2</f>
        <v>1.2058904109589</v>
      </c>
      <c r="F403" s="50" t="n">
        <f aca="false">Narxlar!F383/Narxlar!F$2</f>
        <v>1.3946875</v>
      </c>
      <c r="G403" s="50" t="n">
        <f aca="false">G402*(1+VaR!B385)</f>
        <v>1.69881395235127</v>
      </c>
      <c r="H403" s="31" t="n">
        <f aca="false">B403/MAX(B$22:B403)-1</f>
        <v>-0.0799520886360233</v>
      </c>
      <c r="I403" s="31" t="n">
        <f aca="false">C403/MAX(C$22:C403)-1</f>
        <v>-0.0588358751923884</v>
      </c>
      <c r="J403" s="31" t="n">
        <f aca="false">D403/MAX(D$22:D403)-1</f>
        <v>-0.0254288047917234</v>
      </c>
      <c r="K403" s="31" t="n">
        <f aca="false">E403/MAX(E$22:E403)-1</f>
        <v>-0.204140674441732</v>
      </c>
      <c r="L403" s="31" t="n">
        <f aca="false">F403/MAX(F$22:F403)-1</f>
        <v>-0.164994504081012</v>
      </c>
      <c r="M403" s="31" t="n">
        <f aca="false">G403/MAX(G$22:G403)-1</f>
        <v>-0.0486479143936894</v>
      </c>
    </row>
    <row r="404" customFormat="false" ht="15" hidden="false" customHeight="false" outlineLevel="0" collapsed="false">
      <c r="A404" s="19" t="n">
        <f aca="false">Narxlar!A384</f>
        <v>45827</v>
      </c>
      <c r="B404" s="50" t="n">
        <f aca="false">Narxlar!B384/Narxlar!B$2</f>
        <v>1.29774</v>
      </c>
      <c r="C404" s="50" t="n">
        <f aca="false">Narxlar!C384/Narxlar!C$2</f>
        <v>2.18072</v>
      </c>
      <c r="D404" s="50" t="n">
        <f aca="false">Narxlar!D384/Narxlar!D$2</f>
        <v>1.97157608695652</v>
      </c>
      <c r="E404" s="50" t="n">
        <f aca="false">Narxlar!E384/Narxlar!E$2</f>
        <v>1.21904109589041</v>
      </c>
      <c r="F404" s="50" t="n">
        <f aca="false">Narxlar!F384/Narxlar!F$2</f>
        <v>1.4053515625</v>
      </c>
      <c r="G404" s="50" t="n">
        <f aca="false">G403*(1+VaR!B386)</f>
        <v>1.71843665107371</v>
      </c>
      <c r="H404" s="31" t="n">
        <f aca="false">B404/MAX(B$22:B404)-1</f>
        <v>-0.0747545612046285</v>
      </c>
      <c r="I404" s="31" t="n">
        <f aca="false">C404/MAX(C$22:C404)-1</f>
        <v>-0.0464880369385757</v>
      </c>
      <c r="J404" s="31" t="n">
        <f aca="false">D404/MAX(D$22:D404)-1</f>
        <v>-0.0123332425809964</v>
      </c>
      <c r="K404" s="31" t="n">
        <f aca="false">E404/MAX(E$22:E404)-1</f>
        <v>-0.195461531507097</v>
      </c>
      <c r="L404" s="31" t="n">
        <f aca="false">F404/MAX(F$22:F404)-1</f>
        <v>-0.158609883299422</v>
      </c>
      <c r="M404" s="31" t="n">
        <f aca="false">G404/MAX(G$22:G404)-1</f>
        <v>-0.0376590151507932</v>
      </c>
    </row>
    <row r="405" customFormat="false" ht="15" hidden="false" customHeight="false" outlineLevel="0" collapsed="false">
      <c r="A405" s="19" t="n">
        <f aca="false">Narxlar!A385</f>
        <v>45828</v>
      </c>
      <c r="B405" s="50" t="n">
        <f aca="false">Narxlar!B385/Narxlar!B$2</f>
        <v>1.2955</v>
      </c>
      <c r="C405" s="50" t="n">
        <f aca="false">Narxlar!C385/Narxlar!C$2</f>
        <v>2.17136</v>
      </c>
      <c r="D405" s="50" t="n">
        <f aca="false">Narxlar!D385/Narxlar!D$2</f>
        <v>1.95119565217391</v>
      </c>
      <c r="E405" s="50" t="n">
        <f aca="false">Narxlar!E385/Narxlar!E$2</f>
        <v>1.21561643835616</v>
      </c>
      <c r="F405" s="50" t="n">
        <f aca="false">Narxlar!F385/Narxlar!F$2</f>
        <v>1.44171875</v>
      </c>
      <c r="G405" s="50" t="n">
        <f aca="false">G404*(1+VaR!B387)</f>
        <v>1.71946989983997</v>
      </c>
      <c r="H405" s="31" t="n">
        <f aca="false">B405/MAX(B$22:B405)-1</f>
        <v>-0.0763516066705167</v>
      </c>
      <c r="I405" s="31" t="n">
        <f aca="false">C405/MAX(C$22:C405)-1</f>
        <v>-0.0505806632153352</v>
      </c>
      <c r="J405" s="31" t="n">
        <f aca="false">D405/MAX(D$22:D405)-1</f>
        <v>-0.0225428804791723</v>
      </c>
      <c r="K405" s="31" t="n">
        <f aca="false">E405/MAX(E$22:E405)-1</f>
        <v>-0.197721724979658</v>
      </c>
      <c r="L405" s="31" t="n">
        <f aca="false">F405/MAX(F$22:F405)-1</f>
        <v>-0.136836689351949</v>
      </c>
      <c r="M405" s="31" t="n">
        <f aca="false">G405/MAX(G$22:G405)-1</f>
        <v>-0.0370803859445952</v>
      </c>
    </row>
    <row r="406" customFormat="false" ht="15" hidden="false" customHeight="false" outlineLevel="0" collapsed="false">
      <c r="A406" s="19" t="n">
        <f aca="false">Narxlar!A386</f>
        <v>45831</v>
      </c>
      <c r="B406" s="50" t="n">
        <f aca="false">Narxlar!B386/Narxlar!B$2</f>
        <v>1.28603</v>
      </c>
      <c r="C406" s="50" t="n">
        <f aca="false">Narxlar!C386/Narxlar!C$2</f>
        <v>2.1596</v>
      </c>
      <c r="D406" s="50" t="n">
        <f aca="false">Narxlar!D386/Narxlar!D$2</f>
        <v>1.95353260869565</v>
      </c>
      <c r="E406" s="50" t="n">
        <f aca="false">Narxlar!E386/Narxlar!E$2</f>
        <v>1.22013698630137</v>
      </c>
      <c r="F406" s="50" t="n">
        <f aca="false">Narxlar!F386/Narxlar!F$2</f>
        <v>1.4153515625</v>
      </c>
      <c r="G406" s="50" t="n">
        <f aca="false">G405*(1+VaR!B388)</f>
        <v>1.71250016049065</v>
      </c>
      <c r="H406" s="31" t="n">
        <f aca="false">B406/MAX(B$22:B406)-1</f>
        <v>-0.083103401564249</v>
      </c>
      <c r="I406" s="31" t="n">
        <f aca="false">C406/MAX(C$22:C406)-1</f>
        <v>-0.0557226808451098</v>
      </c>
      <c r="J406" s="31" t="n">
        <f aca="false">D406/MAX(D$22:D406)-1</f>
        <v>-0.0213721753335149</v>
      </c>
      <c r="K406" s="31" t="n">
        <f aca="false">E406/MAX(E$22:E406)-1</f>
        <v>-0.194738269595877</v>
      </c>
      <c r="L406" s="31" t="n">
        <f aca="false">F406/MAX(F$22:F406)-1</f>
        <v>-0.1526228396361</v>
      </c>
      <c r="M406" s="31" t="n">
        <f aca="false">G406/MAX(G$22:G406)-1</f>
        <v>-0.0409835067406795</v>
      </c>
    </row>
    <row r="407" customFormat="false" ht="15" hidden="false" customHeight="false" outlineLevel="0" collapsed="false">
      <c r="A407" s="19" t="n">
        <f aca="false">Narxlar!A387</f>
        <v>45832</v>
      </c>
      <c r="B407" s="50" t="n">
        <f aca="false">Narxlar!B387/Narxlar!B$2</f>
        <v>1.29628</v>
      </c>
      <c r="C407" s="50" t="n">
        <f aca="false">Narxlar!C387/Narxlar!C$2</f>
        <v>2.21432</v>
      </c>
      <c r="D407" s="50" t="n">
        <f aca="false">Narxlar!D387/Narxlar!D$2</f>
        <v>1.97407608695652</v>
      </c>
      <c r="E407" s="50" t="n">
        <f aca="false">Narxlar!E387/Narxlar!E$2</f>
        <v>1.23315068493151</v>
      </c>
      <c r="F407" s="50" t="n">
        <f aca="false">Narxlar!F387/Narxlar!F$2</f>
        <v>1.402734375</v>
      </c>
      <c r="G407" s="50" t="n">
        <f aca="false">G406*(1+VaR!B389)</f>
        <v>1.73153282093004</v>
      </c>
      <c r="H407" s="31" t="n">
        <f aca="false">B407/MAX(B$22:B407)-1</f>
        <v>-0.0757954926243594</v>
      </c>
      <c r="I407" s="31" t="n">
        <f aca="false">C407/MAX(C$22:C407)-1</f>
        <v>-0.0317965579963623</v>
      </c>
      <c r="J407" s="31" t="n">
        <f aca="false">D407/MAX(D$22:D407)-1</f>
        <v>-0.0110808603321536</v>
      </c>
      <c r="K407" s="31" t="n">
        <f aca="false">E407/MAX(E$22:E407)-1</f>
        <v>-0.186149534400145</v>
      </c>
      <c r="L407" s="31" t="n">
        <f aca="false">F407/MAX(F$22:F407)-1</f>
        <v>-0.160176804883182</v>
      </c>
      <c r="M407" s="31" t="n">
        <f aca="false">G407/MAX(G$22:G407)-1</f>
        <v>-0.0303250345880428</v>
      </c>
    </row>
    <row r="408" customFormat="false" ht="15" hidden="false" customHeight="false" outlineLevel="0" collapsed="false">
      <c r="A408" s="19" t="n">
        <f aca="false">Narxlar!A388</f>
        <v>45833</v>
      </c>
      <c r="B408" s="50" t="n">
        <f aca="false">Narxlar!B388/Narxlar!B$2</f>
        <v>1.27836</v>
      </c>
      <c r="C408" s="50" t="n">
        <f aca="false">Narxlar!C388/Narxlar!C$2</f>
        <v>2.1524</v>
      </c>
      <c r="D408" s="50" t="n">
        <f aca="false">Narxlar!D388/Narxlar!D$2</f>
        <v>1.93521739130435</v>
      </c>
      <c r="E408" s="50" t="n">
        <f aca="false">Narxlar!E388/Narxlar!E$2</f>
        <v>1.2113698630137</v>
      </c>
      <c r="F408" s="50" t="n">
        <f aca="false">Narxlar!F388/Narxlar!F$2</f>
        <v>1.37859375</v>
      </c>
      <c r="G408" s="50" t="n">
        <f aca="false">G407*(1+VaR!B390)</f>
        <v>1.69488011626678</v>
      </c>
      <c r="H408" s="31" t="n">
        <f aca="false">B408/MAX(B$22:B408)-1</f>
        <v>-0.0885718563514641</v>
      </c>
      <c r="I408" s="31" t="n">
        <f aca="false">C408/MAX(C$22:C408)-1</f>
        <v>-0.0588708549041557</v>
      </c>
      <c r="J408" s="31" t="n">
        <f aca="false">D408/MAX(D$22:D408)-1</f>
        <v>-0.0305472365913423</v>
      </c>
      <c r="K408" s="31" t="n">
        <f aca="false">E408/MAX(E$22:E408)-1</f>
        <v>-0.200524364885634</v>
      </c>
      <c r="L408" s="31" t="n">
        <f aca="false">F408/MAX(F$22:F408)-1</f>
        <v>-0.174629902476672</v>
      </c>
      <c r="M408" s="31" t="n">
        <f aca="false">G408/MAX(G$22:G408)-1</f>
        <v>-0.0508509002817184</v>
      </c>
    </row>
    <row r="409" customFormat="false" ht="15" hidden="false" customHeight="false" outlineLevel="0" collapsed="false">
      <c r="A409" s="19" t="n">
        <f aca="false">Narxlar!A389</f>
        <v>45834</v>
      </c>
      <c r="B409" s="50" t="n">
        <f aca="false">Narxlar!B389/Narxlar!B$2</f>
        <v>1.28504</v>
      </c>
      <c r="C409" s="50" t="n">
        <f aca="false">Narxlar!C389/Narxlar!C$2</f>
        <v>2.17088</v>
      </c>
      <c r="D409" s="50" t="n">
        <f aca="false">Narxlar!D389/Narxlar!D$2</f>
        <v>1.95396739130435</v>
      </c>
      <c r="E409" s="50" t="n">
        <f aca="false">Narxlar!E389/Narxlar!E$2</f>
        <v>1.21602739726027</v>
      </c>
      <c r="F409" s="50" t="n">
        <f aca="false">Narxlar!F389/Narxlar!F$2</f>
        <v>1.4038671875</v>
      </c>
      <c r="G409" s="50" t="n">
        <f aca="false">G408*(1+VaR!B391)</f>
        <v>1.71119452972657</v>
      </c>
      <c r="H409" s="31" t="n">
        <f aca="false">B409/MAX(B$22:B409)-1</f>
        <v>-0.0838092386228335</v>
      </c>
      <c r="I409" s="31" t="n">
        <f aca="false">C409/MAX(C$22:C409)-1</f>
        <v>-0.0507905414859383</v>
      </c>
      <c r="J409" s="31" t="n">
        <f aca="false">D409/MAX(D$22:D409)-1</f>
        <v>-0.0211543697250204</v>
      </c>
      <c r="K409" s="31" t="n">
        <f aca="false">E409/MAX(E$22:E409)-1</f>
        <v>-0.197450501762951</v>
      </c>
      <c r="L409" s="31" t="n">
        <f aca="false">F409/MAX(F$22:F409)-1</f>
        <v>-0.159498585093197</v>
      </c>
      <c r="M409" s="31" t="n">
        <f aca="false">G409/MAX(G$22:G409)-1</f>
        <v>-0.0417146724747014</v>
      </c>
    </row>
    <row r="410" customFormat="false" ht="15" hidden="false" customHeight="false" outlineLevel="0" collapsed="false">
      <c r="A410" s="19" t="n">
        <f aca="false">Narxlar!A390</f>
        <v>45835</v>
      </c>
      <c r="B410" s="50" t="n">
        <f aca="false">Narxlar!B390/Narxlar!B$2</f>
        <v>1.32873</v>
      </c>
      <c r="C410" s="50" t="n">
        <f aca="false">Narxlar!C390/Narxlar!C$2</f>
        <v>2.29176</v>
      </c>
      <c r="D410" s="50" t="n">
        <f aca="false">Narxlar!D390/Narxlar!D$2</f>
        <v>2.01135869565217</v>
      </c>
      <c r="E410" s="50" t="n">
        <f aca="false">Narxlar!E390/Narxlar!E$2</f>
        <v>1.26150684931507</v>
      </c>
      <c r="F410" s="50" t="n">
        <f aca="false">Narxlar!F390/Narxlar!F$2</f>
        <v>1.4896875</v>
      </c>
      <c r="G410" s="50" t="n">
        <f aca="false">G409*(1+VaR!B392)</f>
        <v>1.78926597365911</v>
      </c>
      <c r="H410" s="31" t="n">
        <f aca="false">B410/MAX(B$22:B410)-1</f>
        <v>-0.052659722370757</v>
      </c>
      <c r="I410" s="31" t="n">
        <f aca="false">C410/MAX(C$22:C410)-1</f>
        <v>0</v>
      </c>
      <c r="J410" s="31" t="n">
        <f aca="false">D410/MAX(D$22:D410)-1</f>
        <v>0</v>
      </c>
      <c r="K410" s="31" t="n">
        <f aca="false">E410/MAX(E$22:E410)-1</f>
        <v>-0.167435132447338</v>
      </c>
      <c r="L410" s="31" t="n">
        <f aca="false">F410/MAX(F$22:F410)-1</f>
        <v>-0.10811758927945</v>
      </c>
      <c r="M410" s="31" t="n">
        <f aca="false">G410/MAX(G$22:G410)-1</f>
        <v>0</v>
      </c>
    </row>
    <row r="411" customFormat="false" ht="15" hidden="false" customHeight="false" outlineLevel="0" collapsed="false">
      <c r="A411" s="19" t="n">
        <f aca="false">Narxlar!A391</f>
        <v>45838</v>
      </c>
      <c r="B411" s="50" t="n">
        <f aca="false">Narxlar!B391/Narxlar!B$2</f>
        <v>1.3344</v>
      </c>
      <c r="C411" s="50" t="n">
        <f aca="false">Narxlar!C391/Narxlar!C$2</f>
        <v>2.2944</v>
      </c>
      <c r="D411" s="50" t="n">
        <f aca="false">Narxlar!D391/Narxlar!D$2</f>
        <v>2.02445652173913</v>
      </c>
      <c r="E411" s="50" t="n">
        <f aca="false">Narxlar!E391/Narxlar!E$2</f>
        <v>1.27095890410959</v>
      </c>
      <c r="F411" s="50" t="n">
        <f aca="false">Narxlar!F391/Narxlar!F$2</f>
        <v>1.5188671875</v>
      </c>
      <c r="G411" s="50" t="n">
        <f aca="false">G410*(1+VaR!B393)</f>
        <v>1.80315836085535</v>
      </c>
      <c r="H411" s="31" t="n">
        <f aca="false">B411/MAX(B$22:B411)-1</f>
        <v>-0.0486172010352277</v>
      </c>
      <c r="I411" s="31" t="n">
        <f aca="false">C411/MAX(C$22:C411)-1</f>
        <v>0</v>
      </c>
      <c r="J411" s="31" t="n">
        <f aca="false">D411/MAX(D$22:D411)-1</f>
        <v>0</v>
      </c>
      <c r="K411" s="31" t="n">
        <f aca="false">E411/MAX(E$22:E411)-1</f>
        <v>-0.161196998463068</v>
      </c>
      <c r="L411" s="31" t="n">
        <f aca="false">F411/MAX(F$22:F411)-1</f>
        <v>-0.0906475829649898</v>
      </c>
      <c r="M411" s="31" t="n">
        <f aca="false">G411/MAX(G$22:G411)-1</f>
        <v>0</v>
      </c>
    </row>
    <row r="412" customFormat="false" ht="15" hidden="false" customHeight="false" outlineLevel="0" collapsed="false">
      <c r="A412" s="19" t="n">
        <f aca="false">Narxlar!A392</f>
        <v>45839</v>
      </c>
      <c r="B412" s="50" t="n">
        <f aca="false">Narxlar!B392/Narxlar!B$2</f>
        <v>1.35774</v>
      </c>
      <c r="C412" s="50" t="n">
        <f aca="false">Narxlar!C392/Narxlar!C$2</f>
        <v>2.34456</v>
      </c>
      <c r="D412" s="50" t="n">
        <f aca="false">Narxlar!D392/Narxlar!D$2</f>
        <v>2.02885869565217</v>
      </c>
      <c r="E412" s="50" t="n">
        <f aca="false">Narxlar!E392/Narxlar!E$2</f>
        <v>1.27931506849315</v>
      </c>
      <c r="F412" s="50" t="n">
        <f aca="false">Narxlar!F392/Narxlar!F$2</f>
        <v>1.5848046875</v>
      </c>
      <c r="G412" s="50" t="n">
        <f aca="false">G411*(1+VaR!B394)</f>
        <v>1.83458440414117</v>
      </c>
      <c r="H412" s="31" t="n">
        <f aca="false">B412/MAX(B$22:B412)-1</f>
        <v>-0.0319765576540543</v>
      </c>
      <c r="I412" s="31" t="n">
        <f aca="false">C412/MAX(C$22:C412)-1</f>
        <v>0</v>
      </c>
      <c r="J412" s="31" t="n">
        <f aca="false">D412/MAX(D$22:D412)-1</f>
        <v>0</v>
      </c>
      <c r="K412" s="31" t="n">
        <f aca="false">E412/MAX(E$22:E412)-1</f>
        <v>-0.155682126390019</v>
      </c>
      <c r="L412" s="31" t="n">
        <f aca="false">F412/MAX(F$22:F412)-1</f>
        <v>-0.0511705138099582</v>
      </c>
      <c r="M412" s="31" t="n">
        <f aca="false">G412/MAX(G$22:G412)-1</f>
        <v>0</v>
      </c>
    </row>
    <row r="413" customFormat="false" ht="15" hidden="false" customHeight="false" outlineLevel="0" collapsed="false">
      <c r="A413" s="19" t="n">
        <f aca="false">Narxlar!A393</f>
        <v>45840</v>
      </c>
      <c r="B413" s="50" t="n">
        <f aca="false">Narxlar!B393/Narxlar!B$2</f>
        <v>1.32497</v>
      </c>
      <c r="C413" s="50" t="n">
        <f aca="false">Narxlar!C393/Narxlar!C$2</f>
        <v>2.25704</v>
      </c>
      <c r="D413" s="50" t="n">
        <f aca="false">Narxlar!D393/Narxlar!D$2</f>
        <v>1.9545652173913</v>
      </c>
      <c r="E413" s="50" t="n">
        <f aca="false">Narxlar!E393/Narxlar!E$2</f>
        <v>1.23808219178082</v>
      </c>
      <c r="F413" s="50" t="n">
        <f aca="false">Narxlar!F393/Narxlar!F$2</f>
        <v>1.551015625</v>
      </c>
      <c r="G413" s="50" t="n">
        <f aca="false">G412*(1+VaR!B395)</f>
        <v>1.77463932721139</v>
      </c>
      <c r="H413" s="31" t="n">
        <f aca="false">B413/MAX(B$22:B413)-1</f>
        <v>-0.0553404772599263</v>
      </c>
      <c r="I413" s="31" t="n">
        <f aca="false">C413/MAX(C$22:C413)-1</f>
        <v>-0.0373289657760945</v>
      </c>
      <c r="J413" s="31" t="n">
        <f aca="false">D413/MAX(D$22:D413)-1</f>
        <v>-0.0366183600760761</v>
      </c>
      <c r="K413" s="31" t="n">
        <f aca="false">E413/MAX(E$22:E413)-1</f>
        <v>-0.182894855799656</v>
      </c>
      <c r="L413" s="31" t="n">
        <f aca="false">F413/MAX(F$22:F413)-1</f>
        <v>-0.0714001730629809</v>
      </c>
      <c r="M413" s="31" t="n">
        <f aca="false">G413/MAX(G$22:G413)-1</f>
        <v>-0.0326750171834411</v>
      </c>
    </row>
    <row r="414" customFormat="false" ht="15" hidden="false" customHeight="false" outlineLevel="0" collapsed="false">
      <c r="A414" s="19" t="n">
        <f aca="false">Narxlar!A394</f>
        <v>45841</v>
      </c>
      <c r="B414" s="50" t="n">
        <f aca="false">Narxlar!B394/Narxlar!B$2</f>
        <v>1.31995</v>
      </c>
      <c r="C414" s="50" t="n">
        <f aca="false">Narxlar!C394/Narxlar!C$2</f>
        <v>2.25008</v>
      </c>
      <c r="D414" s="50" t="n">
        <f aca="false">Narxlar!D394/Narxlar!D$2</f>
        <v>1.95635869565217</v>
      </c>
      <c r="E414" s="50" t="n">
        <f aca="false">Narxlar!E394/Narxlar!E$2</f>
        <v>1.23493150684932</v>
      </c>
      <c r="F414" s="50" t="n">
        <f aca="false">Narxlar!F394/Narxlar!F$2</f>
        <v>1.524765625</v>
      </c>
      <c r="G414" s="50" t="n">
        <f aca="false">G413*(1+VaR!B396)</f>
        <v>1.76626872450314</v>
      </c>
      <c r="H414" s="31" t="n">
        <f aca="false">B414/MAX(B$22:B414)-1</f>
        <v>-0.0589195702236577</v>
      </c>
      <c r="I414" s="31" t="n">
        <f aca="false">C414/MAX(C$22:C414)-1</f>
        <v>-0.040297539836899</v>
      </c>
      <c r="J414" s="31" t="n">
        <f aca="false">D414/MAX(D$22:D414)-1</f>
        <v>-0.0357343762556588</v>
      </c>
      <c r="K414" s="31" t="n">
        <f aca="false">E414/MAX(E$22:E414)-1</f>
        <v>-0.184974233794413</v>
      </c>
      <c r="L414" s="31" t="n">
        <f aca="false">F414/MAX(F$22:F414)-1</f>
        <v>-0.0871161626792021</v>
      </c>
      <c r="M414" s="31" t="n">
        <f aca="false">G414/MAX(G$22:G414)-1</f>
        <v>-0.037237686902725</v>
      </c>
    </row>
    <row r="415" customFormat="false" ht="15" hidden="false" customHeight="false" outlineLevel="0" collapsed="false">
      <c r="A415" s="19" t="n">
        <f aca="false">Narxlar!A395</f>
        <v>45842</v>
      </c>
      <c r="B415" s="50" t="n">
        <f aca="false">Narxlar!B395/Narxlar!B$2</f>
        <v>1.3439</v>
      </c>
      <c r="C415" s="50" t="n">
        <f aca="false">Narxlar!C395/Narxlar!C$2</f>
        <v>2.32016</v>
      </c>
      <c r="D415" s="50" t="n">
        <f aca="false">Narxlar!D395/Narxlar!D$2</f>
        <v>1.97967391304348</v>
      </c>
      <c r="E415" s="50" t="n">
        <f aca="false">Narxlar!E395/Narxlar!E$2</f>
        <v>1.24698630136986</v>
      </c>
      <c r="F415" s="50" t="n">
        <f aca="false">Narxlar!F395/Narxlar!F$2</f>
        <v>1.5665625</v>
      </c>
      <c r="G415" s="50" t="n">
        <f aca="false">G414*(1+VaR!B397)</f>
        <v>1.80202835353948</v>
      </c>
      <c r="H415" s="31" t="n">
        <f aca="false">B415/MAX(B$22:B415)-1</f>
        <v>-0.04184401713972</v>
      </c>
      <c r="I415" s="31" t="n">
        <f aca="false">C415/MAX(C$22:C415)-1</f>
        <v>-0.0104070699832804</v>
      </c>
      <c r="J415" s="31" t="n">
        <f aca="false">D415/MAX(D$22:D415)-1</f>
        <v>-0.0242425865902333</v>
      </c>
      <c r="K415" s="31" t="n">
        <f aca="false">E415/MAX(E$22:E415)-1</f>
        <v>-0.177018352770997</v>
      </c>
      <c r="L415" s="31" t="n">
        <f aca="false">F415/MAX(F$22:F415)-1</f>
        <v>-0.0620921911176593</v>
      </c>
      <c r="M415" s="31" t="n">
        <f aca="false">G415/MAX(G$22:G415)-1</f>
        <v>-0.0177457360523762</v>
      </c>
    </row>
    <row r="416" customFormat="false" ht="15" hidden="false" customHeight="false" outlineLevel="0" collapsed="false">
      <c r="A416" s="19" t="n">
        <f aca="false">Narxlar!A396</f>
        <v>45845</v>
      </c>
      <c r="B416" s="50" t="n">
        <f aca="false">Narxlar!B396/Narxlar!B$2</f>
        <v>1.32264</v>
      </c>
      <c r="C416" s="50" t="n">
        <f aca="false">Narxlar!C396/Narxlar!C$2</f>
        <v>2.28944</v>
      </c>
      <c r="D416" s="50" t="n">
        <f aca="false">Narxlar!D396/Narxlar!D$2</f>
        <v>1.97608695652174</v>
      </c>
      <c r="E416" s="50" t="n">
        <f aca="false">Narxlar!E396/Narxlar!E$2</f>
        <v>1.23164383561644</v>
      </c>
      <c r="F416" s="50" t="n">
        <f aca="false">Narxlar!F396/Narxlar!F$2</f>
        <v>1.531328125</v>
      </c>
      <c r="G416" s="50" t="n">
        <f aca="false">G415*(1+VaR!B398)</f>
        <v>1.78040522704782</v>
      </c>
      <c r="H416" s="31" t="n">
        <f aca="false">B416/MAX(B$22:B416)-1</f>
        <v>-0.0570016897311402</v>
      </c>
      <c r="I416" s="31" t="n">
        <f aca="false">C416/MAX(C$22:C416)-1</f>
        <v>-0.0235097416999353</v>
      </c>
      <c r="J416" s="31" t="n">
        <f aca="false">D416/MAX(D$22:D416)-1</f>
        <v>-0.0260105542310679</v>
      </c>
      <c r="K416" s="31" t="n">
        <f aca="false">E416/MAX(E$22:E416)-1</f>
        <v>-0.187144019528072</v>
      </c>
      <c r="L416" s="31" t="n">
        <f aca="false">F416/MAX(F$22:F416)-1</f>
        <v>-0.0831871652751467</v>
      </c>
      <c r="M416" s="31" t="n">
        <f aca="false">G416/MAX(G$22:G416)-1</f>
        <v>-0.0295321256253186</v>
      </c>
    </row>
    <row r="417" customFormat="false" ht="15" hidden="false" customHeight="false" outlineLevel="0" collapsed="false">
      <c r="A417" s="19" t="n">
        <f aca="false">Narxlar!A397</f>
        <v>45846</v>
      </c>
      <c r="B417" s="50" t="n">
        <f aca="false">Narxlar!B397/Narxlar!B$2</f>
        <v>1.35209</v>
      </c>
      <c r="C417" s="50" t="n">
        <f aca="false">Narxlar!C397/Narxlar!C$2</f>
        <v>2.3588</v>
      </c>
      <c r="D417" s="50" t="n">
        <f aca="false">Narxlar!D397/Narxlar!D$2</f>
        <v>1.99472826086957</v>
      </c>
      <c r="E417" s="50" t="n">
        <f aca="false">Narxlar!E397/Narxlar!E$2</f>
        <v>1.25054794520548</v>
      </c>
      <c r="F417" s="50" t="n">
        <f aca="false">Narxlar!F397/Narxlar!F$2</f>
        <v>1.581328125</v>
      </c>
      <c r="G417" s="50" t="n">
        <f aca="false">G416*(1+VaR!B399)</f>
        <v>1.81924386948465</v>
      </c>
      <c r="H417" s="31" t="n">
        <f aca="false">B417/MAX(B$22:B417)-1</f>
        <v>-0.0360048196550667</v>
      </c>
      <c r="I417" s="31" t="n">
        <f aca="false">C417/MAX(C$22:C417)-1</f>
        <v>0</v>
      </c>
      <c r="J417" s="31" t="n">
        <f aca="false">D417/MAX(D$22:D417)-1</f>
        <v>-0.0168224799764271</v>
      </c>
      <c r="K417" s="31" t="n">
        <f aca="false">E417/MAX(E$22:E417)-1</f>
        <v>-0.174667751559534</v>
      </c>
      <c r="L417" s="31" t="n">
        <f aca="false">F417/MAX(F$22:F417)-1</f>
        <v>-0.053251946958535</v>
      </c>
      <c r="M417" s="31" t="n">
        <f aca="false">G417/MAX(G$22:G417)-1</f>
        <v>-0.00836185820717139</v>
      </c>
    </row>
    <row r="418" customFormat="false" ht="15" hidden="false" customHeight="false" outlineLevel="0" collapsed="false">
      <c r="A418" s="19" t="n">
        <f aca="false">Narxlar!A398</f>
        <v>45847</v>
      </c>
      <c r="B418" s="50" t="n">
        <f aca="false">Narxlar!B398/Narxlar!B$2</f>
        <v>1.34389</v>
      </c>
      <c r="C418" s="50" t="n">
        <f aca="false">Narxlar!C398/Narxlar!C$2</f>
        <v>2.34</v>
      </c>
      <c r="D418" s="50" t="n">
        <f aca="false">Narxlar!D398/Narxlar!D$2</f>
        <v>1.97679347826087</v>
      </c>
      <c r="E418" s="50" t="n">
        <f aca="false">Narxlar!E398/Narxlar!E$2</f>
        <v>1.25150684931507</v>
      </c>
      <c r="F418" s="50" t="n">
        <f aca="false">Narxlar!F398/Narxlar!F$2</f>
        <v>1.574296875</v>
      </c>
      <c r="G418" s="50" t="n">
        <f aca="false">G417*(1+VaR!B400)</f>
        <v>1.80953564505251</v>
      </c>
      <c r="H418" s="31" t="n">
        <f aca="false">B418/MAX(B$22:B418)-1</f>
        <v>-0.0418511468069785</v>
      </c>
      <c r="I418" s="31" t="n">
        <f aca="false">C418/MAX(C$22:C418)-1</f>
        <v>-0.00797015431575388</v>
      </c>
      <c r="J418" s="31" t="n">
        <f aca="false">D418/MAX(D$22:D418)-1</f>
        <v>-0.0256623181806005</v>
      </c>
      <c r="K418" s="31" t="n">
        <f aca="false">E418/MAX(E$22:E418)-1</f>
        <v>-0.174034897387216</v>
      </c>
      <c r="L418" s="31" t="n">
        <f aca="false">F418/MAX(F$22:F418)-1</f>
        <v>-0.0574615870343086</v>
      </c>
      <c r="M418" s="31" t="n">
        <f aca="false">G418/MAX(G$22:G418)-1</f>
        <v>-0.013653642226612</v>
      </c>
    </row>
    <row r="419" customFormat="false" ht="15" hidden="false" customHeight="false" outlineLevel="0" collapsed="false">
      <c r="A419" s="19" t="n">
        <f aca="false">Narxlar!A399</f>
        <v>45848</v>
      </c>
      <c r="B419" s="50" t="n">
        <f aca="false">Narxlar!B399/Narxlar!B$2</f>
        <v>1.39532</v>
      </c>
      <c r="C419" s="50" t="n">
        <f aca="false">Narxlar!C399/Narxlar!C$2</f>
        <v>2.45824</v>
      </c>
      <c r="D419" s="50" t="n">
        <f aca="false">Narxlar!D399/Narxlar!D$2</f>
        <v>2.05597826086957</v>
      </c>
      <c r="E419" s="50" t="n">
        <f aca="false">Narxlar!E399/Narxlar!E$2</f>
        <v>1.28438356164384</v>
      </c>
      <c r="F419" s="50" t="n">
        <f aca="false">Narxlar!F399/Narxlar!F$2</f>
        <v>1.6621484375</v>
      </c>
      <c r="G419" s="50" t="n">
        <f aca="false">G418*(1+VaR!B401)</f>
        <v>1.88716731672296</v>
      </c>
      <c r="H419" s="31" t="n">
        <f aca="false">B419/MAX(B$22:B419)-1</f>
        <v>-0.00518326809687797</v>
      </c>
      <c r="I419" s="31" t="n">
        <f aca="false">C419/MAX(C$22:C419)-1</f>
        <v>0</v>
      </c>
      <c r="J419" s="31" t="n">
        <f aca="false">D419/MAX(D$22:D419)-1</f>
        <v>0</v>
      </c>
      <c r="K419" s="31" t="n">
        <f aca="false">E419/MAX(E$22:E419)-1</f>
        <v>-0.152337040050628</v>
      </c>
      <c r="L419" s="31" t="n">
        <f aca="false">F419/MAX(F$22:F419)-1</f>
        <v>-0.00486447297644932</v>
      </c>
      <c r="M419" s="31" t="n">
        <f aca="false">G419/MAX(G$22:G419)-1</f>
        <v>0</v>
      </c>
    </row>
    <row r="420" customFormat="false" ht="15" hidden="false" customHeight="false" outlineLevel="0" collapsed="false">
      <c r="A420" s="19" t="n">
        <f aca="false">Narxlar!A400</f>
        <v>45849</v>
      </c>
      <c r="B420" s="50" t="n">
        <f aca="false">Narxlar!B400/Narxlar!B$2</f>
        <v>1.42598</v>
      </c>
      <c r="C420" s="50" t="n">
        <f aca="false">Narxlar!C400/Narxlar!C$2</f>
        <v>2.49392</v>
      </c>
      <c r="D420" s="50" t="n">
        <f aca="false">Narxlar!D400/Narxlar!D$2</f>
        <v>2.08907608695652</v>
      </c>
      <c r="E420" s="50" t="n">
        <f aca="false">Narxlar!E400/Narxlar!E$2</f>
        <v>1.31397260273973</v>
      </c>
      <c r="F420" s="50" t="n">
        <f aca="false">Narxlar!F400/Narxlar!F$2</f>
        <v>1.7149609375</v>
      </c>
      <c r="G420" s="50" t="n">
        <f aca="false">G419*(1+VaR!B402)</f>
        <v>1.92584109581367</v>
      </c>
      <c r="H420" s="31" t="n">
        <f aca="false">B420/MAX(B$22:B420)-1</f>
        <v>0</v>
      </c>
      <c r="I420" s="31" t="n">
        <f aca="false">C420/MAX(C$22:C420)-1</f>
        <v>0</v>
      </c>
      <c r="J420" s="31" t="n">
        <f aca="false">D420/MAX(D$22:D420)-1</f>
        <v>0</v>
      </c>
      <c r="K420" s="31" t="n">
        <f aca="false">E420/MAX(E$22:E420)-1</f>
        <v>-0.132808968447699</v>
      </c>
      <c r="L420" s="31" t="n">
        <f aca="false">F420/MAX(F$22:F420)-1</f>
        <v>0</v>
      </c>
      <c r="M420" s="31" t="n">
        <f aca="false">G420/MAX(G$22:G420)-1</f>
        <v>0</v>
      </c>
    </row>
    <row r="421" customFormat="false" ht="15" hidden="false" customHeight="false" outlineLevel="0" collapsed="false">
      <c r="A421" s="19" t="n">
        <f aca="false">Narxlar!A401</f>
        <v>45852</v>
      </c>
      <c r="B421" s="50" t="n">
        <f aca="false">Narxlar!B401/Narxlar!B$2</f>
        <v>1.42212</v>
      </c>
      <c r="C421" s="50" t="n">
        <f aca="false">Narxlar!C401/Narxlar!C$2</f>
        <v>2.46224</v>
      </c>
      <c r="D421" s="50" t="n">
        <f aca="false">Narxlar!D401/Narxlar!D$2</f>
        <v>2.0845652173913</v>
      </c>
      <c r="E421" s="50" t="n">
        <f aca="false">Narxlar!E401/Narxlar!E$2</f>
        <v>1.31575342465753</v>
      </c>
      <c r="F421" s="50" t="n">
        <f aca="false">Narxlar!F401/Narxlar!F$2</f>
        <v>1.7083984375</v>
      </c>
      <c r="G421" s="50" t="n">
        <f aca="false">G420*(1+VaR!B403)</f>
        <v>1.9166409987414</v>
      </c>
      <c r="H421" s="31" t="n">
        <f aca="false">B421/MAX(B$22:B421)-1</f>
        <v>-0.00270691033534842</v>
      </c>
      <c r="I421" s="31" t="n">
        <f aca="false">C421/MAX(C$22:C421)-1</f>
        <v>-0.0127028934368385</v>
      </c>
      <c r="J421" s="31" t="n">
        <f aca="false">D421/MAX(D$22:D421)-1</f>
        <v>-0.00215926532948307</v>
      </c>
      <c r="K421" s="31" t="n">
        <f aca="false">E421/MAX(E$22:E421)-1</f>
        <v>-0.131633667841967</v>
      </c>
      <c r="L421" s="31" t="n">
        <f aca="false">F421/MAX(F$22:F421)-1</f>
        <v>-0.00382661777099502</v>
      </c>
      <c r="M421" s="31" t="n">
        <f aca="false">G421/MAX(G$22:G421)-1</f>
        <v>-0.00477718389760462</v>
      </c>
    </row>
    <row r="422" customFormat="false" ht="15" hidden="false" customHeight="false" outlineLevel="0" collapsed="false">
      <c r="A422" s="19" t="n">
        <f aca="false">Narxlar!A402</f>
        <v>45853</v>
      </c>
      <c r="B422" s="50" t="n">
        <f aca="false">Narxlar!B402/Narxlar!B$2</f>
        <v>1.41145</v>
      </c>
      <c r="C422" s="50" t="n">
        <f aca="false">Narxlar!C402/Narxlar!C$2</f>
        <v>2.4244</v>
      </c>
      <c r="D422" s="50" t="n">
        <f aca="false">Narxlar!D402/Narxlar!D$2</f>
        <v>2.07679347826087</v>
      </c>
      <c r="E422" s="50" t="n">
        <f aca="false">Narxlar!E402/Narxlar!E$2</f>
        <v>1.33013698630137</v>
      </c>
      <c r="F422" s="50" t="n">
        <f aca="false">Narxlar!F402/Narxlar!F$2</f>
        <v>1.692578125</v>
      </c>
      <c r="G422" s="50" t="n">
        <f aca="false">G421*(1+VaR!B404)</f>
        <v>1.90770637438861</v>
      </c>
      <c r="H422" s="31" t="n">
        <f aca="false">B422/MAX(B$22:B422)-1</f>
        <v>-0.0101894837234743</v>
      </c>
      <c r="I422" s="31" t="n">
        <f aca="false">C422/MAX(C$22:C422)-1</f>
        <v>-0.0278757939308399</v>
      </c>
      <c r="J422" s="31" t="n">
        <f aca="false">D422/MAX(D$22:D422)-1</f>
        <v>-0.0058794453549782</v>
      </c>
      <c r="K422" s="31" t="n">
        <f aca="false">E422/MAX(E$22:E422)-1</f>
        <v>-0.12214085525721</v>
      </c>
      <c r="L422" s="31" t="n">
        <f aca="false">F422/MAX(F$22:F422)-1</f>
        <v>-0.0130514998975012</v>
      </c>
      <c r="M422" s="31" t="n">
        <f aca="false">G422/MAX(G$22:G422)-1</f>
        <v>-0.00941652011917482</v>
      </c>
    </row>
    <row r="423" customFormat="false" ht="15" hidden="false" customHeight="false" outlineLevel="0" collapsed="false">
      <c r="A423" s="19" t="n">
        <f aca="false">Narxlar!A403</f>
        <v>45854</v>
      </c>
      <c r="B423" s="50" t="n">
        <f aca="false">Narxlar!B403/Narxlar!B$2</f>
        <v>1.43785</v>
      </c>
      <c r="C423" s="50" t="n">
        <f aca="false">Narxlar!C403/Narxlar!C$2</f>
        <v>2.46408</v>
      </c>
      <c r="D423" s="50" t="n">
        <f aca="false">Narxlar!D403/Narxlar!D$2</f>
        <v>2.12494565217391</v>
      </c>
      <c r="E423" s="50" t="n">
        <f aca="false">Narxlar!E403/Narxlar!E$2</f>
        <v>1.36424657534247</v>
      </c>
      <c r="F423" s="50" t="n">
        <f aca="false">Narxlar!F403/Narxlar!F$2</f>
        <v>1.7463671875</v>
      </c>
      <c r="G423" s="50" t="n">
        <f aca="false">G422*(1+VaR!B405)</f>
        <v>1.95248659118901</v>
      </c>
      <c r="H423" s="31" t="n">
        <f aca="false">B423/MAX(B$22:B423)-1</f>
        <v>0</v>
      </c>
      <c r="I423" s="31" t="n">
        <f aca="false">C423/MAX(C$22:C423)-1</f>
        <v>-0.0119650991210625</v>
      </c>
      <c r="J423" s="31" t="n">
        <f aca="false">D423/MAX(D$22:D423)-1</f>
        <v>0</v>
      </c>
      <c r="K423" s="31" t="n">
        <f aca="false">E423/MAX(E$22:E423)-1</f>
        <v>-0.0996293282705</v>
      </c>
      <c r="L423" s="31" t="n">
        <f aca="false">F423/MAX(F$22:F423)-1</f>
        <v>0</v>
      </c>
      <c r="M423" s="31" t="n">
        <f aca="false">G423/MAX(G$22:G423)-1</f>
        <v>0</v>
      </c>
    </row>
    <row r="424" customFormat="false" ht="15" hidden="false" customHeight="false" outlineLevel="0" collapsed="false">
      <c r="A424" s="19" t="n">
        <f aca="false">Narxlar!A404</f>
        <v>45855</v>
      </c>
      <c r="B424" s="50" t="n">
        <f aca="false">Narxlar!B404/Narxlar!B$2</f>
        <v>1.43995</v>
      </c>
      <c r="C424" s="50" t="n">
        <f aca="false">Narxlar!C404/Narxlar!C$2</f>
        <v>2.45376</v>
      </c>
      <c r="D424" s="50" t="n">
        <f aca="false">Narxlar!D404/Narxlar!D$2</f>
        <v>2.0870652173913</v>
      </c>
      <c r="E424" s="50" t="n">
        <f aca="false">Narxlar!E404/Narxlar!E$2</f>
        <v>1.37452054794521</v>
      </c>
      <c r="F424" s="50" t="n">
        <f aca="false">Narxlar!F404/Narxlar!F$2</f>
        <v>1.7284375</v>
      </c>
      <c r="G424" s="50" t="n">
        <f aca="false">G423*(1+VaR!B406)</f>
        <v>1.94099866968147</v>
      </c>
      <c r="H424" s="31" t="n">
        <f aca="false">B424/MAX(B$22:B424)-1</f>
        <v>0</v>
      </c>
      <c r="I424" s="31" t="n">
        <f aca="false">C424/MAX(C$22:C424)-1</f>
        <v>-0.0161031628921537</v>
      </c>
      <c r="J424" s="31" t="n">
        <f aca="false">D424/MAX(D$22:D424)-1</f>
        <v>-0.0178265428783344</v>
      </c>
      <c r="K424" s="31" t="n">
        <f aca="false">E424/MAX(E$22:E424)-1</f>
        <v>-0.0928487478528163</v>
      </c>
      <c r="L424" s="31" t="n">
        <f aca="false">F424/MAX(F$22:F424)-1</f>
        <v>-0.010266848591943</v>
      </c>
      <c r="M424" s="31" t="n">
        <f aca="false">G424/MAX(G$22:G424)-1</f>
        <v>-0.00588373900203765</v>
      </c>
    </row>
    <row r="425" customFormat="false" ht="15" hidden="false" customHeight="false" outlineLevel="0" collapsed="false">
      <c r="A425" s="19" t="n">
        <f aca="false">Narxlar!A405</f>
        <v>45856</v>
      </c>
      <c r="B425" s="50" t="n">
        <f aca="false">Narxlar!B405/Narxlar!B$2</f>
        <v>1.43528</v>
      </c>
      <c r="C425" s="50" t="n">
        <f aca="false">Narxlar!C405/Narxlar!C$2</f>
        <v>2.48152</v>
      </c>
      <c r="D425" s="50" t="n">
        <f aca="false">Narxlar!D405/Narxlar!D$2</f>
        <v>2.0616847826087</v>
      </c>
      <c r="E425" s="50" t="n">
        <f aca="false">Narxlar!E405/Narxlar!E$2</f>
        <v>1.37191780821918</v>
      </c>
      <c r="F425" s="50" t="n">
        <f aca="false">Narxlar!F405/Narxlar!F$2</f>
        <v>1.7580859375</v>
      </c>
      <c r="G425" s="50" t="n">
        <f aca="false">G424*(1+VaR!B407)</f>
        <v>1.94742539737567</v>
      </c>
      <c r="H425" s="31" t="n">
        <f aca="false">B425/MAX(B$22:B425)-1</f>
        <v>-0.00324316816556147</v>
      </c>
      <c r="I425" s="31" t="n">
        <f aca="false">C425/MAX(C$22:C425)-1</f>
        <v>-0.00497209212805538</v>
      </c>
      <c r="J425" s="31" t="n">
        <f aca="false">D425/MAX(D$22:D425)-1</f>
        <v>-0.0297705823678355</v>
      </c>
      <c r="K425" s="31" t="n">
        <f aca="false">E425/MAX(E$22:E425)-1</f>
        <v>-0.0945664948919628</v>
      </c>
      <c r="L425" s="31" t="n">
        <f aca="false">F425/MAX(F$22:F425)-1</f>
        <v>0</v>
      </c>
      <c r="M425" s="31" t="n">
        <f aca="false">G425/MAX(G$22:G425)-1</f>
        <v>-0.00259217852566884</v>
      </c>
    </row>
    <row r="426" customFormat="false" ht="15" hidden="false" customHeight="false" outlineLevel="0" collapsed="false">
      <c r="A426" s="19" t="n">
        <f aca="false">Narxlar!A406</f>
        <v>45859</v>
      </c>
      <c r="B426" s="50" t="n">
        <f aca="false">Narxlar!B406/Narxlar!B$2</f>
        <v>1.43429</v>
      </c>
      <c r="C426" s="50" t="n">
        <f aca="false">Narxlar!C406/Narxlar!C$2</f>
        <v>2.47656</v>
      </c>
      <c r="D426" s="50" t="n">
        <f aca="false">Narxlar!D406/Narxlar!D$2</f>
        <v>2.05983695652174</v>
      </c>
      <c r="E426" s="50" t="n">
        <f aca="false">Narxlar!E406/Narxlar!E$2</f>
        <v>1.37561643835616</v>
      </c>
      <c r="F426" s="50" t="n">
        <f aca="false">Narxlar!F406/Narxlar!F$2</f>
        <v>1.721328125</v>
      </c>
      <c r="G426" s="50" t="n">
        <f aca="false">G425*(1+VaR!B408)</f>
        <v>1.9389905474304</v>
      </c>
      <c r="H426" s="31" t="n">
        <f aca="false">B426/MAX(B$22:B426)-1</f>
        <v>-0.00393069203791796</v>
      </c>
      <c r="I426" s="31" t="n">
        <f aca="false">C426/MAX(C$22:C426)-1</f>
        <v>-0.00696092897927758</v>
      </c>
      <c r="J426" s="31" t="n">
        <f aca="false">D426/MAX(D$22:D426)-1</f>
        <v>-0.0306401698253153</v>
      </c>
      <c r="K426" s="31" t="n">
        <f aca="false">E426/MAX(E$22:E426)-1</f>
        <v>-0.0921254859415966</v>
      </c>
      <c r="L426" s="31" t="n">
        <f aca="false">F426/MAX(F$22:F426)-1</f>
        <v>-0.0209078587775234</v>
      </c>
      <c r="M426" s="31" t="n">
        <f aca="false">G426/MAX(G$22:G426)-1</f>
        <v>-0.00691223377384931</v>
      </c>
    </row>
    <row r="427" customFormat="false" ht="15" hidden="false" customHeight="false" outlineLevel="0" collapsed="false">
      <c r="A427" s="19" t="n">
        <f aca="false">Narxlar!A407</f>
        <v>45860</v>
      </c>
      <c r="B427" s="50" t="n">
        <f aca="false">Narxlar!B407/Narxlar!B$2</f>
        <v>1.43966</v>
      </c>
      <c r="C427" s="50" t="n">
        <f aca="false">Narxlar!C407/Narxlar!C$2</f>
        <v>2.46048</v>
      </c>
      <c r="D427" s="50" t="n">
        <f aca="false">Narxlar!D407/Narxlar!D$2</f>
        <v>2.07945652173913</v>
      </c>
      <c r="E427" s="50" t="n">
        <f aca="false">Narxlar!E407/Narxlar!E$2</f>
        <v>1.35671232876712</v>
      </c>
      <c r="F427" s="50" t="n">
        <f aca="false">Narxlar!F407/Narxlar!F$2</f>
        <v>1.702265625</v>
      </c>
      <c r="G427" s="50" t="n">
        <f aca="false">G426*(1+VaR!B409)</f>
        <v>1.92887465994262</v>
      </c>
      <c r="H427" s="31" t="n">
        <f aca="false">B427/MAX(B$22:B427)-1</f>
        <v>-0.000201395881801347</v>
      </c>
      <c r="I427" s="31" t="n">
        <f aca="false">C427/MAX(C$22:C427)-1</f>
        <v>-0.013408609738885</v>
      </c>
      <c r="J427" s="31" t="n">
        <f aca="false">D427/MAX(D$22:D427)-1</f>
        <v>-0.0214071971150156</v>
      </c>
      <c r="K427" s="31" t="n">
        <f aca="false">E427/MAX(E$22:E427)-1</f>
        <v>-0.104601753910135</v>
      </c>
      <c r="L427" s="31" t="n">
        <f aca="false">F427/MAX(F$22:F427)-1</f>
        <v>-0.0317506165707557</v>
      </c>
      <c r="M427" s="31" t="n">
        <f aca="false">G427/MAX(G$22:G427)-1</f>
        <v>-0.0120932616658883</v>
      </c>
    </row>
    <row r="428" customFormat="false" ht="15" hidden="false" customHeight="false" outlineLevel="0" collapsed="false">
      <c r="A428" s="19" t="n">
        <f aca="false">Narxlar!A408</f>
        <v>45861</v>
      </c>
      <c r="B428" s="50" t="n">
        <f aca="false">Narxlar!B408/Narxlar!B$2</f>
        <v>1.44687</v>
      </c>
      <c r="C428" s="50" t="n">
        <f aca="false">Narxlar!C408/Narxlar!C$2</f>
        <v>2.46952</v>
      </c>
      <c r="D428" s="50" t="n">
        <f aca="false">Narxlar!D408/Narxlar!D$2</f>
        <v>2.08347826086957</v>
      </c>
      <c r="E428" s="50" t="n">
        <f aca="false">Narxlar!E408/Narxlar!E$2</f>
        <v>1.36753424657534</v>
      </c>
      <c r="F428" s="50" t="n">
        <f aca="false">Narxlar!F408/Narxlar!F$2</f>
        <v>1.689609375</v>
      </c>
      <c r="G428" s="50" t="n">
        <f aca="false">G427*(1+VaR!B410)</f>
        <v>1.93291157728112</v>
      </c>
      <c r="H428" s="31" t="n">
        <f aca="false">B428/MAX(B$22:B428)-1</f>
        <v>0</v>
      </c>
      <c r="I428" s="31" t="n">
        <f aca="false">C428/MAX(C$22:C428)-1</f>
        <v>-0.00978379418746389</v>
      </c>
      <c r="J428" s="31" t="n">
        <f aca="false">D428/MAX(D$22:D428)-1</f>
        <v>-0.0195145655899128</v>
      </c>
      <c r="K428" s="31" t="n">
        <f aca="false">E428/MAX(E$22:E428)-1</f>
        <v>-0.0974595425368412</v>
      </c>
      <c r="L428" s="31" t="n">
        <f aca="false">F428/MAX(F$22:F428)-1</f>
        <v>-0.0389494967449507</v>
      </c>
      <c r="M428" s="31" t="n">
        <f aca="false">G428/MAX(G$22:G428)-1</f>
        <v>-0.0100256841692126</v>
      </c>
    </row>
    <row r="429" customFormat="false" ht="15" hidden="false" customHeight="false" outlineLevel="0" collapsed="false">
      <c r="A429" s="19" t="n">
        <f aca="false">Narxlar!A409</f>
        <v>45862</v>
      </c>
      <c r="B429" s="50" t="n">
        <f aca="false">Narxlar!B409/Narxlar!B$2</f>
        <v>1.46171</v>
      </c>
      <c r="C429" s="50" t="n">
        <f aca="false">Narxlar!C409/Narxlar!C$2</f>
        <v>2.48344</v>
      </c>
      <c r="D429" s="50" t="n">
        <f aca="false">Narxlar!D409/Narxlar!D$2</f>
        <v>2.11510869565217</v>
      </c>
      <c r="E429" s="50" t="n">
        <f aca="false">Narxlar!E409/Narxlar!E$2</f>
        <v>1.36095890410959</v>
      </c>
      <c r="F429" s="50" t="n">
        <f aca="false">Narxlar!F409/Narxlar!F$2</f>
        <v>1.7030859375</v>
      </c>
      <c r="G429" s="50" t="n">
        <f aca="false">G428*(1+VaR!B411)</f>
        <v>1.94427630435492</v>
      </c>
      <c r="H429" s="31" t="n">
        <f aca="false">B429/MAX(B$22:B429)-1</f>
        <v>0</v>
      </c>
      <c r="I429" s="31" t="n">
        <f aca="false">C429/MAX(C$22:C429)-1</f>
        <v>-0.00420221979855018</v>
      </c>
      <c r="J429" s="31" t="n">
        <f aca="false">D429/MAX(D$22:D429)-1</f>
        <v>-0.00462927440599503</v>
      </c>
      <c r="K429" s="31" t="n">
        <f aca="false">E429/MAX(E$22:E429)-1</f>
        <v>-0.101799114004159</v>
      </c>
      <c r="L429" s="31" t="n">
        <f aca="false">F429/MAX(F$22:F429)-1</f>
        <v>-0.0312840224853911</v>
      </c>
      <c r="M429" s="31" t="n">
        <f aca="false">G429/MAX(G$22:G429)-1</f>
        <v>-0.00420504134119981</v>
      </c>
    </row>
    <row r="430" customFormat="false" ht="15" hidden="false" customHeight="false" outlineLevel="0" collapsed="false">
      <c r="A430" s="19" t="n">
        <f aca="false">Narxlar!A410</f>
        <v>45863</v>
      </c>
      <c r="B430" s="50" t="n">
        <f aca="false">Narxlar!B410/Narxlar!B$2</f>
        <v>1.4646</v>
      </c>
      <c r="C430" s="50" t="n">
        <f aca="false">Narxlar!C410/Narxlar!C$2</f>
        <v>2.50448</v>
      </c>
      <c r="D430" s="50" t="n">
        <f aca="false">Narxlar!D410/Narxlar!D$2</f>
        <v>2.12440217391304</v>
      </c>
      <c r="E430" s="50" t="n">
        <f aca="false">Narxlar!E410/Narxlar!E$2</f>
        <v>1.36013698630137</v>
      </c>
      <c r="F430" s="50" t="n">
        <f aca="false">Narxlar!F410/Narxlar!F$2</f>
        <v>1.748828125</v>
      </c>
      <c r="G430" s="50" t="n">
        <f aca="false">G429*(1+VaR!B412)</f>
        <v>1.96150414917264</v>
      </c>
      <c r="H430" s="31" t="n">
        <f aca="false">B430/MAX(B$22:B430)-1</f>
        <v>0</v>
      </c>
      <c r="I430" s="31" t="n">
        <f aca="false">C430/MAX(C$22:C430)-1</f>
        <v>0</v>
      </c>
      <c r="J430" s="31" t="n">
        <f aca="false">D430/MAX(D$22:D430)-1</f>
        <v>-0.000255761016905831</v>
      </c>
      <c r="K430" s="31" t="n">
        <f aca="false">E430/MAX(E$22:E430)-1</f>
        <v>-0.102341560437573</v>
      </c>
      <c r="L430" s="31" t="n">
        <f aca="false">F430/MAX(F$22:F430)-1</f>
        <v>-0.00526584753482795</v>
      </c>
      <c r="M430" s="31" t="n">
        <f aca="false">G430/MAX(G$22:G430)-1</f>
        <v>0</v>
      </c>
    </row>
    <row r="431" customFormat="false" ht="15" hidden="false" customHeight="false" outlineLevel="0" collapsed="false">
      <c r="A431" s="19" t="n">
        <f aca="false">Narxlar!A411</f>
        <v>45866</v>
      </c>
      <c r="B431" s="50" t="n">
        <f aca="false">Narxlar!B411/Narxlar!B$2</f>
        <v>1.44331</v>
      </c>
      <c r="C431" s="50" t="n">
        <f aca="false">Narxlar!C411/Narxlar!C$2</f>
        <v>2.42776</v>
      </c>
      <c r="D431" s="50" t="n">
        <f aca="false">Narxlar!D411/Narxlar!D$2</f>
        <v>2.10445652173913</v>
      </c>
      <c r="E431" s="50" t="n">
        <f aca="false">Narxlar!E411/Narxlar!E$2</f>
        <v>1.34369863013699</v>
      </c>
      <c r="F431" s="50" t="n">
        <f aca="false">Narxlar!F411/Narxlar!F$2</f>
        <v>1.7633984375</v>
      </c>
      <c r="G431" s="50" t="n">
        <f aca="false">G430*(1+VaR!B413)</f>
        <v>1.9362158546937</v>
      </c>
      <c r="H431" s="31" t="n">
        <f aca="false">B431/MAX(B$22:B431)-1</f>
        <v>-0.0145363921889936</v>
      </c>
      <c r="I431" s="31" t="n">
        <f aca="false">C431/MAX(C$22:C431)-1</f>
        <v>-0.0306331054749888</v>
      </c>
      <c r="J431" s="31" t="n">
        <f aca="false">D431/MAX(D$22:D431)-1</f>
        <v>-0.0096421903373487</v>
      </c>
      <c r="K431" s="31" t="n">
        <f aca="false">E431/MAX(E$22:E431)-1</f>
        <v>-0.113190489105868</v>
      </c>
      <c r="L431" s="31" t="n">
        <f aca="false">F431/MAX(F$22:F431)-1</f>
        <v>0</v>
      </c>
      <c r="M431" s="31" t="n">
        <f aca="false">G431/MAX(G$22:G431)-1</f>
        <v>-0.0128922972146679</v>
      </c>
    </row>
    <row r="432" customFormat="false" ht="15" hidden="false" customHeight="false" outlineLevel="0" collapsed="false">
      <c r="A432" s="19" t="n">
        <f aca="false">Narxlar!A412</f>
        <v>45867</v>
      </c>
      <c r="B432" s="50" t="n">
        <f aca="false">Narxlar!B412/Narxlar!B$2</f>
        <v>1.45506</v>
      </c>
      <c r="C432" s="50" t="n">
        <f aca="false">Narxlar!C412/Narxlar!C$2</f>
        <v>2.44736</v>
      </c>
      <c r="D432" s="50" t="n">
        <f aca="false">Narxlar!D412/Narxlar!D$2</f>
        <v>2.06233695652174</v>
      </c>
      <c r="E432" s="50" t="n">
        <f aca="false">Narxlar!E412/Narxlar!E$2</f>
        <v>1.35438356164384</v>
      </c>
      <c r="F432" s="50" t="n">
        <f aca="false">Narxlar!F412/Narxlar!F$2</f>
        <v>1.7774609375</v>
      </c>
      <c r="G432" s="50" t="n">
        <f aca="false">G431*(1+VaR!B414)</f>
        <v>1.93815453356222</v>
      </c>
      <c r="H432" s="31" t="n">
        <f aca="false">B432/MAX(B$22:B432)-1</f>
        <v>-0.00651372388365412</v>
      </c>
      <c r="I432" s="31" t="n">
        <f aca="false">C432/MAX(C$22:C432)-1</f>
        <v>-0.0228071296237142</v>
      </c>
      <c r="J432" s="31" t="n">
        <f aca="false">D432/MAX(D$22:D432)-1</f>
        <v>-0.0294636691475484</v>
      </c>
      <c r="K432" s="31" t="n">
        <f aca="false">E432/MAX(E$22:E432)-1</f>
        <v>-0.106138685471476</v>
      </c>
      <c r="L432" s="31" t="n">
        <f aca="false">F432/MAX(F$22:F432)-1</f>
        <v>0</v>
      </c>
      <c r="M432" s="31" t="n">
        <f aca="false">G432/MAX(G$22:G432)-1</f>
        <v>-0.0119039338358127</v>
      </c>
    </row>
    <row r="433" customFormat="false" ht="15" hidden="false" customHeight="false" outlineLevel="0" collapsed="false">
      <c r="A433" s="19" t="n">
        <f aca="false">Narxlar!A413</f>
        <v>45868</v>
      </c>
      <c r="B433" s="50" t="n">
        <f aca="false">Narxlar!B413/Narxlar!B$2</f>
        <v>1.45593</v>
      </c>
      <c r="C433" s="50" t="n">
        <f aca="false">Narxlar!C413/Narxlar!C$2</f>
        <v>2.46144</v>
      </c>
      <c r="D433" s="50" t="n">
        <f aca="false">Narxlar!D413/Narxlar!D$2</f>
        <v>2.02913043478261</v>
      </c>
      <c r="E433" s="50" t="n">
        <f aca="false">Narxlar!E413/Narxlar!E$2</f>
        <v>1.35178082191781</v>
      </c>
      <c r="F433" s="50" t="n">
        <f aca="false">Narxlar!F413/Narxlar!F$2</f>
        <v>1.762578125</v>
      </c>
      <c r="G433" s="50" t="n">
        <f aca="false">G432*(1+VaR!B415)</f>
        <v>1.92952111444926</v>
      </c>
      <c r="H433" s="31" t="n">
        <f aca="false">B433/MAX(B$22:B433)-1</f>
        <v>-0.00591970503891826</v>
      </c>
      <c r="I433" s="31" t="n">
        <f aca="false">C433/MAX(C$22:C433)-1</f>
        <v>-0.0171852041142273</v>
      </c>
      <c r="J433" s="31" t="n">
        <f aca="false">D433/MAX(D$22:D433)-1</f>
        <v>-0.0450906672804929</v>
      </c>
      <c r="K433" s="31" t="n">
        <f aca="false">E433/MAX(E$22:E433)-1</f>
        <v>-0.107856432510623</v>
      </c>
      <c r="L433" s="31" t="n">
        <f aca="false">F433/MAX(F$22:F433)-1</f>
        <v>-0.0083730743027931</v>
      </c>
      <c r="M433" s="31" t="n">
        <f aca="false">G433/MAX(G$22:G433)-1</f>
        <v>-0.0163053617484655</v>
      </c>
    </row>
    <row r="434" customFormat="false" ht="15" hidden="false" customHeight="false" outlineLevel="0" collapsed="false">
      <c r="A434" s="19" t="n">
        <f aca="false">Narxlar!A414</f>
        <v>45869</v>
      </c>
      <c r="B434" s="50" t="n">
        <f aca="false">Narxlar!B414/Narxlar!B$2</f>
        <v>1.46291</v>
      </c>
      <c r="C434" s="50" t="n">
        <f aca="false">Narxlar!C414/Narxlar!C$2</f>
        <v>2.46112</v>
      </c>
      <c r="D434" s="50" t="n">
        <f aca="false">Narxlar!D414/Narxlar!D$2</f>
        <v>2.01798913043478</v>
      </c>
      <c r="E434" s="50" t="n">
        <f aca="false">Narxlar!E414/Narxlar!E$2</f>
        <v>1.35616438356164</v>
      </c>
      <c r="F434" s="50" t="n">
        <f aca="false">Narxlar!F414/Narxlar!F$2</f>
        <v>1.77578125</v>
      </c>
      <c r="G434" s="50" t="n">
        <f aca="false">G433*(1+VaR!B416)</f>
        <v>1.93125226232716</v>
      </c>
      <c r="H434" s="31" t="n">
        <f aca="false">B434/MAX(B$22:B434)-1</f>
        <v>-0.00115389867540605</v>
      </c>
      <c r="I434" s="31" t="n">
        <f aca="false">C434/MAX(C$22:C434)-1</f>
        <v>-0.0173129751485338</v>
      </c>
      <c r="J434" s="31" t="n">
        <f aca="false">D434/MAX(D$22:D434)-1</f>
        <v>-0.050333768127062</v>
      </c>
      <c r="K434" s="31" t="n">
        <f aca="false">E434/MAX(E$22:E434)-1</f>
        <v>-0.104963384865745</v>
      </c>
      <c r="L434" s="31" t="n">
        <f aca="false">F434/MAX(F$22:F434)-1</f>
        <v>-0.000944992637847975</v>
      </c>
      <c r="M434" s="31" t="n">
        <f aca="false">G434/MAX(G$22:G434)-1</f>
        <v>-0.0154228003332256</v>
      </c>
    </row>
    <row r="435" customFormat="false" ht="15" hidden="false" customHeight="false" outlineLevel="0" collapsed="false">
      <c r="A435" s="19" t="n">
        <f aca="false">Narxlar!A415</f>
        <v>45870</v>
      </c>
      <c r="B435" s="50" t="n">
        <f aca="false">Narxlar!B415/Narxlar!B$2</f>
        <v>1.47724</v>
      </c>
      <c r="C435" s="50" t="n">
        <f aca="false">Narxlar!C415/Narxlar!C$2</f>
        <v>2.46424</v>
      </c>
      <c r="D435" s="50" t="n">
        <f aca="false">Narxlar!D415/Narxlar!D$2</f>
        <v>2.04847826086957</v>
      </c>
      <c r="E435" s="50" t="n">
        <f aca="false">Narxlar!E415/Narxlar!E$2</f>
        <v>1.39547945205479</v>
      </c>
      <c r="F435" s="50" t="n">
        <f aca="false">Narxlar!F415/Narxlar!F$2</f>
        <v>1.7987890625</v>
      </c>
      <c r="G435" s="50" t="n">
        <f aca="false">G434*(1+VaR!B417)</f>
        <v>1.95828254363991</v>
      </c>
      <c r="H435" s="31" t="n">
        <f aca="false">B435/MAX(B$22:B435)-1</f>
        <v>0</v>
      </c>
      <c r="I435" s="31" t="n">
        <f aca="false">C435/MAX(C$22:C435)-1</f>
        <v>-0.0160672075640451</v>
      </c>
      <c r="J435" s="31" t="n">
        <f aca="false">D435/MAX(D$22:D435)-1</f>
        <v>-0.0359855750786464</v>
      </c>
      <c r="K435" s="31" t="n">
        <f aca="false">E435/MAX(E$22:E435)-1</f>
        <v>-0.0790163638007413</v>
      </c>
      <c r="L435" s="31" t="n">
        <f aca="false">F435/MAX(F$22:F435)-1</f>
        <v>0</v>
      </c>
      <c r="M435" s="31" t="n">
        <f aca="false">G435/MAX(G$22:G435)-1</f>
        <v>-0.00164241586442082</v>
      </c>
    </row>
    <row r="436" customFormat="false" ht="15" hidden="false" customHeight="false" outlineLevel="0" collapsed="false">
      <c r="A436" s="19" t="n">
        <f aca="false">Narxlar!A416</f>
        <v>45873</v>
      </c>
      <c r="B436" s="50" t="n">
        <f aca="false">Narxlar!B416/Narxlar!B$2</f>
        <v>1.49749</v>
      </c>
      <c r="C436" s="50" t="n">
        <f aca="false">Narxlar!C416/Narxlar!C$2</f>
        <v>2.53672</v>
      </c>
      <c r="D436" s="50" t="n">
        <f aca="false">Narxlar!D416/Narxlar!D$2</f>
        <v>2.0766847826087</v>
      </c>
      <c r="E436" s="50" t="n">
        <f aca="false">Narxlar!E416/Narxlar!E$2</f>
        <v>1.40602739726027</v>
      </c>
      <c r="F436" s="50" t="n">
        <f aca="false">Narxlar!F416/Narxlar!F$2</f>
        <v>1.7951171875</v>
      </c>
      <c r="G436" s="50" t="n">
        <f aca="false">G435*(1+VaR!B418)</f>
        <v>1.98520421587591</v>
      </c>
      <c r="H436" s="31" t="n">
        <f aca="false">B436/MAX(B$22:B436)-1</f>
        <v>0</v>
      </c>
      <c r="I436" s="31" t="n">
        <f aca="false">C436/MAX(C$22:C436)-1</f>
        <v>0</v>
      </c>
      <c r="J436" s="31" t="n">
        <f aca="false">D436/MAX(D$22:D436)-1</f>
        <v>-0.0227115783012352</v>
      </c>
      <c r="K436" s="31" t="n">
        <f aca="false">E436/MAX(E$22:E436)-1</f>
        <v>-0.0720549679052528</v>
      </c>
      <c r="L436" s="31" t="n">
        <f aca="false">F436/MAX(F$22:F436)-1</f>
        <v>-0.00204130382853052</v>
      </c>
      <c r="M436" s="31" t="n">
        <f aca="false">G436/MAX(G$22:G436)-1</f>
        <v>0</v>
      </c>
    </row>
    <row r="437" customFormat="false" ht="15" hidden="false" customHeight="false" outlineLevel="0" collapsed="false">
      <c r="A437" s="19" t="n">
        <f aca="false">Narxlar!A417</f>
        <v>45874</v>
      </c>
      <c r="B437" s="50" t="n">
        <f aca="false">Narxlar!B417/Narxlar!B$2</f>
        <v>1.48971</v>
      </c>
      <c r="C437" s="50" t="n">
        <f aca="false">Narxlar!C417/Narxlar!C$2</f>
        <v>2.52408</v>
      </c>
      <c r="D437" s="50" t="n">
        <f aca="false">Narxlar!D417/Narxlar!D$2</f>
        <v>2.07097826086957</v>
      </c>
      <c r="E437" s="50" t="n">
        <f aca="false">Narxlar!E417/Narxlar!E$2</f>
        <v>1.39041095890411</v>
      </c>
      <c r="F437" s="50" t="n">
        <f aca="false">Narxlar!F417/Narxlar!F$2</f>
        <v>1.7793359375</v>
      </c>
      <c r="G437" s="50" t="n">
        <f aca="false">G436*(1+VaR!B419)</f>
        <v>1.97187008415551</v>
      </c>
      <c r="H437" s="31" t="n">
        <f aca="false">B437/MAX(B$22:B437)-1</f>
        <v>-0.00519536023612843</v>
      </c>
      <c r="I437" s="31" t="n">
        <f aca="false">C437/MAX(C$22:C437)-1</f>
        <v>-0.00498281245072363</v>
      </c>
      <c r="J437" s="31" t="n">
        <f aca="false">D437/MAX(D$22:D437)-1</f>
        <v>-0.0253970689787462</v>
      </c>
      <c r="K437" s="31" t="n">
        <f aca="false">E437/MAX(E$22:E437)-1</f>
        <v>-0.0823614501401321</v>
      </c>
      <c r="L437" s="31" t="n">
        <f aca="false">F437/MAX(F$22:F437)-1</f>
        <v>-0.0108145670915764</v>
      </c>
      <c r="M437" s="31" t="n">
        <f aca="false">G437/MAX(G$22:G437)-1</f>
        <v>-0.00671675569383312</v>
      </c>
    </row>
    <row r="438" customFormat="false" ht="15" hidden="false" customHeight="false" outlineLevel="0" collapsed="false">
      <c r="A438" s="19" t="n">
        <f aca="false">Narxlar!A418</f>
        <v>45875</v>
      </c>
      <c r="B438" s="50" t="n">
        <f aca="false">Narxlar!B418/Narxlar!B$2</f>
        <v>1.50869</v>
      </c>
      <c r="C438" s="50" t="n">
        <f aca="false">Narxlar!C418/Narxlar!C$2</f>
        <v>2.5556</v>
      </c>
      <c r="D438" s="50" t="n">
        <f aca="false">Narxlar!D418/Narxlar!D$2</f>
        <v>2.10266304347826</v>
      </c>
      <c r="E438" s="50" t="n">
        <f aca="false">Narxlar!E418/Narxlar!E$2</f>
        <v>1.3872602739726</v>
      </c>
      <c r="F438" s="50" t="n">
        <f aca="false">Narxlar!F418/Narxlar!F$2</f>
        <v>1.7796484375</v>
      </c>
      <c r="G438" s="50" t="n">
        <f aca="false">G437*(1+VaR!B420)</f>
        <v>1.98575164623708</v>
      </c>
      <c r="H438" s="31" t="n">
        <f aca="false">B438/MAX(B$22:B438)-1</f>
        <v>0</v>
      </c>
      <c r="I438" s="31" t="n">
        <f aca="false">C438/MAX(C$22:C438)-1</f>
        <v>0</v>
      </c>
      <c r="J438" s="31" t="n">
        <f aca="false">D438/MAX(D$22:D438)-1</f>
        <v>-0.010486201693138</v>
      </c>
      <c r="K438" s="31" t="n">
        <f aca="false">E438/MAX(E$22:E438)-1</f>
        <v>-0.0844408281348884</v>
      </c>
      <c r="L438" s="31" t="n">
        <f aca="false">F438/MAX(F$22:F438)-1</f>
        <v>-0.0106408391061696</v>
      </c>
      <c r="M438" s="31" t="n">
        <f aca="false">G438/MAX(G$22:G438)-1</f>
        <v>0</v>
      </c>
    </row>
    <row r="439" customFormat="false" ht="15" hidden="false" customHeight="false" outlineLevel="0" collapsed="false">
      <c r="A439" s="19" t="n">
        <f aca="false">Narxlar!A419</f>
        <v>45876</v>
      </c>
      <c r="B439" s="50" t="n">
        <f aca="false">Narxlar!B419/Narxlar!B$2</f>
        <v>1.51716</v>
      </c>
      <c r="C439" s="50" t="n">
        <f aca="false">Narxlar!C419/Narxlar!C$2</f>
        <v>2.57152</v>
      </c>
      <c r="D439" s="50" t="n">
        <f aca="false">Narxlar!D419/Narxlar!D$2</f>
        <v>2.1495652173913</v>
      </c>
      <c r="E439" s="50" t="n">
        <f aca="false">Narxlar!E419/Narxlar!E$2</f>
        <v>1.39821917808219</v>
      </c>
      <c r="F439" s="50" t="n">
        <f aca="false">Narxlar!F419/Narxlar!F$2</f>
        <v>1.7762109375</v>
      </c>
      <c r="G439" s="50" t="n">
        <f aca="false">G438*(1+VaR!B421)</f>
        <v>2.00369085472872</v>
      </c>
      <c r="H439" s="31" t="n">
        <f aca="false">B439/MAX(B$22:B439)-1</f>
        <v>0</v>
      </c>
      <c r="I439" s="31" t="n">
        <f aca="false">C439/MAX(C$22:C439)-1</f>
        <v>0</v>
      </c>
      <c r="J439" s="31" t="n">
        <f aca="false">D439/MAX(D$22:D439)-1</f>
        <v>0</v>
      </c>
      <c r="K439" s="31" t="n">
        <f aca="false">E439/MAX(E$22:E439)-1</f>
        <v>-0.0772082090226924</v>
      </c>
      <c r="L439" s="31" t="n">
        <f aca="false">F439/MAX(F$22:F439)-1</f>
        <v>-0.0125518469456449</v>
      </c>
      <c r="M439" s="31" t="n">
        <f aca="false">G439/MAX(G$22:G439)-1</f>
        <v>0</v>
      </c>
    </row>
    <row r="440" customFormat="false" ht="15" hidden="false" customHeight="false" outlineLevel="0" collapsed="false">
      <c r="A440" s="19" t="n">
        <f aca="false">Narxlar!A420</f>
        <v>45877</v>
      </c>
      <c r="B440" s="50" t="n">
        <f aca="false">Narxlar!B420/Narxlar!B$2</f>
        <v>1.52629</v>
      </c>
      <c r="C440" s="50" t="n">
        <f aca="false">Narxlar!C420/Narxlar!C$2</f>
        <v>2.59712</v>
      </c>
      <c r="D440" s="50" t="n">
        <f aca="false">Narxlar!D420/Narxlar!D$2</f>
        <v>2.15429347826087</v>
      </c>
      <c r="E440" s="50" t="n">
        <f aca="false">Narxlar!E420/Narxlar!E$2</f>
        <v>1.40986301369863</v>
      </c>
      <c r="F440" s="50" t="n">
        <f aca="false">Narxlar!F420/Narxlar!F$2</f>
        <v>1.8100390625</v>
      </c>
      <c r="G440" s="50" t="n">
        <f aca="false">G439*(1+VaR!B422)</f>
        <v>2.0225804402109</v>
      </c>
      <c r="H440" s="31" t="n">
        <f aca="false">B440/MAX(B$22:B440)-1</f>
        <v>0</v>
      </c>
      <c r="I440" s="31" t="n">
        <f aca="false">C440/MAX(C$22:C440)-1</f>
        <v>0</v>
      </c>
      <c r="J440" s="31" t="n">
        <f aca="false">D440/MAX(D$22:D440)-1</f>
        <v>0</v>
      </c>
      <c r="K440" s="31" t="n">
        <f aca="false">E440/MAX(E$22:E440)-1</f>
        <v>-0.0695235512159842</v>
      </c>
      <c r="L440" s="31" t="n">
        <f aca="false">F440/MAX(F$22:F440)-1</f>
        <v>0</v>
      </c>
      <c r="M440" s="31" t="n">
        <f aca="false">G440/MAX(G$22:G440)-1</f>
        <v>0</v>
      </c>
    </row>
    <row r="441" customFormat="false" ht="15" hidden="false" customHeight="false" outlineLevel="0" collapsed="false">
      <c r="A441" s="19" t="n">
        <f aca="false">Narxlar!A421</f>
        <v>45880</v>
      </c>
      <c r="B441" s="50" t="n">
        <f aca="false">Narxlar!B421/Narxlar!B$2</f>
        <v>1.52136</v>
      </c>
      <c r="C441" s="50" t="n">
        <f aca="false">Narxlar!C421/Narxlar!C$2</f>
        <v>2.59</v>
      </c>
      <c r="D441" s="50" t="n">
        <f aca="false">Narxlar!D421/Narxlar!D$2</f>
        <v>2.14695652173913</v>
      </c>
      <c r="E441" s="50" t="n">
        <f aca="false">Narxlar!E421/Narxlar!E$2</f>
        <v>1.39506849315069</v>
      </c>
      <c r="F441" s="50" t="n">
        <f aca="false">Narxlar!F421/Narxlar!F$2</f>
        <v>1.8502734375</v>
      </c>
      <c r="G441" s="50" t="n">
        <f aca="false">G440*(1+VaR!B423)</f>
        <v>2.02288061311144</v>
      </c>
      <c r="H441" s="31" t="n">
        <f aca="false">B441/MAX(B$22:B441)-1</f>
        <v>-0.00323005457678427</v>
      </c>
      <c r="I441" s="31" t="n">
        <f aca="false">C441/MAX(C$22:C441)-1</f>
        <v>-0.00274149827501236</v>
      </c>
      <c r="J441" s="31" t="n">
        <f aca="false">D441/MAX(D$22:D441)-1</f>
        <v>-0.00340573677438882</v>
      </c>
      <c r="K441" s="31" t="n">
        <f aca="false">E441/MAX(E$22:E441)-1</f>
        <v>-0.0792875870174488</v>
      </c>
      <c r="L441" s="31" t="n">
        <f aca="false">F441/MAX(F$22:F441)-1</f>
        <v>0</v>
      </c>
      <c r="M441" s="31" t="n">
        <f aca="false">G441/MAX(G$22:G441)-1</f>
        <v>0</v>
      </c>
    </row>
    <row r="442" customFormat="false" ht="15" hidden="false" customHeight="false" outlineLevel="0" collapsed="false">
      <c r="A442" s="19" t="n">
        <f aca="false">Narxlar!A422</f>
        <v>45881</v>
      </c>
      <c r="B442" s="50" t="n">
        <f aca="false">Narxlar!B422/Narxlar!B$2</f>
        <v>1.53671</v>
      </c>
      <c r="C442" s="50" t="n">
        <f aca="false">Narxlar!C422/Narxlar!C$2</f>
        <v>2.62592</v>
      </c>
      <c r="D442" s="50" t="n">
        <f aca="false">Narxlar!D422/Narxlar!D$2</f>
        <v>2.19429347826087</v>
      </c>
      <c r="E442" s="50" t="n">
        <f aca="false">Narxlar!E422/Narxlar!E$2</f>
        <v>1.4086301369863</v>
      </c>
      <c r="F442" s="50" t="n">
        <f aca="false">Narxlar!F422/Narxlar!F$2</f>
        <v>1.853671875</v>
      </c>
      <c r="G442" s="50" t="n">
        <f aca="false">G441*(1+VaR!B424)</f>
        <v>2.0481066321523</v>
      </c>
      <c r="H442" s="31" t="n">
        <f aca="false">B442/MAX(B$22:B442)-1</f>
        <v>0</v>
      </c>
      <c r="I442" s="31" t="n">
        <f aca="false">C442/MAX(C$22:C442)-1</f>
        <v>0</v>
      </c>
      <c r="J442" s="31" t="n">
        <f aca="false">D442/MAX(D$22:D442)-1</f>
        <v>0</v>
      </c>
      <c r="K442" s="31" t="n">
        <f aca="false">E442/MAX(E$22:E442)-1</f>
        <v>-0.0703372208661062</v>
      </c>
      <c r="L442" s="31" t="n">
        <f aca="false">F442/MAX(F$22:F442)-1</f>
        <v>0</v>
      </c>
      <c r="M442" s="31" t="n">
        <f aca="false">G442/MAX(G$22:G442)-1</f>
        <v>0</v>
      </c>
    </row>
    <row r="443" customFormat="false" ht="15" hidden="false" customHeight="false" outlineLevel="0" collapsed="false">
      <c r="A443" s="19" t="n">
        <f aca="false">Narxlar!A423</f>
        <v>45882</v>
      </c>
      <c r="B443" s="50" t="n">
        <f aca="false">Narxlar!B423/Narxlar!B$2</f>
        <v>1.57507</v>
      </c>
      <c r="C443" s="50" t="n">
        <f aca="false">Narxlar!C423/Narxlar!C$2</f>
        <v>2.71184</v>
      </c>
      <c r="D443" s="50" t="n">
        <f aca="false">Narxlar!D423/Narxlar!D$2</f>
        <v>2.2008152173913</v>
      </c>
      <c r="E443" s="50" t="n">
        <f aca="false">Narxlar!E423/Narxlar!E$2</f>
        <v>1.42424657534247</v>
      </c>
      <c r="F443" s="50" t="n">
        <f aca="false">Narxlar!F423/Narxlar!F$2</f>
        <v>1.915546875</v>
      </c>
      <c r="G443" s="50" t="n">
        <f aca="false">G442*(1+VaR!B425)</f>
        <v>2.08908213049208</v>
      </c>
      <c r="H443" s="31" t="n">
        <f aca="false">B443/MAX(B$22:B443)-1</f>
        <v>0</v>
      </c>
      <c r="I443" s="31" t="n">
        <f aca="false">C443/MAX(C$22:C443)-1</f>
        <v>0</v>
      </c>
      <c r="J443" s="31" t="n">
        <f aca="false">D443/MAX(D$22:D443)-1</f>
        <v>0</v>
      </c>
      <c r="K443" s="31" t="n">
        <f aca="false">E443/MAX(E$22:E443)-1</f>
        <v>-0.0600307386312269</v>
      </c>
      <c r="L443" s="31" t="n">
        <f aca="false">F443/MAX(F$22:F443)-1</f>
        <v>0</v>
      </c>
      <c r="M443" s="31" t="n">
        <f aca="false">G443/MAX(G$22:G443)-1</f>
        <v>0</v>
      </c>
    </row>
    <row r="444" customFormat="false" ht="15" hidden="false" customHeight="false" outlineLevel="0" collapsed="false">
      <c r="A444" s="19" t="n">
        <f aca="false">Narxlar!A424</f>
        <v>45883</v>
      </c>
      <c r="B444" s="50" t="n">
        <f aca="false">Narxlar!B424/Narxlar!B$2</f>
        <v>1.58647</v>
      </c>
      <c r="C444" s="50" t="n">
        <f aca="false">Narxlar!C424/Narxlar!C$2</f>
        <v>2.72704</v>
      </c>
      <c r="D444" s="50" t="n">
        <f aca="false">Narxlar!D424/Narxlar!D$2</f>
        <v>2.17619565217391</v>
      </c>
      <c r="E444" s="50" t="n">
        <f aca="false">Narxlar!E424/Narxlar!E$2</f>
        <v>1.4272602739726</v>
      </c>
      <c r="F444" s="50" t="n">
        <f aca="false">Narxlar!F424/Narxlar!F$2</f>
        <v>1.9062109375</v>
      </c>
      <c r="G444" s="50" t="n">
        <f aca="false">G443*(1+VaR!B426)</f>
        <v>2.08582131990335</v>
      </c>
      <c r="H444" s="31" t="n">
        <f aca="false">B444/MAX(B$22:B444)-1</f>
        <v>0</v>
      </c>
      <c r="I444" s="31" t="n">
        <f aca="false">C444/MAX(C$22:C444)-1</f>
        <v>0</v>
      </c>
      <c r="J444" s="31" t="n">
        <f aca="false">D444/MAX(D$22:D444)-1</f>
        <v>-0.0111865662427461</v>
      </c>
      <c r="K444" s="31" t="n">
        <f aca="false">E444/MAX(E$22:E444)-1</f>
        <v>-0.0580417683753729</v>
      </c>
      <c r="L444" s="31" t="n">
        <f aca="false">F444/MAX(F$22:F444)-1</f>
        <v>-0.00487377136098532</v>
      </c>
      <c r="M444" s="31" t="n">
        <f aca="false">G444/MAX(G$22:G444)-1</f>
        <v>-0.00156088194960813</v>
      </c>
    </row>
    <row r="445" customFormat="false" ht="15" hidden="false" customHeight="false" outlineLevel="0" collapsed="false">
      <c r="A445" s="19" t="n">
        <f aca="false">Narxlar!A425</f>
        <v>45884</v>
      </c>
      <c r="B445" s="50" t="n">
        <f aca="false">Narxlar!B425/Narxlar!B$2</f>
        <v>1.57254</v>
      </c>
      <c r="C445" s="50" t="n">
        <f aca="false">Narxlar!C425/Narxlar!C$2</f>
        <v>2.70064</v>
      </c>
      <c r="D445" s="50" t="n">
        <f aca="false">Narxlar!D425/Narxlar!D$2</f>
        <v>2.16940217391304</v>
      </c>
      <c r="E445" s="50" t="n">
        <f aca="false">Narxlar!E425/Narxlar!E$2</f>
        <v>1.40342465753425</v>
      </c>
      <c r="F445" s="50" t="n">
        <f aca="false">Narxlar!F425/Narxlar!F$2</f>
        <v>1.898515625</v>
      </c>
      <c r="G445" s="50" t="n">
        <f aca="false">G444*(1+VaR!B427)</f>
        <v>2.06774322127372</v>
      </c>
      <c r="H445" s="31" t="n">
        <f aca="false">B445/MAX(B$22:B445)-1</f>
        <v>-0.00878050010400444</v>
      </c>
      <c r="I445" s="31" t="n">
        <f aca="false">C445/MAX(C$22:C445)-1</f>
        <v>-0.00968082609716037</v>
      </c>
      <c r="J445" s="31" t="n">
        <f aca="false">D445/MAX(D$22:D445)-1</f>
        <v>-0.0142733670823559</v>
      </c>
      <c r="K445" s="31" t="n">
        <f aca="false">E445/MAX(E$22:E445)-1</f>
        <v>-0.0737727149443993</v>
      </c>
      <c r="L445" s="31" t="n">
        <f aca="false">F445/MAX(F$22:F445)-1</f>
        <v>-0.00889106407275997</v>
      </c>
      <c r="M445" s="31" t="n">
        <f aca="false">G445/MAX(G$22:G445)-1</f>
        <v>-0.0102144903289817</v>
      </c>
    </row>
    <row r="446" customFormat="false" ht="15" hidden="false" customHeight="false" outlineLevel="0" collapsed="false">
      <c r="A446" s="19" t="n">
        <f aca="false">Narxlar!A426</f>
        <v>45887</v>
      </c>
      <c r="B446" s="50" t="n">
        <f aca="false">Narxlar!B426/Narxlar!B$2</f>
        <v>1.57054</v>
      </c>
      <c r="C446" s="50" t="n">
        <f aca="false">Narxlar!C426/Narxlar!C$2</f>
        <v>2.7444</v>
      </c>
      <c r="D446" s="50" t="n">
        <f aca="false">Narxlar!D426/Narxlar!D$2</f>
        <v>2.15423913043478</v>
      </c>
      <c r="E446" s="50" t="n">
        <f aca="false">Narxlar!E426/Narxlar!E$2</f>
        <v>1.42835616438356</v>
      </c>
      <c r="F446" s="50" t="n">
        <f aca="false">Narxlar!F426/Narxlar!F$2</f>
        <v>1.8541796875</v>
      </c>
      <c r="G446" s="50" t="n">
        <f aca="false">G445*(1+VaR!B428)</f>
        <v>2.07370720333038</v>
      </c>
      <c r="H446" s="31" t="n">
        <f aca="false">B446/MAX(B$22:B446)-1</f>
        <v>-0.0100411605640195</v>
      </c>
      <c r="I446" s="31" t="n">
        <f aca="false">C446/MAX(C$22:C446)-1</f>
        <v>0</v>
      </c>
      <c r="J446" s="31" t="n">
        <f aca="false">D446/MAX(D$22:D446)-1</f>
        <v>-0.0211631065563651</v>
      </c>
      <c r="K446" s="31" t="n">
        <f aca="false">E446/MAX(E$22:E446)-1</f>
        <v>-0.0573185064641534</v>
      </c>
      <c r="L446" s="31" t="n">
        <f aca="false">F446/MAX(F$22:F446)-1</f>
        <v>-0.0320363799502427</v>
      </c>
      <c r="M446" s="31" t="n">
        <f aca="false">G446/MAX(G$22:G446)-1</f>
        <v>-0.00735965663450844</v>
      </c>
    </row>
    <row r="447" customFormat="false" ht="15" hidden="false" customHeight="false" outlineLevel="0" collapsed="false">
      <c r="A447" s="19" t="n">
        <f aca="false">Narxlar!A427</f>
        <v>45888</v>
      </c>
      <c r="B447" s="50" t="n">
        <f aca="false">Narxlar!B427/Narxlar!B$2</f>
        <v>1.55395</v>
      </c>
      <c r="C447" s="50" t="n">
        <f aca="false">Narxlar!C427/Narxlar!C$2</f>
        <v>2.7076</v>
      </c>
      <c r="D447" s="50" t="n">
        <f aca="false">Narxlar!D427/Narxlar!D$2</f>
        <v>2.11369565217391</v>
      </c>
      <c r="E447" s="50" t="n">
        <f aca="false">Narxlar!E427/Narxlar!E$2</f>
        <v>1.4027397260274</v>
      </c>
      <c r="F447" s="50" t="n">
        <f aca="false">Narxlar!F427/Narxlar!F$2</f>
        <v>1.832265625</v>
      </c>
      <c r="G447" s="50" t="n">
        <f aca="false">G446*(1+VaR!B429)</f>
        <v>2.04140896903456</v>
      </c>
      <c r="H447" s="31" t="n">
        <f aca="false">B447/MAX(B$22:B447)-1</f>
        <v>-0.020498339079844</v>
      </c>
      <c r="I447" s="31" t="n">
        <f aca="false">C447/MAX(C$22:C447)-1</f>
        <v>-0.0134091240343974</v>
      </c>
      <c r="J447" s="31" t="n">
        <f aca="false">D447/MAX(D$22:D447)-1</f>
        <v>-0.0395851339671566</v>
      </c>
      <c r="K447" s="31" t="n">
        <f aca="false">E447/MAX(E$22:E447)-1</f>
        <v>-0.0742247536389116</v>
      </c>
      <c r="L447" s="31" t="n">
        <f aca="false">F447/MAX(F$22:F447)-1</f>
        <v>-0.0434764876218443</v>
      </c>
      <c r="M447" s="31" t="n">
        <f aca="false">G447/MAX(G$22:G447)-1</f>
        <v>-0.0228201470692289</v>
      </c>
    </row>
    <row r="448" customFormat="false" ht="15" hidden="false" customHeight="false" outlineLevel="0" collapsed="false">
      <c r="A448" s="19" t="n">
        <f aca="false">Narxlar!A428</f>
        <v>45889</v>
      </c>
      <c r="B448" s="50" t="n">
        <f aca="false">Narxlar!B428/Narxlar!B$2</f>
        <v>1.55067</v>
      </c>
      <c r="C448" s="50" t="n">
        <f aca="false">Narxlar!C428/Narxlar!C$2</f>
        <v>2.6932</v>
      </c>
      <c r="D448" s="50" t="n">
        <f aca="false">Narxlar!D428/Narxlar!D$2</f>
        <v>2.08940217391304</v>
      </c>
      <c r="E448" s="50" t="n">
        <f aca="false">Narxlar!E428/Narxlar!E$2</f>
        <v>1.39493150684932</v>
      </c>
      <c r="F448" s="50" t="n">
        <f aca="false">Narxlar!F428/Narxlar!F$2</f>
        <v>1.80828125</v>
      </c>
      <c r="G448" s="50" t="n">
        <f aca="false">G447*(1+VaR!B430)</f>
        <v>2.02410097694862</v>
      </c>
      <c r="H448" s="31" t="n">
        <f aca="false">B448/MAX(B$22:B448)-1</f>
        <v>-0.0225658222342686</v>
      </c>
      <c r="I448" s="31" t="n">
        <f aca="false">C448/MAX(C$22:C448)-1</f>
        <v>-0.0186561725695963</v>
      </c>
      <c r="J448" s="31" t="n">
        <f aca="false">D448/MAX(D$22:D448)-1</f>
        <v>-0.0506235337696014</v>
      </c>
      <c r="K448" s="31" t="n">
        <f aca="false">E448/MAX(E$22:E448)-1</f>
        <v>-0.0793779947563512</v>
      </c>
      <c r="L448" s="31" t="n">
        <f aca="false">F448/MAX(F$22:F448)-1</f>
        <v>-0.0559973897793548</v>
      </c>
      <c r="M448" s="31" t="n">
        <f aca="false">G448/MAX(G$22:G448)-1</f>
        <v>-0.0311051215244269</v>
      </c>
    </row>
    <row r="449" customFormat="false" ht="15" hidden="false" customHeight="false" outlineLevel="0" collapsed="false">
      <c r="A449" s="19" t="n">
        <f aca="false">Narxlar!A429</f>
        <v>45890</v>
      </c>
      <c r="B449" s="50" t="n">
        <f aca="false">Narxlar!B429/Narxlar!B$2</f>
        <v>1.54641</v>
      </c>
      <c r="C449" s="50" t="n">
        <f aca="false">Narxlar!C429/Narxlar!C$2</f>
        <v>2.68952</v>
      </c>
      <c r="D449" s="50" t="n">
        <f aca="false">Narxlar!D429/Narxlar!D$2</f>
        <v>2.07342391304348</v>
      </c>
      <c r="E449" s="50" t="n">
        <f aca="false">Narxlar!E429/Narxlar!E$2</f>
        <v>1.37986301369863</v>
      </c>
      <c r="F449" s="50" t="n">
        <f aca="false">Narxlar!F429/Narxlar!F$2</f>
        <v>1.821796875</v>
      </c>
      <c r="G449" s="50" t="n">
        <f aca="false">G448*(1+VaR!B431)</f>
        <v>2.01696103353734</v>
      </c>
      <c r="H449" s="31" t="n">
        <f aca="false">B449/MAX(B$22:B449)-1</f>
        <v>-0.0252510290141005</v>
      </c>
      <c r="I449" s="31" t="n">
        <f aca="false">C449/MAX(C$22:C449)-1</f>
        <v>-0.0199970849730361</v>
      </c>
      <c r="J449" s="31" t="n">
        <f aca="false">D449/MAX(D$22:D449)-1</f>
        <v>-0.0578836893443636</v>
      </c>
      <c r="K449" s="31" t="n">
        <f aca="false">E449/MAX(E$22:E449)-1</f>
        <v>-0.0893228460356207</v>
      </c>
      <c r="L449" s="31" t="n">
        <f aca="false">F449/MAX(F$22:F449)-1</f>
        <v>-0.0489416370977609</v>
      </c>
      <c r="M449" s="31" t="n">
        <f aca="false">G449/MAX(G$22:G449)-1</f>
        <v>-0.034522863367635</v>
      </c>
    </row>
    <row r="450" customFormat="false" ht="15" hidden="false" customHeight="false" outlineLevel="0" collapsed="false">
      <c r="A450" s="19" t="n">
        <f aca="false">Narxlar!A430</f>
        <v>45891</v>
      </c>
      <c r="B450" s="50" t="n">
        <f aca="false">Narxlar!B430/Narxlar!B$2</f>
        <v>1.5584</v>
      </c>
      <c r="C450" s="50" t="n">
        <f aca="false">Narxlar!C430/Narxlar!C$2</f>
        <v>2.69952</v>
      </c>
      <c r="D450" s="50" t="n">
        <f aca="false">Narxlar!D430/Narxlar!D$2</f>
        <v>2.08570652173913</v>
      </c>
      <c r="E450" s="50" t="n">
        <f aca="false">Narxlar!E430/Narxlar!E$2</f>
        <v>1.38287671232877</v>
      </c>
      <c r="F450" s="50" t="n">
        <f aca="false">Narxlar!F430/Narxlar!F$2</f>
        <v>1.86046875</v>
      </c>
      <c r="G450" s="50" t="n">
        <f aca="false">G449*(1+VaR!B432)</f>
        <v>2.03186209374994</v>
      </c>
      <c r="H450" s="31" t="n">
        <f aca="false">B450/MAX(B$22:B450)-1</f>
        <v>-0.0176933695563106</v>
      </c>
      <c r="I450" s="31" t="n">
        <f aca="false">C450/MAX(C$22:C450)-1</f>
        <v>-0.0163533012680367</v>
      </c>
      <c r="J450" s="31" t="n">
        <f aca="false">D450/MAX(D$22:D450)-1</f>
        <v>-0.0523027534263489</v>
      </c>
      <c r="K450" s="31" t="n">
        <f aca="false">E450/MAX(E$22:E450)-1</f>
        <v>-0.0873338757797668</v>
      </c>
      <c r="L450" s="31" t="n">
        <f aca="false">F450/MAX(F$22:F450)-1</f>
        <v>-0.0287532117949346</v>
      </c>
      <c r="M450" s="31" t="n">
        <f aca="false">G450/MAX(G$22:G450)-1</f>
        <v>-0.0273900369482677</v>
      </c>
    </row>
    <row r="451" customFormat="false" ht="15" hidden="false" customHeight="false" outlineLevel="0" collapsed="false">
      <c r="A451" s="19" t="n">
        <f aca="false">Narxlar!A431</f>
        <v>45894</v>
      </c>
      <c r="B451" s="50" t="n">
        <f aca="false">Narxlar!B431/Narxlar!B$2</f>
        <v>1.53266</v>
      </c>
      <c r="C451" s="50" t="n">
        <f aca="false">Narxlar!C431/Narxlar!C$2</f>
        <v>2.6184</v>
      </c>
      <c r="D451" s="50" t="n">
        <f aca="false">Narxlar!D431/Narxlar!D$2</f>
        <v>2.06478260869565</v>
      </c>
      <c r="E451" s="50" t="n">
        <f aca="false">Narxlar!E431/Narxlar!E$2</f>
        <v>1.36767123287671</v>
      </c>
      <c r="F451" s="50" t="n">
        <f aca="false">Narxlar!F431/Narxlar!F$2</f>
        <v>1.8279296875</v>
      </c>
      <c r="G451" s="50" t="n">
        <f aca="false">G450*(1+VaR!B433)</f>
        <v>1.99575635831463</v>
      </c>
      <c r="H451" s="31" t="n">
        <f aca="false">B451/MAX(B$22:B451)-1</f>
        <v>-0.0339180696767035</v>
      </c>
      <c r="I451" s="31" t="n">
        <f aca="false">C451/MAX(C$22:C451)-1</f>
        <v>-0.045911674682991</v>
      </c>
      <c r="J451" s="31" t="n">
        <f aca="false">D451/MAX(D$22:D451)-1</f>
        <v>-0.0618101000123472</v>
      </c>
      <c r="K451" s="31" t="n">
        <f aca="false">E451/MAX(E$22:E451)-1</f>
        <v>-0.0973691347979386</v>
      </c>
      <c r="L451" s="31" t="n">
        <f aca="false">F451/MAX(F$22:F451)-1</f>
        <v>-0.0457400383376158</v>
      </c>
      <c r="M451" s="31" t="n">
        <f aca="false">G451/MAX(G$22:G451)-1</f>
        <v>-0.044673098685437</v>
      </c>
    </row>
    <row r="452" customFormat="false" ht="15" hidden="false" customHeight="false" outlineLevel="0" collapsed="false">
      <c r="A452" s="19" t="n">
        <f aca="false">Narxlar!A432</f>
        <v>45895</v>
      </c>
      <c r="B452" s="50" t="n">
        <f aca="false">Narxlar!B432/Narxlar!B$2</f>
        <v>1.51484</v>
      </c>
      <c r="C452" s="50" t="n">
        <f aca="false">Narxlar!C432/Narxlar!C$2</f>
        <v>2.56176</v>
      </c>
      <c r="D452" s="50" t="n">
        <f aca="false">Narxlar!D432/Narxlar!D$2</f>
        <v>2.03434782608696</v>
      </c>
      <c r="E452" s="50" t="n">
        <f aca="false">Narxlar!E432/Narxlar!E$2</f>
        <v>1.38123287671233</v>
      </c>
      <c r="F452" s="50" t="n">
        <f aca="false">Narxlar!F432/Narxlar!F$2</f>
        <v>1.8437890625</v>
      </c>
      <c r="G452" s="50" t="n">
        <f aca="false">G451*(1+VaR!B434)</f>
        <v>1.98386114937282</v>
      </c>
      <c r="H452" s="31" t="n">
        <f aca="false">B452/MAX(B$22:B452)-1</f>
        <v>-0.0451505543754374</v>
      </c>
      <c r="I452" s="31" t="n">
        <f aca="false">C452/MAX(C$22:C452)-1</f>
        <v>-0.0665500655881067</v>
      </c>
      <c r="J452" s="31" t="n">
        <f aca="false">D452/MAX(D$22:D452)-1</f>
        <v>-0.0756389677737993</v>
      </c>
      <c r="K452" s="31" t="n">
        <f aca="false">E452/MAX(E$22:E452)-1</f>
        <v>-0.0884187686465962</v>
      </c>
      <c r="L452" s="31" t="n">
        <f aca="false">F452/MAX(F$22:F452)-1</f>
        <v>-0.0374607447285779</v>
      </c>
      <c r="M452" s="31" t="n">
        <f aca="false">G452/MAX(G$22:G452)-1</f>
        <v>-0.050367086857654</v>
      </c>
    </row>
    <row r="453" customFormat="false" ht="15" hidden="false" customHeight="false" outlineLevel="0" collapsed="false">
      <c r="A453" s="19" t="n">
        <f aca="false">Narxlar!A433</f>
        <v>45896</v>
      </c>
      <c r="B453" s="50" t="n">
        <f aca="false">Narxlar!B433/Narxlar!B$2</f>
        <v>1.53825</v>
      </c>
      <c r="C453" s="50" t="n">
        <f aca="false">Narxlar!C433/Narxlar!C$2</f>
        <v>2.6092</v>
      </c>
      <c r="D453" s="50" t="n">
        <f aca="false">Narxlar!D433/Narxlar!D$2</f>
        <v>2.05641304347826</v>
      </c>
      <c r="E453" s="50" t="n">
        <f aca="false">Narxlar!E433/Narxlar!E$2</f>
        <v>1.39205479452055</v>
      </c>
      <c r="F453" s="50" t="n">
        <f aca="false">Narxlar!F433/Narxlar!F$2</f>
        <v>1.88296875</v>
      </c>
      <c r="G453" s="50" t="n">
        <f aca="false">G452*(1+VaR!B435)</f>
        <v>2.01257910998324</v>
      </c>
      <c r="H453" s="31" t="n">
        <f aca="false">B453/MAX(B$22:B453)-1</f>
        <v>-0.0303945236909617</v>
      </c>
      <c r="I453" s="31" t="n">
        <f aca="false">C453/MAX(C$22:C453)-1</f>
        <v>-0.0492639556915903</v>
      </c>
      <c r="J453" s="31" t="n">
        <f aca="false">D453/MAX(D$22:D453)-1</f>
        <v>-0.0656130386467465</v>
      </c>
      <c r="K453" s="31" t="n">
        <f aca="false">E453/MAX(E$22:E453)-1</f>
        <v>-0.0812765572733026</v>
      </c>
      <c r="L453" s="31" t="n">
        <f aca="false">F453/MAX(F$22:F453)-1</f>
        <v>-0.0170072188914718</v>
      </c>
      <c r="M453" s="31" t="n">
        <f aca="false">G453/MAX(G$22:G453)-1</f>
        <v>-0.0366203986871609</v>
      </c>
    </row>
    <row r="454" customFormat="false" ht="15" hidden="false" customHeight="false" outlineLevel="0" collapsed="false">
      <c r="A454" s="19" t="n">
        <f aca="false">Narxlar!A434</f>
        <v>45897</v>
      </c>
      <c r="B454" s="50" t="n">
        <f aca="false">Narxlar!B434/Narxlar!B$2</f>
        <v>1.53025</v>
      </c>
      <c r="C454" s="50" t="n">
        <f aca="false">Narxlar!C434/Narxlar!C$2</f>
        <v>2.59704</v>
      </c>
      <c r="D454" s="50" t="n">
        <f aca="false">Narxlar!D434/Narxlar!D$2</f>
        <v>2.04152173913044</v>
      </c>
      <c r="E454" s="50" t="n">
        <f aca="false">Narxlar!E434/Narxlar!E$2</f>
        <v>1.38630136986301</v>
      </c>
      <c r="F454" s="50" t="n">
        <f aca="false">Narxlar!F434/Narxlar!F$2</f>
        <v>1.8937109375</v>
      </c>
      <c r="G454" s="50" t="n">
        <f aca="false">G453*(1+VaR!B436)</f>
        <v>2.00633859303624</v>
      </c>
      <c r="H454" s="31" t="n">
        <f aca="false">B454/MAX(B$22:B454)-1</f>
        <v>-0.0354371655310216</v>
      </c>
      <c r="I454" s="31" t="n">
        <f aca="false">C454/MAX(C$22:C454)-1</f>
        <v>-0.0536947966768694</v>
      </c>
      <c r="J454" s="31" t="n">
        <f aca="false">D454/MAX(D$22:D454)-1</f>
        <v>-0.0723793060871713</v>
      </c>
      <c r="K454" s="31" t="n">
        <f aca="false">E454/MAX(E$22:E454)-1</f>
        <v>-0.0850736823072055</v>
      </c>
      <c r="L454" s="31" t="n">
        <f aca="false">F454/MAX(F$22:F454)-1</f>
        <v>-0.0113993229740201</v>
      </c>
      <c r="M454" s="31" t="n">
        <f aca="false">G454/MAX(G$22:G454)-1</f>
        <v>-0.0396076038601493</v>
      </c>
    </row>
    <row r="455" customFormat="false" ht="15" hidden="false" customHeight="false" outlineLevel="0" collapsed="false">
      <c r="A455" s="19" t="n">
        <f aca="false">Narxlar!A435</f>
        <v>45898</v>
      </c>
      <c r="B455" s="50" t="n">
        <f aca="false">Narxlar!B435/Narxlar!B$2</f>
        <v>1.51624</v>
      </c>
      <c r="C455" s="50" t="n">
        <f aca="false">Narxlar!C435/Narxlar!C$2</f>
        <v>2.60968</v>
      </c>
      <c r="D455" s="50" t="n">
        <f aca="false">Narxlar!D435/Narxlar!D$2</f>
        <v>2.03152173913043</v>
      </c>
      <c r="E455" s="50" t="n">
        <f aca="false">Narxlar!E435/Narxlar!E$2</f>
        <v>1.36986301369863</v>
      </c>
      <c r="F455" s="50" t="n">
        <f aca="false">Narxlar!F435/Narxlar!F$2</f>
        <v>1.9132421875</v>
      </c>
      <c r="G455" s="50" t="n">
        <f aca="false">G454*(1+VaR!B437)</f>
        <v>2.00500210880825</v>
      </c>
      <c r="H455" s="31" t="n">
        <f aca="false">B455/MAX(B$22:B455)-1</f>
        <v>-0.0442680920534267</v>
      </c>
      <c r="I455" s="31" t="n">
        <f aca="false">C455/MAX(C$22:C455)-1</f>
        <v>-0.0490890540737502</v>
      </c>
      <c r="J455" s="31" t="n">
        <f aca="false">D455/MAX(D$22:D455)-1</f>
        <v>-0.076923076923077</v>
      </c>
      <c r="K455" s="31" t="n">
        <f aca="false">E455/MAX(E$22:E455)-1</f>
        <v>-0.0959226109754996</v>
      </c>
      <c r="L455" s="31" t="n">
        <f aca="false">F455/MAX(F$22:F455)-1</f>
        <v>-0.00120314857865322</v>
      </c>
      <c r="M455" s="31" t="n">
        <f aca="false">G455/MAX(G$22:G455)-1</f>
        <v>-0.0402473509569624</v>
      </c>
    </row>
    <row r="456" customFormat="false" ht="15" hidden="false" customHeight="false" outlineLevel="0" collapsed="false">
      <c r="A456" s="19" t="n">
        <f aca="false">Narxlar!A436</f>
        <v>45901</v>
      </c>
      <c r="B456" s="50" t="n">
        <f aca="false">Narxlar!B436/Narxlar!B$2</f>
        <v>1.52091</v>
      </c>
      <c r="C456" s="50" t="n">
        <f aca="false">Narxlar!C436/Narxlar!C$2</f>
        <v>2.59088</v>
      </c>
      <c r="D456" s="50" t="n">
        <f aca="false">Narxlar!D436/Narxlar!D$2</f>
        <v>2.04157608695652</v>
      </c>
      <c r="E456" s="50" t="n">
        <f aca="false">Narxlar!E436/Narxlar!E$2</f>
        <v>1.38109589041096</v>
      </c>
      <c r="F456" s="50" t="n">
        <f aca="false">Narxlar!F436/Narxlar!F$2</f>
        <v>1.9128125</v>
      </c>
      <c r="G456" s="50" t="n">
        <f aca="false">G455*(1+VaR!B438)</f>
        <v>2.00716989893785</v>
      </c>
      <c r="H456" s="31" t="n">
        <f aca="false">B456/MAX(B$22:B456)-1</f>
        <v>-0.0413244498792919</v>
      </c>
      <c r="I456" s="31" t="n">
        <f aca="false">C456/MAX(C$22:C456)-1</f>
        <v>-0.055939367439149</v>
      </c>
      <c r="J456" s="31" t="n">
        <f aca="false">D456/MAX(D$22:D456)-1</f>
        <v>-0.0723546116804545</v>
      </c>
      <c r="K456" s="31" t="n">
        <f aca="false">E456/MAX(E$22:E456)-1</f>
        <v>-0.0885091763854986</v>
      </c>
      <c r="L456" s="31" t="n">
        <f aca="false">F456/MAX(F$22:F456)-1</f>
        <v>-0.00142746441535135</v>
      </c>
      <c r="M456" s="31" t="n">
        <f aca="false">G456/MAX(G$22:G456)-1</f>
        <v>-0.0392096750810578</v>
      </c>
    </row>
    <row r="457" customFormat="false" ht="15" hidden="false" customHeight="false" outlineLevel="0" collapsed="false">
      <c r="A457" s="19" t="n">
        <f aca="false">Narxlar!A437</f>
        <v>45902</v>
      </c>
      <c r="B457" s="50" t="n">
        <f aca="false">Narxlar!B437/Narxlar!B$2</f>
        <v>1.53301</v>
      </c>
      <c r="C457" s="50" t="n">
        <f aca="false">Narxlar!C437/Narxlar!C$2</f>
        <v>2.61464</v>
      </c>
      <c r="D457" s="50" t="n">
        <f aca="false">Narxlar!D437/Narxlar!D$2</f>
        <v>2.06108695652174</v>
      </c>
      <c r="E457" s="50" t="n">
        <f aca="false">Narxlar!E437/Narxlar!E$2</f>
        <v>1.38712328767123</v>
      </c>
      <c r="F457" s="50" t="n">
        <f aca="false">Narxlar!F437/Narxlar!F$2</f>
        <v>1.9309375</v>
      </c>
      <c r="G457" s="50" t="n">
        <f aca="false">G456*(1+VaR!B439)</f>
        <v>2.0234812642598</v>
      </c>
      <c r="H457" s="31" t="n">
        <f aca="false">B457/MAX(B$22:B457)-1</f>
        <v>-0.0336974540962011</v>
      </c>
      <c r="I457" s="31" t="n">
        <f aca="false">C457/MAX(C$22:C457)-1</f>
        <v>-0.0472817373560706</v>
      </c>
      <c r="J457" s="31" t="n">
        <f aca="false">D457/MAX(D$22:D457)-1</f>
        <v>-0.063489319669095</v>
      </c>
      <c r="K457" s="31" t="n">
        <f aca="false">E457/MAX(E$22:E457)-1</f>
        <v>-0.0845312358737907</v>
      </c>
      <c r="L457" s="31" t="n">
        <f aca="false">F457/MAX(F$22:F457)-1</f>
        <v>0</v>
      </c>
      <c r="M457" s="31" t="n">
        <f aca="false">G457/MAX(G$22:G457)-1</f>
        <v>-0.0314017650502021</v>
      </c>
    </row>
    <row r="458" customFormat="false" ht="15" hidden="false" customHeight="false" outlineLevel="0" collapsed="false">
      <c r="A458" s="19" t="n">
        <f aca="false">Narxlar!A438</f>
        <v>45903</v>
      </c>
      <c r="B458" s="50" t="n">
        <f aca="false">Narxlar!B438/Narxlar!B$2</f>
        <v>1.54058</v>
      </c>
      <c r="C458" s="50" t="n">
        <f aca="false">Narxlar!C438/Narxlar!C$2</f>
        <v>2.65792</v>
      </c>
      <c r="D458" s="50" t="n">
        <f aca="false">Narxlar!D438/Narxlar!D$2</f>
        <v>2.06358695652174</v>
      </c>
      <c r="E458" s="50" t="n">
        <f aca="false">Narxlar!E438/Narxlar!E$2</f>
        <v>1.3941095890411</v>
      </c>
      <c r="F458" s="50" t="n">
        <f aca="false">Narxlar!F438/Narxlar!F$2</f>
        <v>1.9286328125</v>
      </c>
      <c r="G458" s="50" t="n">
        <f aca="false">G457*(1+VaR!B440)</f>
        <v>2.03620804193076</v>
      </c>
      <c r="H458" s="31" t="n">
        <f aca="false">B458/MAX(B$22:B458)-1</f>
        <v>-0.0289258542550443</v>
      </c>
      <c r="I458" s="31" t="n">
        <f aca="false">C458/MAX(C$22:C458)-1</f>
        <v>-0.0315114414808338</v>
      </c>
      <c r="J458" s="31" t="n">
        <f aca="false">D458/MAX(D$22:D458)-1</f>
        <v>-0.0623533769601187</v>
      </c>
      <c r="K458" s="31" t="n">
        <f aca="false">E458/MAX(E$22:E458)-1</f>
        <v>-0.0799204411897658</v>
      </c>
      <c r="L458" s="31" t="n">
        <f aca="false">F458/MAX(F$22:F458)-1</f>
        <v>-0.00119355882828931</v>
      </c>
      <c r="M458" s="31" t="n">
        <f aca="false">G458/MAX(G$22:G458)-1</f>
        <v>-0.0253097222888369</v>
      </c>
    </row>
    <row r="459" customFormat="false" ht="15" hidden="false" customHeight="false" outlineLevel="0" collapsed="false">
      <c r="A459" s="19" t="n">
        <f aca="false">Narxlar!A439</f>
        <v>45904</v>
      </c>
      <c r="B459" s="50" t="n">
        <f aca="false">Narxlar!B439/Narxlar!B$2</f>
        <v>1.54703</v>
      </c>
      <c r="C459" s="50" t="n">
        <f aca="false">Narxlar!C439/Narxlar!C$2</f>
        <v>2.65744</v>
      </c>
      <c r="D459" s="50" t="n">
        <f aca="false">Narxlar!D439/Narxlar!D$2</f>
        <v>2.0920652173913</v>
      </c>
      <c r="E459" s="50" t="n">
        <f aca="false">Narxlar!E439/Narxlar!E$2</f>
        <v>1.39602739726027</v>
      </c>
      <c r="F459" s="50" t="n">
        <f aca="false">Narxlar!F439/Narxlar!F$2</f>
        <v>1.94375</v>
      </c>
      <c r="G459" s="50" t="n">
        <f aca="false">G458*(1+VaR!B441)</f>
        <v>2.04701518690673</v>
      </c>
      <c r="H459" s="31" t="n">
        <f aca="false">B459/MAX(B$22:B459)-1</f>
        <v>-0.0248602242714959</v>
      </c>
      <c r="I459" s="31" t="n">
        <f aca="false">C459/MAX(C$22:C459)-1</f>
        <v>-0.0316863430986738</v>
      </c>
      <c r="J459" s="31" t="n">
        <f aca="false">D459/MAX(D$22:D459)-1</f>
        <v>-0.0494135078404742</v>
      </c>
      <c r="K459" s="31" t="n">
        <f aca="false">E459/MAX(E$22:E459)-1</f>
        <v>-0.0786547328451316</v>
      </c>
      <c r="L459" s="31" t="n">
        <f aca="false">F459/MAX(F$22:F459)-1</f>
        <v>0</v>
      </c>
      <c r="M459" s="31" t="n">
        <f aca="false">G459/MAX(G$22:G459)-1</f>
        <v>-0.0201365676204611</v>
      </c>
    </row>
    <row r="460" customFormat="false" ht="15" hidden="false" customHeight="false" outlineLevel="0" collapsed="false">
      <c r="A460" s="19" t="n">
        <f aca="false">Narxlar!A440</f>
        <v>45905</v>
      </c>
      <c r="B460" s="50" t="n">
        <f aca="false">Narxlar!B440/Narxlar!B$2</f>
        <v>1.53877</v>
      </c>
      <c r="C460" s="50" t="n">
        <f aca="false">Narxlar!C440/Narxlar!C$2</f>
        <v>2.61712</v>
      </c>
      <c r="D460" s="50" t="n">
        <f aca="false">Narxlar!D440/Narxlar!D$2</f>
        <v>2.03467391304348</v>
      </c>
      <c r="E460" s="50" t="n">
        <f aca="false">Narxlar!E440/Narxlar!E$2</f>
        <v>1.40465753424658</v>
      </c>
      <c r="F460" s="50" t="n">
        <f aca="false">Narxlar!F440/Narxlar!F$2</f>
        <v>1.9608984375</v>
      </c>
      <c r="G460" s="50" t="n">
        <f aca="false">G459*(1+VaR!B442)</f>
        <v>2.03043434350317</v>
      </c>
      <c r="H460" s="31" t="n">
        <f aca="false">B460/MAX(B$22:B460)-1</f>
        <v>-0.0300667519713579</v>
      </c>
      <c r="I460" s="31" t="n">
        <f aca="false">C460/MAX(C$22:C460)-1</f>
        <v>-0.0463780789972308</v>
      </c>
      <c r="J460" s="31" t="n">
        <f aca="false">D460/MAX(D$22:D460)-1</f>
        <v>-0.075490801333498</v>
      </c>
      <c r="K460" s="31" t="n">
        <f aca="false">E460/MAX(E$22:E460)-1</f>
        <v>-0.0729590452942773</v>
      </c>
      <c r="L460" s="31" t="n">
        <f aca="false">F460/MAX(F$22:F460)-1</f>
        <v>0</v>
      </c>
      <c r="M460" s="31" t="n">
        <f aca="false">G460/MAX(G$22:G460)-1</f>
        <v>-0.0280734711828202</v>
      </c>
    </row>
    <row r="461" customFormat="false" ht="15" hidden="false" customHeight="false" outlineLevel="0" collapsed="false">
      <c r="A461" s="19" t="n">
        <f aca="false">Narxlar!A441</f>
        <v>45908</v>
      </c>
      <c r="B461" s="50" t="n">
        <f aca="false">Narxlar!B441/Narxlar!B$2</f>
        <v>1.54204</v>
      </c>
      <c r="C461" s="50" t="n">
        <f aca="false">Narxlar!C441/Narxlar!C$2</f>
        <v>2.63288</v>
      </c>
      <c r="D461" s="50" t="n">
        <f aca="false">Narxlar!D441/Narxlar!D$2</f>
        <v>2.03125</v>
      </c>
      <c r="E461" s="50" t="n">
        <f aca="false">Narxlar!E441/Narxlar!E$2</f>
        <v>1.39109589041096</v>
      </c>
      <c r="F461" s="50" t="n">
        <f aca="false">Narxlar!F441/Narxlar!F$2</f>
        <v>1.9544921875</v>
      </c>
      <c r="G461" s="50" t="n">
        <f aca="false">G460*(1+VaR!B443)</f>
        <v>2.02702073415531</v>
      </c>
      <c r="H461" s="31" t="n">
        <f aca="false">B461/MAX(B$22:B461)-1</f>
        <v>-0.0280055721192334</v>
      </c>
      <c r="I461" s="31" t="n">
        <f aca="false">C461/MAX(C$22:C461)-1</f>
        <v>-0.0406354758781519</v>
      </c>
      <c r="J461" s="31" t="n">
        <f aca="false">D461/MAX(D$22:D461)-1</f>
        <v>-0.0770465489566614</v>
      </c>
      <c r="K461" s="31" t="n">
        <f aca="false">E461/MAX(E$22:E461)-1</f>
        <v>-0.0819094114456198</v>
      </c>
      <c r="L461" s="31" t="n">
        <f aca="false">F461/MAX(F$22:F461)-1</f>
        <v>-0.00326699735054481</v>
      </c>
      <c r="M461" s="31" t="n">
        <f aca="false">G461/MAX(G$22:G461)-1</f>
        <v>-0.0297074947082904</v>
      </c>
    </row>
    <row r="462" customFormat="false" ht="15" hidden="false" customHeight="false" outlineLevel="0" collapsed="false">
      <c r="A462" s="19" t="n">
        <f aca="false">Narxlar!A442</f>
        <v>45909</v>
      </c>
      <c r="B462" s="50" t="n">
        <f aca="false">Narxlar!B442/Narxlar!B$2</f>
        <v>1.48034</v>
      </c>
      <c r="C462" s="50" t="n">
        <f aca="false">Narxlar!C442/Narxlar!C$2</f>
        <v>2.52448</v>
      </c>
      <c r="D462" s="50" t="n">
        <f aca="false">Narxlar!D442/Narxlar!D$2</f>
        <v>1.95885869565217</v>
      </c>
      <c r="E462" s="50" t="n">
        <f aca="false">Narxlar!E442/Narxlar!E$2</f>
        <v>1.35479452054795</v>
      </c>
      <c r="F462" s="50" t="n">
        <f aca="false">Narxlar!F442/Narxlar!F$2</f>
        <v>1.8537109375</v>
      </c>
      <c r="G462" s="50" t="n">
        <f aca="false">G461*(1+VaR!B444)</f>
        <v>1.94979559552107</v>
      </c>
      <c r="H462" s="31" t="n">
        <f aca="false">B462/MAX(B$22:B462)-1</f>
        <v>-0.0668969473106961</v>
      </c>
      <c r="I462" s="31" t="n">
        <f aca="false">C462/MAX(C$22:C462)-1</f>
        <v>-0.080134091240344</v>
      </c>
      <c r="J462" s="31" t="n">
        <f aca="false">D462/MAX(D$22:D462)-1</f>
        <v>-0.109939498703544</v>
      </c>
      <c r="K462" s="31" t="n">
        <f aca="false">E462/MAX(E$22:E462)-1</f>
        <v>-0.105867462254769</v>
      </c>
      <c r="L462" s="31" t="n">
        <f aca="false">F462/MAX(F$22:F462)-1</f>
        <v>-0.0546624434749696</v>
      </c>
      <c r="M462" s="31" t="n">
        <f aca="false">G462/MAX(G$22:G462)-1</f>
        <v>-0.0666735562656896</v>
      </c>
    </row>
    <row r="463" customFormat="false" ht="15" hidden="false" customHeight="false" outlineLevel="0" collapsed="false">
      <c r="A463" s="19" t="n">
        <f aca="false">Narxlar!A443</f>
        <v>45910</v>
      </c>
      <c r="B463" s="50" t="n">
        <f aca="false">Narxlar!B443/Narxlar!B$2</f>
        <v>1.501</v>
      </c>
      <c r="C463" s="50" t="n">
        <f aca="false">Narxlar!C443/Narxlar!C$2</f>
        <v>2.56384</v>
      </c>
      <c r="D463" s="50" t="n">
        <f aca="false">Narxlar!D443/Narxlar!D$2</f>
        <v>1.98114130434783</v>
      </c>
      <c r="E463" s="50" t="n">
        <f aca="false">Narxlar!E443/Narxlar!E$2</f>
        <v>1.37520547945205</v>
      </c>
      <c r="F463" s="50" t="n">
        <f aca="false">Narxlar!F443/Narxlar!F$2</f>
        <v>1.90484375</v>
      </c>
      <c r="G463" s="50" t="n">
        <f aca="false">G462*(1+VaR!B445)</f>
        <v>1.98256085853705</v>
      </c>
      <c r="H463" s="31" t="n">
        <f aca="false">B463/MAX(B$22:B463)-1</f>
        <v>-0.0538743247587412</v>
      </c>
      <c r="I463" s="31" t="n">
        <f aca="false">C463/MAX(C$22:C463)-1</f>
        <v>-0.0657921585774669</v>
      </c>
      <c r="J463" s="31" t="n">
        <f aca="false">D463/MAX(D$22:D463)-1</f>
        <v>-0.0998147919496235</v>
      </c>
      <c r="K463" s="31" t="n">
        <f aca="false">E463/MAX(E$22:E463)-1</f>
        <v>-0.092396709158304</v>
      </c>
      <c r="L463" s="31" t="n">
        <f aca="false">F463/MAX(F$22:F463)-1</f>
        <v>-0.0285862268172673</v>
      </c>
      <c r="M463" s="31" t="n">
        <f aca="false">G463/MAX(G$22:G463)-1</f>
        <v>-0.0509895089332578</v>
      </c>
    </row>
    <row r="464" customFormat="false" ht="15" hidden="false" customHeight="false" outlineLevel="0" collapsed="false">
      <c r="A464" s="19" t="n">
        <f aca="false">Narxlar!A444</f>
        <v>45911</v>
      </c>
      <c r="B464" s="50" t="n">
        <f aca="false">Narxlar!B444/Narxlar!B$2</f>
        <v>1.47914</v>
      </c>
      <c r="C464" s="50" t="n">
        <f aca="false">Narxlar!C444/Narxlar!C$2</f>
        <v>2.51944</v>
      </c>
      <c r="D464" s="50" t="n">
        <f aca="false">Narxlar!D444/Narxlar!D$2</f>
        <v>1.97396739130435</v>
      </c>
      <c r="E464" s="50" t="n">
        <f aca="false">Narxlar!E444/Narxlar!E$2</f>
        <v>1.36520547945205</v>
      </c>
      <c r="F464" s="50" t="n">
        <f aca="false">Narxlar!F444/Narxlar!F$2</f>
        <v>1.867890625</v>
      </c>
      <c r="G464" s="50" t="n">
        <f aca="false">G463*(1+VaR!B446)</f>
        <v>1.95916975530987</v>
      </c>
      <c r="H464" s="31" t="n">
        <f aca="false">B464/MAX(B$22:B464)-1</f>
        <v>-0.0676533435867051</v>
      </c>
      <c r="I464" s="31" t="n">
        <f aca="false">C464/MAX(C$22:C464)-1</f>
        <v>-0.0819705582276638</v>
      </c>
      <c r="J464" s="31" t="n">
        <f aca="false">D464/MAX(D$22:D464)-1</f>
        <v>-0.103074453636251</v>
      </c>
      <c r="K464" s="31" t="n">
        <f aca="false">E464/MAX(E$22:E464)-1</f>
        <v>-0.0989964740981829</v>
      </c>
      <c r="L464" s="31" t="n">
        <f aca="false">F464/MAX(F$22:F464)-1</f>
        <v>-0.0474312237295563</v>
      </c>
      <c r="M464" s="31" t="n">
        <f aca="false">G464/MAX(G$22:G464)-1</f>
        <v>-0.062186341688543</v>
      </c>
    </row>
    <row r="465" customFormat="false" ht="15" hidden="false" customHeight="false" outlineLevel="0" collapsed="false">
      <c r="A465" s="19" t="n">
        <f aca="false">Narxlar!A445</f>
        <v>45912</v>
      </c>
      <c r="B465" s="50" t="n">
        <f aca="false">Narxlar!B445/Narxlar!B$2</f>
        <v>1.50692</v>
      </c>
      <c r="C465" s="50" t="n">
        <f aca="false">Narxlar!C445/Narxlar!C$2</f>
        <v>2.52888</v>
      </c>
      <c r="D465" s="50" t="n">
        <f aca="false">Narxlar!D445/Narxlar!D$2</f>
        <v>2.01016304347826</v>
      </c>
      <c r="E465" s="50" t="n">
        <f aca="false">Narxlar!E445/Narxlar!E$2</f>
        <v>1.38424657534247</v>
      </c>
      <c r="F465" s="50" t="n">
        <f aca="false">Narxlar!F445/Narxlar!F$2</f>
        <v>1.898515625</v>
      </c>
      <c r="G465" s="50" t="n">
        <f aca="false">G464*(1+VaR!B447)</f>
        <v>1.98360871200421</v>
      </c>
      <c r="H465" s="31" t="n">
        <f aca="false">B465/MAX(B$22:B465)-1</f>
        <v>-0.0501427697970968</v>
      </c>
      <c r="I465" s="31" t="n">
        <f aca="false">C465/MAX(C$22:C465)-1</f>
        <v>-0.0785308264101443</v>
      </c>
      <c r="J465" s="31" t="n">
        <f aca="false">D465/MAX(D$22:D465)-1</f>
        <v>-0.0866279787628103</v>
      </c>
      <c r="K465" s="31" t="n">
        <f aca="false">E465/MAX(E$22:E465)-1</f>
        <v>-0.0864297983907423</v>
      </c>
      <c r="L465" s="31" t="n">
        <f aca="false">F465/MAX(F$22:F465)-1</f>
        <v>-0.031813382736708</v>
      </c>
      <c r="M465" s="31" t="n">
        <f aca="false">G465/MAX(G$22:G465)-1</f>
        <v>-0.0504879233556165</v>
      </c>
    </row>
    <row r="466" customFormat="false" ht="15" hidden="false" customHeight="false" outlineLevel="0" collapsed="false">
      <c r="A466" s="19" t="n">
        <f aca="false">Narxlar!A446</f>
        <v>45915</v>
      </c>
      <c r="B466" s="50" t="n">
        <f aca="false">Narxlar!B446/Narxlar!B$2</f>
        <v>1.52288</v>
      </c>
      <c r="C466" s="50" t="n">
        <f aca="false">Narxlar!C446/Narxlar!C$2</f>
        <v>2.54928</v>
      </c>
      <c r="D466" s="50" t="n">
        <f aca="false">Narxlar!D446/Narxlar!D$2</f>
        <v>2.02673913043478</v>
      </c>
      <c r="E466" s="50" t="n">
        <f aca="false">Narxlar!E446/Narxlar!E$2</f>
        <v>1.37383561643836</v>
      </c>
      <c r="F466" s="50" t="n">
        <f aca="false">Narxlar!F446/Narxlar!F$2</f>
        <v>1.9792578125</v>
      </c>
      <c r="G466" s="50" t="n">
        <f aca="false">G465*(1+VaR!B448)</f>
        <v>2.0056409401971</v>
      </c>
      <c r="H466" s="31" t="n">
        <f aca="false">B466/MAX(B$22:B466)-1</f>
        <v>-0.040082699326177</v>
      </c>
      <c r="I466" s="31" t="n">
        <f aca="false">C466/MAX(C$22:C466)-1</f>
        <v>-0.0710975076519459</v>
      </c>
      <c r="J466" s="31" t="n">
        <f aca="false">D466/MAX(D$22:D466)-1</f>
        <v>-0.0790961847141624</v>
      </c>
      <c r="K466" s="31" t="n">
        <f aca="false">E466/MAX(E$22:E466)-1</f>
        <v>-0.0933007865473285</v>
      </c>
      <c r="L466" s="31" t="n">
        <f aca="false">F466/MAX(F$22:F466)-1</f>
        <v>0</v>
      </c>
      <c r="M466" s="31" t="n">
        <f aca="false">G466/MAX(G$22:G466)-1</f>
        <v>-0.0399415557086457</v>
      </c>
    </row>
    <row r="467" customFormat="false" ht="15" hidden="false" customHeight="false" outlineLevel="0" collapsed="false">
      <c r="A467" s="19" t="n">
        <f aca="false">Narxlar!A447</f>
        <v>45916</v>
      </c>
      <c r="B467" s="50" t="n">
        <f aca="false">Narxlar!B447/Narxlar!B$2</f>
        <v>1.50904</v>
      </c>
      <c r="C467" s="50" t="n">
        <f aca="false">Narxlar!C447/Narxlar!C$2</f>
        <v>2.55936</v>
      </c>
      <c r="D467" s="50" t="n">
        <f aca="false">Narxlar!D447/Narxlar!D$2</f>
        <v>2.01798913043478</v>
      </c>
      <c r="E467" s="50" t="n">
        <f aca="false">Narxlar!E447/Narxlar!E$2</f>
        <v>1.36739726027397</v>
      </c>
      <c r="F467" s="50" t="n">
        <f aca="false">Narxlar!F447/Narxlar!F$2</f>
        <v>1.93765625</v>
      </c>
      <c r="G467" s="50" t="n">
        <f aca="false">G466*(1+VaR!B449)</f>
        <v>1.9950743035277</v>
      </c>
      <c r="H467" s="31" t="n">
        <f aca="false">B467/MAX(B$22:B467)-1</f>
        <v>-0.0488064697094809</v>
      </c>
      <c r="I467" s="31" t="n">
        <f aca="false">C467/MAX(C$22:C467)-1</f>
        <v>-0.0674245736773066</v>
      </c>
      <c r="J467" s="31" t="n">
        <f aca="false">D467/MAX(D$22:D467)-1</f>
        <v>-0.0830719841955798</v>
      </c>
      <c r="K467" s="31" t="n">
        <f aca="false">E467/MAX(E$22:E467)-1</f>
        <v>-0.0975499502757437</v>
      </c>
      <c r="L467" s="31" t="n">
        <f aca="false">F467/MAX(F$22:F467)-1</f>
        <v>-0.0210187688724861</v>
      </c>
      <c r="M467" s="31" t="n">
        <f aca="false">G467/MAX(G$22:G467)-1</f>
        <v>-0.0449995840719982</v>
      </c>
    </row>
    <row r="468" customFormat="false" ht="15" hidden="false" customHeight="false" outlineLevel="0" collapsed="false">
      <c r="A468" s="19" t="n">
        <f aca="false">Narxlar!A448</f>
        <v>45917</v>
      </c>
      <c r="B468" s="50" t="n">
        <f aca="false">Narxlar!B448/Narxlar!B$2</f>
        <v>1.52732</v>
      </c>
      <c r="C468" s="50" t="n">
        <f aca="false">Narxlar!C448/Narxlar!C$2</f>
        <v>2.5948</v>
      </c>
      <c r="D468" s="50" t="n">
        <f aca="false">Narxlar!D448/Narxlar!D$2</f>
        <v>2.05608695652174</v>
      </c>
      <c r="E468" s="50" t="n">
        <f aca="false">Narxlar!E448/Narxlar!E$2</f>
        <v>1.3786301369863</v>
      </c>
      <c r="F468" s="50" t="n">
        <f aca="false">Narxlar!F448/Narxlar!F$2</f>
        <v>1.9816015625</v>
      </c>
      <c r="G468" s="50" t="n">
        <f aca="false">G467*(1+VaR!B450)</f>
        <v>2.02592525601267</v>
      </c>
      <c r="H468" s="31" t="n">
        <f aca="false">B468/MAX(B$22:B468)-1</f>
        <v>-0.0372840331049437</v>
      </c>
      <c r="I468" s="31" t="n">
        <f aca="false">C468/MAX(C$22:C468)-1</f>
        <v>-0.0545110042267891</v>
      </c>
      <c r="J468" s="31" t="n">
        <f aca="false">D468/MAX(D$22:D468)-1</f>
        <v>-0.0657612050870478</v>
      </c>
      <c r="K468" s="31" t="n">
        <f aca="false">E468/MAX(E$22:E468)-1</f>
        <v>-0.0901365156857427</v>
      </c>
      <c r="L468" s="31" t="n">
        <f aca="false">F468/MAX(F$22:F468)-1</f>
        <v>0</v>
      </c>
      <c r="M468" s="31" t="n">
        <f aca="false">G468/MAX(G$22:G468)-1</f>
        <v>-0.0302318772237722</v>
      </c>
    </row>
    <row r="469" customFormat="false" ht="15" hidden="false" customHeight="false" outlineLevel="0" collapsed="false">
      <c r="A469" s="19" t="n">
        <f aca="false">Narxlar!A449</f>
        <v>45918</v>
      </c>
      <c r="B469" s="50" t="n">
        <f aca="false">Narxlar!B449/Narxlar!B$2</f>
        <v>1.52534</v>
      </c>
      <c r="C469" s="50" t="n">
        <f aca="false">Narxlar!C449/Narxlar!C$2</f>
        <v>2.58736</v>
      </c>
      <c r="D469" s="50" t="n">
        <f aca="false">Narxlar!D449/Narxlar!D$2</f>
        <v>2.04184782608696</v>
      </c>
      <c r="E469" s="50" t="n">
        <f aca="false">Narxlar!E449/Narxlar!E$2</f>
        <v>1.37342465753425</v>
      </c>
      <c r="F469" s="50" t="n">
        <f aca="false">Narxlar!F449/Narxlar!F$2</f>
        <v>1.958515625</v>
      </c>
      <c r="G469" s="50" t="n">
        <f aca="false">G468*(1+VaR!B451)</f>
        <v>2.01404217662375</v>
      </c>
      <c r="H469" s="31" t="n">
        <f aca="false">B469/MAX(B$22:B469)-1</f>
        <v>-0.0385320869603586</v>
      </c>
      <c r="I469" s="31" t="n">
        <f aca="false">C469/MAX(C$22:C469)-1</f>
        <v>-0.0572219793033086</v>
      </c>
      <c r="J469" s="31" t="n">
        <f aca="false">D469/MAX(D$22:D469)-1</f>
        <v>-0.0722311396468701</v>
      </c>
      <c r="K469" s="31" t="n">
        <f aca="false">E469/MAX(E$22:E469)-1</f>
        <v>-0.0935720097640358</v>
      </c>
      <c r="L469" s="31" t="n">
        <f aca="false">F469/MAX(F$22:F469)-1</f>
        <v>-0.0116501409450216</v>
      </c>
      <c r="M469" s="31" t="n">
        <f aca="false">G469/MAX(G$22:G469)-1</f>
        <v>-0.0359200592322598</v>
      </c>
    </row>
    <row r="470" customFormat="false" ht="15" hidden="false" customHeight="false" outlineLevel="0" collapsed="false">
      <c r="A470" s="19" t="n">
        <f aca="false">Narxlar!A450</f>
        <v>45919</v>
      </c>
      <c r="B470" s="50" t="n">
        <f aca="false">Narxlar!B450/Narxlar!B$2</f>
        <v>1.50431</v>
      </c>
      <c r="C470" s="50" t="n">
        <f aca="false">Narxlar!C450/Narxlar!C$2</f>
        <v>2.57008</v>
      </c>
      <c r="D470" s="50" t="n">
        <f aca="false">Narxlar!D450/Narxlar!D$2</f>
        <v>2.01722826086957</v>
      </c>
      <c r="E470" s="50" t="n">
        <f aca="false">Narxlar!E450/Narxlar!E$2</f>
        <v>1.36575342465753</v>
      </c>
      <c r="F470" s="50" t="n">
        <f aca="false">Narxlar!F450/Narxlar!F$2</f>
        <v>1.9136328125</v>
      </c>
      <c r="G470" s="50" t="n">
        <f aca="false">G469*(1+VaR!B452)</f>
        <v>1.99189238680722</v>
      </c>
      <c r="H470" s="31" t="n">
        <f aca="false">B470/MAX(B$22:B470)-1</f>
        <v>-0.0517879316974162</v>
      </c>
      <c r="I470" s="31" t="n">
        <f aca="false">C470/MAX(C$22:C470)-1</f>
        <v>-0.0635184375455474</v>
      </c>
      <c r="J470" s="31" t="n">
        <f aca="false">D470/MAX(D$22:D470)-1</f>
        <v>-0.0834177058896161</v>
      </c>
      <c r="K470" s="31" t="n">
        <f aca="false">E470/MAX(E$22:E470)-1</f>
        <v>-0.0986348431425731</v>
      </c>
      <c r="L470" s="31" t="n">
        <f aca="false">F470/MAX(F$22:F470)-1</f>
        <v>-0.034299907350825</v>
      </c>
      <c r="M470" s="31" t="n">
        <f aca="false">G470/MAX(G$22:G470)-1</f>
        <v>-0.0465227011740169</v>
      </c>
    </row>
    <row r="471" customFormat="false" ht="15" hidden="false" customHeight="false" outlineLevel="0" collapsed="false">
      <c r="A471" s="19" t="n">
        <f aca="false">Narxlar!A451</f>
        <v>45922</v>
      </c>
      <c r="B471" s="50" t="n">
        <f aca="false">Narxlar!B451/Narxlar!B$2</f>
        <v>1.50748</v>
      </c>
      <c r="C471" s="50" t="n">
        <f aca="false">Narxlar!C451/Narxlar!C$2</f>
        <v>2.57248</v>
      </c>
      <c r="D471" s="50" t="n">
        <f aca="false">Narxlar!D451/Narxlar!D$2</f>
        <v>2.04211956521739</v>
      </c>
      <c r="E471" s="50" t="n">
        <f aca="false">Narxlar!E451/Narxlar!E$2</f>
        <v>1.38</v>
      </c>
      <c r="F471" s="50" t="n">
        <f aca="false">Narxlar!F451/Narxlar!F$2</f>
        <v>1.8489453125</v>
      </c>
      <c r="G471" s="50" t="n">
        <f aca="false">G470*(1+VaR!B453)</f>
        <v>1.99032299240552</v>
      </c>
      <c r="H471" s="31" t="n">
        <f aca="false">B471/MAX(B$22:B471)-1</f>
        <v>-0.0497897848682926</v>
      </c>
      <c r="I471" s="31" t="n">
        <f aca="false">C471/MAX(C$22:C471)-1</f>
        <v>-0.0626439294563475</v>
      </c>
      <c r="J471" s="31" t="n">
        <f aca="false">D471/MAX(D$22:D471)-1</f>
        <v>-0.0721076676132857</v>
      </c>
      <c r="K471" s="31" t="n">
        <f aca="false">E471/MAX(E$22:E471)-1</f>
        <v>-0.0892324382967183</v>
      </c>
      <c r="L471" s="31" t="n">
        <f aca="false">F471/MAX(F$22:F471)-1</f>
        <v>-0.0669439571054032</v>
      </c>
      <c r="M471" s="31" t="n">
        <f aca="false">G471/MAX(G$22:G471)-1</f>
        <v>-0.0472739375082882</v>
      </c>
    </row>
    <row r="472" customFormat="false" ht="15" hidden="false" customHeight="false" outlineLevel="0" collapsed="false">
      <c r="A472" s="19" t="n">
        <f aca="false">Narxlar!A452</f>
        <v>45923</v>
      </c>
      <c r="B472" s="50" t="n">
        <f aca="false">Narxlar!B452/Narxlar!B$2</f>
        <v>1.50191</v>
      </c>
      <c r="C472" s="50" t="n">
        <f aca="false">Narxlar!C452/Narxlar!C$2</f>
        <v>2.5808</v>
      </c>
      <c r="D472" s="50" t="n">
        <f aca="false">Narxlar!D452/Narxlar!D$2</f>
        <v>1.98614130434783</v>
      </c>
      <c r="E472" s="50" t="n">
        <f aca="false">Narxlar!E452/Narxlar!E$2</f>
        <v>1.40958904109589</v>
      </c>
      <c r="F472" s="50" t="n">
        <f aca="false">Narxlar!F452/Narxlar!F$2</f>
        <v>1.84109375</v>
      </c>
      <c r="G472" s="50" t="n">
        <f aca="false">G471*(1+VaR!B454)</f>
        <v>1.98759294789064</v>
      </c>
      <c r="H472" s="31" t="n">
        <f aca="false">B472/MAX(B$22:B472)-1</f>
        <v>-0.0533007242494342</v>
      </c>
      <c r="I472" s="31" t="n">
        <f aca="false">C472/MAX(C$22:C472)-1</f>
        <v>-0.0596123014137882</v>
      </c>
      <c r="J472" s="31" t="n">
        <f aca="false">D472/MAX(D$22:D472)-1</f>
        <v>-0.0975429065316706</v>
      </c>
      <c r="K472" s="31" t="n">
        <f aca="false">E472/MAX(E$22:E472)-1</f>
        <v>-0.069704366693789</v>
      </c>
      <c r="L472" s="31" t="n">
        <f aca="false">F472/MAX(F$22:F472)-1</f>
        <v>-0.0709061877821365</v>
      </c>
      <c r="M472" s="31" t="n">
        <f aca="false">G472/MAX(G$22:G472)-1</f>
        <v>-0.0485807528196772</v>
      </c>
    </row>
    <row r="473" customFormat="false" ht="15" hidden="false" customHeight="false" outlineLevel="0" collapsed="false">
      <c r="A473" s="19" t="n">
        <f aca="false">Narxlar!A453</f>
        <v>45924</v>
      </c>
      <c r="B473" s="50" t="n">
        <f aca="false">Narxlar!B453/Narxlar!B$2</f>
        <v>1.50558</v>
      </c>
      <c r="C473" s="50" t="n">
        <f aca="false">Narxlar!C453/Narxlar!C$2</f>
        <v>2.55784</v>
      </c>
      <c r="D473" s="50" t="n">
        <f aca="false">Narxlar!D453/Narxlar!D$2</f>
        <v>1.9845652173913</v>
      </c>
      <c r="E473" s="50" t="n">
        <f aca="false">Narxlar!E453/Narxlar!E$2</f>
        <v>1.40671232876712</v>
      </c>
      <c r="F473" s="50" t="n">
        <f aca="false">Narxlar!F453/Narxlar!F$2</f>
        <v>1.86625</v>
      </c>
      <c r="G473" s="50" t="n">
        <f aca="false">G472*(1+VaR!B455)</f>
        <v>1.98631138984748</v>
      </c>
      <c r="H473" s="31" t="n">
        <f aca="false">B473/MAX(B$22:B473)-1</f>
        <v>-0.0509874123053068</v>
      </c>
      <c r="I473" s="31" t="n">
        <f aca="false">C473/MAX(C$22:C473)-1</f>
        <v>-0.0679784288004665</v>
      </c>
      <c r="J473" s="31" t="n">
        <f aca="false">D473/MAX(D$22:D473)-1</f>
        <v>-0.09825904432646</v>
      </c>
      <c r="K473" s="31" t="n">
        <f aca="false">E473/MAX(E$22:E473)-1</f>
        <v>-0.0716029292107405</v>
      </c>
      <c r="L473" s="31" t="n">
        <f aca="false">F473/MAX(F$22:F473)-1</f>
        <v>-0.058211279544245</v>
      </c>
      <c r="M473" s="31" t="n">
        <f aca="false">G473/MAX(G$22:G473)-1</f>
        <v>-0.0491942078985664</v>
      </c>
    </row>
    <row r="474" customFormat="false" ht="15" hidden="false" customHeight="false" outlineLevel="0" collapsed="false">
      <c r="A474" s="19" t="n">
        <f aca="false">Narxlar!A454</f>
        <v>45925</v>
      </c>
      <c r="B474" s="50" t="n">
        <f aca="false">Narxlar!B454/Narxlar!B$2</f>
        <v>1.51669</v>
      </c>
      <c r="C474" s="50" t="n">
        <f aca="false">Narxlar!C454/Narxlar!C$2</f>
        <v>2.55584</v>
      </c>
      <c r="D474" s="50" t="n">
        <f aca="false">Narxlar!D454/Narxlar!D$2</f>
        <v>2.0191847826087</v>
      </c>
      <c r="E474" s="50" t="n">
        <f aca="false">Narxlar!E454/Narxlar!E$2</f>
        <v>1.41630136986301</v>
      </c>
      <c r="F474" s="50" t="n">
        <f aca="false">Narxlar!F454/Narxlar!F$2</f>
        <v>1.87265625</v>
      </c>
      <c r="G474" s="50" t="n">
        <f aca="false">G473*(1+VaR!B456)</f>
        <v>1.99925662686593</v>
      </c>
      <c r="H474" s="31" t="n">
        <f aca="false">B474/MAX(B$22:B474)-1</f>
        <v>-0.0439844434499234</v>
      </c>
      <c r="I474" s="31" t="n">
        <f aca="false">C474/MAX(C$22:C474)-1</f>
        <v>-0.0687071855414664</v>
      </c>
      <c r="J474" s="31" t="n">
        <f aca="false">D474/MAX(D$22:D474)-1</f>
        <v>-0.0825287072478084</v>
      </c>
      <c r="K474" s="31" t="n">
        <f aca="false">E474/MAX(E$22:E474)-1</f>
        <v>-0.0652743874875689</v>
      </c>
      <c r="L474" s="31" t="n">
        <f aca="false">F474/MAX(F$22:F474)-1</f>
        <v>-0.0549784147134775</v>
      </c>
      <c r="M474" s="31" t="n">
        <f aca="false">G474/MAX(G$22:G474)-1</f>
        <v>-0.0429975932085513</v>
      </c>
    </row>
    <row r="475" customFormat="false" ht="15" hidden="false" customHeight="false" outlineLevel="0" collapsed="false">
      <c r="A475" s="19" t="n">
        <f aca="false">Narxlar!A455</f>
        <v>45926</v>
      </c>
      <c r="B475" s="50" t="n">
        <f aca="false">Narxlar!B455/Narxlar!B$2</f>
        <v>1.51485</v>
      </c>
      <c r="C475" s="50" t="n">
        <f aca="false">Narxlar!C455/Narxlar!C$2</f>
        <v>2.57688</v>
      </c>
      <c r="D475" s="50" t="n">
        <f aca="false">Narxlar!D455/Narxlar!D$2</f>
        <v>2.02586956521739</v>
      </c>
      <c r="E475" s="50" t="n">
        <f aca="false">Narxlar!E455/Narxlar!E$2</f>
        <v>1.41849315068493</v>
      </c>
      <c r="F475" s="50" t="n">
        <f aca="false">Narxlar!F455/Narxlar!F$2</f>
        <v>1.856328125</v>
      </c>
      <c r="G475" s="50" t="n">
        <f aca="false">G474*(1+VaR!B457)</f>
        <v>2.00313585427277</v>
      </c>
      <c r="H475" s="31" t="n">
        <f aca="false">B475/MAX(B$22:B475)-1</f>
        <v>-0.0451442510731374</v>
      </c>
      <c r="I475" s="31" t="n">
        <f aca="false">C475/MAX(C$22:C475)-1</f>
        <v>-0.0610406646261479</v>
      </c>
      <c r="J475" s="31" t="n">
        <f aca="false">D475/MAX(D$22:D475)-1</f>
        <v>-0.0794912952216323</v>
      </c>
      <c r="K475" s="31" t="n">
        <f aca="false">E475/MAX(E$22:E475)-1</f>
        <v>-0.0638278636651298</v>
      </c>
      <c r="L475" s="31" t="n">
        <f aca="false">F475/MAX(F$22:F475)-1</f>
        <v>-0.0632182775138481</v>
      </c>
      <c r="M475" s="31" t="n">
        <f aca="false">G475/MAX(G$22:G475)-1</f>
        <v>-0.0411406880394246</v>
      </c>
    </row>
    <row r="476" customFormat="false" ht="15" hidden="false" customHeight="false" outlineLevel="0" collapsed="false">
      <c r="A476" s="19" t="n">
        <f aca="false">Narxlar!A456</f>
        <v>45929</v>
      </c>
      <c r="B476" s="50" t="n">
        <f aca="false">Narxlar!B456/Narxlar!B$2</f>
        <v>1.50659</v>
      </c>
      <c r="C476" s="50" t="n">
        <f aca="false">Narxlar!C456/Narxlar!C$2</f>
        <v>2.5644</v>
      </c>
      <c r="D476" s="50" t="n">
        <f aca="false">Narxlar!D456/Narxlar!D$2</f>
        <v>2.00972826086957</v>
      </c>
      <c r="E476" s="50" t="n">
        <f aca="false">Narxlar!E456/Narxlar!E$2</f>
        <v>1.42342465753425</v>
      </c>
      <c r="F476" s="50" t="n">
        <f aca="false">Narxlar!F456/Narxlar!F$2</f>
        <v>1.8369921875</v>
      </c>
      <c r="G476" s="50" t="n">
        <f aca="false">G475*(1+VaR!B458)</f>
        <v>1.99380340779046</v>
      </c>
      <c r="H476" s="31" t="n">
        <f aca="false">B476/MAX(B$22:B476)-1</f>
        <v>-0.0503507787729993</v>
      </c>
      <c r="I476" s="31" t="n">
        <f aca="false">C476/MAX(C$22:C476)-1</f>
        <v>-0.0655881066899869</v>
      </c>
      <c r="J476" s="31" t="n">
        <f aca="false">D476/MAX(D$22:D476)-1</f>
        <v>-0.0868255340165454</v>
      </c>
      <c r="K476" s="31" t="n">
        <f aca="false">E476/MAX(E$22:E476)-1</f>
        <v>-0.0605731850646415</v>
      </c>
      <c r="L476" s="31" t="n">
        <f aca="false">F476/MAX(F$22:F476)-1</f>
        <v>-0.0729760097774449</v>
      </c>
      <c r="M476" s="31" t="n">
        <f aca="false">G476/MAX(G$22:G476)-1</f>
        <v>-0.0456079353276483</v>
      </c>
    </row>
    <row r="477" customFormat="false" ht="15" hidden="false" customHeight="false" outlineLevel="0" collapsed="false">
      <c r="A477" s="19" t="n">
        <f aca="false">Narxlar!A457</f>
        <v>45930</v>
      </c>
      <c r="B477" s="50" t="n">
        <f aca="false">Narxlar!B457/Narxlar!B$2</f>
        <v>1.50086</v>
      </c>
      <c r="C477" s="50" t="n">
        <f aca="false">Narxlar!C457/Narxlar!C$2</f>
        <v>2.5416</v>
      </c>
      <c r="D477" s="50" t="n">
        <f aca="false">Narxlar!D457/Narxlar!D$2</f>
        <v>1.98896739130435</v>
      </c>
      <c r="E477" s="50" t="n">
        <f aca="false">Narxlar!E457/Narxlar!E$2</f>
        <v>1.43246575342466</v>
      </c>
      <c r="F477" s="50" t="n">
        <f aca="false">Narxlar!F457/Narxlar!F$2</f>
        <v>1.8408984375</v>
      </c>
      <c r="G477" s="50" t="n">
        <f aca="false">G476*(1+VaR!B459)</f>
        <v>1.98735018945593</v>
      </c>
      <c r="H477" s="31" t="n">
        <f aca="false">B477/MAX(B$22:B477)-1</f>
        <v>-0.0539625709909423</v>
      </c>
      <c r="I477" s="31" t="n">
        <f aca="false">C477/MAX(C$22:C477)-1</f>
        <v>-0.0738959335373853</v>
      </c>
      <c r="J477" s="31" t="n">
        <f aca="false">D477/MAX(D$22:D477)-1</f>
        <v>-0.096258797382393</v>
      </c>
      <c r="K477" s="31" t="n">
        <f aca="false">E477/MAX(E$22:E477)-1</f>
        <v>-0.05460627429708</v>
      </c>
      <c r="L477" s="31" t="n">
        <f aca="false">F477/MAX(F$22:F477)-1</f>
        <v>-0.071004750734294</v>
      </c>
      <c r="M477" s="31" t="n">
        <f aca="false">G477/MAX(G$22:G477)-1</f>
        <v>-0.0486969562140636</v>
      </c>
    </row>
    <row r="478" customFormat="false" ht="15" hidden="false" customHeight="false" outlineLevel="0" collapsed="false">
      <c r="A478" s="19" t="n">
        <f aca="false">Narxlar!A458</f>
        <v>45931</v>
      </c>
      <c r="B478" s="50" t="n">
        <f aca="false">Narxlar!B458/Narxlar!B$2</f>
        <v>1.50494</v>
      </c>
      <c r="C478" s="50" t="n">
        <f aca="false">Narxlar!C458/Narxlar!C$2</f>
        <v>2.61552</v>
      </c>
      <c r="D478" s="50" t="n">
        <f aca="false">Narxlar!D458/Narxlar!D$2</f>
        <v>1.98934782608696</v>
      </c>
      <c r="E478" s="50" t="n">
        <f aca="false">Narxlar!E458/Narxlar!E$2</f>
        <v>1.42972602739726</v>
      </c>
      <c r="F478" s="50" t="n">
        <f aca="false">Narxlar!F458/Narxlar!F$2</f>
        <v>1.8612890625</v>
      </c>
      <c r="G478" s="50" t="n">
        <f aca="false">G477*(1+VaR!B460)</f>
        <v>2.00823758292583</v>
      </c>
      <c r="H478" s="31" t="n">
        <f aca="false">B478/MAX(B$22:B478)-1</f>
        <v>-0.0513908236525116</v>
      </c>
      <c r="I478" s="31" t="n">
        <f aca="false">C478/MAX(C$22:C478)-1</f>
        <v>-0.0469610843900307</v>
      </c>
      <c r="J478" s="31" t="n">
        <f aca="false">D478/MAX(D$22:D478)-1</f>
        <v>-0.0960859365353748</v>
      </c>
      <c r="K478" s="31" t="n">
        <f aca="false">E478/MAX(E$22:E478)-1</f>
        <v>-0.0564144290751288</v>
      </c>
      <c r="L478" s="31" t="n">
        <f aca="false">F478/MAX(F$22:F478)-1</f>
        <v>-0.0607147785290465</v>
      </c>
      <c r="M478" s="31" t="n">
        <f aca="false">G478/MAX(G$22:G478)-1</f>
        <v>-0.0386985970471215</v>
      </c>
    </row>
    <row r="479" customFormat="false" ht="15" hidden="false" customHeight="false" outlineLevel="0" collapsed="false">
      <c r="A479" s="19" t="n">
        <f aca="false">Narxlar!A459</f>
        <v>45932</v>
      </c>
      <c r="B479" s="50" t="n">
        <f aca="false">Narxlar!B459/Narxlar!B$2</f>
        <v>1.48546</v>
      </c>
      <c r="C479" s="50" t="n">
        <f aca="false">Narxlar!C459/Narxlar!C$2</f>
        <v>2.59352</v>
      </c>
      <c r="D479" s="50" t="n">
        <f aca="false">Narxlar!D459/Narxlar!D$2</f>
        <v>1.97391304347826</v>
      </c>
      <c r="E479" s="50" t="n">
        <f aca="false">Narxlar!E459/Narxlar!E$2</f>
        <v>1.41904109589041</v>
      </c>
      <c r="F479" s="50" t="n">
        <f aca="false">Narxlar!F459/Narxlar!F$2</f>
        <v>1.814375</v>
      </c>
      <c r="G479" s="50" t="n">
        <f aca="false">G478*(1+VaR!B461)</f>
        <v>1.98539898198607</v>
      </c>
      <c r="H479" s="31" t="n">
        <f aca="false">B479/MAX(B$22:B479)-1</f>
        <v>-0.0636696565330577</v>
      </c>
      <c r="I479" s="31" t="n">
        <f aca="false">C479/MAX(C$22:C479)-1</f>
        <v>-0.0549774085410292</v>
      </c>
      <c r="J479" s="31" t="n">
        <f aca="false">D479/MAX(D$22:D479)-1</f>
        <v>-0.103099148042968</v>
      </c>
      <c r="K479" s="31" t="n">
        <f aca="false">E479/MAX(E$22:E479)-1</f>
        <v>-0.06346623270952</v>
      </c>
      <c r="L479" s="31" t="n">
        <f aca="false">F479/MAX(F$22:F479)-1</f>
        <v>-0.0843895996372883</v>
      </c>
      <c r="M479" s="31" t="n">
        <f aca="false">G479/MAX(G$22:G479)-1</f>
        <v>-0.0496309584925653</v>
      </c>
    </row>
    <row r="480" customFormat="false" ht="15" hidden="false" customHeight="false" outlineLevel="0" collapsed="false">
      <c r="A480" s="19" t="n">
        <f aca="false">Narxlar!A460</f>
        <v>45933</v>
      </c>
      <c r="B480" s="50" t="n">
        <f aca="false">Narxlar!B460/Narxlar!B$2</f>
        <v>1.48566</v>
      </c>
      <c r="C480" s="50" t="n">
        <f aca="false">Narxlar!C460/Narxlar!C$2</f>
        <v>2.57024</v>
      </c>
      <c r="D480" s="50" t="n">
        <f aca="false">Narxlar!D460/Narxlar!D$2</f>
        <v>1.97760869565217</v>
      </c>
      <c r="E480" s="50" t="n">
        <f aca="false">Narxlar!E460/Narxlar!E$2</f>
        <v>1.41219178082192</v>
      </c>
      <c r="F480" s="50" t="n">
        <f aca="false">Narxlar!F460/Narxlar!F$2</f>
        <v>1.84953125</v>
      </c>
      <c r="G480" s="50" t="n">
        <f aca="false">G479*(1+VaR!B462)</f>
        <v>1.98628013701678</v>
      </c>
      <c r="H480" s="31" t="n">
        <f aca="false">B480/MAX(B$22:B480)-1</f>
        <v>-0.0635435904870562</v>
      </c>
      <c r="I480" s="31" t="n">
        <f aca="false">C480/MAX(C$22:C480)-1</f>
        <v>-0.0634601370062673</v>
      </c>
      <c r="J480" s="31" t="n">
        <f aca="false">D480/MAX(D$22:D480)-1</f>
        <v>-0.101419928386221</v>
      </c>
      <c r="K480" s="31" t="n">
        <f aca="false">E480/MAX(E$22:E480)-1</f>
        <v>-0.0679866196546425</v>
      </c>
      <c r="L480" s="31" t="n">
        <f aca="false">F480/MAX(F$22:F480)-1</f>
        <v>-0.0666482682489306</v>
      </c>
      <c r="M480" s="31" t="n">
        <f aca="false">G480/MAX(G$22:G480)-1</f>
        <v>-0.049209167976123</v>
      </c>
    </row>
    <row r="481" customFormat="false" ht="15" hidden="false" customHeight="false" outlineLevel="0" collapsed="false">
      <c r="A481" s="19" t="n">
        <f aca="false">Narxlar!A461</f>
        <v>45936</v>
      </c>
      <c r="B481" s="50" t="n">
        <f aca="false">Narxlar!B461/Narxlar!B$2</f>
        <v>1.49835</v>
      </c>
      <c r="C481" s="50" t="n">
        <f aca="false">Narxlar!C461/Narxlar!C$2</f>
        <v>2.58208</v>
      </c>
      <c r="D481" s="50" t="n">
        <f aca="false">Narxlar!D461/Narxlar!D$2</f>
        <v>1.98065217391304</v>
      </c>
      <c r="E481" s="50" t="n">
        <f aca="false">Narxlar!E461/Narxlar!E$2</f>
        <v>1.41849315068493</v>
      </c>
      <c r="F481" s="50" t="n">
        <f aca="false">Narxlar!F461/Narxlar!F$2</f>
        <v>1.827578125</v>
      </c>
      <c r="G481" s="50" t="n">
        <f aca="false">G480*(1+VaR!B463)</f>
        <v>1.98728982705884</v>
      </c>
      <c r="H481" s="31" t="n">
        <f aca="false">B481/MAX(B$22:B481)-1</f>
        <v>-0.0555446998682612</v>
      </c>
      <c r="I481" s="31" t="n">
        <f aca="false">C481/MAX(C$22:C481)-1</f>
        <v>-0.0591458970995482</v>
      </c>
      <c r="J481" s="31" t="n">
        <f aca="false">D481/MAX(D$22:D481)-1</f>
        <v>-0.100037041610075</v>
      </c>
      <c r="K481" s="31" t="n">
        <f aca="false">E481/MAX(E$22:E481)-1</f>
        <v>-0.0638278636651298</v>
      </c>
      <c r="L481" s="31" t="n">
        <f aca="false">F481/MAX(F$22:F481)-1</f>
        <v>-0.0777267440714384</v>
      </c>
      <c r="M481" s="31" t="n">
        <f aca="false">G481/MAX(G$22:G481)-1</f>
        <v>-0.0487258504333041</v>
      </c>
    </row>
    <row r="482" customFormat="false" ht="15" hidden="false" customHeight="false" outlineLevel="0" collapsed="false">
      <c r="A482" s="19" t="n">
        <f aca="false">Narxlar!A462</f>
        <v>45937</v>
      </c>
      <c r="B482" s="50" t="n">
        <f aca="false">Narxlar!B462/Narxlar!B$2</f>
        <v>1.47517</v>
      </c>
      <c r="C482" s="50" t="n">
        <f aca="false">Narxlar!C462/Narxlar!C$2</f>
        <v>2.51512</v>
      </c>
      <c r="D482" s="50" t="n">
        <f aca="false">Narxlar!D462/Narxlar!D$2</f>
        <v>1.93152173913043</v>
      </c>
      <c r="E482" s="50" t="n">
        <f aca="false">Narxlar!E462/Narxlar!E$2</f>
        <v>1.40260273972603</v>
      </c>
      <c r="F482" s="50" t="n">
        <f aca="false">Narxlar!F462/Narxlar!F$2</f>
        <v>1.828203125</v>
      </c>
      <c r="G482" s="50" t="n">
        <f aca="false">G481*(1+VaR!B464)</f>
        <v>1.95407575041932</v>
      </c>
      <c r="H482" s="31" t="n">
        <f aca="false">B482/MAX(B$22:B482)-1</f>
        <v>-0.0701557545998348</v>
      </c>
      <c r="I482" s="31" t="n">
        <f aca="false">C482/MAX(C$22:C482)-1</f>
        <v>-0.0835446727882233</v>
      </c>
      <c r="J482" s="31" t="n">
        <f aca="false">D482/MAX(D$22:D482)-1</f>
        <v>-0.122360785282134</v>
      </c>
      <c r="K482" s="31" t="n">
        <f aca="false">E482/MAX(E$22:E482)-1</f>
        <v>-0.0743151613778139</v>
      </c>
      <c r="L482" s="31" t="n">
        <f aca="false">F482/MAX(F$22:F482)-1</f>
        <v>-0.0774113426245344</v>
      </c>
      <c r="M482" s="31" t="n">
        <f aca="false">G482/MAX(G$22:G482)-1</f>
        <v>-0.0646247354769949</v>
      </c>
    </row>
    <row r="483" customFormat="false" ht="15" hidden="false" customHeight="false" outlineLevel="0" collapsed="false">
      <c r="A483" s="19" t="n">
        <f aca="false">Narxlar!A463</f>
        <v>45938</v>
      </c>
      <c r="B483" s="50" t="n">
        <f aca="false">Narxlar!B463/Narxlar!B$2</f>
        <v>1.46203</v>
      </c>
      <c r="C483" s="50" t="n">
        <f aca="false">Narxlar!C463/Narxlar!C$2</f>
        <v>2.49048</v>
      </c>
      <c r="D483" s="50" t="n">
        <f aca="false">Narxlar!D463/Narxlar!D$2</f>
        <v>1.92005434782609</v>
      </c>
      <c r="E483" s="50" t="n">
        <f aca="false">Narxlar!E463/Narxlar!E$2</f>
        <v>1.38219178082192</v>
      </c>
      <c r="F483" s="50" t="n">
        <f aca="false">Narxlar!F463/Narxlar!F$2</f>
        <v>1.7865625</v>
      </c>
      <c r="G483" s="50" t="n">
        <f aca="false">G482*(1+VaR!B465)</f>
        <v>1.92942180323622</v>
      </c>
      <c r="H483" s="31" t="n">
        <f aca="false">B483/MAX(B$22:B483)-1</f>
        <v>-0.0784382938221335</v>
      </c>
      <c r="I483" s="31" t="n">
        <f aca="false">C483/MAX(C$22:C483)-1</f>
        <v>-0.0925229558373416</v>
      </c>
      <c r="J483" s="31" t="n">
        <f aca="false">D483/MAX(D$22:D483)-1</f>
        <v>-0.127571305099395</v>
      </c>
      <c r="K483" s="31" t="n">
        <f aca="false">E483/MAX(E$22:E483)-1</f>
        <v>-0.0877859144742791</v>
      </c>
      <c r="L483" s="31" t="n">
        <f aca="false">F483/MAX(F$22:F483)-1</f>
        <v>-0.0984249640245225</v>
      </c>
      <c r="M483" s="31" t="n">
        <f aca="false">G483/MAX(G$22:G483)-1</f>
        <v>-0.0764260652683177</v>
      </c>
    </row>
    <row r="484" customFormat="false" ht="15" hidden="false" customHeight="false" outlineLevel="0" collapsed="false">
      <c r="A484" s="19" t="n">
        <f aca="false">Narxlar!A464</f>
        <v>45939</v>
      </c>
      <c r="B484" s="50" t="n">
        <f aca="false">Narxlar!B464/Narxlar!B$2</f>
        <v>1.47772</v>
      </c>
      <c r="C484" s="50" t="n">
        <f aca="false">Narxlar!C464/Narxlar!C$2</f>
        <v>2.5488</v>
      </c>
      <c r="D484" s="50" t="n">
        <f aca="false">Narxlar!D464/Narxlar!D$2</f>
        <v>1.92853260869565</v>
      </c>
      <c r="E484" s="50" t="n">
        <f aca="false">Narxlar!E464/Narxlar!E$2</f>
        <v>1.39520547945205</v>
      </c>
      <c r="F484" s="50" t="n">
        <f aca="false">Narxlar!F464/Narxlar!F$2</f>
        <v>1.8429296875</v>
      </c>
      <c r="G484" s="50" t="n">
        <f aca="false">G483*(1+VaR!B466)</f>
        <v>1.96182259148156</v>
      </c>
      <c r="H484" s="31" t="n">
        <f aca="false">B484/MAX(B$22:B484)-1</f>
        <v>-0.0685484125133158</v>
      </c>
      <c r="I484" s="31" t="n">
        <f aca="false">C484/MAX(C$22:C484)-1</f>
        <v>-0.0712724092697858</v>
      </c>
      <c r="J484" s="31" t="n">
        <f aca="false">D484/MAX(D$22:D484)-1</f>
        <v>-0.123718977651562</v>
      </c>
      <c r="K484" s="31" t="n">
        <f aca="false">E484/MAX(E$22:E484)-1</f>
        <v>-0.0791971792785463</v>
      </c>
      <c r="L484" s="31" t="n">
        <f aca="false">F484/MAX(F$22:F484)-1</f>
        <v>-0.0699796960318555</v>
      </c>
      <c r="M484" s="31" t="n">
        <f aca="false">G484/MAX(G$22:G484)-1</f>
        <v>-0.0609164843990824</v>
      </c>
    </row>
    <row r="485" customFormat="false" ht="15" hidden="false" customHeight="false" outlineLevel="0" collapsed="false">
      <c r="A485" s="19" t="n">
        <f aca="false">Narxlar!A465</f>
        <v>45940</v>
      </c>
      <c r="B485" s="50" t="n">
        <f aca="false">Narxlar!B465/Narxlar!B$2</f>
        <v>1.47407</v>
      </c>
      <c r="C485" s="50" t="n">
        <f aca="false">Narxlar!C465/Narxlar!C$2</f>
        <v>2.586</v>
      </c>
      <c r="D485" s="50" t="n">
        <f aca="false">Narxlar!D465/Narxlar!D$2</f>
        <v>1.92211956521739</v>
      </c>
      <c r="E485" s="50" t="n">
        <f aca="false">Narxlar!E465/Narxlar!E$2</f>
        <v>1.41013698630137</v>
      </c>
      <c r="F485" s="50" t="n">
        <f aca="false">Narxlar!F465/Narxlar!F$2</f>
        <v>1.8793359375</v>
      </c>
      <c r="G485" s="50" t="n">
        <f aca="false">G484*(1+VaR!B467)</f>
        <v>1.98178140439883</v>
      </c>
      <c r="H485" s="31" t="n">
        <f aca="false">B485/MAX(B$22:B485)-1</f>
        <v>-0.0708491178528431</v>
      </c>
      <c r="I485" s="31" t="n">
        <f aca="false">C485/MAX(C$22:C485)-1</f>
        <v>-0.0577175338871886</v>
      </c>
      <c r="J485" s="31" t="n">
        <f aca="false">D485/MAX(D$22:D485)-1</f>
        <v>-0.126632917644154</v>
      </c>
      <c r="K485" s="31" t="n">
        <f aca="false">E485/MAX(E$22:E485)-1</f>
        <v>-0.0693427357381792</v>
      </c>
      <c r="L485" s="31" t="n">
        <f aca="false">F485/MAX(F$22:F485)-1</f>
        <v>-0.0516075617496895</v>
      </c>
      <c r="M485" s="31" t="n">
        <f aca="false">G485/MAX(G$22:G485)-1</f>
        <v>-0.0513626173557777</v>
      </c>
    </row>
    <row r="486" customFormat="false" ht="15" hidden="false" customHeight="false" outlineLevel="0" collapsed="false">
      <c r="A486" s="19" t="n">
        <f aca="false">Narxlar!A466</f>
        <v>45943</v>
      </c>
      <c r="B486" s="50" t="n">
        <f aca="false">Narxlar!B466/Narxlar!B$2</f>
        <v>1.48949</v>
      </c>
      <c r="C486" s="50" t="n">
        <f aca="false">Narxlar!C466/Narxlar!C$2</f>
        <v>2.59128</v>
      </c>
      <c r="D486" s="50" t="n">
        <f aca="false">Narxlar!D466/Narxlar!D$2</f>
        <v>1.93663043478261</v>
      </c>
      <c r="E486" s="50" t="n">
        <f aca="false">Narxlar!E466/Narxlar!E$2</f>
        <v>1.42849315068493</v>
      </c>
      <c r="F486" s="50" t="n">
        <f aca="false">Narxlar!F466/Narxlar!F$2</f>
        <v>1.9119140625</v>
      </c>
      <c r="G486" s="50" t="n">
        <f aca="false">G485*(1+VaR!B468)</f>
        <v>2.00005578157646</v>
      </c>
      <c r="H486" s="31" t="n">
        <f aca="false">B486/MAX(B$22:B486)-1</f>
        <v>-0.0611294257061275</v>
      </c>
      <c r="I486" s="31" t="n">
        <f aca="false">C486/MAX(C$22:C486)-1</f>
        <v>-0.055793616090949</v>
      </c>
      <c r="J486" s="31" t="n">
        <f aca="false">D486/MAX(D$22:D486)-1</f>
        <v>-0.120039511050747</v>
      </c>
      <c r="K486" s="31" t="n">
        <f aca="false">E486/MAX(E$22:E486)-1</f>
        <v>-0.0572280987252509</v>
      </c>
      <c r="L486" s="31" t="n">
        <f aca="false">F486/MAX(F$22:F486)-1</f>
        <v>-0.0351672613298114</v>
      </c>
      <c r="M486" s="31" t="n">
        <f aca="false">G486/MAX(G$22:G486)-1</f>
        <v>-0.042615054533377</v>
      </c>
    </row>
    <row r="487" customFormat="false" ht="15" hidden="false" customHeight="false" outlineLevel="0" collapsed="false">
      <c r="A487" s="19" t="n">
        <f aca="false">Narxlar!A467</f>
        <v>45944</v>
      </c>
      <c r="B487" s="50" t="n">
        <f aca="false">Narxlar!B467/Narxlar!B$2</f>
        <v>1.5011</v>
      </c>
      <c r="C487" s="50" t="n">
        <f aca="false">Narxlar!C467/Narxlar!C$2</f>
        <v>2.60768</v>
      </c>
      <c r="D487" s="50" t="n">
        <f aca="false">Narxlar!D467/Narxlar!D$2</f>
        <v>1.96972826086957</v>
      </c>
      <c r="E487" s="50" t="n">
        <f aca="false">Narxlar!E467/Narxlar!E$2</f>
        <v>1.39767123287671</v>
      </c>
      <c r="F487" s="50" t="n">
        <f aca="false">Narxlar!F467/Narxlar!F$2</f>
        <v>1.944765625</v>
      </c>
      <c r="G487" s="50" t="n">
        <f aca="false">G486*(1+VaR!B469)</f>
        <v>2.00848333573536</v>
      </c>
      <c r="H487" s="31" t="n">
        <f aca="false">B487/MAX(B$22:B487)-1</f>
        <v>-0.0538112917357405</v>
      </c>
      <c r="I487" s="31" t="n">
        <f aca="false">C487/MAX(C$22:C487)-1</f>
        <v>-0.04981781081475</v>
      </c>
      <c r="J487" s="31" t="n">
        <f aca="false">D487/MAX(D$22:D487)-1</f>
        <v>-0.105000617360168</v>
      </c>
      <c r="K487" s="31" t="n">
        <f aca="false">E487/MAX(E$22:E487)-1</f>
        <v>-0.0775698399783023</v>
      </c>
      <c r="L487" s="31" t="n">
        <f aca="false">F487/MAX(F$22:F487)-1</f>
        <v>-0.0185889727769126</v>
      </c>
      <c r="M487" s="31" t="n">
        <f aca="false">G487/MAX(G$22:G487)-1</f>
        <v>-0.0385809603080287</v>
      </c>
    </row>
    <row r="488" customFormat="false" ht="15" hidden="false" customHeight="false" outlineLevel="0" collapsed="false">
      <c r="A488" s="19" t="n">
        <f aca="false">Narxlar!A468</f>
        <v>45945</v>
      </c>
      <c r="B488" s="50" t="n">
        <f aca="false">Narxlar!B468/Narxlar!B$2</f>
        <v>1.49026</v>
      </c>
      <c r="C488" s="50" t="n">
        <f aca="false">Narxlar!C468/Narxlar!C$2</f>
        <v>2.58</v>
      </c>
      <c r="D488" s="50" t="n">
        <f aca="false">Narxlar!D468/Narxlar!D$2</f>
        <v>1.93434782608696</v>
      </c>
      <c r="E488" s="50" t="n">
        <f aca="false">Narxlar!E468/Narxlar!E$2</f>
        <v>1.38178082191781</v>
      </c>
      <c r="F488" s="50" t="n">
        <f aca="false">Narxlar!F468/Narxlar!F$2</f>
        <v>1.8703515625</v>
      </c>
      <c r="G488" s="50" t="n">
        <f aca="false">G487*(1+VaR!B470)</f>
        <v>1.97198915900632</v>
      </c>
      <c r="H488" s="31" t="n">
        <f aca="false">B488/MAX(B$22:B488)-1</f>
        <v>-0.0606440714290217</v>
      </c>
      <c r="I488" s="31" t="n">
        <f aca="false">C488/MAX(C$22:C488)-1</f>
        <v>-0.059903804110188</v>
      </c>
      <c r="J488" s="31" t="n">
        <f aca="false">D488/MAX(D$22:D488)-1</f>
        <v>-0.121076676132856</v>
      </c>
      <c r="K488" s="31" t="n">
        <f aca="false">E488/MAX(E$22:E488)-1</f>
        <v>-0.0880571376909863</v>
      </c>
      <c r="L488" s="31" t="n">
        <f aca="false">F488/MAX(F$22:F488)-1</f>
        <v>-0.0561414575489365</v>
      </c>
      <c r="M488" s="31" t="n">
        <f aca="false">G488/MAX(G$22:G488)-1</f>
        <v>-0.0560499607826241</v>
      </c>
    </row>
    <row r="489" customFormat="false" ht="15" hidden="false" customHeight="false" outlineLevel="0" collapsed="false">
      <c r="A489" s="19" t="n">
        <f aca="false">Narxlar!A469</f>
        <v>45946</v>
      </c>
      <c r="B489" s="50" t="n">
        <f aca="false">Narxlar!B469/Narxlar!B$2</f>
        <v>1.49225</v>
      </c>
      <c r="C489" s="50" t="n">
        <f aca="false">Narxlar!C469/Narxlar!C$2</f>
        <v>2.60536</v>
      </c>
      <c r="D489" s="50" t="n">
        <f aca="false">Narxlar!D469/Narxlar!D$2</f>
        <v>1.95494565217391</v>
      </c>
      <c r="E489" s="50" t="n">
        <f aca="false">Narxlar!E469/Narxlar!E$2</f>
        <v>1.3627397260274</v>
      </c>
      <c r="F489" s="50" t="n">
        <f aca="false">Narxlar!F469/Narxlar!F$2</f>
        <v>1.8441796875</v>
      </c>
      <c r="G489" s="50" t="n">
        <f aca="false">G488*(1+VaR!B471)</f>
        <v>1.9707415192538</v>
      </c>
      <c r="H489" s="31" t="n">
        <f aca="false">B489/MAX(B$22:B489)-1</f>
        <v>-0.0593897142713067</v>
      </c>
      <c r="I489" s="31" t="n">
        <f aca="false">C489/MAX(C$22:C489)-1</f>
        <v>-0.0506631686343099</v>
      </c>
      <c r="J489" s="31" t="n">
        <f aca="false">D489/MAX(D$22:D489)-1</f>
        <v>-0.111717495987159</v>
      </c>
      <c r="K489" s="31" t="n">
        <f aca="false">E489/MAX(E$22:E489)-1</f>
        <v>-0.100623813398427</v>
      </c>
      <c r="L489" s="31" t="n">
        <f aca="false">F489/MAX(F$22:F489)-1</f>
        <v>-0.0693488931380473</v>
      </c>
      <c r="M489" s="31" t="n">
        <f aca="false">G489/MAX(G$22:G489)-1</f>
        <v>-0.0566471798839285</v>
      </c>
    </row>
    <row r="490" customFormat="false" ht="15" hidden="false" customHeight="false" outlineLevel="0" collapsed="false">
      <c r="A490" s="19" t="n">
        <f aca="false">Narxlar!A470</f>
        <v>45947</v>
      </c>
      <c r="B490" s="50" t="n">
        <f aca="false">Narxlar!B470/Narxlar!B$2</f>
        <v>1.49335</v>
      </c>
      <c r="C490" s="50" t="n">
        <f aca="false">Narxlar!C470/Narxlar!C$2</f>
        <v>2.5936</v>
      </c>
      <c r="D490" s="50" t="n">
        <f aca="false">Narxlar!D470/Narxlar!D$2</f>
        <v>1.93108695652174</v>
      </c>
      <c r="E490" s="50" t="n">
        <f aca="false">Narxlar!E470/Narxlar!E$2</f>
        <v>1.35767123287671</v>
      </c>
      <c r="F490" s="50" t="n">
        <f aca="false">Narxlar!F470/Narxlar!F$2</f>
        <v>1.8782421875</v>
      </c>
      <c r="G490" s="50" t="n">
        <f aca="false">G489*(1+VaR!B472)</f>
        <v>1.96750756948953</v>
      </c>
      <c r="H490" s="31" t="n">
        <f aca="false">B490/MAX(B$22:B490)-1</f>
        <v>-0.0586963510182985</v>
      </c>
      <c r="I490" s="31" t="n">
        <f aca="false">C490/MAX(C$22:C490)-1</f>
        <v>-0.0549482582713891</v>
      </c>
      <c r="J490" s="31" t="n">
        <f aca="false">D490/MAX(D$22:D490)-1</f>
        <v>-0.122558340535869</v>
      </c>
      <c r="K490" s="31" t="n">
        <f aca="false">E490/MAX(E$22:E490)-1</f>
        <v>-0.103968899737818</v>
      </c>
      <c r="L490" s="31" t="n">
        <f aca="false">F490/MAX(F$22:F490)-1</f>
        <v>-0.0521595142817718</v>
      </c>
      <c r="M490" s="31" t="n">
        <f aca="false">G490/MAX(G$22:G490)-1</f>
        <v>-0.0581952041176675</v>
      </c>
    </row>
    <row r="491" customFormat="false" ht="15" hidden="false" customHeight="false" outlineLevel="0" collapsed="false">
      <c r="A491" s="19" t="n">
        <f aca="false">Narxlar!A471</f>
        <v>45950</v>
      </c>
      <c r="B491" s="50" t="n">
        <f aca="false">Narxlar!B471/Narxlar!B$2</f>
        <v>1.49606</v>
      </c>
      <c r="C491" s="50" t="n">
        <f aca="false">Narxlar!C471/Narxlar!C$2</f>
        <v>2.56776</v>
      </c>
      <c r="D491" s="50" t="n">
        <f aca="false">Narxlar!D471/Narxlar!D$2</f>
        <v>1.96945652173913</v>
      </c>
      <c r="E491" s="50" t="n">
        <f aca="false">Narxlar!E471/Narxlar!E$2</f>
        <v>1.36164383561644</v>
      </c>
      <c r="F491" s="50" t="n">
        <f aca="false">Narxlar!F471/Narxlar!F$2</f>
        <v>1.8504296875</v>
      </c>
      <c r="G491" s="50" t="n">
        <f aca="false">G490*(1+VaR!B473)</f>
        <v>1.96701258867798</v>
      </c>
      <c r="H491" s="31" t="n">
        <f aca="false">B491/MAX(B$22:B491)-1</f>
        <v>-0.0569881560949782</v>
      </c>
      <c r="I491" s="31" t="n">
        <f aca="false">C491/MAX(C$22:C491)-1</f>
        <v>-0.0643637953651073</v>
      </c>
      <c r="J491" s="31" t="n">
        <f aca="false">D491/MAX(D$22:D491)-1</f>
        <v>-0.105124089393752</v>
      </c>
      <c r="K491" s="31" t="n">
        <f aca="false">E491/MAX(E$22:E491)-1</f>
        <v>-0.101347075309646</v>
      </c>
      <c r="L491" s="31" t="n">
        <f aca="false">F491/MAX(F$22:F491)-1</f>
        <v>-0.066194878669006</v>
      </c>
      <c r="M491" s="31" t="n">
        <f aca="false">G491/MAX(G$22:G491)-1</f>
        <v>-0.0584321410979443</v>
      </c>
    </row>
    <row r="492" customFormat="false" ht="15" hidden="false" customHeight="false" outlineLevel="0" collapsed="false">
      <c r="A492" s="19" t="n">
        <f aca="false">Narxlar!A472</f>
        <v>45951</v>
      </c>
      <c r="B492" s="50" t="n">
        <f aca="false">Narxlar!B472/Narxlar!B$2</f>
        <v>1.50183</v>
      </c>
      <c r="C492" s="50" t="n">
        <f aca="false">Narxlar!C472/Narxlar!C$2</f>
        <v>2.60288</v>
      </c>
      <c r="D492" s="50" t="n">
        <f aca="false">Narxlar!D472/Narxlar!D$2</f>
        <v>1.9708152173913</v>
      </c>
      <c r="E492" s="50" t="n">
        <f aca="false">Narxlar!E472/Narxlar!E$2</f>
        <v>1.37547945205479</v>
      </c>
      <c r="F492" s="50" t="n">
        <f aca="false">Narxlar!F472/Narxlar!F$2</f>
        <v>1.8202734375</v>
      </c>
      <c r="G492" s="50" t="n">
        <f aca="false">G491*(1+VaR!B474)</f>
        <v>1.97400831113975</v>
      </c>
      <c r="H492" s="31" t="n">
        <f aca="false">B492/MAX(B$22:B492)-1</f>
        <v>-0.0533511506678349</v>
      </c>
      <c r="I492" s="31" t="n">
        <f aca="false">C492/MAX(C$22:C492)-1</f>
        <v>-0.0515668269931499</v>
      </c>
      <c r="J492" s="31" t="n">
        <f aca="false">D492/MAX(D$22:D492)-1</f>
        <v>-0.10450672922583</v>
      </c>
      <c r="K492" s="31" t="n">
        <f aca="false">E492/MAX(E$22:E492)-1</f>
        <v>-0.092215893680499</v>
      </c>
      <c r="L492" s="31" t="n">
        <f aca="false">F492/MAX(F$22:F492)-1</f>
        <v>-0.0814129984821306</v>
      </c>
      <c r="M492" s="31" t="n">
        <f aca="false">G492/MAX(G$22:G492)-1</f>
        <v>-0.0550834348122216</v>
      </c>
    </row>
    <row r="493" customFormat="false" ht="15" hidden="false" customHeight="false" outlineLevel="0" collapsed="false">
      <c r="A493" s="19" t="n">
        <f aca="false">Narxlar!A473</f>
        <v>45952</v>
      </c>
      <c r="B493" s="50" t="n">
        <f aca="false">Narxlar!B473/Narxlar!B$2</f>
        <v>1.51791</v>
      </c>
      <c r="C493" s="50" t="n">
        <f aca="false">Narxlar!C473/Narxlar!C$2</f>
        <v>2.65144</v>
      </c>
      <c r="D493" s="50" t="n">
        <f aca="false">Narxlar!D473/Narxlar!D$2</f>
        <v>1.97402173913043</v>
      </c>
      <c r="E493" s="50" t="n">
        <f aca="false">Narxlar!E473/Narxlar!E$2</f>
        <v>1.38767123287671</v>
      </c>
      <c r="F493" s="50" t="n">
        <f aca="false">Narxlar!F473/Narxlar!F$2</f>
        <v>1.809375</v>
      </c>
      <c r="G493" s="50" t="n">
        <f aca="false">G492*(1+VaR!B475)</f>
        <v>1.98786997940171</v>
      </c>
      <c r="H493" s="31" t="n">
        <f aca="false">B493/MAX(B$22:B493)-1</f>
        <v>-0.0432154405693143</v>
      </c>
      <c r="I493" s="31" t="n">
        <f aca="false">C493/MAX(C$22:C493)-1</f>
        <v>-0.0338726133216732</v>
      </c>
      <c r="J493" s="31" t="n">
        <f aca="false">D493/MAX(D$22:D493)-1</f>
        <v>-0.103049759229535</v>
      </c>
      <c r="K493" s="31" t="n">
        <f aca="false">E493/MAX(E$22:E493)-1</f>
        <v>-0.0841696049181812</v>
      </c>
      <c r="L493" s="31" t="n">
        <f aca="false">F493/MAX(F$22:F493)-1</f>
        <v>-0.0869128112125215</v>
      </c>
      <c r="M493" s="31" t="n">
        <f aca="false">G493/MAX(G$22:G493)-1</f>
        <v>-0.0484481436191963</v>
      </c>
    </row>
    <row r="494" customFormat="false" ht="15" hidden="false" customHeight="false" outlineLevel="0" collapsed="false">
      <c r="A494" s="19" t="n">
        <f aca="false">Narxlar!A474</f>
        <v>45953</v>
      </c>
      <c r="B494" s="50" t="n">
        <f aca="false">Narxlar!B474/Narxlar!B$2</f>
        <v>1.51306</v>
      </c>
      <c r="C494" s="50" t="n">
        <f aca="false">Narxlar!C474/Narxlar!C$2</f>
        <v>2.63656</v>
      </c>
      <c r="D494" s="50" t="n">
        <f aca="false">Narxlar!D474/Narxlar!D$2</f>
        <v>1.94961956521739</v>
      </c>
      <c r="E494" s="50" t="n">
        <f aca="false">Narxlar!E474/Narxlar!E$2</f>
        <v>1.3713698630137</v>
      </c>
      <c r="F494" s="50" t="n">
        <f aca="false">Narxlar!F474/Narxlar!F$2</f>
        <v>1.78828125</v>
      </c>
      <c r="G494" s="50" t="n">
        <f aca="false">G493*(1+VaR!B476)</f>
        <v>1.9679068855884</v>
      </c>
      <c r="H494" s="31" t="n">
        <f aca="false">B494/MAX(B$22:B494)-1</f>
        <v>-0.0462725421848508</v>
      </c>
      <c r="I494" s="31" t="n">
        <f aca="false">C494/MAX(C$22:C494)-1</f>
        <v>-0.0392945634747123</v>
      </c>
      <c r="J494" s="31" t="n">
        <f aca="false">D494/MAX(D$22:D494)-1</f>
        <v>-0.114137547845413</v>
      </c>
      <c r="K494" s="31" t="n">
        <f aca="false">E494/MAX(E$22:E494)-1</f>
        <v>-0.0949281258475726</v>
      </c>
      <c r="L494" s="31" t="n">
        <f aca="false">F494/MAX(F$22:F494)-1</f>
        <v>-0.0975576100455361</v>
      </c>
      <c r="M494" s="31" t="n">
        <f aca="false">G494/MAX(G$22:G494)-1</f>
        <v>-0.0580040598380608</v>
      </c>
    </row>
    <row r="495" customFormat="false" ht="15" hidden="false" customHeight="false" outlineLevel="0" collapsed="false">
      <c r="A495" s="19" t="n">
        <f aca="false">Narxlar!A475</f>
        <v>45954</v>
      </c>
      <c r="B495" s="50" t="n">
        <f aca="false">Narxlar!B475/Narxlar!B$2</f>
        <v>1.52348</v>
      </c>
      <c r="C495" s="50" t="n">
        <f aca="false">Narxlar!C475/Narxlar!C$2</f>
        <v>2.65344</v>
      </c>
      <c r="D495" s="50" t="n">
        <f aca="false">Narxlar!D475/Narxlar!D$2</f>
        <v>2.00853260869565</v>
      </c>
      <c r="E495" s="50" t="n">
        <f aca="false">Narxlar!E475/Narxlar!E$2</f>
        <v>1.36904109589041</v>
      </c>
      <c r="F495" s="50" t="n">
        <f aca="false">Narxlar!F475/Narxlar!F$2</f>
        <v>1.7746484375</v>
      </c>
      <c r="G495" s="50" t="n">
        <f aca="false">G494*(1+VaR!B477)</f>
        <v>1.98271714887173</v>
      </c>
      <c r="H495" s="31" t="n">
        <f aca="false">B495/MAX(B$22:B495)-1</f>
        <v>-0.0397045011881726</v>
      </c>
      <c r="I495" s="31" t="n">
        <f aca="false">C495/MAX(C$22:C495)-1</f>
        <v>-0.0331438565806735</v>
      </c>
      <c r="J495" s="31" t="n">
        <f aca="false">D495/MAX(D$22:D495)-1</f>
        <v>-0.0873688109643166</v>
      </c>
      <c r="K495" s="31" t="n">
        <f aca="false">E495/MAX(E$22:E495)-1</f>
        <v>-0.0964650574089143</v>
      </c>
      <c r="L495" s="31" t="n">
        <f aca="false">F495/MAX(F$22:F495)-1</f>
        <v>-0.104437304106133</v>
      </c>
      <c r="M495" s="31" t="n">
        <f aca="false">G495/MAX(G$22:G495)-1</f>
        <v>-0.050914696013075</v>
      </c>
    </row>
    <row r="496" customFormat="false" ht="15" hidden="false" customHeight="false" outlineLevel="0" collapsed="false">
      <c r="A496" s="19" t="n">
        <f aca="false">Narxlar!A476</f>
        <v>45957</v>
      </c>
      <c r="B496" s="50" t="n">
        <f aca="false">Narxlar!B476/Narxlar!B$2</f>
        <v>1.52543</v>
      </c>
      <c r="C496" s="50" t="n">
        <f aca="false">Narxlar!C476/Narxlar!C$2</f>
        <v>2.64768</v>
      </c>
      <c r="D496" s="50" t="n">
        <f aca="false">Narxlar!D476/Narxlar!D$2</f>
        <v>2.02244565217391</v>
      </c>
      <c r="E496" s="50" t="n">
        <f aca="false">Narxlar!E476/Narxlar!E$2</f>
        <v>1.36246575342466</v>
      </c>
      <c r="F496" s="50" t="n">
        <f aca="false">Narxlar!F476/Narxlar!F$2</f>
        <v>1.7771875</v>
      </c>
      <c r="G496" s="50" t="n">
        <f aca="false">G495*(1+VaR!B478)</f>
        <v>1.98304616092829</v>
      </c>
      <c r="H496" s="31" t="n">
        <f aca="false">B496/MAX(B$22:B496)-1</f>
        <v>-0.0384753572396579</v>
      </c>
      <c r="I496" s="31" t="n">
        <f aca="false">C496/MAX(C$22:C496)-1</f>
        <v>-0.0352426759947531</v>
      </c>
      <c r="J496" s="31" t="n">
        <f aca="false">D496/MAX(D$22:D496)-1</f>
        <v>-0.0810470428447958</v>
      </c>
      <c r="K496" s="31" t="n">
        <f aca="false">E496/MAX(E$22:E496)-1</f>
        <v>-0.100804628876232</v>
      </c>
      <c r="L496" s="31" t="n">
        <f aca="false">F496/MAX(F$22:F496)-1</f>
        <v>-0.103155985728085</v>
      </c>
      <c r="M496" s="31" t="n">
        <f aca="false">G496/MAX(G$22:G496)-1</f>
        <v>-0.0507572048107166</v>
      </c>
    </row>
    <row r="497" customFormat="false" ht="15" hidden="false" customHeight="false" outlineLevel="0" collapsed="false">
      <c r="A497" s="19" t="n">
        <f aca="false">Narxlar!A477</f>
        <v>45958</v>
      </c>
      <c r="B497" s="50" t="n">
        <f aca="false">Narxlar!B477/Narxlar!B$2</f>
        <v>1.50384</v>
      </c>
      <c r="C497" s="50" t="n">
        <f aca="false">Narxlar!C477/Narxlar!C$2</f>
        <v>2.59128</v>
      </c>
      <c r="D497" s="50" t="n">
        <f aca="false">Narxlar!D477/Narxlar!D$2</f>
        <v>1.98711956521739</v>
      </c>
      <c r="E497" s="50" t="n">
        <f aca="false">Narxlar!E477/Narxlar!E$2</f>
        <v>1.35013698630137</v>
      </c>
      <c r="F497" s="50" t="n">
        <f aca="false">Narxlar!F477/Narxlar!F$2</f>
        <v>1.7412890625</v>
      </c>
      <c r="G497" s="50" t="n">
        <f aca="false">G496*(1+VaR!B479)</f>
        <v>1.94921661204509</v>
      </c>
      <c r="H497" s="31" t="n">
        <f aca="false">B497/MAX(B$22:B497)-1</f>
        <v>-0.05208418690552</v>
      </c>
      <c r="I497" s="31" t="n">
        <f aca="false">C497/MAX(C$22:C497)-1</f>
        <v>-0.055793616090949</v>
      </c>
      <c r="J497" s="31" t="n">
        <f aca="false">D497/MAX(D$22:D497)-1</f>
        <v>-0.0970984072107668</v>
      </c>
      <c r="K497" s="31" t="n">
        <f aca="false">E497/MAX(E$22:E497)-1</f>
        <v>-0.108941325377452</v>
      </c>
      <c r="L497" s="31" t="n">
        <f aca="false">F497/MAX(F$22:F497)-1</f>
        <v>-0.121271856334641</v>
      </c>
      <c r="M497" s="31" t="n">
        <f aca="false">G497/MAX(G$22:G497)-1</f>
        <v>-0.0669507035676218</v>
      </c>
    </row>
    <row r="498" customFormat="false" ht="15" hidden="false" customHeight="false" outlineLevel="0" collapsed="false">
      <c r="A498" s="19" t="n">
        <f aca="false">Narxlar!A478</f>
        <v>45959</v>
      </c>
      <c r="B498" s="50" t="n">
        <f aca="false">Narxlar!B478/Narxlar!B$2</f>
        <v>1.5057</v>
      </c>
      <c r="C498" s="50" t="n">
        <f aca="false">Narxlar!C478/Narxlar!C$2</f>
        <v>2.596</v>
      </c>
      <c r="D498" s="50" t="n">
        <f aca="false">Narxlar!D478/Narxlar!D$2</f>
        <v>2.02114130434783</v>
      </c>
      <c r="E498" s="50" t="n">
        <f aca="false">Narxlar!E478/Narxlar!E$2</f>
        <v>1.36109589041096</v>
      </c>
      <c r="F498" s="50" t="n">
        <f aca="false">Narxlar!F478/Narxlar!F$2</f>
        <v>1.74328125</v>
      </c>
      <c r="G498" s="50" t="n">
        <f aca="false">G497*(1+VaR!B480)</f>
        <v>1.96302636296327</v>
      </c>
      <c r="H498" s="31" t="n">
        <f aca="false">B498/MAX(B$22:B498)-1</f>
        <v>-0.0509117726777059</v>
      </c>
      <c r="I498" s="31" t="n">
        <f aca="false">C498/MAX(C$22:C498)-1</f>
        <v>-0.0540737501821892</v>
      </c>
      <c r="J498" s="31" t="n">
        <f aca="false">D498/MAX(D$22:D498)-1</f>
        <v>-0.0816397086060008</v>
      </c>
      <c r="K498" s="31" t="n">
        <f aca="false">E498/MAX(E$22:E498)-1</f>
        <v>-0.101708706265256</v>
      </c>
      <c r="L498" s="31" t="n">
        <f aca="false">F498/MAX(F$22:F498)-1</f>
        <v>-0.120266514222634</v>
      </c>
      <c r="M498" s="31" t="n">
        <f aca="false">G498/MAX(G$22:G498)-1</f>
        <v>-0.0603402641231364</v>
      </c>
    </row>
    <row r="499" customFormat="false" ht="15" hidden="false" customHeight="false" outlineLevel="0" collapsed="false">
      <c r="A499" s="19" t="n">
        <f aca="false">Narxlar!A479</f>
        <v>45960</v>
      </c>
      <c r="B499" s="50" t="n">
        <f aca="false">Narxlar!B479/Narxlar!B$2</f>
        <v>1.47708</v>
      </c>
      <c r="C499" s="50" t="n">
        <f aca="false">Narxlar!C479/Narxlar!C$2</f>
        <v>2.52192</v>
      </c>
      <c r="D499" s="50" t="n">
        <f aca="false">Narxlar!D479/Narxlar!D$2</f>
        <v>2.00875</v>
      </c>
      <c r="E499" s="50" t="n">
        <f aca="false">Narxlar!E479/Narxlar!E$2</f>
        <v>1.35205479452055</v>
      </c>
      <c r="F499" s="50" t="n">
        <f aca="false">Narxlar!F479/Narxlar!F$2</f>
        <v>1.74140625</v>
      </c>
      <c r="G499" s="50" t="n">
        <f aca="false">G498*(1+VaR!B481)</f>
        <v>1.9395302845058</v>
      </c>
      <c r="H499" s="31" t="n">
        <f aca="false">B499/MAX(B$22:B499)-1</f>
        <v>-0.0689518238605206</v>
      </c>
      <c r="I499" s="31" t="n">
        <f aca="false">C499/MAX(C$22:C499)-1</f>
        <v>-0.0810668998688238</v>
      </c>
      <c r="J499" s="31" t="n">
        <f aca="false">D499/MAX(D$22:D499)-1</f>
        <v>-0.0872700333374491</v>
      </c>
      <c r="K499" s="31" t="n">
        <f aca="false">E499/MAX(E$22:E499)-1</f>
        <v>-0.107675617032818</v>
      </c>
      <c r="L499" s="31" t="n">
        <f aca="false">F499/MAX(F$22:F499)-1</f>
        <v>-0.121212718563346</v>
      </c>
      <c r="M499" s="31" t="n">
        <f aca="false">G499/MAX(G$22:G499)-1</f>
        <v>-0.0715873463294886</v>
      </c>
    </row>
    <row r="500" customFormat="false" ht="15" hidden="false" customHeight="false" outlineLevel="0" collapsed="false">
      <c r="A500" s="19" t="n">
        <f aca="false">Narxlar!A480</f>
        <v>45961</v>
      </c>
      <c r="B500" s="50" t="n">
        <f aca="false">Narxlar!B480/Narxlar!B$2</f>
        <v>1.47272</v>
      </c>
      <c r="C500" s="50" t="n">
        <f aca="false">Narxlar!C480/Narxlar!C$2</f>
        <v>2.4928</v>
      </c>
      <c r="D500" s="50" t="n">
        <f aca="false">Narxlar!D480/Narxlar!D$2</f>
        <v>2.00315217391304</v>
      </c>
      <c r="E500" s="50" t="n">
        <f aca="false">Narxlar!E480/Narxlar!E$2</f>
        <v>1.34397260273973</v>
      </c>
      <c r="F500" s="50" t="n">
        <f aca="false">Narxlar!F480/Narxlar!F$2</f>
        <v>1.741484375</v>
      </c>
      <c r="G500" s="50" t="n">
        <f aca="false">G499*(1+VaR!B482)</f>
        <v>1.92857938111869</v>
      </c>
      <c r="H500" s="31" t="n">
        <f aca="false">B500/MAX(B$22:B500)-1</f>
        <v>-0.0717000636633532</v>
      </c>
      <c r="I500" s="31" t="n">
        <f aca="false">C500/MAX(C$22:C500)-1</f>
        <v>-0.0916775980177818</v>
      </c>
      <c r="J500" s="31" t="n">
        <f aca="false">D500/MAX(D$22:D500)-1</f>
        <v>-0.0898135572292876</v>
      </c>
      <c r="K500" s="31" t="n">
        <f aca="false">E500/MAX(E$22:E500)-1</f>
        <v>-0.113009673628063</v>
      </c>
      <c r="L500" s="31" t="n">
        <f aca="false">F500/MAX(F$22:F500)-1</f>
        <v>-0.121173293382483</v>
      </c>
      <c r="M500" s="31" t="n">
        <f aca="false">G500/MAX(G$22:G500)-1</f>
        <v>-0.0768293151478886</v>
      </c>
    </row>
    <row r="501" customFormat="false" ht="15" hidden="false" customHeight="false" outlineLevel="0" collapsed="false">
      <c r="A501" s="19" t="n">
        <f aca="false">Narxlar!A481</f>
        <v>45964</v>
      </c>
      <c r="B501" s="50" t="n">
        <f aca="false">Narxlar!B481/Narxlar!B$2</f>
        <v>1.44809</v>
      </c>
      <c r="C501" s="50" t="n">
        <f aca="false">Narxlar!C481/Narxlar!C$2</f>
        <v>2.41864</v>
      </c>
      <c r="D501" s="50" t="n">
        <f aca="false">Narxlar!D481/Narxlar!D$2</f>
        <v>1.98614130434783</v>
      </c>
      <c r="E501" s="50" t="n">
        <f aca="false">Narxlar!E481/Narxlar!E$2</f>
        <v>1.32561643835616</v>
      </c>
      <c r="F501" s="50" t="n">
        <f aca="false">Narxlar!F481/Narxlar!F$2</f>
        <v>1.666171875</v>
      </c>
      <c r="G501" s="50" t="n">
        <f aca="false">G500*(1+VaR!B483)</f>
        <v>1.88400666832335</v>
      </c>
      <c r="H501" s="31" t="n">
        <f aca="false">B501/MAX(B$22:B501)-1</f>
        <v>-0.0872250972284381</v>
      </c>
      <c r="I501" s="31" t="n">
        <f aca="false">C501/MAX(C$22:C501)-1</f>
        <v>-0.118699897974056</v>
      </c>
      <c r="J501" s="31" t="n">
        <f aca="false">D501/MAX(D$22:D501)-1</f>
        <v>-0.0975429065316706</v>
      </c>
      <c r="K501" s="31" t="n">
        <f aca="false">E501/MAX(E$22:E501)-1</f>
        <v>-0.125124310640991</v>
      </c>
      <c r="L501" s="31" t="n">
        <f aca="false">F501/MAX(F$22:F501)-1</f>
        <v>-0.159179167734432</v>
      </c>
      <c r="M501" s="31" t="n">
        <f aca="false">G501/MAX(G$22:G501)-1</f>
        <v>-0.0981653421737098</v>
      </c>
    </row>
    <row r="502" customFormat="false" ht="15" hidden="false" customHeight="false" outlineLevel="0" collapsed="false">
      <c r="A502" s="19" t="n">
        <f aca="false">Narxlar!A482</f>
        <v>45965</v>
      </c>
      <c r="B502" s="50" t="n">
        <f aca="false">Narxlar!B482/Narxlar!B$2</f>
        <v>1.43937</v>
      </c>
      <c r="C502" s="50" t="n">
        <f aca="false">Narxlar!C482/Narxlar!C$2</f>
        <v>2.40368</v>
      </c>
      <c r="D502" s="50" t="n">
        <f aca="false">Narxlar!D482/Narxlar!D$2</f>
        <v>1.98135869565217</v>
      </c>
      <c r="E502" s="50" t="n">
        <f aca="false">Narxlar!E482/Narxlar!E$2</f>
        <v>1.31506849315068</v>
      </c>
      <c r="F502" s="50" t="n">
        <f aca="false">Narxlar!F482/Narxlar!F$2</f>
        <v>1.645625</v>
      </c>
      <c r="G502" s="50" t="n">
        <f aca="false">G501*(1+VaR!B484)</f>
        <v>1.87098216120639</v>
      </c>
      <c r="H502" s="31" t="n">
        <f aca="false">B502/MAX(B$22:B502)-1</f>
        <v>-0.0927215768341035</v>
      </c>
      <c r="I502" s="31" t="n">
        <f aca="false">C502/MAX(C$22:C502)-1</f>
        <v>-0.124150998396735</v>
      </c>
      <c r="J502" s="31" t="n">
        <f aca="false">D502/MAX(D$22:D502)-1</f>
        <v>-0.099716014322756</v>
      </c>
      <c r="K502" s="31" t="n">
        <f aca="false">E502/MAX(E$22:E502)-1</f>
        <v>-0.13208570653648</v>
      </c>
      <c r="L502" s="31" t="n">
        <f aca="false">F502/MAX(F$22:F502)-1</f>
        <v>-0.169547990301406</v>
      </c>
      <c r="M502" s="31" t="n">
        <f aca="false">G502/MAX(G$22:G502)-1</f>
        <v>-0.104399901804878</v>
      </c>
    </row>
    <row r="503" customFormat="false" ht="15" hidden="false" customHeight="false" outlineLevel="0" collapsed="false">
      <c r="A503" s="19" t="n">
        <f aca="false">Narxlar!A483</f>
        <v>45966</v>
      </c>
      <c r="B503" s="50" t="n">
        <f aca="false">Narxlar!B483/Narxlar!B$2</f>
        <v>1.43022</v>
      </c>
      <c r="C503" s="50" t="n">
        <f aca="false">Narxlar!C483/Narxlar!C$2</f>
        <v>2.39328</v>
      </c>
      <c r="D503" s="50" t="n">
        <f aca="false">Narxlar!D483/Narxlar!D$2</f>
        <v>1.97146739130435</v>
      </c>
      <c r="E503" s="50" t="n">
        <f aca="false">Narxlar!E483/Narxlar!E$2</f>
        <v>1.30506849315068</v>
      </c>
      <c r="F503" s="50" t="n">
        <f aca="false">Narxlar!F483/Narxlar!F$2</f>
        <v>1.6399609375</v>
      </c>
      <c r="G503" s="50" t="n">
        <f aca="false">G502*(1+VaR!B485)</f>
        <v>1.86137377852396</v>
      </c>
      <c r="H503" s="31" t="n">
        <f aca="false">B503/MAX(B$22:B503)-1</f>
        <v>-0.098489098438672</v>
      </c>
      <c r="I503" s="31" t="n">
        <f aca="false">C503/MAX(C$22:C503)-1</f>
        <v>-0.127940533449935</v>
      </c>
      <c r="J503" s="31" t="n">
        <f aca="false">D503/MAX(D$22:D503)-1</f>
        <v>-0.104210396345228</v>
      </c>
      <c r="K503" s="31" t="n">
        <f aca="false">E503/MAX(E$22:E503)-1</f>
        <v>-0.138685471476358</v>
      </c>
      <c r="L503" s="31" t="n">
        <f aca="false">F503/MAX(F$22:F503)-1</f>
        <v>-0.172406315913974</v>
      </c>
      <c r="M503" s="31" t="n">
        <f aca="false">G503/MAX(G$22:G503)-1</f>
        <v>-0.108999233991098</v>
      </c>
    </row>
    <row r="504" customFormat="false" ht="15" hidden="false" customHeight="false" outlineLevel="0" collapsed="false">
      <c r="A504" s="19" t="n">
        <f aca="false">Narxlar!A484</f>
        <v>45967</v>
      </c>
      <c r="B504" s="50" t="n">
        <f aca="false">Narxlar!B484/Narxlar!B$2</f>
        <v>1.38607</v>
      </c>
      <c r="C504" s="50" t="n">
        <f aca="false">Narxlar!C484/Narxlar!C$2</f>
        <v>2.31496</v>
      </c>
      <c r="D504" s="50" t="n">
        <f aca="false">Narxlar!D484/Narxlar!D$2</f>
        <v>1.89826086956522</v>
      </c>
      <c r="E504" s="50" t="n">
        <f aca="false">Narxlar!E484/Narxlar!E$2</f>
        <v>1.27164383561644</v>
      </c>
      <c r="F504" s="50" t="n">
        <f aca="false">Narxlar!F484/Narxlar!F$2</f>
        <v>1.5644921875</v>
      </c>
      <c r="G504" s="50" t="n">
        <f aca="false">G503*(1+VaR!B486)</f>
        <v>1.79677047894813</v>
      </c>
      <c r="H504" s="31" t="n">
        <f aca="false">B504/MAX(B$22:B504)-1</f>
        <v>-0.126318178093503</v>
      </c>
      <c r="I504" s="31" t="n">
        <f aca="false">C504/MAX(C$22:C504)-1</f>
        <v>-0.156478647427489</v>
      </c>
      <c r="J504" s="31" t="n">
        <f aca="false">D504/MAX(D$22:D504)-1</f>
        <v>-0.137473762192863</v>
      </c>
      <c r="K504" s="31" t="n">
        <f aca="false">E504/MAX(E$22:E504)-1</f>
        <v>-0.160744959768556</v>
      </c>
      <c r="L504" s="31" t="n">
        <f aca="false">F504/MAX(F$22:F504)-1</f>
        <v>-0.210491040627649</v>
      </c>
      <c r="M504" s="31" t="n">
        <f aca="false">G504/MAX(G$22:G504)-1</f>
        <v>-0.139923484710055</v>
      </c>
    </row>
    <row r="505" customFormat="false" ht="15" hidden="false" customHeight="false" outlineLevel="0" collapsed="false">
      <c r="A505" s="19" t="n">
        <f aca="false">Narxlar!A485</f>
        <v>45968</v>
      </c>
      <c r="B505" s="50" t="n">
        <f aca="false">Narxlar!B485/Narxlar!B$2</f>
        <v>1.3639</v>
      </c>
      <c r="C505" s="50" t="n">
        <f aca="false">Narxlar!C485/Narxlar!C$2</f>
        <v>2.27624</v>
      </c>
      <c r="D505" s="50" t="n">
        <f aca="false">Narxlar!D485/Narxlar!D$2</f>
        <v>1.8741847826087</v>
      </c>
      <c r="E505" s="50" t="n">
        <f aca="false">Narxlar!E485/Narxlar!E$2</f>
        <v>1.25260273972603</v>
      </c>
      <c r="F505" s="50" t="n">
        <f aca="false">Narxlar!F485/Narxlar!F$2</f>
        <v>1.566484375</v>
      </c>
      <c r="G505" s="50" t="n">
        <f aca="false">G504*(1+VaR!B487)</f>
        <v>1.77578899276034</v>
      </c>
      <c r="H505" s="31" t="n">
        <f aca="false">B505/MAX(B$22:B505)-1</f>
        <v>-0.140292599292769</v>
      </c>
      <c r="I505" s="31" t="n">
        <f aca="false">C505/MAX(C$22:C505)-1</f>
        <v>-0.170587377933246</v>
      </c>
      <c r="J505" s="31" t="n">
        <f aca="false">D505/MAX(D$22:D505)-1</f>
        <v>-0.148413384368441</v>
      </c>
      <c r="K505" s="31" t="n">
        <f aca="false">E505/MAX(E$22:E505)-1</f>
        <v>-0.173311635475997</v>
      </c>
      <c r="L505" s="31" t="n">
        <f aca="false">F505/MAX(F$22:F505)-1</f>
        <v>-0.209485698515642</v>
      </c>
      <c r="M505" s="31" t="n">
        <f aca="false">G505/MAX(G$22:G505)-1</f>
        <v>-0.149966884096582</v>
      </c>
    </row>
    <row r="506" customFormat="false" ht="15" hidden="false" customHeight="false" outlineLevel="0" collapsed="false">
      <c r="A506" s="19" t="n">
        <f aca="false">Narxlar!A486</f>
        <v>45971</v>
      </c>
      <c r="B506" s="50" t="n">
        <f aca="false">Narxlar!B486/Narxlar!B$2</f>
        <v>1.34245</v>
      </c>
      <c r="C506" s="50" t="n">
        <f aca="false">Narxlar!C486/Narxlar!C$2</f>
        <v>2.2344</v>
      </c>
      <c r="D506" s="50" t="n">
        <f aca="false">Narxlar!D486/Narxlar!D$2</f>
        <v>1.88717391304348</v>
      </c>
      <c r="E506" s="50" t="n">
        <f aca="false">Narxlar!E486/Narxlar!E$2</f>
        <v>1.25164383561644</v>
      </c>
      <c r="F506" s="50" t="n">
        <f aca="false">Narxlar!F486/Narxlar!F$2</f>
        <v>1.5359765625</v>
      </c>
      <c r="G506" s="50" t="n">
        <f aca="false">G505*(1+VaR!B488)</f>
        <v>1.76181678390492</v>
      </c>
      <c r="H506" s="31" t="n">
        <f aca="false">B506/MAX(B$22:B506)-1</f>
        <v>-0.15381318272643</v>
      </c>
      <c r="I506" s="31" t="n">
        <f aca="false">C506/MAX(C$22:C506)-1</f>
        <v>-0.185832968954963</v>
      </c>
      <c r="J506" s="31" t="n">
        <f aca="false">D506/MAX(D$22:D506)-1</f>
        <v>-0.142511421163107</v>
      </c>
      <c r="K506" s="31" t="n">
        <f aca="false">E506/MAX(E$22:E506)-1</f>
        <v>-0.173944489648314</v>
      </c>
      <c r="L506" s="31" t="n">
        <f aca="false">F506/MAX(F$22:F506)-1</f>
        <v>-0.22488123164265</v>
      </c>
      <c r="M506" s="31" t="n">
        <f aca="false">G506/MAX(G$22:G506)-1</f>
        <v>-0.156655088763827</v>
      </c>
    </row>
    <row r="507" customFormat="false" ht="15" hidden="false" customHeight="false" outlineLevel="0" collapsed="false">
      <c r="A507" s="19" t="n">
        <f aca="false">Narxlar!A487</f>
        <v>45972</v>
      </c>
      <c r="B507" s="50" t="n">
        <f aca="false">Narxlar!B487/Narxlar!B$2</f>
        <v>1.33745</v>
      </c>
      <c r="C507" s="50" t="n">
        <f aca="false">Narxlar!C487/Narxlar!C$2</f>
        <v>2.20912</v>
      </c>
      <c r="D507" s="50" t="n">
        <f aca="false">Narxlar!D487/Narxlar!D$2</f>
        <v>1.86141304347826</v>
      </c>
      <c r="E507" s="50" t="n">
        <f aca="false">Narxlar!E487/Narxlar!E$2</f>
        <v>1.24753424657534</v>
      </c>
      <c r="F507" s="50" t="n">
        <f aca="false">Narxlar!F487/Narxlar!F$2</f>
        <v>1.51015625</v>
      </c>
      <c r="G507" s="50" t="n">
        <f aca="false">G506*(1+VaR!B489)</f>
        <v>1.74245488509547</v>
      </c>
      <c r="H507" s="31" t="n">
        <f aca="false">B507/MAX(B$22:B507)-1</f>
        <v>-0.156964833876468</v>
      </c>
      <c r="I507" s="31" t="n">
        <f aca="false">C507/MAX(C$22:C507)-1</f>
        <v>-0.195044454161201</v>
      </c>
      <c r="J507" s="31" t="n">
        <f aca="false">D507/MAX(D$22:D507)-1</f>
        <v>-0.154216569946907</v>
      </c>
      <c r="K507" s="31" t="n">
        <f aca="false">E507/MAX(E$22:E507)-1</f>
        <v>-0.176656721815387</v>
      </c>
      <c r="L507" s="31" t="n">
        <f aca="false">F507/MAX(F$22:F507)-1</f>
        <v>-0.237911253917877</v>
      </c>
      <c r="M507" s="31" t="n">
        <f aca="false">G507/MAX(G$22:G507)-1</f>
        <v>-0.165923225486099</v>
      </c>
    </row>
    <row r="508" customFormat="false" ht="15" hidden="false" customHeight="false" outlineLevel="0" collapsed="false">
      <c r="A508" s="19" t="n">
        <f aca="false">Narxlar!A488</f>
        <v>45973</v>
      </c>
      <c r="B508" s="50" t="n">
        <f aca="false">Narxlar!B488/Narxlar!B$2</f>
        <v>1.32804</v>
      </c>
      <c r="C508" s="50" t="n">
        <f aca="false">Narxlar!C488/Narxlar!C$2</f>
        <v>2.17688</v>
      </c>
      <c r="D508" s="50" t="n">
        <f aca="false">Narxlar!D488/Narxlar!D$2</f>
        <v>1.84902173913043</v>
      </c>
      <c r="E508" s="50" t="n">
        <f aca="false">Narxlar!E488/Narxlar!E$2</f>
        <v>1.24232876712329</v>
      </c>
      <c r="F508" s="50" t="n">
        <f aca="false">Narxlar!F488/Narxlar!F$2</f>
        <v>1.5256640625</v>
      </c>
      <c r="G508" s="50" t="n">
        <f aca="false">G507*(1+VaR!B490)</f>
        <v>1.73368720275751</v>
      </c>
      <c r="H508" s="31" t="n">
        <f aca="false">B508/MAX(B$22:B508)-1</f>
        <v>-0.162896241340839</v>
      </c>
      <c r="I508" s="31" t="n">
        <f aca="false">C508/MAX(C$22:C508)-1</f>
        <v>-0.206792012826119</v>
      </c>
      <c r="J508" s="31" t="n">
        <f aca="false">D508/MAX(D$22:D508)-1</f>
        <v>-0.159846894678355</v>
      </c>
      <c r="K508" s="31" t="n">
        <f aca="false">E508/MAX(E$22:E508)-1</f>
        <v>-0.180092215893681</v>
      </c>
      <c r="L508" s="31" t="n">
        <f aca="false">F508/MAX(F$22:F508)-1</f>
        <v>-0.230085355516569</v>
      </c>
      <c r="M508" s="31" t="n">
        <f aca="false">G508/MAX(G$22:G508)-1</f>
        <v>-0.170120131969566</v>
      </c>
    </row>
    <row r="509" customFormat="false" ht="15" hidden="false" customHeight="false" outlineLevel="0" collapsed="false">
      <c r="A509" s="19" t="n">
        <f aca="false">Narxlar!A489</f>
        <v>45974</v>
      </c>
      <c r="B509" s="50" t="n">
        <f aca="false">Narxlar!B489/Narxlar!B$2</f>
        <v>1.31819</v>
      </c>
      <c r="C509" s="50" t="n">
        <f aca="false">Narxlar!C489/Narxlar!C$2</f>
        <v>2.118</v>
      </c>
      <c r="D509" s="50" t="n">
        <f aca="false">Narxlar!D489/Narxlar!D$2</f>
        <v>1.79929347826087</v>
      </c>
      <c r="E509" s="50" t="n">
        <f aca="false">Narxlar!E489/Narxlar!E$2</f>
        <v>1.22397260273973</v>
      </c>
      <c r="F509" s="50" t="n">
        <f aca="false">Narxlar!F489/Narxlar!F$2</f>
        <v>1.527421875</v>
      </c>
      <c r="G509" s="50" t="n">
        <f aca="false">G508*(1+VaR!B491)</f>
        <v>1.70195825472392</v>
      </c>
      <c r="H509" s="31" t="n">
        <f aca="false">B509/MAX(B$22:B509)-1</f>
        <v>-0.169104994106412</v>
      </c>
      <c r="I509" s="31" t="n">
        <f aca="false">C509/MAX(C$22:C509)-1</f>
        <v>-0.228246611281154</v>
      </c>
      <c r="J509" s="31" t="n">
        <f aca="false">D509/MAX(D$22:D509)-1</f>
        <v>-0.182442276824299</v>
      </c>
      <c r="K509" s="31" t="n">
        <f aca="false">E509/MAX(E$22:E509)-1</f>
        <v>-0.192206852906609</v>
      </c>
      <c r="L509" s="31" t="n">
        <f aca="false">F509/MAX(F$22:F509)-1</f>
        <v>-0.229198288947151</v>
      </c>
      <c r="M509" s="31" t="n">
        <f aca="false">G509/MAX(G$22:G509)-1</f>
        <v>-0.185308116956117</v>
      </c>
    </row>
    <row r="510" customFormat="false" ht="15" hidden="false" customHeight="false" outlineLevel="0" collapsed="false">
      <c r="A510" s="19" t="n">
        <f aca="false">Narxlar!A490</f>
        <v>45975</v>
      </c>
      <c r="B510" s="50" t="n">
        <f aca="false">Narxlar!B490/Narxlar!B$2</f>
        <v>1.29177</v>
      </c>
      <c r="C510" s="50" t="n">
        <f aca="false">Narxlar!C490/Narxlar!C$2</f>
        <v>2.07224</v>
      </c>
      <c r="D510" s="50" t="n">
        <f aca="false">Narxlar!D490/Narxlar!D$2</f>
        <v>1.76413043478261</v>
      </c>
      <c r="E510" s="50" t="n">
        <f aca="false">Narxlar!E490/Narxlar!E$2</f>
        <v>1.20493150684932</v>
      </c>
      <c r="F510" s="50" t="n">
        <f aca="false">Narxlar!F490/Narxlar!F$2</f>
        <v>1.5033984375</v>
      </c>
      <c r="G510" s="50" t="n">
        <f aca="false">G509*(1+VaR!B492)</f>
        <v>1.6706386843757</v>
      </c>
      <c r="H510" s="31" t="n">
        <f aca="false">B510/MAX(B$22:B510)-1</f>
        <v>-0.18575831878321</v>
      </c>
      <c r="I510" s="31" t="n">
        <f aca="false">C510/MAX(C$22:C510)-1</f>
        <v>-0.244920565515231</v>
      </c>
      <c r="J510" s="31" t="n">
        <f aca="false">D510/MAX(D$22:D510)-1</f>
        <v>-0.19841955797012</v>
      </c>
      <c r="K510" s="31" t="n">
        <f aca="false">E510/MAX(E$22:E510)-1</f>
        <v>-0.204773528614049</v>
      </c>
      <c r="L510" s="31" t="n">
        <f aca="false">F510/MAX(F$22:F510)-1</f>
        <v>-0.241321532062528</v>
      </c>
      <c r="M510" s="31" t="n">
        <f aca="false">G510/MAX(G$22:G510)-1</f>
        <v>-0.200300141391674</v>
      </c>
    </row>
    <row r="511" customFormat="false" ht="15" hidden="false" customHeight="false" outlineLevel="0" collapsed="false">
      <c r="A511" s="19" t="n">
        <f aca="false">Narxlar!A491</f>
        <v>45978</v>
      </c>
      <c r="B511" s="50" t="n">
        <f aca="false">Narxlar!B491/Narxlar!B$2</f>
        <v>1.28471</v>
      </c>
      <c r="C511" s="50" t="n">
        <f aca="false">Narxlar!C491/Narxlar!C$2</f>
        <v>2.07136</v>
      </c>
      <c r="D511" s="50" t="n">
        <f aca="false">Narxlar!D491/Narxlar!D$2</f>
        <v>1.78184782608696</v>
      </c>
      <c r="E511" s="50" t="n">
        <f aca="false">Narxlar!E491/Narxlar!E$2</f>
        <v>1.2013698630137</v>
      </c>
      <c r="F511" s="50" t="n">
        <f aca="false">Narxlar!F491/Narxlar!F$2</f>
        <v>1.4847265625</v>
      </c>
      <c r="G511" s="50" t="n">
        <f aca="false">G510*(1+VaR!B493)</f>
        <v>1.66923611010839</v>
      </c>
      <c r="H511" s="31" t="n">
        <f aca="false">B511/MAX(B$22:B511)-1</f>
        <v>-0.190208450207063</v>
      </c>
      <c r="I511" s="31" t="n">
        <f aca="false">C511/MAX(C$22:C511)-1</f>
        <v>-0.245241218481271</v>
      </c>
      <c r="J511" s="31" t="n">
        <f aca="false">D511/MAX(D$22:D511)-1</f>
        <v>-0.190369181380417</v>
      </c>
      <c r="K511" s="31" t="n">
        <f aca="false">E511/MAX(E$22:E511)-1</f>
        <v>-0.207124129825513</v>
      </c>
      <c r="L511" s="31" t="n">
        <f aca="false">F511/MAX(F$22:F511)-1</f>
        <v>-0.25074415028879</v>
      </c>
      <c r="M511" s="31" t="n">
        <f aca="false">G511/MAX(G$22:G511)-1</f>
        <v>-0.200971524410485</v>
      </c>
    </row>
    <row r="512" customFormat="false" ht="15" hidden="false" customHeight="false" outlineLevel="0" collapsed="false">
      <c r="A512" s="19" t="n">
        <f aca="false">Narxlar!A492</f>
        <v>45979</v>
      </c>
      <c r="B512" s="50" t="n">
        <f aca="false">Narxlar!B492/Narxlar!B$2</f>
        <v>1.27732</v>
      </c>
      <c r="C512" s="50" t="n">
        <f aca="false">Narxlar!C492/Narxlar!C$2</f>
        <v>2.04312</v>
      </c>
      <c r="D512" s="50" t="n">
        <f aca="false">Narxlar!D492/Narxlar!D$2</f>
        <v>1.80913043478261</v>
      </c>
      <c r="E512" s="50" t="n">
        <f aca="false">Narxlar!E492/Narxlar!E$2</f>
        <v>1.19369863013699</v>
      </c>
      <c r="F512" s="50" t="n">
        <f aca="false">Narxlar!F492/Narxlar!F$2</f>
        <v>1.4547265625</v>
      </c>
      <c r="G512" s="50" t="n">
        <f aca="false">G511*(1+VaR!B494)</f>
        <v>1.65938809709077</v>
      </c>
      <c r="H512" s="31" t="n">
        <f aca="false">B512/MAX(B$22:B512)-1</f>
        <v>-0.194866590606819</v>
      </c>
      <c r="I512" s="31" t="n">
        <f aca="false">C512/MAX(C$22:C512)-1</f>
        <v>-0.255531263664189</v>
      </c>
      <c r="J512" s="31" t="n">
        <f aca="false">D512/MAX(D$22:D512)-1</f>
        <v>-0.177972589208544</v>
      </c>
      <c r="K512" s="31" t="n">
        <f aca="false">E512/MAX(E$22:E512)-1</f>
        <v>-0.21218696320405</v>
      </c>
      <c r="L512" s="31" t="n">
        <f aca="false">F512/MAX(F$22:F512)-1</f>
        <v>-0.265883419740188</v>
      </c>
      <c r="M512" s="31" t="n">
        <f aca="false">G512/MAX(G$22:G512)-1</f>
        <v>-0.205685562635155</v>
      </c>
    </row>
    <row r="513" customFormat="false" ht="15" hidden="false" customHeight="false" outlineLevel="0" collapsed="false">
      <c r="A513" s="19" t="n">
        <f aca="false">Narxlar!A493</f>
        <v>45980</v>
      </c>
      <c r="B513" s="50" t="n">
        <f aca="false">Narxlar!B493/Narxlar!B$2</f>
        <v>1.25985</v>
      </c>
      <c r="C513" s="50" t="n">
        <f aca="false">Narxlar!C493/Narxlar!C$2</f>
        <v>2.002</v>
      </c>
      <c r="D513" s="50" t="n">
        <f aca="false">Narxlar!D493/Narxlar!D$2</f>
        <v>1.77760869565217</v>
      </c>
      <c r="E513" s="50" t="n">
        <f aca="false">Narxlar!E493/Narxlar!E$2</f>
        <v>1.18013698630137</v>
      </c>
      <c r="F513" s="50" t="n">
        <f aca="false">Narxlar!F493/Narxlar!F$2</f>
        <v>1.43140625</v>
      </c>
      <c r="G513" s="50" t="n">
        <f aca="false">G512*(1+VaR!B495)</f>
        <v>1.63210750888806</v>
      </c>
      <c r="H513" s="31" t="n">
        <f aca="false">B513/MAX(B$22:B513)-1</f>
        <v>-0.20587845972505</v>
      </c>
      <c r="I513" s="31" t="n">
        <f aca="false">C513/MAX(C$22:C513)-1</f>
        <v>-0.270514502259146</v>
      </c>
      <c r="J513" s="31" t="n">
        <f aca="false">D513/MAX(D$22:D513)-1</f>
        <v>-0.192295345104334</v>
      </c>
      <c r="K513" s="31" t="n">
        <f aca="false">E513/MAX(E$22:E513)-1</f>
        <v>-0.221137329355393</v>
      </c>
      <c r="L513" s="31" t="n">
        <f aca="false">F513/MAX(F$22:F513)-1</f>
        <v>-0.277651836227799</v>
      </c>
      <c r="M513" s="31" t="n">
        <f aca="false">G513/MAX(G$22:G513)-1</f>
        <v>-0.218744210643543</v>
      </c>
    </row>
    <row r="514" customFormat="false" ht="15" hidden="false" customHeight="false" outlineLevel="0" collapsed="false">
      <c r="A514" s="19" t="n">
        <f aca="false">Narxlar!A494</f>
        <v>45981</v>
      </c>
      <c r="B514" s="50" t="n">
        <f aca="false">Narxlar!B494/Narxlar!B$2</f>
        <v>1.23991</v>
      </c>
      <c r="C514" s="50" t="n">
        <f aca="false">Narxlar!C494/Narxlar!C$2</f>
        <v>1.96664</v>
      </c>
      <c r="D514" s="50" t="n">
        <f aca="false">Narxlar!D494/Narxlar!D$2</f>
        <v>1.80951086956522</v>
      </c>
      <c r="E514" s="50" t="n">
        <f aca="false">Narxlar!E494/Narxlar!E$2</f>
        <v>1.17232876712329</v>
      </c>
      <c r="F514" s="50" t="n">
        <f aca="false">Narxlar!F494/Narxlar!F$2</f>
        <v>1.4219140625</v>
      </c>
      <c r="G514" s="50" t="n">
        <f aca="false">G513*(1+VaR!B496)</f>
        <v>1.62591790845886</v>
      </c>
      <c r="H514" s="31" t="n">
        <f aca="false">B514/MAX(B$22:B514)-1</f>
        <v>-0.2184472445114</v>
      </c>
      <c r="I514" s="31" t="n">
        <f aca="false">C514/MAX(C$22:C514)-1</f>
        <v>-0.283398921440023</v>
      </c>
      <c r="J514" s="31" t="n">
        <f aca="false">D514/MAX(D$22:D514)-1</f>
        <v>-0.177799728361526</v>
      </c>
      <c r="K514" s="31" t="n">
        <f aca="false">E514/MAX(E$22:E514)-1</f>
        <v>-0.226290570472833</v>
      </c>
      <c r="L514" s="31" t="n">
        <f aca="false">F514/MAX(F$22:F514)-1</f>
        <v>-0.282441995702655</v>
      </c>
      <c r="M514" s="31" t="n">
        <f aca="false">G514/MAX(G$22:G514)-1</f>
        <v>-0.221707043142496</v>
      </c>
    </row>
    <row r="515" customFormat="false" ht="15" hidden="false" customHeight="false" outlineLevel="0" collapsed="false">
      <c r="A515" s="19" t="n">
        <f aca="false">Narxlar!A495</f>
        <v>45982</v>
      </c>
      <c r="B515" s="50" t="n">
        <f aca="false">Narxlar!B495/Narxlar!B$2</f>
        <v>1.22742</v>
      </c>
      <c r="C515" s="50" t="n">
        <f aca="false">Narxlar!C495/Narxlar!C$2</f>
        <v>1.88</v>
      </c>
      <c r="D515" s="50" t="n">
        <f aca="false">Narxlar!D495/Narxlar!D$2</f>
        <v>1.74097826086957</v>
      </c>
      <c r="E515" s="50" t="n">
        <f aca="false">Narxlar!E495/Narxlar!E$2</f>
        <v>1.15972602739726</v>
      </c>
      <c r="F515" s="50" t="n">
        <f aca="false">Narxlar!F495/Narxlar!F$2</f>
        <v>1.410390625</v>
      </c>
      <c r="G515" s="50" t="n">
        <f aca="false">G514*(1+VaR!B497)</f>
        <v>1.58202915279901</v>
      </c>
      <c r="H515" s="31" t="n">
        <f aca="false">B515/MAX(B$22:B515)-1</f>
        <v>-0.226320069084193</v>
      </c>
      <c r="I515" s="31" t="n">
        <f aca="false">C515/MAX(C$22:C515)-1</f>
        <v>-0.314968663460137</v>
      </c>
      <c r="J515" s="31" t="n">
        <f aca="false">D515/MAX(D$22:D515)-1</f>
        <v>-0.20893937523151</v>
      </c>
      <c r="K515" s="31" t="n">
        <f aca="false">E515/MAX(E$22:E515)-1</f>
        <v>-0.234608082451858</v>
      </c>
      <c r="L515" s="31" t="n">
        <f aca="false">F515/MAX(F$22:F515)-1</f>
        <v>-0.28825720987995</v>
      </c>
      <c r="M515" s="31" t="n">
        <f aca="false">G515/MAX(G$22:G515)-1</f>
        <v>-0.242715674167218</v>
      </c>
    </row>
    <row r="516" customFormat="false" ht="15" hidden="false" customHeight="false" outlineLevel="0" collapsed="false">
      <c r="A516" s="19" t="n">
        <f aca="false">Narxlar!A496</f>
        <v>45985</v>
      </c>
      <c r="B516" s="50" t="n">
        <f aca="false">Narxlar!B496/Narxlar!B$2</f>
        <v>1.23791</v>
      </c>
      <c r="C516" s="50" t="n">
        <f aca="false">Narxlar!C496/Narxlar!C$2</f>
        <v>1.89096</v>
      </c>
      <c r="D516" s="50" t="n">
        <f aca="false">Narxlar!D496/Narxlar!D$2</f>
        <v>1.75597826086957</v>
      </c>
      <c r="E516" s="50" t="n">
        <f aca="false">Narxlar!E496/Narxlar!E$2</f>
        <v>1.16712328767123</v>
      </c>
      <c r="F516" s="50" t="n">
        <f aca="false">Narxlar!F496/Narxlar!F$2</f>
        <v>1.39875</v>
      </c>
      <c r="G516" s="50" t="n">
        <f aca="false">G515*(1+VaR!B498)</f>
        <v>1.5881149281096</v>
      </c>
      <c r="H516" s="31" t="n">
        <f aca="false">B516/MAX(B$22:B516)-1</f>
        <v>-0.219707904971414</v>
      </c>
      <c r="I516" s="31" t="n">
        <f aca="false">C516/MAX(C$22:C516)-1</f>
        <v>-0.310975076519458</v>
      </c>
      <c r="J516" s="31" t="n">
        <f aca="false">D516/MAX(D$22:D516)-1</f>
        <v>-0.202123718977652</v>
      </c>
      <c r="K516" s="31" t="n">
        <f aca="false">E516/MAX(E$22:E516)-1</f>
        <v>-0.229726064551126</v>
      </c>
      <c r="L516" s="31" t="n">
        <f aca="false">F516/MAX(F$22:F516)-1</f>
        <v>-0.29413156182854</v>
      </c>
      <c r="M516" s="31" t="n">
        <f aca="false">G516/MAX(G$22:G516)-1</f>
        <v>-0.239802540584886</v>
      </c>
    </row>
    <row r="517" customFormat="false" ht="15" hidden="false" customHeight="false" outlineLevel="0" collapsed="false">
      <c r="A517" s="19" t="n">
        <f aca="false">Narxlar!A497</f>
        <v>45986</v>
      </c>
      <c r="B517" s="50" t="n">
        <f aca="false">Narxlar!B497/Narxlar!B$2</f>
        <v>1.23053</v>
      </c>
      <c r="C517" s="50" t="n">
        <f aca="false">Narxlar!C497/Narxlar!C$2</f>
        <v>1.8916</v>
      </c>
      <c r="D517" s="50" t="n">
        <f aca="false">Narxlar!D497/Narxlar!D$2</f>
        <v>1.74364130434783</v>
      </c>
      <c r="E517" s="50" t="n">
        <f aca="false">Narxlar!E497/Narxlar!E$2</f>
        <v>1.16178082191781</v>
      </c>
      <c r="F517" s="50" t="n">
        <f aca="false">Narxlar!F497/Narxlar!F$2</f>
        <v>1.3713671875</v>
      </c>
      <c r="G517" s="50" t="n">
        <f aca="false">G516*(1+VaR!B499)</f>
        <v>1.57745140525957</v>
      </c>
      <c r="H517" s="31" t="n">
        <f aca="false">B517/MAX(B$22:B517)-1</f>
        <v>-0.22435974206887</v>
      </c>
      <c r="I517" s="31" t="n">
        <f aca="false">C517/MAX(C$22:C517)-1</f>
        <v>-0.310741874362338</v>
      </c>
      <c r="J517" s="31" t="n">
        <f aca="false">D517/MAX(D$22:D517)-1</f>
        <v>-0.207729349302383</v>
      </c>
      <c r="K517" s="31" t="n">
        <f aca="false">E517/MAX(E$22:E517)-1</f>
        <v>-0.233251966368321</v>
      </c>
      <c r="L517" s="31" t="n">
        <f aca="false">F517/MAX(F$22:F517)-1</f>
        <v>-0.307950087721028</v>
      </c>
      <c r="M517" s="31" t="n">
        <f aca="false">G517/MAX(G$22:G517)-1</f>
        <v>-0.244906946340114</v>
      </c>
    </row>
    <row r="518" customFormat="false" ht="15" hidden="false" customHeight="false" outlineLevel="0" collapsed="false">
      <c r="A518" s="19" t="n">
        <f aca="false">Narxlar!A498</f>
        <v>45987</v>
      </c>
      <c r="B518" s="50" t="n">
        <f aca="false">Narxlar!B498/Narxlar!B$2</f>
        <v>1.22845</v>
      </c>
      <c r="C518" s="50" t="n">
        <f aca="false">Narxlar!C498/Narxlar!C$2</f>
        <v>1.8916</v>
      </c>
      <c r="D518" s="50" t="n">
        <f aca="false">Narxlar!D498/Narxlar!D$2</f>
        <v>1.73309782608696</v>
      </c>
      <c r="E518" s="50" t="n">
        <f aca="false">Narxlar!E498/Narxlar!E$2</f>
        <v>1.16506849315069</v>
      </c>
      <c r="F518" s="50" t="n">
        <f aca="false">Narxlar!F498/Narxlar!F$2</f>
        <v>1.4055078125</v>
      </c>
      <c r="G518" s="50" t="n">
        <f aca="false">G517*(1+VaR!B500)</f>
        <v>1.58403698681776</v>
      </c>
      <c r="H518" s="31" t="n">
        <f aca="false">B518/MAX(B$22:B518)-1</f>
        <v>-0.225670828947286</v>
      </c>
      <c r="I518" s="31" t="n">
        <f aca="false">C518/MAX(C$22:C518)-1</f>
        <v>-0.310741874362338</v>
      </c>
      <c r="J518" s="31" t="n">
        <f aca="false">D518/MAX(D$22:D518)-1</f>
        <v>-0.212520064205458</v>
      </c>
      <c r="K518" s="31" t="n">
        <f aca="false">E518/MAX(E$22:E518)-1</f>
        <v>-0.231082180634662</v>
      </c>
      <c r="L518" s="31" t="n">
        <f aca="false">F518/MAX(F$22:F518)-1</f>
        <v>-0.290721283683889</v>
      </c>
      <c r="M518" s="31" t="n">
        <f aca="false">G518/MAX(G$22:G518)-1</f>
        <v>-0.241754565942009</v>
      </c>
    </row>
    <row r="519" customFormat="false" ht="15" hidden="false" customHeight="false" outlineLevel="0" collapsed="false">
      <c r="A519" s="19" t="n">
        <f aca="false">Narxlar!A499</f>
        <v>45988</v>
      </c>
      <c r="B519" s="50" t="n">
        <f aca="false">Narxlar!B499/Narxlar!B$2</f>
        <v>1.23547</v>
      </c>
      <c r="C519" s="50" t="n">
        <f aca="false">Narxlar!C499/Narxlar!C$2</f>
        <v>1.88832</v>
      </c>
      <c r="D519" s="50" t="n">
        <f aca="false">Narxlar!D499/Narxlar!D$2</f>
        <v>1.73961956521739</v>
      </c>
      <c r="E519" s="50" t="n">
        <f aca="false">Narxlar!E499/Narxlar!E$2</f>
        <v>1.16438356164384</v>
      </c>
      <c r="F519" s="50" t="n">
        <f aca="false">Narxlar!F499/Narxlar!F$2</f>
        <v>1.4219140625</v>
      </c>
      <c r="G519" s="50" t="n">
        <f aca="false">G518*(1+VaR!B501)</f>
        <v>1.58816841161492</v>
      </c>
      <c r="H519" s="31" t="n">
        <f aca="false">B519/MAX(B$22:B519)-1</f>
        <v>-0.221245910732633</v>
      </c>
      <c r="I519" s="31" t="n">
        <f aca="false">C519/MAX(C$22:C519)-1</f>
        <v>-0.311937035417578</v>
      </c>
      <c r="J519" s="31" t="n">
        <f aca="false">D519/MAX(D$22:D519)-1</f>
        <v>-0.209556735399432</v>
      </c>
      <c r="K519" s="31" t="n">
        <f aca="false">E519/MAX(E$22:E519)-1</f>
        <v>-0.231534219329175</v>
      </c>
      <c r="L519" s="31" t="n">
        <f aca="false">F519/MAX(F$22:F519)-1</f>
        <v>-0.282441995702655</v>
      </c>
      <c r="M519" s="31" t="n">
        <f aca="false">G519/MAX(G$22:G519)-1</f>
        <v>-0.239776939147516</v>
      </c>
    </row>
    <row r="520" customFormat="false" ht="15" hidden="false" customHeight="false" outlineLevel="0" collapsed="false">
      <c r="A520" s="19" t="n">
        <f aca="false">Narxlar!A500</f>
        <v>45989</v>
      </c>
      <c r="B520" s="50" t="n">
        <f aca="false">Narxlar!B500/Narxlar!B$2</f>
        <v>1.24538</v>
      </c>
      <c r="C520" s="50" t="n">
        <f aca="false">Narxlar!C500/Narxlar!C$2</f>
        <v>1.91696</v>
      </c>
      <c r="D520" s="50" t="n">
        <f aca="false">Narxlar!D500/Narxlar!D$2</f>
        <v>1.74826086956522</v>
      </c>
      <c r="E520" s="50" t="n">
        <f aca="false">Narxlar!E500/Narxlar!E$2</f>
        <v>1.1613698630137</v>
      </c>
      <c r="F520" s="50" t="n">
        <f aca="false">Narxlar!F500/Narxlar!F$2</f>
        <v>1.4298046875</v>
      </c>
      <c r="G520" s="50" t="n">
        <f aca="false">G519*(1+VaR!B502)</f>
        <v>1.59810195285733</v>
      </c>
      <c r="H520" s="31" t="n">
        <f aca="false">B520/MAX(B$22:B520)-1</f>
        <v>-0.214999338153258</v>
      </c>
      <c r="I520" s="31" t="n">
        <f aca="false">C520/MAX(C$22:C520)-1</f>
        <v>-0.30150123888646</v>
      </c>
      <c r="J520" s="31" t="n">
        <f aca="false">D520/MAX(D$22:D520)-1</f>
        <v>-0.205630324731448</v>
      </c>
      <c r="K520" s="31" t="n">
        <f aca="false">E520/MAX(E$22:E520)-1</f>
        <v>-0.233523189585029</v>
      </c>
      <c r="L520" s="31" t="n">
        <f aca="false">F520/MAX(F$22:F520)-1</f>
        <v>-0.278460052435491</v>
      </c>
      <c r="M520" s="31" t="n">
        <f aca="false">G520/MAX(G$22:G520)-1</f>
        <v>-0.235021960347295</v>
      </c>
    </row>
    <row r="521" customFormat="false" ht="15" hidden="false" customHeight="false" outlineLevel="0" collapsed="false">
      <c r="A521" s="19" t="n">
        <f aca="false">Narxlar!A501</f>
        <v>45992</v>
      </c>
      <c r="B521" s="50" t="n">
        <f aca="false">Narxlar!B501/Narxlar!B$2</f>
        <v>1.24499</v>
      </c>
      <c r="C521" s="50" t="n">
        <f aca="false">Narxlar!C501/Narxlar!C$2</f>
        <v>1.9328</v>
      </c>
      <c r="D521" s="50" t="n">
        <f aca="false">Narxlar!D501/Narxlar!D$2</f>
        <v>1.73108695652174</v>
      </c>
      <c r="E521" s="50" t="n">
        <f aca="false">Narxlar!E501/Narxlar!E$2</f>
        <v>1.17054794520548</v>
      </c>
      <c r="F521" s="50" t="n">
        <f aca="false">Narxlar!F501/Narxlar!F$2</f>
        <v>1.4233203125</v>
      </c>
      <c r="G521" s="50" t="n">
        <f aca="false">G520*(1+VaR!B503)</f>
        <v>1.59984666556307</v>
      </c>
      <c r="H521" s="31" t="n">
        <f aca="false">B521/MAX(B$22:B521)-1</f>
        <v>-0.215245166942961</v>
      </c>
      <c r="I521" s="31" t="n">
        <f aca="false">C521/MAX(C$22:C521)-1</f>
        <v>-0.295729485497741</v>
      </c>
      <c r="J521" s="31" t="n">
        <f aca="false">D521/MAX(D$22:D521)-1</f>
        <v>-0.213433757253982</v>
      </c>
      <c r="K521" s="31" t="n">
        <f aca="false">E521/MAX(E$22:E521)-1</f>
        <v>-0.227465871078564</v>
      </c>
      <c r="L521" s="31" t="n">
        <f aca="false">F521/MAX(F$22:F521)-1</f>
        <v>-0.281732342447121</v>
      </c>
      <c r="M521" s="31" t="n">
        <f aca="false">G521/MAX(G$22:G521)-1</f>
        <v>-0.234186802801176</v>
      </c>
    </row>
    <row r="522" customFormat="false" ht="15" hidden="false" customHeight="false" outlineLevel="0" collapsed="false">
      <c r="A522" s="19" t="n">
        <f aca="false">Narxlar!A502</f>
        <v>45993</v>
      </c>
      <c r="B522" s="50" t="n">
        <f aca="false">Narxlar!B502/Narxlar!B$2</f>
        <v>1.25205</v>
      </c>
      <c r="C522" s="50" t="n">
        <f aca="false">Narxlar!C502/Narxlar!C$2</f>
        <v>1.9524</v>
      </c>
      <c r="D522" s="50" t="n">
        <f aca="false">Narxlar!D502/Narxlar!D$2</f>
        <v>1.70592391304348</v>
      </c>
      <c r="E522" s="50" t="n">
        <f aca="false">Narxlar!E502/Narxlar!E$2</f>
        <v>1.17821917808219</v>
      </c>
      <c r="F522" s="50" t="n">
        <f aca="false">Narxlar!F502/Narxlar!F$2</f>
        <v>1.465234375</v>
      </c>
      <c r="G522" s="50" t="n">
        <f aca="false">G521*(1+VaR!B504)</f>
        <v>1.61094356445543</v>
      </c>
      <c r="H522" s="31" t="n">
        <f aca="false">B522/MAX(B$22:B522)-1</f>
        <v>-0.210795035519109</v>
      </c>
      <c r="I522" s="31" t="n">
        <f aca="false">C522/MAX(C$22:C522)-1</f>
        <v>-0.288587669435942</v>
      </c>
      <c r="J522" s="31" t="n">
        <f aca="false">D522/MAX(D$22:D522)-1</f>
        <v>-0.224867267563897</v>
      </c>
      <c r="K522" s="31" t="n">
        <f aca="false">E522/MAX(E$22:E522)-1</f>
        <v>-0.222403037700027</v>
      </c>
      <c r="L522" s="31" t="n">
        <f aca="false">F522/MAX(F$22:F522)-1</f>
        <v>-0.260580732914112</v>
      </c>
      <c r="M522" s="31" t="n">
        <f aca="false">G522/MAX(G$22:G522)-1</f>
        <v>-0.228874948982512</v>
      </c>
    </row>
    <row r="523" customFormat="false" ht="15" hidden="false" customHeight="false" outlineLevel="0" collapsed="false">
      <c r="A523" s="19" t="n">
        <f aca="false">Narxlar!A503</f>
        <v>45994</v>
      </c>
      <c r="B523" s="50" t="n">
        <f aca="false">Narxlar!B503/Narxlar!B$2</f>
        <v>1.24882</v>
      </c>
      <c r="C523" s="50" t="n">
        <f aca="false">Narxlar!C503/Narxlar!C$2</f>
        <v>1.93064</v>
      </c>
      <c r="D523" s="50" t="n">
        <f aca="false">Narxlar!D503/Narxlar!D$2</f>
        <v>1.71005434782609</v>
      </c>
      <c r="E523" s="50" t="n">
        <f aca="false">Narxlar!E503/Narxlar!E$2</f>
        <v>1.18123287671233</v>
      </c>
      <c r="F523" s="50" t="n">
        <f aca="false">Narxlar!F503/Narxlar!F$2</f>
        <v>1.4405859375</v>
      </c>
      <c r="G523" s="50" t="n">
        <f aca="false">G522*(1+VaR!B505)</f>
        <v>1.60214258481339</v>
      </c>
      <c r="H523" s="31" t="n">
        <f aca="false">B523/MAX(B$22:B523)-1</f>
        <v>-0.212831002162033</v>
      </c>
      <c r="I523" s="31" t="n">
        <f aca="false">C523/MAX(C$22:C523)-1</f>
        <v>-0.296516542778021</v>
      </c>
      <c r="J523" s="31" t="n">
        <f aca="false">D523/MAX(D$22:D523)-1</f>
        <v>-0.222990492653414</v>
      </c>
      <c r="K523" s="31" t="n">
        <f aca="false">E523/MAX(E$22:E523)-1</f>
        <v>-0.220414067444173</v>
      </c>
      <c r="L523" s="31" t="n">
        <f aca="false">F523/MAX(F$22:F523)-1</f>
        <v>-0.273019377476394</v>
      </c>
      <c r="M523" s="31" t="n">
        <f aca="false">G523/MAX(G$22:G523)-1</f>
        <v>-0.233087794190262</v>
      </c>
    </row>
    <row r="524" customFormat="false" ht="15" hidden="false" customHeight="false" outlineLevel="0" collapsed="false">
      <c r="A524" s="19" t="n">
        <f aca="false">Narxlar!A504</f>
        <v>45995</v>
      </c>
      <c r="B524" s="50" t="n">
        <f aca="false">Narxlar!B504/Narxlar!B$2</f>
        <v>1.24023</v>
      </c>
      <c r="C524" s="50" t="n">
        <f aca="false">Narxlar!C504/Narxlar!C$2</f>
        <v>1.90576</v>
      </c>
      <c r="D524" s="50" t="n">
        <f aca="false">Narxlar!D504/Narxlar!D$2</f>
        <v>1.69913043478261</v>
      </c>
      <c r="E524" s="50" t="n">
        <f aca="false">Narxlar!E504/Narxlar!E$2</f>
        <v>1.17712328767123</v>
      </c>
      <c r="F524" s="50" t="n">
        <f aca="false">Narxlar!F504/Narxlar!F$2</f>
        <v>1.448046875</v>
      </c>
      <c r="G524" s="50" t="n">
        <f aca="false">G523*(1+VaR!B506)</f>
        <v>1.59365597928863</v>
      </c>
      <c r="H524" s="31" t="n">
        <f aca="false">B524/MAX(B$22:B524)-1</f>
        <v>-0.218245538837797</v>
      </c>
      <c r="I524" s="31" t="n">
        <f aca="false">C524/MAX(C$22:C524)-1</f>
        <v>-0.305582276636059</v>
      </c>
      <c r="J524" s="31" t="n">
        <f aca="false">D524/MAX(D$22:D524)-1</f>
        <v>-0.227954068403507</v>
      </c>
      <c r="K524" s="31" t="n">
        <f aca="false">E524/MAX(E$22:E524)-1</f>
        <v>-0.223126299611247</v>
      </c>
      <c r="L524" s="31" t="n">
        <f aca="false">F524/MAX(F$22:F524)-1</f>
        <v>-0.269254272703976</v>
      </c>
      <c r="M524" s="31" t="n">
        <f aca="false">G524/MAX(G$22:G524)-1</f>
        <v>-0.237150155071575</v>
      </c>
    </row>
    <row r="525" customFormat="false" ht="15" hidden="false" customHeight="false" outlineLevel="0" collapsed="false">
      <c r="A525" s="19" t="n">
        <f aca="false">Narxlar!A505</f>
        <v>45996</v>
      </c>
      <c r="B525" s="50" t="n">
        <f aca="false">Narxlar!B505/Narxlar!B$2</f>
        <v>1.23983</v>
      </c>
      <c r="C525" s="50" t="n">
        <f aca="false">Narxlar!C505/Narxlar!C$2</f>
        <v>1.91256</v>
      </c>
      <c r="D525" s="50" t="n">
        <f aca="false">Narxlar!D505/Narxlar!D$2</f>
        <v>1.70233695652174</v>
      </c>
      <c r="E525" s="50" t="n">
        <f aca="false">Narxlar!E505/Narxlar!E$2</f>
        <v>1.16753424657534</v>
      </c>
      <c r="F525" s="50" t="n">
        <f aca="false">Narxlar!F505/Narxlar!F$2</f>
        <v>1.4265625</v>
      </c>
      <c r="G525" s="50" t="n">
        <f aca="false">G524*(1+VaR!B507)</f>
        <v>1.58813926390353</v>
      </c>
      <c r="H525" s="31" t="n">
        <f aca="false">B525/MAX(B$22:B525)-1</f>
        <v>-0.2184976709298</v>
      </c>
      <c r="I525" s="31" t="n">
        <f aca="false">C525/MAX(C$22:C525)-1</f>
        <v>-0.303104503716659</v>
      </c>
      <c r="J525" s="31" t="n">
        <f aca="false">D525/MAX(D$22:D525)-1</f>
        <v>-0.226497098407211</v>
      </c>
      <c r="K525" s="31" t="n">
        <f aca="false">E525/MAX(E$22:E525)-1</f>
        <v>-0.229454841334418</v>
      </c>
      <c r="L525" s="31" t="n">
        <f aca="false">F525/MAX(F$22:F525)-1</f>
        <v>-0.280096197441306</v>
      </c>
      <c r="M525" s="31" t="n">
        <f aca="false">G525/MAX(G$22:G525)-1</f>
        <v>-0.239790891548411</v>
      </c>
    </row>
    <row r="526" customFormat="false" ht="15" hidden="false" customHeight="false" outlineLevel="0" collapsed="false">
      <c r="A526" s="19" t="n">
        <f aca="false">Narxlar!A506</f>
        <v>45999</v>
      </c>
      <c r="B526" s="50" t="n">
        <f aca="false">Narxlar!B506/Narxlar!B$2</f>
        <v>1.21703</v>
      </c>
      <c r="C526" s="50" t="n">
        <f aca="false">Narxlar!C506/Narxlar!C$2</f>
        <v>1.87616</v>
      </c>
      <c r="D526" s="50" t="n">
        <f aca="false">Narxlar!D506/Narxlar!D$2</f>
        <v>1.67179347826087</v>
      </c>
      <c r="E526" s="50" t="n">
        <f aca="false">Narxlar!E506/Narxlar!E$2</f>
        <v>1.12698630136986</v>
      </c>
      <c r="F526" s="50" t="n">
        <f aca="false">Narxlar!F506/Narxlar!F$2</f>
        <v>1.385</v>
      </c>
      <c r="G526" s="50" t="n">
        <f aca="false">G525*(1+VaR!B508)</f>
        <v>1.54890510987627</v>
      </c>
      <c r="H526" s="31" t="n">
        <f aca="false">B526/MAX(B$22:B526)-1</f>
        <v>-0.232869200173971</v>
      </c>
      <c r="I526" s="31" t="n">
        <f aca="false">C526/MAX(C$22:C526)-1</f>
        <v>-0.316367876402857</v>
      </c>
      <c r="J526" s="31" t="n">
        <f aca="false">D526/MAX(D$22:D526)-1</f>
        <v>-0.240375354982097</v>
      </c>
      <c r="K526" s="31" t="n">
        <f aca="false">E526/MAX(E$22:E526)-1</f>
        <v>-0.256215532049543</v>
      </c>
      <c r="L526" s="31" t="n">
        <f aca="false">F526/MAX(F$22:F526)-1</f>
        <v>-0.301070393660431</v>
      </c>
      <c r="M526" s="31" t="n">
        <f aca="false">G526/MAX(G$22:G526)-1</f>
        <v>-0.258571461950409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16" min="8" style="0" width="15"/>
  </cols>
  <sheetData>
    <row r="1" customFormat="false" ht="16.15" hidden="false" customHeight="false" outlineLevel="0" collapsed="false">
      <c r="A1" s="1" t="s">
        <v>314</v>
      </c>
    </row>
    <row r="2" customFormat="false" ht="15" hidden="false" customHeight="false" outlineLevel="0" collapsed="false">
      <c r="A2" s="6" t="s">
        <v>315</v>
      </c>
    </row>
    <row r="4" customFormat="false" ht="15" hidden="false" customHeight="false" outlineLevel="0" collapsed="false">
      <c r="A4" s="7" t="s">
        <v>102</v>
      </c>
      <c r="B4" s="7" t="s">
        <v>46</v>
      </c>
      <c r="C4" s="7" t="s">
        <v>47</v>
      </c>
      <c r="D4" s="7" t="s">
        <v>48</v>
      </c>
      <c r="E4" s="7" t="s">
        <v>49</v>
      </c>
    </row>
    <row r="5" customFormat="false" ht="15" hidden="false" customHeight="false" outlineLevel="0" collapsed="false">
      <c r="A5" s="8" t="s">
        <v>316</v>
      </c>
      <c r="B5" s="21" t="n">
        <f aca="false">AVERAGE(Hajmlar!B2:B506)</f>
        <v>84913.8613861386</v>
      </c>
      <c r="C5" s="21" t="n">
        <f aca="false">AVERAGE(Hajmlar!C2:C506)</f>
        <v>48468.1188118812</v>
      </c>
      <c r="D5" s="21" t="n">
        <f aca="false">AVERAGE(Hajmlar!D2:D506)</f>
        <v>120322.376237624</v>
      </c>
      <c r="E5" s="21" t="n">
        <f aca="false">AVERAGE(Hajmlar!E2:E506)</f>
        <v>22493.8613861386</v>
      </c>
    </row>
    <row r="6" customFormat="false" ht="15" hidden="false" customHeight="false" outlineLevel="0" collapsed="false">
      <c r="A6" s="8" t="s">
        <v>317</v>
      </c>
      <c r="B6" s="21" t="n">
        <f aca="false">Narxlar!C506</f>
        <v>23452</v>
      </c>
      <c r="C6" s="21" t="n">
        <f aca="false">Narxlar!D506</f>
        <v>30761</v>
      </c>
      <c r="D6" s="21" t="n">
        <f aca="false">Narxlar!E506</f>
        <v>8227</v>
      </c>
      <c r="E6" s="21" t="n">
        <f aca="false">Narxlar!F506</f>
        <v>35456</v>
      </c>
    </row>
    <row r="7" customFormat="false" ht="15" hidden="false" customHeight="false" outlineLevel="0" collapsed="false">
      <c r="A7" s="8" t="s">
        <v>318</v>
      </c>
      <c r="B7" s="25" t="n">
        <f aca="false">AVERAGE(H24:H527)/1000000</f>
        <v>1881.20467916667</v>
      </c>
      <c r="C7" s="25" t="n">
        <f aca="false">AVERAGE(I24:I527)/1000000</f>
        <v>1448.06606924603</v>
      </c>
      <c r="D7" s="25" t="n">
        <f aca="false">AVERAGE(J24:J527)/1000000</f>
        <v>1104.91597083333</v>
      </c>
      <c r="E7" s="25" t="n">
        <f aca="false">AVERAGE(K24:K527)/1000000</f>
        <v>790.815601587302</v>
      </c>
    </row>
    <row r="8" customFormat="false" ht="15" hidden="false" customHeight="false" outlineLevel="0" collapsed="false">
      <c r="A8" s="8" t="s">
        <v>319</v>
      </c>
      <c r="B8" s="46" t="n">
        <f aca="false">AVERAGE(M24:M527)*1000000000</f>
        <v>0.00787685395132988</v>
      </c>
      <c r="C8" s="46" t="n">
        <f aca="false">AVERAGE(N24:N527)*1000000000</f>
        <v>0.00808125500505939</v>
      </c>
      <c r="D8" s="46" t="n">
        <f aca="false">AVERAGE(O24:O527)*1000000000</f>
        <v>0.00854403787191713</v>
      </c>
      <c r="E8" s="46" t="n">
        <f aca="false">AVERAGE(P24:P527)*1000000000</f>
        <v>0.0220120911035346</v>
      </c>
    </row>
    <row r="9" customFormat="false" ht="15" hidden="false" customHeight="false" outlineLevel="0" collapsed="false">
      <c r="A9" s="8" t="s">
        <v>183</v>
      </c>
      <c r="B9" s="43" t="n">
        <f aca="false">Parametrlar!$B$14*Parametrlar!$B$7</f>
        <v>3000000000</v>
      </c>
      <c r="C9" s="43" t="n">
        <f aca="false">Parametrlar!$C$14*Parametrlar!$B$7</f>
        <v>2500000000</v>
      </c>
      <c r="D9" s="43" t="n">
        <f aca="false">Parametrlar!$D$14*Parametrlar!$B$7</f>
        <v>2500000000</v>
      </c>
      <c r="E9" s="43" t="n">
        <f aca="false">Parametrlar!$E$14*Parametrlar!$B$7</f>
        <v>2000000000</v>
      </c>
    </row>
    <row r="10" customFormat="false" ht="15" hidden="false" customHeight="false" outlineLevel="0" collapsed="false">
      <c r="A10" s="8" t="s">
        <v>320</v>
      </c>
      <c r="B10" s="21" t="n">
        <f aca="false">B9/B6</f>
        <v>127920.859628177</v>
      </c>
      <c r="C10" s="21" t="n">
        <f aca="false">C9/C6</f>
        <v>81271.740190501</v>
      </c>
      <c r="D10" s="21" t="n">
        <f aca="false">D9/D6</f>
        <v>303877.476601434</v>
      </c>
      <c r="E10" s="21" t="n">
        <f aca="false">E9/E6</f>
        <v>56407.9422382672</v>
      </c>
    </row>
    <row r="11" customFormat="false" ht="15" hidden="false" customHeight="false" outlineLevel="0" collapsed="false">
      <c r="A11" s="8" t="s">
        <v>321</v>
      </c>
      <c r="B11" s="32" t="n">
        <f aca="false">B10/($B$20*B5)</f>
        <v>7.53238973825883</v>
      </c>
      <c r="C11" s="32" t="n">
        <f aca="false">C10/($B$20*C5)</f>
        <v>8.3840411163821</v>
      </c>
      <c r="D11" s="32" t="n">
        <f aca="false">D10/($B$20*D5)</f>
        <v>12.6276377721011</v>
      </c>
      <c r="E11" s="32" t="n">
        <f aca="false">E10/($B$20*E5)</f>
        <v>12.5385191252729</v>
      </c>
    </row>
    <row r="12" customFormat="false" ht="15" hidden="false" customHeight="false" outlineLevel="0" collapsed="false">
      <c r="A12" s="8" t="s">
        <v>322</v>
      </c>
      <c r="B12" s="9" t="n">
        <v>0.008</v>
      </c>
      <c r="C12" s="9" t="n">
        <v>0.006</v>
      </c>
      <c r="D12" s="9" t="n">
        <v>0.01</v>
      </c>
      <c r="E12" s="9" t="n">
        <v>0.015</v>
      </c>
    </row>
    <row r="13" customFormat="false" ht="15" hidden="false" customHeight="false" outlineLevel="0" collapsed="false">
      <c r="A13" s="8" t="s">
        <v>323</v>
      </c>
      <c r="B13" s="43" t="n">
        <f aca="false">0.5*B12*B9</f>
        <v>12000000</v>
      </c>
      <c r="C13" s="43" t="n">
        <f aca="false">0.5*C12*C9</f>
        <v>7500000</v>
      </c>
      <c r="D13" s="43" t="n">
        <f aca="false">0.5*D12*D9</f>
        <v>12500000</v>
      </c>
      <c r="E13" s="43" t="n">
        <f aca="false">0.5*E12*E9</f>
        <v>15000000</v>
      </c>
    </row>
    <row r="14" customFormat="false" ht="15" hidden="false" customHeight="false" outlineLevel="0" collapsed="false">
      <c r="A14" s="8" t="s">
        <v>324</v>
      </c>
      <c r="B14" s="39" t="n">
        <f aca="false">VaR!I25</f>
        <v>124821286.754423</v>
      </c>
      <c r="C14" s="39" t="n">
        <f aca="false">VaR!I26</f>
        <v>85984529.0817995</v>
      </c>
      <c r="D14" s="39" t="n">
        <f aca="false">VaR!I27</f>
        <v>70684223.3019121</v>
      </c>
      <c r="E14" s="39" t="n">
        <f aca="false">VaR!I28</f>
        <v>103912438.779051</v>
      </c>
    </row>
    <row r="15" customFormat="false" ht="15" hidden="false" customHeight="false" outlineLevel="0" collapsed="false">
      <c r="A15" s="8" t="s">
        <v>325</v>
      </c>
      <c r="B15" s="42" t="n">
        <f aca="false">B14+B13</f>
        <v>136821286.754423</v>
      </c>
      <c r="C15" s="42" t="n">
        <f aca="false">C14+C13</f>
        <v>93484529.0817995</v>
      </c>
      <c r="D15" s="42" t="n">
        <f aca="false">D14+D13</f>
        <v>83184223.3019121</v>
      </c>
      <c r="E15" s="42" t="n">
        <f aca="false">E14+E13</f>
        <v>118912438.779051</v>
      </c>
    </row>
    <row r="16" customFormat="false" ht="15" hidden="false" customHeight="false" outlineLevel="0" collapsed="false">
      <c r="A16" s="8" t="s">
        <v>326</v>
      </c>
      <c r="B16" s="42" t="n">
        <f aca="false">B14*SQRT(MAX(1,B11))</f>
        <v>342574511.279931</v>
      </c>
      <c r="C16" s="42" t="n">
        <f aca="false">C14*SQRT(MAX(1,C11))</f>
        <v>248969998.568937</v>
      </c>
      <c r="D16" s="42" t="n">
        <f aca="false">D14*SQRT(MAX(1,D11))</f>
        <v>251179127.753729</v>
      </c>
      <c r="E16" s="42" t="n">
        <f aca="false">E14*SQRT(MAX(1,E11))</f>
        <v>367951570.561018</v>
      </c>
    </row>
    <row r="17" customFormat="false" ht="15" hidden="false" customHeight="false" outlineLevel="0" collapsed="false">
      <c r="A17" s="36" t="s">
        <v>50</v>
      </c>
      <c r="B17" s="8" t="s">
        <v>327</v>
      </c>
      <c r="C17" s="43" t="n">
        <f aca="false">SUM(B14:E14)</f>
        <v>385402477.917186</v>
      </c>
      <c r="D17" s="8" t="s">
        <v>328</v>
      </c>
      <c r="E17" s="42" t="n">
        <f aca="false">SUM(B15:E15)</f>
        <v>432402477.917186</v>
      </c>
    </row>
    <row r="20" customFormat="false" ht="15" hidden="false" customHeight="false" outlineLevel="0" collapsed="false">
      <c r="A20" s="8" t="s">
        <v>329</v>
      </c>
      <c r="B20" s="9" t="n">
        <v>0.2</v>
      </c>
    </row>
    <row r="21" customFormat="false" ht="15" hidden="false" customHeight="false" outlineLevel="0" collapsed="false">
      <c r="A21" s="10" t="s">
        <v>330</v>
      </c>
    </row>
    <row r="23" customFormat="false" ht="23.85" hidden="false" customHeight="false" outlineLevel="0" collapsed="false">
      <c r="G23" s="7" t="s">
        <v>53</v>
      </c>
      <c r="H23" s="7" t="s">
        <v>331</v>
      </c>
      <c r="I23" s="7" t="s">
        <v>332</v>
      </c>
      <c r="J23" s="7" t="s">
        <v>333</v>
      </c>
      <c r="K23" s="7" t="s">
        <v>334</v>
      </c>
      <c r="L23" s="7" t="s">
        <v>335</v>
      </c>
      <c r="M23" s="7" t="s">
        <v>336</v>
      </c>
      <c r="N23" s="7" t="s">
        <v>337</v>
      </c>
      <c r="O23" s="7" t="s">
        <v>338</v>
      </c>
    </row>
    <row r="24" customFormat="false" ht="15" hidden="false" customHeight="false" outlineLevel="0" collapsed="false">
      <c r="G24" s="19" t="n">
        <f aca="false">Daromadlilik!A2</f>
        <v>45294</v>
      </c>
      <c r="H24" s="51" t="n">
        <f aca="false">Hajmlar!B3*Narxlar!C3</f>
        <v>1055857500</v>
      </c>
      <c r="I24" s="51" t="n">
        <f aca="false">Hajmlar!C3*Narxlar!D3</f>
        <v>386235200</v>
      </c>
      <c r="J24" s="51" t="n">
        <f aca="false">Hajmlar!D3*Narxlar!E3</f>
        <v>1274507500</v>
      </c>
      <c r="K24" s="51" t="n">
        <f aca="false">Hajmlar!E3*Narxlar!F3</f>
        <v>1264513600</v>
      </c>
      <c r="M24" s="52" t="n">
        <f aca="false">ABS(Daromadlilik!I2)/H24</f>
        <v>1.89230332944839E-012</v>
      </c>
      <c r="N24" s="52" t="n">
        <f aca="false">ABS(Daromadlilik!J2)/I24</f>
        <v>2.36717394052087E-011</v>
      </c>
      <c r="O24" s="52" t="n">
        <f aca="false">ABS(Daromadlilik!K2)/J24</f>
        <v>3.25281797400488E-011</v>
      </c>
      <c r="P24" s="52" t="n">
        <f aca="false">ABS(Daromadlilik!L2)/K24</f>
        <v>2.21791879332459E-011</v>
      </c>
    </row>
    <row r="25" customFormat="false" ht="15" hidden="false" customHeight="false" outlineLevel="0" collapsed="false">
      <c r="G25" s="19" t="n">
        <f aca="false">Daromadlilik!A3</f>
        <v>45295</v>
      </c>
      <c r="H25" s="51" t="n">
        <f aca="false">Hajmlar!B4*Narxlar!C4</f>
        <v>390647100</v>
      </c>
      <c r="I25" s="51" t="n">
        <f aca="false">Hajmlar!C4*Narxlar!D4</f>
        <v>1314313000</v>
      </c>
      <c r="J25" s="51" t="n">
        <f aca="false">Hajmlar!D4*Narxlar!E4</f>
        <v>761390400</v>
      </c>
      <c r="K25" s="51" t="n">
        <f aca="false">Hajmlar!E4*Narxlar!F4</f>
        <v>509240700</v>
      </c>
      <c r="M25" s="52" t="n">
        <f aca="false">ABS(Daromadlilik!I3)/H25</f>
        <v>7.34711388920439E-012</v>
      </c>
      <c r="N25" s="52" t="n">
        <f aca="false">ABS(Daromadlilik!J3)/I25</f>
        <v>7.70105650826005E-012</v>
      </c>
      <c r="O25" s="52" t="n">
        <f aca="false">ABS(Daromadlilik!K3)/J25</f>
        <v>2.00016401873337E-011</v>
      </c>
      <c r="P25" s="52" t="n">
        <f aca="false">ABS(Daromadlilik!L3)/K25</f>
        <v>2.30919763254501E-011</v>
      </c>
    </row>
    <row r="26" customFormat="false" ht="15" hidden="false" customHeight="false" outlineLevel="0" collapsed="false">
      <c r="G26" s="19" t="n">
        <f aca="false">Daromadlilik!A4</f>
        <v>45296</v>
      </c>
      <c r="H26" s="51" t="n">
        <f aca="false">Hajmlar!B5*Narxlar!C5</f>
        <v>1129075200</v>
      </c>
      <c r="I26" s="51" t="n">
        <f aca="false">Hajmlar!C5*Narxlar!D5</f>
        <v>793692900</v>
      </c>
      <c r="J26" s="51" t="n">
        <f aca="false">Hajmlar!D5*Narxlar!E5</f>
        <v>575139200</v>
      </c>
      <c r="K26" s="51" t="n">
        <f aca="false">Hajmlar!E5*Narxlar!F5</f>
        <v>339576600</v>
      </c>
      <c r="M26" s="52" t="n">
        <f aca="false">ABS(Daromadlilik!I4)/H26</f>
        <v>7.79227049443128E-012</v>
      </c>
      <c r="N26" s="52" t="n">
        <f aca="false">ABS(Daromadlilik!J4)/I26</f>
        <v>8.13017193620813E-012</v>
      </c>
      <c r="O26" s="52" t="n">
        <f aca="false">ABS(Daromadlilik!K4)/J26</f>
        <v>7.87061968925587E-012</v>
      </c>
      <c r="P26" s="52" t="n">
        <f aca="false">ABS(Daromadlilik!L4)/K26</f>
        <v>7.1813778613522E-013</v>
      </c>
    </row>
    <row r="27" customFormat="false" ht="15" hidden="false" customHeight="false" outlineLevel="0" collapsed="false">
      <c r="G27" s="19" t="n">
        <f aca="false">Daromadlilik!A5</f>
        <v>45299</v>
      </c>
      <c r="H27" s="51" t="n">
        <f aca="false">Hajmlar!B6*Narxlar!C6</f>
        <v>1849853700</v>
      </c>
      <c r="I27" s="51" t="n">
        <f aca="false">Hajmlar!C6*Narxlar!D6</f>
        <v>1047062900</v>
      </c>
      <c r="J27" s="51" t="n">
        <f aca="false">Hajmlar!D6*Narxlar!E6</f>
        <v>431480000</v>
      </c>
      <c r="K27" s="51" t="n">
        <f aca="false">Hajmlar!E6*Narxlar!F6</f>
        <v>613849600</v>
      </c>
      <c r="M27" s="52" t="n">
        <f aca="false">ABS(Daromadlilik!I5)/H27</f>
        <v>1.0770209681847E-011</v>
      </c>
      <c r="N27" s="52" t="n">
        <f aca="false">ABS(Daromadlilik!J5)/I27</f>
        <v>1.17997883759322E-011</v>
      </c>
      <c r="O27" s="52" t="n">
        <f aca="false">ABS(Daromadlilik!K5)/J27</f>
        <v>7.40055293212874E-012</v>
      </c>
      <c r="P27" s="52" t="n">
        <f aca="false">ABS(Daromadlilik!L5)/K27</f>
        <v>9.57129975216613E-012</v>
      </c>
    </row>
    <row r="28" customFormat="false" ht="15" hidden="false" customHeight="false" outlineLevel="0" collapsed="false">
      <c r="G28" s="19" t="n">
        <f aca="false">Daromadlilik!A6</f>
        <v>45300</v>
      </c>
      <c r="H28" s="51" t="n">
        <f aca="false">Hajmlar!B7*Narxlar!C7</f>
        <v>981615000</v>
      </c>
      <c r="I28" s="51" t="n">
        <f aca="false">Hajmlar!C7*Narxlar!D7</f>
        <v>585364500</v>
      </c>
      <c r="J28" s="51" t="n">
        <f aca="false">Hajmlar!D7*Narxlar!E7</f>
        <v>632013600</v>
      </c>
      <c r="K28" s="51" t="n">
        <f aca="false">Hajmlar!E7*Narxlar!F7</f>
        <v>641166400</v>
      </c>
      <c r="M28" s="52" t="n">
        <f aca="false">ABS(Daromadlilik!I6)/H28</f>
        <v>2.07789298325434E-011</v>
      </c>
      <c r="N28" s="52" t="n">
        <f aca="false">ABS(Daromadlilik!J6)/I28</f>
        <v>1.35517630847815E-011</v>
      </c>
      <c r="O28" s="52" t="n">
        <f aca="false">ABS(Daromadlilik!K6)/J28</f>
        <v>1.82381085415322E-011</v>
      </c>
      <c r="P28" s="52" t="n">
        <f aca="false">ABS(Daromadlilik!L6)/K28</f>
        <v>1.7743735451683E-011</v>
      </c>
    </row>
    <row r="29" customFormat="false" ht="15" hidden="false" customHeight="false" outlineLevel="0" collapsed="false">
      <c r="G29" s="19" t="n">
        <f aca="false">Daromadlilik!A7</f>
        <v>45301</v>
      </c>
      <c r="H29" s="51" t="n">
        <f aca="false">Hajmlar!B8*Narxlar!C8</f>
        <v>692190400</v>
      </c>
      <c r="I29" s="51" t="n">
        <f aca="false">Hajmlar!C8*Narxlar!D8</f>
        <v>1115354400</v>
      </c>
      <c r="J29" s="51" t="n">
        <f aca="false">Hajmlar!D8*Narxlar!E8</f>
        <v>593834400</v>
      </c>
      <c r="K29" s="51" t="n">
        <f aca="false">Hajmlar!E8*Narxlar!F8</f>
        <v>758533100</v>
      </c>
      <c r="M29" s="52" t="n">
        <f aca="false">ABS(Daromadlilik!I7)/H29</f>
        <v>2.80136160658059E-011</v>
      </c>
      <c r="N29" s="52" t="n">
        <f aca="false">ABS(Daromadlilik!J7)/I29</f>
        <v>6.29819774074284E-012</v>
      </c>
      <c r="O29" s="52" t="n">
        <f aca="false">ABS(Daromadlilik!K7)/J29</f>
        <v>7.28008117587591E-012</v>
      </c>
      <c r="P29" s="52" t="n">
        <f aca="false">ABS(Daromadlilik!L7)/K29</f>
        <v>4.74578490403553E-011</v>
      </c>
    </row>
    <row r="30" customFormat="false" ht="15" hidden="false" customHeight="false" outlineLevel="0" collapsed="false">
      <c r="G30" s="19" t="n">
        <f aca="false">Daromadlilik!A8</f>
        <v>45302</v>
      </c>
      <c r="H30" s="51" t="n">
        <f aca="false">Hajmlar!B9*Narxlar!C9</f>
        <v>2234457700</v>
      </c>
      <c r="I30" s="51" t="n">
        <f aca="false">Hajmlar!C9*Narxlar!D9</f>
        <v>1781182800</v>
      </c>
      <c r="J30" s="51" t="n">
        <f aca="false">Hajmlar!D9*Narxlar!E9</f>
        <v>1075456800</v>
      </c>
      <c r="K30" s="51" t="n">
        <f aca="false">Hajmlar!E9*Narxlar!F9</f>
        <v>677337400</v>
      </c>
      <c r="M30" s="52" t="n">
        <f aca="false">ABS(Daromadlilik!I8)/H30</f>
        <v>7.37262028408572E-012</v>
      </c>
      <c r="N30" s="52" t="n">
        <f aca="false">ABS(Daromadlilik!J8)/I30</f>
        <v>7.15546516657659E-012</v>
      </c>
      <c r="O30" s="52" t="n">
        <f aca="false">ABS(Daromadlilik!K8)/J30</f>
        <v>7.58436050034632E-012</v>
      </c>
      <c r="P30" s="52" t="n">
        <f aca="false">ABS(Daromadlilik!L8)/K30</f>
        <v>2.19863248905541E-011</v>
      </c>
    </row>
    <row r="31" customFormat="false" ht="15" hidden="false" customHeight="false" outlineLevel="0" collapsed="false">
      <c r="G31" s="19" t="n">
        <f aca="false">Daromadlilik!A9</f>
        <v>45303</v>
      </c>
      <c r="H31" s="51" t="n">
        <f aca="false">Hajmlar!B10*Narxlar!C10</f>
        <v>694948800</v>
      </c>
      <c r="I31" s="51" t="n">
        <f aca="false">Hajmlar!C10*Narxlar!D10</f>
        <v>1010093200</v>
      </c>
      <c r="J31" s="51" t="n">
        <f aca="false">Hajmlar!D10*Narxlar!E10</f>
        <v>844015200</v>
      </c>
      <c r="K31" s="51" t="n">
        <f aca="false">Hajmlar!E10*Narxlar!F10</f>
        <v>578856000</v>
      </c>
      <c r="M31" s="52" t="n">
        <f aca="false">ABS(Daromadlilik!I9)/H31</f>
        <v>3.10301887218628E-011</v>
      </c>
      <c r="N31" s="52" t="n">
        <f aca="false">ABS(Daromadlilik!J9)/I31</f>
        <v>7.79982354711254E-012</v>
      </c>
      <c r="O31" s="52" t="n">
        <f aca="false">ABS(Daromadlilik!K9)/J31</f>
        <v>2.43457652287397E-011</v>
      </c>
      <c r="P31" s="52" t="n">
        <f aca="false">ABS(Daromadlilik!L9)/K31</f>
        <v>6.15626069936015E-011</v>
      </c>
    </row>
    <row r="32" customFormat="false" ht="15" hidden="false" customHeight="false" outlineLevel="0" collapsed="false">
      <c r="G32" s="19" t="n">
        <f aca="false">Daromadlilik!A10</f>
        <v>45306</v>
      </c>
      <c r="H32" s="51" t="n">
        <f aca="false">Hajmlar!B11*Narxlar!C11</f>
        <v>522024300</v>
      </c>
      <c r="I32" s="51" t="n">
        <f aca="false">Hajmlar!C11*Narxlar!D11</f>
        <v>1254235000</v>
      </c>
      <c r="J32" s="51" t="n">
        <f aca="false">Hajmlar!D11*Narxlar!E11</f>
        <v>1093577500</v>
      </c>
      <c r="K32" s="51" t="n">
        <f aca="false">Hajmlar!E11*Narxlar!F11</f>
        <v>266144700</v>
      </c>
      <c r="M32" s="52" t="n">
        <f aca="false">ABS(Daromadlilik!I10)/H32</f>
        <v>1.40735616220262E-011</v>
      </c>
      <c r="N32" s="52" t="n">
        <f aca="false">ABS(Daromadlilik!J10)/I32</f>
        <v>9.57402688059474E-013</v>
      </c>
      <c r="O32" s="52" t="n">
        <f aca="false">ABS(Daromadlilik!K10)/J32</f>
        <v>7.64786718359699E-013</v>
      </c>
      <c r="P32" s="52" t="n">
        <f aca="false">ABS(Daromadlilik!L10)/K32</f>
        <v>2.21867056156668E-011</v>
      </c>
    </row>
    <row r="33" customFormat="false" ht="15" hidden="false" customHeight="false" outlineLevel="0" collapsed="false">
      <c r="G33" s="19" t="n">
        <f aca="false">Daromadlilik!A11</f>
        <v>45307</v>
      </c>
      <c r="H33" s="51" t="n">
        <f aca="false">Hajmlar!B12*Narxlar!C12</f>
        <v>1468790800</v>
      </c>
      <c r="I33" s="51" t="n">
        <f aca="false">Hajmlar!C12*Narxlar!D12</f>
        <v>700884700</v>
      </c>
      <c r="J33" s="51" t="n">
        <f aca="false">Hajmlar!D12*Narxlar!E12</f>
        <v>1428966000</v>
      </c>
      <c r="K33" s="51" t="n">
        <f aca="false">Hajmlar!E12*Narxlar!F12</f>
        <v>741546500</v>
      </c>
      <c r="M33" s="52" t="n">
        <f aca="false">ABS(Daromadlilik!I11)/H33</f>
        <v>3.01162538232632E-011</v>
      </c>
      <c r="N33" s="52" t="n">
        <f aca="false">ABS(Daromadlilik!J11)/I33</f>
        <v>1.41891004559241E-011</v>
      </c>
      <c r="O33" s="52" t="n">
        <f aca="false">ABS(Daromadlilik!K11)/J33</f>
        <v>4.47473151194532E-012</v>
      </c>
      <c r="P33" s="52" t="n">
        <f aca="false">ABS(Daromadlilik!L11)/K33</f>
        <v>1.87663878128511E-011</v>
      </c>
    </row>
    <row r="34" customFormat="false" ht="15" hidden="false" customHeight="false" outlineLevel="0" collapsed="false">
      <c r="G34" s="19" t="n">
        <f aca="false">Daromadlilik!A12</f>
        <v>45308</v>
      </c>
      <c r="H34" s="51" t="n">
        <f aca="false">Hajmlar!B13*Narxlar!C13</f>
        <v>933303300</v>
      </c>
      <c r="I34" s="51" t="n">
        <f aca="false">Hajmlar!C13*Narxlar!D13</f>
        <v>714865300</v>
      </c>
      <c r="J34" s="51" t="n">
        <f aca="false">Hajmlar!D13*Narxlar!E13</f>
        <v>879788900</v>
      </c>
      <c r="K34" s="51" t="n">
        <f aca="false">Hajmlar!E13*Narxlar!F13</f>
        <v>532944600</v>
      </c>
      <c r="M34" s="52" t="n">
        <f aca="false">ABS(Daromadlilik!I12)/H34</f>
        <v>4.70854121879297E-012</v>
      </c>
      <c r="N34" s="52" t="n">
        <f aca="false">ABS(Daromadlilik!J12)/I34</f>
        <v>8.80221685043625E-012</v>
      </c>
      <c r="O34" s="52" t="n">
        <f aca="false">ABS(Daromadlilik!K12)/J34</f>
        <v>5.6557002380221E-012</v>
      </c>
      <c r="P34" s="52" t="n">
        <f aca="false">ABS(Daromadlilik!L12)/K34</f>
        <v>1.03131212630661E-011</v>
      </c>
    </row>
    <row r="35" customFormat="false" ht="15" hidden="false" customHeight="false" outlineLevel="0" collapsed="false">
      <c r="G35" s="19" t="n">
        <f aca="false">Daromadlilik!A13</f>
        <v>45309</v>
      </c>
      <c r="H35" s="51" t="n">
        <f aca="false">Hajmlar!B14*Narxlar!C14</f>
        <v>1545857600</v>
      </c>
      <c r="I35" s="51" t="n">
        <f aca="false">Hajmlar!C14*Narxlar!D14</f>
        <v>356335900</v>
      </c>
      <c r="J35" s="51" t="n">
        <f aca="false">Hajmlar!D14*Narxlar!E14</f>
        <v>677846400</v>
      </c>
      <c r="K35" s="51" t="n">
        <f aca="false">Hajmlar!E14*Narxlar!F14</f>
        <v>355612500</v>
      </c>
      <c r="M35" s="52" t="n">
        <f aca="false">ABS(Daromadlilik!I13)/H35</f>
        <v>7.75377342949496E-012</v>
      </c>
      <c r="N35" s="52" t="n">
        <f aca="false">ABS(Daromadlilik!J13)/I35</f>
        <v>1.31023753158714E-011</v>
      </c>
      <c r="O35" s="52" t="n">
        <f aca="false">ABS(Daromadlilik!K13)/J35</f>
        <v>1.6786337690793E-011</v>
      </c>
      <c r="P35" s="52" t="n">
        <f aca="false">ABS(Daromadlilik!L13)/K35</f>
        <v>8.95777410871204E-012</v>
      </c>
    </row>
    <row r="36" customFormat="false" ht="15" hidden="false" customHeight="false" outlineLevel="0" collapsed="false">
      <c r="G36" s="19" t="n">
        <f aca="false">Daromadlilik!A14</f>
        <v>45310</v>
      </c>
      <c r="H36" s="51" t="n">
        <f aca="false">Hajmlar!B15*Narxlar!C15</f>
        <v>815355500</v>
      </c>
      <c r="I36" s="51" t="n">
        <f aca="false">Hajmlar!C15*Narxlar!D15</f>
        <v>874435000</v>
      </c>
      <c r="J36" s="51" t="n">
        <f aca="false">Hajmlar!D15*Narxlar!E15</f>
        <v>1036513200</v>
      </c>
      <c r="K36" s="51" t="n">
        <f aca="false">Hajmlar!E15*Narxlar!F15</f>
        <v>257129600</v>
      </c>
      <c r="M36" s="52" t="n">
        <f aca="false">ABS(Daromadlilik!I14)/H36</f>
        <v>1.01585546201361E-011</v>
      </c>
      <c r="N36" s="52" t="n">
        <f aca="false">ABS(Daromadlilik!J14)/I36</f>
        <v>8.76180892230948E-012</v>
      </c>
      <c r="O36" s="52" t="n">
        <f aca="false">ABS(Daromadlilik!K14)/J36</f>
        <v>6.86298359615895E-012</v>
      </c>
      <c r="P36" s="52" t="n">
        <f aca="false">ABS(Daromadlilik!L14)/K36</f>
        <v>3.14293894814134E-011</v>
      </c>
    </row>
    <row r="37" customFormat="false" ht="15" hidden="false" customHeight="false" outlineLevel="0" collapsed="false">
      <c r="G37" s="19" t="n">
        <f aca="false">Daromadlilik!A15</f>
        <v>45313</v>
      </c>
      <c r="H37" s="51" t="n">
        <f aca="false">Hajmlar!B16*Narxlar!C16</f>
        <v>876081600</v>
      </c>
      <c r="I37" s="51" t="n">
        <f aca="false">Hajmlar!C16*Narxlar!D16</f>
        <v>647961600</v>
      </c>
      <c r="J37" s="51" t="n">
        <f aca="false">Hajmlar!D16*Narxlar!E16</f>
        <v>551840400</v>
      </c>
      <c r="K37" s="51" t="n">
        <f aca="false">Hajmlar!E16*Narxlar!F16</f>
        <v>809515600</v>
      </c>
      <c r="M37" s="52" t="n">
        <f aca="false">ABS(Daromadlilik!I15)/H37</f>
        <v>4.68924265127667E-012</v>
      </c>
      <c r="N37" s="52" t="n">
        <f aca="false">ABS(Daromadlilik!J15)/I37</f>
        <v>2.51723969463599E-011</v>
      </c>
      <c r="O37" s="52" t="n">
        <f aca="false">ABS(Daromadlilik!K15)/J37</f>
        <v>1.04790271279741E-011</v>
      </c>
      <c r="P37" s="52" t="n">
        <f aca="false">ABS(Daromadlilik!L15)/K37</f>
        <v>1.71562643541796E-011</v>
      </c>
    </row>
    <row r="38" customFormat="false" ht="15" hidden="false" customHeight="false" outlineLevel="0" collapsed="false">
      <c r="G38" s="19" t="n">
        <f aca="false">Daromadlilik!A16</f>
        <v>45314</v>
      </c>
      <c r="H38" s="51" t="n">
        <f aca="false">Hajmlar!B17*Narxlar!C17</f>
        <v>1030602900</v>
      </c>
      <c r="I38" s="51" t="n">
        <f aca="false">Hajmlar!C17*Narxlar!D17</f>
        <v>597084600</v>
      </c>
      <c r="J38" s="51" t="n">
        <f aca="false">Hajmlar!D17*Narxlar!E17</f>
        <v>1207607700</v>
      </c>
      <c r="K38" s="51" t="n">
        <f aca="false">Hajmlar!E17*Narxlar!F17</f>
        <v>485446400</v>
      </c>
      <c r="M38" s="52" t="n">
        <f aca="false">ABS(Daromadlilik!I16)/H38</f>
        <v>5.29133227936207E-012</v>
      </c>
      <c r="N38" s="52" t="n">
        <f aca="false">ABS(Daromadlilik!J16)/I38</f>
        <v>2.17268108202063E-011</v>
      </c>
      <c r="O38" s="52" t="n">
        <f aca="false">ABS(Daromadlilik!K16)/J38</f>
        <v>4.70144905230374E-012</v>
      </c>
      <c r="P38" s="52" t="n">
        <f aca="false">ABS(Daromadlilik!L16)/K38</f>
        <v>2.98691937624224E-011</v>
      </c>
    </row>
    <row r="39" customFormat="false" ht="15" hidden="false" customHeight="false" outlineLevel="0" collapsed="false">
      <c r="G39" s="19" t="n">
        <f aca="false">Daromadlilik!A17</f>
        <v>45315</v>
      </c>
      <c r="H39" s="51" t="n">
        <f aca="false">Hajmlar!B18*Narxlar!C18</f>
        <v>964732500</v>
      </c>
      <c r="I39" s="51" t="n">
        <f aca="false">Hajmlar!C18*Narxlar!D18</f>
        <v>760031800</v>
      </c>
      <c r="J39" s="51" t="n">
        <f aca="false">Hajmlar!D18*Narxlar!E18</f>
        <v>1208313600</v>
      </c>
      <c r="K39" s="51" t="n">
        <f aca="false">Hajmlar!E18*Narxlar!F18</f>
        <v>341850800</v>
      </c>
      <c r="M39" s="52" t="n">
        <f aca="false">ABS(Daromadlilik!I17)/H39</f>
        <v>3.30834793677802E-012</v>
      </c>
      <c r="N39" s="52" t="n">
        <f aca="false">ABS(Daromadlilik!J17)/I39</f>
        <v>9.26253706290724E-012</v>
      </c>
      <c r="O39" s="52" t="n">
        <f aca="false">ABS(Daromadlilik!K17)/J39</f>
        <v>1.4920319286921E-011</v>
      </c>
      <c r="P39" s="52" t="n">
        <f aca="false">ABS(Daromadlilik!L17)/K39</f>
        <v>5.10791367409066E-012</v>
      </c>
    </row>
    <row r="40" customFormat="false" ht="15" hidden="false" customHeight="false" outlineLevel="0" collapsed="false">
      <c r="G40" s="19" t="n">
        <f aca="false">Daromadlilik!A18</f>
        <v>45316</v>
      </c>
      <c r="H40" s="51" t="n">
        <f aca="false">Hajmlar!B19*Narxlar!C19</f>
        <v>1198435200</v>
      </c>
      <c r="I40" s="51" t="n">
        <f aca="false">Hajmlar!C19*Narxlar!D19</f>
        <v>1216045700</v>
      </c>
      <c r="J40" s="51" t="n">
        <f aca="false">Hajmlar!D19*Narxlar!E19</f>
        <v>1388119500</v>
      </c>
      <c r="K40" s="51" t="n">
        <f aca="false">Hajmlar!E19*Narxlar!F19</f>
        <v>523110000</v>
      </c>
      <c r="M40" s="52" t="n">
        <f aca="false">ABS(Daromadlilik!I18)/H40</f>
        <v>1.0844919911416E-011</v>
      </c>
      <c r="N40" s="52" t="n">
        <f aca="false">ABS(Daromadlilik!J18)/I40</f>
        <v>2.85197326783284E-011</v>
      </c>
      <c r="O40" s="52" t="n">
        <f aca="false">ABS(Daromadlilik!K18)/J40</f>
        <v>1.08244739738294E-011</v>
      </c>
      <c r="P40" s="52" t="n">
        <f aca="false">ABS(Daromadlilik!L18)/K40</f>
        <v>4.71376294890219E-011</v>
      </c>
    </row>
    <row r="41" customFormat="false" ht="15" hidden="false" customHeight="false" outlineLevel="0" collapsed="false">
      <c r="G41" s="19" t="n">
        <f aca="false">Daromadlilik!A19</f>
        <v>45317</v>
      </c>
      <c r="H41" s="51" t="n">
        <f aca="false">Hajmlar!B20*Narxlar!C20</f>
        <v>883450400</v>
      </c>
      <c r="I41" s="51" t="n">
        <f aca="false">Hajmlar!C20*Narxlar!D20</f>
        <v>462695100</v>
      </c>
      <c r="J41" s="51" t="n">
        <f aca="false">Hajmlar!D20*Narxlar!E20</f>
        <v>1530612000</v>
      </c>
      <c r="K41" s="51" t="n">
        <f aca="false">Hajmlar!E20*Narxlar!F20</f>
        <v>578702100</v>
      </c>
      <c r="M41" s="52" t="n">
        <f aca="false">ABS(Daromadlilik!I19)/H41</f>
        <v>6.63285087204088E-012</v>
      </c>
      <c r="N41" s="52" t="n">
        <f aca="false">ABS(Daromadlilik!J19)/I41</f>
        <v>2.1136548345336E-011</v>
      </c>
      <c r="O41" s="52" t="n">
        <f aca="false">ABS(Daromadlilik!K19)/J41</f>
        <v>5.24557966736061E-012</v>
      </c>
      <c r="P41" s="52" t="n">
        <f aca="false">ABS(Daromadlilik!L19)/K41</f>
        <v>1.13078758574286E-011</v>
      </c>
    </row>
    <row r="42" customFormat="false" ht="15" hidden="false" customHeight="false" outlineLevel="0" collapsed="false">
      <c r="G42" s="19" t="n">
        <f aca="false">Daromadlilik!A20</f>
        <v>45320</v>
      </c>
      <c r="H42" s="51" t="n">
        <f aca="false">Hajmlar!B21*Narxlar!C21</f>
        <v>841024800</v>
      </c>
      <c r="I42" s="51" t="n">
        <f aca="false">Hajmlar!C21*Narxlar!D21</f>
        <v>698442800</v>
      </c>
      <c r="J42" s="51" t="n">
        <f aca="false">Hajmlar!D21*Narxlar!E21</f>
        <v>1145606000</v>
      </c>
      <c r="K42" s="51" t="n">
        <f aca="false">Hajmlar!E21*Narxlar!F21</f>
        <v>713454300</v>
      </c>
      <c r="M42" s="52" t="n">
        <f aca="false">ABS(Daromadlilik!I20)/H42</f>
        <v>1.56656884225127E-012</v>
      </c>
      <c r="N42" s="52" t="n">
        <f aca="false">ABS(Daromadlilik!J20)/I42</f>
        <v>1.68934248478234E-011</v>
      </c>
      <c r="O42" s="52" t="n">
        <f aca="false">ABS(Daromadlilik!K20)/J42</f>
        <v>1.25898510223508E-011</v>
      </c>
      <c r="P42" s="52" t="n">
        <f aca="false">ABS(Daromadlilik!L20)/K42</f>
        <v>8.49064548786511E-012</v>
      </c>
    </row>
    <row r="43" customFormat="false" ht="15" hidden="false" customHeight="false" outlineLevel="0" collapsed="false">
      <c r="G43" s="19" t="n">
        <f aca="false">Daromadlilik!A21</f>
        <v>45321</v>
      </c>
      <c r="H43" s="51" t="n">
        <f aca="false">Hajmlar!B22*Narxlar!C22</f>
        <v>1041960600</v>
      </c>
      <c r="I43" s="51" t="n">
        <f aca="false">Hajmlar!C22*Narxlar!D22</f>
        <v>722849400</v>
      </c>
      <c r="J43" s="51" t="n">
        <f aca="false">Hajmlar!D22*Narxlar!E22</f>
        <v>1068920700</v>
      </c>
      <c r="K43" s="51" t="n">
        <f aca="false">Hajmlar!E22*Narxlar!F22</f>
        <v>687044800</v>
      </c>
      <c r="M43" s="52" t="n">
        <f aca="false">ABS(Daromadlilik!I21)/H43</f>
        <v>9.37724145662984E-012</v>
      </c>
      <c r="N43" s="52" t="n">
        <f aca="false">ABS(Daromadlilik!J21)/I43</f>
        <v>1.23156603125418E-011</v>
      </c>
      <c r="O43" s="52" t="n">
        <f aca="false">ABS(Daromadlilik!K21)/J43</f>
        <v>1.42700377032934E-011</v>
      </c>
      <c r="P43" s="52" t="n">
        <f aca="false">ABS(Daromadlilik!L21)/K43</f>
        <v>3.33395123071367E-011</v>
      </c>
    </row>
    <row r="44" customFormat="false" ht="15" hidden="false" customHeight="false" outlineLevel="0" collapsed="false">
      <c r="G44" s="19" t="n">
        <f aca="false">Daromadlilik!A22</f>
        <v>45322</v>
      </c>
      <c r="H44" s="51" t="n">
        <f aca="false">Hajmlar!B23*Narxlar!C23</f>
        <v>593913600</v>
      </c>
      <c r="I44" s="51" t="n">
        <f aca="false">Hajmlar!C23*Narxlar!D23</f>
        <v>1727062000</v>
      </c>
      <c r="J44" s="51" t="n">
        <f aca="false">Hajmlar!D23*Narxlar!E23</f>
        <v>856809000</v>
      </c>
      <c r="K44" s="51" t="n">
        <f aca="false">Hajmlar!E23*Narxlar!F23</f>
        <v>409843800</v>
      </c>
      <c r="M44" s="52" t="n">
        <f aca="false">ABS(Daromadlilik!I22)/H44</f>
        <v>1.08926509267357E-011</v>
      </c>
      <c r="N44" s="52" t="n">
        <f aca="false">ABS(Daromadlilik!J22)/I44</f>
        <v>6.53346026043716E-012</v>
      </c>
      <c r="O44" s="52" t="n">
        <f aca="false">ABS(Daromadlilik!K22)/J44</f>
        <v>1.51103239697188E-012</v>
      </c>
      <c r="P44" s="52" t="n">
        <f aca="false">ABS(Daromadlilik!L22)/K44</f>
        <v>3.86084016343405E-012</v>
      </c>
    </row>
    <row r="45" customFormat="false" ht="15" hidden="false" customHeight="false" outlineLevel="0" collapsed="false">
      <c r="G45" s="19" t="n">
        <f aca="false">Daromadlilik!A23</f>
        <v>45323</v>
      </c>
      <c r="H45" s="51" t="n">
        <f aca="false">Hajmlar!B24*Narxlar!C24</f>
        <v>869860000</v>
      </c>
      <c r="I45" s="51" t="n">
        <f aca="false">Hajmlar!C24*Narxlar!D24</f>
        <v>973375200</v>
      </c>
      <c r="J45" s="51" t="n">
        <f aca="false">Hajmlar!D24*Narxlar!E24</f>
        <v>905402400</v>
      </c>
      <c r="K45" s="51" t="n">
        <f aca="false">Hajmlar!E24*Narxlar!F24</f>
        <v>384666400</v>
      </c>
      <c r="M45" s="52" t="n">
        <f aca="false">ABS(Daromadlilik!I23)/H45</f>
        <v>9.84196572095922E-012</v>
      </c>
      <c r="N45" s="52" t="n">
        <f aca="false">ABS(Daromadlilik!J23)/I45</f>
        <v>1.435259224486E-012</v>
      </c>
      <c r="O45" s="52" t="n">
        <f aca="false">ABS(Daromadlilik!K23)/J45</f>
        <v>2.86543494009325E-012</v>
      </c>
      <c r="P45" s="52" t="n">
        <f aca="false">ABS(Daromadlilik!L23)/K45</f>
        <v>8.2192789895023E-013</v>
      </c>
    </row>
    <row r="46" customFormat="false" ht="15" hidden="false" customHeight="false" outlineLevel="0" collapsed="false">
      <c r="G46" s="19" t="n">
        <f aca="false">Daromadlilik!A24</f>
        <v>45324</v>
      </c>
      <c r="H46" s="51" t="n">
        <f aca="false">Hajmlar!B25*Narxlar!C25</f>
        <v>1086220200</v>
      </c>
      <c r="I46" s="51" t="n">
        <f aca="false">Hajmlar!C25*Narxlar!D25</f>
        <v>765384400</v>
      </c>
      <c r="J46" s="51" t="n">
        <f aca="false">Hajmlar!D25*Narxlar!E25</f>
        <v>600795000</v>
      </c>
      <c r="K46" s="51" t="n">
        <f aca="false">Hajmlar!E25*Narxlar!F25</f>
        <v>515423200</v>
      </c>
      <c r="M46" s="52" t="n">
        <f aca="false">ABS(Daromadlilik!I24)/H46</f>
        <v>3.46467623834631E-012</v>
      </c>
      <c r="N46" s="52" t="n">
        <f aca="false">ABS(Daromadlilik!J24)/I46</f>
        <v>7.62222314653457E-012</v>
      </c>
      <c r="O46" s="52" t="n">
        <f aca="false">ABS(Daromadlilik!K24)/J46</f>
        <v>2.0447115213436E-011</v>
      </c>
      <c r="P46" s="52" t="n">
        <f aca="false">ABS(Daromadlilik!L24)/K46</f>
        <v>1.59571184866067E-011</v>
      </c>
    </row>
    <row r="47" customFormat="false" ht="15" hidden="false" customHeight="false" outlineLevel="0" collapsed="false">
      <c r="G47" s="19" t="n">
        <f aca="false">Daromadlilik!A25</f>
        <v>45327</v>
      </c>
      <c r="H47" s="51" t="n">
        <f aca="false">Hajmlar!B26*Narxlar!C26</f>
        <v>456850400</v>
      </c>
      <c r="I47" s="51" t="n">
        <f aca="false">Hajmlar!C26*Narxlar!D26</f>
        <v>1195096600</v>
      </c>
      <c r="J47" s="51" t="n">
        <f aca="false">Hajmlar!D26*Narxlar!E26</f>
        <v>1274548000</v>
      </c>
      <c r="K47" s="51" t="n">
        <f aca="false">Hajmlar!E26*Narxlar!F26</f>
        <v>563443200</v>
      </c>
      <c r="M47" s="52" t="n">
        <f aca="false">ABS(Daromadlilik!I25)/H47</f>
        <v>3.57459027331054E-013</v>
      </c>
      <c r="N47" s="52" t="n">
        <f aca="false">ABS(Daromadlilik!J25)/I47</f>
        <v>1.45556059381447E-011</v>
      </c>
      <c r="O47" s="52" t="n">
        <f aca="false">ABS(Daromadlilik!K25)/J47</f>
        <v>7.49534020480188E-012</v>
      </c>
      <c r="P47" s="52" t="n">
        <f aca="false">ABS(Daromadlilik!L25)/K47</f>
        <v>1.46850412195E-011</v>
      </c>
    </row>
    <row r="48" customFormat="false" ht="15" hidden="false" customHeight="false" outlineLevel="0" collapsed="false">
      <c r="G48" s="19" t="n">
        <f aca="false">Daromadlilik!A26</f>
        <v>45328</v>
      </c>
      <c r="H48" s="51" t="n">
        <f aca="false">Hajmlar!B27*Narxlar!C27</f>
        <v>597740000</v>
      </c>
      <c r="I48" s="51" t="n">
        <f aca="false">Hajmlar!C27*Narxlar!D27</f>
        <v>547171200</v>
      </c>
      <c r="J48" s="51" t="n">
        <f aca="false">Hajmlar!D27*Narxlar!E27</f>
        <v>1245162000</v>
      </c>
      <c r="K48" s="51" t="n">
        <f aca="false">Hajmlar!E27*Narxlar!F27</f>
        <v>333036000</v>
      </c>
      <c r="M48" s="52" t="n">
        <f aca="false">ABS(Daromadlilik!I26)/H48</f>
        <v>2.0338618383724E-011</v>
      </c>
      <c r="N48" s="52" t="n">
        <f aca="false">ABS(Daromadlilik!J26)/I48</f>
        <v>8.82845005387583E-012</v>
      </c>
      <c r="O48" s="52" t="n">
        <f aca="false">ABS(Daromadlilik!K26)/J48</f>
        <v>2.25943817651456E-011</v>
      </c>
      <c r="P48" s="52" t="n">
        <f aca="false">ABS(Daromadlilik!L26)/K48</f>
        <v>5.86907431736792E-011</v>
      </c>
    </row>
    <row r="49" customFormat="false" ht="15" hidden="false" customHeight="false" outlineLevel="0" collapsed="false">
      <c r="G49" s="19" t="n">
        <f aca="false">Daromadlilik!A27</f>
        <v>45329</v>
      </c>
      <c r="H49" s="51" t="n">
        <f aca="false">Hajmlar!B28*Narxlar!C28</f>
        <v>827429400</v>
      </c>
      <c r="I49" s="51" t="n">
        <f aca="false">Hajmlar!C28*Narxlar!D28</f>
        <v>668935800</v>
      </c>
      <c r="J49" s="51" t="n">
        <f aca="false">Hajmlar!D28*Narxlar!E28</f>
        <v>721934400</v>
      </c>
      <c r="K49" s="51" t="n">
        <f aca="false">Hajmlar!E28*Narxlar!F28</f>
        <v>636753600</v>
      </c>
      <c r="M49" s="52" t="n">
        <f aca="false">ABS(Daromadlilik!I27)/H49</f>
        <v>8.55940002084447E-012</v>
      </c>
      <c r="N49" s="52" t="n">
        <f aca="false">ABS(Daromadlilik!J27)/I49</f>
        <v>4.63514544085335E-012</v>
      </c>
      <c r="O49" s="52" t="n">
        <f aca="false">ABS(Daromadlilik!K27)/J49</f>
        <v>1.29949374143221E-012</v>
      </c>
      <c r="P49" s="52" t="n">
        <f aca="false">ABS(Daromadlilik!L27)/K49</f>
        <v>2.36356792248612E-012</v>
      </c>
    </row>
    <row r="50" customFormat="false" ht="15" hidden="false" customHeight="false" outlineLevel="0" collapsed="false">
      <c r="G50" s="19" t="n">
        <f aca="false">Daromadlilik!A28</f>
        <v>45330</v>
      </c>
      <c r="H50" s="51" t="n">
        <f aca="false">Hajmlar!B29*Narxlar!C29</f>
        <v>746624000</v>
      </c>
      <c r="I50" s="51" t="n">
        <f aca="false">Hajmlar!C29*Narxlar!D29</f>
        <v>628488700</v>
      </c>
      <c r="J50" s="51" t="n">
        <f aca="false">Hajmlar!D29*Narxlar!E29</f>
        <v>631692600</v>
      </c>
      <c r="K50" s="51" t="n">
        <f aca="false">Hajmlar!E29*Narxlar!F29</f>
        <v>309404200</v>
      </c>
      <c r="M50" s="52" t="n">
        <f aca="false">ABS(Daromadlilik!I28)/H50</f>
        <v>1.02918884106239E-011</v>
      </c>
      <c r="N50" s="52" t="n">
        <f aca="false">ABS(Daromadlilik!J28)/I50</f>
        <v>3.75254138303236E-012</v>
      </c>
      <c r="O50" s="52" t="n">
        <f aca="false">ABS(Daromadlilik!K28)/J50</f>
        <v>0</v>
      </c>
      <c r="P50" s="52" t="n">
        <f aca="false">ABS(Daromadlilik!L28)/K50</f>
        <v>1.18737493925408E-011</v>
      </c>
    </row>
    <row r="51" customFormat="false" ht="15" hidden="false" customHeight="false" outlineLevel="0" collapsed="false">
      <c r="G51" s="19" t="n">
        <f aca="false">Daromadlilik!A29</f>
        <v>45331</v>
      </c>
      <c r="H51" s="51" t="n">
        <f aca="false">Hajmlar!B30*Narxlar!C30</f>
        <v>1158660800</v>
      </c>
      <c r="I51" s="51" t="n">
        <f aca="false">Hajmlar!C30*Narxlar!D30</f>
        <v>1288037600</v>
      </c>
      <c r="J51" s="51" t="n">
        <f aca="false">Hajmlar!D30*Narxlar!E30</f>
        <v>441682800</v>
      </c>
      <c r="K51" s="51" t="n">
        <f aca="false">Hajmlar!E30*Narxlar!F30</f>
        <v>395121900</v>
      </c>
      <c r="M51" s="52" t="n">
        <f aca="false">ABS(Daromadlilik!I29)/H51</f>
        <v>2.25196568625928E-012</v>
      </c>
      <c r="N51" s="52" t="n">
        <f aca="false">ABS(Daromadlilik!J29)/I51</f>
        <v>7.24095900668889E-012</v>
      </c>
      <c r="O51" s="52" t="n">
        <f aca="false">ABS(Daromadlilik!K29)/J51</f>
        <v>2.19636475005538E-011</v>
      </c>
      <c r="P51" s="52" t="n">
        <f aca="false">ABS(Daromadlilik!L29)/K51</f>
        <v>1.94343781905943E-011</v>
      </c>
    </row>
    <row r="52" customFormat="false" ht="15" hidden="false" customHeight="false" outlineLevel="0" collapsed="false">
      <c r="G52" s="19" t="n">
        <f aca="false">Daromadlilik!A30</f>
        <v>45334</v>
      </c>
      <c r="H52" s="51" t="n">
        <f aca="false">Hajmlar!B31*Narxlar!C31</f>
        <v>769078300</v>
      </c>
      <c r="I52" s="51" t="n">
        <f aca="false">Hajmlar!C31*Narxlar!D31</f>
        <v>555840000</v>
      </c>
      <c r="J52" s="51" t="n">
        <f aca="false">Hajmlar!D31*Narxlar!E31</f>
        <v>527503200</v>
      </c>
      <c r="K52" s="51" t="n">
        <f aca="false">Hajmlar!E31*Narxlar!F31</f>
        <v>290490000</v>
      </c>
      <c r="M52" s="52" t="n">
        <f aca="false">ABS(Daromadlilik!I30)/H52</f>
        <v>2.2312906154414E-012</v>
      </c>
      <c r="N52" s="52" t="n">
        <f aca="false">ABS(Daromadlilik!J30)/I52</f>
        <v>1.6786803192487E-012</v>
      </c>
      <c r="O52" s="52" t="n">
        <f aca="false">ABS(Daromadlilik!K30)/J52</f>
        <v>5.13259268611267E-013</v>
      </c>
      <c r="P52" s="52" t="n">
        <f aca="false">ABS(Daromadlilik!L30)/K52</f>
        <v>1.26975262145957E-011</v>
      </c>
    </row>
    <row r="53" customFormat="false" ht="15" hidden="false" customHeight="false" outlineLevel="0" collapsed="false">
      <c r="G53" s="19" t="n">
        <f aca="false">Daromadlilik!A31</f>
        <v>45335</v>
      </c>
      <c r="H53" s="51" t="n">
        <f aca="false">Hajmlar!B32*Narxlar!C32</f>
        <v>717536400</v>
      </c>
      <c r="I53" s="51" t="n">
        <f aca="false">Hajmlar!C32*Narxlar!D32</f>
        <v>559187200</v>
      </c>
      <c r="J53" s="51" t="n">
        <f aca="false">Hajmlar!D32*Narxlar!E32</f>
        <v>1048028600</v>
      </c>
      <c r="K53" s="51" t="n">
        <f aca="false">Hajmlar!E32*Narxlar!F32</f>
        <v>496193800</v>
      </c>
      <c r="M53" s="52" t="n">
        <f aca="false">ABS(Daromadlilik!I31)/H53</f>
        <v>2.73825552592251E-012</v>
      </c>
      <c r="N53" s="52" t="n">
        <f aca="false">ABS(Daromadlilik!J31)/I53</f>
        <v>2.31988269372848E-011</v>
      </c>
      <c r="O53" s="52" t="n">
        <f aca="false">ABS(Daromadlilik!K31)/J53</f>
        <v>6.99980199763563E-012</v>
      </c>
      <c r="P53" s="52" t="n">
        <f aca="false">ABS(Daromadlilik!L31)/K53</f>
        <v>2.51341174079595E-011</v>
      </c>
    </row>
    <row r="54" customFormat="false" ht="15" hidden="false" customHeight="false" outlineLevel="0" collapsed="false">
      <c r="G54" s="19" t="n">
        <f aca="false">Daromadlilik!A32</f>
        <v>45336</v>
      </c>
      <c r="H54" s="51" t="n">
        <f aca="false">Hajmlar!B33*Narxlar!C33</f>
        <v>698851900</v>
      </c>
      <c r="I54" s="51" t="n">
        <f aca="false">Hajmlar!C33*Narxlar!D33</f>
        <v>1080102600</v>
      </c>
      <c r="J54" s="51" t="n">
        <f aca="false">Hajmlar!D33*Narxlar!E33</f>
        <v>495194700</v>
      </c>
      <c r="K54" s="51" t="n">
        <f aca="false">Hajmlar!E33*Narxlar!F33</f>
        <v>672134800</v>
      </c>
      <c r="M54" s="52" t="n">
        <f aca="false">ABS(Daromadlilik!I32)/H54</f>
        <v>2.44150261079755E-011</v>
      </c>
      <c r="N54" s="52" t="n">
        <f aca="false">ABS(Daromadlilik!J32)/I54</f>
        <v>5.75906779724572E-012</v>
      </c>
      <c r="O54" s="52" t="n">
        <f aca="false">ABS(Daromadlilik!K32)/J54</f>
        <v>1.13209726336697E-011</v>
      </c>
      <c r="P54" s="52" t="n">
        <f aca="false">ABS(Daromadlilik!L32)/K54</f>
        <v>4.47230931803029E-012</v>
      </c>
    </row>
    <row r="55" customFormat="false" ht="15" hidden="false" customHeight="false" outlineLevel="0" collapsed="false">
      <c r="G55" s="19" t="n">
        <f aca="false">Daromadlilik!A33</f>
        <v>45337</v>
      </c>
      <c r="H55" s="51" t="n">
        <f aca="false">Hajmlar!B34*Narxlar!C34</f>
        <v>425665600</v>
      </c>
      <c r="I55" s="51" t="n">
        <f aca="false">Hajmlar!C34*Narxlar!D34</f>
        <v>836190200</v>
      </c>
      <c r="J55" s="51" t="n">
        <f aca="false">Hajmlar!D34*Narxlar!E34</f>
        <v>973660400</v>
      </c>
      <c r="K55" s="51" t="n">
        <f aca="false">Hajmlar!E34*Narxlar!F34</f>
        <v>444125600</v>
      </c>
      <c r="M55" s="52" t="n">
        <f aca="false">ABS(Daromadlilik!I33)/H55</f>
        <v>7.39268906158657E-012</v>
      </c>
      <c r="N55" s="52" t="n">
        <f aca="false">ABS(Daromadlilik!J33)/I55</f>
        <v>1.1373478654259E-011</v>
      </c>
      <c r="O55" s="52" t="n">
        <f aca="false">ABS(Daromadlilik!K33)/J55</f>
        <v>9.90551216151565E-012</v>
      </c>
      <c r="P55" s="52" t="n">
        <f aca="false">ABS(Daromadlilik!L33)/K55</f>
        <v>1.57928056814752E-012</v>
      </c>
    </row>
    <row r="56" customFormat="false" ht="15" hidden="false" customHeight="false" outlineLevel="0" collapsed="false">
      <c r="G56" s="19" t="n">
        <f aca="false">Daromadlilik!A34</f>
        <v>45338</v>
      </c>
      <c r="H56" s="51" t="n">
        <f aca="false">Hajmlar!B35*Narxlar!C35</f>
        <v>561790800</v>
      </c>
      <c r="I56" s="51" t="n">
        <f aca="false">Hajmlar!C35*Narxlar!D35</f>
        <v>965526200</v>
      </c>
      <c r="J56" s="51" t="n">
        <f aca="false">Hajmlar!D35*Narxlar!E35</f>
        <v>665886200</v>
      </c>
      <c r="K56" s="51" t="n">
        <f aca="false">Hajmlar!E35*Narxlar!F35</f>
        <v>561096900</v>
      </c>
      <c r="M56" s="52" t="n">
        <f aca="false">ABS(Daromadlilik!I34)/H56</f>
        <v>7.8943169852146E-012</v>
      </c>
      <c r="N56" s="52" t="n">
        <f aca="false">ABS(Daromadlilik!J34)/I56</f>
        <v>1.87892453924203E-012</v>
      </c>
      <c r="O56" s="52" t="n">
        <f aca="false">ABS(Daromadlilik!K34)/J56</f>
        <v>2.60051192102508E-011</v>
      </c>
      <c r="P56" s="52" t="n">
        <f aca="false">ABS(Daromadlilik!L34)/K56</f>
        <v>1.97557577870723E-011</v>
      </c>
    </row>
    <row r="57" customFormat="false" ht="15" hidden="false" customHeight="false" outlineLevel="0" collapsed="false">
      <c r="G57" s="19" t="n">
        <f aca="false">Daromadlilik!A35</f>
        <v>45341</v>
      </c>
      <c r="H57" s="51" t="n">
        <f aca="false">Hajmlar!B36*Narxlar!C36</f>
        <v>1219912200</v>
      </c>
      <c r="I57" s="51" t="n">
        <f aca="false">Hajmlar!C36*Narxlar!D36</f>
        <v>706282400</v>
      </c>
      <c r="J57" s="51" t="n">
        <f aca="false">Hajmlar!D36*Narxlar!E36</f>
        <v>694564000</v>
      </c>
      <c r="K57" s="51" t="n">
        <f aca="false">Hajmlar!E36*Narxlar!F36</f>
        <v>270624400</v>
      </c>
      <c r="M57" s="52" t="n">
        <f aca="false">ABS(Daromadlilik!I35)/H57</f>
        <v>1.64539370041451E-011</v>
      </c>
      <c r="N57" s="52" t="n">
        <f aca="false">ABS(Daromadlilik!J35)/I57</f>
        <v>1.29381476369964E-011</v>
      </c>
      <c r="O57" s="52" t="n">
        <f aca="false">ABS(Daromadlilik!K35)/J57</f>
        <v>2.43332851220134E-011</v>
      </c>
      <c r="P57" s="52" t="n">
        <f aca="false">ABS(Daromadlilik!L35)/K57</f>
        <v>1.41445825273399E-011</v>
      </c>
    </row>
    <row r="58" customFormat="false" ht="15" hidden="false" customHeight="false" outlineLevel="0" collapsed="false">
      <c r="G58" s="19" t="n">
        <f aca="false">Daromadlilik!A36</f>
        <v>45342</v>
      </c>
      <c r="H58" s="51" t="n">
        <f aca="false">Hajmlar!B37*Narxlar!C37</f>
        <v>1305008900</v>
      </c>
      <c r="I58" s="51" t="n">
        <f aca="false">Hajmlar!C37*Narxlar!D37</f>
        <v>561377400</v>
      </c>
      <c r="J58" s="51" t="n">
        <f aca="false">Hajmlar!D37*Narxlar!E37</f>
        <v>1168432300</v>
      </c>
      <c r="K58" s="51" t="n">
        <f aca="false">Hajmlar!E37*Narxlar!F37</f>
        <v>711735600</v>
      </c>
      <c r="M58" s="52" t="n">
        <f aca="false">ABS(Daromadlilik!I36)/H58</f>
        <v>1.56950076710956E-012</v>
      </c>
      <c r="N58" s="52" t="n">
        <f aca="false">ABS(Daromadlilik!J36)/I58</f>
        <v>9.01490673390398E-012</v>
      </c>
      <c r="O58" s="52" t="n">
        <f aca="false">ABS(Daromadlilik!K36)/J58</f>
        <v>3.55689255251408E-013</v>
      </c>
      <c r="P58" s="52" t="n">
        <f aca="false">ABS(Daromadlilik!L36)/K58</f>
        <v>1.71163747289739E-011</v>
      </c>
    </row>
    <row r="59" customFormat="false" ht="15" hidden="false" customHeight="false" outlineLevel="0" collapsed="false">
      <c r="G59" s="19" t="n">
        <f aca="false">Daromadlilik!A37</f>
        <v>45343</v>
      </c>
      <c r="H59" s="51" t="n">
        <f aca="false">Hajmlar!B38*Narxlar!C38</f>
        <v>1365287000</v>
      </c>
      <c r="I59" s="51" t="n">
        <f aca="false">Hajmlar!C38*Narxlar!D38</f>
        <v>1018849100</v>
      </c>
      <c r="J59" s="51" t="n">
        <f aca="false">Hajmlar!D38*Narxlar!E38</f>
        <v>750729300</v>
      </c>
      <c r="K59" s="51" t="n">
        <f aca="false">Hajmlar!E38*Narxlar!F38</f>
        <v>659621200</v>
      </c>
      <c r="M59" s="52" t="n">
        <f aca="false">ABS(Daromadlilik!I37)/H59</f>
        <v>2.42494015453071E-012</v>
      </c>
      <c r="N59" s="52" t="n">
        <f aca="false">ABS(Daromadlilik!J37)/I59</f>
        <v>2.87166650306031E-011</v>
      </c>
      <c r="O59" s="52" t="n">
        <f aca="false">ABS(Daromadlilik!K37)/J59</f>
        <v>1.3728647486252E-011</v>
      </c>
      <c r="P59" s="52" t="n">
        <f aca="false">ABS(Daromadlilik!L37)/K59</f>
        <v>7.95564375301916E-012</v>
      </c>
    </row>
    <row r="60" customFormat="false" ht="15" hidden="false" customHeight="false" outlineLevel="0" collapsed="false">
      <c r="G60" s="19" t="n">
        <f aca="false">Daromadlilik!A38</f>
        <v>45344</v>
      </c>
      <c r="H60" s="51" t="n">
        <f aca="false">Hajmlar!B39*Narxlar!C39</f>
        <v>1705625000</v>
      </c>
      <c r="I60" s="51" t="n">
        <f aca="false">Hajmlar!C39*Narxlar!D39</f>
        <v>2502798800</v>
      </c>
      <c r="J60" s="51" t="n">
        <f aca="false">Hajmlar!D39*Narxlar!E39</f>
        <v>563712000</v>
      </c>
      <c r="K60" s="51" t="n">
        <f aca="false">Hajmlar!E39*Narxlar!F39</f>
        <v>1416906000</v>
      </c>
      <c r="M60" s="52" t="n">
        <f aca="false">ABS(Daromadlilik!I38)/H60</f>
        <v>4.36971026495644E-011</v>
      </c>
      <c r="N60" s="52" t="n">
        <f aca="false">ABS(Daromadlilik!J38)/I60</f>
        <v>1.91466900333497E-011</v>
      </c>
      <c r="O60" s="52" t="n">
        <f aca="false">ABS(Daromadlilik!K38)/J60</f>
        <v>4.82622091663631E-011</v>
      </c>
      <c r="P60" s="52" t="n">
        <f aca="false">ABS(Daromadlilik!L38)/K60</f>
        <v>5.72496593467507E-011</v>
      </c>
    </row>
    <row r="61" customFormat="false" ht="15" hidden="false" customHeight="false" outlineLevel="0" collapsed="false">
      <c r="G61" s="19" t="n">
        <f aca="false">Daromadlilik!A39</f>
        <v>45345</v>
      </c>
      <c r="H61" s="51" t="n">
        <f aca="false">Hajmlar!B40*Narxlar!C40</f>
        <v>841438800</v>
      </c>
      <c r="I61" s="51" t="n">
        <f aca="false">Hajmlar!C40*Narxlar!D40</f>
        <v>1122174800</v>
      </c>
      <c r="J61" s="51" t="n">
        <f aca="false">Hajmlar!D40*Narxlar!E40</f>
        <v>1006215000</v>
      </c>
      <c r="K61" s="51" t="n">
        <f aca="false">Hajmlar!E40*Narxlar!F40</f>
        <v>353898200</v>
      </c>
      <c r="M61" s="52" t="n">
        <f aca="false">ABS(Daromadlilik!I39)/H61</f>
        <v>9.02375791892995E-012</v>
      </c>
      <c r="N61" s="52" t="n">
        <f aca="false">ABS(Daromadlilik!J39)/I61</f>
        <v>4.36039667957492E-012</v>
      </c>
      <c r="O61" s="52" t="n">
        <f aca="false">ABS(Daromadlilik!K39)/J61</f>
        <v>1.35306132220367E-012</v>
      </c>
      <c r="P61" s="52" t="n">
        <f aca="false">ABS(Daromadlilik!L39)/K61</f>
        <v>2.50556790349709E-011</v>
      </c>
    </row>
    <row r="62" customFormat="false" ht="15" hidden="false" customHeight="false" outlineLevel="0" collapsed="false">
      <c r="G62" s="19" t="n">
        <f aca="false">Daromadlilik!A40</f>
        <v>45348</v>
      </c>
      <c r="H62" s="51" t="n">
        <f aca="false">Hajmlar!B41*Narxlar!C41</f>
        <v>1365046800</v>
      </c>
      <c r="I62" s="51" t="n">
        <f aca="false">Hajmlar!C41*Narxlar!D41</f>
        <v>439989400</v>
      </c>
      <c r="J62" s="51" t="n">
        <f aca="false">Hajmlar!D41*Narxlar!E41</f>
        <v>1401972000</v>
      </c>
      <c r="K62" s="51" t="n">
        <f aca="false">Hajmlar!E41*Narxlar!F41</f>
        <v>568663000</v>
      </c>
      <c r="M62" s="52" t="n">
        <f aca="false">ABS(Daromadlilik!I40)/H62</f>
        <v>1.54538237125462E-011</v>
      </c>
      <c r="N62" s="52" t="n">
        <f aca="false">ABS(Daromadlilik!J40)/I62</f>
        <v>0</v>
      </c>
      <c r="O62" s="52" t="n">
        <f aca="false">ABS(Daromadlilik!K40)/J62</f>
        <v>5.79906452001203E-012</v>
      </c>
      <c r="P62" s="52" t="n">
        <f aca="false">ABS(Daromadlilik!L40)/K62</f>
        <v>1.65482754379871E-011</v>
      </c>
    </row>
    <row r="63" customFormat="false" ht="15" hidden="false" customHeight="false" outlineLevel="0" collapsed="false">
      <c r="G63" s="19" t="n">
        <f aca="false">Daromadlilik!A41</f>
        <v>45349</v>
      </c>
      <c r="H63" s="51" t="n">
        <f aca="false">Hajmlar!B42*Narxlar!C42</f>
        <v>939711000</v>
      </c>
      <c r="I63" s="51" t="n">
        <f aca="false">Hajmlar!C42*Narxlar!D42</f>
        <v>1073150400</v>
      </c>
      <c r="J63" s="51" t="n">
        <f aca="false">Hajmlar!D42*Narxlar!E42</f>
        <v>1666860500</v>
      </c>
      <c r="K63" s="51" t="n">
        <f aca="false">Hajmlar!E42*Narxlar!F42</f>
        <v>737668800</v>
      </c>
      <c r="M63" s="52" t="n">
        <f aca="false">ABS(Daromadlilik!I41)/H63</f>
        <v>1.2338873332651E-011</v>
      </c>
      <c r="N63" s="52" t="n">
        <f aca="false">ABS(Daromadlilik!J41)/I63</f>
        <v>5.08001211669065E-013</v>
      </c>
      <c r="O63" s="52" t="n">
        <f aca="false">ABS(Daromadlilik!K41)/J63</f>
        <v>7.64252664060952E-012</v>
      </c>
      <c r="P63" s="52" t="n">
        <f aca="false">ABS(Daromadlilik!L41)/K63</f>
        <v>1.6449140172781E-011</v>
      </c>
    </row>
    <row r="64" customFormat="false" ht="15" hidden="false" customHeight="false" outlineLevel="0" collapsed="false">
      <c r="G64" s="19" t="n">
        <f aca="false">Daromadlilik!A42</f>
        <v>45350</v>
      </c>
      <c r="H64" s="51" t="n">
        <f aca="false">Hajmlar!B43*Narxlar!C43</f>
        <v>1658712000</v>
      </c>
      <c r="I64" s="51" t="n">
        <f aca="false">Hajmlar!C43*Narxlar!D43</f>
        <v>1527878000</v>
      </c>
      <c r="J64" s="51" t="n">
        <f aca="false">Hajmlar!D43*Narxlar!E43</f>
        <v>1097826900</v>
      </c>
      <c r="K64" s="51" t="n">
        <f aca="false">Hajmlar!E43*Narxlar!F43</f>
        <v>489055000</v>
      </c>
      <c r="M64" s="52" t="n">
        <f aca="false">ABS(Daromadlilik!I42)/H64</f>
        <v>8.87420181640006E-012</v>
      </c>
      <c r="N64" s="52" t="n">
        <f aca="false">ABS(Daromadlilik!J42)/I64</f>
        <v>1.52332360229439E-011</v>
      </c>
      <c r="O64" s="52" t="n">
        <f aca="false">ABS(Daromadlilik!K42)/J64</f>
        <v>6.33326545912521E-012</v>
      </c>
      <c r="P64" s="52" t="n">
        <f aca="false">ABS(Daromadlilik!L42)/K64</f>
        <v>2.92693930050713E-013</v>
      </c>
    </row>
    <row r="65" customFormat="false" ht="15" hidden="false" customHeight="false" outlineLevel="0" collapsed="false">
      <c r="G65" s="19" t="n">
        <f aca="false">Daromadlilik!A43</f>
        <v>45351</v>
      </c>
      <c r="H65" s="51" t="n">
        <f aca="false">Hajmlar!B44*Narxlar!C44</f>
        <v>1191520200</v>
      </c>
      <c r="I65" s="51" t="n">
        <f aca="false">Hajmlar!C44*Narxlar!D44</f>
        <v>895881600</v>
      </c>
      <c r="J65" s="51" t="n">
        <f aca="false">Hajmlar!D44*Narxlar!E44</f>
        <v>667731100</v>
      </c>
      <c r="K65" s="51" t="n">
        <f aca="false">Hajmlar!E44*Narxlar!F44</f>
        <v>628678400</v>
      </c>
      <c r="M65" s="52" t="n">
        <f aca="false">ABS(Daromadlilik!I43)/H65</f>
        <v>4.61512164183022E-012</v>
      </c>
      <c r="N65" s="52" t="n">
        <f aca="false">ABS(Daromadlilik!J43)/I65</f>
        <v>4.90883586999014E-012</v>
      </c>
      <c r="O65" s="52" t="n">
        <f aca="false">ABS(Daromadlilik!K43)/J65</f>
        <v>8.46336636160114E-012</v>
      </c>
      <c r="P65" s="52" t="n">
        <f aca="false">ABS(Daromadlilik!L43)/K65</f>
        <v>6.81557163517615E-012</v>
      </c>
    </row>
    <row r="66" customFormat="false" ht="15" hidden="false" customHeight="false" outlineLevel="0" collapsed="false">
      <c r="G66" s="19" t="n">
        <f aca="false">Daromadlilik!A44</f>
        <v>45352</v>
      </c>
      <c r="H66" s="51" t="n">
        <f aca="false">Hajmlar!B45*Narxlar!C45</f>
        <v>899722600</v>
      </c>
      <c r="I66" s="51" t="n">
        <f aca="false">Hajmlar!C45*Narxlar!D45</f>
        <v>1180792800</v>
      </c>
      <c r="J66" s="51" t="n">
        <f aca="false">Hajmlar!D45*Narxlar!E45</f>
        <v>1539481600</v>
      </c>
      <c r="K66" s="51" t="n">
        <f aca="false">Hajmlar!E45*Narxlar!F45</f>
        <v>547099400</v>
      </c>
      <c r="M66" s="52" t="n">
        <f aca="false">ABS(Daromadlilik!I44)/H66</f>
        <v>1.2007774987133E-011</v>
      </c>
      <c r="N66" s="52" t="n">
        <f aca="false">ABS(Daromadlilik!J44)/I66</f>
        <v>1.25659451869161E-011</v>
      </c>
      <c r="O66" s="52" t="n">
        <f aca="false">ABS(Daromadlilik!K44)/J66</f>
        <v>9.2250139437263E-012</v>
      </c>
      <c r="P66" s="52" t="n">
        <f aca="false">ABS(Daromadlilik!L44)/K66</f>
        <v>8.77090886830731E-012</v>
      </c>
    </row>
    <row r="67" customFormat="false" ht="15" hidden="false" customHeight="false" outlineLevel="0" collapsed="false">
      <c r="G67" s="19" t="n">
        <f aca="false">Daromadlilik!A45</f>
        <v>45355</v>
      </c>
      <c r="H67" s="51" t="n">
        <f aca="false">Hajmlar!B46*Narxlar!C46</f>
        <v>1362121600</v>
      </c>
      <c r="I67" s="51" t="n">
        <f aca="false">Hajmlar!C46*Narxlar!D46</f>
        <v>929411600</v>
      </c>
      <c r="J67" s="51" t="n">
        <f aca="false">Hajmlar!D46*Narxlar!E46</f>
        <v>1127206000</v>
      </c>
      <c r="K67" s="51" t="n">
        <f aca="false">Hajmlar!E46*Narxlar!F46</f>
        <v>688376500</v>
      </c>
      <c r="M67" s="52" t="n">
        <f aca="false">ABS(Daromadlilik!I45)/H67</f>
        <v>1.15583678366783E-012</v>
      </c>
      <c r="N67" s="52" t="n">
        <f aca="false">ABS(Daromadlilik!J45)/I67</f>
        <v>1.11877793478158E-011</v>
      </c>
      <c r="O67" s="52" t="n">
        <f aca="false">ABS(Daromadlilik!K45)/J67</f>
        <v>6.75272131239755E-012</v>
      </c>
      <c r="P67" s="52" t="n">
        <f aca="false">ABS(Daromadlilik!L45)/K67</f>
        <v>5.36716351271053E-012</v>
      </c>
    </row>
    <row r="68" customFormat="false" ht="15" hidden="false" customHeight="false" outlineLevel="0" collapsed="false">
      <c r="G68" s="19" t="n">
        <f aca="false">Daromadlilik!A46</f>
        <v>45356</v>
      </c>
      <c r="H68" s="51" t="n">
        <f aca="false">Hajmlar!B47*Narxlar!C47</f>
        <v>638601600</v>
      </c>
      <c r="I68" s="51" t="n">
        <f aca="false">Hajmlar!C47*Narxlar!D47</f>
        <v>1491547200</v>
      </c>
      <c r="J68" s="51" t="n">
        <f aca="false">Hajmlar!D47*Narxlar!E47</f>
        <v>694266000</v>
      </c>
      <c r="K68" s="51" t="n">
        <f aca="false">Hajmlar!E47*Narxlar!F47</f>
        <v>522959100</v>
      </c>
      <c r="M68" s="52" t="n">
        <f aca="false">ABS(Daromadlilik!I46)/H68</f>
        <v>1.03052342750486E-011</v>
      </c>
      <c r="N68" s="52" t="n">
        <f aca="false">ABS(Daromadlilik!J46)/I68</f>
        <v>1.18732251894812E-011</v>
      </c>
      <c r="O68" s="52" t="n">
        <f aca="false">ABS(Daromadlilik!K46)/J68</f>
        <v>1.34525204980982E-011</v>
      </c>
      <c r="P68" s="52" t="n">
        <f aca="false">ABS(Daromadlilik!L46)/K68</f>
        <v>3.23914229779202E-011</v>
      </c>
    </row>
    <row r="69" customFormat="false" ht="15" hidden="false" customHeight="false" outlineLevel="0" collapsed="false">
      <c r="G69" s="19" t="n">
        <f aca="false">Daromadlilik!A47</f>
        <v>45357</v>
      </c>
      <c r="H69" s="51" t="n">
        <f aca="false">Hajmlar!B48*Narxlar!C48</f>
        <v>1768160000</v>
      </c>
      <c r="I69" s="51" t="n">
        <f aca="false">Hajmlar!C48*Narxlar!D48</f>
        <v>1351598400</v>
      </c>
      <c r="J69" s="51" t="n">
        <f aca="false">Hajmlar!D48*Narxlar!E48</f>
        <v>2410897200</v>
      </c>
      <c r="K69" s="51" t="n">
        <f aca="false">Hajmlar!E48*Narxlar!F48</f>
        <v>801074400</v>
      </c>
      <c r="M69" s="52" t="n">
        <f aca="false">ABS(Daromadlilik!I47)/H69</f>
        <v>2.43780049201876E-011</v>
      </c>
      <c r="N69" s="52" t="n">
        <f aca="false">ABS(Daromadlilik!J47)/I69</f>
        <v>2.75048444341242E-011</v>
      </c>
      <c r="O69" s="52" t="n">
        <f aca="false">ABS(Daromadlilik!K47)/J69</f>
        <v>1.554602387465E-011</v>
      </c>
      <c r="P69" s="52" t="n">
        <f aca="false">ABS(Daromadlilik!L47)/K69</f>
        <v>2.93923942622828E-011</v>
      </c>
    </row>
    <row r="70" customFormat="false" ht="15" hidden="false" customHeight="false" outlineLevel="0" collapsed="false">
      <c r="G70" s="19" t="n">
        <f aca="false">Daromadlilik!A48</f>
        <v>45358</v>
      </c>
      <c r="H70" s="51" t="n">
        <f aca="false">Hajmlar!B49*Narxlar!C49</f>
        <v>613004600</v>
      </c>
      <c r="I70" s="51" t="n">
        <f aca="false">Hajmlar!C49*Narxlar!D49</f>
        <v>1305122400</v>
      </c>
      <c r="J70" s="51" t="n">
        <f aca="false">Hajmlar!D49*Narxlar!E49</f>
        <v>1642622600</v>
      </c>
      <c r="K70" s="51" t="n">
        <f aca="false">Hajmlar!E49*Narxlar!F49</f>
        <v>1192140000</v>
      </c>
      <c r="M70" s="52" t="n">
        <f aca="false">ABS(Daromadlilik!I48)/H70</f>
        <v>5.69682438741019E-011</v>
      </c>
      <c r="N70" s="52" t="n">
        <f aca="false">ABS(Daromadlilik!J48)/I70</f>
        <v>3.38724687433379E-011</v>
      </c>
      <c r="O70" s="52" t="n">
        <f aca="false">ABS(Daromadlilik!K48)/J70</f>
        <v>1.17802487650005E-011</v>
      </c>
      <c r="P70" s="52" t="n">
        <f aca="false">ABS(Daromadlilik!L48)/K70</f>
        <v>4.37984660037747E-011</v>
      </c>
    </row>
    <row r="71" customFormat="false" ht="15" hidden="false" customHeight="false" outlineLevel="0" collapsed="false">
      <c r="G71" s="19" t="n">
        <f aca="false">Daromadlilik!A49</f>
        <v>45359</v>
      </c>
      <c r="H71" s="51" t="n">
        <f aca="false">Hajmlar!B50*Narxlar!C50</f>
        <v>1765637500</v>
      </c>
      <c r="I71" s="51" t="n">
        <f aca="false">Hajmlar!C50*Narxlar!D50</f>
        <v>1077505200</v>
      </c>
      <c r="J71" s="51" t="n">
        <f aca="false">Hajmlar!D50*Narxlar!E50</f>
        <v>1588557600</v>
      </c>
      <c r="K71" s="51" t="n">
        <f aca="false">Hajmlar!E50*Narxlar!F50</f>
        <v>546161000</v>
      </c>
      <c r="M71" s="52" t="n">
        <f aca="false">ABS(Daromadlilik!I49)/H71</f>
        <v>1.93817593116676E-011</v>
      </c>
      <c r="N71" s="52" t="n">
        <f aca="false">ABS(Daromadlilik!J49)/I71</f>
        <v>1.02672840812245E-011</v>
      </c>
      <c r="O71" s="52" t="n">
        <f aca="false">ABS(Daromadlilik!K49)/J71</f>
        <v>9.65916664804651E-012</v>
      </c>
      <c r="P71" s="52" t="n">
        <f aca="false">ABS(Daromadlilik!L49)/K71</f>
        <v>1.03378258545339E-011</v>
      </c>
    </row>
    <row r="72" customFormat="false" ht="15" hidden="false" customHeight="false" outlineLevel="0" collapsed="false">
      <c r="G72" s="19" t="n">
        <f aca="false">Daromadlilik!A50</f>
        <v>45362</v>
      </c>
      <c r="H72" s="51" t="n">
        <f aca="false">Hajmlar!B51*Narxlar!C51</f>
        <v>917715600</v>
      </c>
      <c r="I72" s="51" t="n">
        <f aca="false">Hajmlar!C51*Narxlar!D51</f>
        <v>1616415500</v>
      </c>
      <c r="J72" s="51" t="n">
        <f aca="false">Hajmlar!D51*Narxlar!E51</f>
        <v>792242400</v>
      </c>
      <c r="K72" s="51" t="n">
        <f aca="false">Hajmlar!E51*Narxlar!F51</f>
        <v>673296000</v>
      </c>
      <c r="M72" s="52" t="n">
        <f aca="false">ABS(Daromadlilik!I50)/H72</f>
        <v>5.2594887452245E-011</v>
      </c>
      <c r="N72" s="52" t="n">
        <f aca="false">ABS(Daromadlilik!J50)/I72</f>
        <v>3.01286903598332E-011</v>
      </c>
      <c r="O72" s="52" t="n">
        <f aca="false">ABS(Daromadlilik!K50)/J72</f>
        <v>3.34501952340782E-011</v>
      </c>
      <c r="P72" s="52" t="n">
        <f aca="false">ABS(Daromadlilik!L50)/K72</f>
        <v>7.67007473209533E-011</v>
      </c>
    </row>
    <row r="73" customFormat="false" ht="15" hidden="false" customHeight="false" outlineLevel="0" collapsed="false">
      <c r="G73" s="19" t="n">
        <f aca="false">Daromadlilik!A51</f>
        <v>45363</v>
      </c>
      <c r="H73" s="51" t="n">
        <f aca="false">Hajmlar!B52*Narxlar!C52</f>
        <v>954237900</v>
      </c>
      <c r="I73" s="51" t="n">
        <f aca="false">Hajmlar!C52*Narxlar!D52</f>
        <v>422760000</v>
      </c>
      <c r="J73" s="51" t="n">
        <f aca="false">Hajmlar!D52*Narxlar!E52</f>
        <v>692518200</v>
      </c>
      <c r="K73" s="51" t="n">
        <f aca="false">Hajmlar!E52*Narxlar!F52</f>
        <v>208162000</v>
      </c>
      <c r="M73" s="52" t="n">
        <f aca="false">ABS(Daromadlilik!I51)/H73</f>
        <v>1.63178698188196E-012</v>
      </c>
      <c r="N73" s="52" t="n">
        <f aca="false">ABS(Daromadlilik!J51)/I73</f>
        <v>5.25360840989448E-012</v>
      </c>
      <c r="O73" s="52" t="n">
        <f aca="false">ABS(Daromadlilik!K51)/J73</f>
        <v>2.67197733058242E-011</v>
      </c>
      <c r="P73" s="52" t="n">
        <f aca="false">ABS(Daromadlilik!L51)/K73</f>
        <v>1.29965997842346E-011</v>
      </c>
    </row>
    <row r="74" customFormat="false" ht="15" hidden="false" customHeight="false" outlineLevel="0" collapsed="false">
      <c r="G74" s="19" t="n">
        <f aca="false">Daromadlilik!A52</f>
        <v>45364</v>
      </c>
      <c r="H74" s="51" t="n">
        <f aca="false">Hajmlar!B53*Narxlar!C53</f>
        <v>437645000</v>
      </c>
      <c r="I74" s="51" t="n">
        <f aca="false">Hajmlar!C53*Narxlar!D53</f>
        <v>759932800</v>
      </c>
      <c r="J74" s="51" t="n">
        <f aca="false">Hajmlar!D53*Narxlar!E53</f>
        <v>784958400</v>
      </c>
      <c r="K74" s="51" t="n">
        <f aca="false">Hajmlar!E53*Narxlar!F53</f>
        <v>909568100</v>
      </c>
      <c r="M74" s="52" t="n">
        <f aca="false">ABS(Daromadlilik!I52)/H74</f>
        <v>5.25414069406881E-012</v>
      </c>
      <c r="N74" s="52" t="n">
        <f aca="false">ABS(Daromadlilik!J52)/I74</f>
        <v>2.77808210504489E-011</v>
      </c>
      <c r="O74" s="52" t="n">
        <f aca="false">ABS(Daromadlilik!K52)/J74</f>
        <v>5.96207520368407E-012</v>
      </c>
      <c r="P74" s="52" t="n">
        <f aca="false">ABS(Daromadlilik!L52)/K74</f>
        <v>2.17867887800246E-011</v>
      </c>
    </row>
    <row r="75" customFormat="false" ht="15" hidden="false" customHeight="false" outlineLevel="0" collapsed="false">
      <c r="G75" s="19" t="n">
        <f aca="false">Daromadlilik!A53</f>
        <v>45365</v>
      </c>
      <c r="H75" s="51" t="n">
        <f aca="false">Hajmlar!B54*Narxlar!C54</f>
        <v>2471253400</v>
      </c>
      <c r="I75" s="51" t="n">
        <f aca="false">Hajmlar!C54*Narxlar!D54</f>
        <v>839115200</v>
      </c>
      <c r="J75" s="51" t="n">
        <f aca="false">Hajmlar!D54*Narxlar!E54</f>
        <v>963789600</v>
      </c>
      <c r="K75" s="51" t="n">
        <f aca="false">Hajmlar!E54*Narxlar!F54</f>
        <v>1606758300</v>
      </c>
      <c r="M75" s="52" t="n">
        <f aca="false">ABS(Daromadlilik!I53)/H75</f>
        <v>1.4404923183497E-011</v>
      </c>
      <c r="N75" s="52" t="n">
        <f aca="false">ABS(Daromadlilik!J53)/I75</f>
        <v>1.01448158156809E-011</v>
      </c>
      <c r="O75" s="52" t="n">
        <f aca="false">ABS(Daromadlilik!K53)/J75</f>
        <v>3.71203146052662E-011</v>
      </c>
      <c r="P75" s="52" t="n">
        <f aca="false">ABS(Daromadlilik!L53)/K75</f>
        <v>1.23275609357222E-011</v>
      </c>
    </row>
    <row r="76" customFormat="false" ht="15" hidden="false" customHeight="false" outlineLevel="0" collapsed="false">
      <c r="G76" s="19" t="n">
        <f aca="false">Daromadlilik!A54</f>
        <v>45366</v>
      </c>
      <c r="H76" s="51" t="n">
        <f aca="false">Hajmlar!B55*Narxlar!C55</f>
        <v>1088112300</v>
      </c>
      <c r="I76" s="51" t="n">
        <f aca="false">Hajmlar!C55*Narxlar!D55</f>
        <v>2003247000</v>
      </c>
      <c r="J76" s="51" t="n">
        <f aca="false">Hajmlar!D55*Narxlar!E55</f>
        <v>2507056500</v>
      </c>
      <c r="K76" s="51" t="n">
        <f aca="false">Hajmlar!E55*Narxlar!F55</f>
        <v>1300520800</v>
      </c>
      <c r="M76" s="52" t="n">
        <f aca="false">ABS(Daromadlilik!I54)/H76</f>
        <v>1.04126687243818E-011</v>
      </c>
      <c r="N76" s="52" t="n">
        <f aca="false">ABS(Daromadlilik!J54)/I76</f>
        <v>4.73477007908197E-012</v>
      </c>
      <c r="O76" s="52" t="n">
        <f aca="false">ABS(Daromadlilik!K54)/J76</f>
        <v>1.21839025019461E-011</v>
      </c>
      <c r="P76" s="52" t="n">
        <f aca="false">ABS(Daromadlilik!L54)/K76</f>
        <v>2.88510376703191E-011</v>
      </c>
    </row>
    <row r="77" customFormat="false" ht="15" hidden="false" customHeight="false" outlineLevel="0" collapsed="false">
      <c r="G77" s="19" t="n">
        <f aca="false">Daromadlilik!A55</f>
        <v>45369</v>
      </c>
      <c r="H77" s="51" t="n">
        <f aca="false">Hajmlar!B56*Narxlar!C56</f>
        <v>855193500</v>
      </c>
      <c r="I77" s="51" t="n">
        <f aca="false">Hajmlar!C56*Narxlar!D56</f>
        <v>1365240800</v>
      </c>
      <c r="J77" s="51" t="n">
        <f aca="false">Hajmlar!D56*Narxlar!E56</f>
        <v>1683897600</v>
      </c>
      <c r="K77" s="51" t="n">
        <f aca="false">Hajmlar!E56*Narxlar!F56</f>
        <v>700327800</v>
      </c>
      <c r="M77" s="52" t="n">
        <f aca="false">ABS(Daromadlilik!I55)/H77</f>
        <v>2.13461493068235E-011</v>
      </c>
      <c r="N77" s="52" t="n">
        <f aca="false">ABS(Daromadlilik!J55)/I77</f>
        <v>1.85081351646846E-011</v>
      </c>
      <c r="O77" s="52" t="n">
        <f aca="false">ABS(Daromadlilik!K55)/J77</f>
        <v>8.29948465214621E-012</v>
      </c>
      <c r="P77" s="52" t="n">
        <f aca="false">ABS(Daromadlilik!L55)/K77</f>
        <v>9.18087867479323E-012</v>
      </c>
    </row>
    <row r="78" customFormat="false" ht="15" hidden="false" customHeight="false" outlineLevel="0" collapsed="false">
      <c r="G78" s="19" t="n">
        <f aca="false">Daromadlilik!A56</f>
        <v>45370</v>
      </c>
      <c r="H78" s="51" t="n">
        <f aca="false">Hajmlar!B57*Narxlar!C57</f>
        <v>1628677400</v>
      </c>
      <c r="I78" s="51" t="n">
        <f aca="false">Hajmlar!C57*Narxlar!D57</f>
        <v>1581033600</v>
      </c>
      <c r="J78" s="51" t="n">
        <f aca="false">Hajmlar!D57*Narxlar!E57</f>
        <v>591778000</v>
      </c>
      <c r="K78" s="51" t="n">
        <f aca="false">Hajmlar!E57*Narxlar!F57</f>
        <v>592168200</v>
      </c>
      <c r="M78" s="52" t="n">
        <f aca="false">ABS(Daromadlilik!I56)/H78</f>
        <v>1.32274276417933E-011</v>
      </c>
      <c r="N78" s="52" t="n">
        <f aca="false">ABS(Daromadlilik!J56)/I78</f>
        <v>1.55880875888086E-011</v>
      </c>
      <c r="O78" s="52" t="n">
        <f aca="false">ABS(Daromadlilik!K56)/J78</f>
        <v>3.04903446798207E-011</v>
      </c>
      <c r="P78" s="52" t="n">
        <f aca="false">ABS(Daromadlilik!L56)/K78</f>
        <v>6.79157287500542E-011</v>
      </c>
    </row>
    <row r="79" customFormat="false" ht="15" hidden="false" customHeight="false" outlineLevel="0" collapsed="false">
      <c r="G79" s="19" t="n">
        <f aca="false">Daromadlilik!A57</f>
        <v>45371</v>
      </c>
      <c r="H79" s="51" t="n">
        <f aca="false">Hajmlar!B58*Narxlar!C58</f>
        <v>909717900</v>
      </c>
      <c r="I79" s="51" t="n">
        <f aca="false">Hajmlar!C58*Narxlar!D58</f>
        <v>703367700</v>
      </c>
      <c r="J79" s="51" t="n">
        <f aca="false">Hajmlar!D58*Narxlar!E58</f>
        <v>1145684400</v>
      </c>
      <c r="K79" s="51" t="n">
        <f aca="false">Hajmlar!E58*Narxlar!F58</f>
        <v>1017831000</v>
      </c>
      <c r="M79" s="52" t="n">
        <f aca="false">ABS(Daromadlilik!I57)/H79</f>
        <v>1.50904211558272E-011</v>
      </c>
      <c r="N79" s="52" t="n">
        <f aca="false">ABS(Daromadlilik!J57)/I79</f>
        <v>1.21524240581001E-011</v>
      </c>
      <c r="O79" s="52" t="n">
        <f aca="false">ABS(Daromadlilik!K57)/J79</f>
        <v>2.83319334867971E-012</v>
      </c>
      <c r="P79" s="52" t="n">
        <f aca="false">ABS(Daromadlilik!L57)/K79</f>
        <v>1.76769455787765E-011</v>
      </c>
    </row>
    <row r="80" customFormat="false" ht="15" hidden="false" customHeight="false" outlineLevel="0" collapsed="false">
      <c r="G80" s="19" t="n">
        <f aca="false">Daromadlilik!A58</f>
        <v>45372</v>
      </c>
      <c r="H80" s="51" t="n">
        <f aca="false">Hajmlar!B59*Narxlar!C59</f>
        <v>661648500</v>
      </c>
      <c r="I80" s="51" t="n">
        <f aca="false">Hajmlar!C59*Narxlar!D59</f>
        <v>1577829000</v>
      </c>
      <c r="J80" s="51" t="n">
        <f aca="false">Hajmlar!D59*Narxlar!E59</f>
        <v>699820800</v>
      </c>
      <c r="K80" s="51" t="n">
        <f aca="false">Hajmlar!E59*Narxlar!F59</f>
        <v>2005762500</v>
      </c>
      <c r="M80" s="52" t="n">
        <f aca="false">ABS(Daromadlilik!I58)/H80</f>
        <v>4.88980994939881E-011</v>
      </c>
      <c r="N80" s="52" t="n">
        <f aca="false">ABS(Daromadlilik!J58)/I80</f>
        <v>8.52185111807954E-012</v>
      </c>
      <c r="O80" s="52" t="n">
        <f aca="false">ABS(Daromadlilik!K58)/J80</f>
        <v>2.71501747612626E-011</v>
      </c>
      <c r="P80" s="52" t="n">
        <f aca="false">ABS(Daromadlilik!L58)/K80</f>
        <v>4.33597246973832E-011</v>
      </c>
    </row>
    <row r="81" customFormat="false" ht="15" hidden="false" customHeight="false" outlineLevel="0" collapsed="false">
      <c r="G81" s="19" t="n">
        <f aca="false">Daromadlilik!A59</f>
        <v>45373</v>
      </c>
      <c r="H81" s="51" t="n">
        <f aca="false">Hajmlar!B60*Narxlar!C60</f>
        <v>937885000</v>
      </c>
      <c r="I81" s="51" t="n">
        <f aca="false">Hajmlar!C60*Narxlar!D60</f>
        <v>1467922500</v>
      </c>
      <c r="J81" s="51" t="n">
        <f aca="false">Hajmlar!D60*Narxlar!E60</f>
        <v>953234700</v>
      </c>
      <c r="K81" s="51" t="n">
        <f aca="false">Hajmlar!E60*Narxlar!F60</f>
        <v>920075000</v>
      </c>
      <c r="M81" s="52" t="n">
        <f aca="false">ABS(Daromadlilik!I59)/H81</f>
        <v>1.03503012070048E-012</v>
      </c>
      <c r="N81" s="52" t="n">
        <f aca="false">ABS(Daromadlilik!J59)/I81</f>
        <v>1.00183404707643E-011</v>
      </c>
      <c r="O81" s="52" t="n">
        <f aca="false">ABS(Daromadlilik!K59)/J81</f>
        <v>8.69816490293361E-012</v>
      </c>
      <c r="P81" s="52" t="n">
        <f aca="false">ABS(Daromadlilik!L59)/K81</f>
        <v>5.26444797378646E-011</v>
      </c>
    </row>
    <row r="82" customFormat="false" ht="15" hidden="false" customHeight="false" outlineLevel="0" collapsed="false">
      <c r="G82" s="19" t="n">
        <f aca="false">Daromadlilik!A60</f>
        <v>45376</v>
      </c>
      <c r="H82" s="51" t="n">
        <f aca="false">Hajmlar!B61*Narxlar!C61</f>
        <v>1583062200</v>
      </c>
      <c r="I82" s="51" t="n">
        <f aca="false">Hajmlar!C61*Narxlar!D61</f>
        <v>1194546000</v>
      </c>
      <c r="J82" s="51" t="n">
        <f aca="false">Hajmlar!D61*Narxlar!E61</f>
        <v>885994200</v>
      </c>
      <c r="K82" s="51" t="n">
        <f aca="false">Hajmlar!E61*Narxlar!F61</f>
        <v>1046041200</v>
      </c>
      <c r="M82" s="52" t="n">
        <f aca="false">ABS(Daromadlilik!I60)/H82</f>
        <v>6.44628731376256E-012</v>
      </c>
      <c r="N82" s="52" t="n">
        <f aca="false">ABS(Daromadlilik!J60)/I82</f>
        <v>1.61905717825802E-011</v>
      </c>
      <c r="O82" s="52" t="n">
        <f aca="false">ABS(Daromadlilik!K60)/J82</f>
        <v>8.6710034496093E-013</v>
      </c>
      <c r="P82" s="52" t="n">
        <f aca="false">ABS(Daromadlilik!L60)/K82</f>
        <v>1.28234129229452E-012</v>
      </c>
    </row>
    <row r="83" customFormat="false" ht="15" hidden="false" customHeight="false" outlineLevel="0" collapsed="false">
      <c r="G83" s="19" t="n">
        <f aca="false">Daromadlilik!A61</f>
        <v>45377</v>
      </c>
      <c r="H83" s="51" t="n">
        <f aca="false">Hajmlar!B62*Narxlar!C62</f>
        <v>1142579200</v>
      </c>
      <c r="I83" s="51" t="n">
        <f aca="false">Hajmlar!C62*Narxlar!D62</f>
        <v>949956800</v>
      </c>
      <c r="J83" s="51" t="n">
        <f aca="false">Hajmlar!D62*Narxlar!E62</f>
        <v>881666000</v>
      </c>
      <c r="K83" s="51" t="n">
        <f aca="false">Hajmlar!E62*Narxlar!F62</f>
        <v>442112000</v>
      </c>
      <c r="M83" s="52" t="n">
        <f aca="false">ABS(Daromadlilik!I61)/H83</f>
        <v>1.45907503473728E-011</v>
      </c>
      <c r="N83" s="52" t="n">
        <f aca="false">ABS(Daromadlilik!J61)/I83</f>
        <v>4.36293488251666E-011</v>
      </c>
      <c r="O83" s="52" t="n">
        <f aca="false">ABS(Daromadlilik!K61)/J83</f>
        <v>2.24314301131123E-011</v>
      </c>
      <c r="P83" s="52" t="n">
        <f aca="false">ABS(Daromadlilik!L61)/K83</f>
        <v>5.78630743876819E-011</v>
      </c>
    </row>
    <row r="84" customFormat="false" ht="15" hidden="false" customHeight="false" outlineLevel="0" collapsed="false">
      <c r="G84" s="19" t="n">
        <f aca="false">Daromadlilik!A62</f>
        <v>45378</v>
      </c>
      <c r="H84" s="51" t="n">
        <f aca="false">Hajmlar!B63*Narxlar!C63</f>
        <v>1655440800</v>
      </c>
      <c r="I84" s="51" t="n">
        <f aca="false">Hajmlar!C63*Narxlar!D63</f>
        <v>392552800</v>
      </c>
      <c r="J84" s="51" t="n">
        <f aca="false">Hajmlar!D63*Narxlar!E63</f>
        <v>690656000</v>
      </c>
      <c r="K84" s="51" t="n">
        <f aca="false">Hajmlar!E63*Narxlar!F63</f>
        <v>1113420000</v>
      </c>
      <c r="M84" s="52" t="n">
        <f aca="false">ABS(Daromadlilik!I62)/H84</f>
        <v>4.82276066365431E-012</v>
      </c>
      <c r="N84" s="52" t="n">
        <f aca="false">ABS(Daromadlilik!J62)/I84</f>
        <v>1.17187989107801E-011</v>
      </c>
      <c r="O84" s="52" t="n">
        <f aca="false">ABS(Daromadlilik!K62)/J84</f>
        <v>3.78535852011829E-012</v>
      </c>
      <c r="P84" s="52" t="n">
        <f aca="false">ABS(Daromadlilik!L62)/K84</f>
        <v>3.72298872872668E-011</v>
      </c>
    </row>
    <row r="85" customFormat="false" ht="15" hidden="false" customHeight="false" outlineLevel="0" collapsed="false">
      <c r="G85" s="19" t="n">
        <f aca="false">Daromadlilik!A63</f>
        <v>45379</v>
      </c>
      <c r="H85" s="51" t="n">
        <f aca="false">Hajmlar!B64*Narxlar!C64</f>
        <v>1235520000</v>
      </c>
      <c r="I85" s="51" t="n">
        <f aca="false">Hajmlar!C64*Narxlar!D64</f>
        <v>812671200</v>
      </c>
      <c r="J85" s="51" t="n">
        <f aca="false">Hajmlar!D64*Narxlar!E64</f>
        <v>479603600</v>
      </c>
      <c r="K85" s="51" t="n">
        <f aca="false">Hajmlar!E64*Narxlar!F64</f>
        <v>375831400</v>
      </c>
      <c r="M85" s="52" t="n">
        <f aca="false">ABS(Daromadlilik!I63)/H85</f>
        <v>4.42686140615731E-012</v>
      </c>
      <c r="N85" s="52" t="n">
        <f aca="false">ABS(Daromadlilik!J63)/I85</f>
        <v>8.93193486490836E-012</v>
      </c>
      <c r="O85" s="52" t="n">
        <f aca="false">ABS(Daromadlilik!K63)/J85</f>
        <v>8.18899758429666E-013</v>
      </c>
      <c r="P85" s="52" t="n">
        <f aca="false">ABS(Daromadlilik!L63)/K85</f>
        <v>4.31934728398169E-012</v>
      </c>
    </row>
    <row r="86" customFormat="false" ht="15" hidden="false" customHeight="false" outlineLevel="0" collapsed="false">
      <c r="G86" s="19" t="n">
        <f aca="false">Daromadlilik!A64</f>
        <v>45380</v>
      </c>
      <c r="H86" s="51" t="n">
        <f aca="false">Hajmlar!B65*Narxlar!C65</f>
        <v>1458494400</v>
      </c>
      <c r="I86" s="51" t="n">
        <f aca="false">Hajmlar!C65*Narxlar!D65</f>
        <v>850358000</v>
      </c>
      <c r="J86" s="51" t="n">
        <f aca="false">Hajmlar!D65*Narxlar!E65</f>
        <v>460546300</v>
      </c>
      <c r="K86" s="51" t="n">
        <f aca="false">Hajmlar!E65*Narxlar!F65</f>
        <v>1036261800</v>
      </c>
      <c r="M86" s="52" t="n">
        <f aca="false">ABS(Daromadlilik!I64)/H86</f>
        <v>5.34911592391795E-012</v>
      </c>
      <c r="N86" s="52" t="n">
        <f aca="false">ABS(Daromadlilik!J64)/I86</f>
        <v>9.86328392618213E-012</v>
      </c>
      <c r="O86" s="52" t="n">
        <f aca="false">ABS(Daromadlilik!K64)/J86</f>
        <v>7.37970554105031E-012</v>
      </c>
      <c r="P86" s="52" t="n">
        <f aca="false">ABS(Daromadlilik!L64)/K86</f>
        <v>3.13871528851988E-011</v>
      </c>
    </row>
    <row r="87" customFormat="false" ht="15" hidden="false" customHeight="false" outlineLevel="0" collapsed="false">
      <c r="G87" s="19" t="n">
        <f aca="false">Daromadlilik!A65</f>
        <v>45383</v>
      </c>
      <c r="H87" s="51" t="n">
        <f aca="false">Hajmlar!B66*Narxlar!C66</f>
        <v>3219123600</v>
      </c>
      <c r="I87" s="51" t="n">
        <f aca="false">Hajmlar!C66*Narxlar!D66</f>
        <v>1772658800</v>
      </c>
      <c r="J87" s="51" t="n">
        <f aca="false">Hajmlar!D66*Narxlar!E66</f>
        <v>1497537600</v>
      </c>
      <c r="K87" s="51" t="n">
        <f aca="false">Hajmlar!E66*Narxlar!F66</f>
        <v>2225639600</v>
      </c>
      <c r="M87" s="52" t="n">
        <f aca="false">ABS(Daromadlilik!I65)/H87</f>
        <v>2.22874448901418E-011</v>
      </c>
      <c r="N87" s="52" t="n">
        <f aca="false">ABS(Daromadlilik!J65)/I87</f>
        <v>3.36964969817513E-011</v>
      </c>
      <c r="O87" s="52" t="n">
        <f aca="false">ABS(Daromadlilik!K65)/J87</f>
        <v>3.15711498321132E-011</v>
      </c>
      <c r="P87" s="52" t="n">
        <f aca="false">ABS(Daromadlilik!L65)/K87</f>
        <v>3.20255533768666E-011</v>
      </c>
    </row>
    <row r="88" customFormat="false" ht="15" hidden="false" customHeight="false" outlineLevel="0" collapsed="false">
      <c r="G88" s="19" t="n">
        <f aca="false">Daromadlilik!A66</f>
        <v>45384</v>
      </c>
      <c r="H88" s="51" t="n">
        <f aca="false">Hajmlar!B67*Narxlar!C67</f>
        <v>1728808500</v>
      </c>
      <c r="I88" s="51" t="n">
        <f aca="false">Hajmlar!C67*Narxlar!D67</f>
        <v>743470000</v>
      </c>
      <c r="J88" s="51" t="n">
        <f aca="false">Hajmlar!D67*Narxlar!E67</f>
        <v>563604000</v>
      </c>
      <c r="K88" s="51" t="n">
        <f aca="false">Hajmlar!E67*Narxlar!F67</f>
        <v>474611400</v>
      </c>
      <c r="M88" s="52" t="n">
        <f aca="false">ABS(Daromadlilik!I66)/H88</f>
        <v>1.05175972851092E-011</v>
      </c>
      <c r="N88" s="52" t="n">
        <f aca="false">ABS(Daromadlilik!J66)/I88</f>
        <v>2.96571841029995E-011</v>
      </c>
      <c r="O88" s="52" t="n">
        <f aca="false">ABS(Daromadlilik!K66)/J88</f>
        <v>1.32459537864274E-012</v>
      </c>
      <c r="P88" s="52" t="n">
        <f aca="false">ABS(Daromadlilik!L66)/K88</f>
        <v>4.66950354514197E-012</v>
      </c>
    </row>
    <row r="89" customFormat="false" ht="15" hidden="false" customHeight="false" outlineLevel="0" collapsed="false">
      <c r="G89" s="19" t="n">
        <f aca="false">Daromadlilik!A67</f>
        <v>45385</v>
      </c>
      <c r="H89" s="51" t="n">
        <f aca="false">Hajmlar!B68*Narxlar!C68</f>
        <v>1331657400</v>
      </c>
      <c r="I89" s="51" t="n">
        <f aca="false">Hajmlar!C68*Narxlar!D68</f>
        <v>2412961200</v>
      </c>
      <c r="J89" s="51" t="n">
        <f aca="false">Hajmlar!D68*Narxlar!E68</f>
        <v>1162251300</v>
      </c>
      <c r="K89" s="51" t="n">
        <f aca="false">Hajmlar!E68*Narxlar!F68</f>
        <v>511274400</v>
      </c>
      <c r="M89" s="52" t="n">
        <f aca="false">ABS(Daromadlilik!I67)/H89</f>
        <v>2.62845889946906E-011</v>
      </c>
      <c r="N89" s="52" t="n">
        <f aca="false">ABS(Daromadlilik!J67)/I89</f>
        <v>1.62570817166482E-011</v>
      </c>
      <c r="O89" s="52" t="n">
        <f aca="false">ABS(Daromadlilik!K67)/J89</f>
        <v>1.84969409266556E-011</v>
      </c>
      <c r="P89" s="52" t="n">
        <f aca="false">ABS(Daromadlilik!L67)/K89</f>
        <v>8.21482229613487E-011</v>
      </c>
    </row>
    <row r="90" customFormat="false" ht="15" hidden="false" customHeight="false" outlineLevel="0" collapsed="false">
      <c r="G90" s="19" t="n">
        <f aca="false">Daromadlilik!A68</f>
        <v>45386</v>
      </c>
      <c r="H90" s="51" t="n">
        <f aca="false">Hajmlar!B69*Narxlar!C69</f>
        <v>1003088700</v>
      </c>
      <c r="I90" s="51" t="n">
        <f aca="false">Hajmlar!C69*Narxlar!D69</f>
        <v>2345034400</v>
      </c>
      <c r="J90" s="51" t="n">
        <f aca="false">Hajmlar!D69*Narxlar!E69</f>
        <v>548190500</v>
      </c>
      <c r="K90" s="51" t="n">
        <f aca="false">Hajmlar!E69*Narxlar!F69</f>
        <v>1032713600</v>
      </c>
      <c r="M90" s="52" t="n">
        <f aca="false">ABS(Daromadlilik!I68)/H90</f>
        <v>5.51519937285972E-012</v>
      </c>
      <c r="N90" s="52" t="n">
        <f aca="false">ABS(Daromadlilik!J68)/I90</f>
        <v>3.93423486276956E-012</v>
      </c>
      <c r="O90" s="52" t="n">
        <f aca="false">ABS(Daromadlilik!K68)/J90</f>
        <v>9.27511590597049E-013</v>
      </c>
      <c r="P90" s="52" t="n">
        <f aca="false">ABS(Daromadlilik!L68)/K90</f>
        <v>1.49133533479278E-011</v>
      </c>
    </row>
    <row r="91" customFormat="false" ht="15" hidden="false" customHeight="false" outlineLevel="0" collapsed="false">
      <c r="G91" s="19" t="n">
        <f aca="false">Daromadlilik!A69</f>
        <v>45387</v>
      </c>
      <c r="H91" s="51" t="n">
        <f aca="false">Hajmlar!B70*Narxlar!C70</f>
        <v>2403984000</v>
      </c>
      <c r="I91" s="51" t="n">
        <f aca="false">Hajmlar!C70*Narxlar!D70</f>
        <v>944343100</v>
      </c>
      <c r="J91" s="51" t="n">
        <f aca="false">Hajmlar!D70*Narxlar!E70</f>
        <v>1396012800</v>
      </c>
      <c r="K91" s="51" t="n">
        <f aca="false">Hajmlar!E70*Narxlar!F70</f>
        <v>551765100</v>
      </c>
      <c r="M91" s="52" t="n">
        <f aca="false">ABS(Daromadlilik!I69)/H91</f>
        <v>1.98684203443756E-011</v>
      </c>
      <c r="N91" s="52" t="n">
        <f aca="false">ABS(Daromadlilik!J69)/I91</f>
        <v>2.34340951965837E-011</v>
      </c>
      <c r="O91" s="52" t="n">
        <f aca="false">ABS(Daromadlilik!K69)/J91</f>
        <v>2.30450888567619E-011</v>
      </c>
      <c r="P91" s="52" t="n">
        <f aca="false">ABS(Daromadlilik!L69)/K91</f>
        <v>6.97461002087687E-011</v>
      </c>
    </row>
    <row r="92" customFormat="false" ht="15" hidden="false" customHeight="false" outlineLevel="0" collapsed="false">
      <c r="G92" s="19" t="n">
        <f aca="false">Daromadlilik!A70</f>
        <v>45390</v>
      </c>
      <c r="H92" s="51" t="n">
        <f aca="false">Hajmlar!B71*Narxlar!C71</f>
        <v>865362000</v>
      </c>
      <c r="I92" s="51" t="n">
        <f aca="false">Hajmlar!C71*Narxlar!D71</f>
        <v>907093100</v>
      </c>
      <c r="J92" s="51" t="n">
        <f aca="false">Hajmlar!D71*Narxlar!E71</f>
        <v>1204171600</v>
      </c>
      <c r="K92" s="51" t="n">
        <f aca="false">Hajmlar!E71*Narxlar!F71</f>
        <v>1302278900</v>
      </c>
      <c r="M92" s="52" t="n">
        <f aca="false">ABS(Daromadlilik!I70)/H92</f>
        <v>4.97026897343621E-012</v>
      </c>
      <c r="N92" s="52" t="n">
        <f aca="false">ABS(Daromadlilik!J70)/I92</f>
        <v>1.70372672377686E-011</v>
      </c>
      <c r="O92" s="52" t="n">
        <f aca="false">ABS(Daromadlilik!K70)/J92</f>
        <v>1.16935718108646E-011</v>
      </c>
      <c r="P92" s="52" t="n">
        <f aca="false">ABS(Daromadlilik!L70)/K92</f>
        <v>2.20040895781587E-011</v>
      </c>
    </row>
    <row r="93" customFormat="false" ht="15" hidden="false" customHeight="false" outlineLevel="0" collapsed="false">
      <c r="G93" s="19" t="n">
        <f aca="false">Daromadlilik!A71</f>
        <v>45391</v>
      </c>
      <c r="H93" s="51" t="n">
        <f aca="false">Hajmlar!B72*Narxlar!C72</f>
        <v>1206174300</v>
      </c>
      <c r="I93" s="51" t="n">
        <f aca="false">Hajmlar!C72*Narxlar!D72</f>
        <v>835735200</v>
      </c>
      <c r="J93" s="51" t="n">
        <f aca="false">Hajmlar!D72*Narxlar!E72</f>
        <v>1607446500</v>
      </c>
      <c r="K93" s="51" t="n">
        <f aca="false">Hajmlar!E72*Narxlar!F72</f>
        <v>559371900</v>
      </c>
      <c r="M93" s="52" t="n">
        <f aca="false">ABS(Daromadlilik!I71)/H93</f>
        <v>1.33538445349696E-011</v>
      </c>
      <c r="N93" s="52" t="n">
        <f aca="false">ABS(Daromadlilik!J71)/I93</f>
        <v>3.15273331760302E-011</v>
      </c>
      <c r="O93" s="52" t="n">
        <f aca="false">ABS(Daromadlilik!K71)/J93</f>
        <v>1.39375118338396E-011</v>
      </c>
      <c r="P93" s="52" t="n">
        <f aca="false">ABS(Daromadlilik!L71)/K93</f>
        <v>4.58574920686093E-011</v>
      </c>
    </row>
    <row r="94" customFormat="false" ht="15" hidden="false" customHeight="false" outlineLevel="0" collapsed="false">
      <c r="G94" s="19" t="n">
        <f aca="false">Daromadlilik!A72</f>
        <v>45392</v>
      </c>
      <c r="H94" s="51" t="n">
        <f aca="false">Hajmlar!B73*Narxlar!C73</f>
        <v>759775600</v>
      </c>
      <c r="I94" s="51" t="n">
        <f aca="false">Hajmlar!C73*Narxlar!D73</f>
        <v>616504000</v>
      </c>
      <c r="J94" s="51" t="n">
        <f aca="false">Hajmlar!D73*Narxlar!E73</f>
        <v>1400627200</v>
      </c>
      <c r="K94" s="51" t="n">
        <f aca="false">Hajmlar!E73*Narxlar!F73</f>
        <v>350908600</v>
      </c>
      <c r="M94" s="52" t="n">
        <f aca="false">ABS(Daromadlilik!I72)/H94</f>
        <v>1.76270241000199E-011</v>
      </c>
      <c r="N94" s="52" t="n">
        <f aca="false">ABS(Daromadlilik!J72)/I94</f>
        <v>1.53242565407818E-011</v>
      </c>
      <c r="O94" s="52" t="n">
        <f aca="false">ABS(Daromadlilik!K72)/J94</f>
        <v>7.54180301639181E-012</v>
      </c>
      <c r="P94" s="52" t="n">
        <f aca="false">ABS(Daromadlilik!L72)/K94</f>
        <v>2.17139512878743E-011</v>
      </c>
    </row>
    <row r="95" customFormat="false" ht="15" hidden="false" customHeight="false" outlineLevel="0" collapsed="false">
      <c r="G95" s="19" t="n">
        <f aca="false">Daromadlilik!A73</f>
        <v>45393</v>
      </c>
      <c r="H95" s="51" t="n">
        <f aca="false">Hajmlar!B74*Narxlar!C74</f>
        <v>1866540000</v>
      </c>
      <c r="I95" s="51" t="n">
        <f aca="false">Hajmlar!C74*Narxlar!D74</f>
        <v>439650700</v>
      </c>
      <c r="J95" s="51" t="n">
        <f aca="false">Hajmlar!D74*Narxlar!E74</f>
        <v>338852200</v>
      </c>
      <c r="K95" s="51" t="n">
        <f aca="false">Hajmlar!E74*Narxlar!F74</f>
        <v>1011819600</v>
      </c>
      <c r="M95" s="52" t="n">
        <f aca="false">ABS(Daromadlilik!I73)/H95</f>
        <v>1.28392962787609E-011</v>
      </c>
      <c r="N95" s="52" t="n">
        <f aca="false">ABS(Daromadlilik!J73)/I95</f>
        <v>7.73458479806736E-012</v>
      </c>
      <c r="O95" s="52" t="n">
        <f aca="false">ABS(Daromadlilik!K73)/J95</f>
        <v>1.73176159375297E-011</v>
      </c>
      <c r="P95" s="52" t="n">
        <f aca="false">ABS(Daromadlilik!L73)/K95</f>
        <v>5.12540319917184E-011</v>
      </c>
    </row>
    <row r="96" customFormat="false" ht="15" hidden="false" customHeight="false" outlineLevel="0" collapsed="false">
      <c r="G96" s="19" t="n">
        <f aca="false">Daromadlilik!A74</f>
        <v>45394</v>
      </c>
      <c r="H96" s="51" t="n">
        <f aca="false">Hajmlar!B75*Narxlar!C75</f>
        <v>1553052500</v>
      </c>
      <c r="I96" s="51" t="n">
        <f aca="false">Hajmlar!C75*Narxlar!D75</f>
        <v>1469188800</v>
      </c>
      <c r="J96" s="51" t="n">
        <f aca="false">Hajmlar!D75*Narxlar!E75</f>
        <v>616104000</v>
      </c>
      <c r="K96" s="51" t="n">
        <f aca="false">Hajmlar!E75*Narxlar!F75</f>
        <v>776655800</v>
      </c>
      <c r="M96" s="52" t="n">
        <f aca="false">ABS(Daromadlilik!I74)/H96</f>
        <v>3.97893979305459E-012</v>
      </c>
      <c r="N96" s="52" t="n">
        <f aca="false">ABS(Daromadlilik!J74)/I96</f>
        <v>2.71479833414045E-011</v>
      </c>
      <c r="O96" s="52" t="n">
        <f aca="false">ABS(Daromadlilik!K74)/J96</f>
        <v>2.01069508664496E-011</v>
      </c>
      <c r="P96" s="52" t="n">
        <f aca="false">ABS(Daromadlilik!L74)/K96</f>
        <v>1.19723811347603E-011</v>
      </c>
    </row>
    <row r="97" customFormat="false" ht="15" hidden="false" customHeight="false" outlineLevel="0" collapsed="false">
      <c r="G97" s="19" t="n">
        <f aca="false">Daromadlilik!A75</f>
        <v>45397</v>
      </c>
      <c r="H97" s="51" t="n">
        <f aca="false">Hajmlar!B76*Narxlar!C76</f>
        <v>788266400</v>
      </c>
      <c r="I97" s="51" t="n">
        <f aca="false">Hajmlar!C76*Narxlar!D76</f>
        <v>1005503200</v>
      </c>
      <c r="J97" s="51" t="n">
        <f aca="false">Hajmlar!D76*Narxlar!E76</f>
        <v>1661852400</v>
      </c>
      <c r="K97" s="51" t="n">
        <f aca="false">Hajmlar!E76*Narxlar!F76</f>
        <v>704790400</v>
      </c>
      <c r="M97" s="52" t="n">
        <f aca="false">ABS(Daromadlilik!I75)/H97</f>
        <v>2.61724002060219E-011</v>
      </c>
      <c r="N97" s="52" t="n">
        <f aca="false">ABS(Daromadlilik!J75)/I97</f>
        <v>3.02327432896813E-012</v>
      </c>
      <c r="O97" s="52" t="n">
        <f aca="false">ABS(Daromadlilik!K75)/J97</f>
        <v>1.66080138660353E-012</v>
      </c>
      <c r="P97" s="52" t="n">
        <f aca="false">ABS(Daromadlilik!L75)/K97</f>
        <v>3.34771170842752E-011</v>
      </c>
    </row>
    <row r="98" customFormat="false" ht="15" hidden="false" customHeight="false" outlineLevel="0" collapsed="false">
      <c r="G98" s="19" t="n">
        <f aca="false">Daromadlilik!A76</f>
        <v>45398</v>
      </c>
      <c r="H98" s="51" t="n">
        <f aca="false">Hajmlar!B77*Narxlar!C77</f>
        <v>734454600</v>
      </c>
      <c r="I98" s="51" t="n">
        <f aca="false">Hajmlar!C77*Narxlar!D77</f>
        <v>1181107500</v>
      </c>
      <c r="J98" s="51" t="n">
        <f aca="false">Hajmlar!D77*Narxlar!E77</f>
        <v>1477220000</v>
      </c>
      <c r="K98" s="51" t="n">
        <f aca="false">Hajmlar!E77*Narxlar!F77</f>
        <v>647157900</v>
      </c>
      <c r="M98" s="52" t="n">
        <f aca="false">ABS(Daromadlilik!I76)/H98</f>
        <v>1.31172895225231E-011</v>
      </c>
      <c r="N98" s="52" t="n">
        <f aca="false">ABS(Daromadlilik!J76)/I98</f>
        <v>1.86270827766285E-011</v>
      </c>
      <c r="O98" s="52" t="n">
        <f aca="false">ABS(Daromadlilik!K76)/J98</f>
        <v>4.85146888290023E-012</v>
      </c>
      <c r="P98" s="52" t="n">
        <f aca="false">ABS(Daromadlilik!L76)/K98</f>
        <v>2.66233323537505E-011</v>
      </c>
    </row>
    <row r="99" customFormat="false" ht="15" hidden="false" customHeight="false" outlineLevel="0" collapsed="false">
      <c r="G99" s="19" t="n">
        <f aca="false">Daromadlilik!A77</f>
        <v>45399</v>
      </c>
      <c r="H99" s="51" t="n">
        <f aca="false">Hajmlar!B78*Narxlar!C78</f>
        <v>2211019800</v>
      </c>
      <c r="I99" s="51" t="n">
        <f aca="false">Hajmlar!C78*Narxlar!D78</f>
        <v>886469200</v>
      </c>
      <c r="J99" s="51" t="n">
        <f aca="false">Hajmlar!D78*Narxlar!E78</f>
        <v>1085047200</v>
      </c>
      <c r="K99" s="51" t="n">
        <f aca="false">Hajmlar!E78*Narxlar!F78</f>
        <v>869297000</v>
      </c>
      <c r="M99" s="52" t="n">
        <f aca="false">ABS(Daromadlilik!I77)/H99</f>
        <v>4.54908267806326E-012</v>
      </c>
      <c r="N99" s="52" t="n">
        <f aca="false">ABS(Daromadlilik!J77)/I99</f>
        <v>1.77964023952186E-011</v>
      </c>
      <c r="O99" s="52" t="n">
        <f aca="false">ABS(Daromadlilik!K77)/J99</f>
        <v>2.53488414724046E-011</v>
      </c>
      <c r="P99" s="52" t="n">
        <f aca="false">ABS(Daromadlilik!L77)/K99</f>
        <v>4.54251805019284E-013</v>
      </c>
    </row>
    <row r="100" customFormat="false" ht="15" hidden="false" customHeight="false" outlineLevel="0" collapsed="false">
      <c r="G100" s="19" t="n">
        <f aca="false">Daromadlilik!A78</f>
        <v>45400</v>
      </c>
      <c r="H100" s="51" t="n">
        <f aca="false">Hajmlar!B79*Narxlar!C79</f>
        <v>779470200</v>
      </c>
      <c r="I100" s="51" t="n">
        <f aca="false">Hajmlar!C79*Narxlar!D79</f>
        <v>710275200</v>
      </c>
      <c r="J100" s="51" t="n">
        <f aca="false">Hajmlar!D79*Narxlar!E79</f>
        <v>1360435000</v>
      </c>
      <c r="K100" s="51" t="n">
        <f aca="false">Hajmlar!E79*Narxlar!F79</f>
        <v>735857100</v>
      </c>
      <c r="M100" s="52" t="n">
        <f aca="false">ABS(Daromadlilik!I78)/H100</f>
        <v>1.61536770339447E-011</v>
      </c>
      <c r="N100" s="52" t="n">
        <f aca="false">ABS(Daromadlilik!J78)/I100</f>
        <v>4.25330906809012E-012</v>
      </c>
      <c r="O100" s="52" t="n">
        <f aca="false">ABS(Daromadlilik!K78)/J100</f>
        <v>2.16885037661833E-012</v>
      </c>
      <c r="P100" s="52" t="n">
        <f aca="false">ABS(Daromadlilik!L78)/K100</f>
        <v>1.75025315798422E-011</v>
      </c>
    </row>
    <row r="101" customFormat="false" ht="15" hidden="false" customHeight="false" outlineLevel="0" collapsed="false">
      <c r="G101" s="19" t="n">
        <f aca="false">Daromadlilik!A79</f>
        <v>45401</v>
      </c>
      <c r="H101" s="51" t="n">
        <f aca="false">Hajmlar!B80*Narxlar!C80</f>
        <v>1271018400</v>
      </c>
      <c r="I101" s="51" t="n">
        <f aca="false">Hajmlar!C80*Narxlar!D80</f>
        <v>1172490300</v>
      </c>
      <c r="J101" s="51" t="n">
        <f aca="false">Hajmlar!D80*Narxlar!E80</f>
        <v>1115174400</v>
      </c>
      <c r="K101" s="51" t="n">
        <f aca="false">Hajmlar!E80*Narxlar!F80</f>
        <v>792844000</v>
      </c>
      <c r="M101" s="52" t="n">
        <f aca="false">ABS(Daromadlilik!I79)/H101</f>
        <v>1.63166286336538E-012</v>
      </c>
      <c r="N101" s="52" t="n">
        <f aca="false">ABS(Daromadlilik!J79)/I101</f>
        <v>9.7863268446073E-012</v>
      </c>
      <c r="O101" s="52" t="n">
        <f aca="false">ABS(Daromadlilik!K79)/J101</f>
        <v>1.11913252749554E-011</v>
      </c>
      <c r="P101" s="52" t="n">
        <f aca="false">ABS(Daromadlilik!L79)/K101</f>
        <v>1.21430450151249E-011</v>
      </c>
    </row>
    <row r="102" customFormat="false" ht="15" hidden="false" customHeight="false" outlineLevel="0" collapsed="false">
      <c r="G102" s="19" t="n">
        <f aca="false">Daromadlilik!A80</f>
        <v>45404</v>
      </c>
      <c r="H102" s="51" t="n">
        <f aca="false">Hajmlar!B81*Narxlar!C81</f>
        <v>2259479000</v>
      </c>
      <c r="I102" s="51" t="n">
        <f aca="false">Hajmlar!C81*Narxlar!D81</f>
        <v>1114417000</v>
      </c>
      <c r="J102" s="51" t="n">
        <f aca="false">Hajmlar!D81*Narxlar!E81</f>
        <v>1258893600</v>
      </c>
      <c r="K102" s="51" t="n">
        <f aca="false">Hajmlar!E81*Narxlar!F81</f>
        <v>1273776000</v>
      </c>
      <c r="M102" s="52" t="n">
        <f aca="false">ABS(Daromadlilik!I80)/H102</f>
        <v>1.90902134057725E-011</v>
      </c>
      <c r="N102" s="52" t="n">
        <f aca="false">ABS(Daromadlilik!J80)/I102</f>
        <v>1.17324629923579E-011</v>
      </c>
      <c r="O102" s="52" t="n">
        <f aca="false">ABS(Daromadlilik!K80)/J102</f>
        <v>3.54193624591865E-011</v>
      </c>
      <c r="P102" s="52" t="n">
        <f aca="false">ABS(Daromadlilik!L80)/K102</f>
        <v>1.84718287497728E-011</v>
      </c>
    </row>
    <row r="103" customFormat="false" ht="15" hidden="false" customHeight="false" outlineLevel="0" collapsed="false">
      <c r="G103" s="19" t="n">
        <f aca="false">Daromadlilik!A81</f>
        <v>45405</v>
      </c>
      <c r="H103" s="51" t="n">
        <f aca="false">Hajmlar!B82*Narxlar!C82</f>
        <v>2153110500</v>
      </c>
      <c r="I103" s="51" t="n">
        <f aca="false">Hajmlar!C82*Narxlar!D82</f>
        <v>956601100</v>
      </c>
      <c r="J103" s="51" t="n">
        <f aca="false">Hajmlar!D82*Narxlar!E82</f>
        <v>676843200</v>
      </c>
      <c r="K103" s="51" t="n">
        <f aca="false">Hajmlar!E82*Narxlar!F82</f>
        <v>712073600</v>
      </c>
      <c r="M103" s="52" t="n">
        <f aca="false">ABS(Daromadlilik!I81)/H103</f>
        <v>2.59856275901219E-012</v>
      </c>
      <c r="N103" s="52" t="n">
        <f aca="false">ABS(Daromadlilik!J81)/I103</f>
        <v>1.14565696607973E-012</v>
      </c>
      <c r="O103" s="52" t="n">
        <f aca="false">ABS(Daromadlilik!K81)/J103</f>
        <v>9.13443498719683E-012</v>
      </c>
      <c r="P103" s="52" t="n">
        <f aca="false">ABS(Daromadlilik!L81)/K103</f>
        <v>2.53645169654104E-011</v>
      </c>
    </row>
    <row r="104" customFormat="false" ht="15" hidden="false" customHeight="false" outlineLevel="0" collapsed="false">
      <c r="G104" s="19" t="n">
        <f aca="false">Daromadlilik!A82</f>
        <v>45406</v>
      </c>
      <c r="H104" s="51" t="n">
        <f aca="false">Hajmlar!B83*Narxlar!C83</f>
        <v>1341881400</v>
      </c>
      <c r="I104" s="51" t="n">
        <f aca="false">Hajmlar!C83*Narxlar!D83</f>
        <v>1019007000</v>
      </c>
      <c r="J104" s="51" t="n">
        <f aca="false">Hajmlar!D83*Narxlar!E83</f>
        <v>878314800</v>
      </c>
      <c r="K104" s="51" t="n">
        <f aca="false">Hajmlar!E83*Narxlar!F83</f>
        <v>449414000</v>
      </c>
      <c r="M104" s="52" t="n">
        <f aca="false">ABS(Daromadlilik!I82)/H104</f>
        <v>1.23703715057893E-011</v>
      </c>
      <c r="N104" s="52" t="n">
        <f aca="false">ABS(Daromadlilik!J82)/I104</f>
        <v>1.44864602774712E-011</v>
      </c>
      <c r="O104" s="52" t="n">
        <f aca="false">ABS(Daromadlilik!K82)/J104</f>
        <v>1.75825085040973E-011</v>
      </c>
      <c r="P104" s="52" t="n">
        <f aca="false">ABS(Daromadlilik!L82)/K104</f>
        <v>2.1732443367596E-011</v>
      </c>
    </row>
    <row r="105" customFormat="false" ht="15" hidden="false" customHeight="false" outlineLevel="0" collapsed="false">
      <c r="G105" s="19" t="n">
        <f aca="false">Daromadlilik!A83</f>
        <v>45407</v>
      </c>
      <c r="H105" s="51" t="n">
        <f aca="false">Hajmlar!B84*Narxlar!C84</f>
        <v>1034659800</v>
      </c>
      <c r="I105" s="51" t="n">
        <f aca="false">Hajmlar!C84*Narxlar!D84</f>
        <v>1024911000</v>
      </c>
      <c r="J105" s="51" t="n">
        <f aca="false">Hajmlar!D84*Narxlar!E84</f>
        <v>1456374600</v>
      </c>
      <c r="K105" s="51" t="n">
        <f aca="false">Hajmlar!E84*Narxlar!F84</f>
        <v>821276700</v>
      </c>
      <c r="M105" s="52" t="n">
        <f aca="false">ABS(Daromadlilik!I83)/H105</f>
        <v>9.16306595074186E-012</v>
      </c>
      <c r="N105" s="52" t="n">
        <f aca="false">ABS(Daromadlilik!J83)/I105</f>
        <v>1.71608979715189E-011</v>
      </c>
      <c r="O105" s="52" t="n">
        <f aca="false">ABS(Daromadlilik!K83)/J105</f>
        <v>8.11749439589461E-012</v>
      </c>
      <c r="P105" s="52" t="n">
        <f aca="false">ABS(Daromadlilik!L83)/K105</f>
        <v>3.30036087916378E-011</v>
      </c>
    </row>
    <row r="106" customFormat="false" ht="15" hidden="false" customHeight="false" outlineLevel="0" collapsed="false">
      <c r="G106" s="19" t="n">
        <f aca="false">Daromadlilik!A84</f>
        <v>45408</v>
      </c>
      <c r="H106" s="51" t="n">
        <f aca="false">Hajmlar!B85*Narxlar!C85</f>
        <v>1123888500</v>
      </c>
      <c r="I106" s="51" t="n">
        <f aca="false">Hajmlar!C85*Narxlar!D85</f>
        <v>1482479200</v>
      </c>
      <c r="J106" s="51" t="n">
        <f aca="false">Hajmlar!D85*Narxlar!E85</f>
        <v>1320936400</v>
      </c>
      <c r="K106" s="51" t="n">
        <f aca="false">Hajmlar!E85*Narxlar!F85</f>
        <v>1410624600</v>
      </c>
      <c r="M106" s="52" t="n">
        <f aca="false">ABS(Daromadlilik!I84)/H106</f>
        <v>2.89193396415567E-011</v>
      </c>
      <c r="N106" s="52" t="n">
        <f aca="false">ABS(Daromadlilik!J84)/I106</f>
        <v>1.44911537047295E-011</v>
      </c>
      <c r="O106" s="52" t="n">
        <f aca="false">ABS(Daromadlilik!K84)/J106</f>
        <v>2.09782128249789E-011</v>
      </c>
      <c r="P106" s="52" t="n">
        <f aca="false">ABS(Daromadlilik!L84)/K106</f>
        <v>1.62334098410021E-011</v>
      </c>
    </row>
    <row r="107" customFormat="false" ht="15" hidden="false" customHeight="false" outlineLevel="0" collapsed="false">
      <c r="G107" s="19" t="n">
        <f aca="false">Daromadlilik!A85</f>
        <v>45411</v>
      </c>
      <c r="H107" s="51" t="n">
        <f aca="false">Hajmlar!B86*Narxlar!C86</f>
        <v>1035180000</v>
      </c>
      <c r="I107" s="51" t="n">
        <f aca="false">Hajmlar!C86*Narxlar!D86</f>
        <v>1038615000</v>
      </c>
      <c r="J107" s="51" t="n">
        <f aca="false">Hajmlar!D86*Narxlar!E86</f>
        <v>863574000</v>
      </c>
      <c r="K107" s="51" t="n">
        <f aca="false">Hajmlar!E86*Narxlar!F86</f>
        <v>818952200</v>
      </c>
      <c r="M107" s="52" t="n">
        <f aca="false">ABS(Daromadlilik!I85)/H107</f>
        <v>2.83871956309926E-012</v>
      </c>
      <c r="N107" s="52" t="n">
        <f aca="false">ABS(Daromadlilik!J85)/I107</f>
        <v>1.00595893735152E-011</v>
      </c>
      <c r="O107" s="52" t="n">
        <f aca="false">ABS(Daromadlilik!K85)/J107</f>
        <v>1.57476681804077E-012</v>
      </c>
      <c r="P107" s="52" t="n">
        <f aca="false">ABS(Daromadlilik!L85)/K107</f>
        <v>3.39648718207256E-012</v>
      </c>
    </row>
    <row r="108" customFormat="false" ht="15" hidden="false" customHeight="false" outlineLevel="0" collapsed="false">
      <c r="G108" s="19" t="n">
        <f aca="false">Daromadlilik!A86</f>
        <v>45412</v>
      </c>
      <c r="H108" s="51" t="n">
        <f aca="false">Hajmlar!B87*Narxlar!C87</f>
        <v>1784787800</v>
      </c>
      <c r="I108" s="51" t="n">
        <f aca="false">Hajmlar!C87*Narxlar!D87</f>
        <v>998688000</v>
      </c>
      <c r="J108" s="51" t="n">
        <f aca="false">Hajmlar!D87*Narxlar!E87</f>
        <v>840330400</v>
      </c>
      <c r="K108" s="51" t="n">
        <f aca="false">Hajmlar!E87*Narxlar!F87</f>
        <v>946467500</v>
      </c>
      <c r="M108" s="52" t="n">
        <f aca="false">ABS(Daromadlilik!I86)/H108</f>
        <v>6.79995087687451E-012</v>
      </c>
      <c r="N108" s="52" t="n">
        <f aca="false">ABS(Daromadlilik!J86)/I108</f>
        <v>8.14582401432363E-012</v>
      </c>
      <c r="O108" s="52" t="n">
        <f aca="false">ABS(Daromadlilik!K86)/J108</f>
        <v>4.04374967004415E-013</v>
      </c>
      <c r="P108" s="52" t="n">
        <f aca="false">ABS(Daromadlilik!L86)/K108</f>
        <v>1.7832142389809E-011</v>
      </c>
    </row>
    <row r="109" customFormat="false" ht="15" hidden="false" customHeight="false" outlineLevel="0" collapsed="false">
      <c r="G109" s="19" t="n">
        <f aca="false">Daromadlilik!A87</f>
        <v>45413</v>
      </c>
      <c r="H109" s="51" t="n">
        <f aca="false">Hajmlar!B88*Narxlar!C88</f>
        <v>882021000</v>
      </c>
      <c r="I109" s="51" t="n">
        <f aca="false">Hajmlar!C88*Narxlar!D88</f>
        <v>551190000</v>
      </c>
      <c r="J109" s="51" t="n">
        <f aca="false">Hajmlar!D88*Narxlar!E88</f>
        <v>916537600</v>
      </c>
      <c r="K109" s="51" t="n">
        <f aca="false">Hajmlar!E88*Narxlar!F88</f>
        <v>967904000</v>
      </c>
      <c r="M109" s="52" t="n">
        <f aca="false">ABS(Daromadlilik!I87)/H109</f>
        <v>2.99283273378039E-013</v>
      </c>
      <c r="N109" s="52" t="n">
        <f aca="false">ABS(Daromadlilik!J87)/I109</f>
        <v>4.87149596646467E-012</v>
      </c>
      <c r="O109" s="52" t="n">
        <f aca="false">ABS(Daromadlilik!K87)/J109</f>
        <v>4.56383236959637E-012</v>
      </c>
      <c r="P109" s="52" t="n">
        <f aca="false">ABS(Daromadlilik!L87)/K109</f>
        <v>4.52293850782404E-012</v>
      </c>
    </row>
    <row r="110" customFormat="false" ht="15" hidden="false" customHeight="false" outlineLevel="0" collapsed="false">
      <c r="G110" s="19" t="n">
        <f aca="false">Daromadlilik!A88</f>
        <v>45414</v>
      </c>
      <c r="H110" s="51" t="n">
        <f aca="false">Hajmlar!B89*Narxlar!C89</f>
        <v>1568023600</v>
      </c>
      <c r="I110" s="51" t="n">
        <f aca="false">Hajmlar!C89*Narxlar!D89</f>
        <v>1338753600</v>
      </c>
      <c r="J110" s="51" t="n">
        <f aca="false">Hajmlar!D89*Narxlar!E89</f>
        <v>1050622300</v>
      </c>
      <c r="K110" s="51" t="n">
        <f aca="false">Hajmlar!E89*Narxlar!F89</f>
        <v>1810920200</v>
      </c>
      <c r="M110" s="52" t="n">
        <f aca="false">ABS(Daromadlilik!I88)/H110</f>
        <v>4.73757178987412E-012</v>
      </c>
      <c r="N110" s="52" t="n">
        <f aca="false">ABS(Daromadlilik!J88)/I110</f>
        <v>5.6758763469619E-012</v>
      </c>
      <c r="O110" s="52" t="n">
        <f aca="false">ABS(Daromadlilik!K88)/J110</f>
        <v>1.82371273809729E-012</v>
      </c>
      <c r="P110" s="52" t="n">
        <f aca="false">ABS(Daromadlilik!L88)/K110</f>
        <v>1.59030037179142E-011</v>
      </c>
    </row>
    <row r="111" customFormat="false" ht="15" hidden="false" customHeight="false" outlineLevel="0" collapsed="false">
      <c r="G111" s="19" t="n">
        <f aca="false">Daromadlilik!A89</f>
        <v>45415</v>
      </c>
      <c r="H111" s="51" t="n">
        <f aca="false">Hajmlar!B90*Narxlar!C90</f>
        <v>1765713100</v>
      </c>
      <c r="I111" s="51" t="n">
        <f aca="false">Hajmlar!C90*Narxlar!D90</f>
        <v>955636000</v>
      </c>
      <c r="J111" s="51" t="n">
        <f aca="false">Hajmlar!D90*Narxlar!E90</f>
        <v>1249233300</v>
      </c>
      <c r="K111" s="51" t="n">
        <f aca="false">Hajmlar!E90*Narxlar!F90</f>
        <v>1091000400</v>
      </c>
      <c r="M111" s="52" t="n">
        <f aca="false">ABS(Daromadlilik!I89)/H111</f>
        <v>1.1882421697609E-011</v>
      </c>
      <c r="N111" s="52" t="n">
        <f aca="false">ABS(Daromadlilik!J89)/I111</f>
        <v>2.25728692586008E-011</v>
      </c>
      <c r="O111" s="52" t="n">
        <f aca="false">ABS(Daromadlilik!K89)/J111</f>
        <v>3.61355309108371E-012</v>
      </c>
      <c r="P111" s="52" t="n">
        <f aca="false">ABS(Daromadlilik!L89)/K111</f>
        <v>4.47695247264102E-011</v>
      </c>
    </row>
    <row r="112" customFormat="false" ht="15" hidden="false" customHeight="false" outlineLevel="0" collapsed="false">
      <c r="G112" s="19" t="n">
        <f aca="false">Daromadlilik!A90</f>
        <v>45418</v>
      </c>
      <c r="H112" s="51" t="n">
        <f aca="false">Hajmlar!B91*Narxlar!C91</f>
        <v>1372382200</v>
      </c>
      <c r="I112" s="51" t="n">
        <f aca="false">Hajmlar!C91*Narxlar!D91</f>
        <v>2347698900</v>
      </c>
      <c r="J112" s="51" t="n">
        <f aca="false">Hajmlar!D91*Narxlar!E91</f>
        <v>923367000</v>
      </c>
      <c r="K112" s="51" t="n">
        <f aca="false">Hajmlar!E91*Narxlar!F91</f>
        <v>415789200</v>
      </c>
      <c r="M112" s="52" t="n">
        <f aca="false">ABS(Daromadlilik!I90)/H112</f>
        <v>7.30681603401814E-013</v>
      </c>
      <c r="N112" s="52" t="n">
        <f aca="false">ABS(Daromadlilik!J90)/I112</f>
        <v>7.24876338045525E-012</v>
      </c>
      <c r="O112" s="52" t="n">
        <f aca="false">ABS(Daromadlilik!K90)/J112</f>
        <v>3.54658970682385E-012</v>
      </c>
      <c r="P112" s="52" t="n">
        <f aca="false">ABS(Daromadlilik!L90)/K112</f>
        <v>5.54310029341486E-012</v>
      </c>
    </row>
    <row r="113" customFormat="false" ht="15" hidden="false" customHeight="false" outlineLevel="0" collapsed="false">
      <c r="G113" s="19" t="n">
        <f aca="false">Daromadlilik!A91</f>
        <v>45419</v>
      </c>
      <c r="H113" s="51" t="n">
        <f aca="false">Hajmlar!B92*Narxlar!C92</f>
        <v>547289600</v>
      </c>
      <c r="I113" s="51" t="n">
        <f aca="false">Hajmlar!C92*Narxlar!D92</f>
        <v>787593600</v>
      </c>
      <c r="J113" s="51" t="n">
        <f aca="false">Hajmlar!D92*Narxlar!E92</f>
        <v>997233600</v>
      </c>
      <c r="K113" s="51" t="n">
        <f aca="false">Hajmlar!E92*Narxlar!F92</f>
        <v>925475400</v>
      </c>
      <c r="M113" s="52" t="n">
        <f aca="false">ABS(Daromadlilik!I91)/H113</f>
        <v>1.15125725740521E-011</v>
      </c>
      <c r="N113" s="52" t="n">
        <f aca="false">ABS(Daromadlilik!J91)/I113</f>
        <v>6.83956372302384E-012</v>
      </c>
      <c r="O113" s="52" t="n">
        <f aca="false">ABS(Daromadlilik!K91)/J113</f>
        <v>1.19125072188226E-011</v>
      </c>
      <c r="P113" s="52" t="n">
        <f aca="false">ABS(Daromadlilik!L91)/K113</f>
        <v>2.70832129573057E-011</v>
      </c>
    </row>
    <row r="114" customFormat="false" ht="15" hidden="false" customHeight="false" outlineLevel="0" collapsed="false">
      <c r="G114" s="19" t="n">
        <f aca="false">Daromadlilik!A92</f>
        <v>45420</v>
      </c>
      <c r="H114" s="51" t="n">
        <f aca="false">Hajmlar!B93*Narxlar!C93</f>
        <v>548338000</v>
      </c>
      <c r="I114" s="51" t="n">
        <f aca="false">Hajmlar!C93*Narxlar!D93</f>
        <v>704723600</v>
      </c>
      <c r="J114" s="51" t="n">
        <f aca="false">Hajmlar!D93*Narxlar!E93</f>
        <v>791344600</v>
      </c>
      <c r="K114" s="51" t="n">
        <f aca="false">Hajmlar!E93*Narxlar!F93</f>
        <v>897705600</v>
      </c>
      <c r="M114" s="52" t="n">
        <f aca="false">ABS(Daromadlilik!I92)/H114</f>
        <v>1.13166238690136E-011</v>
      </c>
      <c r="N114" s="52" t="n">
        <f aca="false">ABS(Daromadlilik!J92)/I114</f>
        <v>2.36184482501435E-012</v>
      </c>
      <c r="O114" s="52" t="n">
        <f aca="false">ABS(Daromadlilik!K92)/J114</f>
        <v>1.97250656210865E-012</v>
      </c>
      <c r="P114" s="52" t="n">
        <f aca="false">ABS(Daromadlilik!L92)/K114</f>
        <v>2.13497846867292E-011</v>
      </c>
    </row>
    <row r="115" customFormat="false" ht="15" hidden="false" customHeight="false" outlineLevel="0" collapsed="false">
      <c r="G115" s="19" t="n">
        <f aca="false">Daromadlilik!A93</f>
        <v>45421</v>
      </c>
      <c r="H115" s="51" t="n">
        <f aca="false">Hajmlar!B94*Narxlar!C94</f>
        <v>1857600800</v>
      </c>
      <c r="I115" s="51" t="n">
        <f aca="false">Hajmlar!C94*Narxlar!D94</f>
        <v>946332000</v>
      </c>
      <c r="J115" s="51" t="n">
        <f aca="false">Hajmlar!D94*Narxlar!E94</f>
        <v>657884200</v>
      </c>
      <c r="K115" s="51" t="n">
        <f aca="false">Hajmlar!E94*Narxlar!F94</f>
        <v>645527200</v>
      </c>
      <c r="M115" s="52" t="n">
        <f aca="false">ABS(Daromadlilik!I93)/H115</f>
        <v>8.14719977725543E-012</v>
      </c>
      <c r="N115" s="52" t="n">
        <f aca="false">ABS(Daromadlilik!J93)/I115</f>
        <v>1.47464727500566E-011</v>
      </c>
      <c r="O115" s="52" t="n">
        <f aca="false">ABS(Daromadlilik!K93)/J115</f>
        <v>1.69598253421055E-013</v>
      </c>
      <c r="P115" s="52" t="n">
        <f aca="false">ABS(Daromadlilik!L93)/K115</f>
        <v>4.83922566027948E-011</v>
      </c>
    </row>
    <row r="116" customFormat="false" ht="15" hidden="false" customHeight="false" outlineLevel="0" collapsed="false">
      <c r="G116" s="19" t="n">
        <f aca="false">Daromadlilik!A94</f>
        <v>45422</v>
      </c>
      <c r="H116" s="51" t="n">
        <f aca="false">Hajmlar!B95*Narxlar!C95</f>
        <v>986049000</v>
      </c>
      <c r="I116" s="51" t="n">
        <f aca="false">Hajmlar!C95*Narxlar!D95</f>
        <v>1886490900</v>
      </c>
      <c r="J116" s="51" t="n">
        <f aca="false">Hajmlar!D95*Narxlar!E95</f>
        <v>1276249500</v>
      </c>
      <c r="K116" s="51" t="n">
        <f aca="false">Hajmlar!E95*Narxlar!F95</f>
        <v>608777100</v>
      </c>
      <c r="M116" s="52" t="n">
        <f aca="false">ABS(Daromadlilik!I94)/H116</f>
        <v>2.32087000434861E-011</v>
      </c>
      <c r="N116" s="52" t="n">
        <f aca="false">ABS(Daromadlilik!J94)/I116</f>
        <v>1.42170675784193E-011</v>
      </c>
      <c r="O116" s="52" t="n">
        <f aca="false">ABS(Daromadlilik!K94)/J116</f>
        <v>7.13585115765667E-012</v>
      </c>
      <c r="P116" s="52" t="n">
        <f aca="false">ABS(Daromadlilik!L94)/K116</f>
        <v>2.4076208992611E-011</v>
      </c>
    </row>
    <row r="117" customFormat="false" ht="15" hidden="false" customHeight="false" outlineLevel="0" collapsed="false">
      <c r="G117" s="19" t="n">
        <f aca="false">Daromadlilik!A95</f>
        <v>45425</v>
      </c>
      <c r="H117" s="51" t="n">
        <f aca="false">Hajmlar!B96*Narxlar!C96</f>
        <v>1011982800</v>
      </c>
      <c r="I117" s="51" t="n">
        <f aca="false">Hajmlar!C96*Narxlar!D96</f>
        <v>949625600</v>
      </c>
      <c r="J117" s="51" t="n">
        <f aca="false">Hajmlar!D96*Narxlar!E96</f>
        <v>980894500</v>
      </c>
      <c r="K117" s="51" t="n">
        <f aca="false">Hajmlar!E96*Narxlar!F96</f>
        <v>699412700</v>
      </c>
      <c r="M117" s="52" t="n">
        <f aca="false">ABS(Daromadlilik!I95)/H117</f>
        <v>2.054454427437E-012</v>
      </c>
      <c r="N117" s="52" t="n">
        <f aca="false">ABS(Daromadlilik!J95)/I117</f>
        <v>8.49826543901994E-012</v>
      </c>
      <c r="O117" s="52" t="n">
        <f aca="false">ABS(Daromadlilik!K95)/J117</f>
        <v>2.22967362869601E-011</v>
      </c>
      <c r="P117" s="52" t="n">
        <f aca="false">ABS(Daromadlilik!L95)/K117</f>
        <v>2.53958208422093E-011</v>
      </c>
    </row>
    <row r="118" customFormat="false" ht="15" hidden="false" customHeight="false" outlineLevel="0" collapsed="false">
      <c r="G118" s="19" t="n">
        <f aca="false">Daromadlilik!A96</f>
        <v>45426</v>
      </c>
      <c r="H118" s="51" t="n">
        <f aca="false">Hajmlar!B97*Narxlar!C97</f>
        <v>1152766400</v>
      </c>
      <c r="I118" s="51" t="n">
        <f aca="false">Hajmlar!C97*Narxlar!D97</f>
        <v>814287500</v>
      </c>
      <c r="J118" s="51" t="n">
        <f aca="false">Hajmlar!D97*Narxlar!E97</f>
        <v>657013500</v>
      </c>
      <c r="K118" s="51" t="n">
        <f aca="false">Hajmlar!E97*Narxlar!F97</f>
        <v>414994200</v>
      </c>
      <c r="M118" s="52" t="n">
        <f aca="false">ABS(Daromadlilik!I96)/H118</f>
        <v>1.62365475580588E-011</v>
      </c>
      <c r="N118" s="52" t="n">
        <f aca="false">ABS(Daromadlilik!J96)/I118</f>
        <v>9.81268021921314E-012</v>
      </c>
      <c r="O118" s="52" t="n">
        <f aca="false">ABS(Daromadlilik!K96)/J118</f>
        <v>9.24752432079438E-012</v>
      </c>
      <c r="P118" s="52" t="n">
        <f aca="false">ABS(Daromadlilik!L96)/K118</f>
        <v>1.08803974944531E-011</v>
      </c>
    </row>
    <row r="119" customFormat="false" ht="15" hidden="false" customHeight="false" outlineLevel="0" collapsed="false">
      <c r="G119" s="19" t="n">
        <f aca="false">Daromadlilik!A97</f>
        <v>45427</v>
      </c>
      <c r="H119" s="51" t="n">
        <f aca="false">Hajmlar!B98*Narxlar!C98</f>
        <v>1744209600</v>
      </c>
      <c r="I119" s="51" t="n">
        <f aca="false">Hajmlar!C98*Narxlar!D98</f>
        <v>1212492700</v>
      </c>
      <c r="J119" s="51" t="n">
        <f aca="false">Hajmlar!D98*Narxlar!E98</f>
        <v>1194516300</v>
      </c>
      <c r="K119" s="51" t="n">
        <f aca="false">Hajmlar!E98*Narxlar!F98</f>
        <v>730314000</v>
      </c>
      <c r="M119" s="52" t="n">
        <f aca="false">ABS(Daromadlilik!I97)/H119</f>
        <v>2.18580620726912E-011</v>
      </c>
      <c r="N119" s="52" t="n">
        <f aca="false">ABS(Daromadlilik!J97)/I119</f>
        <v>8.44927919681491E-012</v>
      </c>
      <c r="O119" s="52" t="n">
        <f aca="false">ABS(Daromadlilik!K97)/J119</f>
        <v>7.07615801124395E-012</v>
      </c>
      <c r="P119" s="52" t="n">
        <f aca="false">ABS(Daromadlilik!L97)/K119</f>
        <v>3.88996024280961E-011</v>
      </c>
    </row>
    <row r="120" customFormat="false" ht="15" hidden="false" customHeight="false" outlineLevel="0" collapsed="false">
      <c r="G120" s="19" t="n">
        <f aca="false">Daromadlilik!A98</f>
        <v>45428</v>
      </c>
      <c r="H120" s="51" t="n">
        <f aca="false">Hajmlar!B99*Narxlar!C99</f>
        <v>1846111500</v>
      </c>
      <c r="I120" s="51" t="n">
        <f aca="false">Hajmlar!C99*Narxlar!D99</f>
        <v>1336208400</v>
      </c>
      <c r="J120" s="51" t="n">
        <f aca="false">Hajmlar!D99*Narxlar!E99</f>
        <v>1070572100</v>
      </c>
      <c r="K120" s="51" t="n">
        <f aca="false">Hajmlar!E99*Narxlar!F99</f>
        <v>742400000</v>
      </c>
      <c r="M120" s="52" t="n">
        <f aca="false">ABS(Daromadlilik!I98)/H120</f>
        <v>7.59585396679472E-012</v>
      </c>
      <c r="N120" s="52" t="n">
        <f aca="false">ABS(Daromadlilik!J98)/I120</f>
        <v>4.41824497608666E-012</v>
      </c>
      <c r="O120" s="52" t="n">
        <f aca="false">ABS(Daromadlilik!K98)/J120</f>
        <v>1.41221626984409E-012</v>
      </c>
      <c r="P120" s="52" t="n">
        <f aca="false">ABS(Daromadlilik!L98)/K120</f>
        <v>1.19938108279134E-011</v>
      </c>
    </row>
    <row r="121" customFormat="false" ht="15" hidden="false" customHeight="false" outlineLevel="0" collapsed="false">
      <c r="G121" s="19" t="n">
        <f aca="false">Daromadlilik!A99</f>
        <v>45429</v>
      </c>
      <c r="H121" s="51" t="n">
        <f aca="false">Hajmlar!B100*Narxlar!C100</f>
        <v>1575223200</v>
      </c>
      <c r="I121" s="51" t="n">
        <f aca="false">Hajmlar!C100*Narxlar!D100</f>
        <v>1635591000</v>
      </c>
      <c r="J121" s="51" t="n">
        <f aca="false">Hajmlar!D100*Narxlar!E100</f>
        <v>1034390500</v>
      </c>
      <c r="K121" s="51" t="n">
        <f aca="false">Hajmlar!E100*Narxlar!F100</f>
        <v>481637000</v>
      </c>
      <c r="M121" s="52" t="n">
        <f aca="false">ABS(Daromadlilik!I99)/H121</f>
        <v>7.65524296501435E-012</v>
      </c>
      <c r="N121" s="52" t="n">
        <f aca="false">ABS(Daromadlilik!J99)/I121</f>
        <v>4.69546506307079E-012</v>
      </c>
      <c r="O121" s="52" t="n">
        <f aca="false">ABS(Daromadlilik!K99)/J121</f>
        <v>1.12184896542596E-011</v>
      </c>
      <c r="P121" s="52" t="n">
        <f aca="false">ABS(Daromadlilik!L99)/K121</f>
        <v>3.97508308842926E-012</v>
      </c>
    </row>
    <row r="122" customFormat="false" ht="15" hidden="false" customHeight="false" outlineLevel="0" collapsed="false">
      <c r="G122" s="19" t="n">
        <f aca="false">Daromadlilik!A100</f>
        <v>45432</v>
      </c>
      <c r="H122" s="51" t="n">
        <f aca="false">Hajmlar!B101*Narxlar!C101</f>
        <v>1165750400</v>
      </c>
      <c r="I122" s="51" t="n">
        <f aca="false">Hajmlar!C101*Narxlar!D101</f>
        <v>1409571200</v>
      </c>
      <c r="J122" s="51" t="n">
        <f aca="false">Hajmlar!D101*Narxlar!E101</f>
        <v>566703500</v>
      </c>
      <c r="K122" s="51" t="n">
        <f aca="false">Hajmlar!E101*Narxlar!F101</f>
        <v>680633500</v>
      </c>
      <c r="M122" s="52" t="n">
        <f aca="false">ABS(Daromadlilik!I100)/H122</f>
        <v>3.85389808132526E-012</v>
      </c>
      <c r="N122" s="52" t="n">
        <f aca="false">ABS(Daromadlilik!J100)/I122</f>
        <v>1.67880641386985E-013</v>
      </c>
      <c r="O122" s="52" t="n">
        <f aca="false">ABS(Daromadlilik!K100)/J122</f>
        <v>1.13066504333533E-012</v>
      </c>
      <c r="P122" s="52" t="n">
        <f aca="false">ABS(Daromadlilik!L100)/K122</f>
        <v>1.02670685148377E-011</v>
      </c>
    </row>
    <row r="123" customFormat="false" ht="15" hidden="false" customHeight="false" outlineLevel="0" collapsed="false">
      <c r="G123" s="19" t="n">
        <f aca="false">Daromadlilik!A101</f>
        <v>45433</v>
      </c>
      <c r="H123" s="51" t="n">
        <f aca="false">Hajmlar!B102*Narxlar!C102</f>
        <v>1606995000</v>
      </c>
      <c r="I123" s="51" t="n">
        <f aca="false">Hajmlar!C102*Narxlar!D102</f>
        <v>1072681900</v>
      </c>
      <c r="J123" s="51" t="n">
        <f aca="false">Hajmlar!D102*Narxlar!E102</f>
        <v>1696988800</v>
      </c>
      <c r="K123" s="51" t="n">
        <f aca="false">Hajmlar!E102*Narxlar!F102</f>
        <v>689179400</v>
      </c>
      <c r="M123" s="52" t="n">
        <f aca="false">ABS(Daromadlilik!I101)/H123</f>
        <v>5.90435798840666E-012</v>
      </c>
      <c r="N123" s="52" t="n">
        <f aca="false">ABS(Daromadlilik!J101)/I123</f>
        <v>9.11154633445167E-012</v>
      </c>
      <c r="O123" s="52" t="n">
        <f aca="false">ABS(Daromadlilik!K101)/J123</f>
        <v>1.19408162577883E-012</v>
      </c>
      <c r="P123" s="52" t="n">
        <f aca="false">ABS(Daromadlilik!L101)/K123</f>
        <v>4.18276726648443E-011</v>
      </c>
    </row>
    <row r="124" customFormat="false" ht="15" hidden="false" customHeight="false" outlineLevel="0" collapsed="false">
      <c r="G124" s="19" t="n">
        <f aca="false">Daromadlilik!A102</f>
        <v>45434</v>
      </c>
      <c r="H124" s="51" t="n">
        <f aca="false">Hajmlar!B103*Narxlar!C103</f>
        <v>871054200</v>
      </c>
      <c r="I124" s="51" t="n">
        <f aca="false">Hajmlar!C103*Narxlar!D103</f>
        <v>801580500</v>
      </c>
      <c r="J124" s="51" t="n">
        <f aca="false">Hajmlar!D103*Narxlar!E103</f>
        <v>753695800</v>
      </c>
      <c r="K124" s="51" t="n">
        <f aca="false">Hajmlar!E103*Narxlar!F103</f>
        <v>370774800</v>
      </c>
      <c r="M124" s="52" t="n">
        <f aca="false">ABS(Daromadlilik!I102)/H124</f>
        <v>1.93316539403909E-011</v>
      </c>
      <c r="N124" s="52" t="n">
        <f aca="false">ABS(Daromadlilik!J102)/I124</f>
        <v>7.52707353382479E-012</v>
      </c>
      <c r="O124" s="52" t="n">
        <f aca="false">ABS(Daromadlilik!K102)/J124</f>
        <v>0</v>
      </c>
      <c r="P124" s="52" t="n">
        <f aca="false">ABS(Daromadlilik!L102)/K124</f>
        <v>2.97212952996144E-011</v>
      </c>
    </row>
    <row r="125" customFormat="false" ht="15" hidden="false" customHeight="false" outlineLevel="0" collapsed="false">
      <c r="G125" s="19" t="n">
        <f aca="false">Daromadlilik!A103</f>
        <v>45435</v>
      </c>
      <c r="H125" s="51" t="n">
        <f aca="false">Hajmlar!B104*Narxlar!C104</f>
        <v>659192800</v>
      </c>
      <c r="I125" s="51" t="n">
        <f aca="false">Hajmlar!C104*Narxlar!D104</f>
        <v>1509548100</v>
      </c>
      <c r="J125" s="51" t="n">
        <f aca="false">Hajmlar!D104*Narxlar!E104</f>
        <v>1356731100</v>
      </c>
      <c r="K125" s="51" t="n">
        <f aca="false">Hajmlar!E104*Narxlar!F104</f>
        <v>1557870600</v>
      </c>
      <c r="M125" s="52" t="n">
        <f aca="false">ABS(Daromadlilik!I103)/H125</f>
        <v>1.70768165558471E-011</v>
      </c>
      <c r="N125" s="52" t="n">
        <f aca="false">ABS(Daromadlilik!J103)/I125</f>
        <v>4.72105856168088E-012</v>
      </c>
      <c r="O125" s="52" t="n">
        <f aca="false">ABS(Daromadlilik!K103)/J125</f>
        <v>7.42267835062975E-012</v>
      </c>
      <c r="P125" s="52" t="n">
        <f aca="false">ABS(Daromadlilik!L103)/K125</f>
        <v>2.19197018551018E-011</v>
      </c>
    </row>
    <row r="126" customFormat="false" ht="15" hidden="false" customHeight="false" outlineLevel="0" collapsed="false">
      <c r="G126" s="19" t="n">
        <f aca="false">Daromadlilik!A104</f>
        <v>45436</v>
      </c>
      <c r="H126" s="51" t="n">
        <f aca="false">Hajmlar!B105*Narxlar!C105</f>
        <v>1156182300</v>
      </c>
      <c r="I126" s="51" t="n">
        <f aca="false">Hajmlar!C105*Narxlar!D105</f>
        <v>919917600</v>
      </c>
      <c r="J126" s="51" t="n">
        <f aca="false">Hajmlar!D105*Narxlar!E105</f>
        <v>1169692000</v>
      </c>
      <c r="K126" s="51" t="n">
        <f aca="false">Hajmlar!E105*Narxlar!F105</f>
        <v>308692500</v>
      </c>
      <c r="M126" s="52" t="n">
        <f aca="false">ABS(Daromadlilik!I104)/H126</f>
        <v>3.10981191412586E-012</v>
      </c>
      <c r="N126" s="52" t="n">
        <f aca="false">ABS(Daromadlilik!J104)/I126</f>
        <v>5.87975400330029E-012</v>
      </c>
      <c r="O126" s="52" t="n">
        <f aca="false">ABS(Daromadlilik!K104)/J126</f>
        <v>4.33927586758389E-012</v>
      </c>
      <c r="P126" s="52" t="n">
        <f aca="false">ABS(Daromadlilik!L104)/K126</f>
        <v>2.68056533607689E-011</v>
      </c>
    </row>
    <row r="127" customFormat="false" ht="15" hidden="false" customHeight="false" outlineLevel="0" collapsed="false">
      <c r="G127" s="19" t="n">
        <f aca="false">Daromadlilik!A105</f>
        <v>45439</v>
      </c>
      <c r="H127" s="51" t="n">
        <f aca="false">Hajmlar!B106*Narxlar!C106</f>
        <v>1428936300</v>
      </c>
      <c r="I127" s="51" t="n">
        <f aca="false">Hajmlar!C106*Narxlar!D106</f>
        <v>668168200</v>
      </c>
      <c r="J127" s="51" t="n">
        <f aca="false">Hajmlar!D106*Narxlar!E106</f>
        <v>665194000</v>
      </c>
      <c r="K127" s="51" t="n">
        <f aca="false">Hajmlar!E106*Narxlar!F106</f>
        <v>459997200</v>
      </c>
      <c r="M127" s="52" t="n">
        <f aca="false">ABS(Daromadlilik!I105)/H127</f>
        <v>2.14957745094744E-012</v>
      </c>
      <c r="N127" s="52" t="n">
        <f aca="false">ABS(Daromadlilik!J105)/I127</f>
        <v>1.74141408412817E-012</v>
      </c>
      <c r="O127" s="52" t="n">
        <f aca="false">ABS(Daromadlilik!K105)/J127</f>
        <v>1.53797809336744E-011</v>
      </c>
      <c r="P127" s="52" t="n">
        <f aca="false">ABS(Daromadlilik!L105)/K127</f>
        <v>1.33667865735761E-011</v>
      </c>
    </row>
    <row r="128" customFormat="false" ht="15" hidden="false" customHeight="false" outlineLevel="0" collapsed="false">
      <c r="G128" s="19" t="n">
        <f aca="false">Daromadlilik!A106</f>
        <v>45440</v>
      </c>
      <c r="H128" s="51" t="n">
        <f aca="false">Hajmlar!B107*Narxlar!C107</f>
        <v>562896000</v>
      </c>
      <c r="I128" s="51" t="n">
        <f aca="false">Hajmlar!C107*Narxlar!D107</f>
        <v>930449100</v>
      </c>
      <c r="J128" s="51" t="n">
        <f aca="false">Hajmlar!D107*Narxlar!E107</f>
        <v>963059100</v>
      </c>
      <c r="K128" s="51" t="n">
        <f aca="false">Hajmlar!E107*Narxlar!F107</f>
        <v>857568800</v>
      </c>
      <c r="M128" s="52" t="n">
        <f aca="false">ABS(Daromadlilik!I106)/H128</f>
        <v>1.70344926532964E-012</v>
      </c>
      <c r="N128" s="52" t="n">
        <f aca="false">ABS(Daromadlilik!J106)/I128</f>
        <v>1.09836362723451E-011</v>
      </c>
      <c r="O128" s="52" t="n">
        <f aca="false">ABS(Daromadlilik!K106)/J128</f>
        <v>2.50903427340793E-012</v>
      </c>
      <c r="P128" s="52" t="n">
        <f aca="false">ABS(Daromadlilik!L106)/K128</f>
        <v>2.57901524784056E-011</v>
      </c>
    </row>
    <row r="129" customFormat="false" ht="15" hidden="false" customHeight="false" outlineLevel="0" collapsed="false">
      <c r="G129" s="19" t="n">
        <f aca="false">Daromadlilik!A107</f>
        <v>45441</v>
      </c>
      <c r="H129" s="51" t="n">
        <f aca="false">Hajmlar!B108*Narxlar!C108</f>
        <v>1235240400</v>
      </c>
      <c r="I129" s="51" t="n">
        <f aca="false">Hajmlar!C108*Narxlar!D108</f>
        <v>955548800</v>
      </c>
      <c r="J129" s="51" t="n">
        <f aca="false">Hajmlar!D108*Narxlar!E108</f>
        <v>895478400</v>
      </c>
      <c r="K129" s="51" t="n">
        <f aca="false">Hajmlar!E108*Narxlar!F108</f>
        <v>990211200</v>
      </c>
      <c r="M129" s="52" t="n">
        <f aca="false">ABS(Daromadlilik!I107)/H129</f>
        <v>1.22069977744008E-011</v>
      </c>
      <c r="N129" s="52" t="n">
        <f aca="false">ABS(Daromadlilik!J107)/I129</f>
        <v>3.90214930855817E-012</v>
      </c>
      <c r="O129" s="52" t="n">
        <f aca="false">ABS(Daromadlilik!K107)/J129</f>
        <v>2.4694531118823E-012</v>
      </c>
      <c r="P129" s="52" t="n">
        <f aca="false">ABS(Daromadlilik!L107)/K129</f>
        <v>2.52072356223408E-011</v>
      </c>
    </row>
    <row r="130" customFormat="false" ht="15" hidden="false" customHeight="false" outlineLevel="0" collapsed="false">
      <c r="G130" s="19" t="n">
        <f aca="false">Daromadlilik!A108</f>
        <v>45442</v>
      </c>
      <c r="H130" s="51" t="n">
        <f aca="false">Hajmlar!B109*Narxlar!C109</f>
        <v>1600768000</v>
      </c>
      <c r="I130" s="51" t="n">
        <f aca="false">Hajmlar!C109*Narxlar!D109</f>
        <v>1413229200</v>
      </c>
      <c r="J130" s="51" t="n">
        <f aca="false">Hajmlar!D109*Narxlar!E109</f>
        <v>923149000</v>
      </c>
      <c r="K130" s="51" t="n">
        <f aca="false">Hajmlar!E109*Narxlar!F109</f>
        <v>850977000</v>
      </c>
      <c r="M130" s="52" t="n">
        <f aca="false">ABS(Daromadlilik!I108)/H130</f>
        <v>4.05728496389025E-013</v>
      </c>
      <c r="N130" s="52" t="n">
        <f aca="false">ABS(Daromadlilik!J108)/I130</f>
        <v>3.5515270756049E-012</v>
      </c>
      <c r="O130" s="52" t="n">
        <f aca="false">ABS(Daromadlilik!K108)/J130</f>
        <v>3.53425680449892E-012</v>
      </c>
      <c r="P130" s="52" t="n">
        <f aca="false">ABS(Daromadlilik!L108)/K130</f>
        <v>1.60560841308496E-011</v>
      </c>
    </row>
    <row r="131" customFormat="false" ht="15" hidden="false" customHeight="false" outlineLevel="0" collapsed="false">
      <c r="G131" s="19" t="n">
        <f aca="false">Daromadlilik!A109</f>
        <v>45443</v>
      </c>
      <c r="H131" s="51" t="n">
        <f aca="false">Hajmlar!B110*Narxlar!C110</f>
        <v>1322172800</v>
      </c>
      <c r="I131" s="51" t="n">
        <f aca="false">Hajmlar!C110*Narxlar!D110</f>
        <v>2079481500</v>
      </c>
      <c r="J131" s="51" t="n">
        <f aca="false">Hajmlar!D110*Narxlar!E110</f>
        <v>1122667000</v>
      </c>
      <c r="K131" s="51" t="n">
        <f aca="false">Hajmlar!E110*Narxlar!F110</f>
        <v>682290000</v>
      </c>
      <c r="M131" s="52" t="n">
        <f aca="false">ABS(Daromadlilik!I109)/H131</f>
        <v>0</v>
      </c>
      <c r="N131" s="52" t="n">
        <f aca="false">ABS(Daromadlilik!J109)/I131</f>
        <v>5.93800567283788E-012</v>
      </c>
      <c r="O131" s="52" t="n">
        <f aca="false">ABS(Daromadlilik!K109)/J131</f>
        <v>2.53063505774188E-012</v>
      </c>
      <c r="P131" s="52" t="n">
        <f aca="false">ABS(Daromadlilik!L109)/K131</f>
        <v>4.37864793767596E-011</v>
      </c>
    </row>
    <row r="132" customFormat="false" ht="15" hidden="false" customHeight="false" outlineLevel="0" collapsed="false">
      <c r="G132" s="19" t="n">
        <f aca="false">Daromadlilik!A110</f>
        <v>45446</v>
      </c>
      <c r="H132" s="51" t="n">
        <f aca="false">Hajmlar!B111*Narxlar!C111</f>
        <v>1304157500</v>
      </c>
      <c r="I132" s="51" t="n">
        <f aca="false">Hajmlar!C111*Narxlar!D111</f>
        <v>1246595500</v>
      </c>
      <c r="J132" s="51" t="n">
        <f aca="false">Hajmlar!D111*Narxlar!E111</f>
        <v>1245662800</v>
      </c>
      <c r="K132" s="51" t="n">
        <f aca="false">Hajmlar!E111*Narxlar!F111</f>
        <v>573690600</v>
      </c>
      <c r="M132" s="52" t="n">
        <f aca="false">ABS(Daromadlilik!I110)/H132</f>
        <v>3.3450040359969E-012</v>
      </c>
      <c r="N132" s="52" t="n">
        <f aca="false">ABS(Daromadlilik!J110)/I132</f>
        <v>1.40455540772426E-011</v>
      </c>
      <c r="O132" s="52" t="n">
        <f aca="false">ABS(Daromadlilik!K110)/J132</f>
        <v>4.0502190915519E-012</v>
      </c>
      <c r="P132" s="52" t="n">
        <f aca="false">ABS(Daromadlilik!L110)/K132</f>
        <v>2.42932756312882E-011</v>
      </c>
    </row>
    <row r="133" customFormat="false" ht="15" hidden="false" customHeight="false" outlineLevel="0" collapsed="false">
      <c r="G133" s="19" t="n">
        <f aca="false">Daromadlilik!A111</f>
        <v>45447</v>
      </c>
      <c r="H133" s="51" t="n">
        <f aca="false">Hajmlar!B112*Narxlar!C112</f>
        <v>1834806600</v>
      </c>
      <c r="I133" s="51" t="n">
        <f aca="false">Hajmlar!C112*Narxlar!D112</f>
        <v>1336860000</v>
      </c>
      <c r="J133" s="51" t="n">
        <f aca="false">Hajmlar!D112*Narxlar!E112</f>
        <v>1337667000</v>
      </c>
      <c r="K133" s="51" t="n">
        <f aca="false">Hajmlar!E112*Narxlar!F112</f>
        <v>1232164400</v>
      </c>
      <c r="M133" s="52" t="n">
        <f aca="false">ABS(Daromadlilik!I111)/H133</f>
        <v>1.11587359436927E-011</v>
      </c>
      <c r="N133" s="52" t="n">
        <f aca="false">ABS(Daromadlilik!J111)/I133</f>
        <v>6.98803661288294E-012</v>
      </c>
      <c r="O133" s="52" t="n">
        <f aca="false">ABS(Daromadlilik!K111)/J133</f>
        <v>4.00800757235753E-012</v>
      </c>
      <c r="P133" s="52" t="n">
        <f aca="false">ABS(Daromadlilik!L111)/K133</f>
        <v>2.31294630995613E-011</v>
      </c>
    </row>
    <row r="134" customFormat="false" ht="15" hidden="false" customHeight="false" outlineLevel="0" collapsed="false">
      <c r="G134" s="19" t="n">
        <f aca="false">Daromadlilik!A112</f>
        <v>45448</v>
      </c>
      <c r="H134" s="51" t="n">
        <f aca="false">Hajmlar!B113*Narxlar!C113</f>
        <v>832003900</v>
      </c>
      <c r="I134" s="51" t="n">
        <f aca="false">Hajmlar!C113*Narxlar!D113</f>
        <v>1573002800</v>
      </c>
      <c r="J134" s="51" t="n">
        <f aca="false">Hajmlar!D113*Narxlar!E113</f>
        <v>1059752200</v>
      </c>
      <c r="K134" s="51" t="n">
        <f aca="false">Hajmlar!E113*Narxlar!F113</f>
        <v>411145900</v>
      </c>
      <c r="M134" s="52" t="n">
        <f aca="false">ABS(Daromadlilik!I112)/H134</f>
        <v>2.03805074971803E-011</v>
      </c>
      <c r="N134" s="52" t="n">
        <f aca="false">ABS(Daromadlilik!J112)/I134</f>
        <v>1.29954414289976E-012</v>
      </c>
      <c r="O134" s="52" t="n">
        <f aca="false">ABS(Daromadlilik!K112)/J134</f>
        <v>7.96049246073969E-013</v>
      </c>
      <c r="P134" s="52" t="n">
        <f aca="false">ABS(Daromadlilik!L112)/K134</f>
        <v>3.12224847867973E-011</v>
      </c>
    </row>
    <row r="135" customFormat="false" ht="15" hidden="false" customHeight="false" outlineLevel="0" collapsed="false">
      <c r="G135" s="19" t="n">
        <f aca="false">Daromadlilik!A113</f>
        <v>45449</v>
      </c>
      <c r="H135" s="51" t="n">
        <f aca="false">Hajmlar!B114*Narxlar!C114</f>
        <v>1042740000</v>
      </c>
      <c r="I135" s="51" t="n">
        <f aca="false">Hajmlar!C114*Narxlar!D114</f>
        <v>675496800</v>
      </c>
      <c r="J135" s="51" t="n">
        <f aca="false">Hajmlar!D114*Narxlar!E114</f>
        <v>1260894500</v>
      </c>
      <c r="K135" s="51" t="n">
        <f aca="false">Hajmlar!E114*Narxlar!F114</f>
        <v>724395000</v>
      </c>
      <c r="M135" s="52" t="n">
        <f aca="false">ABS(Daromadlilik!I113)/H135</f>
        <v>4.29311493605975E-012</v>
      </c>
      <c r="N135" s="52" t="n">
        <f aca="false">ABS(Daromadlilik!J113)/I135</f>
        <v>1.01597914317215E-011</v>
      </c>
      <c r="O135" s="52" t="n">
        <f aca="false">ABS(Daromadlilik!K113)/J135</f>
        <v>5.5029439075247E-012</v>
      </c>
      <c r="P135" s="52" t="n">
        <f aca="false">ABS(Daromadlilik!L113)/K135</f>
        <v>2.0805912883519E-011</v>
      </c>
    </row>
    <row r="136" customFormat="false" ht="15" hidden="false" customHeight="false" outlineLevel="0" collapsed="false">
      <c r="G136" s="19" t="n">
        <f aca="false">Daromadlilik!A114</f>
        <v>45450</v>
      </c>
      <c r="H136" s="51" t="n">
        <f aca="false">Hajmlar!B115*Narxlar!C115</f>
        <v>1244970000</v>
      </c>
      <c r="I136" s="51" t="n">
        <f aca="false">Hajmlar!C115*Narxlar!D115</f>
        <v>896550400</v>
      </c>
      <c r="J136" s="51" t="n">
        <f aca="false">Hajmlar!D115*Narxlar!E115</f>
        <v>848024400</v>
      </c>
      <c r="K136" s="51" t="n">
        <f aca="false">Hajmlar!E115*Narxlar!F115</f>
        <v>1349657400</v>
      </c>
      <c r="M136" s="52" t="n">
        <f aca="false">ABS(Daromadlilik!I114)/H136</f>
        <v>4.06595144919861E-012</v>
      </c>
      <c r="N136" s="52" t="n">
        <f aca="false">ABS(Daromadlilik!J114)/I136</f>
        <v>1.77073567421189E-011</v>
      </c>
      <c r="O136" s="52" t="n">
        <f aca="false">ABS(Daromadlilik!K114)/J136</f>
        <v>4.70397762236268E-012</v>
      </c>
      <c r="P136" s="52" t="n">
        <f aca="false">ABS(Daromadlilik!L114)/K136</f>
        <v>1.45108295232714E-011</v>
      </c>
    </row>
    <row r="137" customFormat="false" ht="15" hidden="false" customHeight="false" outlineLevel="0" collapsed="false">
      <c r="G137" s="19" t="n">
        <f aca="false">Daromadlilik!A115</f>
        <v>45453</v>
      </c>
      <c r="H137" s="51" t="n">
        <f aca="false">Hajmlar!B116*Narxlar!C116</f>
        <v>1167342800</v>
      </c>
      <c r="I137" s="51" t="n">
        <f aca="false">Hajmlar!C116*Narxlar!D116</f>
        <v>947144000</v>
      </c>
      <c r="J137" s="51" t="n">
        <f aca="false">Hajmlar!D116*Narxlar!E116</f>
        <v>1246168300</v>
      </c>
      <c r="K137" s="51" t="n">
        <f aca="false">Hajmlar!E116*Narxlar!F116</f>
        <v>469280000</v>
      </c>
      <c r="M137" s="52" t="n">
        <f aca="false">ABS(Daromadlilik!I115)/H137</f>
        <v>6.21968219790891E-012</v>
      </c>
      <c r="N137" s="52" t="n">
        <f aca="false">ABS(Daromadlilik!J115)/I137</f>
        <v>2.51512050465617E-013</v>
      </c>
      <c r="O137" s="52" t="n">
        <f aca="false">ABS(Daromadlilik!K115)/J137</f>
        <v>1.35165388859455E-012</v>
      </c>
      <c r="P137" s="52" t="n">
        <f aca="false">ABS(Daromadlilik!L115)/K137</f>
        <v>1.93646904576543E-011</v>
      </c>
    </row>
    <row r="138" customFormat="false" ht="15" hidden="false" customHeight="false" outlineLevel="0" collapsed="false">
      <c r="G138" s="19" t="n">
        <f aca="false">Daromadlilik!A116</f>
        <v>45454</v>
      </c>
      <c r="H138" s="51" t="n">
        <f aca="false">Hajmlar!B117*Narxlar!C117</f>
        <v>1232225600</v>
      </c>
      <c r="I138" s="51" t="n">
        <f aca="false">Hajmlar!C117*Narxlar!D117</f>
        <v>1051999900</v>
      </c>
      <c r="J138" s="51" t="n">
        <f aca="false">Hajmlar!D117*Narxlar!E117</f>
        <v>820743300</v>
      </c>
      <c r="K138" s="51" t="n">
        <f aca="false">Hajmlar!E117*Narxlar!F117</f>
        <v>930637800</v>
      </c>
      <c r="M138" s="52" t="n">
        <f aca="false">ABS(Daromadlilik!I116)/H138</f>
        <v>3.3058781371722E-011</v>
      </c>
      <c r="N138" s="52" t="n">
        <f aca="false">ABS(Daromadlilik!J116)/I138</f>
        <v>2.11004890385268E-011</v>
      </c>
      <c r="O138" s="52" t="n">
        <f aca="false">ABS(Daromadlilik!K116)/J138</f>
        <v>8.76092674010985E-012</v>
      </c>
      <c r="P138" s="52" t="n">
        <f aca="false">ABS(Daromadlilik!L116)/K138</f>
        <v>4.31034643027991E-011</v>
      </c>
    </row>
    <row r="139" customFormat="false" ht="15" hidden="false" customHeight="false" outlineLevel="0" collapsed="false">
      <c r="G139" s="19" t="n">
        <f aca="false">Daromadlilik!A117</f>
        <v>45455</v>
      </c>
      <c r="H139" s="51" t="n">
        <f aca="false">Hajmlar!B118*Narxlar!C118</f>
        <v>900096200</v>
      </c>
      <c r="I139" s="51" t="n">
        <f aca="false">Hajmlar!C118*Narxlar!D118</f>
        <v>1390055800</v>
      </c>
      <c r="J139" s="51" t="n">
        <f aca="false">Hajmlar!D118*Narxlar!E118</f>
        <v>1094559400</v>
      </c>
      <c r="K139" s="51" t="n">
        <f aca="false">Hajmlar!E118*Narxlar!F118</f>
        <v>1003268700</v>
      </c>
      <c r="M139" s="52" t="n">
        <f aca="false">ABS(Daromadlilik!I117)/H139</f>
        <v>2.97696349741584E-011</v>
      </c>
      <c r="N139" s="52" t="n">
        <f aca="false">ABS(Daromadlilik!J117)/I139</f>
        <v>1.23696560437883E-011</v>
      </c>
      <c r="O139" s="52" t="n">
        <f aca="false">ABS(Daromadlilik!K117)/J139</f>
        <v>1.90056464191706E-011</v>
      </c>
      <c r="P139" s="52" t="n">
        <f aca="false">ABS(Daromadlilik!L117)/K139</f>
        <v>4.82273511879334E-011</v>
      </c>
    </row>
    <row r="140" customFormat="false" ht="15" hidden="false" customHeight="false" outlineLevel="0" collapsed="false">
      <c r="G140" s="19" t="n">
        <f aca="false">Daromadlilik!A118</f>
        <v>45456</v>
      </c>
      <c r="H140" s="51" t="n">
        <f aca="false">Hajmlar!B119*Narxlar!C119</f>
        <v>1477929600</v>
      </c>
      <c r="I140" s="51" t="n">
        <f aca="false">Hajmlar!C119*Narxlar!D119</f>
        <v>688018500</v>
      </c>
      <c r="J140" s="51" t="n">
        <f aca="false">Hajmlar!D119*Narxlar!E119</f>
        <v>680536500</v>
      </c>
      <c r="K140" s="51" t="n">
        <f aca="false">Hajmlar!E119*Narxlar!F119</f>
        <v>786131000</v>
      </c>
      <c r="M140" s="52" t="n">
        <f aca="false">ABS(Daromadlilik!I118)/H140</f>
        <v>8.87218582369502E-012</v>
      </c>
      <c r="N140" s="52" t="n">
        <f aca="false">ABS(Daromadlilik!J118)/I140</f>
        <v>4.56851966372873E-012</v>
      </c>
      <c r="O140" s="52" t="n">
        <f aca="false">ABS(Daromadlilik!K118)/J140</f>
        <v>4.76881281528657E-012</v>
      </c>
      <c r="P140" s="52" t="n">
        <f aca="false">ABS(Daromadlilik!L118)/K140</f>
        <v>2.83407422560734E-011</v>
      </c>
    </row>
    <row r="141" customFormat="false" ht="15" hidden="false" customHeight="false" outlineLevel="0" collapsed="false">
      <c r="G141" s="19" t="n">
        <f aca="false">Daromadlilik!A119</f>
        <v>45457</v>
      </c>
      <c r="H141" s="51" t="n">
        <f aca="false">Hajmlar!B120*Narxlar!C120</f>
        <v>1565198000</v>
      </c>
      <c r="I141" s="51" t="n">
        <f aca="false">Hajmlar!C120*Narxlar!D120</f>
        <v>1009413300</v>
      </c>
      <c r="J141" s="51" t="n">
        <f aca="false">Hajmlar!D120*Narxlar!E120</f>
        <v>671840400</v>
      </c>
      <c r="K141" s="51" t="n">
        <f aca="false">Hajmlar!E120*Narxlar!F120</f>
        <v>464583200</v>
      </c>
      <c r="M141" s="52" t="n">
        <f aca="false">ABS(Daromadlilik!I119)/H141</f>
        <v>7.537414963442E-012</v>
      </c>
      <c r="N141" s="52" t="n">
        <f aca="false">ABS(Daromadlilik!J119)/I141</f>
        <v>1.2235236215442E-011</v>
      </c>
      <c r="O141" s="52" t="n">
        <f aca="false">ABS(Daromadlilik!K119)/J141</f>
        <v>8.04001934242365E-013</v>
      </c>
      <c r="P141" s="52" t="n">
        <f aca="false">ABS(Daromadlilik!L119)/K141</f>
        <v>4.35515423924822E-011</v>
      </c>
    </row>
    <row r="142" customFormat="false" ht="15" hidden="false" customHeight="false" outlineLevel="0" collapsed="false">
      <c r="G142" s="19" t="n">
        <f aca="false">Daromadlilik!A120</f>
        <v>45460</v>
      </c>
      <c r="H142" s="51" t="n">
        <f aca="false">Hajmlar!B121*Narxlar!C121</f>
        <v>1021967100</v>
      </c>
      <c r="I142" s="51" t="n">
        <f aca="false">Hajmlar!C121*Narxlar!D121</f>
        <v>1141091700</v>
      </c>
      <c r="J142" s="51" t="n">
        <f aca="false">Hajmlar!D121*Narxlar!E121</f>
        <v>721965600</v>
      </c>
      <c r="K142" s="51" t="n">
        <f aca="false">Hajmlar!E121*Narxlar!F121</f>
        <v>416003200</v>
      </c>
      <c r="M142" s="52" t="n">
        <f aca="false">ABS(Daromadlilik!I120)/H142</f>
        <v>5.88765270285173E-012</v>
      </c>
      <c r="N142" s="52" t="n">
        <f aca="false">ABS(Daromadlilik!J120)/I142</f>
        <v>7.70694965890467E-012</v>
      </c>
      <c r="O142" s="52" t="n">
        <f aca="false">ABS(Daromadlilik!K120)/J142</f>
        <v>1.3839156630534E-011</v>
      </c>
      <c r="P142" s="52" t="n">
        <f aca="false">ABS(Daromadlilik!L120)/K142</f>
        <v>8.84544056316476E-012</v>
      </c>
    </row>
    <row r="143" customFormat="false" ht="15" hidden="false" customHeight="false" outlineLevel="0" collapsed="false">
      <c r="G143" s="19" t="n">
        <f aca="false">Daromadlilik!A121</f>
        <v>45461</v>
      </c>
      <c r="H143" s="51" t="n">
        <f aca="false">Hajmlar!B122*Narxlar!C122</f>
        <v>1573351800</v>
      </c>
      <c r="I143" s="51" t="n">
        <f aca="false">Hajmlar!C122*Narxlar!D122</f>
        <v>1553328000</v>
      </c>
      <c r="J143" s="51" t="n">
        <f aca="false">Hajmlar!D122*Narxlar!E122</f>
        <v>832676100</v>
      </c>
      <c r="K143" s="51" t="n">
        <f aca="false">Hajmlar!E122*Narxlar!F122</f>
        <v>515132000</v>
      </c>
      <c r="M143" s="52" t="n">
        <f aca="false">ABS(Daromadlilik!I121)/H143</f>
        <v>5.32197277032559E-012</v>
      </c>
      <c r="N143" s="52" t="n">
        <f aca="false">ABS(Daromadlilik!J121)/I143</f>
        <v>2.84958608197095E-012</v>
      </c>
      <c r="O143" s="52" t="n">
        <f aca="false">ABS(Daromadlilik!K121)/J143</f>
        <v>1.59662415065366E-011</v>
      </c>
      <c r="P143" s="52" t="n">
        <f aca="false">ABS(Daromadlilik!L121)/K143</f>
        <v>2.37342404059874E-011</v>
      </c>
    </row>
    <row r="144" customFormat="false" ht="15" hidden="false" customHeight="false" outlineLevel="0" collapsed="false">
      <c r="G144" s="19" t="n">
        <f aca="false">Daromadlilik!A122</f>
        <v>45462</v>
      </c>
      <c r="H144" s="51" t="n">
        <f aca="false">Hajmlar!B123*Narxlar!C123</f>
        <v>892217200</v>
      </c>
      <c r="I144" s="51" t="n">
        <f aca="false">Hajmlar!C123*Narxlar!D123</f>
        <v>1021850000</v>
      </c>
      <c r="J144" s="51" t="n">
        <f aca="false">Hajmlar!D123*Narxlar!E123</f>
        <v>1363141000</v>
      </c>
      <c r="K144" s="51" t="n">
        <f aca="false">Hajmlar!E123*Narxlar!F123</f>
        <v>849717000</v>
      </c>
      <c r="M144" s="52" t="n">
        <f aca="false">ABS(Daromadlilik!I122)/H144</f>
        <v>2.06849882887281E-011</v>
      </c>
      <c r="N144" s="52" t="n">
        <f aca="false">ABS(Daromadlilik!J122)/I144</f>
        <v>9.99117824748323E-012</v>
      </c>
      <c r="O144" s="52" t="n">
        <f aca="false">ABS(Daromadlilik!K122)/J144</f>
        <v>6.22143566661133E-012</v>
      </c>
      <c r="P144" s="52" t="n">
        <f aca="false">ABS(Daromadlilik!L122)/K144</f>
        <v>1.34967455533064E-011</v>
      </c>
    </row>
    <row r="145" customFormat="false" ht="15" hidden="false" customHeight="false" outlineLevel="0" collapsed="false">
      <c r="G145" s="19" t="n">
        <f aca="false">Daromadlilik!A123</f>
        <v>45463</v>
      </c>
      <c r="H145" s="51" t="n">
        <f aca="false">Hajmlar!B124*Narxlar!C124</f>
        <v>1529213400</v>
      </c>
      <c r="I145" s="51" t="n">
        <f aca="false">Hajmlar!C124*Narxlar!D124</f>
        <v>1272955200</v>
      </c>
      <c r="J145" s="51" t="n">
        <f aca="false">Hajmlar!D124*Narxlar!E124</f>
        <v>1301414400</v>
      </c>
      <c r="K145" s="51" t="n">
        <f aca="false">Hajmlar!E124*Narxlar!F124</f>
        <v>767448000</v>
      </c>
      <c r="M145" s="52" t="n">
        <f aca="false">ABS(Daromadlilik!I123)/H145</f>
        <v>2.89876917178496E-012</v>
      </c>
      <c r="N145" s="52" t="n">
        <f aca="false">ABS(Daromadlilik!J123)/I145</f>
        <v>7.66195731033491E-012</v>
      </c>
      <c r="O145" s="52" t="n">
        <f aca="false">ABS(Daromadlilik!K123)/J145</f>
        <v>2.85992904811292E-012</v>
      </c>
      <c r="P145" s="52" t="n">
        <f aca="false">ABS(Daromadlilik!L123)/K145</f>
        <v>8.49887985022172E-012</v>
      </c>
    </row>
    <row r="146" customFormat="false" ht="15" hidden="false" customHeight="false" outlineLevel="0" collapsed="false">
      <c r="G146" s="19" t="n">
        <f aca="false">Daromadlilik!A124</f>
        <v>45464</v>
      </c>
      <c r="H146" s="51" t="n">
        <f aca="false">Hajmlar!B125*Narxlar!C125</f>
        <v>2167210800</v>
      </c>
      <c r="I146" s="51" t="n">
        <f aca="false">Hajmlar!C125*Narxlar!D125</f>
        <v>978919800</v>
      </c>
      <c r="J146" s="51" t="n">
        <f aca="false">Hajmlar!D125*Narxlar!E125</f>
        <v>938397600</v>
      </c>
      <c r="K146" s="51" t="n">
        <f aca="false">Hajmlar!E125*Narxlar!F125</f>
        <v>632732200</v>
      </c>
      <c r="M146" s="52" t="n">
        <f aca="false">ABS(Daromadlilik!I124)/H146</f>
        <v>1.23408906036032E-011</v>
      </c>
      <c r="N146" s="52" t="n">
        <f aca="false">ABS(Daromadlilik!J124)/I146</f>
        <v>1.24051198283646E-011</v>
      </c>
      <c r="O146" s="52" t="n">
        <f aca="false">ABS(Daromadlilik!K124)/J146</f>
        <v>6.89211896286426E-012</v>
      </c>
      <c r="P146" s="52" t="n">
        <f aca="false">ABS(Daromadlilik!L124)/K146</f>
        <v>2.39224384990536E-011</v>
      </c>
    </row>
    <row r="147" customFormat="false" ht="15" hidden="false" customHeight="false" outlineLevel="0" collapsed="false">
      <c r="G147" s="19" t="n">
        <f aca="false">Daromadlilik!A125</f>
        <v>45467</v>
      </c>
      <c r="H147" s="51" t="n">
        <f aca="false">Hajmlar!B126*Narxlar!C126</f>
        <v>2640883500</v>
      </c>
      <c r="I147" s="51" t="n">
        <f aca="false">Hajmlar!C126*Narxlar!D126</f>
        <v>1410558400</v>
      </c>
      <c r="J147" s="51" t="n">
        <f aca="false">Hajmlar!D126*Narxlar!E126</f>
        <v>287372800</v>
      </c>
      <c r="K147" s="51" t="n">
        <f aca="false">Hajmlar!E126*Narxlar!F126</f>
        <v>437778800</v>
      </c>
      <c r="M147" s="52" t="n">
        <f aca="false">ABS(Daromadlilik!I125)/H147</f>
        <v>5.42819256678498E-012</v>
      </c>
      <c r="N147" s="52" t="n">
        <f aca="false">ABS(Daromadlilik!J125)/I147</f>
        <v>2.67833013300116E-013</v>
      </c>
      <c r="O147" s="52" t="n">
        <f aca="false">ABS(Daromadlilik!K125)/J147</f>
        <v>2.25057760987345E-011</v>
      </c>
      <c r="P147" s="52" t="n">
        <f aca="false">ABS(Daromadlilik!L125)/K147</f>
        <v>9.23825903333555E-012</v>
      </c>
    </row>
    <row r="148" customFormat="false" ht="15" hidden="false" customHeight="false" outlineLevel="0" collapsed="false">
      <c r="G148" s="19" t="n">
        <f aca="false">Daromadlilik!A126</f>
        <v>45468</v>
      </c>
      <c r="H148" s="51" t="n">
        <f aca="false">Hajmlar!B127*Narxlar!C127</f>
        <v>1364744700</v>
      </c>
      <c r="I148" s="51" t="n">
        <f aca="false">Hajmlar!C127*Narxlar!D127</f>
        <v>1011350100</v>
      </c>
      <c r="J148" s="51" t="n">
        <f aca="false">Hajmlar!D127*Narxlar!E127</f>
        <v>979219800</v>
      </c>
      <c r="K148" s="51" t="n">
        <f aca="false">Hajmlar!E127*Narxlar!F127</f>
        <v>647267400</v>
      </c>
      <c r="M148" s="52" t="n">
        <f aca="false">ABS(Daromadlilik!I126)/H148</f>
        <v>2.04710349980999E-011</v>
      </c>
      <c r="N148" s="52" t="n">
        <f aca="false">ABS(Daromadlilik!J126)/I148</f>
        <v>1.75220525706873E-011</v>
      </c>
      <c r="O148" s="52" t="n">
        <f aca="false">ABS(Daromadlilik!K126)/J148</f>
        <v>2.9053253745801E-012</v>
      </c>
      <c r="P148" s="52" t="n">
        <f aca="false">ABS(Daromadlilik!L126)/K148</f>
        <v>1.24053347211758E-011</v>
      </c>
    </row>
    <row r="149" customFormat="false" ht="15" hidden="false" customHeight="false" outlineLevel="0" collapsed="false">
      <c r="G149" s="19" t="n">
        <f aca="false">Daromadlilik!A127</f>
        <v>45469</v>
      </c>
      <c r="H149" s="51" t="n">
        <f aca="false">Hajmlar!B128*Narxlar!C128</f>
        <v>1137979800</v>
      </c>
      <c r="I149" s="51" t="n">
        <f aca="false">Hajmlar!C128*Narxlar!D128</f>
        <v>1341687600</v>
      </c>
      <c r="J149" s="51" t="n">
        <f aca="false">Hajmlar!D128*Narxlar!E128</f>
        <v>1015371200</v>
      </c>
      <c r="K149" s="51" t="n">
        <f aca="false">Hajmlar!E128*Narxlar!F128</f>
        <v>1310604600</v>
      </c>
      <c r="M149" s="52" t="n">
        <f aca="false">ABS(Daromadlilik!I127)/H149</f>
        <v>4.77473390285189E-012</v>
      </c>
      <c r="N149" s="52" t="n">
        <f aca="false">ABS(Daromadlilik!J127)/I149</f>
        <v>1.04291267605243E-011</v>
      </c>
      <c r="O149" s="52" t="n">
        <f aca="false">ABS(Daromadlilik!K127)/J149</f>
        <v>4.09237733553818E-012</v>
      </c>
      <c r="P149" s="52" t="n">
        <f aca="false">ABS(Daromadlilik!L127)/K149</f>
        <v>4.53787248010409E-012</v>
      </c>
    </row>
    <row r="150" customFormat="false" ht="15" hidden="false" customHeight="false" outlineLevel="0" collapsed="false">
      <c r="G150" s="19" t="n">
        <f aca="false">Daromadlilik!A128</f>
        <v>45470</v>
      </c>
      <c r="H150" s="51" t="n">
        <f aca="false">Hajmlar!B129*Narxlar!C129</f>
        <v>1676528000</v>
      </c>
      <c r="I150" s="51" t="n">
        <f aca="false">Hajmlar!C129*Narxlar!D129</f>
        <v>1121407100</v>
      </c>
      <c r="J150" s="51" t="n">
        <f aca="false">Hajmlar!D129*Narxlar!E129</f>
        <v>1293139200</v>
      </c>
      <c r="K150" s="51" t="n">
        <f aca="false">Hajmlar!E129*Narxlar!F129</f>
        <v>408880500</v>
      </c>
      <c r="M150" s="52" t="n">
        <f aca="false">ABS(Daromadlilik!I128)/H150</f>
        <v>1.04670939092563E-011</v>
      </c>
      <c r="N150" s="52" t="n">
        <f aca="false">ABS(Daromadlilik!J128)/I150</f>
        <v>3.60944687038232E-012</v>
      </c>
      <c r="O150" s="52" t="n">
        <f aca="false">ABS(Daromadlilik!K128)/J150</f>
        <v>1.19051915180872E-011</v>
      </c>
      <c r="P150" s="52" t="n">
        <f aca="false">ABS(Daromadlilik!L128)/K150</f>
        <v>9.67010880754804E-013</v>
      </c>
    </row>
    <row r="151" customFormat="false" ht="15" hidden="false" customHeight="false" outlineLevel="0" collapsed="false">
      <c r="G151" s="19" t="n">
        <f aca="false">Daromadlilik!A129</f>
        <v>45471</v>
      </c>
      <c r="H151" s="51" t="n">
        <f aca="false">Hajmlar!B130*Narxlar!C130</f>
        <v>975369600</v>
      </c>
      <c r="I151" s="51" t="n">
        <f aca="false">Hajmlar!C130*Narxlar!D130</f>
        <v>667922800</v>
      </c>
      <c r="J151" s="51" t="n">
        <f aca="false">Hajmlar!D130*Narxlar!E130</f>
        <v>717805500</v>
      </c>
      <c r="K151" s="51" t="n">
        <f aca="false">Hajmlar!E130*Narxlar!F130</f>
        <v>1099243600</v>
      </c>
      <c r="M151" s="52" t="n">
        <f aca="false">ABS(Daromadlilik!I129)/H151</f>
        <v>2.00085370436314E-011</v>
      </c>
      <c r="N151" s="52" t="n">
        <f aca="false">ABS(Daromadlilik!J129)/I151</f>
        <v>8.10313606611322E-013</v>
      </c>
      <c r="O151" s="52" t="n">
        <f aca="false">ABS(Daromadlilik!K129)/J151</f>
        <v>7.71691732146156E-013</v>
      </c>
      <c r="P151" s="52" t="n">
        <f aca="false">ABS(Daromadlilik!L129)/K151</f>
        <v>2.00389091206509E-011</v>
      </c>
    </row>
    <row r="152" customFormat="false" ht="15" hidden="false" customHeight="false" outlineLevel="0" collapsed="false">
      <c r="G152" s="19" t="n">
        <f aca="false">Daromadlilik!A130</f>
        <v>45474</v>
      </c>
      <c r="H152" s="51" t="n">
        <f aca="false">Hajmlar!B131*Narxlar!C131</f>
        <v>684006600</v>
      </c>
      <c r="I152" s="51" t="n">
        <f aca="false">Hajmlar!C131*Narxlar!D131</f>
        <v>817824000</v>
      </c>
      <c r="J152" s="51" t="n">
        <f aca="false">Hajmlar!D131*Narxlar!E131</f>
        <v>912738800</v>
      </c>
      <c r="K152" s="51" t="n">
        <f aca="false">Hajmlar!E131*Narxlar!F131</f>
        <v>574182000</v>
      </c>
      <c r="M152" s="52" t="n">
        <f aca="false">ABS(Daromadlilik!I130)/H152</f>
        <v>2.87620434559311E-012</v>
      </c>
      <c r="N152" s="52" t="n">
        <f aca="false">ABS(Daromadlilik!J130)/I152</f>
        <v>1.58769004824972E-011</v>
      </c>
      <c r="O152" s="52" t="n">
        <f aca="false">ABS(Daromadlilik!K130)/J152</f>
        <v>7.67138812559995E-012</v>
      </c>
      <c r="P152" s="52" t="n">
        <f aca="false">ABS(Daromadlilik!L130)/K152</f>
        <v>8.4923954153927E-012</v>
      </c>
    </row>
    <row r="153" customFormat="false" ht="15" hidden="false" customHeight="false" outlineLevel="0" collapsed="false">
      <c r="G153" s="19" t="n">
        <f aca="false">Daromadlilik!A131</f>
        <v>45475</v>
      </c>
      <c r="H153" s="51" t="n">
        <f aca="false">Hajmlar!B132*Narxlar!C132</f>
        <v>1437635000</v>
      </c>
      <c r="I153" s="51" t="n">
        <f aca="false">Hajmlar!C132*Narxlar!D132</f>
        <v>1122166500</v>
      </c>
      <c r="J153" s="51" t="n">
        <f aca="false">Hajmlar!D132*Narxlar!E132</f>
        <v>1107516000</v>
      </c>
      <c r="K153" s="51" t="n">
        <f aca="false">Hajmlar!E132*Narxlar!F132</f>
        <v>654380500</v>
      </c>
      <c r="M153" s="52" t="n">
        <f aca="false">ABS(Daromadlilik!I131)/H153</f>
        <v>1.3923050591043E-011</v>
      </c>
      <c r="N153" s="52" t="n">
        <f aca="false">ABS(Daromadlilik!J131)/I153</f>
        <v>1.17478620852832E-011</v>
      </c>
      <c r="O153" s="52" t="n">
        <f aca="false">ABS(Daromadlilik!K131)/J153</f>
        <v>1.12091006369444E-011</v>
      </c>
      <c r="P153" s="52" t="n">
        <f aca="false">ABS(Daromadlilik!L131)/K153</f>
        <v>4.09725602682164E-011</v>
      </c>
    </row>
    <row r="154" customFormat="false" ht="15" hidden="false" customHeight="false" outlineLevel="0" collapsed="false">
      <c r="G154" s="19" t="n">
        <f aca="false">Daromadlilik!A132</f>
        <v>45476</v>
      </c>
      <c r="H154" s="51" t="n">
        <f aca="false">Hajmlar!B133*Narxlar!C133</f>
        <v>2151540600</v>
      </c>
      <c r="I154" s="51" t="n">
        <f aca="false">Hajmlar!C133*Narxlar!D133</f>
        <v>1149595200</v>
      </c>
      <c r="J154" s="51" t="n">
        <f aca="false">Hajmlar!D133*Narxlar!E133</f>
        <v>884834000</v>
      </c>
      <c r="K154" s="51" t="n">
        <f aca="false">Hajmlar!E133*Narxlar!F133</f>
        <v>348340800</v>
      </c>
      <c r="M154" s="52" t="n">
        <f aca="false">ABS(Daromadlilik!I132)/H154</f>
        <v>1.06430018993093E-011</v>
      </c>
      <c r="N154" s="52" t="n">
        <f aca="false">ABS(Daromadlilik!J132)/I154</f>
        <v>3.49878667808742E-012</v>
      </c>
      <c r="O154" s="52" t="n">
        <f aca="false">ABS(Daromadlilik!K132)/J154</f>
        <v>5.46449871414835E-012</v>
      </c>
      <c r="P154" s="52" t="n">
        <f aca="false">ABS(Daromadlilik!L132)/K154</f>
        <v>7.15426709641753E-013</v>
      </c>
    </row>
    <row r="155" customFormat="false" ht="15" hidden="false" customHeight="false" outlineLevel="0" collapsed="false">
      <c r="G155" s="19" t="n">
        <f aca="false">Daromadlilik!A133</f>
        <v>45477</v>
      </c>
      <c r="H155" s="51" t="n">
        <f aca="false">Hajmlar!B134*Narxlar!C134</f>
        <v>507656600</v>
      </c>
      <c r="I155" s="51" t="n">
        <f aca="false">Hajmlar!C134*Narxlar!D134</f>
        <v>2039772000</v>
      </c>
      <c r="J155" s="51" t="n">
        <f aca="false">Hajmlar!D134*Narxlar!E134</f>
        <v>724927800</v>
      </c>
      <c r="K155" s="51" t="n">
        <f aca="false">Hajmlar!E134*Narxlar!F134</f>
        <v>639142300</v>
      </c>
      <c r="M155" s="52" t="n">
        <f aca="false">ABS(Daromadlilik!I133)/H155</f>
        <v>1.48592075046668E-012</v>
      </c>
      <c r="N155" s="52" t="n">
        <f aca="false">ABS(Daromadlilik!J133)/I155</f>
        <v>5.64055170098758E-012</v>
      </c>
      <c r="O155" s="52" t="n">
        <f aca="false">ABS(Daromadlilik!K133)/J155</f>
        <v>1.26088825304187E-011</v>
      </c>
      <c r="P155" s="52" t="n">
        <f aca="false">ABS(Daromadlilik!L133)/K155</f>
        <v>3.72547358815418E-011</v>
      </c>
    </row>
    <row r="156" customFormat="false" ht="15" hidden="false" customHeight="false" outlineLevel="0" collapsed="false">
      <c r="G156" s="19" t="n">
        <f aca="false">Daromadlilik!A134</f>
        <v>45478</v>
      </c>
      <c r="H156" s="51" t="n">
        <f aca="false">Hajmlar!B135*Narxlar!C135</f>
        <v>869819800</v>
      </c>
      <c r="I156" s="51" t="n">
        <f aca="false">Hajmlar!C135*Narxlar!D135</f>
        <v>832923000</v>
      </c>
      <c r="J156" s="51" t="n">
        <f aca="false">Hajmlar!D135*Narxlar!E135</f>
        <v>1128022500</v>
      </c>
      <c r="K156" s="51" t="n">
        <f aca="false">Hajmlar!E135*Narxlar!F135</f>
        <v>948428000</v>
      </c>
      <c r="M156" s="52" t="n">
        <f aca="false">ABS(Daromadlilik!I134)/H156</f>
        <v>1.17870999837276E-011</v>
      </c>
      <c r="N156" s="52" t="n">
        <f aca="false">ABS(Daromadlilik!J134)/I156</f>
        <v>1.41065494531449E-011</v>
      </c>
      <c r="O156" s="52" t="n">
        <f aca="false">ABS(Daromadlilik!K134)/J156</f>
        <v>3.52371635728947E-012</v>
      </c>
      <c r="P156" s="52" t="n">
        <f aca="false">ABS(Daromadlilik!L134)/K156</f>
        <v>2.39040959933299E-011</v>
      </c>
    </row>
    <row r="157" customFormat="false" ht="15" hidden="false" customHeight="false" outlineLevel="0" collapsed="false">
      <c r="G157" s="19" t="n">
        <f aca="false">Daromadlilik!A135</f>
        <v>45481</v>
      </c>
      <c r="H157" s="51" t="n">
        <f aca="false">Hajmlar!B136*Narxlar!C136</f>
        <v>987259500</v>
      </c>
      <c r="I157" s="51" t="n">
        <f aca="false">Hajmlar!C136*Narxlar!D136</f>
        <v>945561600</v>
      </c>
      <c r="J157" s="51" t="n">
        <f aca="false">Hajmlar!D136*Narxlar!E136</f>
        <v>985905000</v>
      </c>
      <c r="K157" s="51" t="n">
        <f aca="false">Hajmlar!E136*Narxlar!F136</f>
        <v>457149000</v>
      </c>
      <c r="M157" s="52" t="n">
        <f aca="false">ABS(Daromadlilik!I135)/H157</f>
        <v>1.57621163279952E-012</v>
      </c>
      <c r="N157" s="52" t="n">
        <f aca="false">ABS(Daromadlilik!J135)/I157</f>
        <v>2.32178481384571E-012</v>
      </c>
      <c r="O157" s="52" t="n">
        <f aca="false">ABS(Daromadlilik!K135)/J157</f>
        <v>3.35860078167372E-012</v>
      </c>
      <c r="P157" s="52" t="n">
        <f aca="false">ABS(Daromadlilik!L135)/K157</f>
        <v>2.77722983942382E-011</v>
      </c>
    </row>
    <row r="158" customFormat="false" ht="15" hidden="false" customHeight="false" outlineLevel="0" collapsed="false">
      <c r="G158" s="19" t="n">
        <f aca="false">Daromadlilik!A136</f>
        <v>45482</v>
      </c>
      <c r="H158" s="51" t="n">
        <f aca="false">Hajmlar!B137*Narxlar!C137</f>
        <v>552146400</v>
      </c>
      <c r="I158" s="51" t="n">
        <f aca="false">Hajmlar!C137*Narxlar!D137</f>
        <v>1046290500</v>
      </c>
      <c r="J158" s="51" t="n">
        <f aca="false">Hajmlar!D137*Narxlar!E137</f>
        <v>727948800</v>
      </c>
      <c r="K158" s="51" t="n">
        <f aca="false">Hajmlar!E137*Narxlar!F137</f>
        <v>427432500</v>
      </c>
      <c r="M158" s="52" t="n">
        <f aca="false">ABS(Daromadlilik!I136)/H158</f>
        <v>1.59780204047445E-011</v>
      </c>
      <c r="N158" s="52" t="n">
        <f aca="false">ABS(Daromadlilik!J136)/I158</f>
        <v>4.29867955711001E-012</v>
      </c>
      <c r="O158" s="52" t="n">
        <f aca="false">ABS(Daromadlilik!K136)/J158</f>
        <v>6.51521526175622E-012</v>
      </c>
      <c r="P158" s="52" t="n">
        <f aca="false">ABS(Daromadlilik!L136)/K158</f>
        <v>4.09733172294179E-011</v>
      </c>
    </row>
    <row r="159" customFormat="false" ht="15" hidden="false" customHeight="false" outlineLevel="0" collapsed="false">
      <c r="G159" s="19" t="n">
        <f aca="false">Daromadlilik!A137</f>
        <v>45483</v>
      </c>
      <c r="H159" s="51" t="n">
        <f aca="false">Hajmlar!B138*Narxlar!C138</f>
        <v>798294000</v>
      </c>
      <c r="I159" s="51" t="n">
        <f aca="false">Hajmlar!C138*Narxlar!D138</f>
        <v>828803700</v>
      </c>
      <c r="J159" s="51" t="n">
        <f aca="false">Hajmlar!D138*Narxlar!E138</f>
        <v>1744763400</v>
      </c>
      <c r="K159" s="51" t="n">
        <f aca="false">Hajmlar!E138*Narxlar!F138</f>
        <v>531986800</v>
      </c>
      <c r="M159" s="52" t="n">
        <f aca="false">ABS(Daromadlilik!I137)/H159</f>
        <v>9.2552681966675E-012</v>
      </c>
      <c r="N159" s="52" t="n">
        <f aca="false">ABS(Daromadlilik!J137)/I159</f>
        <v>7.48873842491041E-012</v>
      </c>
      <c r="O159" s="52" t="n">
        <f aca="false">ABS(Daromadlilik!K137)/J159</f>
        <v>1.83183765297051E-012</v>
      </c>
      <c r="P159" s="52" t="n">
        <f aca="false">ABS(Daromadlilik!L137)/K159</f>
        <v>1.35528590473282E-011</v>
      </c>
    </row>
    <row r="160" customFormat="false" ht="15" hidden="false" customHeight="false" outlineLevel="0" collapsed="false">
      <c r="G160" s="19" t="n">
        <f aca="false">Daromadlilik!A138</f>
        <v>45484</v>
      </c>
      <c r="H160" s="51" t="n">
        <f aca="false">Hajmlar!B139*Narxlar!C139</f>
        <v>1011787200</v>
      </c>
      <c r="I160" s="51" t="n">
        <f aca="false">Hajmlar!C139*Narxlar!D139</f>
        <v>881145500</v>
      </c>
      <c r="J160" s="51" t="n">
        <f aca="false">Hajmlar!D139*Narxlar!E139</f>
        <v>1754294900</v>
      </c>
      <c r="K160" s="51" t="n">
        <f aca="false">Hajmlar!E139*Narxlar!F139</f>
        <v>499735000</v>
      </c>
      <c r="M160" s="52" t="n">
        <f aca="false">ABS(Daromadlilik!I138)/H160</f>
        <v>2.84026593266242E-012</v>
      </c>
      <c r="N160" s="52" t="n">
        <f aca="false">ABS(Daromadlilik!J138)/I160</f>
        <v>3.10490122357132E-012</v>
      </c>
      <c r="O160" s="52" t="n">
        <f aca="false">ABS(Daromadlilik!K138)/J160</f>
        <v>3.66133220372615E-012</v>
      </c>
      <c r="P160" s="52" t="n">
        <f aca="false">ABS(Daromadlilik!L138)/K160</f>
        <v>4.70927385315088E-011</v>
      </c>
    </row>
    <row r="161" customFormat="false" ht="15" hidden="false" customHeight="false" outlineLevel="0" collapsed="false">
      <c r="G161" s="19" t="n">
        <f aca="false">Daromadlilik!A139</f>
        <v>45485</v>
      </c>
      <c r="H161" s="51" t="n">
        <f aca="false">Hajmlar!B140*Narxlar!C140</f>
        <v>1181505000</v>
      </c>
      <c r="I161" s="51" t="n">
        <f aca="false">Hajmlar!C140*Narxlar!D140</f>
        <v>951397200</v>
      </c>
      <c r="J161" s="51" t="n">
        <f aca="false">Hajmlar!D140*Narxlar!E140</f>
        <v>1156935000</v>
      </c>
      <c r="K161" s="51" t="n">
        <f aca="false">Hajmlar!E140*Narxlar!F140</f>
        <v>400242600</v>
      </c>
      <c r="M161" s="52" t="n">
        <f aca="false">ABS(Daromadlilik!I139)/H161</f>
        <v>1.05769044329139E-011</v>
      </c>
      <c r="N161" s="52" t="n">
        <f aca="false">ABS(Daromadlilik!J139)/I161</f>
        <v>1.74285539783884E-011</v>
      </c>
      <c r="O161" s="52" t="n">
        <f aca="false">ABS(Daromadlilik!K139)/J161</f>
        <v>6.98180880241667E-012</v>
      </c>
      <c r="P161" s="52" t="n">
        <f aca="false">ABS(Daromadlilik!L139)/K161</f>
        <v>2.75247193890886E-011</v>
      </c>
    </row>
    <row r="162" customFormat="false" ht="15" hidden="false" customHeight="false" outlineLevel="0" collapsed="false">
      <c r="G162" s="19" t="n">
        <f aca="false">Daromadlilik!A140</f>
        <v>45488</v>
      </c>
      <c r="H162" s="51" t="n">
        <f aca="false">Hajmlar!B141*Narxlar!C141</f>
        <v>1550758500</v>
      </c>
      <c r="I162" s="51" t="n">
        <f aca="false">Hajmlar!C141*Narxlar!D141</f>
        <v>934426800</v>
      </c>
      <c r="J162" s="51" t="n">
        <f aca="false">Hajmlar!D141*Narxlar!E141</f>
        <v>1154976000</v>
      </c>
      <c r="K162" s="51" t="n">
        <f aca="false">Hajmlar!E141*Narxlar!F141</f>
        <v>1074158500</v>
      </c>
      <c r="M162" s="52" t="n">
        <f aca="false">ABS(Daromadlilik!I140)/H162</f>
        <v>1.30156768217265E-011</v>
      </c>
      <c r="N162" s="52" t="n">
        <f aca="false">ABS(Daromadlilik!J140)/I162</f>
        <v>4.97311787093274E-012</v>
      </c>
      <c r="O162" s="52" t="n">
        <f aca="false">ABS(Daromadlilik!K140)/J162</f>
        <v>5.72316109970974E-013</v>
      </c>
      <c r="P162" s="52" t="n">
        <f aca="false">ABS(Daromadlilik!L140)/K162</f>
        <v>3.35932889400931E-011</v>
      </c>
    </row>
    <row r="163" customFormat="false" ht="15" hidden="false" customHeight="false" outlineLevel="0" collapsed="false">
      <c r="G163" s="19" t="n">
        <f aca="false">Daromadlilik!A141</f>
        <v>45489</v>
      </c>
      <c r="H163" s="51" t="n">
        <f aca="false">Hajmlar!B142*Narxlar!C142</f>
        <v>1328354300</v>
      </c>
      <c r="I163" s="51" t="n">
        <f aca="false">Hajmlar!C142*Narxlar!D142</f>
        <v>1337070000</v>
      </c>
      <c r="J163" s="51" t="n">
        <f aca="false">Hajmlar!D142*Narxlar!E142</f>
        <v>848232000</v>
      </c>
      <c r="K163" s="51" t="n">
        <f aca="false">Hajmlar!E142*Narxlar!F142</f>
        <v>941817000</v>
      </c>
      <c r="M163" s="52" t="n">
        <f aca="false">ABS(Daromadlilik!I141)/H163</f>
        <v>1.06815622449498E-011</v>
      </c>
      <c r="N163" s="52" t="n">
        <f aca="false">ABS(Daromadlilik!J141)/I163</f>
        <v>1.03197515944374E-011</v>
      </c>
      <c r="O163" s="52" t="n">
        <f aca="false">ABS(Daromadlilik!K141)/J163</f>
        <v>1.29127550236222E-011</v>
      </c>
      <c r="P163" s="52" t="n">
        <f aca="false">ABS(Daromadlilik!L141)/K163</f>
        <v>2.35845264068614E-011</v>
      </c>
    </row>
    <row r="164" customFormat="false" ht="15" hidden="false" customHeight="false" outlineLevel="0" collapsed="false">
      <c r="G164" s="19" t="n">
        <f aca="false">Daromadlilik!A142</f>
        <v>45490</v>
      </c>
      <c r="H164" s="51" t="n">
        <f aca="false">Hajmlar!B143*Narxlar!C143</f>
        <v>1820461800</v>
      </c>
      <c r="I164" s="51" t="n">
        <f aca="false">Hajmlar!C143*Narxlar!D143</f>
        <v>1334434500</v>
      </c>
      <c r="J164" s="51" t="n">
        <f aca="false">Hajmlar!D143*Narxlar!E143</f>
        <v>922794000</v>
      </c>
      <c r="K164" s="51" t="n">
        <f aca="false">Hajmlar!E143*Narxlar!F143</f>
        <v>597973800</v>
      </c>
      <c r="M164" s="52" t="n">
        <f aca="false">ABS(Daromadlilik!I142)/H164</f>
        <v>3.93371982642712E-013</v>
      </c>
      <c r="N164" s="52" t="n">
        <f aca="false">ABS(Daromadlilik!J142)/I164</f>
        <v>1.38167318152805E-012</v>
      </c>
      <c r="O164" s="52" t="n">
        <f aca="false">ABS(Daromadlilik!K142)/J164</f>
        <v>9.98777094879686E-012</v>
      </c>
      <c r="P164" s="52" t="n">
        <f aca="false">ABS(Daromadlilik!L142)/K164</f>
        <v>1.4608355576616E-011</v>
      </c>
    </row>
    <row r="165" customFormat="false" ht="15" hidden="false" customHeight="false" outlineLevel="0" collapsed="false">
      <c r="G165" s="19" t="n">
        <f aca="false">Daromadlilik!A143</f>
        <v>45491</v>
      </c>
      <c r="H165" s="51" t="n">
        <f aca="false">Hajmlar!B144*Narxlar!C144</f>
        <v>978915300</v>
      </c>
      <c r="I165" s="51" t="n">
        <f aca="false">Hajmlar!C144*Narxlar!D144</f>
        <v>1471428400</v>
      </c>
      <c r="J165" s="51" t="n">
        <f aca="false">Hajmlar!D144*Narxlar!E144</f>
        <v>772805600</v>
      </c>
      <c r="K165" s="51" t="n">
        <f aca="false">Hajmlar!E144*Narxlar!F144</f>
        <v>589521500</v>
      </c>
      <c r="M165" s="52" t="n">
        <f aca="false">ABS(Daromadlilik!I143)/H165</f>
        <v>8.7378966348657E-012</v>
      </c>
      <c r="N165" s="52" t="n">
        <f aca="false">ABS(Daromadlilik!J143)/I165</f>
        <v>1.75378137610858E-011</v>
      </c>
      <c r="O165" s="52" t="n">
        <f aca="false">ABS(Daromadlilik!K143)/J165</f>
        <v>1.26474096261848E-011</v>
      </c>
      <c r="P165" s="52" t="n">
        <f aca="false">ABS(Daromadlilik!L143)/K165</f>
        <v>2.83188167149207E-011</v>
      </c>
    </row>
    <row r="166" customFormat="false" ht="15" hidden="false" customHeight="false" outlineLevel="0" collapsed="false">
      <c r="G166" s="19" t="n">
        <f aca="false">Daromadlilik!A144</f>
        <v>45492</v>
      </c>
      <c r="H166" s="51" t="n">
        <f aca="false">Hajmlar!B145*Narxlar!C145</f>
        <v>1410339700</v>
      </c>
      <c r="I166" s="51" t="n">
        <f aca="false">Hajmlar!C145*Narxlar!D145</f>
        <v>1031167800</v>
      </c>
      <c r="J166" s="51" t="n">
        <f aca="false">Hajmlar!D145*Narxlar!E145</f>
        <v>1758966000</v>
      </c>
      <c r="K166" s="51" t="n">
        <f aca="false">Hajmlar!E145*Narxlar!F145</f>
        <v>399590400</v>
      </c>
      <c r="M166" s="52" t="n">
        <f aca="false">ABS(Daromadlilik!I144)/H166</f>
        <v>1.08182891482454E-011</v>
      </c>
      <c r="N166" s="52" t="n">
        <f aca="false">ABS(Daromadlilik!J144)/I166</f>
        <v>7.73503019586992E-012</v>
      </c>
      <c r="O166" s="52" t="n">
        <f aca="false">ABS(Daromadlilik!K144)/J166</f>
        <v>1.01775204036558E-011</v>
      </c>
      <c r="P166" s="52" t="n">
        <f aca="false">ABS(Daromadlilik!L144)/K166</f>
        <v>8.98383757044051E-012</v>
      </c>
    </row>
    <row r="167" customFormat="false" ht="15" hidden="false" customHeight="false" outlineLevel="0" collapsed="false">
      <c r="G167" s="19" t="n">
        <f aca="false">Daromadlilik!A145</f>
        <v>45495</v>
      </c>
      <c r="H167" s="51" t="n">
        <f aca="false">Hajmlar!B146*Narxlar!C146</f>
        <v>2226607000</v>
      </c>
      <c r="I167" s="51" t="n">
        <f aca="false">Hajmlar!C146*Narxlar!D146</f>
        <v>2068546400</v>
      </c>
      <c r="J167" s="51" t="n">
        <f aca="false">Hajmlar!D146*Narxlar!E146</f>
        <v>1457936500</v>
      </c>
      <c r="K167" s="51" t="n">
        <f aca="false">Hajmlar!E146*Narxlar!F146</f>
        <v>345822400</v>
      </c>
      <c r="M167" s="52" t="n">
        <f aca="false">ABS(Daromadlilik!I145)/H167</f>
        <v>9.2367369779376E-012</v>
      </c>
      <c r="N167" s="52" t="n">
        <f aca="false">ABS(Daromadlilik!J145)/I167</f>
        <v>8.81572302391545E-012</v>
      </c>
      <c r="O167" s="52" t="n">
        <f aca="false">ABS(Daromadlilik!K145)/J167</f>
        <v>4.09272178280232E-012</v>
      </c>
      <c r="P167" s="52" t="n">
        <f aca="false">ABS(Daromadlilik!L145)/K167</f>
        <v>9.25660372506382E-012</v>
      </c>
    </row>
    <row r="168" customFormat="false" ht="15" hidden="false" customHeight="false" outlineLevel="0" collapsed="false">
      <c r="G168" s="19" t="n">
        <f aca="false">Daromadlilik!A146</f>
        <v>45496</v>
      </c>
      <c r="H168" s="51" t="n">
        <f aca="false">Hajmlar!B147*Narxlar!C147</f>
        <v>1566998400</v>
      </c>
      <c r="I168" s="51" t="n">
        <f aca="false">Hajmlar!C147*Narxlar!D147</f>
        <v>1021950000</v>
      </c>
      <c r="J168" s="51" t="n">
        <f aca="false">Hajmlar!D147*Narxlar!E147</f>
        <v>1578822300</v>
      </c>
      <c r="K168" s="51" t="n">
        <f aca="false">Hajmlar!E147*Narxlar!F147</f>
        <v>1901260800</v>
      </c>
      <c r="M168" s="52" t="n">
        <f aca="false">ABS(Daromadlilik!I146)/H168</f>
        <v>6.90840930064153E-012</v>
      </c>
      <c r="N168" s="52" t="n">
        <f aca="false">ABS(Daromadlilik!J146)/I168</f>
        <v>2.91551867498467E-011</v>
      </c>
      <c r="O168" s="52" t="n">
        <f aca="false">ABS(Daromadlilik!K146)/J168</f>
        <v>9.24961745519158E-012</v>
      </c>
      <c r="P168" s="52" t="n">
        <f aca="false">ABS(Daromadlilik!L146)/K168</f>
        <v>3.51021733319174E-011</v>
      </c>
    </row>
    <row r="169" customFormat="false" ht="15" hidden="false" customHeight="false" outlineLevel="0" collapsed="false">
      <c r="G169" s="19" t="n">
        <f aca="false">Daromadlilik!A147</f>
        <v>45497</v>
      </c>
      <c r="H169" s="51" t="n">
        <f aca="false">Hajmlar!B148*Narxlar!C148</f>
        <v>1064325200</v>
      </c>
      <c r="I169" s="51" t="n">
        <f aca="false">Hajmlar!C148*Narxlar!D148</f>
        <v>589914500</v>
      </c>
      <c r="J169" s="51" t="n">
        <f aca="false">Hajmlar!D148*Narxlar!E148</f>
        <v>441104400</v>
      </c>
      <c r="K169" s="51" t="n">
        <f aca="false">Hajmlar!E148*Narxlar!F148</f>
        <v>488604000</v>
      </c>
      <c r="M169" s="52" t="n">
        <f aca="false">ABS(Daromadlilik!I147)/H169</f>
        <v>9.89485170575462E-012</v>
      </c>
      <c r="N169" s="52" t="n">
        <f aca="false">ABS(Daromadlilik!J147)/I169</f>
        <v>4.17274420875862E-012</v>
      </c>
      <c r="O169" s="52" t="n">
        <f aca="false">ABS(Daromadlilik!K147)/J169</f>
        <v>1.81975371847508E-011</v>
      </c>
      <c r="P169" s="52" t="n">
        <f aca="false">ABS(Daromadlilik!L147)/K169</f>
        <v>5.42219030856194E-011</v>
      </c>
    </row>
    <row r="170" customFormat="false" ht="15" hidden="false" customHeight="false" outlineLevel="0" collapsed="false">
      <c r="G170" s="19" t="n">
        <f aca="false">Daromadlilik!A148</f>
        <v>45498</v>
      </c>
      <c r="H170" s="51" t="n">
        <f aca="false">Hajmlar!B149*Narxlar!C149</f>
        <v>1467058800</v>
      </c>
      <c r="I170" s="51" t="n">
        <f aca="false">Hajmlar!C149*Narxlar!D149</f>
        <v>1054226700</v>
      </c>
      <c r="J170" s="51" t="n">
        <f aca="false">Hajmlar!D149*Narxlar!E149</f>
        <v>1374283200</v>
      </c>
      <c r="K170" s="51" t="n">
        <f aca="false">Hajmlar!E149*Narxlar!F149</f>
        <v>478350800</v>
      </c>
      <c r="M170" s="52" t="n">
        <f aca="false">ABS(Daromadlilik!I148)/H170</f>
        <v>8.64480763067012E-012</v>
      </c>
      <c r="N170" s="52" t="n">
        <f aca="false">ABS(Daromadlilik!J148)/I170</f>
        <v>1.9519907142703E-012</v>
      </c>
      <c r="O170" s="52" t="n">
        <f aca="false">ABS(Daromadlilik!K148)/J170</f>
        <v>1.08712625244003E-011</v>
      </c>
      <c r="P170" s="52" t="n">
        <f aca="false">ABS(Daromadlilik!L148)/K170</f>
        <v>1.14147528856515E-011</v>
      </c>
    </row>
    <row r="171" customFormat="false" ht="15" hidden="false" customHeight="false" outlineLevel="0" collapsed="false">
      <c r="G171" s="19" t="n">
        <f aca="false">Daromadlilik!A149</f>
        <v>45499</v>
      </c>
      <c r="H171" s="51" t="n">
        <f aca="false">Hajmlar!B150*Narxlar!C150</f>
        <v>1818660100</v>
      </c>
      <c r="I171" s="51" t="n">
        <f aca="false">Hajmlar!C150*Narxlar!D150</f>
        <v>858943200</v>
      </c>
      <c r="J171" s="51" t="n">
        <f aca="false">Hajmlar!D150*Narxlar!E150</f>
        <v>1343058600</v>
      </c>
      <c r="K171" s="51" t="n">
        <f aca="false">Hajmlar!E150*Narxlar!F150</f>
        <v>904541100</v>
      </c>
      <c r="M171" s="52" t="n">
        <f aca="false">ABS(Daromadlilik!I149)/H171</f>
        <v>2.49643722822579E-012</v>
      </c>
      <c r="N171" s="52" t="n">
        <f aca="false">ABS(Daromadlilik!J149)/I171</f>
        <v>6.21353753257396E-012</v>
      </c>
      <c r="O171" s="52" t="n">
        <f aca="false">ABS(Daromadlilik!K149)/J171</f>
        <v>6.6075592376787E-012</v>
      </c>
      <c r="P171" s="52" t="n">
        <f aca="false">ABS(Daromadlilik!L149)/K171</f>
        <v>3.55219078650619E-011</v>
      </c>
    </row>
    <row r="172" customFormat="false" ht="15" hidden="false" customHeight="false" outlineLevel="0" collapsed="false">
      <c r="G172" s="19" t="n">
        <f aca="false">Daromadlilik!A150</f>
        <v>45502</v>
      </c>
      <c r="H172" s="51" t="n">
        <f aca="false">Hajmlar!B151*Narxlar!C151</f>
        <v>1399925500</v>
      </c>
      <c r="I172" s="51" t="n">
        <f aca="false">Hajmlar!C151*Narxlar!D151</f>
        <v>2017793000</v>
      </c>
      <c r="J172" s="51" t="n">
        <f aca="false">Hajmlar!D151*Narxlar!E151</f>
        <v>933249600</v>
      </c>
      <c r="K172" s="51" t="n">
        <f aca="false">Hajmlar!E151*Narxlar!F151</f>
        <v>1166580000</v>
      </c>
      <c r="M172" s="52" t="n">
        <f aca="false">ABS(Daromadlilik!I150)/H172</f>
        <v>1.49866912915603E-012</v>
      </c>
      <c r="N172" s="52" t="n">
        <f aca="false">ABS(Daromadlilik!J150)/I172</f>
        <v>9.86922948965051E-012</v>
      </c>
      <c r="O172" s="52" t="n">
        <f aca="false">ABS(Daromadlilik!K150)/J172</f>
        <v>1.06074059396857E-012</v>
      </c>
      <c r="P172" s="52" t="n">
        <f aca="false">ABS(Daromadlilik!L150)/K172</f>
        <v>2.97678545198249E-011</v>
      </c>
    </row>
    <row r="173" customFormat="false" ht="15" hidden="false" customHeight="false" outlineLevel="0" collapsed="false">
      <c r="G173" s="19" t="n">
        <f aca="false">Daromadlilik!A151</f>
        <v>45503</v>
      </c>
      <c r="H173" s="51" t="n">
        <f aca="false">Hajmlar!B152*Narxlar!C152</f>
        <v>1647531200</v>
      </c>
      <c r="I173" s="51" t="n">
        <f aca="false">Hajmlar!C152*Narxlar!D152</f>
        <v>1321796400</v>
      </c>
      <c r="J173" s="51" t="n">
        <f aca="false">Hajmlar!D152*Narxlar!E152</f>
        <v>949558800</v>
      </c>
      <c r="K173" s="51" t="n">
        <f aca="false">Hajmlar!E152*Narxlar!F152</f>
        <v>869414000</v>
      </c>
      <c r="M173" s="52" t="n">
        <f aca="false">ABS(Daromadlilik!I151)/H173</f>
        <v>4.54132979676419E-012</v>
      </c>
      <c r="N173" s="52" t="n">
        <f aca="false">ABS(Daromadlilik!J151)/I173</f>
        <v>6.67621206847608E-012</v>
      </c>
      <c r="O173" s="52" t="n">
        <f aca="false">ABS(Daromadlilik!K151)/J173</f>
        <v>2.08607662207016E-012</v>
      </c>
      <c r="P173" s="52" t="n">
        <f aca="false">ABS(Daromadlilik!L151)/K173</f>
        <v>3.61279569726953E-011</v>
      </c>
    </row>
    <row r="174" customFormat="false" ht="15" hidden="false" customHeight="false" outlineLevel="0" collapsed="false">
      <c r="G174" s="19" t="n">
        <f aca="false">Daromadlilik!A152</f>
        <v>45504</v>
      </c>
      <c r="H174" s="51" t="n">
        <f aca="false">Hajmlar!B153*Narxlar!C153</f>
        <v>909601600</v>
      </c>
      <c r="I174" s="51" t="n">
        <f aca="false">Hajmlar!C153*Narxlar!D153</f>
        <v>957038600</v>
      </c>
      <c r="J174" s="51" t="n">
        <f aca="false">Hajmlar!D153*Narxlar!E153</f>
        <v>1337866600</v>
      </c>
      <c r="K174" s="51" t="n">
        <f aca="false">Hajmlar!E153*Narxlar!F153</f>
        <v>875644500</v>
      </c>
      <c r="M174" s="52" t="n">
        <f aca="false">ABS(Daromadlilik!I152)/H174</f>
        <v>5.44971358263504E-012</v>
      </c>
      <c r="N174" s="52" t="n">
        <f aca="false">ABS(Daromadlilik!J152)/I174</f>
        <v>5.99348942756327E-013</v>
      </c>
      <c r="O174" s="52" t="n">
        <f aca="false">ABS(Daromadlilik!K152)/J174</f>
        <v>1.6485641395426E-012</v>
      </c>
      <c r="P174" s="52" t="n">
        <f aca="false">ABS(Daromadlilik!L152)/K174</f>
        <v>3.03306319209051E-011</v>
      </c>
    </row>
    <row r="175" customFormat="false" ht="15" hidden="false" customHeight="false" outlineLevel="0" collapsed="false">
      <c r="G175" s="19" t="n">
        <f aca="false">Daromadlilik!A153</f>
        <v>45505</v>
      </c>
      <c r="H175" s="51" t="n">
        <f aca="false">Hajmlar!B154*Narxlar!C154</f>
        <v>1570999100</v>
      </c>
      <c r="I175" s="51" t="n">
        <f aca="false">Hajmlar!C154*Narxlar!D154</f>
        <v>2089711000</v>
      </c>
      <c r="J175" s="51" t="n">
        <f aca="false">Hajmlar!D154*Narxlar!E154</f>
        <v>907012500</v>
      </c>
      <c r="K175" s="51" t="n">
        <f aca="false">Hajmlar!E154*Narxlar!F154</f>
        <v>663409500</v>
      </c>
      <c r="M175" s="52" t="n">
        <f aca="false">ABS(Daromadlilik!I153)/H175</f>
        <v>6.80716660361744E-012</v>
      </c>
      <c r="N175" s="52" t="n">
        <f aca="false">ABS(Daromadlilik!J153)/I175</f>
        <v>3.21795117800898E-012</v>
      </c>
      <c r="O175" s="52" t="n">
        <f aca="false">ABS(Daromadlilik!K153)/J175</f>
        <v>4.02402493358971E-012</v>
      </c>
      <c r="P175" s="52" t="n">
        <f aca="false">ABS(Daromadlilik!L153)/K175</f>
        <v>1.40241486994948E-011</v>
      </c>
    </row>
    <row r="176" customFormat="false" ht="15" hidden="false" customHeight="false" outlineLevel="0" collapsed="false">
      <c r="G176" s="19" t="n">
        <f aca="false">Daromadlilik!A154</f>
        <v>45506</v>
      </c>
      <c r="H176" s="51" t="n">
        <f aca="false">Hajmlar!B155*Narxlar!C155</f>
        <v>1825605600</v>
      </c>
      <c r="I176" s="51" t="n">
        <f aca="false">Hajmlar!C155*Narxlar!D155</f>
        <v>3221956000</v>
      </c>
      <c r="J176" s="51" t="n">
        <f aca="false">Hajmlar!D155*Narxlar!E155</f>
        <v>1017432000</v>
      </c>
      <c r="K176" s="51" t="n">
        <f aca="false">Hajmlar!E155*Narxlar!F155</f>
        <v>401040000</v>
      </c>
      <c r="M176" s="52" t="n">
        <f aca="false">ABS(Daromadlilik!I154)/H176</f>
        <v>1.57921812323846E-011</v>
      </c>
      <c r="N176" s="52" t="n">
        <f aca="false">ABS(Daromadlilik!J154)/I176</f>
        <v>1.34454827960738E-011</v>
      </c>
      <c r="O176" s="52" t="n">
        <f aca="false">ABS(Daromadlilik!K154)/J176</f>
        <v>3.64991020530475E-011</v>
      </c>
      <c r="P176" s="52" t="n">
        <f aca="false">ABS(Daromadlilik!L154)/K176</f>
        <v>4.44430925650756E-011</v>
      </c>
    </row>
    <row r="177" customFormat="false" ht="15" hidden="false" customHeight="false" outlineLevel="0" collapsed="false">
      <c r="G177" s="19" t="n">
        <f aca="false">Daromadlilik!A155</f>
        <v>45509</v>
      </c>
      <c r="H177" s="51" t="n">
        <f aca="false">Hajmlar!B156*Narxlar!C156</f>
        <v>3274222000</v>
      </c>
      <c r="I177" s="51" t="n">
        <f aca="false">Hajmlar!C156*Narxlar!D156</f>
        <v>628009200</v>
      </c>
      <c r="J177" s="51" t="n">
        <f aca="false">Hajmlar!D156*Narxlar!E156</f>
        <v>1764180000</v>
      </c>
      <c r="K177" s="51" t="n">
        <f aca="false">Hajmlar!E156*Narxlar!F156</f>
        <v>982441200</v>
      </c>
      <c r="M177" s="52" t="n">
        <f aca="false">ABS(Daromadlilik!I155)/H177</f>
        <v>9.74451407947215E-012</v>
      </c>
      <c r="N177" s="52" t="n">
        <f aca="false">ABS(Daromadlilik!J155)/I177</f>
        <v>1.77796197487308E-011</v>
      </c>
      <c r="O177" s="52" t="n">
        <f aca="false">ABS(Daromadlilik!K155)/J177</f>
        <v>1.3780391832925E-011</v>
      </c>
      <c r="P177" s="52" t="n">
        <f aca="false">ABS(Daromadlilik!L155)/K177</f>
        <v>3.51133750191271E-011</v>
      </c>
    </row>
    <row r="178" customFormat="false" ht="15" hidden="false" customHeight="false" outlineLevel="0" collapsed="false">
      <c r="G178" s="19" t="n">
        <f aca="false">Daromadlilik!A156</f>
        <v>45510</v>
      </c>
      <c r="H178" s="51" t="n">
        <f aca="false">Hajmlar!B157*Narxlar!C157</f>
        <v>1726466400</v>
      </c>
      <c r="I178" s="51" t="n">
        <f aca="false">Hajmlar!C157*Narxlar!D157</f>
        <v>1861274800</v>
      </c>
      <c r="J178" s="51" t="n">
        <f aca="false">Hajmlar!D157*Narxlar!E157</f>
        <v>1020146400</v>
      </c>
      <c r="K178" s="51" t="n">
        <f aca="false">Hajmlar!E157*Narxlar!F157</f>
        <v>516631500</v>
      </c>
      <c r="M178" s="52" t="n">
        <f aca="false">ABS(Daromadlilik!I156)/H178</f>
        <v>1.66059751762504E-011</v>
      </c>
      <c r="N178" s="52" t="n">
        <f aca="false">ABS(Daromadlilik!J156)/I178</f>
        <v>1.13696698869029E-011</v>
      </c>
      <c r="O178" s="52" t="n">
        <f aca="false">ABS(Daromadlilik!K156)/J178</f>
        <v>9.41609225337775E-012</v>
      </c>
      <c r="P178" s="52" t="n">
        <f aca="false">ABS(Daromadlilik!L156)/K178</f>
        <v>3.06427524662739E-011</v>
      </c>
    </row>
    <row r="179" customFormat="false" ht="15" hidden="false" customHeight="false" outlineLevel="0" collapsed="false">
      <c r="G179" s="19" t="n">
        <f aca="false">Daromadlilik!A157</f>
        <v>45511</v>
      </c>
      <c r="H179" s="51" t="n">
        <f aca="false">Hajmlar!B158*Narxlar!C158</f>
        <v>1498038600</v>
      </c>
      <c r="I179" s="51" t="n">
        <f aca="false">Hajmlar!C158*Narxlar!D158</f>
        <v>2099982800</v>
      </c>
      <c r="J179" s="51" t="n">
        <f aca="false">Hajmlar!D158*Narxlar!E158</f>
        <v>538934000</v>
      </c>
      <c r="K179" s="51" t="n">
        <f aca="false">Hajmlar!E158*Narxlar!F158</f>
        <v>929286100</v>
      </c>
      <c r="M179" s="52" t="n">
        <f aca="false">ABS(Daromadlilik!I157)/H179</f>
        <v>7.55912891597624E-012</v>
      </c>
      <c r="N179" s="52" t="n">
        <f aca="false">ABS(Daromadlilik!J157)/I179</f>
        <v>9.79345548595012E-012</v>
      </c>
      <c r="O179" s="52" t="n">
        <f aca="false">ABS(Daromadlilik!K157)/J179</f>
        <v>1.82402385114838E-011</v>
      </c>
      <c r="P179" s="52" t="n">
        <f aca="false">ABS(Daromadlilik!L157)/K179</f>
        <v>2.64713219717624E-011</v>
      </c>
    </row>
    <row r="180" customFormat="false" ht="15" hidden="false" customHeight="false" outlineLevel="0" collapsed="false">
      <c r="G180" s="19" t="n">
        <f aca="false">Daromadlilik!A158</f>
        <v>45512</v>
      </c>
      <c r="H180" s="51" t="n">
        <f aca="false">Hajmlar!B159*Narxlar!C159</f>
        <v>740688000</v>
      </c>
      <c r="I180" s="51" t="n">
        <f aca="false">Hajmlar!C159*Narxlar!D159</f>
        <v>1094369100</v>
      </c>
      <c r="J180" s="51" t="n">
        <f aca="false">Hajmlar!D159*Narxlar!E159</f>
        <v>1583274000</v>
      </c>
      <c r="K180" s="51" t="n">
        <f aca="false">Hajmlar!E159*Narxlar!F159</f>
        <v>785812500</v>
      </c>
      <c r="M180" s="52" t="n">
        <f aca="false">ABS(Daromadlilik!I158)/H180</f>
        <v>1.85528046788085E-011</v>
      </c>
      <c r="N180" s="52" t="n">
        <f aca="false">ABS(Daromadlilik!J158)/I180</f>
        <v>1.47502262787921E-011</v>
      </c>
      <c r="O180" s="52" t="n">
        <f aca="false">ABS(Daromadlilik!K158)/J180</f>
        <v>3.76907481606111E-012</v>
      </c>
      <c r="P180" s="52" t="n">
        <f aca="false">ABS(Daromadlilik!L158)/K180</f>
        <v>2.33134190053481E-011</v>
      </c>
    </row>
    <row r="181" customFormat="false" ht="15" hidden="false" customHeight="false" outlineLevel="0" collapsed="false">
      <c r="G181" s="19" t="n">
        <f aca="false">Daromadlilik!A159</f>
        <v>45513</v>
      </c>
      <c r="H181" s="51" t="n">
        <f aca="false">Hajmlar!B160*Narxlar!C160</f>
        <v>1506560000</v>
      </c>
      <c r="I181" s="51" t="n">
        <f aca="false">Hajmlar!C160*Narxlar!D160</f>
        <v>1062105800</v>
      </c>
      <c r="J181" s="51" t="n">
        <f aca="false">Hajmlar!D160*Narxlar!E160</f>
        <v>880111100</v>
      </c>
      <c r="K181" s="51" t="n">
        <f aca="false">Hajmlar!E160*Narxlar!F160</f>
        <v>1246183000</v>
      </c>
      <c r="M181" s="52" t="n">
        <f aca="false">ABS(Daromadlilik!I159)/H181</f>
        <v>7.68666013012093E-012</v>
      </c>
      <c r="N181" s="52" t="n">
        <f aca="false">ABS(Daromadlilik!J159)/I181</f>
        <v>1.1593923712637E-011</v>
      </c>
      <c r="O181" s="52" t="n">
        <f aca="false">ABS(Daromadlilik!K159)/J181</f>
        <v>5.63183402632738E-012</v>
      </c>
      <c r="P181" s="52" t="n">
        <f aca="false">ABS(Daromadlilik!L159)/K181</f>
        <v>1.81952467530566E-011</v>
      </c>
    </row>
    <row r="182" customFormat="false" ht="15" hidden="false" customHeight="false" outlineLevel="0" collapsed="false">
      <c r="G182" s="19" t="n">
        <f aca="false">Daromadlilik!A160</f>
        <v>45516</v>
      </c>
      <c r="H182" s="51" t="n">
        <f aca="false">Hajmlar!B161*Narxlar!C161</f>
        <v>1448448000</v>
      </c>
      <c r="I182" s="51" t="n">
        <f aca="false">Hajmlar!C161*Narxlar!D161</f>
        <v>924637600</v>
      </c>
      <c r="J182" s="51" t="n">
        <f aca="false">Hajmlar!D161*Narxlar!E161</f>
        <v>1468475800</v>
      </c>
      <c r="K182" s="51" t="n">
        <f aca="false">Hajmlar!E161*Narxlar!F161</f>
        <v>902865200</v>
      </c>
      <c r="M182" s="52" t="n">
        <f aca="false">ABS(Daromadlilik!I160)/H182</f>
        <v>2.50597056337454E-012</v>
      </c>
      <c r="N182" s="52" t="n">
        <f aca="false">ABS(Daromadlilik!J160)/I182</f>
        <v>3.13386704814343E-012</v>
      </c>
      <c r="O182" s="52" t="n">
        <f aca="false">ABS(Daromadlilik!K160)/J182</f>
        <v>6.70094651986171E-012</v>
      </c>
      <c r="P182" s="52" t="n">
        <f aca="false">ABS(Daromadlilik!L160)/K182</f>
        <v>1.47939286827851E-011</v>
      </c>
    </row>
    <row r="183" customFormat="false" ht="15" hidden="false" customHeight="false" outlineLevel="0" collapsed="false">
      <c r="G183" s="19" t="n">
        <f aca="false">Daromadlilik!A161</f>
        <v>45517</v>
      </c>
      <c r="H183" s="51" t="n">
        <f aca="false">Hajmlar!B162*Narxlar!C162</f>
        <v>1365208900</v>
      </c>
      <c r="I183" s="51" t="n">
        <f aca="false">Hajmlar!C162*Narxlar!D162</f>
        <v>921644800</v>
      </c>
      <c r="J183" s="51" t="n">
        <f aca="false">Hajmlar!D162*Narxlar!E162</f>
        <v>446950000</v>
      </c>
      <c r="K183" s="51" t="n">
        <f aca="false">Hajmlar!E162*Narxlar!F162</f>
        <v>530789700</v>
      </c>
      <c r="M183" s="52" t="n">
        <f aca="false">ABS(Daromadlilik!I161)/H183</f>
        <v>1.32647020653124E-011</v>
      </c>
      <c r="N183" s="52" t="n">
        <f aca="false">ABS(Daromadlilik!J161)/I183</f>
        <v>3.51759928561118E-012</v>
      </c>
      <c r="O183" s="52" t="n">
        <f aca="false">ABS(Daromadlilik!K161)/J183</f>
        <v>1.19820171619215E-011</v>
      </c>
      <c r="P183" s="52" t="n">
        <f aca="false">ABS(Daromadlilik!L161)/K183</f>
        <v>1.71905864190507E-011</v>
      </c>
    </row>
    <row r="184" customFormat="false" ht="15" hidden="false" customHeight="false" outlineLevel="0" collapsed="false">
      <c r="G184" s="19" t="n">
        <f aca="false">Daromadlilik!A162</f>
        <v>45518</v>
      </c>
      <c r="H184" s="51" t="n">
        <f aca="false">Hajmlar!B163*Narxlar!C163</f>
        <v>947993200</v>
      </c>
      <c r="I184" s="51" t="n">
        <f aca="false">Hajmlar!C163*Narxlar!D163</f>
        <v>2002560000</v>
      </c>
      <c r="J184" s="51" t="n">
        <f aca="false">Hajmlar!D163*Narxlar!E163</f>
        <v>1230417000</v>
      </c>
      <c r="K184" s="51" t="n">
        <f aca="false">Hajmlar!E163*Narxlar!F163</f>
        <v>1527286800</v>
      </c>
      <c r="M184" s="52" t="n">
        <f aca="false">ABS(Daromadlilik!I162)/H184</f>
        <v>1.4554187244478E-011</v>
      </c>
      <c r="N184" s="52" t="n">
        <f aca="false">ABS(Daromadlilik!J162)/I184</f>
        <v>1.63749408908869E-012</v>
      </c>
      <c r="O184" s="52" t="n">
        <f aca="false">ABS(Daromadlilik!K162)/J184</f>
        <v>1.4534173430305E-012</v>
      </c>
      <c r="P184" s="52" t="n">
        <f aca="false">ABS(Daromadlilik!L162)/K184</f>
        <v>2.25737100465936E-011</v>
      </c>
    </row>
    <row r="185" customFormat="false" ht="15" hidden="false" customHeight="false" outlineLevel="0" collapsed="false">
      <c r="G185" s="19" t="n">
        <f aca="false">Daromadlilik!A163</f>
        <v>45519</v>
      </c>
      <c r="H185" s="51" t="n">
        <f aca="false">Hajmlar!B164*Narxlar!C164</f>
        <v>1068075000</v>
      </c>
      <c r="I185" s="51" t="n">
        <f aca="false">Hajmlar!C164*Narxlar!D164</f>
        <v>1964020400</v>
      </c>
      <c r="J185" s="51" t="n">
        <f aca="false">Hajmlar!D164*Narxlar!E164</f>
        <v>528906000</v>
      </c>
      <c r="K185" s="51" t="n">
        <f aca="false">Hajmlar!E164*Narxlar!F164</f>
        <v>283351000</v>
      </c>
      <c r="M185" s="52" t="n">
        <f aca="false">ABS(Daromadlilik!I163)/H185</f>
        <v>1.96755600474562E-012</v>
      </c>
      <c r="N185" s="52" t="n">
        <f aca="false">ABS(Daromadlilik!J163)/I185</f>
        <v>8.19242786067498E-012</v>
      </c>
      <c r="O185" s="52" t="n">
        <f aca="false">ABS(Daromadlilik!K163)/J185</f>
        <v>8.42651036256201E-012</v>
      </c>
      <c r="P185" s="52" t="n">
        <f aca="false">ABS(Daromadlilik!L163)/K185</f>
        <v>1.02134069642441E-013</v>
      </c>
    </row>
    <row r="186" customFormat="false" ht="15" hidden="false" customHeight="false" outlineLevel="0" collapsed="false">
      <c r="G186" s="19" t="n">
        <f aca="false">Daromadlilik!A164</f>
        <v>45520</v>
      </c>
      <c r="H186" s="51" t="n">
        <f aca="false">Hajmlar!B165*Narxlar!C165</f>
        <v>1372209600</v>
      </c>
      <c r="I186" s="51" t="n">
        <f aca="false">Hajmlar!C165*Narxlar!D165</f>
        <v>1030931000</v>
      </c>
      <c r="J186" s="51" t="n">
        <f aca="false">Hajmlar!D165*Narxlar!E165</f>
        <v>1254531200</v>
      </c>
      <c r="K186" s="51" t="n">
        <f aca="false">Hajmlar!E165*Narxlar!F165</f>
        <v>1135480500</v>
      </c>
      <c r="M186" s="52" t="n">
        <f aca="false">ABS(Daromadlilik!I164)/H186</f>
        <v>1.5666524200165E-011</v>
      </c>
      <c r="N186" s="52" t="n">
        <f aca="false">ABS(Daromadlilik!J164)/I186</f>
        <v>1.92321626947544E-011</v>
      </c>
      <c r="O186" s="52" t="n">
        <f aca="false">ABS(Daromadlilik!K164)/J186</f>
        <v>9.60120400471398E-012</v>
      </c>
      <c r="P186" s="52" t="n">
        <f aca="false">ABS(Daromadlilik!L164)/K186</f>
        <v>2.611486592018E-011</v>
      </c>
    </row>
    <row r="187" customFormat="false" ht="15" hidden="false" customHeight="false" outlineLevel="0" collapsed="false">
      <c r="G187" s="19" t="n">
        <f aca="false">Daromadlilik!A165</f>
        <v>45523</v>
      </c>
      <c r="H187" s="51" t="n">
        <f aca="false">Hajmlar!B166*Narxlar!C166</f>
        <v>2405549300</v>
      </c>
      <c r="I187" s="51" t="n">
        <f aca="false">Hajmlar!C166*Narxlar!D166</f>
        <v>879354000</v>
      </c>
      <c r="J187" s="51" t="n">
        <f aca="false">Hajmlar!D166*Narxlar!E166</f>
        <v>862131200</v>
      </c>
      <c r="K187" s="51" t="n">
        <f aca="false">Hajmlar!E166*Narxlar!F166</f>
        <v>596316000</v>
      </c>
      <c r="M187" s="52" t="n">
        <f aca="false">ABS(Daromadlilik!I165)/H187</f>
        <v>8.43207790788415E-012</v>
      </c>
      <c r="N187" s="52" t="n">
        <f aca="false">ABS(Daromadlilik!J165)/I187</f>
        <v>2.16108340554146E-012</v>
      </c>
      <c r="O187" s="52" t="n">
        <f aca="false">ABS(Daromadlilik!K165)/J187</f>
        <v>6.13173020898437E-012</v>
      </c>
      <c r="P187" s="52" t="n">
        <f aca="false">ABS(Daromadlilik!L165)/K187</f>
        <v>4.71786278497862E-012</v>
      </c>
    </row>
    <row r="188" customFormat="false" ht="15" hidden="false" customHeight="false" outlineLevel="0" collapsed="false">
      <c r="G188" s="19" t="n">
        <f aca="false">Daromadlilik!A166</f>
        <v>45524</v>
      </c>
      <c r="H188" s="51" t="n">
        <f aca="false">Hajmlar!B167*Narxlar!C167</f>
        <v>789050000</v>
      </c>
      <c r="I188" s="51" t="n">
        <f aca="false">Hajmlar!C167*Narxlar!D167</f>
        <v>1645633800</v>
      </c>
      <c r="J188" s="51" t="n">
        <f aca="false">Hajmlar!D167*Narxlar!E167</f>
        <v>693032900</v>
      </c>
      <c r="K188" s="51" t="n">
        <f aca="false">Hajmlar!E167*Narxlar!F167</f>
        <v>729906800</v>
      </c>
      <c r="M188" s="52" t="n">
        <f aca="false">ABS(Daromadlilik!I166)/H188</f>
        <v>1.86339042229007E-012</v>
      </c>
      <c r="N188" s="52" t="n">
        <f aca="false">ABS(Daromadlilik!J166)/I188</f>
        <v>1.09158501817139E-011</v>
      </c>
      <c r="O188" s="52" t="n">
        <f aca="false">ABS(Daromadlilik!K166)/J188</f>
        <v>4.29563020637173E-012</v>
      </c>
      <c r="P188" s="52" t="n">
        <f aca="false">ABS(Daromadlilik!L166)/K188</f>
        <v>2.44447768679319E-011</v>
      </c>
    </row>
    <row r="189" customFormat="false" ht="15" hidden="false" customHeight="false" outlineLevel="0" collapsed="false">
      <c r="G189" s="19" t="n">
        <f aca="false">Daromadlilik!A167</f>
        <v>45525</v>
      </c>
      <c r="H189" s="51" t="n">
        <f aca="false">Hajmlar!B168*Narxlar!C168</f>
        <v>1923592800</v>
      </c>
      <c r="I189" s="51" t="n">
        <f aca="false">Hajmlar!C168*Narxlar!D168</f>
        <v>1656739200</v>
      </c>
      <c r="J189" s="51" t="n">
        <f aca="false">Hajmlar!D168*Narxlar!E168</f>
        <v>763689000</v>
      </c>
      <c r="K189" s="51" t="n">
        <f aca="false">Hajmlar!E168*Narxlar!F168</f>
        <v>398155200</v>
      </c>
      <c r="M189" s="52" t="n">
        <f aca="false">ABS(Daromadlilik!I167)/H189</f>
        <v>1.62596037839364E-011</v>
      </c>
      <c r="N189" s="52" t="n">
        <f aca="false">ABS(Daromadlilik!J167)/I189</f>
        <v>3.19397138205528E-012</v>
      </c>
      <c r="O189" s="52" t="n">
        <f aca="false">ABS(Daromadlilik!K167)/J189</f>
        <v>1.53353025217324E-011</v>
      </c>
      <c r="P189" s="52" t="n">
        <f aca="false">ABS(Daromadlilik!L167)/K189</f>
        <v>2.72377189490536E-011</v>
      </c>
    </row>
    <row r="190" customFormat="false" ht="15" hidden="false" customHeight="false" outlineLevel="0" collapsed="false">
      <c r="G190" s="19" t="n">
        <f aca="false">Daromadlilik!A168</f>
        <v>45526</v>
      </c>
      <c r="H190" s="51" t="n">
        <f aca="false">Hajmlar!B169*Narxlar!C169</f>
        <v>2567229600</v>
      </c>
      <c r="I190" s="51" t="n">
        <f aca="false">Hajmlar!C169*Narxlar!D169</f>
        <v>849810000</v>
      </c>
      <c r="J190" s="51" t="n">
        <f aca="false">Hajmlar!D169*Narxlar!E169</f>
        <v>1913735800</v>
      </c>
      <c r="K190" s="51" t="n">
        <f aca="false">Hajmlar!E169*Narxlar!F169</f>
        <v>659161600</v>
      </c>
      <c r="M190" s="52" t="n">
        <f aca="false">ABS(Daromadlilik!I168)/H190</f>
        <v>9.93947343033116E-012</v>
      </c>
      <c r="N190" s="52" t="n">
        <f aca="false">ABS(Daromadlilik!J168)/I190</f>
        <v>2.28697926204559E-012</v>
      </c>
      <c r="O190" s="52" t="n">
        <f aca="false">ABS(Daromadlilik!K168)/J190</f>
        <v>4.13433970577063E-012</v>
      </c>
      <c r="P190" s="52" t="n">
        <f aca="false">ABS(Daromadlilik!L168)/K190</f>
        <v>2.95239133029605E-011</v>
      </c>
    </row>
    <row r="191" customFormat="false" ht="15" hidden="false" customHeight="false" outlineLevel="0" collapsed="false">
      <c r="G191" s="19" t="n">
        <f aca="false">Daromadlilik!A169</f>
        <v>45527</v>
      </c>
      <c r="H191" s="51" t="n">
        <f aca="false">Hajmlar!B170*Narxlar!C170</f>
        <v>2239356500</v>
      </c>
      <c r="I191" s="51" t="n">
        <f aca="false">Hajmlar!C170*Narxlar!D170</f>
        <v>880845300</v>
      </c>
      <c r="J191" s="51" t="n">
        <f aca="false">Hajmlar!D170*Narxlar!E170</f>
        <v>1283469200</v>
      </c>
      <c r="K191" s="51" t="n">
        <f aca="false">Hajmlar!E170*Narxlar!F170</f>
        <v>591063200</v>
      </c>
      <c r="M191" s="52" t="n">
        <f aca="false">ABS(Daromadlilik!I169)/H191</f>
        <v>1.89256361795988E-011</v>
      </c>
      <c r="N191" s="52" t="n">
        <f aca="false">ABS(Daromadlilik!J169)/I191</f>
        <v>1.60321007026259E-013</v>
      </c>
      <c r="O191" s="52" t="n">
        <f aca="false">ABS(Daromadlilik!K169)/J191</f>
        <v>4.2779945855303E-012</v>
      </c>
      <c r="P191" s="52" t="n">
        <f aca="false">ABS(Daromadlilik!L169)/K191</f>
        <v>4.14263943959519E-011</v>
      </c>
    </row>
    <row r="192" customFormat="false" ht="15" hidden="false" customHeight="false" outlineLevel="0" collapsed="false">
      <c r="G192" s="19" t="n">
        <f aca="false">Daromadlilik!A170</f>
        <v>45530</v>
      </c>
      <c r="H192" s="51" t="n">
        <f aca="false">Hajmlar!B171*Narxlar!C171</f>
        <v>1082750100</v>
      </c>
      <c r="I192" s="51" t="n">
        <f aca="false">Hajmlar!C171*Narxlar!D171</f>
        <v>1492423900</v>
      </c>
      <c r="J192" s="51" t="n">
        <f aca="false">Hajmlar!D171*Narxlar!E171</f>
        <v>1189433700</v>
      </c>
      <c r="K192" s="51" t="n">
        <f aca="false">Hajmlar!E171*Narxlar!F171</f>
        <v>557988200</v>
      </c>
      <c r="M192" s="52" t="n">
        <f aca="false">ABS(Daromadlilik!I170)/H192</f>
        <v>1.09043037234561E-011</v>
      </c>
      <c r="N192" s="52" t="n">
        <f aca="false">ABS(Daromadlilik!J170)/I192</f>
        <v>1.27476374234099E-011</v>
      </c>
      <c r="O192" s="52" t="n">
        <f aca="false">ABS(Daromadlilik!K170)/J192</f>
        <v>5.30888876291575E-012</v>
      </c>
      <c r="P192" s="52" t="n">
        <f aca="false">ABS(Daromadlilik!L170)/K192</f>
        <v>2.35370054560471E-011</v>
      </c>
    </row>
    <row r="193" customFormat="false" ht="15" hidden="false" customHeight="false" outlineLevel="0" collapsed="false">
      <c r="G193" s="19" t="n">
        <f aca="false">Daromadlilik!A171</f>
        <v>45531</v>
      </c>
      <c r="H193" s="51" t="n">
        <f aca="false">Hajmlar!B172*Narxlar!C172</f>
        <v>1107012600</v>
      </c>
      <c r="I193" s="51" t="n">
        <f aca="false">Hajmlar!C172*Narxlar!D172</f>
        <v>887224000</v>
      </c>
      <c r="J193" s="51" t="n">
        <f aca="false">Hajmlar!D172*Narxlar!E172</f>
        <v>1172247600</v>
      </c>
      <c r="K193" s="51" t="n">
        <f aca="false">Hajmlar!E172*Narxlar!F172</f>
        <v>343560600</v>
      </c>
      <c r="M193" s="52" t="n">
        <f aca="false">ABS(Daromadlilik!I171)/H193</f>
        <v>6.57491445459111E-012</v>
      </c>
      <c r="N193" s="52" t="n">
        <f aca="false">ABS(Daromadlilik!J171)/I193</f>
        <v>1.23484086071091E-011</v>
      </c>
      <c r="O193" s="52" t="n">
        <f aca="false">ABS(Daromadlilik!K171)/J193</f>
        <v>9.10612917950695E-013</v>
      </c>
      <c r="P193" s="52" t="n">
        <f aca="false">ABS(Daromadlilik!L171)/K193</f>
        <v>2.52750759419378E-011</v>
      </c>
    </row>
    <row r="194" customFormat="false" ht="15" hidden="false" customHeight="false" outlineLevel="0" collapsed="false">
      <c r="G194" s="19" t="n">
        <f aca="false">Daromadlilik!A172</f>
        <v>45532</v>
      </c>
      <c r="H194" s="51" t="n">
        <f aca="false">Hajmlar!B173*Narxlar!C173</f>
        <v>1871776200</v>
      </c>
      <c r="I194" s="51" t="n">
        <f aca="false">Hajmlar!C173*Narxlar!D173</f>
        <v>2004223500</v>
      </c>
      <c r="J194" s="51" t="n">
        <f aca="false">Hajmlar!D173*Narxlar!E173</f>
        <v>1212824700</v>
      </c>
      <c r="K194" s="51" t="n">
        <f aca="false">Hajmlar!E173*Narxlar!F173</f>
        <v>884910600</v>
      </c>
      <c r="M194" s="52" t="n">
        <f aca="false">ABS(Daromadlilik!I172)/H194</f>
        <v>1.74441252883513E-011</v>
      </c>
      <c r="N194" s="52" t="n">
        <f aca="false">ABS(Daromadlilik!J172)/I194</f>
        <v>7.40596719379693E-012</v>
      </c>
      <c r="O194" s="52" t="n">
        <f aca="false">ABS(Daromadlilik!K172)/J194</f>
        <v>1.0574178638037E-012</v>
      </c>
      <c r="P194" s="52" t="n">
        <f aca="false">ABS(Daromadlilik!L172)/K194</f>
        <v>2.41354875563201E-011</v>
      </c>
    </row>
    <row r="195" customFormat="false" ht="15" hidden="false" customHeight="false" outlineLevel="0" collapsed="false">
      <c r="G195" s="19" t="n">
        <f aca="false">Daromadlilik!A173</f>
        <v>45533</v>
      </c>
      <c r="H195" s="51" t="n">
        <f aca="false">Hajmlar!B174*Narxlar!C174</f>
        <v>1201175600</v>
      </c>
      <c r="I195" s="51" t="n">
        <f aca="false">Hajmlar!C174*Narxlar!D174</f>
        <v>1417482000</v>
      </c>
      <c r="J195" s="51" t="n">
        <f aca="false">Hajmlar!D174*Narxlar!E174</f>
        <v>1112971200</v>
      </c>
      <c r="K195" s="51" t="n">
        <f aca="false">Hajmlar!E174*Narxlar!F174</f>
        <v>581919800</v>
      </c>
      <c r="M195" s="52" t="n">
        <f aca="false">ABS(Daromadlilik!I173)/H195</f>
        <v>2.13542861515134E-012</v>
      </c>
      <c r="N195" s="52" t="n">
        <f aca="false">ABS(Daromadlilik!J173)/I195</f>
        <v>2.92560867212351E-012</v>
      </c>
      <c r="O195" s="52" t="n">
        <f aca="false">ABS(Daromadlilik!K173)/J195</f>
        <v>6.22395305886254E-012</v>
      </c>
      <c r="P195" s="52" t="n">
        <f aca="false">ABS(Daromadlilik!L173)/K195</f>
        <v>2.05415820428282E-011</v>
      </c>
    </row>
    <row r="196" customFormat="false" ht="15" hidden="false" customHeight="false" outlineLevel="0" collapsed="false">
      <c r="G196" s="19" t="n">
        <f aca="false">Daromadlilik!A174</f>
        <v>45534</v>
      </c>
      <c r="H196" s="51" t="n">
        <f aca="false">Hajmlar!B175*Narxlar!C175</f>
        <v>1329489200</v>
      </c>
      <c r="I196" s="51" t="n">
        <f aca="false">Hajmlar!C175*Narxlar!D175</f>
        <v>1332269400</v>
      </c>
      <c r="J196" s="51" t="n">
        <f aca="false">Hajmlar!D175*Narxlar!E175</f>
        <v>961291800</v>
      </c>
      <c r="K196" s="51" t="n">
        <f aca="false">Hajmlar!E175*Narxlar!F175</f>
        <v>697148400</v>
      </c>
      <c r="M196" s="52" t="n">
        <f aca="false">ABS(Daromadlilik!I174)/H196</f>
        <v>7.64956366347996E-012</v>
      </c>
      <c r="N196" s="52" t="n">
        <f aca="false">ABS(Daromadlilik!J174)/I196</f>
        <v>5.25015231958759E-012</v>
      </c>
      <c r="O196" s="52" t="n">
        <f aca="false">ABS(Daromadlilik!K174)/J196</f>
        <v>8.20771370156213E-012</v>
      </c>
      <c r="P196" s="52" t="n">
        <f aca="false">ABS(Daromadlilik!L174)/K196</f>
        <v>8.40035869411427E-011</v>
      </c>
    </row>
    <row r="197" customFormat="false" ht="15" hidden="false" customHeight="false" outlineLevel="0" collapsed="false">
      <c r="G197" s="19" t="n">
        <f aca="false">Daromadlilik!A175</f>
        <v>45537</v>
      </c>
      <c r="H197" s="51" t="n">
        <f aca="false">Hajmlar!B176*Narxlar!C176</f>
        <v>2012052000</v>
      </c>
      <c r="I197" s="51" t="n">
        <f aca="false">Hajmlar!C176*Narxlar!D176</f>
        <v>1293197400</v>
      </c>
      <c r="J197" s="51" t="n">
        <f aca="false">Hajmlar!D176*Narxlar!E176</f>
        <v>1135492800</v>
      </c>
      <c r="K197" s="51" t="n">
        <f aca="false">Hajmlar!E176*Narxlar!F176</f>
        <v>331925300</v>
      </c>
      <c r="M197" s="52" t="n">
        <f aca="false">ABS(Daromadlilik!I175)/H197</f>
        <v>1.48875788761165E-012</v>
      </c>
      <c r="N197" s="52" t="n">
        <f aca="false">ABS(Daromadlilik!J175)/I197</f>
        <v>4.38331842500454E-012</v>
      </c>
      <c r="O197" s="52" t="n">
        <f aca="false">ABS(Daromadlilik!K175)/J197</f>
        <v>4.70095539648015E-012</v>
      </c>
      <c r="P197" s="52" t="n">
        <f aca="false">ABS(Daromadlilik!L175)/K197</f>
        <v>5.64484105858137E-012</v>
      </c>
    </row>
    <row r="198" customFormat="false" ht="15" hidden="false" customHeight="false" outlineLevel="0" collapsed="false">
      <c r="G198" s="19" t="n">
        <f aca="false">Daromadlilik!A176</f>
        <v>45538</v>
      </c>
      <c r="H198" s="51" t="n">
        <f aca="false">Hajmlar!B177*Narxlar!C177</f>
        <v>2311545600</v>
      </c>
      <c r="I198" s="51" t="n">
        <f aca="false">Hajmlar!C177*Narxlar!D177</f>
        <v>1177356000</v>
      </c>
      <c r="J198" s="51" t="n">
        <f aca="false">Hajmlar!D177*Narxlar!E177</f>
        <v>843432000</v>
      </c>
      <c r="K198" s="51" t="n">
        <f aca="false">Hajmlar!E177*Narxlar!F177</f>
        <v>630912000</v>
      </c>
      <c r="M198" s="52" t="n">
        <f aca="false">ABS(Daromadlilik!I176)/H198</f>
        <v>1.53790057739888E-012</v>
      </c>
      <c r="N198" s="52" t="n">
        <f aca="false">ABS(Daromadlilik!J176)/I198</f>
        <v>1.2431837865187E-012</v>
      </c>
      <c r="O198" s="52" t="n">
        <f aca="false">ABS(Daromadlilik!K176)/J198</f>
        <v>7.85273528451392E-012</v>
      </c>
      <c r="P198" s="52" t="n">
        <f aca="false">ABS(Daromadlilik!L176)/K198</f>
        <v>1.23743824510656E-011</v>
      </c>
    </row>
    <row r="199" customFormat="false" ht="15" hidden="false" customHeight="false" outlineLevel="0" collapsed="false">
      <c r="G199" s="19" t="n">
        <f aca="false">Daromadlilik!A177</f>
        <v>45539</v>
      </c>
      <c r="H199" s="51" t="n">
        <f aca="false">Hajmlar!B178*Narxlar!C178</f>
        <v>1191873600</v>
      </c>
      <c r="I199" s="51" t="n">
        <f aca="false">Hajmlar!C178*Narxlar!D178</f>
        <v>1358880000</v>
      </c>
      <c r="J199" s="51" t="n">
        <f aca="false">Hajmlar!D178*Narxlar!E178</f>
        <v>1125929000</v>
      </c>
      <c r="K199" s="51" t="n">
        <f aca="false">Hajmlar!E178*Narxlar!F178</f>
        <v>1142876000</v>
      </c>
      <c r="M199" s="52" t="n">
        <f aca="false">ABS(Daromadlilik!I177)/H199</f>
        <v>2.01175901751107E-011</v>
      </c>
      <c r="N199" s="52" t="n">
        <f aca="false">ABS(Daromadlilik!J177)/I199</f>
        <v>1.04787469021756E-011</v>
      </c>
      <c r="O199" s="52" t="n">
        <f aca="false">ABS(Daromadlilik!K177)/J199</f>
        <v>8.71490601858276E-012</v>
      </c>
      <c r="P199" s="52" t="n">
        <f aca="false">ABS(Daromadlilik!L177)/K199</f>
        <v>2.47195486462749E-011</v>
      </c>
    </row>
    <row r="200" customFormat="false" ht="15" hidden="false" customHeight="false" outlineLevel="0" collapsed="false">
      <c r="G200" s="19" t="n">
        <f aca="false">Daromadlilik!A178</f>
        <v>45540</v>
      </c>
      <c r="H200" s="51" t="n">
        <f aca="false">Hajmlar!B179*Narxlar!C179</f>
        <v>1654179900</v>
      </c>
      <c r="I200" s="51" t="n">
        <f aca="false">Hajmlar!C179*Narxlar!D179</f>
        <v>1684972800</v>
      </c>
      <c r="J200" s="51" t="n">
        <f aca="false">Hajmlar!D179*Narxlar!E179</f>
        <v>1574078100</v>
      </c>
      <c r="K200" s="51" t="n">
        <f aca="false">Hajmlar!E179*Narxlar!F179</f>
        <v>1491855200</v>
      </c>
      <c r="M200" s="52" t="n">
        <f aca="false">ABS(Daromadlilik!I178)/H200</f>
        <v>3.41339813472957E-012</v>
      </c>
      <c r="N200" s="52" t="n">
        <f aca="false">ABS(Daromadlilik!J178)/I200</f>
        <v>7.20946130082796E-012</v>
      </c>
      <c r="O200" s="52" t="n">
        <f aca="false">ABS(Daromadlilik!K178)/J200</f>
        <v>1.52560134386912E-011</v>
      </c>
      <c r="P200" s="52" t="n">
        <f aca="false">ABS(Daromadlilik!L178)/K200</f>
        <v>1.8987758715162E-011</v>
      </c>
    </row>
    <row r="201" customFormat="false" ht="15" hidden="false" customHeight="false" outlineLevel="0" collapsed="false">
      <c r="G201" s="19" t="n">
        <f aca="false">Daromadlilik!A179</f>
        <v>45541</v>
      </c>
      <c r="H201" s="51" t="n">
        <f aca="false">Hajmlar!B180*Narxlar!C180</f>
        <v>3441200000</v>
      </c>
      <c r="I201" s="51" t="n">
        <f aca="false">Hajmlar!C180*Narxlar!D180</f>
        <v>639990400</v>
      </c>
      <c r="J201" s="51" t="n">
        <f aca="false">Hajmlar!D180*Narxlar!E180</f>
        <v>1213222400</v>
      </c>
      <c r="K201" s="51" t="n">
        <f aca="false">Hajmlar!E180*Narxlar!F180</f>
        <v>1201591000</v>
      </c>
      <c r="M201" s="52" t="n">
        <f aca="false">ABS(Daromadlilik!I179)/H201</f>
        <v>8.49037591703481E-012</v>
      </c>
      <c r="N201" s="52" t="n">
        <f aca="false">ABS(Daromadlilik!J179)/I201</f>
        <v>4.64167577847062E-012</v>
      </c>
      <c r="O201" s="52" t="n">
        <f aca="false">ABS(Daromadlilik!K179)/J201</f>
        <v>7.11933749057309E-012</v>
      </c>
      <c r="P201" s="52" t="n">
        <f aca="false">ABS(Daromadlilik!L179)/K201</f>
        <v>1.94384680281513E-011</v>
      </c>
    </row>
    <row r="202" customFormat="false" ht="15" hidden="false" customHeight="false" outlineLevel="0" collapsed="false">
      <c r="G202" s="19" t="n">
        <f aca="false">Daromadlilik!A180</f>
        <v>45544</v>
      </c>
      <c r="H202" s="51" t="n">
        <f aca="false">Hajmlar!B181*Narxlar!C181</f>
        <v>1175427900</v>
      </c>
      <c r="I202" s="51" t="n">
        <f aca="false">Hajmlar!C181*Narxlar!D181</f>
        <v>1105912500</v>
      </c>
      <c r="J202" s="51" t="n">
        <f aca="false">Hajmlar!D181*Narxlar!E181</f>
        <v>2052633600</v>
      </c>
      <c r="K202" s="51" t="n">
        <f aca="false">Hajmlar!E181*Narxlar!F181</f>
        <v>993862800</v>
      </c>
      <c r="M202" s="52" t="n">
        <f aca="false">ABS(Daromadlilik!I180)/H202</f>
        <v>7.43059277363679E-012</v>
      </c>
      <c r="N202" s="52" t="n">
        <f aca="false">ABS(Daromadlilik!J180)/I202</f>
        <v>4.86078813160825E-012</v>
      </c>
      <c r="O202" s="52" t="n">
        <f aca="false">ABS(Daromadlilik!K180)/J202</f>
        <v>4.86372433160171E-012</v>
      </c>
      <c r="P202" s="52" t="n">
        <f aca="false">ABS(Daromadlilik!L180)/K202</f>
        <v>1.7447667786801E-011</v>
      </c>
    </row>
    <row r="203" customFormat="false" ht="15" hidden="false" customHeight="false" outlineLevel="0" collapsed="false">
      <c r="G203" s="19" t="n">
        <f aca="false">Daromadlilik!A181</f>
        <v>45545</v>
      </c>
      <c r="H203" s="51" t="n">
        <f aca="false">Hajmlar!B182*Narxlar!C182</f>
        <v>2492406000</v>
      </c>
      <c r="I203" s="51" t="n">
        <f aca="false">Hajmlar!C182*Narxlar!D182</f>
        <v>1659090000</v>
      </c>
      <c r="J203" s="51" t="n">
        <f aca="false">Hajmlar!D182*Narxlar!E182</f>
        <v>1599336200</v>
      </c>
      <c r="K203" s="51" t="n">
        <f aca="false">Hajmlar!E182*Narxlar!F182</f>
        <v>1548168800</v>
      </c>
      <c r="M203" s="52" t="n">
        <f aca="false">ABS(Daromadlilik!I181)/H203</f>
        <v>5.88445633252804E-012</v>
      </c>
      <c r="N203" s="52" t="n">
        <f aca="false">ABS(Daromadlilik!J181)/I203</f>
        <v>2.52324829534701E-012</v>
      </c>
      <c r="O203" s="52" t="n">
        <f aca="false">ABS(Daromadlilik!K181)/J203</f>
        <v>6.05239861461665E-012</v>
      </c>
      <c r="P203" s="52" t="n">
        <f aca="false">ABS(Daromadlilik!L181)/K203</f>
        <v>1.08648625513322E-011</v>
      </c>
    </row>
    <row r="204" customFormat="false" ht="15" hidden="false" customHeight="false" outlineLevel="0" collapsed="false">
      <c r="G204" s="19" t="n">
        <f aca="false">Daromadlilik!A182</f>
        <v>45546</v>
      </c>
      <c r="H204" s="51" t="n">
        <f aca="false">Hajmlar!B183*Narxlar!C183</f>
        <v>1346362500</v>
      </c>
      <c r="I204" s="51" t="n">
        <f aca="false">Hajmlar!C183*Narxlar!D183</f>
        <v>1955376000</v>
      </c>
      <c r="J204" s="51" t="n">
        <f aca="false">Hajmlar!D183*Narxlar!E183</f>
        <v>1527478400</v>
      </c>
      <c r="K204" s="51" t="n">
        <f aca="false">Hajmlar!E183*Narxlar!F183</f>
        <v>1567891200</v>
      </c>
      <c r="M204" s="52" t="n">
        <f aca="false">ABS(Daromadlilik!I182)/H204</f>
        <v>1.28055722516694E-011</v>
      </c>
      <c r="N204" s="52" t="n">
        <f aca="false">ABS(Daromadlilik!J182)/I204</f>
        <v>1.33231030890339E-011</v>
      </c>
      <c r="O204" s="52" t="n">
        <f aca="false">ABS(Daromadlilik!K182)/J204</f>
        <v>5.61152357384626E-012</v>
      </c>
      <c r="P204" s="52" t="n">
        <f aca="false">ABS(Daromadlilik!L182)/K204</f>
        <v>1.63893470117539E-011</v>
      </c>
    </row>
    <row r="205" customFormat="false" ht="15" hidden="false" customHeight="false" outlineLevel="0" collapsed="false">
      <c r="G205" s="19" t="n">
        <f aca="false">Daromadlilik!A183</f>
        <v>45547</v>
      </c>
      <c r="H205" s="51" t="n">
        <f aca="false">Hajmlar!B184*Narxlar!C184</f>
        <v>1667067600</v>
      </c>
      <c r="I205" s="51" t="n">
        <f aca="false">Hajmlar!C184*Narxlar!D184</f>
        <v>1374685900</v>
      </c>
      <c r="J205" s="51" t="n">
        <f aca="false">Hajmlar!D184*Narxlar!E184</f>
        <v>798864000</v>
      </c>
      <c r="K205" s="51" t="n">
        <f aca="false">Hajmlar!E184*Narxlar!F184</f>
        <v>1063946000</v>
      </c>
      <c r="M205" s="52" t="n">
        <f aca="false">ABS(Daromadlilik!I183)/H205</f>
        <v>5.50962035197166E-012</v>
      </c>
      <c r="N205" s="52" t="n">
        <f aca="false">ABS(Daromadlilik!J183)/I205</f>
        <v>1.215064151799E-012</v>
      </c>
      <c r="O205" s="52" t="n">
        <f aca="false">ABS(Daromadlilik!K183)/J205</f>
        <v>6.63127378548477E-012</v>
      </c>
      <c r="P205" s="52" t="n">
        <f aca="false">ABS(Daromadlilik!L183)/K205</f>
        <v>5.29082293900823E-012</v>
      </c>
    </row>
    <row r="206" customFormat="false" ht="15" hidden="false" customHeight="false" outlineLevel="0" collapsed="false">
      <c r="G206" s="19" t="n">
        <f aca="false">Daromadlilik!A184</f>
        <v>45548</v>
      </c>
      <c r="H206" s="51" t="n">
        <f aca="false">Hajmlar!B185*Narxlar!C185</f>
        <v>1144902400</v>
      </c>
      <c r="I206" s="51" t="n">
        <f aca="false">Hajmlar!C185*Narxlar!D185</f>
        <v>776249100</v>
      </c>
      <c r="J206" s="51" t="n">
        <f aca="false">Hajmlar!D185*Narxlar!E185</f>
        <v>1152009600</v>
      </c>
      <c r="K206" s="51" t="n">
        <f aca="false">Hajmlar!E185*Narxlar!F185</f>
        <v>1826406900</v>
      </c>
      <c r="M206" s="52" t="n">
        <f aca="false">ABS(Daromadlilik!I184)/H206</f>
        <v>5.84505476219531E-012</v>
      </c>
      <c r="N206" s="52" t="n">
        <f aca="false">ABS(Daromadlilik!J184)/I206</f>
        <v>1.05030250839823E-011</v>
      </c>
      <c r="O206" s="52" t="n">
        <f aca="false">ABS(Daromadlilik!K184)/J206</f>
        <v>5.31838057167561E-013</v>
      </c>
      <c r="P206" s="52" t="n">
        <f aca="false">ABS(Daromadlilik!L184)/K206</f>
        <v>1.53320832541498E-011</v>
      </c>
    </row>
    <row r="207" customFormat="false" ht="15" hidden="false" customHeight="false" outlineLevel="0" collapsed="false">
      <c r="G207" s="19" t="n">
        <f aca="false">Daromadlilik!A185</f>
        <v>45551</v>
      </c>
      <c r="H207" s="51" t="n">
        <f aca="false">Hajmlar!B186*Narxlar!C186</f>
        <v>1658442800</v>
      </c>
      <c r="I207" s="51" t="n">
        <f aca="false">Hajmlar!C186*Narxlar!D186</f>
        <v>1722009600</v>
      </c>
      <c r="J207" s="51" t="n">
        <f aca="false">Hajmlar!D186*Narxlar!E186</f>
        <v>1053610200</v>
      </c>
      <c r="K207" s="51" t="n">
        <f aca="false">Hajmlar!E186*Narxlar!F186</f>
        <v>1276178600</v>
      </c>
      <c r="M207" s="52" t="n">
        <f aca="false">ABS(Daromadlilik!I185)/H207</f>
        <v>8.16355666119398E-012</v>
      </c>
      <c r="N207" s="52" t="n">
        <f aca="false">ABS(Daromadlilik!J185)/I207</f>
        <v>1.62105854477583E-011</v>
      </c>
      <c r="O207" s="52" t="n">
        <f aca="false">ABS(Daromadlilik!K185)/J207</f>
        <v>1.20344161226268E-011</v>
      </c>
      <c r="P207" s="52" t="n">
        <f aca="false">ABS(Daromadlilik!L185)/K207</f>
        <v>9.14290978794469E-012</v>
      </c>
    </row>
    <row r="208" customFormat="false" ht="15" hidden="false" customHeight="false" outlineLevel="0" collapsed="false">
      <c r="G208" s="19" t="n">
        <f aca="false">Daromadlilik!A186</f>
        <v>45552</v>
      </c>
      <c r="H208" s="51" t="n">
        <f aca="false">Hajmlar!B187*Narxlar!C187</f>
        <v>1022193000</v>
      </c>
      <c r="I208" s="51" t="n">
        <f aca="false">Hajmlar!C187*Narxlar!D187</f>
        <v>950915400</v>
      </c>
      <c r="J208" s="51" t="n">
        <f aca="false">Hajmlar!D187*Narxlar!E187</f>
        <v>782405200</v>
      </c>
      <c r="K208" s="51" t="n">
        <f aca="false">Hajmlar!E187*Narxlar!F187</f>
        <v>593687200</v>
      </c>
      <c r="M208" s="52" t="n">
        <f aca="false">ABS(Daromadlilik!I186)/H208</f>
        <v>1.70684269789058E-012</v>
      </c>
      <c r="N208" s="52" t="n">
        <f aca="false">ABS(Daromadlilik!J186)/I208</f>
        <v>2.46202373475463E-013</v>
      </c>
      <c r="O208" s="52" t="n">
        <f aca="false">ABS(Daromadlilik!K186)/J208</f>
        <v>1.03021475789231E-012</v>
      </c>
      <c r="P208" s="52" t="n">
        <f aca="false">ABS(Daromadlilik!L186)/K208</f>
        <v>6.03573955272241E-012</v>
      </c>
    </row>
    <row r="209" customFormat="false" ht="15" hidden="false" customHeight="false" outlineLevel="0" collapsed="false">
      <c r="G209" s="19" t="n">
        <f aca="false">Daromadlilik!A187</f>
        <v>45553</v>
      </c>
      <c r="H209" s="51" t="n">
        <f aca="false">Hajmlar!B188*Narxlar!C188</f>
        <v>2442602800</v>
      </c>
      <c r="I209" s="51" t="n">
        <f aca="false">Hajmlar!C188*Narxlar!D188</f>
        <v>963900000</v>
      </c>
      <c r="J209" s="51" t="n">
        <f aca="false">Hajmlar!D188*Narxlar!E188</f>
        <v>1013940000</v>
      </c>
      <c r="K209" s="51" t="n">
        <f aca="false">Hajmlar!E188*Narxlar!F188</f>
        <v>488826600</v>
      </c>
      <c r="M209" s="52" t="n">
        <f aca="false">ABS(Daromadlilik!I187)/H209</f>
        <v>6.66561235863162E-012</v>
      </c>
      <c r="N209" s="52" t="n">
        <f aca="false">ABS(Daromadlilik!J187)/I209</f>
        <v>5.32179460524784E-012</v>
      </c>
      <c r="O209" s="52" t="n">
        <f aca="false">ABS(Daromadlilik!K187)/J209</f>
        <v>1.03848455491765E-011</v>
      </c>
      <c r="P209" s="52" t="n">
        <f aca="false">ABS(Daromadlilik!L187)/K209</f>
        <v>1.90595961435621E-011</v>
      </c>
    </row>
    <row r="210" customFormat="false" ht="15" hidden="false" customHeight="false" outlineLevel="0" collapsed="false">
      <c r="G210" s="19" t="n">
        <f aca="false">Daromadlilik!A188</f>
        <v>45554</v>
      </c>
      <c r="H210" s="51" t="n">
        <f aca="false">Hajmlar!B189*Narxlar!C189</f>
        <v>1415684700</v>
      </c>
      <c r="I210" s="51" t="n">
        <f aca="false">Hajmlar!C189*Narxlar!D189</f>
        <v>738900500</v>
      </c>
      <c r="J210" s="51" t="n">
        <f aca="false">Hajmlar!D189*Narxlar!E189</f>
        <v>1424482800</v>
      </c>
      <c r="K210" s="51" t="n">
        <f aca="false">Hajmlar!E189*Narxlar!F189</f>
        <v>1679319000</v>
      </c>
      <c r="M210" s="52" t="n">
        <f aca="false">ABS(Daromadlilik!I188)/H210</f>
        <v>4.13826489366951E-012</v>
      </c>
      <c r="N210" s="52" t="n">
        <f aca="false">ABS(Daromadlilik!J188)/I210</f>
        <v>7.48530397578062E-012</v>
      </c>
      <c r="O210" s="52" t="n">
        <f aca="false">ABS(Daromadlilik!K188)/J210</f>
        <v>5.76382979894243E-012</v>
      </c>
      <c r="P210" s="52" t="n">
        <f aca="false">ABS(Daromadlilik!L188)/K210</f>
        <v>1.79614494846421E-011</v>
      </c>
    </row>
    <row r="211" customFormat="false" ht="15" hidden="false" customHeight="false" outlineLevel="0" collapsed="false">
      <c r="G211" s="19" t="n">
        <f aca="false">Daromadlilik!A189</f>
        <v>45555</v>
      </c>
      <c r="H211" s="51" t="n">
        <f aca="false">Hajmlar!B190*Narxlar!C190</f>
        <v>1563469800</v>
      </c>
      <c r="I211" s="51" t="n">
        <f aca="false">Hajmlar!C190*Narxlar!D190</f>
        <v>909659200</v>
      </c>
      <c r="J211" s="51" t="n">
        <f aca="false">Hajmlar!D190*Narxlar!E190</f>
        <v>643305000</v>
      </c>
      <c r="K211" s="51" t="n">
        <f aca="false">Hajmlar!E190*Narxlar!F190</f>
        <v>778244800</v>
      </c>
      <c r="M211" s="52" t="n">
        <f aca="false">ABS(Daromadlilik!I189)/H211</f>
        <v>8.532465723767E-013</v>
      </c>
      <c r="N211" s="52" t="n">
        <f aca="false">ABS(Daromadlilik!J189)/I211</f>
        <v>2.9394372917117E-013</v>
      </c>
      <c r="O211" s="52" t="n">
        <f aca="false">ABS(Daromadlilik!K189)/J211</f>
        <v>1.4129429298573E-012</v>
      </c>
      <c r="P211" s="52" t="n">
        <f aca="false">ABS(Daromadlilik!L189)/K211</f>
        <v>1.36367007337567E-011</v>
      </c>
    </row>
    <row r="212" customFormat="false" ht="15" hidden="false" customHeight="false" outlineLevel="0" collapsed="false">
      <c r="G212" s="19" t="n">
        <f aca="false">Daromadlilik!A190</f>
        <v>45558</v>
      </c>
      <c r="H212" s="51" t="n">
        <f aca="false">Hajmlar!B191*Narxlar!C191</f>
        <v>2921919000</v>
      </c>
      <c r="I212" s="51" t="n">
        <f aca="false">Hajmlar!C191*Narxlar!D191</f>
        <v>1064895300</v>
      </c>
      <c r="J212" s="51" t="n">
        <f aca="false">Hajmlar!D191*Narxlar!E191</f>
        <v>967356600</v>
      </c>
      <c r="K212" s="51" t="n">
        <f aca="false">Hajmlar!E191*Narxlar!F191</f>
        <v>802118400</v>
      </c>
      <c r="M212" s="52" t="n">
        <f aca="false">ABS(Daromadlilik!I190)/H212</f>
        <v>3.48481099144509E-012</v>
      </c>
      <c r="N212" s="52" t="n">
        <f aca="false">ABS(Daromadlilik!J190)/I212</f>
        <v>2.95460107061393E-012</v>
      </c>
      <c r="O212" s="52" t="n">
        <f aca="false">ABS(Daromadlilik!K190)/J212</f>
        <v>4.68961162608169E-012</v>
      </c>
      <c r="P212" s="52" t="n">
        <f aca="false">ABS(Daromadlilik!L190)/K212</f>
        <v>1.14218687081272E-011</v>
      </c>
    </row>
    <row r="213" customFormat="false" ht="15" hidden="false" customHeight="false" outlineLevel="0" collapsed="false">
      <c r="G213" s="19" t="n">
        <f aca="false">Daromadlilik!A191</f>
        <v>45559</v>
      </c>
      <c r="H213" s="51" t="n">
        <f aca="false">Hajmlar!B192*Narxlar!C192</f>
        <v>1649104500</v>
      </c>
      <c r="I213" s="51" t="n">
        <f aca="false">Hajmlar!C192*Narxlar!D192</f>
        <v>1759590000</v>
      </c>
      <c r="J213" s="51" t="n">
        <f aca="false">Hajmlar!D192*Narxlar!E192</f>
        <v>1302028800</v>
      </c>
      <c r="K213" s="51" t="n">
        <f aca="false">Hajmlar!E192*Narxlar!F192</f>
        <v>626392000</v>
      </c>
      <c r="M213" s="52" t="n">
        <f aca="false">ABS(Daromadlilik!I191)/H213</f>
        <v>5.93510532228586E-014</v>
      </c>
      <c r="N213" s="52" t="n">
        <f aca="false">ABS(Daromadlilik!J191)/I213</f>
        <v>1.82609402076084E-012</v>
      </c>
      <c r="O213" s="52" t="n">
        <f aca="false">ABS(Daromadlilik!K191)/J213</f>
        <v>1.39178322547575E-012</v>
      </c>
      <c r="P213" s="52" t="n">
        <f aca="false">ABS(Daromadlilik!L191)/K213</f>
        <v>2.18154183137295E-011</v>
      </c>
    </row>
    <row r="214" customFormat="false" ht="15" hidden="false" customHeight="false" outlineLevel="0" collapsed="false">
      <c r="G214" s="19" t="n">
        <f aca="false">Daromadlilik!A192</f>
        <v>45560</v>
      </c>
      <c r="H214" s="51" t="n">
        <f aca="false">Hajmlar!B193*Narxlar!C193</f>
        <v>787825500</v>
      </c>
      <c r="I214" s="51" t="n">
        <f aca="false">Hajmlar!C193*Narxlar!D193</f>
        <v>779502600</v>
      </c>
      <c r="J214" s="51" t="n">
        <f aca="false">Hajmlar!D193*Narxlar!E193</f>
        <v>820301300</v>
      </c>
      <c r="K214" s="51" t="n">
        <f aca="false">Hajmlar!E193*Narxlar!F193</f>
        <v>1039200000</v>
      </c>
      <c r="M214" s="52" t="n">
        <f aca="false">ABS(Daromadlilik!I192)/H214</f>
        <v>1.73802488552526E-012</v>
      </c>
      <c r="N214" s="52" t="n">
        <f aca="false">ABS(Daromadlilik!J192)/I214</f>
        <v>2.53179631339263E-012</v>
      </c>
      <c r="O214" s="52" t="n">
        <f aca="false">ABS(Daromadlilik!K192)/J214</f>
        <v>6.14354829984863E-013</v>
      </c>
      <c r="P214" s="52" t="n">
        <f aca="false">ABS(Daromadlilik!L192)/K214</f>
        <v>8.32341718385593E-012</v>
      </c>
    </row>
    <row r="215" customFormat="false" ht="15" hidden="false" customHeight="false" outlineLevel="0" collapsed="false">
      <c r="G215" s="19" t="n">
        <f aca="false">Daromadlilik!A193</f>
        <v>45561</v>
      </c>
      <c r="H215" s="51" t="n">
        <f aca="false">Hajmlar!B194*Narxlar!C194</f>
        <v>1442605600</v>
      </c>
      <c r="I215" s="51" t="n">
        <f aca="false">Hajmlar!C194*Narxlar!D194</f>
        <v>1094834400</v>
      </c>
      <c r="J215" s="51" t="n">
        <f aca="false">Hajmlar!D194*Narxlar!E194</f>
        <v>1145841000</v>
      </c>
      <c r="K215" s="51" t="n">
        <f aca="false">Hajmlar!E194*Narxlar!F194</f>
        <v>844682000</v>
      </c>
      <c r="M215" s="52" t="n">
        <f aca="false">ABS(Daromadlilik!I193)/H215</f>
        <v>1.26830586633614E-011</v>
      </c>
      <c r="N215" s="52" t="n">
        <f aca="false">ABS(Daromadlilik!J193)/I215</f>
        <v>1.0404009579505E-012</v>
      </c>
      <c r="O215" s="52" t="n">
        <f aca="false">ABS(Daromadlilik!K193)/J215</f>
        <v>2.11419447316654E-012</v>
      </c>
      <c r="P215" s="52" t="n">
        <f aca="false">ABS(Daromadlilik!L193)/K215</f>
        <v>1.04125593616794E-011</v>
      </c>
    </row>
    <row r="216" customFormat="false" ht="15" hidden="false" customHeight="false" outlineLevel="0" collapsed="false">
      <c r="G216" s="19" t="n">
        <f aca="false">Daromadlilik!A194</f>
        <v>45562</v>
      </c>
      <c r="H216" s="51" t="n">
        <f aca="false">Hajmlar!B195*Narxlar!C195</f>
        <v>3221923000</v>
      </c>
      <c r="I216" s="51" t="n">
        <f aca="false">Hajmlar!C195*Narxlar!D195</f>
        <v>1196284400</v>
      </c>
      <c r="J216" s="51" t="n">
        <f aca="false">Hajmlar!D195*Narxlar!E195</f>
        <v>594836200</v>
      </c>
      <c r="K216" s="51" t="n">
        <f aca="false">Hajmlar!E195*Narxlar!F195</f>
        <v>864385600</v>
      </c>
      <c r="M216" s="52" t="n">
        <f aca="false">ABS(Daromadlilik!I194)/H216</f>
        <v>7.53651955044965E-012</v>
      </c>
      <c r="N216" s="52" t="n">
        <f aca="false">ABS(Daromadlilik!J194)/I216</f>
        <v>6.21568663696999E-012</v>
      </c>
      <c r="O216" s="52" t="n">
        <f aca="false">ABS(Daromadlilik!K194)/J216</f>
        <v>2.38024827961588E-012</v>
      </c>
      <c r="P216" s="52" t="n">
        <f aca="false">ABS(Daromadlilik!L194)/K216</f>
        <v>9.86902119963802E-012</v>
      </c>
    </row>
    <row r="217" customFormat="false" ht="15" hidden="false" customHeight="false" outlineLevel="0" collapsed="false">
      <c r="G217" s="19" t="n">
        <f aca="false">Daromadlilik!A195</f>
        <v>45565</v>
      </c>
      <c r="H217" s="51" t="n">
        <f aca="false">Hajmlar!B196*Narxlar!C196</f>
        <v>1862172000</v>
      </c>
      <c r="I217" s="51" t="n">
        <f aca="false">Hajmlar!C196*Narxlar!D196</f>
        <v>1463189000</v>
      </c>
      <c r="J217" s="51" t="n">
        <f aca="false">Hajmlar!D196*Narxlar!E196</f>
        <v>624036800</v>
      </c>
      <c r="K217" s="51" t="n">
        <f aca="false">Hajmlar!E196*Narxlar!F196</f>
        <v>783025100</v>
      </c>
      <c r="M217" s="52" t="n">
        <f aca="false">ABS(Daromadlilik!I195)/H217</f>
        <v>7.74837322794947E-012</v>
      </c>
      <c r="N217" s="52" t="n">
        <f aca="false">ABS(Daromadlilik!J195)/I217</f>
        <v>5.74592021336544E-012</v>
      </c>
      <c r="O217" s="52" t="n">
        <f aca="false">ABS(Daromadlilik!K195)/J217</f>
        <v>1.13564035991877E-012</v>
      </c>
      <c r="P217" s="52" t="n">
        <f aca="false">ABS(Daromadlilik!L195)/K217</f>
        <v>9.67433735915965E-012</v>
      </c>
    </row>
    <row r="218" customFormat="false" ht="15" hidden="false" customHeight="false" outlineLevel="0" collapsed="false">
      <c r="G218" s="19" t="n">
        <f aca="false">Daromadlilik!A196</f>
        <v>45566</v>
      </c>
      <c r="H218" s="51" t="n">
        <f aca="false">Hajmlar!B197*Narxlar!C197</f>
        <v>1234038400</v>
      </c>
      <c r="I218" s="51" t="n">
        <f aca="false">Hajmlar!C197*Narxlar!D197</f>
        <v>1209737600</v>
      </c>
      <c r="J218" s="51" t="n">
        <f aca="false">Hajmlar!D197*Narxlar!E197</f>
        <v>887807600</v>
      </c>
      <c r="K218" s="51" t="n">
        <f aca="false">Hajmlar!E197*Narxlar!F197</f>
        <v>554439600</v>
      </c>
      <c r="M218" s="52" t="n">
        <f aca="false">ABS(Daromadlilik!I196)/H218</f>
        <v>1.66826147885734E-012</v>
      </c>
      <c r="N218" s="52" t="n">
        <f aca="false">ABS(Daromadlilik!J196)/I218</f>
        <v>2.29445578415503E-012</v>
      </c>
      <c r="O218" s="52" t="n">
        <f aca="false">ABS(Daromadlilik!K196)/J218</f>
        <v>8.97601397786556E-012</v>
      </c>
      <c r="P218" s="52" t="n">
        <f aca="false">ABS(Daromadlilik!L196)/K218</f>
        <v>5.59090024107129E-012</v>
      </c>
    </row>
    <row r="219" customFormat="false" ht="15" hidden="false" customHeight="false" outlineLevel="0" collapsed="false">
      <c r="G219" s="19" t="n">
        <f aca="false">Daromadlilik!A197</f>
        <v>45567</v>
      </c>
      <c r="H219" s="51" t="n">
        <f aca="false">Hajmlar!B198*Narxlar!C198</f>
        <v>1287911900</v>
      </c>
      <c r="I219" s="51" t="n">
        <f aca="false">Hajmlar!C198*Narxlar!D198</f>
        <v>1121914300</v>
      </c>
      <c r="J219" s="51" t="n">
        <f aca="false">Hajmlar!D198*Narxlar!E198</f>
        <v>751042200</v>
      </c>
      <c r="K219" s="51" t="n">
        <f aca="false">Hajmlar!E198*Narxlar!F198</f>
        <v>974803500</v>
      </c>
      <c r="M219" s="52" t="n">
        <f aca="false">ABS(Daromadlilik!I197)/H219</f>
        <v>8.34038041241505E-012</v>
      </c>
      <c r="N219" s="52" t="n">
        <f aca="false">ABS(Daromadlilik!J197)/I219</f>
        <v>5.52391867394795E-012</v>
      </c>
      <c r="O219" s="52" t="n">
        <f aca="false">ABS(Daromadlilik!K197)/J219</f>
        <v>2.80635876386739E-012</v>
      </c>
      <c r="P219" s="52" t="n">
        <f aca="false">ABS(Daromadlilik!L197)/K219</f>
        <v>1.28287939357084E-011</v>
      </c>
    </row>
    <row r="220" customFormat="false" ht="15" hidden="false" customHeight="false" outlineLevel="0" collapsed="false">
      <c r="G220" s="19" t="n">
        <f aca="false">Daromadlilik!A198</f>
        <v>45568</v>
      </c>
      <c r="H220" s="51" t="n">
        <f aca="false">Hajmlar!B199*Narxlar!C199</f>
        <v>1675789200</v>
      </c>
      <c r="I220" s="51" t="n">
        <f aca="false">Hajmlar!C199*Narxlar!D199</f>
        <v>766740000</v>
      </c>
      <c r="J220" s="51" t="n">
        <f aca="false">Hajmlar!D199*Narxlar!E199</f>
        <v>1057035000</v>
      </c>
      <c r="K220" s="51" t="n">
        <f aca="false">Hajmlar!E199*Narxlar!F199</f>
        <v>1449530100</v>
      </c>
      <c r="M220" s="52" t="n">
        <f aca="false">ABS(Daromadlilik!I198)/H220</f>
        <v>9.38665510800658E-013</v>
      </c>
      <c r="N220" s="52" t="n">
        <f aca="false">ABS(Daromadlilik!J198)/I220</f>
        <v>1.18428468876069E-011</v>
      </c>
      <c r="O220" s="52" t="n">
        <f aca="false">ABS(Daromadlilik!K198)/J220</f>
        <v>8.78025857550176E-012</v>
      </c>
      <c r="P220" s="52" t="n">
        <f aca="false">ABS(Daromadlilik!L198)/K220</f>
        <v>2.09338243244574E-011</v>
      </c>
    </row>
    <row r="221" customFormat="false" ht="15" hidden="false" customHeight="false" outlineLevel="0" collapsed="false">
      <c r="G221" s="19" t="n">
        <f aca="false">Daromadlilik!A199</f>
        <v>45569</v>
      </c>
      <c r="H221" s="51" t="n">
        <f aca="false">Hajmlar!B200*Narxlar!C200</f>
        <v>1402751400</v>
      </c>
      <c r="I221" s="51" t="n">
        <f aca="false">Hajmlar!C200*Narxlar!D200</f>
        <v>918528000</v>
      </c>
      <c r="J221" s="51" t="n">
        <f aca="false">Hajmlar!D200*Narxlar!E200</f>
        <v>977366400</v>
      </c>
      <c r="K221" s="51" t="n">
        <f aca="false">Hajmlar!E200*Narxlar!F200</f>
        <v>1262692000</v>
      </c>
      <c r="M221" s="52" t="n">
        <f aca="false">ABS(Daromadlilik!I199)/H221</f>
        <v>6.37908204903444E-012</v>
      </c>
      <c r="N221" s="52" t="n">
        <f aca="false">ABS(Daromadlilik!J199)/I221</f>
        <v>1.84744391734322E-012</v>
      </c>
      <c r="O221" s="52" t="n">
        <f aca="false">ABS(Daromadlilik!K199)/J221</f>
        <v>5.40087508587694E-012</v>
      </c>
      <c r="P221" s="52" t="n">
        <f aca="false">ABS(Daromadlilik!L199)/K221</f>
        <v>3.84620122972068E-011</v>
      </c>
    </row>
    <row r="222" customFormat="false" ht="15" hidden="false" customHeight="false" outlineLevel="0" collapsed="false">
      <c r="G222" s="19" t="n">
        <f aca="false">Daromadlilik!A200</f>
        <v>45572</v>
      </c>
      <c r="H222" s="51" t="n">
        <f aca="false">Hajmlar!B201*Narxlar!C201</f>
        <v>1165027500</v>
      </c>
      <c r="I222" s="51" t="n">
        <f aca="false">Hajmlar!C201*Narxlar!D201</f>
        <v>1411728000</v>
      </c>
      <c r="J222" s="51" t="n">
        <f aca="false">Hajmlar!D201*Narxlar!E201</f>
        <v>830996000</v>
      </c>
      <c r="K222" s="51" t="n">
        <f aca="false">Hajmlar!E201*Narxlar!F201</f>
        <v>555233600</v>
      </c>
      <c r="M222" s="52" t="n">
        <f aca="false">ABS(Daromadlilik!I200)/H222</f>
        <v>1.98492178309564E-012</v>
      </c>
      <c r="N222" s="52" t="n">
        <f aca="false">ABS(Daromadlilik!J200)/I222</f>
        <v>6.9810886566374E-013</v>
      </c>
      <c r="O222" s="52" t="n">
        <f aca="false">ABS(Daromadlilik!K200)/J222</f>
        <v>2.40362574820183E-013</v>
      </c>
      <c r="P222" s="52" t="n">
        <f aca="false">ABS(Daromadlilik!L200)/K222</f>
        <v>4.15160221206587E-012</v>
      </c>
    </row>
    <row r="223" customFormat="false" ht="15" hidden="false" customHeight="false" outlineLevel="0" collapsed="false">
      <c r="G223" s="19" t="n">
        <f aca="false">Daromadlilik!A201</f>
        <v>45573</v>
      </c>
      <c r="H223" s="51" t="n">
        <f aca="false">Hajmlar!B202*Narxlar!C202</f>
        <v>1019496100</v>
      </c>
      <c r="I223" s="51" t="n">
        <f aca="false">Hajmlar!C202*Narxlar!D202</f>
        <v>1552297600</v>
      </c>
      <c r="J223" s="51" t="n">
        <f aca="false">Hajmlar!D202*Narxlar!E202</f>
        <v>616059600</v>
      </c>
      <c r="K223" s="51" t="n">
        <f aca="false">Hajmlar!E202*Narxlar!F202</f>
        <v>674763500</v>
      </c>
      <c r="M223" s="52" t="n">
        <f aca="false">ABS(Daromadlilik!I201)/H223</f>
        <v>1.77151316156731E-012</v>
      </c>
      <c r="N223" s="52" t="n">
        <f aca="false">ABS(Daromadlilik!J201)/I223</f>
        <v>4.64865086652319E-012</v>
      </c>
      <c r="O223" s="52" t="n">
        <f aca="false">ABS(Daromadlilik!K201)/J223</f>
        <v>2.47775466126704E-011</v>
      </c>
      <c r="P223" s="52" t="n">
        <f aca="false">ABS(Daromadlilik!L201)/K223</f>
        <v>1.53618173863604E-011</v>
      </c>
    </row>
    <row r="224" customFormat="false" ht="15" hidden="false" customHeight="false" outlineLevel="0" collapsed="false">
      <c r="G224" s="19" t="n">
        <f aca="false">Daromadlilik!A202</f>
        <v>45574</v>
      </c>
      <c r="H224" s="51" t="n">
        <f aca="false">Hajmlar!B203*Narxlar!C203</f>
        <v>2084112800</v>
      </c>
      <c r="I224" s="51" t="n">
        <f aca="false">Hajmlar!C203*Narxlar!D203</f>
        <v>1160018800</v>
      </c>
      <c r="J224" s="51" t="n">
        <f aca="false">Hajmlar!D203*Narxlar!E203</f>
        <v>942388200</v>
      </c>
      <c r="K224" s="51" t="n">
        <f aca="false">Hajmlar!E203*Narxlar!F203</f>
        <v>445134200</v>
      </c>
      <c r="M224" s="52" t="n">
        <f aca="false">ABS(Daromadlilik!I202)/H224</f>
        <v>1.52201473171869E-011</v>
      </c>
      <c r="N224" s="52" t="n">
        <f aca="false">ABS(Daromadlilik!J202)/I224</f>
        <v>1.27944500813266E-012</v>
      </c>
      <c r="O224" s="52" t="n">
        <f aca="false">ABS(Daromadlilik!K202)/J224</f>
        <v>0</v>
      </c>
      <c r="P224" s="52" t="n">
        <f aca="false">ABS(Daromadlilik!L202)/K224</f>
        <v>2.3946667803624E-011</v>
      </c>
    </row>
    <row r="225" customFormat="false" ht="15" hidden="false" customHeight="false" outlineLevel="0" collapsed="false">
      <c r="G225" s="19" t="n">
        <f aca="false">Daromadlilik!A203</f>
        <v>45575</v>
      </c>
      <c r="H225" s="51" t="n">
        <f aca="false">Hajmlar!B204*Narxlar!C204</f>
        <v>898286400</v>
      </c>
      <c r="I225" s="51" t="n">
        <f aca="false">Hajmlar!C204*Narxlar!D204</f>
        <v>871444800</v>
      </c>
      <c r="J225" s="51" t="n">
        <f aca="false">Hajmlar!D204*Narxlar!E204</f>
        <v>836391000</v>
      </c>
      <c r="K225" s="51" t="n">
        <f aca="false">Hajmlar!E204*Narxlar!F204</f>
        <v>1698008200</v>
      </c>
      <c r="M225" s="52" t="n">
        <f aca="false">ABS(Daromadlilik!I203)/H225</f>
        <v>2.10969180763578E-011</v>
      </c>
      <c r="N225" s="52" t="n">
        <f aca="false">ABS(Daromadlilik!J203)/I225</f>
        <v>6.78733837754987E-012</v>
      </c>
      <c r="O225" s="52" t="n">
        <f aca="false">ABS(Daromadlilik!K203)/J225</f>
        <v>1.05132883142518E-011</v>
      </c>
      <c r="P225" s="52" t="n">
        <f aca="false">ABS(Daromadlilik!L203)/K225</f>
        <v>1.56658517108183E-011</v>
      </c>
    </row>
    <row r="226" customFormat="false" ht="15" hidden="false" customHeight="false" outlineLevel="0" collapsed="false">
      <c r="G226" s="19" t="n">
        <f aca="false">Daromadlilik!A204</f>
        <v>45576</v>
      </c>
      <c r="H226" s="51" t="n">
        <f aca="false">Hajmlar!B205*Narxlar!C205</f>
        <v>2811604400</v>
      </c>
      <c r="I226" s="51" t="n">
        <f aca="false">Hajmlar!C205*Narxlar!D205</f>
        <v>2814769800</v>
      </c>
      <c r="J226" s="51" t="n">
        <f aca="false">Hajmlar!D205*Narxlar!E205</f>
        <v>1871138500</v>
      </c>
      <c r="K226" s="51" t="n">
        <f aca="false">Hajmlar!E205*Narxlar!F205</f>
        <v>706428800</v>
      </c>
      <c r="M226" s="52" t="n">
        <f aca="false">ABS(Daromadlilik!I204)/H226</f>
        <v>2.29726095898174E-012</v>
      </c>
      <c r="N226" s="52" t="n">
        <f aca="false">ABS(Daromadlilik!J204)/I226</f>
        <v>2.94056840087305E-012</v>
      </c>
      <c r="O226" s="52" t="n">
        <f aca="false">ABS(Daromadlilik!K204)/J226</f>
        <v>5.300873101766E-013</v>
      </c>
      <c r="P226" s="52" t="n">
        <f aca="false">ABS(Daromadlilik!L204)/K226</f>
        <v>1.31807206622974E-011</v>
      </c>
    </row>
    <row r="227" customFormat="false" ht="15" hidden="false" customHeight="false" outlineLevel="0" collapsed="false">
      <c r="G227" s="19" t="n">
        <f aca="false">Daromadlilik!A205</f>
        <v>45579</v>
      </c>
      <c r="H227" s="51" t="n">
        <f aca="false">Hajmlar!B206*Narxlar!C206</f>
        <v>805334000</v>
      </c>
      <c r="I227" s="51" t="n">
        <f aca="false">Hajmlar!C206*Narxlar!D206</f>
        <v>1574188000</v>
      </c>
      <c r="J227" s="51" t="n">
        <f aca="false">Hajmlar!D206*Narxlar!E206</f>
        <v>752538600</v>
      </c>
      <c r="K227" s="51" t="n">
        <f aca="false">Hajmlar!E206*Narxlar!F206</f>
        <v>1070282400</v>
      </c>
      <c r="M227" s="52" t="n">
        <f aca="false">ABS(Daromadlilik!I205)/H227</f>
        <v>4.04938029407701E-012</v>
      </c>
      <c r="N227" s="52" t="n">
        <f aca="false">ABS(Daromadlilik!J205)/I227</f>
        <v>1.71723496518816E-013</v>
      </c>
      <c r="O227" s="52" t="n">
        <f aca="false">ABS(Daromadlilik!K205)/J227</f>
        <v>1.44126737278199E-011</v>
      </c>
      <c r="P227" s="52" t="n">
        <f aca="false">ABS(Daromadlilik!L205)/K227</f>
        <v>9.33425720043339E-012</v>
      </c>
    </row>
    <row r="228" customFormat="false" ht="15" hidden="false" customHeight="false" outlineLevel="0" collapsed="false">
      <c r="G228" s="19" t="n">
        <f aca="false">Daromadlilik!A206</f>
        <v>45580</v>
      </c>
      <c r="H228" s="51" t="n">
        <f aca="false">Hajmlar!B207*Narxlar!C207</f>
        <v>1040738700</v>
      </c>
      <c r="I228" s="51" t="n">
        <f aca="false">Hajmlar!C207*Narxlar!D207</f>
        <v>726788800</v>
      </c>
      <c r="J228" s="51" t="n">
        <f aca="false">Hajmlar!D207*Narxlar!E207</f>
        <v>691200000</v>
      </c>
      <c r="K228" s="51" t="n">
        <f aca="false">Hajmlar!E207*Narxlar!F207</f>
        <v>912473400</v>
      </c>
      <c r="M228" s="52" t="n">
        <f aca="false">ABS(Daromadlilik!I206)/H228</f>
        <v>4.07181313256602E-012</v>
      </c>
      <c r="N228" s="52" t="n">
        <f aca="false">ABS(Daromadlilik!J206)/I228</f>
        <v>1.32695952335602E-011</v>
      </c>
      <c r="O228" s="52" t="n">
        <f aca="false">ABS(Daromadlilik!K206)/J228</f>
        <v>6.08805010022135E-012</v>
      </c>
      <c r="P228" s="52" t="n">
        <f aca="false">ABS(Daromadlilik!L206)/K228</f>
        <v>1.89504526143524E-011</v>
      </c>
    </row>
    <row r="229" customFormat="false" ht="15" hidden="false" customHeight="false" outlineLevel="0" collapsed="false">
      <c r="G229" s="19" t="n">
        <f aca="false">Daromadlilik!A207</f>
        <v>45581</v>
      </c>
      <c r="H229" s="51" t="n">
        <f aca="false">Hajmlar!B208*Narxlar!C208</f>
        <v>739526400</v>
      </c>
      <c r="I229" s="51" t="n">
        <f aca="false">Hajmlar!C208*Narxlar!D208</f>
        <v>1795403000</v>
      </c>
      <c r="J229" s="51" t="n">
        <f aca="false">Hajmlar!D208*Narxlar!E208</f>
        <v>665679300</v>
      </c>
      <c r="K229" s="51" t="n">
        <f aca="false">Hajmlar!E208*Narxlar!F208</f>
        <v>740524800</v>
      </c>
      <c r="M229" s="52" t="n">
        <f aca="false">ABS(Daromadlilik!I207)/H229</f>
        <v>1.84126270179376E-012</v>
      </c>
      <c r="N229" s="52" t="n">
        <f aca="false">ABS(Daromadlilik!J207)/I229</f>
        <v>8.44517064020528E-012</v>
      </c>
      <c r="O229" s="52" t="n">
        <f aca="false">ABS(Daromadlilik!K207)/J229</f>
        <v>2.4918601403292E-012</v>
      </c>
      <c r="P229" s="52" t="n">
        <f aca="false">ABS(Daromadlilik!L207)/K229</f>
        <v>4.39866143426712E-011</v>
      </c>
    </row>
    <row r="230" customFormat="false" ht="15" hidden="false" customHeight="false" outlineLevel="0" collapsed="false">
      <c r="G230" s="19" t="n">
        <f aca="false">Daromadlilik!A208</f>
        <v>45582</v>
      </c>
      <c r="H230" s="51" t="n">
        <f aca="false">Hajmlar!B209*Narxlar!C209</f>
        <v>1848253500</v>
      </c>
      <c r="I230" s="51" t="n">
        <f aca="false">Hajmlar!C209*Narxlar!D209</f>
        <v>1859284600</v>
      </c>
      <c r="J230" s="51" t="n">
        <f aca="false">Hajmlar!D209*Narxlar!E209</f>
        <v>1004272500</v>
      </c>
      <c r="K230" s="51" t="n">
        <f aca="false">Hajmlar!E209*Narxlar!F209</f>
        <v>988545600</v>
      </c>
      <c r="M230" s="52" t="n">
        <f aca="false">ABS(Daromadlilik!I208)/H230</f>
        <v>7.6882028455172E-012</v>
      </c>
      <c r="N230" s="52" t="n">
        <f aca="false">ABS(Daromadlilik!J208)/I230</f>
        <v>2.62085569103378E-012</v>
      </c>
      <c r="O230" s="52" t="n">
        <f aca="false">ABS(Daromadlilik!K208)/J230</f>
        <v>7.99251995510708E-012</v>
      </c>
      <c r="P230" s="52" t="n">
        <f aca="false">ABS(Daromadlilik!L208)/K230</f>
        <v>1.71382407976181E-011</v>
      </c>
    </row>
    <row r="231" customFormat="false" ht="15" hidden="false" customHeight="false" outlineLevel="0" collapsed="false">
      <c r="G231" s="19" t="n">
        <f aca="false">Daromadlilik!A209</f>
        <v>45583</v>
      </c>
      <c r="H231" s="51" t="n">
        <f aca="false">Hajmlar!B210*Narxlar!C210</f>
        <v>1628394000</v>
      </c>
      <c r="I231" s="51" t="n">
        <f aca="false">Hajmlar!C210*Narxlar!D210</f>
        <v>1232426000</v>
      </c>
      <c r="J231" s="51" t="n">
        <f aca="false">Hajmlar!D210*Narxlar!E210</f>
        <v>1187776200</v>
      </c>
      <c r="K231" s="51" t="n">
        <f aca="false">Hajmlar!E210*Narxlar!F210</f>
        <v>617064700</v>
      </c>
      <c r="M231" s="52" t="n">
        <f aca="false">ABS(Daromadlilik!I209)/H231</f>
        <v>7.05724342196022E-012</v>
      </c>
      <c r="N231" s="52" t="n">
        <f aca="false">ABS(Daromadlilik!J209)/I231</f>
        <v>5.92404264387691E-012</v>
      </c>
      <c r="O231" s="52" t="n">
        <f aca="false">ABS(Daromadlilik!K209)/J231</f>
        <v>7.49613673809321E-012</v>
      </c>
      <c r="P231" s="52" t="n">
        <f aca="false">ABS(Daromadlilik!L209)/K231</f>
        <v>3.76559684521486E-011</v>
      </c>
    </row>
    <row r="232" customFormat="false" ht="15" hidden="false" customHeight="false" outlineLevel="0" collapsed="false">
      <c r="G232" s="19" t="n">
        <f aca="false">Daromadlilik!A210</f>
        <v>45586</v>
      </c>
      <c r="H232" s="51" t="n">
        <f aca="false">Hajmlar!B211*Narxlar!C211</f>
        <v>2173137600</v>
      </c>
      <c r="I232" s="51" t="n">
        <f aca="false">Hajmlar!C211*Narxlar!D211</f>
        <v>1541871600</v>
      </c>
      <c r="J232" s="51" t="n">
        <f aca="false">Hajmlar!D211*Narxlar!E211</f>
        <v>2417785700</v>
      </c>
      <c r="K232" s="51" t="n">
        <f aca="false">Hajmlar!E211*Narxlar!F211</f>
        <v>332792400</v>
      </c>
      <c r="M232" s="52" t="n">
        <f aca="false">ABS(Daromadlilik!I210)/H232</f>
        <v>6.7971042723241E-012</v>
      </c>
      <c r="N232" s="52" t="n">
        <f aca="false">ABS(Daromadlilik!J210)/I232</f>
        <v>1.77691530798493E-012</v>
      </c>
      <c r="O232" s="52" t="n">
        <f aca="false">ABS(Daromadlilik!K210)/J232</f>
        <v>6.03925437403335E-012</v>
      </c>
      <c r="P232" s="52" t="n">
        <f aca="false">ABS(Daromadlilik!L210)/K232</f>
        <v>5.88583803789714E-012</v>
      </c>
    </row>
    <row r="233" customFormat="false" ht="15" hidden="false" customHeight="false" outlineLevel="0" collapsed="false">
      <c r="G233" s="19" t="n">
        <f aca="false">Daromadlilik!A211</f>
        <v>45587</v>
      </c>
      <c r="H233" s="51" t="n">
        <f aca="false">Hajmlar!B212*Narxlar!C212</f>
        <v>1659188100</v>
      </c>
      <c r="I233" s="51" t="n">
        <f aca="false">Hajmlar!C212*Narxlar!D212</f>
        <v>1307066000</v>
      </c>
      <c r="J233" s="51" t="n">
        <f aca="false">Hajmlar!D212*Narxlar!E212</f>
        <v>2624076000</v>
      </c>
      <c r="K233" s="51" t="n">
        <f aca="false">Hajmlar!E212*Narxlar!F212</f>
        <v>649906400</v>
      </c>
      <c r="M233" s="52" t="n">
        <f aca="false">ABS(Daromadlilik!I211)/H233</f>
        <v>1.85974542186009E-011</v>
      </c>
      <c r="N233" s="52" t="n">
        <f aca="false">ABS(Daromadlilik!J211)/I233</f>
        <v>2.22898582285692E-012</v>
      </c>
      <c r="O233" s="52" t="n">
        <f aca="false">ABS(Daromadlilik!K211)/J233</f>
        <v>4.11163363544822E-012</v>
      </c>
      <c r="P233" s="52" t="n">
        <f aca="false">ABS(Daromadlilik!L211)/K233</f>
        <v>8.18407712920402E-012</v>
      </c>
    </row>
    <row r="234" customFormat="false" ht="15" hidden="false" customHeight="false" outlineLevel="0" collapsed="false">
      <c r="G234" s="19" t="n">
        <f aca="false">Daromadlilik!A212</f>
        <v>45588</v>
      </c>
      <c r="H234" s="51" t="n">
        <f aca="false">Hajmlar!B213*Narxlar!C213</f>
        <v>2784217500</v>
      </c>
      <c r="I234" s="51" t="n">
        <f aca="false">Hajmlar!C213*Narxlar!D213</f>
        <v>1244268800</v>
      </c>
      <c r="J234" s="51" t="n">
        <f aca="false">Hajmlar!D213*Narxlar!E213</f>
        <v>1503872200</v>
      </c>
      <c r="K234" s="51" t="n">
        <f aca="false">Hajmlar!E213*Narxlar!F213</f>
        <v>1174045500</v>
      </c>
      <c r="M234" s="52" t="n">
        <f aca="false">ABS(Daromadlilik!I212)/H234</f>
        <v>5.1887035310267E-012</v>
      </c>
      <c r="N234" s="52" t="n">
        <f aca="false">ABS(Daromadlilik!J212)/I234</f>
        <v>1.50884801121382E-012</v>
      </c>
      <c r="O234" s="52" t="n">
        <f aca="false">ABS(Daromadlilik!K212)/J234</f>
        <v>1.19148181276425E-011</v>
      </c>
      <c r="P234" s="52" t="n">
        <f aca="false">ABS(Daromadlilik!L212)/K234</f>
        <v>1.02723092673251E-011</v>
      </c>
    </row>
    <row r="235" customFormat="false" ht="15" hidden="false" customHeight="false" outlineLevel="0" collapsed="false">
      <c r="G235" s="19" t="n">
        <f aca="false">Daromadlilik!A213</f>
        <v>45589</v>
      </c>
      <c r="H235" s="51" t="n">
        <f aca="false">Hajmlar!B214*Narxlar!C214</f>
        <v>1241734000</v>
      </c>
      <c r="I235" s="51" t="n">
        <f aca="false">Hajmlar!C214*Narxlar!D214</f>
        <v>1891923100</v>
      </c>
      <c r="J235" s="51" t="n">
        <f aca="false">Hajmlar!D214*Narxlar!E214</f>
        <v>1189232000</v>
      </c>
      <c r="K235" s="51" t="n">
        <f aca="false">Hajmlar!E214*Narxlar!F214</f>
        <v>578043100</v>
      </c>
      <c r="M235" s="52" t="n">
        <f aca="false">ABS(Daromadlilik!I213)/H235</f>
        <v>5.49195267243678E-012</v>
      </c>
      <c r="N235" s="52" t="n">
        <f aca="false">ABS(Daromadlilik!J213)/I235</f>
        <v>4.96864625600353E-013</v>
      </c>
      <c r="O235" s="52" t="n">
        <f aca="false">ABS(Daromadlilik!K213)/J235</f>
        <v>7.43097553197518E-012</v>
      </c>
      <c r="P235" s="52" t="n">
        <f aca="false">ABS(Daromadlilik!L213)/K235</f>
        <v>1.29732842132067E-011</v>
      </c>
    </row>
    <row r="236" customFormat="false" ht="15" hidden="false" customHeight="false" outlineLevel="0" collapsed="false">
      <c r="G236" s="19" t="n">
        <f aca="false">Daromadlilik!A214</f>
        <v>45590</v>
      </c>
      <c r="H236" s="51" t="n">
        <f aca="false">Hajmlar!B215*Narxlar!C215</f>
        <v>852143500</v>
      </c>
      <c r="I236" s="51" t="n">
        <f aca="false">Hajmlar!C215*Narxlar!D215</f>
        <v>930722400</v>
      </c>
      <c r="J236" s="51" t="n">
        <f aca="false">Hajmlar!D215*Narxlar!E215</f>
        <v>663797200</v>
      </c>
      <c r="K236" s="51" t="n">
        <f aca="false">Hajmlar!E215*Narxlar!F215</f>
        <v>757029000</v>
      </c>
      <c r="M236" s="52" t="n">
        <f aca="false">ABS(Daromadlilik!I214)/H236</f>
        <v>2.49476919762431E-012</v>
      </c>
      <c r="N236" s="52" t="n">
        <f aca="false">ABS(Daromadlilik!J214)/I236</f>
        <v>6.36036644855561E-013</v>
      </c>
      <c r="O236" s="52" t="n">
        <f aca="false">ABS(Daromadlilik!K214)/J236</f>
        <v>3.53082398190961E-012</v>
      </c>
      <c r="P236" s="52" t="n">
        <f aca="false">ABS(Daromadlilik!L214)/K236</f>
        <v>1.85374757154195E-011</v>
      </c>
    </row>
    <row r="237" customFormat="false" ht="15" hidden="false" customHeight="false" outlineLevel="0" collapsed="false">
      <c r="G237" s="19" t="n">
        <f aca="false">Daromadlilik!A215</f>
        <v>45593</v>
      </c>
      <c r="H237" s="51" t="n">
        <f aca="false">Hajmlar!B216*Narxlar!C216</f>
        <v>2178007200</v>
      </c>
      <c r="I237" s="51" t="n">
        <f aca="false">Hajmlar!C216*Narxlar!D216</f>
        <v>1196244000</v>
      </c>
      <c r="J237" s="51" t="n">
        <f aca="false">Hajmlar!D216*Narxlar!E216</f>
        <v>724214800</v>
      </c>
      <c r="K237" s="51" t="n">
        <f aca="false">Hajmlar!E216*Narxlar!F216</f>
        <v>1024884700</v>
      </c>
      <c r="M237" s="52" t="n">
        <f aca="false">ABS(Daromadlilik!I215)/H237</f>
        <v>5.8470124862762E-012</v>
      </c>
      <c r="N237" s="52" t="n">
        <f aca="false">ABS(Daromadlilik!J215)/I237</f>
        <v>1.30807719673069E-011</v>
      </c>
      <c r="O237" s="52" t="n">
        <f aca="false">ABS(Daromadlilik!K215)/J237</f>
        <v>4.0441475901023E-012</v>
      </c>
      <c r="P237" s="52" t="n">
        <f aca="false">ABS(Daromadlilik!L215)/K237</f>
        <v>3.68759725633969E-012</v>
      </c>
    </row>
    <row r="238" customFormat="false" ht="15" hidden="false" customHeight="false" outlineLevel="0" collapsed="false">
      <c r="G238" s="19" t="n">
        <f aca="false">Daromadlilik!A216</f>
        <v>45594</v>
      </c>
      <c r="H238" s="51" t="n">
        <f aca="false">Hajmlar!B217*Narxlar!C217</f>
        <v>1867347600</v>
      </c>
      <c r="I238" s="51" t="n">
        <f aca="false">Hajmlar!C217*Narxlar!D217</f>
        <v>1353172800</v>
      </c>
      <c r="J238" s="51" t="n">
        <f aca="false">Hajmlar!D217*Narxlar!E217</f>
        <v>972535200</v>
      </c>
      <c r="K238" s="51" t="n">
        <f aca="false">Hajmlar!E217*Narxlar!F217</f>
        <v>1080945000</v>
      </c>
      <c r="M238" s="52" t="n">
        <f aca="false">ABS(Daromadlilik!I216)/H238</f>
        <v>4.31831955544788E-012</v>
      </c>
      <c r="N238" s="52" t="n">
        <f aca="false">ABS(Daromadlilik!J216)/I238</f>
        <v>3.85740382623472E-012</v>
      </c>
      <c r="O238" s="52" t="n">
        <f aca="false">ABS(Daromadlilik!K216)/J238</f>
        <v>1.00286794004324E-012</v>
      </c>
      <c r="P238" s="52" t="n">
        <f aca="false">ABS(Daromadlilik!L216)/K238</f>
        <v>2.49666849542882E-011</v>
      </c>
    </row>
    <row r="239" customFormat="false" ht="15" hidden="false" customHeight="false" outlineLevel="0" collapsed="false">
      <c r="G239" s="19" t="n">
        <f aca="false">Daromadlilik!A217</f>
        <v>45595</v>
      </c>
      <c r="H239" s="51" t="n">
        <f aca="false">Hajmlar!B218*Narxlar!C218</f>
        <v>2669883600</v>
      </c>
      <c r="I239" s="51" t="n">
        <f aca="false">Hajmlar!C218*Narxlar!D218</f>
        <v>1682982700</v>
      </c>
      <c r="J239" s="51" t="n">
        <f aca="false">Hajmlar!D218*Narxlar!E218</f>
        <v>914995200</v>
      </c>
      <c r="K239" s="51" t="n">
        <f aca="false">Hajmlar!E218*Narxlar!F218</f>
        <v>883247100</v>
      </c>
      <c r="M239" s="52" t="n">
        <f aca="false">ABS(Daromadlilik!I217)/H239</f>
        <v>6.24188535957989E-012</v>
      </c>
      <c r="N239" s="52" t="n">
        <f aca="false">ABS(Daromadlilik!J217)/I239</f>
        <v>1.11603500453327E-011</v>
      </c>
      <c r="O239" s="52" t="n">
        <f aca="false">ABS(Daromadlilik!K217)/J239</f>
        <v>5.95588344896748E-012</v>
      </c>
      <c r="P239" s="52" t="n">
        <f aca="false">ABS(Daromadlilik!L217)/K239</f>
        <v>3.978938472062E-011</v>
      </c>
    </row>
    <row r="240" customFormat="false" ht="15" hidden="false" customHeight="false" outlineLevel="0" collapsed="false">
      <c r="G240" s="19" t="n">
        <f aca="false">Daromadlilik!A218</f>
        <v>45596</v>
      </c>
      <c r="H240" s="51" t="n">
        <f aca="false">Hajmlar!B219*Narxlar!C219</f>
        <v>2199758400</v>
      </c>
      <c r="I240" s="51" t="n">
        <f aca="false">Hajmlar!C219*Narxlar!D219</f>
        <v>1008573600</v>
      </c>
      <c r="J240" s="51" t="n">
        <f aca="false">Hajmlar!D219*Narxlar!E219</f>
        <v>863769600</v>
      </c>
      <c r="K240" s="51" t="n">
        <f aca="false">Hajmlar!E219*Narxlar!F219</f>
        <v>579012000</v>
      </c>
      <c r="M240" s="52" t="n">
        <f aca="false">ABS(Daromadlilik!I218)/H240</f>
        <v>4.64816935445621E-012</v>
      </c>
      <c r="N240" s="52" t="n">
        <f aca="false">ABS(Daromadlilik!J218)/I240</f>
        <v>5.13295813854676E-013</v>
      </c>
      <c r="O240" s="52" t="n">
        <f aca="false">ABS(Daromadlilik!K218)/J240</f>
        <v>1.42929732909092E-011</v>
      </c>
      <c r="P240" s="52" t="n">
        <f aca="false">ABS(Daromadlilik!L218)/K240</f>
        <v>4.54577289986973E-012</v>
      </c>
    </row>
    <row r="241" customFormat="false" ht="15" hidden="false" customHeight="false" outlineLevel="0" collapsed="false">
      <c r="G241" s="19" t="n">
        <f aca="false">Daromadlilik!A219</f>
        <v>45597</v>
      </c>
      <c r="H241" s="51" t="n">
        <f aca="false">Hajmlar!B220*Narxlar!C220</f>
        <v>1596386000</v>
      </c>
      <c r="I241" s="51" t="n">
        <f aca="false">Hajmlar!C220*Narxlar!D220</f>
        <v>1922227300</v>
      </c>
      <c r="J241" s="51" t="n">
        <f aca="false">Hajmlar!D220*Narxlar!E220</f>
        <v>1092650400</v>
      </c>
      <c r="K241" s="51" t="n">
        <f aca="false">Hajmlar!E220*Narxlar!F220</f>
        <v>799386600</v>
      </c>
      <c r="M241" s="52" t="n">
        <f aca="false">ABS(Daromadlilik!I219)/H241</f>
        <v>1.14420832293373E-011</v>
      </c>
      <c r="N241" s="52" t="n">
        <f aca="false">ABS(Daromadlilik!J219)/I241</f>
        <v>2.93412531423912E-012</v>
      </c>
      <c r="O241" s="52" t="n">
        <f aca="false">ABS(Daromadlilik!K219)/J241</f>
        <v>2.97799073310082E-012</v>
      </c>
      <c r="P241" s="52" t="n">
        <f aca="false">ABS(Daromadlilik!L219)/K241</f>
        <v>2.38180441237217E-011</v>
      </c>
    </row>
    <row r="242" customFormat="false" ht="15" hidden="false" customHeight="false" outlineLevel="0" collapsed="false">
      <c r="G242" s="19" t="n">
        <f aca="false">Daromadlilik!A220</f>
        <v>45600</v>
      </c>
      <c r="H242" s="51" t="n">
        <f aca="false">Hajmlar!B221*Narxlar!C221</f>
        <v>1945343400</v>
      </c>
      <c r="I242" s="51" t="n">
        <f aca="false">Hajmlar!C221*Narxlar!D221</f>
        <v>1206189000</v>
      </c>
      <c r="J242" s="51" t="n">
        <f aca="false">Hajmlar!D221*Narxlar!E221</f>
        <v>1193306800</v>
      </c>
      <c r="K242" s="51" t="n">
        <f aca="false">Hajmlar!E221*Narxlar!F221</f>
        <v>1214179200</v>
      </c>
      <c r="M242" s="52" t="n">
        <f aca="false">ABS(Daromadlilik!I220)/H242</f>
        <v>3.32377854271403E-012</v>
      </c>
      <c r="N242" s="52" t="n">
        <f aca="false">ABS(Daromadlilik!J220)/I242</f>
        <v>9.04112767730147E-012</v>
      </c>
      <c r="O242" s="52" t="n">
        <f aca="false">ABS(Daromadlilik!K220)/J242</f>
        <v>1.59986199720387E-012</v>
      </c>
      <c r="P242" s="52" t="n">
        <f aca="false">ABS(Daromadlilik!L220)/K242</f>
        <v>3.44434912965703E-011</v>
      </c>
    </row>
    <row r="243" customFormat="false" ht="15" hidden="false" customHeight="false" outlineLevel="0" collapsed="false">
      <c r="G243" s="19" t="n">
        <f aca="false">Daromadlilik!A221</f>
        <v>45601</v>
      </c>
      <c r="H243" s="51" t="n">
        <f aca="false">Hajmlar!B222*Narxlar!C222</f>
        <v>953794800</v>
      </c>
      <c r="I243" s="51" t="n">
        <f aca="false">Hajmlar!C222*Narxlar!D222</f>
        <v>1870153500</v>
      </c>
      <c r="J243" s="51" t="n">
        <f aca="false">Hajmlar!D222*Narxlar!E222</f>
        <v>1479118900</v>
      </c>
      <c r="K243" s="51" t="n">
        <f aca="false">Hajmlar!E222*Narxlar!F222</f>
        <v>611514000</v>
      </c>
      <c r="M243" s="52" t="n">
        <f aca="false">ABS(Daromadlilik!I221)/H243</f>
        <v>2.96122693257939E-012</v>
      </c>
      <c r="N243" s="52" t="n">
        <f aca="false">ABS(Daromadlilik!J221)/I243</f>
        <v>4.2379462758528E-012</v>
      </c>
      <c r="O243" s="52" t="n">
        <f aca="false">ABS(Daromadlilik!K221)/J243</f>
        <v>4.98284324337259E-012</v>
      </c>
      <c r="P243" s="52" t="n">
        <f aca="false">ABS(Daromadlilik!L221)/K243</f>
        <v>1.9274680469372E-011</v>
      </c>
    </row>
    <row r="244" customFormat="false" ht="15" hidden="false" customHeight="false" outlineLevel="0" collapsed="false">
      <c r="G244" s="19" t="n">
        <f aca="false">Daromadlilik!A222</f>
        <v>45602</v>
      </c>
      <c r="H244" s="51" t="n">
        <f aca="false">Hajmlar!B223*Narxlar!C223</f>
        <v>961424100</v>
      </c>
      <c r="I244" s="51" t="n">
        <f aca="false">Hajmlar!C223*Narxlar!D223</f>
        <v>1330136100</v>
      </c>
      <c r="J244" s="51" t="n">
        <f aca="false">Hajmlar!D223*Narxlar!E223</f>
        <v>1659201600</v>
      </c>
      <c r="K244" s="51" t="n">
        <f aca="false">Hajmlar!E223*Narxlar!F223</f>
        <v>458484000</v>
      </c>
      <c r="M244" s="52" t="n">
        <f aca="false">ABS(Daromadlilik!I222)/H244</f>
        <v>8.2867371255308E-012</v>
      </c>
      <c r="N244" s="52" t="n">
        <f aca="false">ABS(Daromadlilik!J222)/I244</f>
        <v>1.92223878931354E-012</v>
      </c>
      <c r="O244" s="52" t="n">
        <f aca="false">ABS(Daromadlilik!K222)/J244</f>
        <v>4.5569688023851E-012</v>
      </c>
      <c r="P244" s="52" t="n">
        <f aca="false">ABS(Daromadlilik!L222)/K244</f>
        <v>1.43952575494819E-011</v>
      </c>
    </row>
    <row r="245" customFormat="false" ht="15" hidden="false" customHeight="false" outlineLevel="0" collapsed="false">
      <c r="G245" s="19" t="n">
        <f aca="false">Daromadlilik!A223</f>
        <v>45603</v>
      </c>
      <c r="H245" s="51" t="n">
        <f aca="false">Hajmlar!B224*Narxlar!C224</f>
        <v>4038773400</v>
      </c>
      <c r="I245" s="51" t="n">
        <f aca="false">Hajmlar!C224*Narxlar!D224</f>
        <v>1486364100</v>
      </c>
      <c r="J245" s="51" t="n">
        <f aca="false">Hajmlar!D224*Narxlar!E224</f>
        <v>828648900</v>
      </c>
      <c r="K245" s="51" t="n">
        <f aca="false">Hajmlar!E224*Narxlar!F224</f>
        <v>1283500000</v>
      </c>
      <c r="M245" s="52" t="n">
        <f aca="false">ABS(Daromadlilik!I223)/H245</f>
        <v>5.89190725330911E-012</v>
      </c>
      <c r="N245" s="52" t="n">
        <f aca="false">ABS(Daromadlilik!J223)/I245</f>
        <v>7.94018400954582E-012</v>
      </c>
      <c r="O245" s="52" t="n">
        <f aca="false">ABS(Daromadlilik!K223)/J245</f>
        <v>1.08818024741101E-011</v>
      </c>
      <c r="P245" s="52" t="n">
        <f aca="false">ABS(Daromadlilik!L223)/K245</f>
        <v>9.37535582647709E-012</v>
      </c>
    </row>
    <row r="246" customFormat="false" ht="15" hidden="false" customHeight="false" outlineLevel="0" collapsed="false">
      <c r="G246" s="19" t="n">
        <f aca="false">Daromadlilik!A224</f>
        <v>45604</v>
      </c>
      <c r="H246" s="51" t="n">
        <f aca="false">Hajmlar!B225*Narxlar!C225</f>
        <v>832870800</v>
      </c>
      <c r="I246" s="51" t="n">
        <f aca="false">Hajmlar!C225*Narxlar!D225</f>
        <v>1148580000</v>
      </c>
      <c r="J246" s="51" t="n">
        <f aca="false">Hajmlar!D225*Narxlar!E225</f>
        <v>1935129600</v>
      </c>
      <c r="K246" s="51" t="n">
        <f aca="false">Hajmlar!E225*Narxlar!F225</f>
        <v>446181600</v>
      </c>
      <c r="M246" s="52" t="n">
        <f aca="false">ABS(Daromadlilik!I224)/H246</f>
        <v>3.3832957342479E-012</v>
      </c>
      <c r="N246" s="52" t="n">
        <f aca="false">ABS(Daromadlilik!J224)/I246</f>
        <v>8.52332760261891E-012</v>
      </c>
      <c r="O246" s="52" t="n">
        <f aca="false">ABS(Daromadlilik!K224)/J246</f>
        <v>1.50619417405268E-011</v>
      </c>
      <c r="P246" s="52" t="n">
        <f aca="false">ABS(Daromadlilik!L224)/K246</f>
        <v>3.67795728937317E-012</v>
      </c>
    </row>
    <row r="247" customFormat="false" ht="15" hidden="false" customHeight="false" outlineLevel="0" collapsed="false">
      <c r="G247" s="19" t="n">
        <f aca="false">Daromadlilik!A225</f>
        <v>45607</v>
      </c>
      <c r="H247" s="51" t="n">
        <f aca="false">Hajmlar!B226*Narxlar!C226</f>
        <v>4162967600</v>
      </c>
      <c r="I247" s="51" t="n">
        <f aca="false">Hajmlar!C226*Narxlar!D226</f>
        <v>949619600</v>
      </c>
      <c r="J247" s="51" t="n">
        <f aca="false">Hajmlar!D226*Narxlar!E226</f>
        <v>1143649500</v>
      </c>
      <c r="K247" s="51" t="n">
        <f aca="false">Hajmlar!E226*Narxlar!F226</f>
        <v>761532000</v>
      </c>
      <c r="M247" s="52" t="n">
        <f aca="false">ABS(Daromadlilik!I225)/H247</f>
        <v>4.17753890742653E-012</v>
      </c>
      <c r="N247" s="52" t="n">
        <f aca="false">ABS(Daromadlilik!J225)/I247</f>
        <v>8.98455104093104E-012</v>
      </c>
      <c r="O247" s="52" t="n">
        <f aca="false">ABS(Daromadlilik!K225)/J247</f>
        <v>5.51972650947246E-012</v>
      </c>
      <c r="P247" s="52" t="n">
        <f aca="false">ABS(Daromadlilik!L225)/K247</f>
        <v>1.6846592968707E-011</v>
      </c>
    </row>
    <row r="248" customFormat="false" ht="15" hidden="false" customHeight="false" outlineLevel="0" collapsed="false">
      <c r="G248" s="19" t="n">
        <f aca="false">Daromadlilik!A226</f>
        <v>45608</v>
      </c>
      <c r="H248" s="51" t="n">
        <f aca="false">Hajmlar!B227*Narxlar!C227</f>
        <v>1897398000</v>
      </c>
      <c r="I248" s="51" t="n">
        <f aca="false">Hajmlar!C227*Narxlar!D227</f>
        <v>1225140000</v>
      </c>
      <c r="J248" s="51" t="n">
        <f aca="false">Hajmlar!D227*Narxlar!E227</f>
        <v>1095039000</v>
      </c>
      <c r="K248" s="51" t="n">
        <f aca="false">Hajmlar!E227*Narxlar!F227</f>
        <v>391356000</v>
      </c>
      <c r="M248" s="52" t="n">
        <f aca="false">ABS(Daromadlilik!I226)/H248</f>
        <v>3.27138511924582E-012</v>
      </c>
      <c r="N248" s="52" t="n">
        <f aca="false">ABS(Daromadlilik!J226)/I248</f>
        <v>1.60219864260695E-011</v>
      </c>
      <c r="O248" s="52" t="n">
        <f aca="false">ABS(Daromadlilik!K226)/J248</f>
        <v>7.96047086018455E-012</v>
      </c>
      <c r="P248" s="52" t="n">
        <f aca="false">ABS(Daromadlilik!L226)/K248</f>
        <v>3.9731559296315E-012</v>
      </c>
    </row>
    <row r="249" customFormat="false" ht="15" hidden="false" customHeight="false" outlineLevel="0" collapsed="false">
      <c r="G249" s="19" t="n">
        <f aca="false">Daromadlilik!A227</f>
        <v>45609</v>
      </c>
      <c r="H249" s="51" t="n">
        <f aca="false">Hajmlar!B228*Narxlar!C228</f>
        <v>1299195300</v>
      </c>
      <c r="I249" s="51" t="n">
        <f aca="false">Hajmlar!C228*Narxlar!D228</f>
        <v>1713636600</v>
      </c>
      <c r="J249" s="51" t="n">
        <f aca="false">Hajmlar!D228*Narxlar!E228</f>
        <v>733653600</v>
      </c>
      <c r="K249" s="51" t="n">
        <f aca="false">Hajmlar!E228*Narxlar!F228</f>
        <v>709911900</v>
      </c>
      <c r="M249" s="52" t="n">
        <f aca="false">ABS(Daromadlilik!I227)/H249</f>
        <v>5.47762134184975E-012</v>
      </c>
      <c r="N249" s="52" t="n">
        <f aca="false">ABS(Daromadlilik!J227)/I249</f>
        <v>1.52238609303736E-012</v>
      </c>
      <c r="O249" s="52" t="n">
        <f aca="false">ABS(Daromadlilik!K227)/J249</f>
        <v>1.4795562770758E-012</v>
      </c>
      <c r="P249" s="52" t="n">
        <f aca="false">ABS(Daromadlilik!L227)/K249</f>
        <v>1.86031430042741E-011</v>
      </c>
    </row>
    <row r="250" customFormat="false" ht="15" hidden="false" customHeight="false" outlineLevel="0" collapsed="false">
      <c r="G250" s="19" t="n">
        <f aca="false">Daromadlilik!A228</f>
        <v>45610</v>
      </c>
      <c r="H250" s="51" t="n">
        <f aca="false">Hajmlar!B229*Narxlar!C229</f>
        <v>1122879600</v>
      </c>
      <c r="I250" s="51" t="n">
        <f aca="false">Hajmlar!C229*Narxlar!D229</f>
        <v>1184255400</v>
      </c>
      <c r="J250" s="51" t="n">
        <f aca="false">Hajmlar!D229*Narxlar!E229</f>
        <v>1046784000</v>
      </c>
      <c r="K250" s="51" t="n">
        <f aca="false">Hajmlar!E229*Narxlar!F229</f>
        <v>583045400</v>
      </c>
      <c r="M250" s="52" t="n">
        <f aca="false">ABS(Daromadlilik!I228)/H250</f>
        <v>2.27310947113429E-011</v>
      </c>
      <c r="N250" s="52" t="n">
        <f aca="false">ABS(Daromadlilik!J228)/I250</f>
        <v>8.16596421007584E-012</v>
      </c>
      <c r="O250" s="52" t="n">
        <f aca="false">ABS(Daromadlilik!K228)/J250</f>
        <v>1.26198258062852E-011</v>
      </c>
      <c r="P250" s="52" t="n">
        <f aca="false">ABS(Daromadlilik!L228)/K250</f>
        <v>2.67389083592956E-011</v>
      </c>
    </row>
    <row r="251" customFormat="false" ht="15" hidden="false" customHeight="false" outlineLevel="0" collapsed="false">
      <c r="G251" s="19" t="n">
        <f aca="false">Daromadlilik!A229</f>
        <v>45611</v>
      </c>
      <c r="H251" s="51" t="n">
        <f aca="false">Hajmlar!B230*Narxlar!C230</f>
        <v>1381858600</v>
      </c>
      <c r="I251" s="51" t="n">
        <f aca="false">Hajmlar!C230*Narxlar!D230</f>
        <v>956624800</v>
      </c>
      <c r="J251" s="51" t="n">
        <f aca="false">Hajmlar!D230*Narxlar!E230</f>
        <v>1968174400</v>
      </c>
      <c r="K251" s="51" t="n">
        <f aca="false">Hajmlar!E230*Narxlar!F230</f>
        <v>967221000</v>
      </c>
      <c r="M251" s="52" t="n">
        <f aca="false">ABS(Daromadlilik!I229)/H251</f>
        <v>1.2844092885314E-012</v>
      </c>
      <c r="N251" s="52" t="n">
        <f aca="false">ABS(Daromadlilik!J229)/I251</f>
        <v>0</v>
      </c>
      <c r="O251" s="52" t="n">
        <f aca="false">ABS(Daromadlilik!K229)/J251</f>
        <v>3.36605243128468E-012</v>
      </c>
      <c r="P251" s="52" t="n">
        <f aca="false">ABS(Daromadlilik!L229)/K251</f>
        <v>1.1223535447528E-011</v>
      </c>
    </row>
    <row r="252" customFormat="false" ht="15" hidden="false" customHeight="false" outlineLevel="0" collapsed="false">
      <c r="G252" s="19" t="n">
        <f aca="false">Daromadlilik!A230</f>
        <v>45614</v>
      </c>
      <c r="H252" s="51" t="n">
        <f aca="false">Hajmlar!B231*Narxlar!C231</f>
        <v>1166058800</v>
      </c>
      <c r="I252" s="51" t="n">
        <f aca="false">Hajmlar!C231*Narxlar!D231</f>
        <v>691896000</v>
      </c>
      <c r="J252" s="51" t="n">
        <f aca="false">Hajmlar!D231*Narxlar!E231</f>
        <v>944806000</v>
      </c>
      <c r="K252" s="51" t="n">
        <f aca="false">Hajmlar!E231*Narxlar!F231</f>
        <v>572799600</v>
      </c>
      <c r="M252" s="52" t="n">
        <f aca="false">ABS(Daromadlilik!I230)/H252</f>
        <v>4.9170875346471E-012</v>
      </c>
      <c r="N252" s="52" t="n">
        <f aca="false">ABS(Daromadlilik!J230)/I252</f>
        <v>7.52200935654675E-013</v>
      </c>
      <c r="O252" s="52" t="n">
        <f aca="false">ABS(Daromadlilik!K230)/J252</f>
        <v>7.59424016682822E-012</v>
      </c>
      <c r="P252" s="52" t="n">
        <f aca="false">ABS(Daromadlilik!L230)/K252</f>
        <v>2.28098450758799E-011</v>
      </c>
    </row>
    <row r="253" customFormat="false" ht="15" hidden="false" customHeight="false" outlineLevel="0" collapsed="false">
      <c r="G253" s="19" t="n">
        <f aca="false">Daromadlilik!A231</f>
        <v>45615</v>
      </c>
      <c r="H253" s="51" t="n">
        <f aca="false">Hajmlar!B232*Narxlar!C232</f>
        <v>1054981900</v>
      </c>
      <c r="I253" s="51" t="n">
        <f aca="false">Hajmlar!C232*Narxlar!D232</f>
        <v>877424400</v>
      </c>
      <c r="J253" s="51" t="n">
        <f aca="false">Hajmlar!D232*Narxlar!E232</f>
        <v>1720404400</v>
      </c>
      <c r="K253" s="51" t="n">
        <f aca="false">Hajmlar!E232*Narxlar!F232</f>
        <v>1148664000</v>
      </c>
      <c r="M253" s="52" t="n">
        <f aca="false">ABS(Daromadlilik!I231)/H253</f>
        <v>1.27300096309774E-011</v>
      </c>
      <c r="N253" s="52" t="n">
        <f aca="false">ABS(Daromadlilik!J231)/I253</f>
        <v>6.14416026472566E-012</v>
      </c>
      <c r="O253" s="52" t="n">
        <f aca="false">ABS(Daromadlilik!K231)/J253</f>
        <v>2.24197768901202E-012</v>
      </c>
      <c r="P253" s="52" t="n">
        <f aca="false">ABS(Daromadlilik!L231)/K253</f>
        <v>1.36484034194963E-011</v>
      </c>
    </row>
    <row r="254" customFormat="false" ht="15" hidden="false" customHeight="false" outlineLevel="0" collapsed="false">
      <c r="G254" s="19" t="n">
        <f aca="false">Daromadlilik!A232</f>
        <v>45616</v>
      </c>
      <c r="H254" s="51" t="n">
        <f aca="false">Hajmlar!B233*Narxlar!C233</f>
        <v>1661987500</v>
      </c>
      <c r="I254" s="51" t="n">
        <f aca="false">Hajmlar!C233*Narxlar!D233</f>
        <v>942552100</v>
      </c>
      <c r="J254" s="51" t="n">
        <f aca="false">Hajmlar!D233*Narxlar!E233</f>
        <v>1030617000</v>
      </c>
      <c r="K254" s="51" t="n">
        <f aca="false">Hajmlar!E233*Narxlar!F233</f>
        <v>659539200</v>
      </c>
      <c r="M254" s="52" t="n">
        <f aca="false">ABS(Daromadlilik!I232)/H254</f>
        <v>6.14779696389824E-012</v>
      </c>
      <c r="N254" s="52" t="n">
        <f aca="false">ABS(Daromadlilik!J232)/I254</f>
        <v>9.25413339430777E-013</v>
      </c>
      <c r="O254" s="52" t="n">
        <f aca="false">ABS(Daromadlilik!K232)/J254</f>
        <v>3.38671391968944E-012</v>
      </c>
      <c r="P254" s="52" t="n">
        <f aca="false">ABS(Daromadlilik!L232)/K254</f>
        <v>2.00384072580603E-011</v>
      </c>
    </row>
    <row r="255" customFormat="false" ht="15" hidden="false" customHeight="false" outlineLevel="0" collapsed="false">
      <c r="G255" s="19" t="n">
        <f aca="false">Daromadlilik!A233</f>
        <v>45617</v>
      </c>
      <c r="H255" s="51" t="n">
        <f aca="false">Hajmlar!B234*Narxlar!C234</f>
        <v>987525000</v>
      </c>
      <c r="I255" s="51" t="n">
        <f aca="false">Hajmlar!C234*Narxlar!D234</f>
        <v>744302000</v>
      </c>
      <c r="J255" s="51" t="n">
        <f aca="false">Hajmlar!D234*Narxlar!E234</f>
        <v>993600000</v>
      </c>
      <c r="K255" s="51" t="n">
        <f aca="false">Hajmlar!E234*Narxlar!F234</f>
        <v>573010400</v>
      </c>
      <c r="M255" s="52" t="n">
        <f aca="false">ABS(Daromadlilik!I233)/H255</f>
        <v>3.31080544393298E-012</v>
      </c>
      <c r="N255" s="52" t="n">
        <f aca="false">ABS(Daromadlilik!J233)/I255</f>
        <v>1.03212151561509E-012</v>
      </c>
      <c r="O255" s="52" t="n">
        <f aca="false">ABS(Daromadlilik!K233)/J255</f>
        <v>9.82987356450862E-012</v>
      </c>
      <c r="P255" s="52" t="n">
        <f aca="false">ABS(Daromadlilik!L233)/K255</f>
        <v>1.98248253704366E-012</v>
      </c>
    </row>
    <row r="256" customFormat="false" ht="15" hidden="false" customHeight="false" outlineLevel="0" collapsed="false">
      <c r="G256" s="19" t="n">
        <f aca="false">Daromadlilik!A234</f>
        <v>45618</v>
      </c>
      <c r="H256" s="51" t="n">
        <f aca="false">Hajmlar!B235*Narxlar!C235</f>
        <v>843561000</v>
      </c>
      <c r="I256" s="51" t="n">
        <f aca="false">Hajmlar!C235*Narxlar!D235</f>
        <v>1421635200</v>
      </c>
      <c r="J256" s="51" t="n">
        <f aca="false">Hajmlar!D235*Narxlar!E235</f>
        <v>1418695700</v>
      </c>
      <c r="K256" s="51" t="n">
        <f aca="false">Hajmlar!E235*Narxlar!F235</f>
        <v>444589200</v>
      </c>
      <c r="M256" s="52" t="n">
        <f aca="false">ABS(Daromadlilik!I234)/H256</f>
        <v>1.00250130319248E-011</v>
      </c>
      <c r="N256" s="52" t="n">
        <f aca="false">ABS(Daromadlilik!J234)/I256</f>
        <v>8.59485757364125E-013</v>
      </c>
      <c r="O256" s="52" t="n">
        <f aca="false">ABS(Daromadlilik!K234)/J256</f>
        <v>7.15013663522849E-012</v>
      </c>
      <c r="P256" s="52" t="n">
        <f aca="false">ABS(Daromadlilik!L234)/K256</f>
        <v>4.17492531753521E-011</v>
      </c>
    </row>
    <row r="257" customFormat="false" ht="15" hidden="false" customHeight="false" outlineLevel="0" collapsed="false">
      <c r="G257" s="19" t="n">
        <f aca="false">Daromadlilik!A235</f>
        <v>45621</v>
      </c>
      <c r="H257" s="51" t="n">
        <f aca="false">Hajmlar!B236*Narxlar!C236</f>
        <v>1005958100</v>
      </c>
      <c r="I257" s="51" t="n">
        <f aca="false">Hajmlar!C236*Narxlar!D236</f>
        <v>993446000</v>
      </c>
      <c r="J257" s="51" t="n">
        <f aca="false">Hajmlar!D236*Narxlar!E236</f>
        <v>599877300</v>
      </c>
      <c r="K257" s="51" t="n">
        <f aca="false">Hajmlar!E236*Narxlar!F236</f>
        <v>1158396900</v>
      </c>
      <c r="M257" s="52" t="n">
        <f aca="false">ABS(Daromadlilik!I235)/H257</f>
        <v>1.18421626467914E-011</v>
      </c>
      <c r="N257" s="52" t="n">
        <f aca="false">ABS(Daromadlilik!J235)/I257</f>
        <v>1.93739558730012E-011</v>
      </c>
      <c r="O257" s="52" t="n">
        <f aca="false">ABS(Daromadlilik!K235)/J257</f>
        <v>3.11823339800807E-013</v>
      </c>
      <c r="P257" s="52" t="n">
        <f aca="false">ABS(Daromadlilik!L235)/K257</f>
        <v>1.24684820822139E-011</v>
      </c>
    </row>
    <row r="258" customFormat="false" ht="15" hidden="false" customHeight="false" outlineLevel="0" collapsed="false">
      <c r="G258" s="19" t="n">
        <f aca="false">Daromadlilik!A236</f>
        <v>45622</v>
      </c>
      <c r="H258" s="51" t="n">
        <f aca="false">Hajmlar!B237*Narxlar!C237</f>
        <v>1267098200</v>
      </c>
      <c r="I258" s="51" t="n">
        <f aca="false">Hajmlar!C237*Narxlar!D237</f>
        <v>1714777900</v>
      </c>
      <c r="J258" s="51" t="n">
        <f aca="false">Hajmlar!D237*Narxlar!E237</f>
        <v>969150000</v>
      </c>
      <c r="K258" s="51" t="n">
        <f aca="false">Hajmlar!E237*Narxlar!F237</f>
        <v>864838800</v>
      </c>
      <c r="M258" s="52" t="n">
        <f aca="false">ABS(Daromadlilik!I236)/H258</f>
        <v>5.02481351681888E-012</v>
      </c>
      <c r="N258" s="52" t="n">
        <f aca="false">ABS(Daromadlilik!J236)/I258</f>
        <v>3.85914168937622E-012</v>
      </c>
      <c r="O258" s="52" t="n">
        <f aca="false">ABS(Daromadlilik!K236)/J258</f>
        <v>4.15769449423254E-012</v>
      </c>
      <c r="P258" s="52" t="n">
        <f aca="false">ABS(Daromadlilik!L236)/K258</f>
        <v>4.99723824789506E-012</v>
      </c>
    </row>
    <row r="259" customFormat="false" ht="15" hidden="false" customHeight="false" outlineLevel="0" collapsed="false">
      <c r="G259" s="19" t="n">
        <f aca="false">Daromadlilik!A237</f>
        <v>45623</v>
      </c>
      <c r="H259" s="51" t="n">
        <f aca="false">Hajmlar!B238*Narxlar!C238</f>
        <v>1908845400</v>
      </c>
      <c r="I259" s="51" t="n">
        <f aca="false">Hajmlar!C238*Narxlar!D238</f>
        <v>844704000</v>
      </c>
      <c r="J259" s="51" t="n">
        <f aca="false">Hajmlar!D238*Narxlar!E238</f>
        <v>1146171400</v>
      </c>
      <c r="K259" s="51" t="n">
        <f aca="false">Hajmlar!E238*Narxlar!F238</f>
        <v>623106000</v>
      </c>
      <c r="M259" s="52" t="n">
        <f aca="false">ABS(Daromadlilik!I237)/H259</f>
        <v>9.14209551124444E-012</v>
      </c>
      <c r="N259" s="52" t="n">
        <f aca="false">ABS(Daromadlilik!J237)/I259</f>
        <v>3.34539731626786E-012</v>
      </c>
      <c r="O259" s="52" t="n">
        <f aca="false">ABS(Daromadlilik!K237)/J259</f>
        <v>7.50446166064997E-012</v>
      </c>
      <c r="P259" s="52" t="n">
        <f aca="false">ABS(Daromadlilik!L237)/K259</f>
        <v>1.38752543139089E-011</v>
      </c>
    </row>
    <row r="260" customFormat="false" ht="15" hidden="false" customHeight="false" outlineLevel="0" collapsed="false">
      <c r="G260" s="19" t="n">
        <f aca="false">Daromadlilik!A238</f>
        <v>45624</v>
      </c>
      <c r="H260" s="51" t="n">
        <f aca="false">Hajmlar!B239*Narxlar!C239</f>
        <v>938060000</v>
      </c>
      <c r="I260" s="51" t="n">
        <f aca="false">Hajmlar!C239*Narxlar!D239</f>
        <v>637502400</v>
      </c>
      <c r="J260" s="51" t="n">
        <f aca="false">Hajmlar!D239*Narxlar!E239</f>
        <v>1220940000</v>
      </c>
      <c r="K260" s="51" t="n">
        <f aca="false">Hajmlar!E239*Narxlar!F239</f>
        <v>469920800</v>
      </c>
      <c r="M260" s="52" t="n">
        <f aca="false">ABS(Daromadlilik!I238)/H260</f>
        <v>5.1319036616322E-012</v>
      </c>
      <c r="N260" s="52" t="n">
        <f aca="false">ABS(Daromadlilik!J238)/I260</f>
        <v>9.80991452251502E-012</v>
      </c>
      <c r="O260" s="52" t="n">
        <f aca="false">ABS(Daromadlilik!K238)/J260</f>
        <v>2.44353287107489E-012</v>
      </c>
      <c r="P260" s="52" t="n">
        <f aca="false">ABS(Daromadlilik!L238)/K260</f>
        <v>3.9379268939641E-012</v>
      </c>
    </row>
    <row r="261" customFormat="false" ht="15" hidden="false" customHeight="false" outlineLevel="0" collapsed="false">
      <c r="G261" s="19" t="n">
        <f aca="false">Daromadlilik!A239</f>
        <v>45625</v>
      </c>
      <c r="H261" s="51" t="n">
        <f aca="false">Hajmlar!B240*Narxlar!C240</f>
        <v>791466400</v>
      </c>
      <c r="I261" s="51" t="n">
        <f aca="false">Hajmlar!C240*Narxlar!D240</f>
        <v>1211188800</v>
      </c>
      <c r="J261" s="51" t="n">
        <f aca="false">Hajmlar!D240*Narxlar!E240</f>
        <v>1114795700</v>
      </c>
      <c r="K261" s="51" t="n">
        <f aca="false">Hajmlar!E240*Narxlar!F240</f>
        <v>439001600</v>
      </c>
      <c r="M261" s="52" t="n">
        <f aca="false">ABS(Daromadlilik!I239)/H261</f>
        <v>2.05908558598513E-012</v>
      </c>
      <c r="N261" s="52" t="n">
        <f aca="false">ABS(Daromadlilik!J239)/I261</f>
        <v>4.79762293154908E-012</v>
      </c>
      <c r="O261" s="52" t="n">
        <f aca="false">ABS(Daromadlilik!K239)/J261</f>
        <v>8.6686053205302E-012</v>
      </c>
      <c r="P261" s="52" t="n">
        <f aca="false">ABS(Daromadlilik!L239)/K261</f>
        <v>1.69395517793199E-011</v>
      </c>
    </row>
    <row r="262" customFormat="false" ht="15" hidden="false" customHeight="false" outlineLevel="0" collapsed="false">
      <c r="G262" s="19" t="n">
        <f aca="false">Daromadlilik!A240</f>
        <v>45628</v>
      </c>
      <c r="H262" s="51" t="n">
        <f aca="false">Hajmlar!B241*Narxlar!C241</f>
        <v>1659184300</v>
      </c>
      <c r="I262" s="51" t="n">
        <f aca="false">Hajmlar!C241*Narxlar!D241</f>
        <v>1105687500</v>
      </c>
      <c r="J262" s="51" t="n">
        <f aca="false">Hajmlar!D241*Narxlar!E241</f>
        <v>1058464000</v>
      </c>
      <c r="K262" s="51" t="n">
        <f aca="false">Hajmlar!E241*Narxlar!F241</f>
        <v>1303982400</v>
      </c>
      <c r="M262" s="52" t="n">
        <f aca="false">ABS(Daromadlilik!I240)/H262</f>
        <v>4.09067095274084E-013</v>
      </c>
      <c r="N262" s="52" t="n">
        <f aca="false">ABS(Daromadlilik!J240)/I262</f>
        <v>6.14449810647744E-012</v>
      </c>
      <c r="O262" s="52" t="n">
        <f aca="false">ABS(Daromadlilik!K240)/J262</f>
        <v>5.59480982851457E-012</v>
      </c>
      <c r="P262" s="52" t="n">
        <f aca="false">ABS(Daromadlilik!L240)/K262</f>
        <v>2.73358425932533E-011</v>
      </c>
    </row>
    <row r="263" customFormat="false" ht="15" hidden="false" customHeight="false" outlineLevel="0" collapsed="false">
      <c r="G263" s="19" t="n">
        <f aca="false">Daromadlilik!A241</f>
        <v>45629</v>
      </c>
      <c r="H263" s="51" t="n">
        <f aca="false">Hajmlar!B242*Narxlar!C242</f>
        <v>2600318400</v>
      </c>
      <c r="I263" s="51" t="n">
        <f aca="false">Hajmlar!C242*Narxlar!D242</f>
        <v>2234792000</v>
      </c>
      <c r="J263" s="51" t="n">
        <f aca="false">Hajmlar!D242*Narxlar!E242</f>
        <v>640407600</v>
      </c>
      <c r="K263" s="51" t="n">
        <f aca="false">Hajmlar!E242*Narxlar!F242</f>
        <v>596214000</v>
      </c>
      <c r="M263" s="52" t="n">
        <f aca="false">ABS(Daromadlilik!I241)/H263</f>
        <v>2.94782799953076E-012</v>
      </c>
      <c r="N263" s="52" t="n">
        <f aca="false">ABS(Daromadlilik!J241)/I263</f>
        <v>1.51254116575154E-011</v>
      </c>
      <c r="O263" s="52" t="n">
        <f aca="false">ABS(Daromadlilik!K241)/J263</f>
        <v>4.69008955161703E-012</v>
      </c>
      <c r="P263" s="52" t="n">
        <f aca="false">ABS(Daromadlilik!L241)/K263</f>
        <v>2.63560164390828E-011</v>
      </c>
    </row>
    <row r="264" customFormat="false" ht="15" hidden="false" customHeight="false" outlineLevel="0" collapsed="false">
      <c r="G264" s="19" t="n">
        <f aca="false">Daromadlilik!A242</f>
        <v>45630</v>
      </c>
      <c r="H264" s="51" t="n">
        <f aca="false">Hajmlar!B243*Narxlar!C243</f>
        <v>1362659400</v>
      </c>
      <c r="I264" s="51" t="n">
        <f aca="false">Hajmlar!C243*Narxlar!D243</f>
        <v>1178185200</v>
      </c>
      <c r="J264" s="51" t="n">
        <f aca="false">Hajmlar!D243*Narxlar!E243</f>
        <v>1125200600</v>
      </c>
      <c r="K264" s="51" t="n">
        <f aca="false">Hajmlar!E243*Narxlar!F243</f>
        <v>570070800</v>
      </c>
      <c r="M264" s="52" t="n">
        <f aca="false">ABS(Daromadlilik!I242)/H264</f>
        <v>1.09604051687078E-011</v>
      </c>
      <c r="N264" s="52" t="n">
        <f aca="false">ABS(Daromadlilik!J242)/I264</f>
        <v>1.93698512114195E-011</v>
      </c>
      <c r="O264" s="52" t="n">
        <f aca="false">ABS(Daromadlilik!K242)/J264</f>
        <v>5.66284416402174E-012</v>
      </c>
      <c r="P264" s="52" t="n">
        <f aca="false">ABS(Daromadlilik!L242)/K264</f>
        <v>6.09544262545916E-011</v>
      </c>
    </row>
    <row r="265" customFormat="false" ht="15" hidden="false" customHeight="false" outlineLevel="0" collapsed="false">
      <c r="G265" s="19" t="n">
        <f aca="false">Daromadlilik!A243</f>
        <v>45631</v>
      </c>
      <c r="H265" s="51" t="n">
        <f aca="false">Hajmlar!B244*Narxlar!C244</f>
        <v>3236499600</v>
      </c>
      <c r="I265" s="51" t="n">
        <f aca="false">Hajmlar!C244*Narxlar!D244</f>
        <v>1155844800</v>
      </c>
      <c r="J265" s="51" t="n">
        <f aca="false">Hajmlar!D244*Narxlar!E244</f>
        <v>840421000</v>
      </c>
      <c r="K265" s="51" t="n">
        <f aca="false">Hajmlar!E244*Narxlar!F244</f>
        <v>497095200</v>
      </c>
      <c r="M265" s="52" t="n">
        <f aca="false">ABS(Daromadlilik!I243)/H265</f>
        <v>7.62702660992469E-012</v>
      </c>
      <c r="N265" s="52" t="n">
        <f aca="false">ABS(Daromadlilik!J243)/I265</f>
        <v>7.41348143221293E-013</v>
      </c>
      <c r="O265" s="52" t="n">
        <f aca="false">ABS(Daromadlilik!K243)/J265</f>
        <v>0</v>
      </c>
      <c r="P265" s="52" t="n">
        <f aca="false">ABS(Daromadlilik!L243)/K265</f>
        <v>5.00331033591464E-012</v>
      </c>
    </row>
    <row r="266" customFormat="false" ht="15" hidden="false" customHeight="false" outlineLevel="0" collapsed="false">
      <c r="G266" s="19" t="n">
        <f aca="false">Daromadlilik!A244</f>
        <v>45632</v>
      </c>
      <c r="H266" s="51" t="n">
        <f aca="false">Hajmlar!B245*Narxlar!C245</f>
        <v>954678400</v>
      </c>
      <c r="I266" s="51" t="n">
        <f aca="false">Hajmlar!C245*Narxlar!D245</f>
        <v>1947132000</v>
      </c>
      <c r="J266" s="51" t="n">
        <f aca="false">Hajmlar!D245*Narxlar!E245</f>
        <v>1046825100</v>
      </c>
      <c r="K266" s="51" t="n">
        <f aca="false">Hajmlar!E245*Narxlar!F245</f>
        <v>347604400</v>
      </c>
      <c r="M266" s="52" t="n">
        <f aca="false">ABS(Daromadlilik!I244)/H266</f>
        <v>4.75098382912186E-014</v>
      </c>
      <c r="N266" s="52" t="n">
        <f aca="false">ABS(Daromadlilik!J244)/I266</f>
        <v>5.49546294472257E-012</v>
      </c>
      <c r="O266" s="52" t="n">
        <f aca="false">ABS(Daromadlilik!K244)/J266</f>
        <v>3.12807778182016E-012</v>
      </c>
      <c r="P266" s="52" t="n">
        <f aca="false">ABS(Daromadlilik!L244)/K266</f>
        <v>5.79079827846973E-012</v>
      </c>
    </row>
    <row r="267" customFormat="false" ht="15" hidden="false" customHeight="false" outlineLevel="0" collapsed="false">
      <c r="G267" s="19" t="n">
        <f aca="false">Daromadlilik!A245</f>
        <v>45635</v>
      </c>
      <c r="H267" s="51" t="n">
        <f aca="false">Hajmlar!B246*Narxlar!C246</f>
        <v>3913360500</v>
      </c>
      <c r="I267" s="51" t="n">
        <f aca="false">Hajmlar!C246*Narxlar!D246</f>
        <v>1810191600</v>
      </c>
      <c r="J267" s="51" t="n">
        <f aca="false">Hajmlar!D246*Narxlar!E246</f>
        <v>848271000</v>
      </c>
      <c r="K267" s="51" t="n">
        <f aca="false">Hajmlar!E246*Narxlar!F246</f>
        <v>536688000</v>
      </c>
      <c r="M267" s="52" t="n">
        <f aca="false">ABS(Daromadlilik!I245)/H267</f>
        <v>5.42328411190516E-012</v>
      </c>
      <c r="N267" s="52" t="n">
        <f aca="false">ABS(Daromadlilik!J245)/I267</f>
        <v>4.141408366587E-012</v>
      </c>
      <c r="O267" s="52" t="n">
        <f aca="false">ABS(Daromadlilik!K245)/J267</f>
        <v>1.48204451023861E-011</v>
      </c>
      <c r="P267" s="52" t="n">
        <f aca="false">ABS(Daromadlilik!L245)/K267</f>
        <v>1.13528874691433E-011</v>
      </c>
    </row>
    <row r="268" customFormat="false" ht="15" hidden="false" customHeight="false" outlineLevel="0" collapsed="false">
      <c r="G268" s="19" t="n">
        <f aca="false">Daromadlilik!A246</f>
        <v>45636</v>
      </c>
      <c r="H268" s="51" t="n">
        <f aca="false">Hajmlar!B247*Narxlar!C247</f>
        <v>1356326400</v>
      </c>
      <c r="I268" s="51" t="n">
        <f aca="false">Hajmlar!C247*Narxlar!D247</f>
        <v>1595539600</v>
      </c>
      <c r="J268" s="51" t="n">
        <f aca="false">Hajmlar!D247*Narxlar!E247</f>
        <v>864679500</v>
      </c>
      <c r="K268" s="51" t="n">
        <f aca="false">Hajmlar!E247*Narxlar!F247</f>
        <v>578780000</v>
      </c>
      <c r="M268" s="52" t="n">
        <f aca="false">ABS(Daromadlilik!I246)/H268</f>
        <v>5.13979755655108E-012</v>
      </c>
      <c r="N268" s="52" t="n">
        <f aca="false">ABS(Daromadlilik!J246)/I268</f>
        <v>6.05967004819425E-012</v>
      </c>
      <c r="O268" s="52" t="n">
        <f aca="false">ABS(Daromadlilik!K246)/J268</f>
        <v>1.17786006850324E-012</v>
      </c>
      <c r="P268" s="52" t="n">
        <f aca="false">ABS(Daromadlilik!L246)/K268</f>
        <v>5.50270959154803E-012</v>
      </c>
    </row>
    <row r="269" customFormat="false" ht="15" hidden="false" customHeight="false" outlineLevel="0" collapsed="false">
      <c r="G269" s="19" t="n">
        <f aca="false">Daromadlilik!A247</f>
        <v>45637</v>
      </c>
      <c r="H269" s="51" t="n">
        <f aca="false">Hajmlar!B248*Narxlar!C248</f>
        <v>2839204800</v>
      </c>
      <c r="I269" s="51" t="n">
        <f aca="false">Hajmlar!C248*Narxlar!D248</f>
        <v>2632946400</v>
      </c>
      <c r="J269" s="51" t="n">
        <f aca="false">Hajmlar!D248*Narxlar!E248</f>
        <v>919646700</v>
      </c>
      <c r="K269" s="51" t="n">
        <f aca="false">Hajmlar!E248*Narxlar!F248</f>
        <v>696342400</v>
      </c>
      <c r="M269" s="52" t="n">
        <f aca="false">ABS(Daromadlilik!I247)/H269</f>
        <v>7.69330830958438E-012</v>
      </c>
      <c r="N269" s="52" t="n">
        <f aca="false">ABS(Daromadlilik!J247)/I269</f>
        <v>7.03050577498304E-012</v>
      </c>
      <c r="O269" s="52" t="n">
        <f aca="false">ABS(Daromadlilik!K247)/J269</f>
        <v>6.46586892746997E-012</v>
      </c>
      <c r="P269" s="52" t="n">
        <f aca="false">ABS(Daromadlilik!L247)/K269</f>
        <v>7.35923794143311E-012</v>
      </c>
    </row>
    <row r="270" customFormat="false" ht="15" hidden="false" customHeight="false" outlineLevel="0" collapsed="false">
      <c r="G270" s="19" t="n">
        <f aca="false">Daromadlilik!A248</f>
        <v>45638</v>
      </c>
      <c r="H270" s="51" t="n">
        <f aca="false">Hajmlar!B249*Narxlar!C249</f>
        <v>1213081600</v>
      </c>
      <c r="I270" s="51" t="n">
        <f aca="false">Hajmlar!C249*Narxlar!D249</f>
        <v>733280100</v>
      </c>
      <c r="J270" s="51" t="n">
        <f aca="false">Hajmlar!D249*Narxlar!E249</f>
        <v>1253743400</v>
      </c>
      <c r="K270" s="51" t="n">
        <f aca="false">Hajmlar!E249*Narxlar!F249</f>
        <v>421327200</v>
      </c>
      <c r="M270" s="52" t="n">
        <f aca="false">ABS(Daromadlilik!I248)/H270</f>
        <v>7.45480621712942E-012</v>
      </c>
      <c r="N270" s="52" t="n">
        <f aca="false">ABS(Daromadlilik!J248)/I270</f>
        <v>2.47345427444691E-011</v>
      </c>
      <c r="O270" s="52" t="n">
        <f aca="false">ABS(Daromadlilik!K248)/J270</f>
        <v>9.94736632266227E-012</v>
      </c>
      <c r="P270" s="52" t="n">
        <f aca="false">ABS(Daromadlilik!L248)/K270</f>
        <v>3.51858358047966E-011</v>
      </c>
    </row>
    <row r="271" customFormat="false" ht="15" hidden="false" customHeight="false" outlineLevel="0" collapsed="false">
      <c r="G271" s="19" t="n">
        <f aca="false">Daromadlilik!A249</f>
        <v>45639</v>
      </c>
      <c r="H271" s="51" t="n">
        <f aca="false">Hajmlar!B250*Narxlar!C250</f>
        <v>2020616100</v>
      </c>
      <c r="I271" s="51" t="n">
        <f aca="false">Hajmlar!C250*Narxlar!D250</f>
        <v>783831900</v>
      </c>
      <c r="J271" s="51" t="n">
        <f aca="false">Hajmlar!D250*Narxlar!E250</f>
        <v>1088881200</v>
      </c>
      <c r="K271" s="51" t="n">
        <f aca="false">Hajmlar!E250*Narxlar!F250</f>
        <v>692496400</v>
      </c>
      <c r="M271" s="52" t="n">
        <f aca="false">ABS(Daromadlilik!I249)/H271</f>
        <v>4.76502238987383E-012</v>
      </c>
      <c r="N271" s="52" t="n">
        <f aca="false">ABS(Daromadlilik!J249)/I271</f>
        <v>3.99184439241335E-012</v>
      </c>
      <c r="O271" s="52" t="n">
        <f aca="false">ABS(Daromadlilik!K249)/J271</f>
        <v>3.97752210697762E-012</v>
      </c>
      <c r="P271" s="52" t="n">
        <f aca="false">ABS(Daromadlilik!L249)/K271</f>
        <v>1.28624188156678E-011</v>
      </c>
    </row>
    <row r="272" customFormat="false" ht="15" hidden="false" customHeight="false" outlineLevel="0" collapsed="false">
      <c r="G272" s="19" t="n">
        <f aca="false">Daromadlilik!A250</f>
        <v>45642</v>
      </c>
      <c r="H272" s="51" t="n">
        <f aca="false">Hajmlar!B251*Narxlar!C251</f>
        <v>2440916100</v>
      </c>
      <c r="I272" s="51" t="n">
        <f aca="false">Hajmlar!C251*Narxlar!D251</f>
        <v>1055266200</v>
      </c>
      <c r="J272" s="51" t="n">
        <f aca="false">Hajmlar!D251*Narxlar!E251</f>
        <v>1193850000</v>
      </c>
      <c r="K272" s="51" t="n">
        <f aca="false">Hajmlar!E251*Narxlar!F251</f>
        <v>746008800</v>
      </c>
      <c r="M272" s="52" t="n">
        <f aca="false">ABS(Daromadlilik!I250)/H272</f>
        <v>1.02289376027392E-011</v>
      </c>
      <c r="N272" s="52" t="n">
        <f aca="false">ABS(Daromadlilik!J250)/I272</f>
        <v>6.67300929725198E-012</v>
      </c>
      <c r="O272" s="52" t="n">
        <f aca="false">ABS(Daromadlilik!K250)/J272</f>
        <v>1.1409386398597E-011</v>
      </c>
      <c r="P272" s="52" t="n">
        <f aca="false">ABS(Daromadlilik!L250)/K272</f>
        <v>2.6776262669106E-011</v>
      </c>
    </row>
    <row r="273" customFormat="false" ht="15" hidden="false" customHeight="false" outlineLevel="0" collapsed="false">
      <c r="G273" s="19" t="n">
        <f aca="false">Daromadlilik!A251</f>
        <v>45643</v>
      </c>
      <c r="H273" s="51" t="n">
        <f aca="false">Hajmlar!B252*Narxlar!C252</f>
        <v>1634754000</v>
      </c>
      <c r="I273" s="51" t="n">
        <f aca="false">Hajmlar!C252*Narxlar!D252</f>
        <v>794512000</v>
      </c>
      <c r="J273" s="51" t="n">
        <f aca="false">Hajmlar!D252*Narxlar!E252</f>
        <v>620975000</v>
      </c>
      <c r="K273" s="51" t="n">
        <f aca="false">Hajmlar!E252*Narxlar!F252</f>
        <v>675900000</v>
      </c>
      <c r="M273" s="52" t="n">
        <f aca="false">ABS(Daromadlilik!I251)/H273</f>
        <v>1.05637804148466E-011</v>
      </c>
      <c r="N273" s="52" t="n">
        <f aca="false">ABS(Daromadlilik!J251)/I273</f>
        <v>2.54483113437928E-012</v>
      </c>
      <c r="O273" s="52" t="n">
        <f aca="false">ABS(Daromadlilik!K251)/J273</f>
        <v>3.82965885094798E-012</v>
      </c>
      <c r="P273" s="52" t="n">
        <f aca="false">ABS(Daromadlilik!L251)/K273</f>
        <v>8.38549348974224E-012</v>
      </c>
    </row>
    <row r="274" customFormat="false" ht="15" hidden="false" customHeight="false" outlineLevel="0" collapsed="false">
      <c r="G274" s="19" t="n">
        <f aca="false">Daromadlilik!A252</f>
        <v>45644</v>
      </c>
      <c r="H274" s="51" t="n">
        <f aca="false">Hajmlar!B253*Narxlar!C253</f>
        <v>1652756700</v>
      </c>
      <c r="I274" s="51" t="n">
        <f aca="false">Hajmlar!C253*Narxlar!D253</f>
        <v>1620489000</v>
      </c>
      <c r="J274" s="51" t="n">
        <f aca="false">Hajmlar!D253*Narxlar!E253</f>
        <v>1102588600</v>
      </c>
      <c r="K274" s="51" t="n">
        <f aca="false">Hajmlar!E253*Narxlar!F253</f>
        <v>971324300</v>
      </c>
      <c r="M274" s="52" t="n">
        <f aca="false">ABS(Daromadlilik!I252)/H274</f>
        <v>3.58537407710757E-012</v>
      </c>
      <c r="N274" s="52" t="n">
        <f aca="false">ABS(Daromadlilik!J252)/I274</f>
        <v>2.53567054056772E-013</v>
      </c>
      <c r="O274" s="52" t="n">
        <f aca="false">ABS(Daromadlilik!K252)/J274</f>
        <v>1.37769944710745E-012</v>
      </c>
      <c r="P274" s="52" t="n">
        <f aca="false">ABS(Daromadlilik!L252)/K274</f>
        <v>1.98079883957491E-011</v>
      </c>
    </row>
    <row r="275" customFormat="false" ht="15" hidden="false" customHeight="false" outlineLevel="0" collapsed="false">
      <c r="G275" s="19" t="n">
        <f aca="false">Daromadlilik!A253</f>
        <v>45645</v>
      </c>
      <c r="H275" s="51" t="n">
        <f aca="false">Hajmlar!B254*Narxlar!C254</f>
        <v>1273133400</v>
      </c>
      <c r="I275" s="51" t="n">
        <f aca="false">Hajmlar!C254*Narxlar!D254</f>
        <v>2222564900</v>
      </c>
      <c r="J275" s="51" t="n">
        <f aca="false">Hajmlar!D254*Narxlar!E254</f>
        <v>1454287500</v>
      </c>
      <c r="K275" s="51" t="n">
        <f aca="false">Hajmlar!E254*Narxlar!F254</f>
        <v>438504000</v>
      </c>
      <c r="M275" s="52" t="n">
        <f aca="false">ABS(Daromadlilik!I253)/H275</f>
        <v>1.22599721920286E-011</v>
      </c>
      <c r="N275" s="52" t="n">
        <f aca="false">ABS(Daromadlilik!J253)/I275</f>
        <v>1.03974459161804E-011</v>
      </c>
      <c r="O275" s="52" t="n">
        <f aca="false">ABS(Daromadlilik!K253)/J275</f>
        <v>7.60898212230181E-012</v>
      </c>
      <c r="P275" s="52" t="n">
        <f aca="false">ABS(Daromadlilik!L253)/K275</f>
        <v>4.74162629244064E-012</v>
      </c>
    </row>
    <row r="276" customFormat="false" ht="15" hidden="false" customHeight="false" outlineLevel="0" collapsed="false">
      <c r="G276" s="19" t="n">
        <f aca="false">Daromadlilik!A254</f>
        <v>45646</v>
      </c>
      <c r="H276" s="51" t="n">
        <f aca="false">Hajmlar!B255*Narxlar!C255</f>
        <v>1892983800</v>
      </c>
      <c r="I276" s="51" t="n">
        <f aca="false">Hajmlar!C255*Narxlar!D255</f>
        <v>1488186000</v>
      </c>
      <c r="J276" s="51" t="n">
        <f aca="false">Hajmlar!D255*Narxlar!E255</f>
        <v>829921600</v>
      </c>
      <c r="K276" s="51" t="n">
        <f aca="false">Hajmlar!E255*Narxlar!F255</f>
        <v>868787200</v>
      </c>
      <c r="M276" s="52" t="n">
        <f aca="false">ABS(Daromadlilik!I254)/H276</f>
        <v>7.74106936207348E-012</v>
      </c>
      <c r="N276" s="52" t="n">
        <f aca="false">ABS(Daromadlilik!J254)/I276</f>
        <v>1.77569454099922E-011</v>
      </c>
      <c r="O276" s="52" t="n">
        <f aca="false">ABS(Daromadlilik!K254)/J276</f>
        <v>1.23041428843372E-011</v>
      </c>
      <c r="P276" s="52" t="n">
        <f aca="false">ABS(Daromadlilik!L254)/K276</f>
        <v>2.45788156587308E-011</v>
      </c>
    </row>
    <row r="277" customFormat="false" ht="15" hidden="false" customHeight="false" outlineLevel="0" collapsed="false">
      <c r="G277" s="19" t="n">
        <f aca="false">Daromadlilik!A255</f>
        <v>45649</v>
      </c>
      <c r="H277" s="51" t="n">
        <f aca="false">Hajmlar!B256*Narxlar!C256</f>
        <v>1962748200</v>
      </c>
      <c r="I277" s="51" t="n">
        <f aca="false">Hajmlar!C256*Narxlar!D256</f>
        <v>1285197200</v>
      </c>
      <c r="J277" s="51" t="n">
        <f aca="false">Hajmlar!D256*Narxlar!E256</f>
        <v>888308700</v>
      </c>
      <c r="K277" s="51" t="n">
        <f aca="false">Hajmlar!E256*Narxlar!F256</f>
        <v>324463000</v>
      </c>
      <c r="M277" s="52" t="n">
        <f aca="false">ABS(Daromadlilik!I255)/H277</f>
        <v>1.01871399657153E-012</v>
      </c>
      <c r="N277" s="52" t="n">
        <f aca="false">ABS(Daromadlilik!J255)/I277</f>
        <v>4.81906219399805E-012</v>
      </c>
      <c r="O277" s="52" t="n">
        <f aca="false">ABS(Daromadlilik!K255)/J277</f>
        <v>7.39947411879756E-012</v>
      </c>
      <c r="P277" s="52" t="n">
        <f aca="false">ABS(Daromadlilik!L255)/K277</f>
        <v>1.96442886998931E-011</v>
      </c>
    </row>
    <row r="278" customFormat="false" ht="15" hidden="false" customHeight="false" outlineLevel="0" collapsed="false">
      <c r="G278" s="19" t="n">
        <f aca="false">Daromadlilik!A256</f>
        <v>45650</v>
      </c>
      <c r="H278" s="51" t="n">
        <f aca="false">Hajmlar!B257*Narxlar!C257</f>
        <v>1127808000</v>
      </c>
      <c r="I278" s="51" t="n">
        <f aca="false">Hajmlar!C257*Narxlar!D257</f>
        <v>1062579800</v>
      </c>
      <c r="J278" s="51" t="n">
        <f aca="false">Hajmlar!D257*Narxlar!E257</f>
        <v>1334995100</v>
      </c>
      <c r="K278" s="51" t="n">
        <f aca="false">Hajmlar!E257*Narxlar!F257</f>
        <v>506332800</v>
      </c>
      <c r="M278" s="52" t="n">
        <f aca="false">ABS(Daromadlilik!I256)/H278</f>
        <v>7.71077787462786E-012</v>
      </c>
      <c r="N278" s="52" t="n">
        <f aca="false">ABS(Daromadlilik!J256)/I278</f>
        <v>6.49062989797145E-012</v>
      </c>
      <c r="O278" s="52" t="n">
        <f aca="false">ABS(Daromadlilik!K256)/J278</f>
        <v>1.71623884863537E-012</v>
      </c>
      <c r="P278" s="52" t="n">
        <f aca="false">ABS(Daromadlilik!L256)/K278</f>
        <v>5.74449147982327E-011</v>
      </c>
    </row>
    <row r="279" customFormat="false" ht="15" hidden="false" customHeight="false" outlineLevel="0" collapsed="false">
      <c r="G279" s="19" t="n">
        <f aca="false">Daromadlilik!A257</f>
        <v>45651</v>
      </c>
      <c r="H279" s="51" t="n">
        <f aca="false">Hajmlar!B258*Narxlar!C258</f>
        <v>2432935800</v>
      </c>
      <c r="I279" s="51" t="n">
        <f aca="false">Hajmlar!C258*Narxlar!D258</f>
        <v>2641260900</v>
      </c>
      <c r="J279" s="51" t="n">
        <f aca="false">Hajmlar!D258*Narxlar!E258</f>
        <v>1150806900</v>
      </c>
      <c r="K279" s="51" t="n">
        <f aca="false">Hajmlar!E258*Narxlar!F258</f>
        <v>1015413600</v>
      </c>
      <c r="M279" s="52" t="n">
        <f aca="false">ABS(Daromadlilik!I257)/H279</f>
        <v>2.24885145824465E-012</v>
      </c>
      <c r="N279" s="52" t="n">
        <f aca="false">ABS(Daromadlilik!J257)/I279</f>
        <v>5.52110771167457E-012</v>
      </c>
      <c r="O279" s="52" t="n">
        <f aca="false">ABS(Daromadlilik!K257)/J279</f>
        <v>8.24676886189563E-012</v>
      </c>
      <c r="P279" s="52" t="n">
        <f aca="false">ABS(Daromadlilik!L257)/K279</f>
        <v>1.64427549249873E-011</v>
      </c>
    </row>
    <row r="280" customFormat="false" ht="15" hidden="false" customHeight="false" outlineLevel="0" collapsed="false">
      <c r="G280" s="19" t="n">
        <f aca="false">Daromadlilik!A258</f>
        <v>45652</v>
      </c>
      <c r="H280" s="51" t="n">
        <f aca="false">Hajmlar!B259*Narxlar!C259</f>
        <v>1029860000</v>
      </c>
      <c r="I280" s="51" t="n">
        <f aca="false">Hajmlar!C259*Narxlar!D259</f>
        <v>743134000</v>
      </c>
      <c r="J280" s="51" t="n">
        <f aca="false">Hajmlar!D259*Narxlar!E259</f>
        <v>1954305300</v>
      </c>
      <c r="K280" s="51" t="n">
        <f aca="false">Hajmlar!E259*Narxlar!F259</f>
        <v>1160546400</v>
      </c>
      <c r="M280" s="52" t="n">
        <f aca="false">ABS(Daromadlilik!I258)/H280</f>
        <v>1.64328298219602E-011</v>
      </c>
      <c r="N280" s="52" t="n">
        <f aca="false">ABS(Daromadlilik!J258)/I280</f>
        <v>9.57225003995234E-012</v>
      </c>
      <c r="O280" s="52" t="n">
        <f aca="false">ABS(Daromadlilik!K258)/J280</f>
        <v>1.9296365973706E-012</v>
      </c>
      <c r="P280" s="52" t="n">
        <f aca="false">ABS(Daromadlilik!L258)/K280</f>
        <v>3.40925290646869E-011</v>
      </c>
    </row>
    <row r="281" customFormat="false" ht="15" hidden="false" customHeight="false" outlineLevel="0" collapsed="false">
      <c r="G281" s="19" t="n">
        <f aca="false">Daromadlilik!A259</f>
        <v>45653</v>
      </c>
      <c r="H281" s="51" t="n">
        <f aca="false">Hajmlar!B260*Narxlar!C260</f>
        <v>2090836400</v>
      </c>
      <c r="I281" s="51" t="n">
        <f aca="false">Hajmlar!C260*Narxlar!D260</f>
        <v>1072061000</v>
      </c>
      <c r="J281" s="51" t="n">
        <f aca="false">Hajmlar!D260*Narxlar!E260</f>
        <v>1080922400</v>
      </c>
      <c r="K281" s="51" t="n">
        <f aca="false">Hajmlar!E260*Narxlar!F260</f>
        <v>813099000</v>
      </c>
      <c r="M281" s="52" t="n">
        <f aca="false">ABS(Daromadlilik!I259)/H281</f>
        <v>5.55098734841809E-012</v>
      </c>
      <c r="N281" s="52" t="n">
        <f aca="false">ABS(Daromadlilik!J259)/I281</f>
        <v>1.16786098829115E-012</v>
      </c>
      <c r="O281" s="52" t="n">
        <f aca="false">ABS(Daromadlilik!K259)/J281</f>
        <v>1.04407323196456E-012</v>
      </c>
      <c r="P281" s="52" t="n">
        <f aca="false">ABS(Daromadlilik!L259)/K281</f>
        <v>8.99336973699564E-012</v>
      </c>
    </row>
    <row r="282" customFormat="false" ht="15" hidden="false" customHeight="false" outlineLevel="0" collapsed="false">
      <c r="G282" s="19" t="n">
        <f aca="false">Daromadlilik!A260</f>
        <v>45656</v>
      </c>
      <c r="H282" s="51" t="n">
        <f aca="false">Hajmlar!B261*Narxlar!C261</f>
        <v>1794941600</v>
      </c>
      <c r="I282" s="51" t="n">
        <f aca="false">Hajmlar!C261*Narxlar!D261</f>
        <v>1354224000</v>
      </c>
      <c r="J282" s="51" t="n">
        <f aca="false">Hajmlar!D261*Narxlar!E261</f>
        <v>1172738300</v>
      </c>
      <c r="K282" s="51" t="n">
        <f aca="false">Hajmlar!E261*Narxlar!F261</f>
        <v>1181344200</v>
      </c>
      <c r="M282" s="52" t="n">
        <f aca="false">ABS(Daromadlilik!I260)/H282</f>
        <v>1.84657683234523E-012</v>
      </c>
      <c r="N282" s="52" t="n">
        <f aca="false">ABS(Daromadlilik!J260)/I282</f>
        <v>1.50596009620447E-012</v>
      </c>
      <c r="O282" s="52" t="n">
        <f aca="false">ABS(Daromadlilik!K260)/J282</f>
        <v>1.12953418519927E-011</v>
      </c>
      <c r="P282" s="52" t="n">
        <f aca="false">ABS(Daromadlilik!L260)/K282</f>
        <v>1.52270788491732E-011</v>
      </c>
    </row>
    <row r="283" customFormat="false" ht="15" hidden="false" customHeight="false" outlineLevel="0" collapsed="false">
      <c r="G283" s="19" t="n">
        <f aca="false">Daromadlilik!A261</f>
        <v>45657</v>
      </c>
      <c r="H283" s="51" t="n">
        <f aca="false">Hajmlar!B262*Narxlar!C262</f>
        <v>2756271600</v>
      </c>
      <c r="I283" s="51" t="n">
        <f aca="false">Hajmlar!C262*Narxlar!D262</f>
        <v>865007200</v>
      </c>
      <c r="J283" s="51" t="n">
        <f aca="false">Hajmlar!D262*Narxlar!E262</f>
        <v>1512453600</v>
      </c>
      <c r="K283" s="51" t="n">
        <f aca="false">Hajmlar!E262*Narxlar!F262</f>
        <v>501722800</v>
      </c>
      <c r="M283" s="52" t="n">
        <f aca="false">ABS(Daromadlilik!I261)/H283</f>
        <v>4.72542015037772E-012</v>
      </c>
      <c r="N283" s="52" t="n">
        <f aca="false">ABS(Daromadlilik!J261)/I283</f>
        <v>9.87273940054356E-013</v>
      </c>
      <c r="O283" s="52" t="n">
        <f aca="false">ABS(Daromadlilik!K261)/J283</f>
        <v>5.33134522596279E-012</v>
      </c>
      <c r="P283" s="52" t="n">
        <f aca="false">ABS(Daromadlilik!L261)/K283</f>
        <v>3.43633525562203E-011</v>
      </c>
    </row>
    <row r="284" customFormat="false" ht="15" hidden="false" customHeight="false" outlineLevel="0" collapsed="false">
      <c r="G284" s="19" t="n">
        <f aca="false">Daromadlilik!A262</f>
        <v>45658</v>
      </c>
      <c r="H284" s="51" t="n">
        <f aca="false">Hajmlar!B263*Narxlar!C263</f>
        <v>3622660000</v>
      </c>
      <c r="I284" s="51" t="n">
        <f aca="false">Hajmlar!C263*Narxlar!D263</f>
        <v>1401354500</v>
      </c>
      <c r="J284" s="51" t="n">
        <f aca="false">Hajmlar!D263*Narxlar!E263</f>
        <v>960590400</v>
      </c>
      <c r="K284" s="51" t="n">
        <f aca="false">Hajmlar!E263*Narxlar!F263</f>
        <v>601705500</v>
      </c>
      <c r="M284" s="52" t="n">
        <f aca="false">ABS(Daromadlilik!I262)/H284</f>
        <v>5.03245848852983E-012</v>
      </c>
      <c r="N284" s="52" t="n">
        <f aca="false">ABS(Daromadlilik!J262)/I284</f>
        <v>7.94483943247787E-012</v>
      </c>
      <c r="O284" s="52" t="n">
        <f aca="false">ABS(Daromadlilik!K262)/J284</f>
        <v>4.1228823607824E-012</v>
      </c>
      <c r="P284" s="52" t="n">
        <f aca="false">ABS(Daromadlilik!L262)/K284</f>
        <v>4.38508987208154E-011</v>
      </c>
    </row>
    <row r="285" customFormat="false" ht="15" hidden="false" customHeight="false" outlineLevel="0" collapsed="false">
      <c r="G285" s="19" t="n">
        <f aca="false">Daromadlilik!A263</f>
        <v>45659</v>
      </c>
      <c r="H285" s="51" t="n">
        <f aca="false">Hajmlar!B264*Narxlar!C264</f>
        <v>1749739200</v>
      </c>
      <c r="I285" s="51" t="n">
        <f aca="false">Hajmlar!C264*Narxlar!D264</f>
        <v>2654653200</v>
      </c>
      <c r="J285" s="51" t="n">
        <f aca="false">Hajmlar!D264*Narxlar!E264</f>
        <v>1175974800</v>
      </c>
      <c r="K285" s="51" t="n">
        <f aca="false">Hajmlar!E264*Narxlar!F264</f>
        <v>541356900</v>
      </c>
      <c r="M285" s="52" t="n">
        <f aca="false">ABS(Daromadlilik!I263)/H285</f>
        <v>3.55902222973196E-012</v>
      </c>
      <c r="N285" s="52" t="n">
        <f aca="false">ABS(Daromadlilik!J263)/I285</f>
        <v>5.69301799500755E-012</v>
      </c>
      <c r="O285" s="52" t="n">
        <f aca="false">ABS(Daromadlilik!K263)/J285</f>
        <v>1.13674275316038E-011</v>
      </c>
      <c r="P285" s="52" t="n">
        <f aca="false">ABS(Daromadlilik!L263)/K285</f>
        <v>1.81461245957417E-011</v>
      </c>
    </row>
    <row r="286" customFormat="false" ht="15" hidden="false" customHeight="false" outlineLevel="0" collapsed="false">
      <c r="G286" s="19" t="n">
        <f aca="false">Daromadlilik!A264</f>
        <v>45660</v>
      </c>
      <c r="H286" s="51" t="n">
        <f aca="false">Hajmlar!B265*Narxlar!C265</f>
        <v>1348383600</v>
      </c>
      <c r="I286" s="51" t="n">
        <f aca="false">Hajmlar!C265*Narxlar!D265</f>
        <v>756225800</v>
      </c>
      <c r="J286" s="51" t="n">
        <f aca="false">Hajmlar!D265*Narxlar!E265</f>
        <v>568233600</v>
      </c>
      <c r="K286" s="51" t="n">
        <f aca="false">Hajmlar!E265*Narxlar!F265</f>
        <v>712646400</v>
      </c>
      <c r="M286" s="52" t="n">
        <f aca="false">ABS(Daromadlilik!I264)/H286</f>
        <v>4.41351853423328E-013</v>
      </c>
      <c r="N286" s="52" t="n">
        <f aca="false">ABS(Daromadlilik!J264)/I286</f>
        <v>8.03774068121395E-013</v>
      </c>
      <c r="O286" s="52" t="n">
        <f aca="false">ABS(Daromadlilik!K264)/J286</f>
        <v>1.1442922057336E-012</v>
      </c>
      <c r="P286" s="52" t="n">
        <f aca="false">ABS(Daromadlilik!L264)/K286</f>
        <v>1.10066000227751E-011</v>
      </c>
    </row>
    <row r="287" customFormat="false" ht="15" hidden="false" customHeight="false" outlineLevel="0" collapsed="false">
      <c r="G287" s="19" t="n">
        <f aca="false">Daromadlilik!A265</f>
        <v>45663</v>
      </c>
      <c r="H287" s="51" t="n">
        <f aca="false">Hajmlar!B266*Narxlar!C266</f>
        <v>1472446800</v>
      </c>
      <c r="I287" s="51" t="n">
        <f aca="false">Hajmlar!C266*Narxlar!D266</f>
        <v>1074171600</v>
      </c>
      <c r="J287" s="51" t="n">
        <f aca="false">Hajmlar!D266*Narxlar!E266</f>
        <v>1896049600</v>
      </c>
      <c r="K287" s="51" t="n">
        <f aca="false">Hajmlar!E266*Narxlar!F266</f>
        <v>977088700</v>
      </c>
      <c r="M287" s="52" t="n">
        <f aca="false">ABS(Daromadlilik!I265)/H287</f>
        <v>1.38671142500363E-012</v>
      </c>
      <c r="N287" s="52" t="n">
        <f aca="false">ABS(Daromadlilik!J265)/I287</f>
        <v>1.14504271092409E-011</v>
      </c>
      <c r="O287" s="52" t="n">
        <f aca="false">ABS(Daromadlilik!K265)/J287</f>
        <v>1.36520775695741E-011</v>
      </c>
      <c r="P287" s="52" t="n">
        <f aca="false">ABS(Daromadlilik!L265)/K287</f>
        <v>2.21309859028542E-011</v>
      </c>
    </row>
    <row r="288" customFormat="false" ht="15" hidden="false" customHeight="false" outlineLevel="0" collapsed="false">
      <c r="G288" s="19" t="n">
        <f aca="false">Daromadlilik!A266</f>
        <v>45664</v>
      </c>
      <c r="H288" s="51" t="n">
        <f aca="false">Hajmlar!B267*Narxlar!C267</f>
        <v>2675865000</v>
      </c>
      <c r="I288" s="51" t="n">
        <f aca="false">Hajmlar!C267*Narxlar!D267</f>
        <v>908315100</v>
      </c>
      <c r="J288" s="51" t="n">
        <f aca="false">Hajmlar!D267*Narxlar!E267</f>
        <v>1082328000</v>
      </c>
      <c r="K288" s="51" t="n">
        <f aca="false">Hajmlar!E267*Narxlar!F267</f>
        <v>1033057200</v>
      </c>
      <c r="M288" s="52" t="n">
        <f aca="false">ABS(Daromadlilik!I266)/H288</f>
        <v>1.81854826427077E-012</v>
      </c>
      <c r="N288" s="52" t="n">
        <f aca="false">ABS(Daromadlilik!J266)/I288</f>
        <v>1.01763727556337E-011</v>
      </c>
      <c r="O288" s="52" t="n">
        <f aca="false">ABS(Daromadlilik!K266)/J288</f>
        <v>7.07524724163625E-012</v>
      </c>
      <c r="P288" s="52" t="n">
        <f aca="false">ABS(Daromadlilik!L266)/K288</f>
        <v>3.21066282661342E-011</v>
      </c>
    </row>
    <row r="289" customFormat="false" ht="15" hidden="false" customHeight="false" outlineLevel="0" collapsed="false">
      <c r="G289" s="19" t="n">
        <f aca="false">Daromadlilik!A267</f>
        <v>45665</v>
      </c>
      <c r="H289" s="51" t="n">
        <f aca="false">Hajmlar!B268*Narxlar!C268</f>
        <v>1010715000</v>
      </c>
      <c r="I289" s="51" t="n">
        <f aca="false">Hajmlar!C268*Narxlar!D268</f>
        <v>1128648000</v>
      </c>
      <c r="J289" s="51" t="n">
        <f aca="false">Hajmlar!D268*Narxlar!E268</f>
        <v>1216497800</v>
      </c>
      <c r="K289" s="51" t="n">
        <f aca="false">Hajmlar!E268*Narxlar!F268</f>
        <v>440087500</v>
      </c>
      <c r="M289" s="52" t="n">
        <f aca="false">ABS(Daromadlilik!I267)/H289</f>
        <v>5.69895165830844E-012</v>
      </c>
      <c r="N289" s="52" t="n">
        <f aca="false">ABS(Daromadlilik!J267)/I289</f>
        <v>7.06803636229003E-012</v>
      </c>
      <c r="O289" s="52" t="n">
        <f aca="false">ABS(Daromadlilik!K267)/J289</f>
        <v>4.8827483958422E-012</v>
      </c>
      <c r="P289" s="52" t="n">
        <f aca="false">ABS(Daromadlilik!L267)/K289</f>
        <v>4.45766018530589E-012</v>
      </c>
    </row>
    <row r="290" customFormat="false" ht="15" hidden="false" customHeight="false" outlineLevel="0" collapsed="false">
      <c r="G290" s="19" t="n">
        <f aca="false">Daromadlilik!A268</f>
        <v>45666</v>
      </c>
      <c r="H290" s="51" t="n">
        <f aca="false">Hajmlar!B269*Narxlar!C269</f>
        <v>1658508200</v>
      </c>
      <c r="I290" s="51" t="n">
        <f aca="false">Hajmlar!C269*Narxlar!D269</f>
        <v>2550699200</v>
      </c>
      <c r="J290" s="51" t="n">
        <f aca="false">Hajmlar!D269*Narxlar!E269</f>
        <v>1420692000</v>
      </c>
      <c r="K290" s="51" t="n">
        <f aca="false">Hajmlar!E269*Narxlar!F269</f>
        <v>1186339000</v>
      </c>
      <c r="M290" s="52" t="n">
        <f aca="false">ABS(Daromadlilik!I268)/H290</f>
        <v>1.05057291418137E-011</v>
      </c>
      <c r="N290" s="52" t="n">
        <f aca="false">ABS(Daromadlilik!J268)/I290</f>
        <v>3.38719676244646E-012</v>
      </c>
      <c r="O290" s="52" t="n">
        <f aca="false">ABS(Daromadlilik!K268)/J290</f>
        <v>4.11332514507985E-012</v>
      </c>
      <c r="P290" s="52" t="n">
        <f aca="false">ABS(Daromadlilik!L268)/K290</f>
        <v>1.00434507386274E-011</v>
      </c>
    </row>
    <row r="291" customFormat="false" ht="15" hidden="false" customHeight="false" outlineLevel="0" collapsed="false">
      <c r="G291" s="19" t="n">
        <f aca="false">Daromadlilik!A269</f>
        <v>45667</v>
      </c>
      <c r="H291" s="51" t="n">
        <f aca="false">Hajmlar!B270*Narxlar!C270</f>
        <v>1389216400</v>
      </c>
      <c r="I291" s="51" t="n">
        <f aca="false">Hajmlar!C270*Narxlar!D270</f>
        <v>2135024400</v>
      </c>
      <c r="J291" s="51" t="n">
        <f aca="false">Hajmlar!D270*Narxlar!E270</f>
        <v>2155302900</v>
      </c>
      <c r="K291" s="51" t="n">
        <f aca="false">Hajmlar!E270*Narxlar!F270</f>
        <v>743162200</v>
      </c>
      <c r="M291" s="52" t="n">
        <f aca="false">ABS(Daromadlilik!I269)/H291</f>
        <v>6.51462618575163E-012</v>
      </c>
      <c r="N291" s="52" t="n">
        <f aca="false">ABS(Daromadlilik!J269)/I291</f>
        <v>1.44210626569839E-011</v>
      </c>
      <c r="O291" s="52" t="n">
        <f aca="false">ABS(Daromadlilik!K269)/J291</f>
        <v>1.38399228575381E-012</v>
      </c>
      <c r="P291" s="52" t="n">
        <f aca="false">ABS(Daromadlilik!L269)/K291</f>
        <v>2.93814418043992E-011</v>
      </c>
    </row>
    <row r="292" customFormat="false" ht="15" hidden="false" customHeight="false" outlineLevel="0" collapsed="false">
      <c r="G292" s="19" t="n">
        <f aca="false">Daromadlilik!A270</f>
        <v>45670</v>
      </c>
      <c r="H292" s="51" t="n">
        <f aca="false">Hajmlar!B271*Narxlar!C271</f>
        <v>1930874400</v>
      </c>
      <c r="I292" s="51" t="n">
        <f aca="false">Hajmlar!C271*Narxlar!D271</f>
        <v>789272900</v>
      </c>
      <c r="J292" s="51" t="n">
        <f aca="false">Hajmlar!D271*Narxlar!E271</f>
        <v>1835898000</v>
      </c>
      <c r="K292" s="51" t="n">
        <f aca="false">Hajmlar!E271*Narxlar!F271</f>
        <v>891556500</v>
      </c>
      <c r="M292" s="52" t="n">
        <f aca="false">ABS(Daromadlilik!I270)/H292</f>
        <v>5.89872306083767E-012</v>
      </c>
      <c r="N292" s="52" t="n">
        <f aca="false">ABS(Daromadlilik!J270)/I292</f>
        <v>7.53595124747508E-012</v>
      </c>
      <c r="O292" s="52" t="n">
        <f aca="false">ABS(Daromadlilik!K270)/J292</f>
        <v>4.07893807687331E-012</v>
      </c>
      <c r="P292" s="52" t="n">
        <f aca="false">ABS(Daromadlilik!L270)/K292</f>
        <v>1.89273552845338E-011</v>
      </c>
    </row>
    <row r="293" customFormat="false" ht="15" hidden="false" customHeight="false" outlineLevel="0" collapsed="false">
      <c r="G293" s="19" t="n">
        <f aca="false">Daromadlilik!A271</f>
        <v>45671</v>
      </c>
      <c r="H293" s="51" t="n">
        <f aca="false">Hajmlar!B272*Narxlar!C272</f>
        <v>1205899500</v>
      </c>
      <c r="I293" s="51" t="n">
        <f aca="false">Hajmlar!C272*Narxlar!D272</f>
        <v>787920000</v>
      </c>
      <c r="J293" s="51" t="n">
        <f aca="false">Hajmlar!D272*Narxlar!E272</f>
        <v>1072557600</v>
      </c>
      <c r="K293" s="51" t="n">
        <f aca="false">Hajmlar!E272*Narxlar!F272</f>
        <v>444236800</v>
      </c>
      <c r="M293" s="52" t="n">
        <f aca="false">ABS(Daromadlilik!I271)/H293</f>
        <v>7.31892205681418E-012</v>
      </c>
      <c r="N293" s="52" t="n">
        <f aca="false">ABS(Daromadlilik!J271)/I293</f>
        <v>2.54952158556782E-012</v>
      </c>
      <c r="O293" s="52" t="n">
        <f aca="false">ABS(Daromadlilik!K271)/J293</f>
        <v>5.54546466717716E-012</v>
      </c>
      <c r="P293" s="52" t="n">
        <f aca="false">ABS(Daromadlilik!L271)/K293</f>
        <v>1.66077569312862E-011</v>
      </c>
    </row>
    <row r="294" customFormat="false" ht="15" hidden="false" customHeight="false" outlineLevel="0" collapsed="false">
      <c r="G294" s="19" t="n">
        <f aca="false">Daromadlilik!A272</f>
        <v>45672</v>
      </c>
      <c r="H294" s="51" t="n">
        <f aca="false">Hajmlar!B273*Narxlar!C273</f>
        <v>1416360000</v>
      </c>
      <c r="I294" s="51" t="n">
        <f aca="false">Hajmlar!C273*Narxlar!D273</f>
        <v>2255452000</v>
      </c>
      <c r="J294" s="51" t="n">
        <f aca="false">Hajmlar!D273*Narxlar!E273</f>
        <v>1121865600</v>
      </c>
      <c r="K294" s="51" t="n">
        <f aca="false">Hajmlar!E273*Narxlar!F273</f>
        <v>1045912200</v>
      </c>
      <c r="M294" s="52" t="n">
        <f aca="false">ABS(Daromadlilik!I272)/H294</f>
        <v>4.14358457932527E-012</v>
      </c>
      <c r="N294" s="52" t="n">
        <f aca="false">ABS(Daromadlilik!J272)/I294</f>
        <v>4.15777444108125E-012</v>
      </c>
      <c r="O294" s="52" t="n">
        <f aca="false">ABS(Daromadlilik!K272)/J294</f>
        <v>1.35680996981655E-011</v>
      </c>
      <c r="P294" s="52" t="n">
        <f aca="false">ABS(Daromadlilik!L272)/K294</f>
        <v>3.34578231724597E-011</v>
      </c>
    </row>
    <row r="295" customFormat="false" ht="15" hidden="false" customHeight="false" outlineLevel="0" collapsed="false">
      <c r="G295" s="19" t="n">
        <f aca="false">Daromadlilik!A273</f>
        <v>45673</v>
      </c>
      <c r="H295" s="51" t="n">
        <f aca="false">Hajmlar!B274*Narxlar!C274</f>
        <v>2242531000</v>
      </c>
      <c r="I295" s="51" t="n">
        <f aca="false">Hajmlar!C274*Narxlar!D274</f>
        <v>1384714000</v>
      </c>
      <c r="J295" s="51" t="n">
        <f aca="false">Hajmlar!D274*Narxlar!E274</f>
        <v>1104551700</v>
      </c>
      <c r="K295" s="51" t="n">
        <f aca="false">Hajmlar!E274*Narxlar!F274</f>
        <v>765567000</v>
      </c>
      <c r="M295" s="52" t="n">
        <f aca="false">ABS(Daromadlilik!I273)/H295</f>
        <v>8.33422910586201E-012</v>
      </c>
      <c r="N295" s="52" t="n">
        <f aca="false">ABS(Daromadlilik!J273)/I295</f>
        <v>5.25093097244268E-012</v>
      </c>
      <c r="O295" s="52" t="n">
        <f aca="false">ABS(Daromadlilik!K273)/J295</f>
        <v>3.27847218845551E-012</v>
      </c>
      <c r="P295" s="52" t="n">
        <f aca="false">ABS(Daromadlilik!L273)/K295</f>
        <v>5.40541601539457E-011</v>
      </c>
    </row>
    <row r="296" customFormat="false" ht="15" hidden="false" customHeight="false" outlineLevel="0" collapsed="false">
      <c r="G296" s="19" t="n">
        <f aca="false">Daromadlilik!A274</f>
        <v>45674</v>
      </c>
      <c r="H296" s="51" t="n">
        <f aca="false">Hajmlar!B275*Narxlar!C275</f>
        <v>2114139300</v>
      </c>
      <c r="I296" s="51" t="n">
        <f aca="false">Hajmlar!C275*Narxlar!D275</f>
        <v>1403680800</v>
      </c>
      <c r="J296" s="51" t="n">
        <f aca="false">Hajmlar!D275*Narxlar!E275</f>
        <v>706823900</v>
      </c>
      <c r="K296" s="51" t="n">
        <f aca="false">Hajmlar!E275*Narxlar!F275</f>
        <v>968212800</v>
      </c>
      <c r="M296" s="52" t="n">
        <f aca="false">ABS(Daromadlilik!I274)/H296</f>
        <v>1.74923148452448E-012</v>
      </c>
      <c r="N296" s="52" t="n">
        <f aca="false">ABS(Daromadlilik!J274)/I296</f>
        <v>6.66677091125245E-012</v>
      </c>
      <c r="O296" s="52" t="n">
        <f aca="false">ABS(Daromadlilik!K274)/J296</f>
        <v>4.15541580652434E-012</v>
      </c>
      <c r="P296" s="52" t="n">
        <f aca="false">ABS(Daromadlilik!L274)/K296</f>
        <v>1.18379908045044E-011</v>
      </c>
    </row>
    <row r="297" customFormat="false" ht="15" hidden="false" customHeight="false" outlineLevel="0" collapsed="false">
      <c r="G297" s="19" t="n">
        <f aca="false">Daromadlilik!A275</f>
        <v>45677</v>
      </c>
      <c r="H297" s="51" t="n">
        <f aca="false">Hajmlar!B276*Narxlar!C276</f>
        <v>1440577600</v>
      </c>
      <c r="I297" s="51" t="n">
        <f aca="false">Hajmlar!C276*Narxlar!D276</f>
        <v>1079268500</v>
      </c>
      <c r="J297" s="51" t="n">
        <f aca="false">Hajmlar!D276*Narxlar!E276</f>
        <v>1328412200</v>
      </c>
      <c r="K297" s="51" t="n">
        <f aca="false">Hajmlar!E276*Narxlar!F276</f>
        <v>404256200</v>
      </c>
      <c r="M297" s="52" t="n">
        <f aca="false">ABS(Daromadlilik!I275)/H297</f>
        <v>5.41084112103644E-012</v>
      </c>
      <c r="N297" s="52" t="n">
        <f aca="false">ABS(Daromadlilik!J275)/I297</f>
        <v>5.31174632185705E-012</v>
      </c>
      <c r="O297" s="52" t="n">
        <f aca="false">ABS(Daromadlilik!K275)/J297</f>
        <v>1.11206236303231E-011</v>
      </c>
      <c r="P297" s="52" t="n">
        <f aca="false">ABS(Daromadlilik!L275)/K297</f>
        <v>1.2087758337023E-011</v>
      </c>
    </row>
    <row r="298" customFormat="false" ht="15" hidden="false" customHeight="false" outlineLevel="0" collapsed="false">
      <c r="G298" s="19" t="n">
        <f aca="false">Daromadlilik!A276</f>
        <v>45678</v>
      </c>
      <c r="H298" s="51" t="n">
        <f aca="false">Hajmlar!B277*Narxlar!C277</f>
        <v>3520935600</v>
      </c>
      <c r="I298" s="51" t="n">
        <f aca="false">Hajmlar!C277*Narxlar!D277</f>
        <v>958341000</v>
      </c>
      <c r="J298" s="51" t="n">
        <f aca="false">Hajmlar!D277*Narxlar!E277</f>
        <v>1182521100</v>
      </c>
      <c r="K298" s="51" t="n">
        <f aca="false">Hajmlar!E277*Narxlar!F277</f>
        <v>394941600</v>
      </c>
      <c r="M298" s="52" t="n">
        <f aca="false">ABS(Daromadlilik!I276)/H298</f>
        <v>4.48226407470254E-012</v>
      </c>
      <c r="N298" s="52" t="n">
        <f aca="false">ABS(Daromadlilik!J276)/I298</f>
        <v>3.55814795467536E-012</v>
      </c>
      <c r="O298" s="52" t="n">
        <f aca="false">ABS(Daromadlilik!K276)/J298</f>
        <v>4.51862811871986E-012</v>
      </c>
      <c r="P298" s="52" t="n">
        <f aca="false">ABS(Daromadlilik!L276)/K298</f>
        <v>2.82959469372284E-011</v>
      </c>
    </row>
    <row r="299" customFormat="false" ht="15" hidden="false" customHeight="false" outlineLevel="0" collapsed="false">
      <c r="G299" s="19" t="n">
        <f aca="false">Daromadlilik!A277</f>
        <v>45679</v>
      </c>
      <c r="H299" s="51" t="n">
        <f aca="false">Hajmlar!B278*Narxlar!C278</f>
        <v>2066109500</v>
      </c>
      <c r="I299" s="51" t="n">
        <f aca="false">Hajmlar!C278*Narxlar!D278</f>
        <v>2050678800</v>
      </c>
      <c r="J299" s="51" t="n">
        <f aca="false">Hajmlar!D278*Narxlar!E278</f>
        <v>1111367000</v>
      </c>
      <c r="K299" s="51" t="n">
        <f aca="false">Hajmlar!E278*Narxlar!F278</f>
        <v>533587500</v>
      </c>
      <c r="M299" s="52" t="n">
        <f aca="false">ABS(Daromadlilik!I277)/H299</f>
        <v>1.39159124976969E-011</v>
      </c>
      <c r="N299" s="52" t="n">
        <f aca="false">ABS(Daromadlilik!J277)/I299</f>
        <v>9.37616852810806E-012</v>
      </c>
      <c r="O299" s="52" t="n">
        <f aca="false">ABS(Daromadlilik!K277)/J299</f>
        <v>4.2724438101954E-012</v>
      </c>
      <c r="P299" s="52" t="n">
        <f aca="false">ABS(Daromadlilik!L277)/K299</f>
        <v>1.24547326778295E-011</v>
      </c>
    </row>
    <row r="300" customFormat="false" ht="15" hidden="false" customHeight="false" outlineLevel="0" collapsed="false">
      <c r="G300" s="19" t="n">
        <f aca="false">Daromadlilik!A278</f>
        <v>45680</v>
      </c>
      <c r="H300" s="51" t="n">
        <f aca="false">Hajmlar!B279*Narxlar!C279</f>
        <v>4207928400</v>
      </c>
      <c r="I300" s="51" t="n">
        <f aca="false">Hajmlar!C279*Narxlar!D279</f>
        <v>1571177400</v>
      </c>
      <c r="J300" s="51" t="n">
        <f aca="false">Hajmlar!D279*Narxlar!E279</f>
        <v>1908585300</v>
      </c>
      <c r="K300" s="51" t="n">
        <f aca="false">Hajmlar!E279*Narxlar!F279</f>
        <v>817082800</v>
      </c>
      <c r="M300" s="52" t="n">
        <f aca="false">ABS(Daromadlilik!I278)/H300</f>
        <v>5.73499901285696E-012</v>
      </c>
      <c r="N300" s="52" t="n">
        <f aca="false">ABS(Daromadlilik!J278)/I300</f>
        <v>1.63697122387215E-011</v>
      </c>
      <c r="O300" s="52" t="n">
        <f aca="false">ABS(Daromadlilik!K278)/J300</f>
        <v>1.32585615157761E-011</v>
      </c>
      <c r="P300" s="52" t="n">
        <f aca="false">ABS(Daromadlilik!L278)/K300</f>
        <v>4.97047989832272E-011</v>
      </c>
    </row>
    <row r="301" customFormat="false" ht="15" hidden="false" customHeight="false" outlineLevel="0" collapsed="false">
      <c r="G301" s="19" t="n">
        <f aca="false">Daromadlilik!A279</f>
        <v>45681</v>
      </c>
      <c r="H301" s="51" t="n">
        <f aca="false">Hajmlar!B280*Narxlar!C280</f>
        <v>3315940400</v>
      </c>
      <c r="I301" s="51" t="n">
        <f aca="false">Hajmlar!C280*Narxlar!D280</f>
        <v>1151904000</v>
      </c>
      <c r="J301" s="51" t="n">
        <f aca="false">Hajmlar!D280*Narxlar!E280</f>
        <v>1063030800</v>
      </c>
      <c r="K301" s="51" t="n">
        <f aca="false">Hajmlar!E280*Narxlar!F280</f>
        <v>1092235500</v>
      </c>
      <c r="M301" s="52" t="n">
        <f aca="false">ABS(Daromadlilik!I279)/H301</f>
        <v>6.20276025298971E-012</v>
      </c>
      <c r="N301" s="52" t="n">
        <f aca="false">ABS(Daromadlilik!J279)/I301</f>
        <v>1.70642337024218E-012</v>
      </c>
      <c r="O301" s="52" t="n">
        <f aca="false">ABS(Daromadlilik!K279)/J301</f>
        <v>1.81594405380565E-012</v>
      </c>
      <c r="P301" s="52" t="n">
        <f aca="false">ABS(Daromadlilik!L279)/K301</f>
        <v>6.1431628038215E-011</v>
      </c>
    </row>
    <row r="302" customFormat="false" ht="15" hidden="false" customHeight="false" outlineLevel="0" collapsed="false">
      <c r="G302" s="19" t="n">
        <f aca="false">Daromadlilik!A280</f>
        <v>45684</v>
      </c>
      <c r="H302" s="51" t="n">
        <f aca="false">Hajmlar!B281*Narxlar!C281</f>
        <v>1584438300</v>
      </c>
      <c r="I302" s="51" t="n">
        <f aca="false">Hajmlar!C281*Narxlar!D281</f>
        <v>1406640000</v>
      </c>
      <c r="J302" s="51" t="n">
        <f aca="false">Hajmlar!D281*Narxlar!E281</f>
        <v>1469380500</v>
      </c>
      <c r="K302" s="51" t="n">
        <f aca="false">Hajmlar!E281*Narxlar!F281</f>
        <v>508203800</v>
      </c>
      <c r="M302" s="52" t="n">
        <f aca="false">ABS(Daromadlilik!I280)/H302</f>
        <v>3.22979074861445E-012</v>
      </c>
      <c r="N302" s="52" t="n">
        <f aca="false">ABS(Daromadlilik!J280)/I302</f>
        <v>5.58188903489815E-012</v>
      </c>
      <c r="O302" s="52" t="n">
        <f aca="false">ABS(Daromadlilik!K280)/J302</f>
        <v>2.07203203249297E-013</v>
      </c>
      <c r="P302" s="52" t="n">
        <f aca="false">ABS(Daromadlilik!L280)/K302</f>
        <v>1.20921008265579E-012</v>
      </c>
    </row>
    <row r="303" customFormat="false" ht="15" hidden="false" customHeight="false" outlineLevel="0" collapsed="false">
      <c r="G303" s="19" t="n">
        <f aca="false">Daromadlilik!A281</f>
        <v>45685</v>
      </c>
      <c r="H303" s="51" t="n">
        <f aca="false">Hajmlar!B282*Narxlar!C282</f>
        <v>1847625000</v>
      </c>
      <c r="I303" s="51" t="n">
        <f aca="false">Hajmlar!C282*Narxlar!D282</f>
        <v>1186912800</v>
      </c>
      <c r="J303" s="51" t="n">
        <f aca="false">Hajmlar!D282*Narxlar!E282</f>
        <v>2136042900</v>
      </c>
      <c r="K303" s="51" t="n">
        <f aca="false">Hajmlar!E282*Narxlar!F282</f>
        <v>833109200</v>
      </c>
      <c r="M303" s="52" t="n">
        <f aca="false">ABS(Daromadlilik!I281)/H303</f>
        <v>2.52541519703281E-012</v>
      </c>
      <c r="N303" s="52" t="n">
        <f aca="false">ABS(Daromadlilik!J281)/I303</f>
        <v>6.17509722523309E-012</v>
      </c>
      <c r="O303" s="52" t="n">
        <f aca="false">ABS(Daromadlilik!K281)/J303</f>
        <v>4.1991591738834E-012</v>
      </c>
      <c r="P303" s="52" t="n">
        <f aca="false">ABS(Daromadlilik!L281)/K303</f>
        <v>4.66067242717916E-011</v>
      </c>
    </row>
    <row r="304" customFormat="false" ht="15" hidden="false" customHeight="false" outlineLevel="0" collapsed="false">
      <c r="G304" s="19" t="n">
        <f aca="false">Daromadlilik!A282</f>
        <v>45686</v>
      </c>
      <c r="H304" s="51" t="n">
        <f aca="false">Hajmlar!B283*Narxlar!C283</f>
        <v>1857753700</v>
      </c>
      <c r="I304" s="51" t="n">
        <f aca="false">Hajmlar!C283*Narxlar!D283</f>
        <v>2148217200</v>
      </c>
      <c r="J304" s="51" t="n">
        <f aca="false">Hajmlar!D283*Narxlar!E283</f>
        <v>1013483100</v>
      </c>
      <c r="K304" s="51" t="n">
        <f aca="false">Hajmlar!E283*Narxlar!F283</f>
        <v>502519500</v>
      </c>
      <c r="M304" s="52" t="n">
        <f aca="false">ABS(Daromadlilik!I282)/H304</f>
        <v>3.65342906589558E-012</v>
      </c>
      <c r="N304" s="52" t="n">
        <f aca="false">ABS(Daromadlilik!J282)/I304</f>
        <v>5.99384495666842E-012</v>
      </c>
      <c r="O304" s="52" t="n">
        <f aca="false">ABS(Daromadlilik!K282)/J304</f>
        <v>5.06414720486015E-012</v>
      </c>
      <c r="P304" s="52" t="n">
        <f aca="false">ABS(Daromadlilik!L282)/K304</f>
        <v>1.39798385606068E-011</v>
      </c>
    </row>
    <row r="305" customFormat="false" ht="15" hidden="false" customHeight="false" outlineLevel="0" collapsed="false">
      <c r="G305" s="19" t="n">
        <f aca="false">Daromadlilik!A283</f>
        <v>45687</v>
      </c>
      <c r="H305" s="51" t="n">
        <f aca="false">Hajmlar!B284*Narxlar!C284</f>
        <v>3092778800</v>
      </c>
      <c r="I305" s="51" t="n">
        <f aca="false">Hajmlar!C284*Narxlar!D284</f>
        <v>1694580400</v>
      </c>
      <c r="J305" s="51" t="n">
        <f aca="false">Hajmlar!D284*Narxlar!E284</f>
        <v>564985300</v>
      </c>
      <c r="K305" s="51" t="n">
        <f aca="false">Hajmlar!E284*Narxlar!F284</f>
        <v>1082580800</v>
      </c>
      <c r="M305" s="52" t="n">
        <f aca="false">ABS(Daromadlilik!I283)/H305</f>
        <v>1.9823520684463E-012</v>
      </c>
      <c r="N305" s="52" t="n">
        <f aca="false">ABS(Daromadlilik!J283)/I305</f>
        <v>3.01152247053478E-012</v>
      </c>
      <c r="O305" s="52" t="n">
        <f aca="false">ABS(Daromadlilik!K283)/J305</f>
        <v>4.74226339143506E-012</v>
      </c>
      <c r="P305" s="52" t="n">
        <f aca="false">ABS(Daromadlilik!L283)/K305</f>
        <v>2.67842738528336E-011</v>
      </c>
    </row>
    <row r="306" customFormat="false" ht="15" hidden="false" customHeight="false" outlineLevel="0" collapsed="false">
      <c r="G306" s="19" t="n">
        <f aca="false">Daromadlilik!A284</f>
        <v>45688</v>
      </c>
      <c r="H306" s="51" t="n">
        <f aca="false">Hajmlar!B285*Narxlar!C285</f>
        <v>1331513400</v>
      </c>
      <c r="I306" s="51" t="n">
        <f aca="false">Hajmlar!C285*Narxlar!D285</f>
        <v>2296324800</v>
      </c>
      <c r="J306" s="51" t="n">
        <f aca="false">Hajmlar!D285*Narxlar!E285</f>
        <v>915465600</v>
      </c>
      <c r="K306" s="51" t="n">
        <f aca="false">Hajmlar!E285*Narxlar!F285</f>
        <v>422616900</v>
      </c>
      <c r="M306" s="52" t="n">
        <f aca="false">ABS(Daromadlilik!I284)/H306</f>
        <v>9.69997844896229E-012</v>
      </c>
      <c r="N306" s="52" t="n">
        <f aca="false">ABS(Daromadlilik!J284)/I306</f>
        <v>4.83936324649441E-012</v>
      </c>
      <c r="O306" s="52" t="n">
        <f aca="false">ABS(Daromadlilik!K284)/J306</f>
        <v>1.30399782326512E-011</v>
      </c>
      <c r="P306" s="52" t="n">
        <f aca="false">ABS(Daromadlilik!L284)/K306</f>
        <v>3.20669315430196E-011</v>
      </c>
    </row>
    <row r="307" customFormat="false" ht="15" hidden="false" customHeight="false" outlineLevel="0" collapsed="false">
      <c r="G307" s="19" t="n">
        <f aca="false">Daromadlilik!A285</f>
        <v>45691</v>
      </c>
      <c r="H307" s="51" t="n">
        <f aca="false">Hajmlar!B286*Narxlar!C286</f>
        <v>2459386200</v>
      </c>
      <c r="I307" s="51" t="n">
        <f aca="false">Hajmlar!C286*Narxlar!D286</f>
        <v>4929391500</v>
      </c>
      <c r="J307" s="51" t="n">
        <f aca="false">Hajmlar!D286*Narxlar!E286</f>
        <v>852971600</v>
      </c>
      <c r="K307" s="51" t="n">
        <f aca="false">Hajmlar!E286*Narxlar!F286</f>
        <v>443289000</v>
      </c>
      <c r="M307" s="52" t="n">
        <f aca="false">ABS(Daromadlilik!I285)/H307</f>
        <v>1.36555249788861E-012</v>
      </c>
      <c r="N307" s="52" t="n">
        <f aca="false">ABS(Daromadlilik!J285)/I307</f>
        <v>3.75037948000131E-012</v>
      </c>
      <c r="O307" s="52" t="n">
        <f aca="false">ABS(Daromadlilik!K285)/J307</f>
        <v>8.90336182655416E-012</v>
      </c>
      <c r="P307" s="52" t="n">
        <f aca="false">ABS(Daromadlilik!L285)/K307</f>
        <v>3.88439793681638E-011</v>
      </c>
    </row>
    <row r="308" customFormat="false" ht="15" hidden="false" customHeight="false" outlineLevel="0" collapsed="false">
      <c r="G308" s="19" t="n">
        <f aca="false">Daromadlilik!A286</f>
        <v>45692</v>
      </c>
      <c r="H308" s="51" t="n">
        <f aca="false">Hajmlar!B287*Narxlar!C287</f>
        <v>1217966400</v>
      </c>
      <c r="I308" s="51" t="n">
        <f aca="false">Hajmlar!C287*Narxlar!D287</f>
        <v>991484800</v>
      </c>
      <c r="J308" s="51" t="n">
        <f aca="false">Hajmlar!D287*Narxlar!E287</f>
        <v>856377600</v>
      </c>
      <c r="K308" s="51" t="n">
        <f aca="false">Hajmlar!E287*Narxlar!F287</f>
        <v>451062000</v>
      </c>
      <c r="M308" s="52" t="n">
        <f aca="false">ABS(Daromadlilik!I286)/H308</f>
        <v>2.37859700890708E-013</v>
      </c>
      <c r="N308" s="52" t="n">
        <f aca="false">ABS(Daromadlilik!J286)/I308</f>
        <v>1.11728801622418E-011</v>
      </c>
      <c r="O308" s="52" t="n">
        <f aca="false">ABS(Daromadlilik!K286)/J308</f>
        <v>1.52691048796615E-011</v>
      </c>
      <c r="P308" s="52" t="n">
        <f aca="false">ABS(Daromadlilik!L286)/K308</f>
        <v>5.44764261678315E-012</v>
      </c>
    </row>
    <row r="309" customFormat="false" ht="15" hidden="false" customHeight="false" outlineLevel="0" collapsed="false">
      <c r="G309" s="19" t="n">
        <f aca="false">Daromadlilik!A287</f>
        <v>45693</v>
      </c>
      <c r="H309" s="51" t="n">
        <f aca="false">Hajmlar!B288*Narxlar!C288</f>
        <v>1343136000</v>
      </c>
      <c r="I309" s="51" t="n">
        <f aca="false">Hajmlar!C288*Narxlar!D288</f>
        <v>1160931600</v>
      </c>
      <c r="J309" s="51" t="n">
        <f aca="false">Hajmlar!D288*Narxlar!E288</f>
        <v>1161266200</v>
      </c>
      <c r="K309" s="51" t="n">
        <f aca="false">Hajmlar!E288*Narxlar!F288</f>
        <v>364746700</v>
      </c>
      <c r="M309" s="52" t="n">
        <f aca="false">ABS(Daromadlilik!I287)/H309</f>
        <v>1.59712916279302E-011</v>
      </c>
      <c r="N309" s="52" t="n">
        <f aca="false">ABS(Daromadlilik!J287)/I309</f>
        <v>5.77059839713879E-013</v>
      </c>
      <c r="O309" s="52" t="n">
        <f aca="false">ABS(Daromadlilik!K287)/J309</f>
        <v>3.70758316911057E-012</v>
      </c>
      <c r="P309" s="52" t="n">
        <f aca="false">ABS(Daromadlilik!L287)/K309</f>
        <v>4.18162505800304E-012</v>
      </c>
    </row>
    <row r="310" customFormat="false" ht="15" hidden="false" customHeight="false" outlineLevel="0" collapsed="false">
      <c r="G310" s="19" t="n">
        <f aca="false">Daromadlilik!A288</f>
        <v>45694</v>
      </c>
      <c r="H310" s="51" t="n">
        <f aca="false">Hajmlar!B289*Narxlar!C289</f>
        <v>942590000</v>
      </c>
      <c r="I310" s="51" t="n">
        <f aca="false">Hajmlar!C289*Narxlar!D289</f>
        <v>1203505500</v>
      </c>
      <c r="J310" s="51" t="n">
        <f aca="false">Hajmlar!D289*Narxlar!E289</f>
        <v>1030104000</v>
      </c>
      <c r="K310" s="51" t="n">
        <f aca="false">Hajmlar!E289*Narxlar!F289</f>
        <v>374248000</v>
      </c>
      <c r="M310" s="52" t="n">
        <f aca="false">ABS(Daromadlilik!I288)/H310</f>
        <v>4.9299720938309E-012</v>
      </c>
      <c r="N310" s="52" t="n">
        <f aca="false">ABS(Daromadlilik!J288)/I310</f>
        <v>1.30110123422171E-011</v>
      </c>
      <c r="O310" s="52" t="n">
        <f aca="false">ABS(Daromadlilik!K288)/J310</f>
        <v>1.97466387231095E-011</v>
      </c>
      <c r="P310" s="52" t="n">
        <f aca="false">ABS(Daromadlilik!L288)/K310</f>
        <v>3.83555789522027E-012</v>
      </c>
    </row>
    <row r="311" customFormat="false" ht="15" hidden="false" customHeight="false" outlineLevel="0" collapsed="false">
      <c r="G311" s="19" t="n">
        <f aca="false">Daromadlilik!A289</f>
        <v>45695</v>
      </c>
      <c r="H311" s="51" t="n">
        <f aca="false">Hajmlar!B290*Narxlar!C290</f>
        <v>1892504400</v>
      </c>
      <c r="I311" s="51" t="n">
        <f aca="false">Hajmlar!C290*Narxlar!D290</f>
        <v>1005777500</v>
      </c>
      <c r="J311" s="51" t="n">
        <f aca="false">Hajmlar!D290*Narxlar!E290</f>
        <v>964734300</v>
      </c>
      <c r="K311" s="51" t="n">
        <f aca="false">Hajmlar!E290*Narxlar!F290</f>
        <v>1922932000</v>
      </c>
      <c r="M311" s="52" t="n">
        <f aca="false">ABS(Daromadlilik!I289)/H311</f>
        <v>7.24770652903664E-013</v>
      </c>
      <c r="N311" s="52" t="n">
        <f aca="false">ABS(Daromadlilik!J289)/I311</f>
        <v>2.05148995436122E-011</v>
      </c>
      <c r="O311" s="52" t="n">
        <f aca="false">ABS(Daromadlilik!K289)/J311</f>
        <v>1.2852472549953E-011</v>
      </c>
      <c r="P311" s="52" t="n">
        <f aca="false">ABS(Daromadlilik!L289)/K311</f>
        <v>2.54357869295899E-011</v>
      </c>
    </row>
    <row r="312" customFormat="false" ht="15" hidden="false" customHeight="false" outlineLevel="0" collapsed="false">
      <c r="G312" s="19" t="n">
        <f aca="false">Daromadlilik!A290</f>
        <v>45698</v>
      </c>
      <c r="H312" s="51" t="n">
        <f aca="false">Hajmlar!B291*Narxlar!C291</f>
        <v>2602315300</v>
      </c>
      <c r="I312" s="51" t="n">
        <f aca="false">Hajmlar!C291*Narxlar!D291</f>
        <v>846900600</v>
      </c>
      <c r="J312" s="51" t="n">
        <f aca="false">Hajmlar!D291*Narxlar!E291</f>
        <v>994259000</v>
      </c>
      <c r="K312" s="51" t="n">
        <f aca="false">Hajmlar!E291*Narxlar!F291</f>
        <v>767588300</v>
      </c>
      <c r="M312" s="52" t="n">
        <f aca="false">ABS(Daromadlilik!I290)/H312</f>
        <v>8.71189463927127E-012</v>
      </c>
      <c r="N312" s="52" t="n">
        <f aca="false">ABS(Daromadlilik!J290)/I312</f>
        <v>2.85814687478037E-012</v>
      </c>
      <c r="O312" s="52" t="n">
        <f aca="false">ABS(Daromadlilik!K290)/J312</f>
        <v>4.16685308659747E-013</v>
      </c>
      <c r="P312" s="52" t="n">
        <f aca="false">ABS(Daromadlilik!L290)/K312</f>
        <v>2.50776964129368E-011</v>
      </c>
    </row>
    <row r="313" customFormat="false" ht="15" hidden="false" customHeight="false" outlineLevel="0" collapsed="false">
      <c r="G313" s="19" t="n">
        <f aca="false">Daromadlilik!A291</f>
        <v>45699</v>
      </c>
      <c r="H313" s="51" t="n">
        <f aca="false">Hajmlar!B292*Narxlar!C292</f>
        <v>2520600600</v>
      </c>
      <c r="I313" s="51" t="n">
        <f aca="false">Hajmlar!C292*Narxlar!D292</f>
        <v>1375495200</v>
      </c>
      <c r="J313" s="51" t="n">
        <f aca="false">Hajmlar!D292*Narxlar!E292</f>
        <v>1122307200</v>
      </c>
      <c r="K313" s="51" t="n">
        <f aca="false">Hajmlar!E292*Narxlar!F292</f>
        <v>667717000</v>
      </c>
      <c r="M313" s="52" t="n">
        <f aca="false">ABS(Daromadlilik!I291)/H313</f>
        <v>3.10355721859492E-012</v>
      </c>
      <c r="N313" s="52" t="n">
        <f aca="false">ABS(Daromadlilik!J291)/I313</f>
        <v>8.8976269298869E-012</v>
      </c>
      <c r="O313" s="52" t="n">
        <f aca="false">ABS(Daromadlilik!K291)/J313</f>
        <v>7.13599592946208E-012</v>
      </c>
      <c r="P313" s="52" t="n">
        <f aca="false">ABS(Daromadlilik!L291)/K313</f>
        <v>3.10889323947662E-011</v>
      </c>
    </row>
    <row r="314" customFormat="false" ht="15" hidden="false" customHeight="false" outlineLevel="0" collapsed="false">
      <c r="G314" s="19" t="n">
        <f aca="false">Daromadlilik!A292</f>
        <v>45700</v>
      </c>
      <c r="H314" s="51" t="n">
        <f aca="false">Hajmlar!B293*Narxlar!C293</f>
        <v>4171545000</v>
      </c>
      <c r="I314" s="51" t="n">
        <f aca="false">Hajmlar!C293*Narxlar!D293</f>
        <v>1128227100</v>
      </c>
      <c r="J314" s="51" t="n">
        <f aca="false">Hajmlar!D293*Narxlar!E293</f>
        <v>973013000</v>
      </c>
      <c r="K314" s="51" t="n">
        <f aca="false">Hajmlar!E293*Narxlar!F293</f>
        <v>597141900</v>
      </c>
      <c r="M314" s="52" t="n">
        <f aca="false">ABS(Daromadlilik!I292)/H314</f>
        <v>2.72538546396115E-012</v>
      </c>
      <c r="N314" s="52" t="n">
        <f aca="false">ABS(Daromadlilik!J292)/I314</f>
        <v>5.59885457414902E-012</v>
      </c>
      <c r="O314" s="52" t="n">
        <f aca="false">ABS(Daromadlilik!K292)/J314</f>
        <v>4.94880396208614E-012</v>
      </c>
      <c r="P314" s="52" t="n">
        <f aca="false">ABS(Daromadlilik!L292)/K314</f>
        <v>2.90058397497206E-011</v>
      </c>
    </row>
    <row r="315" customFormat="false" ht="15" hidden="false" customHeight="false" outlineLevel="0" collapsed="false">
      <c r="G315" s="19" t="n">
        <f aca="false">Daromadlilik!A293</f>
        <v>45701</v>
      </c>
      <c r="H315" s="51" t="n">
        <f aca="false">Hajmlar!B294*Narxlar!C294</f>
        <v>1822966600</v>
      </c>
      <c r="I315" s="51" t="n">
        <f aca="false">Hajmlar!C294*Narxlar!D294</f>
        <v>1157962500</v>
      </c>
      <c r="J315" s="51" t="n">
        <f aca="false">Hajmlar!D294*Narxlar!E294</f>
        <v>934234000</v>
      </c>
      <c r="K315" s="51" t="n">
        <f aca="false">Hajmlar!E294*Narxlar!F294</f>
        <v>861140400</v>
      </c>
      <c r="M315" s="52" t="n">
        <f aca="false">ABS(Daromadlilik!I293)/H315</f>
        <v>6.06145838688703E-012</v>
      </c>
      <c r="N315" s="52" t="n">
        <f aca="false">ABS(Daromadlilik!J293)/I315</f>
        <v>3.32736233248335E-012</v>
      </c>
      <c r="O315" s="52" t="n">
        <f aca="false">ABS(Daromadlilik!K293)/J315</f>
        <v>3.36902580435142E-013</v>
      </c>
      <c r="P315" s="52" t="n">
        <f aca="false">ABS(Daromadlilik!L293)/K315</f>
        <v>2.35325054262089E-011</v>
      </c>
    </row>
    <row r="316" customFormat="false" ht="15" hidden="false" customHeight="false" outlineLevel="0" collapsed="false">
      <c r="G316" s="19" t="n">
        <f aca="false">Daromadlilik!A294</f>
        <v>45702</v>
      </c>
      <c r="H316" s="51" t="n">
        <f aca="false">Hajmlar!B295*Narxlar!C295</f>
        <v>2102188900</v>
      </c>
      <c r="I316" s="51" t="n">
        <f aca="false">Hajmlar!C295*Narxlar!D295</f>
        <v>1416819500</v>
      </c>
      <c r="J316" s="51" t="n">
        <f aca="false">Hajmlar!D295*Narxlar!E295</f>
        <v>835086000</v>
      </c>
      <c r="K316" s="51" t="n">
        <f aca="false">Hajmlar!E295*Narxlar!F295</f>
        <v>1057115700</v>
      </c>
      <c r="M316" s="52" t="n">
        <f aca="false">ABS(Daromadlilik!I294)/H316</f>
        <v>1.05714271370714E-011</v>
      </c>
      <c r="N316" s="52" t="n">
        <f aca="false">ABS(Daromadlilik!J294)/I316</f>
        <v>3.7922675148447E-012</v>
      </c>
      <c r="O316" s="52" t="n">
        <f aca="false">ABS(Daromadlilik!K294)/J316</f>
        <v>1.22470044594359E-011</v>
      </c>
      <c r="P316" s="52" t="n">
        <f aca="false">ABS(Daromadlilik!L294)/K316</f>
        <v>4.20916921777827E-012</v>
      </c>
    </row>
    <row r="317" customFormat="false" ht="15" hidden="false" customHeight="false" outlineLevel="0" collapsed="false">
      <c r="G317" s="19" t="n">
        <f aca="false">Daromadlilik!A295</f>
        <v>45705</v>
      </c>
      <c r="H317" s="51" t="n">
        <f aca="false">Hajmlar!B296*Narxlar!C296</f>
        <v>1033936800</v>
      </c>
      <c r="I317" s="51" t="n">
        <f aca="false">Hajmlar!C296*Narxlar!D296</f>
        <v>2173909200</v>
      </c>
      <c r="J317" s="51" t="n">
        <f aca="false">Hajmlar!D296*Narxlar!E296</f>
        <v>1344289800</v>
      </c>
      <c r="K317" s="51" t="n">
        <f aca="false">Hajmlar!E296*Narxlar!F296</f>
        <v>711100000</v>
      </c>
      <c r="M317" s="52" t="n">
        <f aca="false">ABS(Daromadlilik!I295)/H317</f>
        <v>4.26927050205575E-012</v>
      </c>
      <c r="N317" s="52" t="n">
        <f aca="false">ABS(Daromadlilik!J295)/I317</f>
        <v>2.04294659293526E-011</v>
      </c>
      <c r="O317" s="52" t="n">
        <f aca="false">ABS(Daromadlilik!K295)/J317</f>
        <v>5.57633319204301E-012</v>
      </c>
      <c r="P317" s="52" t="n">
        <f aca="false">ABS(Daromadlilik!L295)/K317</f>
        <v>3.02073872941326E-011</v>
      </c>
    </row>
    <row r="318" customFormat="false" ht="15" hidden="false" customHeight="false" outlineLevel="0" collapsed="false">
      <c r="G318" s="19" t="n">
        <f aca="false">Daromadlilik!A296</f>
        <v>45706</v>
      </c>
      <c r="H318" s="51" t="n">
        <f aca="false">Hajmlar!B297*Narxlar!C297</f>
        <v>3108929800</v>
      </c>
      <c r="I318" s="51" t="n">
        <f aca="false">Hajmlar!C297*Narxlar!D297</f>
        <v>1938431500</v>
      </c>
      <c r="J318" s="51" t="n">
        <f aca="false">Hajmlar!D297*Narxlar!E297</f>
        <v>801807600</v>
      </c>
      <c r="K318" s="51" t="n">
        <f aca="false">Hajmlar!E297*Narxlar!F297</f>
        <v>1163808000</v>
      </c>
      <c r="M318" s="52" t="n">
        <f aca="false">ABS(Daromadlilik!I296)/H318</f>
        <v>3.67736901747892E-012</v>
      </c>
      <c r="N318" s="52" t="n">
        <f aca="false">ABS(Daromadlilik!J296)/I318</f>
        <v>9.4062583078145E-012</v>
      </c>
      <c r="O318" s="52" t="n">
        <f aca="false">ABS(Daromadlilik!K296)/J318</f>
        <v>1.09711972908722E-011</v>
      </c>
      <c r="P318" s="52" t="n">
        <f aca="false">ABS(Daromadlilik!L296)/K318</f>
        <v>8.77588923475142E-012</v>
      </c>
    </row>
    <row r="319" customFormat="false" ht="15" hidden="false" customHeight="false" outlineLevel="0" collapsed="false">
      <c r="G319" s="19" t="n">
        <f aca="false">Daromadlilik!A297</f>
        <v>45707</v>
      </c>
      <c r="H319" s="51" t="n">
        <f aca="false">Hajmlar!B298*Narxlar!C298</f>
        <v>2281646800</v>
      </c>
      <c r="I319" s="51" t="n">
        <f aca="false">Hajmlar!C298*Narxlar!D298</f>
        <v>1373782200</v>
      </c>
      <c r="J319" s="51" t="n">
        <f aca="false">Hajmlar!D298*Narxlar!E298</f>
        <v>1555425900</v>
      </c>
      <c r="K319" s="51" t="n">
        <f aca="false">Hajmlar!E298*Narxlar!F298</f>
        <v>1021438000</v>
      </c>
      <c r="M319" s="52" t="n">
        <f aca="false">ABS(Daromadlilik!I297)/H319</f>
        <v>6.32807942481969E-012</v>
      </c>
      <c r="N319" s="52" t="n">
        <f aca="false">ABS(Daromadlilik!J297)/I319</f>
        <v>5.22472336137135E-012</v>
      </c>
      <c r="O319" s="52" t="n">
        <f aca="false">ABS(Daromadlilik!K297)/J319</f>
        <v>1.38221984029964E-011</v>
      </c>
      <c r="P319" s="52" t="n">
        <f aca="false">ABS(Daromadlilik!L297)/K319</f>
        <v>1.92114999256983E-011</v>
      </c>
    </row>
    <row r="320" customFormat="false" ht="15" hidden="false" customHeight="false" outlineLevel="0" collapsed="false">
      <c r="G320" s="19" t="n">
        <f aca="false">Daromadlilik!A298</f>
        <v>45708</v>
      </c>
      <c r="H320" s="51" t="n">
        <f aca="false">Hajmlar!B299*Narxlar!C299</f>
        <v>570175400</v>
      </c>
      <c r="I320" s="51" t="n">
        <f aca="false">Hajmlar!C299*Narxlar!D299</f>
        <v>1985115000</v>
      </c>
      <c r="J320" s="51" t="n">
        <f aca="false">Hajmlar!D299*Narxlar!E299</f>
        <v>580388200</v>
      </c>
      <c r="K320" s="51" t="n">
        <f aca="false">Hajmlar!E299*Narxlar!F299</f>
        <v>1122778300</v>
      </c>
      <c r="M320" s="52" t="n">
        <f aca="false">ABS(Daromadlilik!I298)/H320</f>
        <v>2.41637500186375E-011</v>
      </c>
      <c r="N320" s="52" t="n">
        <f aca="false">ABS(Daromadlilik!J298)/I320</f>
        <v>3.16110364872153E-012</v>
      </c>
      <c r="O320" s="52" t="n">
        <f aca="false">ABS(Daromadlilik!K298)/J320</f>
        <v>1.03095877948068E-011</v>
      </c>
      <c r="P320" s="52" t="n">
        <f aca="false">ABS(Daromadlilik!L298)/K320</f>
        <v>2.81284626952149E-011</v>
      </c>
    </row>
    <row r="321" customFormat="false" ht="15" hidden="false" customHeight="false" outlineLevel="0" collapsed="false">
      <c r="G321" s="19" t="n">
        <f aca="false">Daromadlilik!A299</f>
        <v>45709</v>
      </c>
      <c r="H321" s="51" t="n">
        <f aca="false">Hajmlar!B300*Narxlar!C300</f>
        <v>2689033200</v>
      </c>
      <c r="I321" s="51" t="n">
        <f aca="false">Hajmlar!C300*Narxlar!D300</f>
        <v>1677670400</v>
      </c>
      <c r="J321" s="51" t="n">
        <f aca="false">Hajmlar!D300*Narxlar!E300</f>
        <v>1360034200</v>
      </c>
      <c r="K321" s="51" t="n">
        <f aca="false">Hajmlar!E300*Narxlar!F300</f>
        <v>460182800</v>
      </c>
      <c r="M321" s="52" t="n">
        <f aca="false">ABS(Daromadlilik!I299)/H321</f>
        <v>1.1389961690473E-011</v>
      </c>
      <c r="N321" s="52" t="n">
        <f aca="false">ABS(Daromadlilik!J299)/I321</f>
        <v>3.96944650611604E-012</v>
      </c>
      <c r="O321" s="52" t="n">
        <f aca="false">ABS(Daromadlilik!K299)/J321</f>
        <v>2.01304760294004E-011</v>
      </c>
      <c r="P321" s="52" t="n">
        <f aca="false">ABS(Daromadlilik!L299)/K321</f>
        <v>1.36472615779298E-011</v>
      </c>
    </row>
    <row r="322" customFormat="false" ht="15" hidden="false" customHeight="false" outlineLevel="0" collapsed="false">
      <c r="G322" s="19" t="n">
        <f aca="false">Daromadlilik!A300</f>
        <v>45712</v>
      </c>
      <c r="H322" s="51" t="n">
        <f aca="false">Hajmlar!B301*Narxlar!C301</f>
        <v>1981764400</v>
      </c>
      <c r="I322" s="51" t="n">
        <f aca="false">Hajmlar!C301*Narxlar!D301</f>
        <v>1116872800</v>
      </c>
      <c r="J322" s="51" t="n">
        <f aca="false">Hajmlar!D301*Narxlar!E301</f>
        <v>1338568000</v>
      </c>
      <c r="K322" s="51" t="n">
        <f aca="false">Hajmlar!E301*Narxlar!F301</f>
        <v>788243200</v>
      </c>
      <c r="M322" s="52" t="n">
        <f aca="false">ABS(Daromadlilik!I300)/H322</f>
        <v>2.52228589478841E-012</v>
      </c>
      <c r="N322" s="52" t="n">
        <f aca="false">ABS(Daromadlilik!J300)/I322</f>
        <v>5.98885661112902E-012</v>
      </c>
      <c r="O322" s="52" t="n">
        <f aca="false">ABS(Daromadlilik!K300)/J322</f>
        <v>4.87066799377234E-012</v>
      </c>
      <c r="P322" s="52" t="n">
        <f aca="false">ABS(Daromadlilik!L300)/K322</f>
        <v>1.35931421681036E-011</v>
      </c>
    </row>
    <row r="323" customFormat="false" ht="15" hidden="false" customHeight="false" outlineLevel="0" collapsed="false">
      <c r="G323" s="19" t="n">
        <f aca="false">Daromadlilik!A301</f>
        <v>45713</v>
      </c>
      <c r="H323" s="51" t="n">
        <f aca="false">Hajmlar!B302*Narxlar!C302</f>
        <v>1825033100</v>
      </c>
      <c r="I323" s="51" t="n">
        <f aca="false">Hajmlar!C302*Narxlar!D302</f>
        <v>1513071000</v>
      </c>
      <c r="J323" s="51" t="n">
        <f aca="false">Hajmlar!D302*Narxlar!E302</f>
        <v>1455505800</v>
      </c>
      <c r="K323" s="51" t="n">
        <f aca="false">Hajmlar!E302*Narxlar!F302</f>
        <v>664070400</v>
      </c>
      <c r="M323" s="52" t="n">
        <f aca="false">ABS(Daromadlilik!I301)/H323</f>
        <v>9.30560583023106E-012</v>
      </c>
      <c r="N323" s="52" t="n">
        <f aca="false">ABS(Daromadlilik!J301)/I323</f>
        <v>5.00799772810465E-012</v>
      </c>
      <c r="O323" s="52" t="n">
        <f aca="false">ABS(Daromadlilik!K301)/J323</f>
        <v>7.12285637553529E-012</v>
      </c>
      <c r="P323" s="52" t="n">
        <f aca="false">ABS(Daromadlilik!L301)/K323</f>
        <v>2.68397686569923E-011</v>
      </c>
    </row>
    <row r="324" customFormat="false" ht="15" hidden="false" customHeight="false" outlineLevel="0" collapsed="false">
      <c r="G324" s="19" t="n">
        <f aca="false">Daromadlilik!A302</f>
        <v>45714</v>
      </c>
      <c r="H324" s="51" t="n">
        <f aca="false">Hajmlar!B303*Narxlar!C303</f>
        <v>3727718400</v>
      </c>
      <c r="I324" s="51" t="n">
        <f aca="false">Hajmlar!C303*Narxlar!D303</f>
        <v>1632562100</v>
      </c>
      <c r="J324" s="51" t="n">
        <f aca="false">Hajmlar!D303*Narxlar!E303</f>
        <v>683485200</v>
      </c>
      <c r="K324" s="51" t="n">
        <f aca="false">Hajmlar!E303*Narxlar!F303</f>
        <v>781449200</v>
      </c>
      <c r="M324" s="52" t="n">
        <f aca="false">ABS(Daromadlilik!I302)/H324</f>
        <v>5.40566258570644E-012</v>
      </c>
      <c r="N324" s="52" t="n">
        <f aca="false">ABS(Daromadlilik!J302)/I324</f>
        <v>6.62341343018461E-012</v>
      </c>
      <c r="O324" s="52" t="n">
        <f aca="false">ABS(Daromadlilik!K302)/J324</f>
        <v>7.68532021301933E-012</v>
      </c>
      <c r="P324" s="52" t="n">
        <f aca="false">ABS(Daromadlilik!L302)/K324</f>
        <v>6.65600848354567E-011</v>
      </c>
    </row>
    <row r="325" customFormat="false" ht="15" hidden="false" customHeight="false" outlineLevel="0" collapsed="false">
      <c r="G325" s="19" t="n">
        <f aca="false">Daromadlilik!A303</f>
        <v>45715</v>
      </c>
      <c r="H325" s="51" t="n">
        <f aca="false">Hajmlar!B304*Narxlar!C304</f>
        <v>1723408500</v>
      </c>
      <c r="I325" s="51" t="n">
        <f aca="false">Hajmlar!C304*Narxlar!D304</f>
        <v>2450849400</v>
      </c>
      <c r="J325" s="51" t="n">
        <f aca="false">Hajmlar!D304*Narxlar!E304</f>
        <v>849132000</v>
      </c>
      <c r="K325" s="51" t="n">
        <f aca="false">Hajmlar!E304*Narxlar!F304</f>
        <v>532950800</v>
      </c>
      <c r="M325" s="52" t="n">
        <f aca="false">ABS(Daromadlilik!I303)/H325</f>
        <v>7.50645311642774E-012</v>
      </c>
      <c r="N325" s="52" t="n">
        <f aca="false">ABS(Daromadlilik!J303)/I325</f>
        <v>2.88694466281997E-012</v>
      </c>
      <c r="O325" s="52" t="n">
        <f aca="false">ABS(Daromadlilik!K303)/J325</f>
        <v>2.5710581925015E-013</v>
      </c>
      <c r="P325" s="52" t="n">
        <f aca="false">ABS(Daromadlilik!L303)/K325</f>
        <v>1.93578590923581E-011</v>
      </c>
    </row>
    <row r="326" customFormat="false" ht="15" hidden="false" customHeight="false" outlineLevel="0" collapsed="false">
      <c r="G326" s="19" t="n">
        <f aca="false">Daromadlilik!A304</f>
        <v>45716</v>
      </c>
      <c r="H326" s="51" t="n">
        <f aca="false">Hajmlar!B305*Narxlar!C305</f>
        <v>1639848000</v>
      </c>
      <c r="I326" s="51" t="n">
        <f aca="false">Hajmlar!C305*Narxlar!D305</f>
        <v>1237694400</v>
      </c>
      <c r="J326" s="51" t="n">
        <f aca="false">Hajmlar!D305*Narxlar!E305</f>
        <v>1532886000</v>
      </c>
      <c r="K326" s="51" t="n">
        <f aca="false">Hajmlar!E305*Narxlar!F305</f>
        <v>1266921000</v>
      </c>
      <c r="M326" s="52" t="n">
        <f aca="false">ABS(Daromadlilik!I304)/H326</f>
        <v>1.26565879418595E-011</v>
      </c>
      <c r="N326" s="52" t="n">
        <f aca="false">ABS(Daromadlilik!J304)/I326</f>
        <v>1.30819545493195E-011</v>
      </c>
      <c r="O326" s="52" t="n">
        <f aca="false">ABS(Daromadlilik!K304)/J326</f>
        <v>1.29470139148839E-011</v>
      </c>
      <c r="P326" s="52" t="n">
        <f aca="false">ABS(Daromadlilik!L304)/K326</f>
        <v>3.00767965253691E-011</v>
      </c>
    </row>
    <row r="327" customFormat="false" ht="15" hidden="false" customHeight="false" outlineLevel="0" collapsed="false">
      <c r="G327" s="19" t="n">
        <f aca="false">Daromadlilik!A305</f>
        <v>45719</v>
      </c>
      <c r="H327" s="51" t="n">
        <f aca="false">Hajmlar!B306*Narxlar!C306</f>
        <v>1132850400</v>
      </c>
      <c r="I327" s="51" t="n">
        <f aca="false">Hajmlar!C306*Narxlar!D306</f>
        <v>1919743000</v>
      </c>
      <c r="J327" s="51" t="n">
        <f aca="false">Hajmlar!D306*Narxlar!E306</f>
        <v>751350600</v>
      </c>
      <c r="K327" s="51" t="n">
        <f aca="false">Hajmlar!E306*Narxlar!F306</f>
        <v>349738000</v>
      </c>
      <c r="M327" s="52" t="n">
        <f aca="false">ABS(Daromadlilik!I305)/H327</f>
        <v>2.50599908761527E-011</v>
      </c>
      <c r="N327" s="52" t="n">
        <f aca="false">ABS(Daromadlilik!J305)/I327</f>
        <v>2.91988524984587E-012</v>
      </c>
      <c r="O327" s="52" t="n">
        <f aca="false">ABS(Daromadlilik!K305)/J327</f>
        <v>4.29119954811332E-012</v>
      </c>
      <c r="P327" s="52" t="n">
        <f aca="false">ABS(Daromadlilik!L305)/K327</f>
        <v>8.06477559940857E-011</v>
      </c>
    </row>
    <row r="328" customFormat="false" ht="15" hidden="false" customHeight="false" outlineLevel="0" collapsed="false">
      <c r="G328" s="19" t="n">
        <f aca="false">Daromadlilik!A306</f>
        <v>45720</v>
      </c>
      <c r="H328" s="51" t="n">
        <f aca="false">Hajmlar!B307*Narxlar!C307</f>
        <v>1108875300</v>
      </c>
      <c r="I328" s="51" t="n">
        <f aca="false">Hajmlar!C307*Narxlar!D307</f>
        <v>2105223600</v>
      </c>
      <c r="J328" s="51" t="n">
        <f aca="false">Hajmlar!D307*Narxlar!E307</f>
        <v>755225000</v>
      </c>
      <c r="K328" s="51" t="n">
        <f aca="false">Hajmlar!E307*Narxlar!F307</f>
        <v>443850000</v>
      </c>
      <c r="M328" s="52" t="n">
        <f aca="false">ABS(Daromadlilik!I306)/H328</f>
        <v>5.26311354418181E-012</v>
      </c>
      <c r="N328" s="52" t="n">
        <f aca="false">ABS(Daromadlilik!J306)/I328</f>
        <v>4.91102473074557E-012</v>
      </c>
      <c r="O328" s="52" t="n">
        <f aca="false">ABS(Daromadlilik!K306)/J328</f>
        <v>1.83516383365068E-011</v>
      </c>
      <c r="P328" s="52" t="n">
        <f aca="false">ABS(Daromadlilik!L306)/K328</f>
        <v>6.17343718690368E-011</v>
      </c>
    </row>
    <row r="329" customFormat="false" ht="15" hidden="false" customHeight="false" outlineLevel="0" collapsed="false">
      <c r="G329" s="19" t="n">
        <f aca="false">Daromadlilik!A307</f>
        <v>45721</v>
      </c>
      <c r="H329" s="51" t="n">
        <f aca="false">Hajmlar!B308*Narxlar!C308</f>
        <v>2603135300</v>
      </c>
      <c r="I329" s="51" t="n">
        <f aca="false">Hajmlar!C308*Narxlar!D308</f>
        <v>1633542800</v>
      </c>
      <c r="J329" s="51" t="n">
        <f aca="false">Hajmlar!D308*Narxlar!E308</f>
        <v>613843000</v>
      </c>
      <c r="K329" s="51" t="n">
        <f aca="false">Hajmlar!E308*Narxlar!F308</f>
        <v>1770961500</v>
      </c>
      <c r="M329" s="52" t="n">
        <f aca="false">ABS(Daromadlilik!I307)/H329</f>
        <v>8.01307768687121E-012</v>
      </c>
      <c r="N329" s="52" t="n">
        <f aca="false">ABS(Daromadlilik!J307)/I329</f>
        <v>1.16692004683454E-011</v>
      </c>
      <c r="O329" s="52" t="n">
        <f aca="false">ABS(Daromadlilik!K307)/J329</f>
        <v>7.35063199363039E-012</v>
      </c>
      <c r="P329" s="52" t="n">
        <f aca="false">ABS(Daromadlilik!L307)/K329</f>
        <v>2.62682252747408E-011</v>
      </c>
    </row>
    <row r="330" customFormat="false" ht="15" hidden="false" customHeight="false" outlineLevel="0" collapsed="false">
      <c r="G330" s="19" t="n">
        <f aca="false">Daromadlilik!A308</f>
        <v>45722</v>
      </c>
      <c r="H330" s="51" t="n">
        <f aca="false">Hajmlar!B309*Narxlar!C309</f>
        <v>1422687500</v>
      </c>
      <c r="I330" s="51" t="n">
        <f aca="false">Hajmlar!C309*Narxlar!D309</f>
        <v>1330844400</v>
      </c>
      <c r="J330" s="51" t="n">
        <f aca="false">Hajmlar!D309*Narxlar!E309</f>
        <v>1139054400</v>
      </c>
      <c r="K330" s="51" t="n">
        <f aca="false">Hajmlar!E309*Narxlar!F309</f>
        <v>738761800</v>
      </c>
      <c r="M330" s="52" t="n">
        <f aca="false">ABS(Daromadlilik!I308)/H330</f>
        <v>9.02025231066178E-012</v>
      </c>
      <c r="N330" s="52" t="n">
        <f aca="false">ABS(Daromadlilik!J308)/I330</f>
        <v>7.67432229737058E-012</v>
      </c>
      <c r="O330" s="52" t="n">
        <f aca="false">ABS(Daromadlilik!K308)/J330</f>
        <v>5.57601816843908E-012</v>
      </c>
      <c r="P330" s="52" t="n">
        <f aca="false">ABS(Daromadlilik!L308)/K330</f>
        <v>2.28113108242667E-011</v>
      </c>
    </row>
    <row r="331" customFormat="false" ht="15" hidden="false" customHeight="false" outlineLevel="0" collapsed="false">
      <c r="G331" s="19" t="n">
        <f aca="false">Daromadlilik!A309</f>
        <v>45723</v>
      </c>
      <c r="H331" s="51" t="n">
        <f aca="false">Hajmlar!B310*Narxlar!C310</f>
        <v>1629421500</v>
      </c>
      <c r="I331" s="51" t="n">
        <f aca="false">Hajmlar!C310*Narxlar!D310</f>
        <v>1480729800</v>
      </c>
      <c r="J331" s="51" t="n">
        <f aca="false">Hajmlar!D310*Narxlar!E310</f>
        <v>1871643600</v>
      </c>
      <c r="K331" s="51" t="n">
        <f aca="false">Hajmlar!E310*Narxlar!F310</f>
        <v>838003200</v>
      </c>
      <c r="M331" s="52" t="n">
        <f aca="false">ABS(Daromadlilik!I309)/H331</f>
        <v>1.62275348357902E-011</v>
      </c>
      <c r="N331" s="52" t="n">
        <f aca="false">ABS(Daromadlilik!J309)/I331</f>
        <v>1.50403360835333E-011</v>
      </c>
      <c r="O331" s="52" t="n">
        <f aca="false">ABS(Daromadlilik!K309)/J331</f>
        <v>8.57921468496104E-012</v>
      </c>
      <c r="P331" s="52" t="n">
        <f aca="false">ABS(Daromadlilik!L309)/K331</f>
        <v>4.75538751594199E-011</v>
      </c>
    </row>
    <row r="332" customFormat="false" ht="15" hidden="false" customHeight="false" outlineLevel="0" collapsed="false">
      <c r="G332" s="19" t="n">
        <f aca="false">Daromadlilik!A310</f>
        <v>45726</v>
      </c>
      <c r="H332" s="51" t="n">
        <f aca="false">Hajmlar!B311*Narxlar!C311</f>
        <v>1537456200</v>
      </c>
      <c r="I332" s="51" t="n">
        <f aca="false">Hajmlar!C311*Narxlar!D311</f>
        <v>744511600</v>
      </c>
      <c r="J332" s="51" t="n">
        <f aca="false">Hajmlar!D311*Narxlar!E311</f>
        <v>1642485600</v>
      </c>
      <c r="K332" s="51" t="n">
        <f aca="false">Hajmlar!E311*Narxlar!F311</f>
        <v>385502400</v>
      </c>
      <c r="M332" s="52" t="n">
        <f aca="false">ABS(Daromadlilik!I310)/H332</f>
        <v>1.8932750401179E-011</v>
      </c>
      <c r="N332" s="52" t="n">
        <f aca="false">ABS(Daromadlilik!J310)/I332</f>
        <v>6.68156151495346E-012</v>
      </c>
      <c r="O332" s="52" t="n">
        <f aca="false">ABS(Daromadlilik!K310)/J332</f>
        <v>5.72874074447115E-012</v>
      </c>
      <c r="P332" s="52" t="n">
        <f aca="false">ABS(Daromadlilik!L310)/K332</f>
        <v>8.0549068090041E-012</v>
      </c>
    </row>
    <row r="333" customFormat="false" ht="15" hidden="false" customHeight="false" outlineLevel="0" collapsed="false">
      <c r="G333" s="19" t="n">
        <f aca="false">Daromadlilik!A311</f>
        <v>45727</v>
      </c>
      <c r="H333" s="51" t="n">
        <f aca="false">Hajmlar!B312*Narxlar!C312</f>
        <v>2576402500</v>
      </c>
      <c r="I333" s="51" t="n">
        <f aca="false">Hajmlar!C312*Narxlar!D312</f>
        <v>1883497000</v>
      </c>
      <c r="J333" s="51" t="n">
        <f aca="false">Hajmlar!D312*Narxlar!E312</f>
        <v>927504000</v>
      </c>
      <c r="K333" s="51" t="n">
        <f aca="false">Hajmlar!E312*Narxlar!F312</f>
        <v>695728000</v>
      </c>
      <c r="M333" s="52" t="n">
        <f aca="false">ABS(Daromadlilik!I311)/H333</f>
        <v>4.67860424178021E-012</v>
      </c>
      <c r="N333" s="52" t="n">
        <f aca="false">ABS(Daromadlilik!J311)/I333</f>
        <v>6.9186635677858E-012</v>
      </c>
      <c r="O333" s="52" t="n">
        <f aca="false">ABS(Daromadlilik!K311)/J333</f>
        <v>2.51378632446539E-012</v>
      </c>
      <c r="P333" s="52" t="n">
        <f aca="false">ABS(Daromadlilik!L311)/K333</f>
        <v>4.42160158094749E-011</v>
      </c>
    </row>
    <row r="334" customFormat="false" ht="15" hidden="false" customHeight="false" outlineLevel="0" collapsed="false">
      <c r="G334" s="19" t="n">
        <f aca="false">Daromadlilik!A312</f>
        <v>45728</v>
      </c>
      <c r="H334" s="51" t="n">
        <f aca="false">Hajmlar!B313*Narxlar!C313</f>
        <v>1566870000</v>
      </c>
      <c r="I334" s="51" t="n">
        <f aca="false">Hajmlar!C313*Narxlar!D313</f>
        <v>489751800</v>
      </c>
      <c r="J334" s="51" t="n">
        <f aca="false">Hajmlar!D313*Narxlar!E313</f>
        <v>935383600</v>
      </c>
      <c r="K334" s="51" t="n">
        <f aca="false">Hajmlar!E313*Narxlar!F313</f>
        <v>366086400</v>
      </c>
      <c r="M334" s="52" t="n">
        <f aca="false">ABS(Daromadlilik!I312)/H334</f>
        <v>1.00302140716087E-011</v>
      </c>
      <c r="N334" s="52" t="n">
        <f aca="false">ABS(Daromadlilik!J312)/I334</f>
        <v>4.96567290174783E-012</v>
      </c>
      <c r="O334" s="52" t="n">
        <f aca="false">ABS(Daromadlilik!K312)/J334</f>
        <v>5.09175434510068E-012</v>
      </c>
      <c r="P334" s="52" t="n">
        <f aca="false">ABS(Daromadlilik!L312)/K334</f>
        <v>5.91223468476162E-011</v>
      </c>
    </row>
    <row r="335" customFormat="false" ht="15" hidden="false" customHeight="false" outlineLevel="0" collapsed="false">
      <c r="G335" s="19" t="n">
        <f aca="false">Daromadlilik!A313</f>
        <v>45729</v>
      </c>
      <c r="H335" s="51" t="n">
        <f aca="false">Hajmlar!B314*Narxlar!C314</f>
        <v>2489215500</v>
      </c>
      <c r="I335" s="51" t="n">
        <f aca="false">Hajmlar!C314*Narxlar!D314</f>
        <v>995012200</v>
      </c>
      <c r="J335" s="51" t="n">
        <f aca="false">Hajmlar!D314*Narxlar!E314</f>
        <v>737036700</v>
      </c>
      <c r="K335" s="51" t="n">
        <f aca="false">Hajmlar!E314*Narxlar!F314</f>
        <v>515193600</v>
      </c>
      <c r="M335" s="52" t="n">
        <f aca="false">ABS(Daromadlilik!I313)/H335</f>
        <v>1.15974483833102E-011</v>
      </c>
      <c r="N335" s="52" t="n">
        <f aca="false">ABS(Daromadlilik!J313)/I335</f>
        <v>3.22500860122098E-012</v>
      </c>
      <c r="O335" s="52" t="n">
        <f aca="false">ABS(Daromadlilik!K313)/J335</f>
        <v>2.02769005816788E-011</v>
      </c>
      <c r="P335" s="52" t="n">
        <f aca="false">ABS(Daromadlilik!L313)/K335</f>
        <v>2.21891234016048E-011</v>
      </c>
    </row>
    <row r="336" customFormat="false" ht="15" hidden="false" customHeight="false" outlineLevel="0" collapsed="false">
      <c r="G336" s="19" t="n">
        <f aca="false">Daromadlilik!A314</f>
        <v>45730</v>
      </c>
      <c r="H336" s="51" t="n">
        <f aca="false">Hajmlar!B315*Narxlar!C315</f>
        <v>2533837800</v>
      </c>
      <c r="I336" s="51" t="n">
        <f aca="false">Hajmlar!C315*Narxlar!D315</f>
        <v>1069955700</v>
      </c>
      <c r="J336" s="51" t="n">
        <f aca="false">Hajmlar!D315*Narxlar!E315</f>
        <v>680011200</v>
      </c>
      <c r="K336" s="51" t="n">
        <f aca="false">Hajmlar!E315*Narxlar!F315</f>
        <v>535300000</v>
      </c>
      <c r="M336" s="52" t="n">
        <f aca="false">ABS(Daromadlilik!I314)/H336</f>
        <v>5.14289784879102E-012</v>
      </c>
      <c r="N336" s="52" t="n">
        <f aca="false">ABS(Daromadlilik!J314)/I336</f>
        <v>1.42871285237765E-011</v>
      </c>
      <c r="O336" s="52" t="n">
        <f aca="false">ABS(Daromadlilik!K314)/J336</f>
        <v>1.46308857370981E-011</v>
      </c>
      <c r="P336" s="52" t="n">
        <f aca="false">ABS(Daromadlilik!L314)/K336</f>
        <v>2.33284893084715E-011</v>
      </c>
    </row>
    <row r="337" customFormat="false" ht="15" hidden="false" customHeight="false" outlineLevel="0" collapsed="false">
      <c r="G337" s="19" t="n">
        <f aca="false">Daromadlilik!A315</f>
        <v>45733</v>
      </c>
      <c r="H337" s="51" t="n">
        <f aca="false">Hajmlar!B316*Narxlar!C316</f>
        <v>1750976200</v>
      </c>
      <c r="I337" s="51" t="n">
        <f aca="false">Hajmlar!C316*Narxlar!D316</f>
        <v>1314057500</v>
      </c>
      <c r="J337" s="51" t="n">
        <f aca="false">Hajmlar!D316*Narxlar!E316</f>
        <v>1201051600</v>
      </c>
      <c r="K337" s="51" t="n">
        <f aca="false">Hajmlar!E316*Narxlar!F316</f>
        <v>570499200</v>
      </c>
      <c r="M337" s="52" t="n">
        <f aca="false">ABS(Daromadlilik!I315)/H337</f>
        <v>1.1178391300808E-011</v>
      </c>
      <c r="N337" s="52" t="n">
        <f aca="false">ABS(Daromadlilik!J315)/I337</f>
        <v>1.11899660178783E-011</v>
      </c>
      <c r="O337" s="52" t="n">
        <f aca="false">ABS(Daromadlilik!K315)/J337</f>
        <v>8.96958791053561E-012</v>
      </c>
      <c r="P337" s="52" t="n">
        <f aca="false">ABS(Daromadlilik!L315)/K337</f>
        <v>5.83047383738941E-012</v>
      </c>
    </row>
    <row r="338" customFormat="false" ht="15" hidden="false" customHeight="false" outlineLevel="0" collapsed="false">
      <c r="G338" s="19" t="n">
        <f aca="false">Daromadlilik!A316</f>
        <v>45734</v>
      </c>
      <c r="H338" s="51" t="n">
        <f aca="false">Hajmlar!B317*Narxlar!C317</f>
        <v>3379674600</v>
      </c>
      <c r="I338" s="51" t="n">
        <f aca="false">Hajmlar!C317*Narxlar!D317</f>
        <v>1549104600</v>
      </c>
      <c r="J338" s="51" t="n">
        <f aca="false">Hajmlar!D317*Narxlar!E317</f>
        <v>1019129800</v>
      </c>
      <c r="K338" s="51" t="n">
        <f aca="false">Hajmlar!E317*Narxlar!F317</f>
        <v>495125600</v>
      </c>
      <c r="M338" s="52" t="n">
        <f aca="false">ABS(Daromadlilik!I316)/H338</f>
        <v>8.42860259242505E-012</v>
      </c>
      <c r="N338" s="52" t="n">
        <f aca="false">ABS(Daromadlilik!J316)/I338</f>
        <v>1.04172454563126E-011</v>
      </c>
      <c r="O338" s="52" t="n">
        <f aca="false">ABS(Daromadlilik!K316)/J338</f>
        <v>1.13703734696077E-011</v>
      </c>
      <c r="P338" s="52" t="n">
        <f aca="false">ABS(Daromadlilik!L316)/K338</f>
        <v>3.76517611072418E-011</v>
      </c>
    </row>
    <row r="339" customFormat="false" ht="15" hidden="false" customHeight="false" outlineLevel="0" collapsed="false">
      <c r="G339" s="19" t="n">
        <f aca="false">Daromadlilik!A317</f>
        <v>45735</v>
      </c>
      <c r="H339" s="51" t="n">
        <f aca="false">Hajmlar!B318*Narxlar!C318</f>
        <v>1176519000</v>
      </c>
      <c r="I339" s="51" t="n">
        <f aca="false">Hajmlar!C318*Narxlar!D318</f>
        <v>1291657500</v>
      </c>
      <c r="J339" s="51" t="n">
        <f aca="false">Hajmlar!D318*Narxlar!E318</f>
        <v>720242400</v>
      </c>
      <c r="K339" s="51" t="n">
        <f aca="false">Hajmlar!E318*Narxlar!F318</f>
        <v>300665700</v>
      </c>
      <c r="M339" s="52" t="n">
        <f aca="false">ABS(Daromadlilik!I317)/H339</f>
        <v>1.14294661168542E-012</v>
      </c>
      <c r="N339" s="52" t="n">
        <f aca="false">ABS(Daromadlilik!J317)/I339</f>
        <v>3.63039596211129E-012</v>
      </c>
      <c r="O339" s="52" t="n">
        <f aca="false">ABS(Daromadlilik!K317)/J339</f>
        <v>6.93043664393411E-012</v>
      </c>
      <c r="P339" s="52" t="n">
        <f aca="false">ABS(Daromadlilik!L317)/K339</f>
        <v>2.19283571483114E-011</v>
      </c>
    </row>
    <row r="340" customFormat="false" ht="15" hidden="false" customHeight="false" outlineLevel="0" collapsed="false">
      <c r="G340" s="19" t="n">
        <f aca="false">Daromadlilik!A318</f>
        <v>45736</v>
      </c>
      <c r="H340" s="51" t="n">
        <f aca="false">Hajmlar!B319*Narxlar!C319</f>
        <v>1758876700</v>
      </c>
      <c r="I340" s="51" t="n">
        <f aca="false">Hajmlar!C319*Narxlar!D319</f>
        <v>1692566400</v>
      </c>
      <c r="J340" s="51" t="n">
        <f aca="false">Hajmlar!D319*Narxlar!E319</f>
        <v>539897400</v>
      </c>
      <c r="K340" s="51" t="n">
        <f aca="false">Hajmlar!E319*Narxlar!F319</f>
        <v>556792800</v>
      </c>
      <c r="M340" s="52" t="n">
        <f aca="false">ABS(Daromadlilik!I318)/H340</f>
        <v>1.01127214902159E-011</v>
      </c>
      <c r="N340" s="52" t="n">
        <f aca="false">ABS(Daromadlilik!J318)/I340</f>
        <v>7.90009396571989E-012</v>
      </c>
      <c r="O340" s="52" t="n">
        <f aca="false">ABS(Daromadlilik!K318)/J340</f>
        <v>1.23979480435344E-011</v>
      </c>
      <c r="P340" s="52" t="n">
        <f aca="false">ABS(Daromadlilik!L318)/K340</f>
        <v>3.1352175354117E-011</v>
      </c>
    </row>
    <row r="341" customFormat="false" ht="15" hidden="false" customHeight="false" outlineLevel="0" collapsed="false">
      <c r="G341" s="19" t="n">
        <f aca="false">Daromadlilik!A319</f>
        <v>45737</v>
      </c>
      <c r="H341" s="51" t="n">
        <f aca="false">Hajmlar!B320*Narxlar!C320</f>
        <v>1889449400</v>
      </c>
      <c r="I341" s="51" t="n">
        <f aca="false">Hajmlar!C320*Narxlar!D320</f>
        <v>1584589000</v>
      </c>
      <c r="J341" s="51" t="n">
        <f aca="false">Hajmlar!D320*Narxlar!E320</f>
        <v>1805104900</v>
      </c>
      <c r="K341" s="51" t="n">
        <f aca="false">Hajmlar!E320*Narxlar!F320</f>
        <v>489822200</v>
      </c>
      <c r="M341" s="52" t="n">
        <f aca="false">ABS(Daromadlilik!I319)/H341</f>
        <v>1.06771997759831E-011</v>
      </c>
      <c r="N341" s="52" t="n">
        <f aca="false">ABS(Daromadlilik!J319)/I341</f>
        <v>6.36346683299662E-012</v>
      </c>
      <c r="O341" s="52" t="n">
        <f aca="false">ABS(Daromadlilik!K319)/J341</f>
        <v>3.38751266330175E-012</v>
      </c>
      <c r="P341" s="52" t="n">
        <f aca="false">ABS(Daromadlilik!L319)/K341</f>
        <v>3.75239089888313E-011</v>
      </c>
    </row>
    <row r="342" customFormat="false" ht="15" hidden="false" customHeight="false" outlineLevel="0" collapsed="false">
      <c r="G342" s="19" t="n">
        <f aca="false">Daromadlilik!A320</f>
        <v>45740</v>
      </c>
      <c r="H342" s="51" t="n">
        <f aca="false">Hajmlar!B321*Narxlar!C321</f>
        <v>3990357800</v>
      </c>
      <c r="I342" s="51" t="n">
        <f aca="false">Hajmlar!C321*Narxlar!D321</f>
        <v>1634842800</v>
      </c>
      <c r="J342" s="51" t="n">
        <f aca="false">Hajmlar!D321*Narxlar!E321</f>
        <v>1126873500</v>
      </c>
      <c r="K342" s="51" t="n">
        <f aca="false">Hajmlar!E321*Narxlar!F321</f>
        <v>813844200</v>
      </c>
      <c r="M342" s="52" t="n">
        <f aca="false">ABS(Daromadlilik!I320)/H342</f>
        <v>1.29723992453137E-011</v>
      </c>
      <c r="N342" s="52" t="n">
        <f aca="false">ABS(Daromadlilik!J320)/I342</f>
        <v>1.84837832760549E-011</v>
      </c>
      <c r="O342" s="52" t="n">
        <f aca="false">ABS(Daromadlilik!K320)/J342</f>
        <v>2.07809766204275E-011</v>
      </c>
      <c r="P342" s="52" t="n">
        <f aca="false">ABS(Daromadlilik!L320)/K342</f>
        <v>3.33205871018361E-011</v>
      </c>
    </row>
    <row r="343" customFormat="false" ht="15" hidden="false" customHeight="false" outlineLevel="0" collapsed="false">
      <c r="G343" s="19" t="n">
        <f aca="false">Daromadlilik!A321</f>
        <v>45741</v>
      </c>
      <c r="H343" s="51" t="n">
        <f aca="false">Hajmlar!B322*Narxlar!C322</f>
        <v>4039932600</v>
      </c>
      <c r="I343" s="51" t="n">
        <f aca="false">Hajmlar!C322*Narxlar!D322</f>
        <v>901781100</v>
      </c>
      <c r="J343" s="51" t="n">
        <f aca="false">Hajmlar!D322*Narxlar!E322</f>
        <v>871527200</v>
      </c>
      <c r="K343" s="51" t="n">
        <f aca="false">Hajmlar!E322*Narxlar!F322</f>
        <v>978321100</v>
      </c>
      <c r="M343" s="52" t="n">
        <f aca="false">ABS(Daromadlilik!I321)/H343</f>
        <v>1.11673910746669E-011</v>
      </c>
      <c r="N343" s="52" t="n">
        <f aca="false">ABS(Daromadlilik!J321)/I343</f>
        <v>2.95434061577834E-012</v>
      </c>
      <c r="O343" s="52" t="n">
        <f aca="false">ABS(Daromadlilik!K321)/J343</f>
        <v>1.49132024827881E-011</v>
      </c>
      <c r="P343" s="52" t="n">
        <f aca="false">ABS(Daromadlilik!L321)/K343</f>
        <v>5.24340025196063E-011</v>
      </c>
    </row>
    <row r="344" customFormat="false" ht="15" hidden="false" customHeight="false" outlineLevel="0" collapsed="false">
      <c r="G344" s="19" t="n">
        <f aca="false">Daromadlilik!A322</f>
        <v>45742</v>
      </c>
      <c r="H344" s="51" t="n">
        <f aca="false">Hajmlar!B323*Narxlar!C323</f>
        <v>1282038300</v>
      </c>
      <c r="I344" s="51" t="n">
        <f aca="false">Hajmlar!C323*Narxlar!D323</f>
        <v>1958813300</v>
      </c>
      <c r="J344" s="51" t="n">
        <f aca="false">Hajmlar!D323*Narxlar!E323</f>
        <v>1339739400</v>
      </c>
      <c r="K344" s="51" t="n">
        <f aca="false">Hajmlar!E323*Narxlar!F323</f>
        <v>897881600</v>
      </c>
      <c r="M344" s="52" t="n">
        <f aca="false">ABS(Daromadlilik!I322)/H344</f>
        <v>1.37684684363246E-011</v>
      </c>
      <c r="N344" s="52" t="n">
        <f aca="false">ABS(Daromadlilik!J322)/I344</f>
        <v>1.1307141040149E-011</v>
      </c>
      <c r="O344" s="52" t="n">
        <f aca="false">ABS(Daromadlilik!K322)/J344</f>
        <v>1.26137432441279E-011</v>
      </c>
      <c r="P344" s="52" t="n">
        <f aca="false">ABS(Daromadlilik!L322)/K344</f>
        <v>2.14690402246587E-011</v>
      </c>
    </row>
    <row r="345" customFormat="false" ht="15" hidden="false" customHeight="false" outlineLevel="0" collapsed="false">
      <c r="G345" s="19" t="n">
        <f aca="false">Daromadlilik!A323</f>
        <v>45743</v>
      </c>
      <c r="H345" s="51" t="n">
        <f aca="false">Hajmlar!B324*Narxlar!C324</f>
        <v>2156923000</v>
      </c>
      <c r="I345" s="51" t="n">
        <f aca="false">Hajmlar!C324*Narxlar!D324</f>
        <v>2997728500</v>
      </c>
      <c r="J345" s="51" t="n">
        <f aca="false">Hajmlar!D324*Narxlar!E324</f>
        <v>849949200</v>
      </c>
      <c r="K345" s="51" t="n">
        <f aca="false">Hajmlar!E324*Narxlar!F324</f>
        <v>399577600</v>
      </c>
      <c r="M345" s="52" t="n">
        <f aca="false">ABS(Daromadlilik!I323)/H345</f>
        <v>1.88867793977498E-011</v>
      </c>
      <c r="N345" s="52" t="n">
        <f aca="false">ABS(Daromadlilik!J323)/I345</f>
        <v>6.51252235377429E-012</v>
      </c>
      <c r="O345" s="52" t="n">
        <f aca="false">ABS(Daromadlilik!K323)/J345</f>
        <v>4.71115818877574E-012</v>
      </c>
      <c r="P345" s="52" t="n">
        <f aca="false">ABS(Daromadlilik!L323)/K345</f>
        <v>7.53806841071348E-011</v>
      </c>
    </row>
    <row r="346" customFormat="false" ht="15" hidden="false" customHeight="false" outlineLevel="0" collapsed="false">
      <c r="G346" s="19" t="n">
        <f aca="false">Daromadlilik!A324</f>
        <v>45744</v>
      </c>
      <c r="H346" s="51" t="n">
        <f aca="false">Hajmlar!B325*Narxlar!C325</f>
        <v>3840323400</v>
      </c>
      <c r="I346" s="51" t="n">
        <f aca="false">Hajmlar!C325*Narxlar!D325</f>
        <v>1878769700</v>
      </c>
      <c r="J346" s="51" t="n">
        <f aca="false">Hajmlar!D325*Narxlar!E325</f>
        <v>775153600</v>
      </c>
      <c r="K346" s="51" t="n">
        <f aca="false">Hajmlar!E325*Narxlar!F325</f>
        <v>658238800</v>
      </c>
      <c r="M346" s="52" t="n">
        <f aca="false">ABS(Daromadlilik!I324)/H346</f>
        <v>9.19557070507035E-012</v>
      </c>
      <c r="N346" s="52" t="n">
        <f aca="false">ABS(Daromadlilik!J324)/I346</f>
        <v>1.50200097421957E-011</v>
      </c>
      <c r="O346" s="52" t="n">
        <f aca="false">ABS(Daromadlilik!K324)/J346</f>
        <v>1.86664044620869E-011</v>
      </c>
      <c r="P346" s="52" t="n">
        <f aca="false">ABS(Daromadlilik!L324)/K346</f>
        <v>3.93050209522672E-011</v>
      </c>
    </row>
    <row r="347" customFormat="false" ht="15" hidden="false" customHeight="false" outlineLevel="0" collapsed="false">
      <c r="G347" s="19" t="n">
        <f aca="false">Daromadlilik!A325</f>
        <v>45747</v>
      </c>
      <c r="H347" s="51" t="n">
        <f aca="false">Hajmlar!B326*Narxlar!C326</f>
        <v>1384307600</v>
      </c>
      <c r="I347" s="51" t="n">
        <f aca="false">Hajmlar!C326*Narxlar!D326</f>
        <v>888671400</v>
      </c>
      <c r="J347" s="51" t="n">
        <f aca="false">Hajmlar!D326*Narxlar!E326</f>
        <v>1368279500</v>
      </c>
      <c r="K347" s="51" t="n">
        <f aca="false">Hajmlar!E326*Narxlar!F326</f>
        <v>380551600</v>
      </c>
      <c r="M347" s="52" t="n">
        <f aca="false">ABS(Daromadlilik!I325)/H347</f>
        <v>6.93084292051741E-013</v>
      </c>
      <c r="N347" s="52" t="n">
        <f aca="false">ABS(Daromadlilik!J325)/I347</f>
        <v>1.6676724376167E-011</v>
      </c>
      <c r="O347" s="52" t="n">
        <f aca="false">ABS(Daromadlilik!K325)/J347</f>
        <v>9.33811567221491E-012</v>
      </c>
      <c r="P347" s="52" t="n">
        <f aca="false">ABS(Daromadlilik!L325)/K347</f>
        <v>3.57964839482122E-011</v>
      </c>
    </row>
    <row r="348" customFormat="false" ht="15" hidden="false" customHeight="false" outlineLevel="0" collapsed="false">
      <c r="G348" s="19" t="n">
        <f aca="false">Daromadlilik!A326</f>
        <v>45748</v>
      </c>
      <c r="H348" s="51" t="n">
        <f aca="false">Hajmlar!B327*Narxlar!C327</f>
        <v>1986814200</v>
      </c>
      <c r="I348" s="51" t="n">
        <f aca="false">Hajmlar!C327*Narxlar!D327</f>
        <v>508649400</v>
      </c>
      <c r="J348" s="51" t="n">
        <f aca="false">Hajmlar!D327*Narxlar!E327</f>
        <v>275283800</v>
      </c>
      <c r="K348" s="51" t="n">
        <f aca="false">Hajmlar!E327*Narxlar!F327</f>
        <v>820006600</v>
      </c>
      <c r="M348" s="52" t="n">
        <f aca="false">ABS(Daromadlilik!I326)/H348</f>
        <v>1.70566840189073E-011</v>
      </c>
      <c r="N348" s="52" t="n">
        <f aca="false">ABS(Daromadlilik!J326)/I348</f>
        <v>6.79035976145943E-012</v>
      </c>
      <c r="O348" s="52" t="n">
        <f aca="false">ABS(Daromadlilik!K326)/J348</f>
        <v>9.95805931077145E-012</v>
      </c>
      <c r="P348" s="52" t="n">
        <f aca="false">ABS(Daromadlilik!L326)/K348</f>
        <v>4.0782298112473E-011</v>
      </c>
    </row>
    <row r="349" customFormat="false" ht="15" hidden="false" customHeight="false" outlineLevel="0" collapsed="false">
      <c r="G349" s="19" t="n">
        <f aca="false">Daromadlilik!A327</f>
        <v>45749</v>
      </c>
      <c r="H349" s="51" t="n">
        <f aca="false">Hajmlar!B328*Narxlar!C328</f>
        <v>5188339200</v>
      </c>
      <c r="I349" s="51" t="n">
        <f aca="false">Hajmlar!C328*Narxlar!D328</f>
        <v>1373828000</v>
      </c>
      <c r="J349" s="51" t="n">
        <f aca="false">Hajmlar!D328*Narxlar!E328</f>
        <v>1886044000</v>
      </c>
      <c r="K349" s="51" t="n">
        <f aca="false">Hajmlar!E328*Narxlar!F328</f>
        <v>400974000</v>
      </c>
      <c r="M349" s="52" t="n">
        <f aca="false">ABS(Daromadlilik!I327)/H349</f>
        <v>1.01575954722327E-011</v>
      </c>
      <c r="N349" s="52" t="n">
        <f aca="false">ABS(Daromadlilik!J327)/I349</f>
        <v>2.91413325965572E-011</v>
      </c>
      <c r="O349" s="52" t="n">
        <f aca="false">ABS(Daromadlilik!K327)/J349</f>
        <v>2.3250521238948E-011</v>
      </c>
      <c r="P349" s="52" t="n">
        <f aca="false">ABS(Daromadlilik!L327)/K349</f>
        <v>9.98450328175123E-011</v>
      </c>
    </row>
    <row r="350" customFormat="false" ht="15" hidden="false" customHeight="false" outlineLevel="0" collapsed="false">
      <c r="G350" s="19" t="n">
        <f aca="false">Daromadlilik!A328</f>
        <v>45750</v>
      </c>
      <c r="H350" s="51" t="n">
        <f aca="false">Hajmlar!B329*Narxlar!C329</f>
        <v>1684380600</v>
      </c>
      <c r="I350" s="51" t="n">
        <f aca="false">Hajmlar!C329*Narxlar!D329</f>
        <v>2548904000</v>
      </c>
      <c r="J350" s="51" t="n">
        <f aca="false">Hajmlar!D329*Narxlar!E329</f>
        <v>1033473600</v>
      </c>
      <c r="K350" s="51" t="n">
        <f aca="false">Hajmlar!E329*Narxlar!F329</f>
        <v>826570200</v>
      </c>
      <c r="M350" s="52" t="n">
        <f aca="false">ABS(Daromadlilik!I328)/H350</f>
        <v>7.06065337224913E-012</v>
      </c>
      <c r="N350" s="52" t="n">
        <f aca="false">ABS(Daromadlilik!J328)/I350</f>
        <v>4.50518912888282E-012</v>
      </c>
      <c r="O350" s="52" t="n">
        <f aca="false">ABS(Daromadlilik!K328)/J350</f>
        <v>2.11245626894959E-013</v>
      </c>
      <c r="P350" s="52" t="n">
        <f aca="false">ABS(Daromadlilik!L328)/K350</f>
        <v>2.79753788670769E-011</v>
      </c>
    </row>
    <row r="351" customFormat="false" ht="15" hidden="false" customHeight="false" outlineLevel="0" collapsed="false">
      <c r="G351" s="19" t="n">
        <f aca="false">Daromadlilik!A329</f>
        <v>45751</v>
      </c>
      <c r="H351" s="51" t="n">
        <f aca="false">Hajmlar!B330*Narxlar!C330</f>
        <v>2428663800</v>
      </c>
      <c r="I351" s="51" t="n">
        <f aca="false">Hajmlar!C330*Narxlar!D330</f>
        <v>2104969800</v>
      </c>
      <c r="J351" s="51" t="n">
        <f aca="false">Hajmlar!D330*Narxlar!E330</f>
        <v>1419025000</v>
      </c>
      <c r="K351" s="51" t="n">
        <f aca="false">Hajmlar!E330*Narxlar!F330</f>
        <v>569126400</v>
      </c>
      <c r="M351" s="52" t="n">
        <f aca="false">ABS(Daromadlilik!I329)/H351</f>
        <v>4.0017633489135E-012</v>
      </c>
      <c r="N351" s="52" t="n">
        <f aca="false">ABS(Daromadlilik!J329)/I351</f>
        <v>2.32094725237502E-012</v>
      </c>
      <c r="O351" s="52" t="n">
        <f aca="false">ABS(Daromadlilik!K329)/J351</f>
        <v>5.38621474657813E-013</v>
      </c>
      <c r="P351" s="52" t="n">
        <f aca="false">ABS(Daromadlilik!L329)/K351</f>
        <v>1.97309461404037E-011</v>
      </c>
    </row>
    <row r="352" customFormat="false" ht="15" hidden="false" customHeight="false" outlineLevel="0" collapsed="false">
      <c r="G352" s="19" t="n">
        <f aca="false">Daromadlilik!A330</f>
        <v>45754</v>
      </c>
      <c r="H352" s="51" t="n">
        <f aca="false">Hajmlar!B331*Narxlar!C331</f>
        <v>1788415200</v>
      </c>
      <c r="I352" s="51" t="n">
        <f aca="false">Hajmlar!C331*Narxlar!D331</f>
        <v>1104768000</v>
      </c>
      <c r="J352" s="51" t="n">
        <f aca="false">Hajmlar!D331*Narxlar!E331</f>
        <v>1024641000</v>
      </c>
      <c r="K352" s="51" t="n">
        <f aca="false">Hajmlar!E331*Narxlar!F331</f>
        <v>553631000</v>
      </c>
      <c r="M352" s="52" t="n">
        <f aca="false">ABS(Daromadlilik!I330)/H352</f>
        <v>1.35913992084728E-012</v>
      </c>
      <c r="N352" s="52" t="n">
        <f aca="false">ABS(Daromadlilik!J330)/I352</f>
        <v>1.22212985901473E-011</v>
      </c>
      <c r="O352" s="52" t="n">
        <f aca="false">ABS(Daromadlilik!K330)/J352</f>
        <v>8.06839359496686E-012</v>
      </c>
      <c r="P352" s="52" t="n">
        <f aca="false">ABS(Daromadlilik!L330)/K352</f>
        <v>1.72233730165119E-011</v>
      </c>
    </row>
    <row r="353" customFormat="false" ht="15" hidden="false" customHeight="false" outlineLevel="0" collapsed="false">
      <c r="G353" s="19" t="n">
        <f aca="false">Daromadlilik!A331</f>
        <v>45755</v>
      </c>
      <c r="H353" s="51" t="n">
        <f aca="false">Hajmlar!B332*Narxlar!C332</f>
        <v>1082082600</v>
      </c>
      <c r="I353" s="51" t="n">
        <f aca="false">Hajmlar!C332*Narxlar!D332</f>
        <v>1201647300</v>
      </c>
      <c r="J353" s="51" t="n">
        <f aca="false">Hajmlar!D332*Narxlar!E332</f>
        <v>712623000</v>
      </c>
      <c r="K353" s="51" t="n">
        <f aca="false">Hajmlar!E332*Narxlar!F332</f>
        <v>617232000</v>
      </c>
      <c r="M353" s="52" t="n">
        <f aca="false">ABS(Daromadlilik!I331)/H353</f>
        <v>2.72464336906394E-012</v>
      </c>
      <c r="N353" s="52" t="n">
        <f aca="false">ABS(Daromadlilik!J331)/I353</f>
        <v>1.17247830377924E-011</v>
      </c>
      <c r="O353" s="52" t="n">
        <f aca="false">ABS(Daromadlilik!K331)/J353</f>
        <v>2.34534683468546E-011</v>
      </c>
      <c r="P353" s="52" t="n">
        <f aca="false">ABS(Daromadlilik!L331)/K353</f>
        <v>2.9170780660202E-011</v>
      </c>
    </row>
    <row r="354" customFormat="false" ht="15" hidden="false" customHeight="false" outlineLevel="0" collapsed="false">
      <c r="G354" s="19" t="n">
        <f aca="false">Daromadlilik!A332</f>
        <v>45756</v>
      </c>
      <c r="H354" s="51" t="n">
        <f aca="false">Hajmlar!B333*Narxlar!C333</f>
        <v>3126864400</v>
      </c>
      <c r="I354" s="51" t="n">
        <f aca="false">Hajmlar!C333*Narxlar!D333</f>
        <v>1653413500</v>
      </c>
      <c r="J354" s="51" t="n">
        <f aca="false">Hajmlar!D333*Narxlar!E333</f>
        <v>1072190000</v>
      </c>
      <c r="K354" s="51" t="n">
        <f aca="false">Hajmlar!E333*Narxlar!F333</f>
        <v>1386686600</v>
      </c>
      <c r="M354" s="52" t="n">
        <f aca="false">ABS(Daromadlilik!I332)/H354</f>
        <v>2.01036836468432E-011</v>
      </c>
      <c r="N354" s="52" t="n">
        <f aca="false">ABS(Daromadlilik!J332)/I354</f>
        <v>2.37613716271068E-011</v>
      </c>
      <c r="O354" s="52" t="n">
        <f aca="false">ABS(Daromadlilik!K332)/J354</f>
        <v>2.00232276548233E-011</v>
      </c>
      <c r="P354" s="52" t="n">
        <f aca="false">ABS(Daromadlilik!L332)/K354</f>
        <v>4.70366713916884E-011</v>
      </c>
    </row>
    <row r="355" customFormat="false" ht="15" hidden="false" customHeight="false" outlineLevel="0" collapsed="false">
      <c r="G355" s="19" t="n">
        <f aca="false">Daromadlilik!A333</f>
        <v>45757</v>
      </c>
      <c r="H355" s="51" t="n">
        <f aca="false">Hajmlar!B334*Narxlar!C334</f>
        <v>1987380600</v>
      </c>
      <c r="I355" s="51" t="n">
        <f aca="false">Hajmlar!C334*Narxlar!D334</f>
        <v>1887133600</v>
      </c>
      <c r="J355" s="51" t="n">
        <f aca="false">Hajmlar!D334*Narxlar!E334</f>
        <v>1549096500</v>
      </c>
      <c r="K355" s="51" t="n">
        <f aca="false">Hajmlar!E334*Narxlar!F334</f>
        <v>645673600</v>
      </c>
      <c r="M355" s="52" t="n">
        <f aca="false">ABS(Daromadlilik!I333)/H355</f>
        <v>1.22935614920386E-011</v>
      </c>
      <c r="N355" s="52" t="n">
        <f aca="false">ABS(Daromadlilik!J333)/I355</f>
        <v>9.03735625478576E-012</v>
      </c>
      <c r="O355" s="52" t="n">
        <f aca="false">ABS(Daromadlilik!K333)/J355</f>
        <v>9.80827084331248E-012</v>
      </c>
      <c r="P355" s="52" t="n">
        <f aca="false">ABS(Daromadlilik!L333)/K355</f>
        <v>1.64270680592094E-011</v>
      </c>
    </row>
    <row r="356" customFormat="false" ht="15" hidden="false" customHeight="false" outlineLevel="0" collapsed="false">
      <c r="G356" s="19" t="n">
        <f aca="false">Daromadlilik!A334</f>
        <v>45758</v>
      </c>
      <c r="H356" s="51" t="n">
        <f aca="false">Hajmlar!B335*Narxlar!C335</f>
        <v>3312523700</v>
      </c>
      <c r="I356" s="51" t="n">
        <f aca="false">Hajmlar!C335*Narxlar!D335</f>
        <v>2245398000</v>
      </c>
      <c r="J356" s="51" t="n">
        <f aca="false">Hajmlar!D335*Narxlar!E335</f>
        <v>1252305900</v>
      </c>
      <c r="K356" s="51" t="n">
        <f aca="false">Hajmlar!E335*Narxlar!F335</f>
        <v>514233200</v>
      </c>
      <c r="M356" s="52" t="n">
        <f aca="false">ABS(Daromadlilik!I334)/H356</f>
        <v>8.44896995989371E-012</v>
      </c>
      <c r="N356" s="52" t="n">
        <f aca="false">ABS(Daromadlilik!J334)/I356</f>
        <v>8.85506924785876E-012</v>
      </c>
      <c r="O356" s="52" t="n">
        <f aca="false">ABS(Daromadlilik!K334)/J356</f>
        <v>1.02409475625766E-011</v>
      </c>
      <c r="P356" s="52" t="n">
        <f aca="false">ABS(Daromadlilik!L334)/K356</f>
        <v>3.88498624630578E-011</v>
      </c>
    </row>
    <row r="357" customFormat="false" ht="15" hidden="false" customHeight="false" outlineLevel="0" collapsed="false">
      <c r="G357" s="19" t="n">
        <f aca="false">Daromadlilik!A335</f>
        <v>45761</v>
      </c>
      <c r="H357" s="51" t="n">
        <f aca="false">Hajmlar!B336*Narxlar!C336</f>
        <v>1997712200</v>
      </c>
      <c r="I357" s="51" t="n">
        <f aca="false">Hajmlar!C336*Narxlar!D336</f>
        <v>1843286400</v>
      </c>
      <c r="J357" s="51" t="n">
        <f aca="false">Hajmlar!D336*Narxlar!E336</f>
        <v>1236490800</v>
      </c>
      <c r="K357" s="51" t="n">
        <f aca="false">Hajmlar!E336*Narxlar!F336</f>
        <v>446160800</v>
      </c>
      <c r="M357" s="52" t="n">
        <f aca="false">ABS(Daromadlilik!I335)/H357</f>
        <v>2.83348981897861E-012</v>
      </c>
      <c r="N357" s="52" t="n">
        <f aca="false">ABS(Daromadlilik!J335)/I357</f>
        <v>1.07553848425504E-013</v>
      </c>
      <c r="O357" s="52" t="n">
        <f aca="false">ABS(Daromadlilik!K335)/J357</f>
        <v>1.82884343372041E-012</v>
      </c>
      <c r="P357" s="52" t="n">
        <f aca="false">ABS(Daromadlilik!L335)/K357</f>
        <v>2.08691412305098E-011</v>
      </c>
    </row>
    <row r="358" customFormat="false" ht="15" hidden="false" customHeight="false" outlineLevel="0" collapsed="false">
      <c r="G358" s="19" t="n">
        <f aca="false">Daromadlilik!A336</f>
        <v>45762</v>
      </c>
      <c r="H358" s="51" t="n">
        <f aca="false">Hajmlar!B337*Narxlar!C337</f>
        <v>2637841600</v>
      </c>
      <c r="I358" s="51" t="n">
        <f aca="false">Hajmlar!C337*Narxlar!D337</f>
        <v>2401404500</v>
      </c>
      <c r="J358" s="51" t="n">
        <f aca="false">Hajmlar!D337*Narxlar!E337</f>
        <v>1305238400</v>
      </c>
      <c r="K358" s="51" t="n">
        <f aca="false">Hajmlar!E337*Narxlar!F337</f>
        <v>1230129300</v>
      </c>
      <c r="M358" s="52" t="n">
        <f aca="false">ABS(Daromadlilik!I336)/H358</f>
        <v>1.7077948776301E-011</v>
      </c>
      <c r="N358" s="52" t="n">
        <f aca="false">ABS(Daromadlilik!J336)/I358</f>
        <v>3.01804268327582E-012</v>
      </c>
      <c r="O358" s="52" t="n">
        <f aca="false">ABS(Daromadlilik!K336)/J358</f>
        <v>9.13965855306807E-012</v>
      </c>
      <c r="P358" s="52" t="n">
        <f aca="false">ABS(Daromadlilik!L336)/K358</f>
        <v>3.05641053580339E-011</v>
      </c>
    </row>
    <row r="359" customFormat="false" ht="15" hidden="false" customHeight="false" outlineLevel="0" collapsed="false">
      <c r="G359" s="19" t="n">
        <f aca="false">Daromadlilik!A337</f>
        <v>45763</v>
      </c>
      <c r="H359" s="51" t="n">
        <f aca="false">Hajmlar!B338*Narxlar!C338</f>
        <v>1703901400</v>
      </c>
      <c r="I359" s="51" t="n">
        <f aca="false">Hajmlar!C338*Narxlar!D338</f>
        <v>3337684000</v>
      </c>
      <c r="J359" s="51" t="n">
        <f aca="false">Hajmlar!D338*Narxlar!E338</f>
        <v>1093658000</v>
      </c>
      <c r="K359" s="51" t="n">
        <f aca="false">Hajmlar!E338*Narxlar!F338</f>
        <v>544381200</v>
      </c>
      <c r="M359" s="52" t="n">
        <f aca="false">ABS(Daromadlilik!I337)/H359</f>
        <v>1.36102808850275E-011</v>
      </c>
      <c r="N359" s="52" t="n">
        <f aca="false">ABS(Daromadlilik!J337)/I359</f>
        <v>8.66180100607399E-012</v>
      </c>
      <c r="O359" s="52" t="n">
        <f aca="false">ABS(Daromadlilik!K337)/J359</f>
        <v>9.02239929606602E-012</v>
      </c>
      <c r="P359" s="52" t="n">
        <f aca="false">ABS(Daromadlilik!L337)/K359</f>
        <v>3.22658988730831E-011</v>
      </c>
    </row>
    <row r="360" customFormat="false" ht="15" hidden="false" customHeight="false" outlineLevel="0" collapsed="false">
      <c r="G360" s="19" t="n">
        <f aca="false">Daromadlilik!A338</f>
        <v>45764</v>
      </c>
      <c r="H360" s="51" t="n">
        <f aca="false">Hajmlar!B339*Narxlar!C339</f>
        <v>1444074600</v>
      </c>
      <c r="I360" s="51" t="n">
        <f aca="false">Hajmlar!C339*Narxlar!D339</f>
        <v>2075341200</v>
      </c>
      <c r="J360" s="51" t="n">
        <f aca="false">Hajmlar!D339*Narxlar!E339</f>
        <v>1585403000</v>
      </c>
      <c r="K360" s="51" t="n">
        <f aca="false">Hajmlar!E339*Narxlar!F339</f>
        <v>308366400</v>
      </c>
      <c r="M360" s="52" t="n">
        <f aca="false">ABS(Daromadlilik!I338)/H360</f>
        <v>3.18006338947801E-012</v>
      </c>
      <c r="N360" s="52" t="n">
        <f aca="false">ABS(Daromadlilik!J338)/I360</f>
        <v>6.00770207509075E-012</v>
      </c>
      <c r="O360" s="52" t="n">
        <f aca="false">ABS(Daromadlilik!K338)/J360</f>
        <v>1.54064676868591E-011</v>
      </c>
      <c r="P360" s="52" t="n">
        <f aca="false">ABS(Daromadlilik!L338)/K360</f>
        <v>5.57263408813234E-011</v>
      </c>
    </row>
    <row r="361" customFormat="false" ht="15" hidden="false" customHeight="false" outlineLevel="0" collapsed="false">
      <c r="G361" s="19" t="n">
        <f aca="false">Daromadlilik!A339</f>
        <v>45765</v>
      </c>
      <c r="H361" s="51" t="n">
        <f aca="false">Hajmlar!B340*Narxlar!C340</f>
        <v>2505907200</v>
      </c>
      <c r="I361" s="51" t="n">
        <f aca="false">Hajmlar!C340*Narxlar!D340</f>
        <v>2057360400</v>
      </c>
      <c r="J361" s="51" t="n">
        <f aca="false">Hajmlar!D340*Narxlar!E340</f>
        <v>1239201000</v>
      </c>
      <c r="K361" s="51" t="n">
        <f aca="false">Hajmlar!E340*Narxlar!F340</f>
        <v>311292800</v>
      </c>
      <c r="M361" s="52" t="n">
        <f aca="false">ABS(Daromadlilik!I339)/H361</f>
        <v>8.24313707588789E-012</v>
      </c>
      <c r="N361" s="52" t="n">
        <f aca="false">ABS(Daromadlilik!J339)/I361</f>
        <v>2.74638595790193E-013</v>
      </c>
      <c r="O361" s="52" t="n">
        <f aca="false">ABS(Daromadlilik!K339)/J361</f>
        <v>7.96585900378895E-012</v>
      </c>
      <c r="P361" s="52" t="n">
        <f aca="false">ABS(Daromadlilik!L339)/K361</f>
        <v>3.20367956762113E-011</v>
      </c>
    </row>
    <row r="362" customFormat="false" ht="15" hidden="false" customHeight="false" outlineLevel="0" collapsed="false">
      <c r="G362" s="19" t="n">
        <f aca="false">Daromadlilik!A340</f>
        <v>45768</v>
      </c>
      <c r="H362" s="51" t="n">
        <f aca="false">Hajmlar!B341*Narxlar!C341</f>
        <v>2731626700</v>
      </c>
      <c r="I362" s="51" t="n">
        <f aca="false">Hajmlar!C341*Narxlar!D341</f>
        <v>1293281600</v>
      </c>
      <c r="J362" s="51" t="n">
        <f aca="false">Hajmlar!D341*Narxlar!E341</f>
        <v>730940200</v>
      </c>
      <c r="K362" s="51" t="n">
        <f aca="false">Hajmlar!E341*Narxlar!F341</f>
        <v>517888000</v>
      </c>
      <c r="M362" s="52" t="n">
        <f aca="false">ABS(Daromadlilik!I340)/H362</f>
        <v>1.81155052187719E-012</v>
      </c>
      <c r="N362" s="52" t="n">
        <f aca="false">ABS(Daromadlilik!J340)/I362</f>
        <v>6.58324906145793E-012</v>
      </c>
      <c r="O362" s="52" t="n">
        <f aca="false">ABS(Daromadlilik!K340)/J362</f>
        <v>1.39547352497794E-011</v>
      </c>
      <c r="P362" s="52" t="n">
        <f aca="false">ABS(Daromadlilik!L340)/K362</f>
        <v>3.40180046474195E-011</v>
      </c>
    </row>
    <row r="363" customFormat="false" ht="15" hidden="false" customHeight="false" outlineLevel="0" collapsed="false">
      <c r="G363" s="19" t="n">
        <f aca="false">Daromadlilik!A341</f>
        <v>45769</v>
      </c>
      <c r="H363" s="51" t="n">
        <f aca="false">Hajmlar!B342*Narxlar!C342</f>
        <v>1289416800</v>
      </c>
      <c r="I363" s="51" t="n">
        <f aca="false">Hajmlar!C342*Narxlar!D342</f>
        <v>1034664400</v>
      </c>
      <c r="J363" s="51" t="n">
        <f aca="false">Hajmlar!D342*Narxlar!E342</f>
        <v>1131499600</v>
      </c>
      <c r="K363" s="51" t="n">
        <f aca="false">Hajmlar!E342*Narxlar!F342</f>
        <v>753178200</v>
      </c>
      <c r="M363" s="52" t="n">
        <f aca="false">ABS(Daromadlilik!I341)/H363</f>
        <v>1.03216863487584E-011</v>
      </c>
      <c r="N363" s="52" t="n">
        <f aca="false">ABS(Daromadlilik!J341)/I363</f>
        <v>7.53849790469404E-012</v>
      </c>
      <c r="O363" s="52" t="n">
        <f aca="false">ABS(Daromadlilik!K341)/J363</f>
        <v>3.77489374722831E-012</v>
      </c>
      <c r="P363" s="52" t="n">
        <f aca="false">ABS(Daromadlilik!L341)/K363</f>
        <v>6.65148253239441E-012</v>
      </c>
    </row>
    <row r="364" customFormat="false" ht="15" hidden="false" customHeight="false" outlineLevel="0" collapsed="false">
      <c r="G364" s="19" t="n">
        <f aca="false">Daromadlilik!A342</f>
        <v>45770</v>
      </c>
      <c r="H364" s="51" t="n">
        <f aca="false">Hajmlar!B343*Narxlar!C343</f>
        <v>2001715400</v>
      </c>
      <c r="I364" s="51" t="n">
        <f aca="false">Hajmlar!C343*Narxlar!D343</f>
        <v>1562712000</v>
      </c>
      <c r="J364" s="51" t="n">
        <f aca="false">Hajmlar!D343*Narxlar!E343</f>
        <v>692664000</v>
      </c>
      <c r="K364" s="51" t="n">
        <f aca="false">Hajmlar!E343*Narxlar!F343</f>
        <v>470467500</v>
      </c>
      <c r="M364" s="52" t="n">
        <f aca="false">ABS(Daromadlilik!I342)/H364</f>
        <v>1.34878635357047E-011</v>
      </c>
      <c r="N364" s="52" t="n">
        <f aca="false">ABS(Daromadlilik!J342)/I364</f>
        <v>1.27679469762155E-011</v>
      </c>
      <c r="O364" s="52" t="n">
        <f aca="false">ABS(Daromadlilik!K342)/J364</f>
        <v>6.00015307222439E-012</v>
      </c>
      <c r="P364" s="52" t="n">
        <f aca="false">ABS(Daromadlilik!L342)/K364</f>
        <v>6.54886001403279E-011</v>
      </c>
    </row>
    <row r="365" customFormat="false" ht="15" hidden="false" customHeight="false" outlineLevel="0" collapsed="false">
      <c r="G365" s="19" t="n">
        <f aca="false">Daromadlilik!A343</f>
        <v>45771</v>
      </c>
      <c r="H365" s="51" t="n">
        <f aca="false">Hajmlar!B344*Narxlar!C344</f>
        <v>2860845000</v>
      </c>
      <c r="I365" s="51" t="n">
        <f aca="false">Hajmlar!C344*Narxlar!D344</f>
        <v>1582772000</v>
      </c>
      <c r="J365" s="51" t="n">
        <f aca="false">Hajmlar!D344*Narxlar!E344</f>
        <v>1554280000</v>
      </c>
      <c r="K365" s="51" t="n">
        <f aca="false">Hajmlar!E344*Narxlar!F344</f>
        <v>517704200</v>
      </c>
      <c r="M365" s="52" t="n">
        <f aca="false">ABS(Daromadlilik!I343)/H365</f>
        <v>1.01656816059902E-011</v>
      </c>
      <c r="N365" s="52" t="n">
        <f aca="false">ABS(Daromadlilik!J343)/I365</f>
        <v>1.10470228252079E-011</v>
      </c>
      <c r="O365" s="52" t="n">
        <f aca="false">ABS(Daromadlilik!K343)/J365</f>
        <v>1.04617706409272E-011</v>
      </c>
      <c r="P365" s="52" t="n">
        <f aca="false">ABS(Daromadlilik!L343)/K365</f>
        <v>2.38829951881026E-011</v>
      </c>
    </row>
    <row r="366" customFormat="false" ht="15" hidden="false" customHeight="false" outlineLevel="0" collapsed="false">
      <c r="G366" s="19" t="n">
        <f aca="false">Daromadlilik!A344</f>
        <v>45772</v>
      </c>
      <c r="H366" s="51" t="n">
        <f aca="false">Hajmlar!B345*Narxlar!C345</f>
        <v>2059302600</v>
      </c>
      <c r="I366" s="51" t="n">
        <f aca="false">Hajmlar!C345*Narxlar!D345</f>
        <v>1566492000</v>
      </c>
      <c r="J366" s="51" t="n">
        <f aca="false">Hajmlar!D345*Narxlar!E345</f>
        <v>744380000</v>
      </c>
      <c r="K366" s="51" t="n">
        <f aca="false">Hajmlar!E345*Narxlar!F345</f>
        <v>689512500</v>
      </c>
      <c r="M366" s="52" t="n">
        <f aca="false">ABS(Daromadlilik!I344)/H366</f>
        <v>7.02796580934477E-012</v>
      </c>
      <c r="N366" s="52" t="n">
        <f aca="false">ABS(Daromadlilik!J344)/I366</f>
        <v>2.27433899572466E-013</v>
      </c>
      <c r="O366" s="52" t="n">
        <f aca="false">ABS(Daromadlilik!K344)/J366</f>
        <v>5.78586974204343E-011</v>
      </c>
      <c r="P366" s="52" t="n">
        <f aca="false">ABS(Daromadlilik!L344)/K366</f>
        <v>2.54264054406543E-011</v>
      </c>
    </row>
    <row r="367" customFormat="false" ht="15" hidden="false" customHeight="false" outlineLevel="0" collapsed="false">
      <c r="G367" s="19" t="n">
        <f aca="false">Daromadlilik!A345</f>
        <v>45775</v>
      </c>
      <c r="H367" s="51" t="n">
        <f aca="false">Hajmlar!B346*Narxlar!C346</f>
        <v>1232200000</v>
      </c>
      <c r="I367" s="51" t="n">
        <f aca="false">Hajmlar!C346*Narxlar!D346</f>
        <v>1438058800</v>
      </c>
      <c r="J367" s="51" t="n">
        <f aca="false">Hajmlar!D346*Narxlar!E346</f>
        <v>602355600</v>
      </c>
      <c r="K367" s="51" t="n">
        <f aca="false">Hajmlar!E346*Narxlar!F346</f>
        <v>1059746000</v>
      </c>
      <c r="M367" s="52" t="n">
        <f aca="false">ABS(Daromadlilik!I345)/H367</f>
        <v>8.56835722949413E-012</v>
      </c>
      <c r="N367" s="52" t="n">
        <f aca="false">ABS(Daromadlilik!J345)/I367</f>
        <v>1.47069185518894E-011</v>
      </c>
      <c r="O367" s="52" t="n">
        <f aca="false">ABS(Daromadlilik!K345)/J367</f>
        <v>3.65716468983059E-012</v>
      </c>
      <c r="P367" s="52" t="n">
        <f aca="false">ABS(Daromadlilik!L345)/K367</f>
        <v>2.47395863429105E-011</v>
      </c>
    </row>
    <row r="368" customFormat="false" ht="15" hidden="false" customHeight="false" outlineLevel="0" collapsed="false">
      <c r="G368" s="19" t="n">
        <f aca="false">Daromadlilik!A346</f>
        <v>45776</v>
      </c>
      <c r="H368" s="51" t="n">
        <f aca="false">Hajmlar!B347*Narxlar!C347</f>
        <v>2762906400</v>
      </c>
      <c r="I368" s="51" t="n">
        <f aca="false">Hajmlar!C347*Narxlar!D347</f>
        <v>2031452800</v>
      </c>
      <c r="J368" s="51" t="n">
        <f aca="false">Hajmlar!D347*Narxlar!E347</f>
        <v>925570800</v>
      </c>
      <c r="K368" s="51" t="n">
        <f aca="false">Hajmlar!E347*Narxlar!F347</f>
        <v>749406400</v>
      </c>
      <c r="M368" s="52" t="n">
        <f aca="false">ABS(Daromadlilik!I346)/H368</f>
        <v>5.88178487399348E-013</v>
      </c>
      <c r="N368" s="52" t="n">
        <f aca="false">ABS(Daromadlilik!J346)/I368</f>
        <v>3.93921911531396E-012</v>
      </c>
      <c r="O368" s="52" t="n">
        <f aca="false">ABS(Daromadlilik!K346)/J368</f>
        <v>0</v>
      </c>
      <c r="P368" s="52" t="n">
        <f aca="false">ABS(Daromadlilik!L346)/K368</f>
        <v>1.62607819315504E-011</v>
      </c>
    </row>
    <row r="369" customFormat="false" ht="15" hidden="false" customHeight="false" outlineLevel="0" collapsed="false">
      <c r="G369" s="19" t="n">
        <f aca="false">Daromadlilik!A347</f>
        <v>45777</v>
      </c>
      <c r="H369" s="51" t="n">
        <f aca="false">Hajmlar!B348*Narxlar!C348</f>
        <v>2412093600</v>
      </c>
      <c r="I369" s="51" t="n">
        <f aca="false">Hajmlar!C348*Narxlar!D348</f>
        <v>854672000</v>
      </c>
      <c r="J369" s="51" t="n">
        <f aca="false">Hajmlar!D348*Narxlar!E348</f>
        <v>930872800</v>
      </c>
      <c r="K369" s="51" t="n">
        <f aca="false">Hajmlar!E348*Narxlar!F348</f>
        <v>1191333400</v>
      </c>
      <c r="M369" s="52" t="n">
        <f aca="false">ABS(Daromadlilik!I347)/H369</f>
        <v>1.23159026493062E-012</v>
      </c>
      <c r="N369" s="52" t="n">
        <f aca="false">ABS(Daromadlilik!J347)/I369</f>
        <v>1.33073077574885E-011</v>
      </c>
      <c r="O369" s="52" t="n">
        <f aca="false">ABS(Daromadlilik!K347)/J369</f>
        <v>3.2954827653077E-012</v>
      </c>
      <c r="P369" s="52" t="n">
        <f aca="false">ABS(Daromadlilik!L347)/K369</f>
        <v>7.95429944050101E-012</v>
      </c>
    </row>
    <row r="370" customFormat="false" ht="15" hidden="false" customHeight="false" outlineLevel="0" collapsed="false">
      <c r="G370" s="19" t="n">
        <f aca="false">Daromadlilik!A348</f>
        <v>45778</v>
      </c>
      <c r="H370" s="51" t="n">
        <f aca="false">Hajmlar!B349*Narxlar!C349</f>
        <v>1463068600</v>
      </c>
      <c r="I370" s="51" t="n">
        <f aca="false">Hajmlar!C349*Narxlar!D349</f>
        <v>1384120500</v>
      </c>
      <c r="J370" s="51" t="n">
        <f aca="false">Hajmlar!D349*Narxlar!E349</f>
        <v>717423000</v>
      </c>
      <c r="K370" s="51" t="n">
        <f aca="false">Hajmlar!E349*Narxlar!F349</f>
        <v>369185200</v>
      </c>
      <c r="M370" s="52" t="n">
        <f aca="false">ABS(Daromadlilik!I348)/H370</f>
        <v>5.51935974663449E-012</v>
      </c>
      <c r="N370" s="52" t="n">
        <f aca="false">ABS(Daromadlilik!J348)/I370</f>
        <v>1.01146922931563E-011</v>
      </c>
      <c r="O370" s="52" t="n">
        <f aca="false">ABS(Daromadlilik!K348)/J370</f>
        <v>1.15246924515422E-011</v>
      </c>
      <c r="P370" s="52" t="n">
        <f aca="false">ABS(Daromadlilik!L348)/K370</f>
        <v>1.45173971769585E-011</v>
      </c>
    </row>
    <row r="371" customFormat="false" ht="15" hidden="false" customHeight="false" outlineLevel="0" collapsed="false">
      <c r="G371" s="19" t="n">
        <f aca="false">Daromadlilik!A349</f>
        <v>45779</v>
      </c>
      <c r="H371" s="51" t="n">
        <f aca="false">Hajmlar!B350*Narxlar!C350</f>
        <v>1980772200</v>
      </c>
      <c r="I371" s="51" t="n">
        <f aca="false">Hajmlar!C350*Narxlar!D350</f>
        <v>1118248500</v>
      </c>
      <c r="J371" s="51" t="n">
        <f aca="false">Hajmlar!D350*Narxlar!E350</f>
        <v>1439566800</v>
      </c>
      <c r="K371" s="51" t="n">
        <f aca="false">Hajmlar!E350*Narxlar!F350</f>
        <v>432371100</v>
      </c>
      <c r="M371" s="52" t="n">
        <f aca="false">ABS(Daromadlilik!I349)/H371</f>
        <v>2.52174163932095E-012</v>
      </c>
      <c r="N371" s="52" t="n">
        <f aca="false">ABS(Daromadlilik!J349)/I371</f>
        <v>5.51771219351287E-014</v>
      </c>
      <c r="O371" s="52" t="n">
        <f aca="false">ABS(Daromadlilik!K349)/J371</f>
        <v>1.89115018743256E-012</v>
      </c>
      <c r="P371" s="52" t="n">
        <f aca="false">ABS(Daromadlilik!L349)/K371</f>
        <v>2.81359902554168E-011</v>
      </c>
    </row>
    <row r="372" customFormat="false" ht="15" hidden="false" customHeight="false" outlineLevel="0" collapsed="false">
      <c r="G372" s="19" t="n">
        <f aca="false">Daromadlilik!A350</f>
        <v>45782</v>
      </c>
      <c r="H372" s="51" t="n">
        <f aca="false">Hajmlar!B351*Narxlar!C351</f>
        <v>2443355200</v>
      </c>
      <c r="I372" s="51" t="n">
        <f aca="false">Hajmlar!C351*Narxlar!D351</f>
        <v>2982065500</v>
      </c>
      <c r="J372" s="51" t="n">
        <f aca="false">Hajmlar!D351*Narxlar!E351</f>
        <v>1198263300</v>
      </c>
      <c r="K372" s="51" t="n">
        <f aca="false">Hajmlar!E351*Narxlar!F351</f>
        <v>2036883000</v>
      </c>
      <c r="M372" s="52" t="n">
        <f aca="false">ABS(Daromadlilik!I350)/H372</f>
        <v>8.32232322622934E-012</v>
      </c>
      <c r="N372" s="52" t="n">
        <f aca="false">ABS(Daromadlilik!J350)/I372</f>
        <v>5.52034574979341E-012</v>
      </c>
      <c r="O372" s="52" t="n">
        <f aca="false">ABS(Daromadlilik!K350)/J372</f>
        <v>6.67677547409172E-012</v>
      </c>
      <c r="P372" s="52" t="n">
        <f aca="false">ABS(Daromadlilik!L350)/K372</f>
        <v>2.80904525307092E-011</v>
      </c>
    </row>
    <row r="373" customFormat="false" ht="15" hidden="false" customHeight="false" outlineLevel="0" collapsed="false">
      <c r="G373" s="19" t="n">
        <f aca="false">Daromadlilik!A351</f>
        <v>45783</v>
      </c>
      <c r="H373" s="51" t="n">
        <f aca="false">Hajmlar!B352*Narxlar!C352</f>
        <v>1822791200</v>
      </c>
      <c r="I373" s="51" t="n">
        <f aca="false">Hajmlar!C352*Narxlar!D352</f>
        <v>1070910000</v>
      </c>
      <c r="J373" s="51" t="n">
        <f aca="false">Hajmlar!D352*Narxlar!E352</f>
        <v>1647439200</v>
      </c>
      <c r="K373" s="51" t="n">
        <f aca="false">Hajmlar!E352*Narxlar!F352</f>
        <v>1021621600</v>
      </c>
      <c r="M373" s="52" t="n">
        <f aca="false">ABS(Daromadlilik!I351)/H373</f>
        <v>6.00999682300349E-012</v>
      </c>
      <c r="N373" s="52" t="n">
        <f aca="false">ABS(Daromadlilik!J351)/I373</f>
        <v>2.86659436463546E-012</v>
      </c>
      <c r="O373" s="52" t="n">
        <f aca="false">ABS(Daromadlilik!K351)/J373</f>
        <v>7.86429419725977E-012</v>
      </c>
      <c r="P373" s="52" t="n">
        <f aca="false">ABS(Daromadlilik!L351)/K373</f>
        <v>6.2854684382581E-014</v>
      </c>
    </row>
    <row r="374" customFormat="false" ht="15" hidden="false" customHeight="false" outlineLevel="0" collapsed="false">
      <c r="G374" s="19" t="n">
        <f aca="false">Daromadlilik!A352</f>
        <v>45784</v>
      </c>
      <c r="H374" s="51" t="n">
        <f aca="false">Hajmlar!B353*Narxlar!C353</f>
        <v>4265684000</v>
      </c>
      <c r="I374" s="51" t="n">
        <f aca="false">Hajmlar!C353*Narxlar!D353</f>
        <v>3936985800</v>
      </c>
      <c r="J374" s="51" t="n">
        <f aca="false">Hajmlar!D353*Narxlar!E353</f>
        <v>1910980500</v>
      </c>
      <c r="K374" s="51" t="n">
        <f aca="false">Hajmlar!E353*Narxlar!F353</f>
        <v>1773380700</v>
      </c>
      <c r="M374" s="52" t="n">
        <f aca="false">ABS(Daromadlilik!I352)/H374</f>
        <v>1.24555349069547E-011</v>
      </c>
      <c r="N374" s="52" t="n">
        <f aca="false">ABS(Daromadlilik!J352)/I374</f>
        <v>1.6747824213845E-011</v>
      </c>
      <c r="O374" s="52" t="n">
        <f aca="false">ABS(Daromadlilik!K352)/J374</f>
        <v>1.61891946504494E-011</v>
      </c>
      <c r="P374" s="52" t="n">
        <f aca="false">ABS(Daromadlilik!L352)/K374</f>
        <v>3.933060914667E-011</v>
      </c>
    </row>
    <row r="375" customFormat="false" ht="15" hidden="false" customHeight="false" outlineLevel="0" collapsed="false">
      <c r="G375" s="19" t="n">
        <f aca="false">Daromadlilik!A353</f>
        <v>45785</v>
      </c>
      <c r="H375" s="51" t="n">
        <f aca="false">Hajmlar!B354*Narxlar!C354</f>
        <v>3268228500</v>
      </c>
      <c r="I375" s="51" t="n">
        <f aca="false">Hajmlar!C354*Narxlar!D354</f>
        <v>2968898400</v>
      </c>
      <c r="J375" s="51" t="n">
        <f aca="false">Hajmlar!D354*Narxlar!E354</f>
        <v>1099087500</v>
      </c>
      <c r="K375" s="51" t="n">
        <f aca="false">Hajmlar!E354*Narxlar!F354</f>
        <v>565633800</v>
      </c>
      <c r="M375" s="52" t="n">
        <f aca="false">ABS(Daromadlilik!I353)/H375</f>
        <v>1.12405787754084E-012</v>
      </c>
      <c r="N375" s="52" t="n">
        <f aca="false">ABS(Daromadlilik!J353)/I375</f>
        <v>1.01538564116279E-011</v>
      </c>
      <c r="O375" s="52" t="n">
        <f aca="false">ABS(Daromadlilik!K353)/J375</f>
        <v>1.09619973191436E-012</v>
      </c>
      <c r="P375" s="52" t="n">
        <f aca="false">ABS(Daromadlilik!L353)/K375</f>
        <v>1.69679866261206E-011</v>
      </c>
    </row>
    <row r="376" customFormat="false" ht="15" hidden="false" customHeight="false" outlineLevel="0" collapsed="false">
      <c r="G376" s="19" t="n">
        <f aca="false">Daromadlilik!A354</f>
        <v>45786</v>
      </c>
      <c r="H376" s="51" t="n">
        <f aca="false">Hajmlar!B355*Narxlar!C355</f>
        <v>2218514400</v>
      </c>
      <c r="I376" s="51" t="n">
        <f aca="false">Hajmlar!C355*Narxlar!D355</f>
        <v>1427386400</v>
      </c>
      <c r="J376" s="51" t="n">
        <f aca="false">Hajmlar!D355*Narxlar!E355</f>
        <v>1001025600</v>
      </c>
      <c r="K376" s="51" t="n">
        <f aca="false">Hajmlar!E355*Narxlar!F355</f>
        <v>345186400</v>
      </c>
      <c r="M376" s="52" t="n">
        <f aca="false">ABS(Daromadlilik!I354)/H376</f>
        <v>6.47186870670653E-012</v>
      </c>
      <c r="N376" s="52" t="n">
        <f aca="false">ABS(Daromadlilik!J354)/I376</f>
        <v>2.07518872321349E-012</v>
      </c>
      <c r="O376" s="52" t="n">
        <f aca="false">ABS(Daromadlilik!K354)/J376</f>
        <v>3.96633979216906E-012</v>
      </c>
      <c r="P376" s="52" t="n">
        <f aca="false">ABS(Daromadlilik!L354)/K376</f>
        <v>9.87972295400768E-012</v>
      </c>
    </row>
    <row r="377" customFormat="false" ht="15" hidden="false" customHeight="false" outlineLevel="0" collapsed="false">
      <c r="G377" s="19" t="n">
        <f aca="false">Daromadlilik!A355</f>
        <v>45789</v>
      </c>
      <c r="H377" s="51" t="n">
        <f aca="false">Hajmlar!B356*Narxlar!C356</f>
        <v>2474386700</v>
      </c>
      <c r="I377" s="51" t="n">
        <f aca="false">Hajmlar!C356*Narxlar!D356</f>
        <v>1010772000</v>
      </c>
      <c r="J377" s="51" t="n">
        <f aca="false">Hajmlar!D356*Narxlar!E356</f>
        <v>666101100</v>
      </c>
      <c r="K377" s="51" t="n">
        <f aca="false">Hajmlar!E356*Narxlar!F356</f>
        <v>794914000</v>
      </c>
      <c r="M377" s="52" t="n">
        <f aca="false">ABS(Daromadlilik!I355)/H377</f>
        <v>1.03684651002659E-013</v>
      </c>
      <c r="N377" s="52" t="n">
        <f aca="false">ABS(Daromadlilik!J355)/I377</f>
        <v>6.69882110569265E-012</v>
      </c>
      <c r="O377" s="52" t="n">
        <f aca="false">ABS(Daromadlilik!K355)/J377</f>
        <v>1.66720258158818E-011</v>
      </c>
      <c r="P377" s="52" t="n">
        <f aca="false">ABS(Daromadlilik!L355)/K377</f>
        <v>2.61250767968456E-012</v>
      </c>
    </row>
    <row r="378" customFormat="false" ht="15" hidden="false" customHeight="false" outlineLevel="0" collapsed="false">
      <c r="G378" s="19" t="n">
        <f aca="false">Daromadlilik!A356</f>
        <v>45790</v>
      </c>
      <c r="H378" s="51" t="n">
        <f aca="false">Hajmlar!B357*Narxlar!C357</f>
        <v>2824255200</v>
      </c>
      <c r="I378" s="51" t="n">
        <f aca="false">Hajmlar!C357*Narxlar!D357</f>
        <v>708928400</v>
      </c>
      <c r="J378" s="51" t="n">
        <f aca="false">Hajmlar!D357*Narxlar!E357</f>
        <v>860749300</v>
      </c>
      <c r="K378" s="51" t="n">
        <f aca="false">Hajmlar!E357*Narxlar!F357</f>
        <v>484053000</v>
      </c>
      <c r="M378" s="52" t="n">
        <f aca="false">ABS(Daromadlilik!I356)/H378</f>
        <v>4.33540789080612E-012</v>
      </c>
      <c r="N378" s="52" t="n">
        <f aca="false">ABS(Daromadlilik!J356)/I378</f>
        <v>1.39429930619611E-012</v>
      </c>
      <c r="O378" s="52" t="n">
        <f aca="false">ABS(Daromadlilik!K356)/J378</f>
        <v>3.58148731286166E-012</v>
      </c>
      <c r="P378" s="52" t="n">
        <f aca="false">ABS(Daromadlilik!L356)/K378</f>
        <v>6.54146006838487E-011</v>
      </c>
    </row>
    <row r="379" customFormat="false" ht="15" hidden="false" customHeight="false" outlineLevel="0" collapsed="false">
      <c r="G379" s="19" t="n">
        <f aca="false">Daromadlilik!A357</f>
        <v>45791</v>
      </c>
      <c r="H379" s="51" t="n">
        <f aca="false">Hajmlar!B358*Narxlar!C358</f>
        <v>1261728000</v>
      </c>
      <c r="I379" s="51" t="n">
        <f aca="false">Hajmlar!C358*Narxlar!D358</f>
        <v>1512852000</v>
      </c>
      <c r="J379" s="51" t="n">
        <f aca="false">Hajmlar!D358*Narxlar!E358</f>
        <v>1089487500</v>
      </c>
      <c r="K379" s="51" t="n">
        <f aca="false">Hajmlar!E358*Narxlar!F358</f>
        <v>489161600</v>
      </c>
      <c r="M379" s="52" t="n">
        <f aca="false">ABS(Daromadlilik!I357)/H379</f>
        <v>3.23441446117558E-013</v>
      </c>
      <c r="N379" s="52" t="n">
        <f aca="false">ABS(Daromadlilik!J357)/I379</f>
        <v>2.41571177323801E-012</v>
      </c>
      <c r="O379" s="52" t="n">
        <f aca="false">ABS(Daromadlilik!K357)/J379</f>
        <v>1.05875173622411E-011</v>
      </c>
      <c r="P379" s="52" t="n">
        <f aca="false">ABS(Daromadlilik!L357)/K379</f>
        <v>7.0147230534992E-012</v>
      </c>
    </row>
    <row r="380" customFormat="false" ht="15" hidden="false" customHeight="false" outlineLevel="0" collapsed="false">
      <c r="G380" s="19" t="n">
        <f aca="false">Daromadlilik!A358</f>
        <v>45792</v>
      </c>
      <c r="H380" s="51" t="n">
        <f aca="false">Hajmlar!B359*Narxlar!C359</f>
        <v>3152525000</v>
      </c>
      <c r="I380" s="51" t="n">
        <f aca="false">Hajmlar!C359*Narxlar!D359</f>
        <v>2123158700</v>
      </c>
      <c r="J380" s="51" t="n">
        <f aca="false">Hajmlar!D359*Narxlar!E359</f>
        <v>1282509900</v>
      </c>
      <c r="K380" s="51" t="n">
        <f aca="false">Hajmlar!E359*Narxlar!F359</f>
        <v>714483000</v>
      </c>
      <c r="M380" s="52" t="n">
        <f aca="false">ABS(Daromadlilik!I358)/H380</f>
        <v>1.53325401275915E-012</v>
      </c>
      <c r="N380" s="52" t="n">
        <f aca="false">ABS(Daromadlilik!J358)/I380</f>
        <v>1.76237038334987E-012</v>
      </c>
      <c r="O380" s="52" t="n">
        <f aca="false">ABS(Daromadlilik!K358)/J380</f>
        <v>1.09575529444759E-012</v>
      </c>
      <c r="P380" s="52" t="n">
        <f aca="false">ABS(Daromadlilik!L358)/K380</f>
        <v>1.7375044781617E-011</v>
      </c>
    </row>
    <row r="381" customFormat="false" ht="15" hidden="false" customHeight="false" outlineLevel="0" collapsed="false">
      <c r="G381" s="19" t="n">
        <f aca="false">Daromadlilik!A359</f>
        <v>45793</v>
      </c>
      <c r="H381" s="51" t="n">
        <f aca="false">Hajmlar!B360*Narxlar!C360</f>
        <v>3905059400</v>
      </c>
      <c r="I381" s="51" t="n">
        <f aca="false">Hajmlar!C360*Narxlar!D360</f>
        <v>1774708000</v>
      </c>
      <c r="J381" s="51" t="n">
        <f aca="false">Hajmlar!D360*Narxlar!E360</f>
        <v>1355952000</v>
      </c>
      <c r="K381" s="51" t="n">
        <f aca="false">Hajmlar!E360*Narxlar!F360</f>
        <v>1146339700</v>
      </c>
      <c r="M381" s="52" t="n">
        <f aca="false">ABS(Daromadlilik!I359)/H381</f>
        <v>5.31375356172296E-012</v>
      </c>
      <c r="N381" s="52" t="n">
        <f aca="false">ABS(Daromadlilik!J359)/I381</f>
        <v>4.63671654910744E-012</v>
      </c>
      <c r="O381" s="52" t="n">
        <f aca="false">ABS(Daromadlilik!K359)/J381</f>
        <v>4.32266135496691E-013</v>
      </c>
      <c r="P381" s="52" t="n">
        <f aca="false">ABS(Daromadlilik!L359)/K381</f>
        <v>1.04723539644853E-011</v>
      </c>
    </row>
    <row r="382" customFormat="false" ht="15" hidden="false" customHeight="false" outlineLevel="0" collapsed="false">
      <c r="G382" s="19" t="n">
        <f aca="false">Daromadlilik!A360</f>
        <v>45796</v>
      </c>
      <c r="H382" s="51" t="n">
        <f aca="false">Hajmlar!B361*Narxlar!C361</f>
        <v>2166611200</v>
      </c>
      <c r="I382" s="51" t="n">
        <f aca="false">Hajmlar!C361*Narxlar!D361</f>
        <v>2153648700</v>
      </c>
      <c r="J382" s="51" t="n">
        <f aca="false">Hajmlar!D361*Narxlar!E361</f>
        <v>512542800</v>
      </c>
      <c r="K382" s="51" t="n">
        <f aca="false">Hajmlar!E361*Narxlar!F361</f>
        <v>657744000</v>
      </c>
      <c r="M382" s="52" t="n">
        <f aca="false">ABS(Daromadlilik!I360)/H382</f>
        <v>4.19914845878797E-012</v>
      </c>
      <c r="N382" s="52" t="n">
        <f aca="false">ABS(Daromadlilik!J360)/I382</f>
        <v>5.94798211375863E-012</v>
      </c>
      <c r="O382" s="52" t="n">
        <f aca="false">ABS(Daromadlilik!K360)/J382</f>
        <v>3.20558598721538E-012</v>
      </c>
      <c r="P382" s="52" t="n">
        <f aca="false">ABS(Daromadlilik!L360)/K382</f>
        <v>2.07965569609968E-011</v>
      </c>
    </row>
    <row r="383" customFormat="false" ht="15" hidden="false" customHeight="false" outlineLevel="0" collapsed="false">
      <c r="G383" s="19" t="n">
        <f aca="false">Daromadlilik!A361</f>
        <v>45797</v>
      </c>
      <c r="H383" s="51" t="n">
        <f aca="false">Hajmlar!B362*Narxlar!C362</f>
        <v>2475486000</v>
      </c>
      <c r="I383" s="51" t="n">
        <f aca="false">Hajmlar!C362*Narxlar!D362</f>
        <v>1798425200</v>
      </c>
      <c r="J383" s="51" t="n">
        <f aca="false">Hajmlar!D362*Narxlar!E362</f>
        <v>1742556600</v>
      </c>
      <c r="K383" s="51" t="n">
        <f aca="false">Hajmlar!E362*Narxlar!F362</f>
        <v>994044600</v>
      </c>
      <c r="M383" s="52" t="n">
        <f aca="false">ABS(Daromadlilik!I361)/H383</f>
        <v>1.19070189824391E-011</v>
      </c>
      <c r="N383" s="52" t="n">
        <f aca="false">ABS(Daromadlilik!J361)/I383</f>
        <v>1.5434486273495E-011</v>
      </c>
      <c r="O383" s="52" t="n">
        <f aca="false">ABS(Daromadlilik!K361)/J383</f>
        <v>1.49687529457847E-011</v>
      </c>
      <c r="P383" s="52" t="n">
        <f aca="false">ABS(Daromadlilik!L361)/K383</f>
        <v>4.83231358105725E-011</v>
      </c>
    </row>
    <row r="384" customFormat="false" ht="15" hidden="false" customHeight="false" outlineLevel="0" collapsed="false">
      <c r="G384" s="19" t="n">
        <f aca="false">Daromadlilik!A362</f>
        <v>45798</v>
      </c>
      <c r="H384" s="51" t="n">
        <f aca="false">Hajmlar!B363*Narxlar!C363</f>
        <v>1470608600</v>
      </c>
      <c r="I384" s="51" t="n">
        <f aca="false">Hajmlar!C363*Narxlar!D363</f>
        <v>1360514000</v>
      </c>
      <c r="J384" s="51" t="n">
        <f aca="false">Hajmlar!D363*Narxlar!E363</f>
        <v>1355733000</v>
      </c>
      <c r="K384" s="51" t="n">
        <f aca="false">Hajmlar!E363*Narxlar!F363</f>
        <v>705820300</v>
      </c>
      <c r="M384" s="52" t="n">
        <f aca="false">ABS(Daromadlilik!I362)/H384</f>
        <v>7.88980929331301E-012</v>
      </c>
      <c r="N384" s="52" t="n">
        <f aca="false">ABS(Daromadlilik!J362)/I384</f>
        <v>5.37781530738479E-012</v>
      </c>
      <c r="O384" s="52" t="n">
        <f aca="false">ABS(Daromadlilik!K362)/J384</f>
        <v>1.02260979261832E-011</v>
      </c>
      <c r="P384" s="52" t="n">
        <f aca="false">ABS(Daromadlilik!L362)/K384</f>
        <v>3.18912936294165E-011</v>
      </c>
    </row>
    <row r="385" customFormat="false" ht="15" hidden="false" customHeight="false" outlineLevel="0" collapsed="false">
      <c r="G385" s="19" t="n">
        <f aca="false">Daromadlilik!A363</f>
        <v>45799</v>
      </c>
      <c r="H385" s="51" t="n">
        <f aca="false">Hajmlar!B364*Narxlar!C364</f>
        <v>3280198600</v>
      </c>
      <c r="I385" s="51" t="n">
        <f aca="false">Hajmlar!C364*Narxlar!D364</f>
        <v>1998591000</v>
      </c>
      <c r="J385" s="51" t="n">
        <f aca="false">Hajmlar!D364*Narxlar!E364</f>
        <v>1450027200</v>
      </c>
      <c r="K385" s="51" t="n">
        <f aca="false">Hajmlar!E364*Narxlar!F364</f>
        <v>1125307600</v>
      </c>
      <c r="M385" s="52" t="n">
        <f aca="false">ABS(Daromadlilik!I363)/H385</f>
        <v>1.23710167967471E-011</v>
      </c>
      <c r="N385" s="52" t="n">
        <f aca="false">ABS(Daromadlilik!J363)/I385</f>
        <v>1.04499846880192E-011</v>
      </c>
      <c r="O385" s="52" t="n">
        <f aca="false">ABS(Daromadlilik!K363)/J385</f>
        <v>1.3597580703028E-011</v>
      </c>
      <c r="P385" s="52" t="n">
        <f aca="false">ABS(Daromadlilik!L363)/K385</f>
        <v>2.36388679066517E-011</v>
      </c>
    </row>
    <row r="386" customFormat="false" ht="15" hidden="false" customHeight="false" outlineLevel="0" collapsed="false">
      <c r="G386" s="19" t="n">
        <f aca="false">Daromadlilik!A364</f>
        <v>45800</v>
      </c>
      <c r="H386" s="51" t="n">
        <f aca="false">Hajmlar!B365*Narxlar!C365</f>
        <v>1802860200</v>
      </c>
      <c r="I386" s="51" t="n">
        <f aca="false">Hajmlar!C365*Narxlar!D365</f>
        <v>1605040500</v>
      </c>
      <c r="J386" s="51" t="n">
        <f aca="false">Hajmlar!D365*Narxlar!E365</f>
        <v>891081000</v>
      </c>
      <c r="K386" s="51" t="n">
        <f aca="false">Hajmlar!E365*Narxlar!F365</f>
        <v>489265200</v>
      </c>
      <c r="M386" s="52" t="n">
        <f aca="false">ABS(Daromadlilik!I364)/H386</f>
        <v>4.01691838464225E-012</v>
      </c>
      <c r="N386" s="52" t="n">
        <f aca="false">ABS(Daromadlilik!J364)/I386</f>
        <v>9.77824991549477E-012</v>
      </c>
      <c r="O386" s="52" t="n">
        <f aca="false">ABS(Daromadlilik!K364)/J386</f>
        <v>3.87578119734717E-013</v>
      </c>
      <c r="P386" s="52" t="n">
        <f aca="false">ABS(Daromadlilik!L364)/K386</f>
        <v>9.03088407522173E-012</v>
      </c>
    </row>
    <row r="387" customFormat="false" ht="15" hidden="false" customHeight="false" outlineLevel="0" collapsed="false">
      <c r="G387" s="19" t="n">
        <f aca="false">Daromadlilik!A365</f>
        <v>45803</v>
      </c>
      <c r="H387" s="51" t="n">
        <f aca="false">Hajmlar!B366*Narxlar!C366</f>
        <v>3718972700</v>
      </c>
      <c r="I387" s="51" t="n">
        <f aca="false">Hajmlar!C366*Narxlar!D366</f>
        <v>1087635000</v>
      </c>
      <c r="J387" s="51" t="n">
        <f aca="false">Hajmlar!D366*Narxlar!E366</f>
        <v>1046470700</v>
      </c>
      <c r="K387" s="51" t="n">
        <f aca="false">Hajmlar!E366*Narxlar!F366</f>
        <v>2180404000</v>
      </c>
      <c r="M387" s="52" t="n">
        <f aca="false">ABS(Daromadlilik!I365)/H387</f>
        <v>5.05637736015831E-012</v>
      </c>
      <c r="N387" s="52" t="n">
        <f aca="false">ABS(Daromadlilik!J365)/I387</f>
        <v>1.50066266780213E-011</v>
      </c>
      <c r="O387" s="52" t="n">
        <f aca="false">ABS(Daromadlilik!K365)/J387</f>
        <v>2.24011331095402E-011</v>
      </c>
      <c r="P387" s="52" t="n">
        <f aca="false">ABS(Daromadlilik!L365)/K387</f>
        <v>1.9029470784729E-011</v>
      </c>
    </row>
    <row r="388" customFormat="false" ht="15" hidden="false" customHeight="false" outlineLevel="0" collapsed="false">
      <c r="G388" s="19" t="n">
        <f aca="false">Daromadlilik!A366</f>
        <v>45804</v>
      </c>
      <c r="H388" s="51" t="n">
        <f aca="false">Hajmlar!B367*Narxlar!C367</f>
        <v>1607614900</v>
      </c>
      <c r="I388" s="51" t="n">
        <f aca="false">Hajmlar!C367*Narxlar!D367</f>
        <v>2416077600</v>
      </c>
      <c r="J388" s="51" t="n">
        <f aca="false">Hajmlar!D367*Narxlar!E367</f>
        <v>1340859800</v>
      </c>
      <c r="K388" s="51" t="n">
        <f aca="false">Hajmlar!E367*Narxlar!F367</f>
        <v>470204800</v>
      </c>
      <c r="M388" s="52" t="n">
        <f aca="false">ABS(Daromadlilik!I366)/H388</f>
        <v>9.18329079265033E-012</v>
      </c>
      <c r="N388" s="52" t="n">
        <f aca="false">ABS(Daromadlilik!J366)/I388</f>
        <v>7.05308849422367E-012</v>
      </c>
      <c r="O388" s="52" t="n">
        <f aca="false">ABS(Daromadlilik!K366)/J388</f>
        <v>5.01598209581634E-012</v>
      </c>
      <c r="P388" s="52" t="n">
        <f aca="false">ABS(Daromadlilik!L366)/K388</f>
        <v>3.90964788697915E-012</v>
      </c>
    </row>
    <row r="389" customFormat="false" ht="15" hidden="false" customHeight="false" outlineLevel="0" collapsed="false">
      <c r="G389" s="19" t="n">
        <f aca="false">Daromadlilik!A367</f>
        <v>45805</v>
      </c>
      <c r="H389" s="51" t="n">
        <f aca="false">Hajmlar!B368*Narxlar!C368</f>
        <v>3225632700</v>
      </c>
      <c r="I389" s="51" t="n">
        <f aca="false">Hajmlar!C368*Narxlar!D368</f>
        <v>1462839400</v>
      </c>
      <c r="J389" s="51" t="n">
        <f aca="false">Hajmlar!D368*Narxlar!E368</f>
        <v>621207000</v>
      </c>
      <c r="K389" s="51" t="n">
        <f aca="false">Hajmlar!E368*Narxlar!F368</f>
        <v>1603652800</v>
      </c>
      <c r="M389" s="52" t="n">
        <f aca="false">ABS(Daromadlilik!I367)/H389</f>
        <v>8.57275253605653E-012</v>
      </c>
      <c r="N389" s="52" t="n">
        <f aca="false">ABS(Daromadlilik!J367)/I389</f>
        <v>4.84812637933232E-012</v>
      </c>
      <c r="O389" s="52" t="n">
        <f aca="false">ABS(Daromadlilik!K367)/J389</f>
        <v>9.32474559613436E-012</v>
      </c>
      <c r="P389" s="52" t="n">
        <f aca="false">ABS(Daromadlilik!L367)/K389</f>
        <v>1.32975123379668E-011</v>
      </c>
    </row>
    <row r="390" customFormat="false" ht="15" hidden="false" customHeight="false" outlineLevel="0" collapsed="false">
      <c r="G390" s="19" t="n">
        <f aca="false">Daromadlilik!A368</f>
        <v>45806</v>
      </c>
      <c r="H390" s="51" t="n">
        <f aca="false">Hajmlar!B369*Narxlar!C369</f>
        <v>1709102000</v>
      </c>
      <c r="I390" s="51" t="n">
        <f aca="false">Hajmlar!C369*Narxlar!D369</f>
        <v>1152834100</v>
      </c>
      <c r="J390" s="51" t="n">
        <f aca="false">Hajmlar!D369*Narxlar!E369</f>
        <v>1187136000</v>
      </c>
      <c r="K390" s="51" t="n">
        <f aca="false">Hajmlar!E369*Narxlar!F369</f>
        <v>506884500</v>
      </c>
      <c r="M390" s="52" t="n">
        <f aca="false">ABS(Daromadlilik!I368)/H390</f>
        <v>6.07415384735699E-012</v>
      </c>
      <c r="N390" s="52" t="n">
        <f aca="false">ABS(Daromadlilik!J368)/I390</f>
        <v>4.7414337413082E-012</v>
      </c>
      <c r="O390" s="52" t="n">
        <f aca="false">ABS(Daromadlilik!K368)/J390</f>
        <v>1.45630522195429E-011</v>
      </c>
      <c r="P390" s="52" t="n">
        <f aca="false">ABS(Daromadlilik!L368)/K390</f>
        <v>1.43966966083148E-011</v>
      </c>
    </row>
    <row r="391" customFormat="false" ht="15" hidden="false" customHeight="false" outlineLevel="0" collapsed="false">
      <c r="G391" s="19" t="n">
        <f aca="false">Daromadlilik!A369</f>
        <v>45807</v>
      </c>
      <c r="H391" s="51" t="n">
        <f aca="false">Hajmlar!B370*Narxlar!C370</f>
        <v>2001135500</v>
      </c>
      <c r="I391" s="51" t="n">
        <f aca="false">Hajmlar!C370*Narxlar!D370</f>
        <v>1307845600</v>
      </c>
      <c r="J391" s="51" t="n">
        <f aca="false">Hajmlar!D370*Narxlar!E370</f>
        <v>1076500300</v>
      </c>
      <c r="K391" s="51" t="n">
        <f aca="false">Hajmlar!E370*Narxlar!F370</f>
        <v>975420600</v>
      </c>
      <c r="M391" s="52" t="n">
        <f aca="false">ABS(Daromadlilik!I369)/H391</f>
        <v>9.81828179848958E-012</v>
      </c>
      <c r="N391" s="52" t="n">
        <f aca="false">ABS(Daromadlilik!J369)/I391</f>
        <v>8.270069662452E-012</v>
      </c>
      <c r="O391" s="52" t="n">
        <f aca="false">ABS(Daromadlilik!K369)/J391</f>
        <v>3.34059005425144E-012</v>
      </c>
      <c r="P391" s="52" t="n">
        <f aca="false">ABS(Daromadlilik!L369)/K391</f>
        <v>7.07468052545079E-012</v>
      </c>
    </row>
    <row r="392" customFormat="false" ht="15" hidden="false" customHeight="false" outlineLevel="0" collapsed="false">
      <c r="G392" s="19" t="n">
        <f aca="false">Daromadlilik!A370</f>
        <v>45810</v>
      </c>
      <c r="H392" s="51" t="n">
        <f aca="false">Hajmlar!B371*Narxlar!C371</f>
        <v>2470003200</v>
      </c>
      <c r="I392" s="51" t="n">
        <f aca="false">Hajmlar!C371*Narxlar!D371</f>
        <v>1608423600</v>
      </c>
      <c r="J392" s="51" t="n">
        <f aca="false">Hajmlar!D371*Narxlar!E371</f>
        <v>451867300</v>
      </c>
      <c r="K392" s="51" t="n">
        <f aca="false">Hajmlar!E371*Narxlar!F371</f>
        <v>986211800</v>
      </c>
      <c r="M392" s="52" t="n">
        <f aca="false">ABS(Daromadlilik!I370)/H392</f>
        <v>1.19720675728711E-011</v>
      </c>
      <c r="N392" s="52" t="n">
        <f aca="false">ABS(Daromadlilik!J370)/I392</f>
        <v>3.2251713233769E-012</v>
      </c>
      <c r="O392" s="52" t="n">
        <f aca="false">ABS(Daromadlilik!K370)/J392</f>
        <v>2.40600055614149E-012</v>
      </c>
      <c r="P392" s="52" t="n">
        <f aca="false">ABS(Daromadlilik!L370)/K392</f>
        <v>1.50939952957772E-011</v>
      </c>
    </row>
    <row r="393" customFormat="false" ht="15" hidden="false" customHeight="false" outlineLevel="0" collapsed="false">
      <c r="G393" s="19" t="n">
        <f aca="false">Daromadlilik!A371</f>
        <v>45811</v>
      </c>
      <c r="H393" s="51" t="n">
        <f aca="false">Hajmlar!B372*Narxlar!C372</f>
        <v>2684246500</v>
      </c>
      <c r="I393" s="51" t="n">
        <f aca="false">Hajmlar!C372*Narxlar!D372</f>
        <v>819079000</v>
      </c>
      <c r="J393" s="51" t="n">
        <f aca="false">Hajmlar!D372*Narxlar!E372</f>
        <v>2411272800</v>
      </c>
      <c r="K393" s="51" t="n">
        <f aca="false">Hajmlar!E372*Narxlar!F372</f>
        <v>499356000</v>
      </c>
      <c r="M393" s="52" t="n">
        <f aca="false">ABS(Daromadlilik!I371)/H393</f>
        <v>3.96961328350931E-012</v>
      </c>
      <c r="N393" s="52" t="n">
        <f aca="false">ABS(Daromadlilik!J371)/I393</f>
        <v>2.65944227090046E-013</v>
      </c>
      <c r="O393" s="52" t="n">
        <f aca="false">ABS(Daromadlilik!K371)/J393</f>
        <v>2.6673014203164E-012</v>
      </c>
      <c r="P393" s="52" t="n">
        <f aca="false">ABS(Daromadlilik!L371)/K393</f>
        <v>1.98208059945017E-012</v>
      </c>
    </row>
    <row r="394" customFormat="false" ht="15" hidden="false" customHeight="false" outlineLevel="0" collapsed="false">
      <c r="G394" s="19" t="n">
        <f aca="false">Daromadlilik!A372</f>
        <v>45812</v>
      </c>
      <c r="H394" s="51" t="n">
        <f aca="false">Hajmlar!B373*Narxlar!C373</f>
        <v>2474286500</v>
      </c>
      <c r="I394" s="51" t="n">
        <f aca="false">Hajmlar!C373*Narxlar!D373</f>
        <v>2336647000</v>
      </c>
      <c r="J394" s="51" t="n">
        <f aca="false">Hajmlar!D373*Narxlar!E373</f>
        <v>592152000</v>
      </c>
      <c r="K394" s="51" t="n">
        <f aca="false">Hajmlar!E373*Narxlar!F373</f>
        <v>689724000</v>
      </c>
      <c r="M394" s="52" t="n">
        <f aca="false">ABS(Daromadlilik!I372)/H394</f>
        <v>5.61138231066911E-012</v>
      </c>
      <c r="N394" s="52" t="n">
        <f aca="false">ABS(Daromadlilik!J372)/I394</f>
        <v>1.2484439325009E-011</v>
      </c>
      <c r="O394" s="52" t="n">
        <f aca="false">ABS(Daromadlilik!K372)/J394</f>
        <v>3.20683031291758E-011</v>
      </c>
      <c r="P394" s="52" t="n">
        <f aca="false">ABS(Daromadlilik!L372)/K394</f>
        <v>3.54185990638298E-011</v>
      </c>
    </row>
    <row r="395" customFormat="false" ht="15" hidden="false" customHeight="false" outlineLevel="0" collapsed="false">
      <c r="G395" s="19" t="n">
        <f aca="false">Daromadlilik!A373</f>
        <v>45813</v>
      </c>
      <c r="H395" s="51" t="n">
        <f aca="false">Hajmlar!B374*Narxlar!C374</f>
        <v>2266009900</v>
      </c>
      <c r="I395" s="51" t="n">
        <f aca="false">Hajmlar!C374*Narxlar!D374</f>
        <v>1487393000</v>
      </c>
      <c r="J395" s="51" t="n">
        <f aca="false">Hajmlar!D374*Narxlar!E374</f>
        <v>998596800</v>
      </c>
      <c r="K395" s="51" t="n">
        <f aca="false">Hajmlar!E374*Narxlar!F374</f>
        <v>516380400</v>
      </c>
      <c r="M395" s="52" t="n">
        <f aca="false">ABS(Daromadlilik!I373)/H395</f>
        <v>1.10856532267763E-011</v>
      </c>
      <c r="N395" s="52" t="n">
        <f aca="false">ABS(Daromadlilik!J373)/I395</f>
        <v>6.51453298829417E-012</v>
      </c>
      <c r="O395" s="52" t="n">
        <f aca="false">ABS(Daromadlilik!K373)/J395</f>
        <v>2.68233688519604E-012</v>
      </c>
      <c r="P395" s="52" t="n">
        <f aca="false">ABS(Daromadlilik!L373)/K395</f>
        <v>1.06646522398688E-011</v>
      </c>
    </row>
    <row r="396" customFormat="false" ht="15" hidden="false" customHeight="false" outlineLevel="0" collapsed="false">
      <c r="G396" s="19" t="n">
        <f aca="false">Daromadlilik!A374</f>
        <v>45814</v>
      </c>
      <c r="H396" s="51" t="n">
        <f aca="false">Hajmlar!B375*Narxlar!C375</f>
        <v>1896860000</v>
      </c>
      <c r="I396" s="51" t="n">
        <f aca="false">Hajmlar!C375*Narxlar!D375</f>
        <v>733819900</v>
      </c>
      <c r="J396" s="51" t="n">
        <f aca="false">Hajmlar!D375*Narxlar!E375</f>
        <v>995538000</v>
      </c>
      <c r="K396" s="51" t="n">
        <f aca="false">Hajmlar!E375*Narxlar!F375</f>
        <v>429640000</v>
      </c>
      <c r="M396" s="52" t="n">
        <f aca="false">ABS(Daromadlilik!I374)/H396</f>
        <v>2.03880988233731E-012</v>
      </c>
      <c r="N396" s="52" t="n">
        <f aca="false">ABS(Daromadlilik!J374)/I396</f>
        <v>8.47345470234636E-012</v>
      </c>
      <c r="O396" s="52" t="n">
        <f aca="false">ABS(Daromadlilik!K374)/J396</f>
        <v>4.1449714703398E-012</v>
      </c>
      <c r="P396" s="52" t="n">
        <f aca="false">ABS(Daromadlilik!L374)/K396</f>
        <v>2.05922562700584E-011</v>
      </c>
    </row>
    <row r="397" customFormat="false" ht="15" hidden="false" customHeight="false" outlineLevel="0" collapsed="false">
      <c r="G397" s="19" t="n">
        <f aca="false">Daromadlilik!A375</f>
        <v>45817</v>
      </c>
      <c r="H397" s="51" t="n">
        <f aca="false">Hajmlar!B376*Narxlar!C376</f>
        <v>1499736600</v>
      </c>
      <c r="I397" s="51" t="n">
        <f aca="false">Hajmlar!C376*Narxlar!D376</f>
        <v>2139722000</v>
      </c>
      <c r="J397" s="51" t="n">
        <f aca="false">Hajmlar!D376*Narxlar!E376</f>
        <v>1493087400</v>
      </c>
      <c r="K397" s="51" t="n">
        <f aca="false">Hajmlar!E376*Narxlar!F376</f>
        <v>691600800</v>
      </c>
      <c r="M397" s="52" t="n">
        <f aca="false">ABS(Daromadlilik!I375)/H397</f>
        <v>5.46030692368805E-012</v>
      </c>
      <c r="N397" s="52" t="n">
        <f aca="false">ABS(Daromadlilik!J375)/I397</f>
        <v>1.21284205659319E-012</v>
      </c>
      <c r="O397" s="52" t="n">
        <f aca="false">ABS(Daromadlilik!K375)/J397</f>
        <v>2.91343643035635E-012</v>
      </c>
      <c r="P397" s="52" t="n">
        <f aca="false">ABS(Daromadlilik!L375)/K397</f>
        <v>1.46258169087102E-011</v>
      </c>
    </row>
    <row r="398" customFormat="false" ht="15" hidden="false" customHeight="false" outlineLevel="0" collapsed="false">
      <c r="G398" s="19" t="n">
        <f aca="false">Daromadlilik!A376</f>
        <v>45818</v>
      </c>
      <c r="H398" s="51" t="n">
        <f aca="false">Hajmlar!B377*Narxlar!C377</f>
        <v>1472070600</v>
      </c>
      <c r="I398" s="51" t="n">
        <f aca="false">Hajmlar!C377*Narxlar!D377</f>
        <v>917812200</v>
      </c>
      <c r="J398" s="51" t="n">
        <f aca="false">Hajmlar!D377*Narxlar!E377</f>
        <v>1392835400</v>
      </c>
      <c r="K398" s="51" t="n">
        <f aca="false">Hajmlar!E377*Narxlar!F377</f>
        <v>446671500</v>
      </c>
      <c r="M398" s="52" t="n">
        <f aca="false">ABS(Daromadlilik!I376)/H398</f>
        <v>2.11978627981228E-012</v>
      </c>
      <c r="N398" s="52" t="n">
        <f aca="false">ABS(Daromadlilik!J376)/I398</f>
        <v>3.42179918704205E-013</v>
      </c>
      <c r="O398" s="52" t="n">
        <f aca="false">ABS(Daromadlilik!K376)/J398</f>
        <v>2.33117126252965E-012</v>
      </c>
      <c r="P398" s="52" t="n">
        <f aca="false">ABS(Daromadlilik!L376)/K398</f>
        <v>4.180732764001E-012</v>
      </c>
    </row>
    <row r="399" customFormat="false" ht="15" hidden="false" customHeight="false" outlineLevel="0" collapsed="false">
      <c r="G399" s="19" t="n">
        <f aca="false">Daromadlilik!A377</f>
        <v>45819</v>
      </c>
      <c r="H399" s="51" t="n">
        <f aca="false">Hajmlar!B378*Narxlar!C378</f>
        <v>1943507500</v>
      </c>
      <c r="I399" s="51" t="n">
        <f aca="false">Hajmlar!C378*Narxlar!D378</f>
        <v>1758675600</v>
      </c>
      <c r="J399" s="51" t="n">
        <f aca="false">Hajmlar!D378*Narxlar!E378</f>
        <v>496731600</v>
      </c>
      <c r="K399" s="51" t="n">
        <f aca="false">Hajmlar!E378*Narxlar!F378</f>
        <v>539066500</v>
      </c>
      <c r="M399" s="52" t="n">
        <f aca="false">ABS(Daromadlilik!I377)/H399</f>
        <v>2.94741847042336E-012</v>
      </c>
      <c r="N399" s="52" t="n">
        <f aca="false">ABS(Daromadlilik!J377)/I399</f>
        <v>3.44686549514629E-012</v>
      </c>
      <c r="O399" s="52" t="n">
        <f aca="false">ABS(Daromadlilik!K377)/J399</f>
        <v>3.3893486121677E-012</v>
      </c>
      <c r="P399" s="52" t="n">
        <f aca="false">ABS(Daromadlilik!L377)/K399</f>
        <v>1.31195649969837E-011</v>
      </c>
    </row>
    <row r="400" customFormat="false" ht="15" hidden="false" customHeight="false" outlineLevel="0" collapsed="false">
      <c r="G400" s="19" t="n">
        <f aca="false">Daromadlilik!A378</f>
        <v>45820</v>
      </c>
      <c r="H400" s="51" t="n">
        <f aca="false">Hajmlar!B379*Narxlar!C379</f>
        <v>1787671200</v>
      </c>
      <c r="I400" s="51" t="n">
        <f aca="false">Hajmlar!C379*Narxlar!D379</f>
        <v>1644294400</v>
      </c>
      <c r="J400" s="51" t="n">
        <f aca="false">Hajmlar!D379*Narxlar!E379</f>
        <v>1328754900</v>
      </c>
      <c r="K400" s="51" t="n">
        <f aca="false">Hajmlar!E379*Narxlar!F379</f>
        <v>783012400</v>
      </c>
      <c r="M400" s="52" t="n">
        <f aca="false">ABS(Daromadlilik!I378)/H400</f>
        <v>1.00857673382001E-011</v>
      </c>
      <c r="N400" s="52" t="n">
        <f aca="false">ABS(Daromadlilik!J378)/I400</f>
        <v>1.22006303932141E-011</v>
      </c>
      <c r="O400" s="52" t="n">
        <f aca="false">ABS(Daromadlilik!K378)/J400</f>
        <v>1.90928032939369E-011</v>
      </c>
      <c r="P400" s="52" t="n">
        <f aca="false">ABS(Daromadlilik!L378)/K400</f>
        <v>4.39989556985697E-011</v>
      </c>
    </row>
    <row r="401" customFormat="false" ht="15" hidden="false" customHeight="false" outlineLevel="0" collapsed="false">
      <c r="G401" s="19" t="n">
        <f aca="false">Daromadlilik!A379</f>
        <v>45821</v>
      </c>
      <c r="H401" s="51" t="n">
        <f aca="false">Hajmlar!B380*Narxlar!C380</f>
        <v>1715901000</v>
      </c>
      <c r="I401" s="51" t="n">
        <f aca="false">Hajmlar!C380*Narxlar!D380</f>
        <v>1710158100</v>
      </c>
      <c r="J401" s="51" t="n">
        <f aca="false">Hajmlar!D380*Narxlar!E380</f>
        <v>1316910900</v>
      </c>
      <c r="K401" s="51" t="n">
        <f aca="false">Hajmlar!E380*Narxlar!F380</f>
        <v>691306200</v>
      </c>
      <c r="M401" s="52" t="n">
        <f aca="false">ABS(Daromadlilik!I379)/H401</f>
        <v>1.24176068923365E-011</v>
      </c>
      <c r="N401" s="52" t="n">
        <f aca="false">ABS(Daromadlilik!J379)/I401</f>
        <v>1.44288805416718E-011</v>
      </c>
      <c r="O401" s="52" t="n">
        <f aca="false">ABS(Daromadlilik!K379)/J401</f>
        <v>1.02546342417166E-011</v>
      </c>
      <c r="P401" s="52" t="n">
        <f aca="false">ABS(Daromadlilik!L379)/K401</f>
        <v>4.9446552345642E-011</v>
      </c>
    </row>
    <row r="402" customFormat="false" ht="15" hidden="false" customHeight="false" outlineLevel="0" collapsed="false">
      <c r="G402" s="19" t="n">
        <f aca="false">Daromadlilik!A380</f>
        <v>45824</v>
      </c>
      <c r="H402" s="51" t="n">
        <f aca="false">Hajmlar!B381*Narxlar!C381</f>
        <v>3715623800</v>
      </c>
      <c r="I402" s="51" t="n">
        <f aca="false">Hajmlar!C381*Narxlar!D381</f>
        <v>2238518700</v>
      </c>
      <c r="J402" s="51" t="n">
        <f aca="false">Hajmlar!D381*Narxlar!E381</f>
        <v>1879080000</v>
      </c>
      <c r="K402" s="51" t="n">
        <f aca="false">Hajmlar!E381*Narxlar!F381</f>
        <v>394905000</v>
      </c>
      <c r="M402" s="52" t="n">
        <f aca="false">ABS(Daromadlilik!I380)/H402</f>
        <v>4.62324686068106E-012</v>
      </c>
      <c r="N402" s="52" t="n">
        <f aca="false">ABS(Daromadlilik!J380)/I402</f>
        <v>8.00265899513108E-012</v>
      </c>
      <c r="O402" s="52" t="n">
        <f aca="false">ABS(Daromadlilik!K380)/J402</f>
        <v>9.05724575715011E-012</v>
      </c>
      <c r="P402" s="52" t="n">
        <f aca="false">ABS(Daromadlilik!L380)/K402</f>
        <v>3.00039292501577E-011</v>
      </c>
    </row>
    <row r="403" customFormat="false" ht="15" hidden="false" customHeight="false" outlineLevel="0" collapsed="false">
      <c r="G403" s="19" t="n">
        <f aca="false">Daromadlilik!A381</f>
        <v>45825</v>
      </c>
      <c r="H403" s="51" t="n">
        <f aca="false">Hajmlar!B382*Narxlar!C382</f>
        <v>2736135000</v>
      </c>
      <c r="I403" s="51" t="n">
        <f aca="false">Hajmlar!C382*Narxlar!D382</f>
        <v>1480458000</v>
      </c>
      <c r="J403" s="51" t="n">
        <f aca="false">Hajmlar!D382*Narxlar!E382</f>
        <v>862355600</v>
      </c>
      <c r="K403" s="51" t="n">
        <f aca="false">Hajmlar!E382*Narxlar!F382</f>
        <v>504224000</v>
      </c>
      <c r="M403" s="52" t="n">
        <f aca="false">ABS(Daromadlilik!I381)/H403</f>
        <v>9.019957254327E-012</v>
      </c>
      <c r="N403" s="52" t="n">
        <f aca="false">ABS(Daromadlilik!J381)/I403</f>
        <v>1.51213222215683E-011</v>
      </c>
      <c r="O403" s="52" t="n">
        <f aca="false">ABS(Daromadlilik!K381)/J403</f>
        <v>2.6478161256394E-011</v>
      </c>
      <c r="P403" s="52" t="n">
        <f aca="false">ABS(Daromadlilik!L381)/K403</f>
        <v>8.58877965306464E-011</v>
      </c>
    </row>
    <row r="404" customFormat="false" ht="15" hidden="false" customHeight="false" outlineLevel="0" collapsed="false">
      <c r="G404" s="19" t="n">
        <f aca="false">Daromadlilik!A382</f>
        <v>45826</v>
      </c>
      <c r="H404" s="51" t="n">
        <f aca="false">Hajmlar!B383*Narxlar!C383</f>
        <v>1923779000</v>
      </c>
      <c r="I404" s="51" t="n">
        <f aca="false">Hajmlar!C383*Narxlar!D383</f>
        <v>2197874400</v>
      </c>
      <c r="J404" s="51" t="n">
        <f aca="false">Hajmlar!D383*Narxlar!E383</f>
        <v>1157594500</v>
      </c>
      <c r="K404" s="51" t="n">
        <f aca="false">Hajmlar!E383*Narxlar!F383</f>
        <v>824762400</v>
      </c>
      <c r="M404" s="52" t="n">
        <f aca="false">ABS(Daromadlilik!I382)/H404</f>
        <v>4.11195309408795E-012</v>
      </c>
      <c r="N404" s="52" t="n">
        <f aca="false">ABS(Daromadlilik!J382)/I404</f>
        <v>7.00631267148946E-012</v>
      </c>
      <c r="O404" s="52" t="n">
        <f aca="false">ABS(Daromadlilik!K382)/J404</f>
        <v>5.6117401111013E-012</v>
      </c>
      <c r="P404" s="52" t="n">
        <f aca="false">ABS(Daromadlilik!L382)/K404</f>
        <v>1.05491676601742E-011</v>
      </c>
    </row>
    <row r="405" customFormat="false" ht="15" hidden="false" customHeight="false" outlineLevel="0" collapsed="false">
      <c r="G405" s="19" t="n">
        <f aca="false">Daromadlilik!A383</f>
        <v>45827</v>
      </c>
      <c r="H405" s="51" t="n">
        <f aca="false">Hajmlar!B384*Narxlar!C384</f>
        <v>2120750200</v>
      </c>
      <c r="I405" s="51" t="n">
        <f aca="false">Hajmlar!C384*Narxlar!D384</f>
        <v>2405165100</v>
      </c>
      <c r="J405" s="51" t="n">
        <f aca="false">Hajmlar!D384*Narxlar!E384</f>
        <v>1402482400</v>
      </c>
      <c r="K405" s="51" t="n">
        <f aca="false">Hajmlar!E384*Narxlar!F384</f>
        <v>870643400</v>
      </c>
      <c r="M405" s="52" t="n">
        <f aca="false">ABS(Daromadlilik!I383)/H405</f>
        <v>6.14614193901867E-012</v>
      </c>
      <c r="N405" s="52" t="n">
        <f aca="false">ABS(Daromadlilik!J383)/I405</f>
        <v>5.54962996921539E-012</v>
      </c>
      <c r="O405" s="52" t="n">
        <f aca="false">ABS(Daromadlilik!K383)/J405</f>
        <v>7.73367166386975E-012</v>
      </c>
      <c r="P405" s="52" t="n">
        <f aca="false">ABS(Daromadlilik!L383)/K405</f>
        <v>8.74883800161738E-012</v>
      </c>
    </row>
    <row r="406" customFormat="false" ht="15" hidden="false" customHeight="false" outlineLevel="0" collapsed="false">
      <c r="G406" s="19" t="n">
        <f aca="false">Daromadlilik!A384</f>
        <v>45828</v>
      </c>
      <c r="H406" s="51" t="n">
        <f aca="false">Hajmlar!B385*Narxlar!C385</f>
        <v>1538951400</v>
      </c>
      <c r="I406" s="51" t="n">
        <f aca="false">Hajmlar!C385*Narxlar!D385</f>
        <v>998075600</v>
      </c>
      <c r="J406" s="51" t="n">
        <f aca="false">Hajmlar!D385*Narxlar!E385</f>
        <v>880300800</v>
      </c>
      <c r="K406" s="51" t="n">
        <f aca="false">Hajmlar!E385*Narxlar!F385</f>
        <v>793522000</v>
      </c>
      <c r="M406" s="52" t="n">
        <f aca="false">ABS(Daromadlilik!I384)/H406</f>
        <v>2.7950188359258E-012</v>
      </c>
      <c r="N406" s="52" t="n">
        <f aca="false">ABS(Daromadlilik!J384)/I406</f>
        <v>1.04109622473531E-011</v>
      </c>
      <c r="O406" s="52" t="n">
        <f aca="false">ABS(Daromadlilik!K384)/J406</f>
        <v>3.19579161805533E-012</v>
      </c>
      <c r="P406" s="52" t="n">
        <f aca="false">ABS(Daromadlilik!L384)/K406</f>
        <v>3.21963150682187E-011</v>
      </c>
    </row>
    <row r="407" customFormat="false" ht="15" hidden="false" customHeight="false" outlineLevel="0" collapsed="false">
      <c r="G407" s="19" t="n">
        <f aca="false">Daromadlilik!A385</f>
        <v>45831</v>
      </c>
      <c r="H407" s="51" t="n">
        <f aca="false">Hajmlar!B386*Narxlar!C386</f>
        <v>1649394500</v>
      </c>
      <c r="I407" s="51" t="n">
        <f aca="false">Hajmlar!C386*Narxlar!D386</f>
        <v>1240102500</v>
      </c>
      <c r="J407" s="51" t="n">
        <f aca="false">Hajmlar!D386*Narxlar!E386</f>
        <v>998474700</v>
      </c>
      <c r="K407" s="51" t="n">
        <f aca="false">Hajmlar!E386*Narxlar!F386</f>
        <v>431172700</v>
      </c>
      <c r="M407" s="52" t="n">
        <f aca="false">ABS(Daromadlilik!I385)/H407</f>
        <v>3.29252946395097E-012</v>
      </c>
      <c r="N407" s="52" t="n">
        <f aca="false">ABS(Daromadlilik!J385)/I407</f>
        <v>9.65233266569847E-013</v>
      </c>
      <c r="O407" s="52" t="n">
        <f aca="false">ABS(Daromadlilik!K385)/J407</f>
        <v>3.71750179850794E-012</v>
      </c>
      <c r="P407" s="52" t="n">
        <f aca="false">ABS(Daromadlilik!L385)/K407</f>
        <v>4.28088882519392E-011</v>
      </c>
    </row>
    <row r="408" customFormat="false" ht="15" hidden="false" customHeight="false" outlineLevel="0" collapsed="false">
      <c r="G408" s="19" t="n">
        <f aca="false">Daromadlilik!A386</f>
        <v>45832</v>
      </c>
      <c r="H408" s="51" t="n">
        <f aca="false">Hajmlar!B387*Narxlar!C387</f>
        <v>5699106100</v>
      </c>
      <c r="I408" s="51" t="n">
        <f aca="false">Hajmlar!C387*Narxlar!D387</f>
        <v>1936015900</v>
      </c>
      <c r="J408" s="51" t="n">
        <f aca="false">Hajmlar!D387*Narxlar!E387</f>
        <v>1008224000</v>
      </c>
      <c r="K408" s="51" t="n">
        <f aca="false">Hajmlar!E387*Narxlar!F387</f>
        <v>635607000</v>
      </c>
      <c r="M408" s="52" t="n">
        <f aca="false">ABS(Daromadlilik!I386)/H408</f>
        <v>4.39057263015099E-012</v>
      </c>
      <c r="N408" s="52" t="n">
        <f aca="false">ABS(Daromadlilik!J386)/I408</f>
        <v>5.40344581110157E-012</v>
      </c>
      <c r="O408" s="52" t="n">
        <f aca="false">ABS(Daromadlilik!K386)/J408</f>
        <v>1.05227513142005E-011</v>
      </c>
      <c r="P408" s="52" t="n">
        <f aca="false">ABS(Daromadlilik!L386)/K408</f>
        <v>1.40881040434279E-011</v>
      </c>
    </row>
    <row r="409" customFormat="false" ht="15" hidden="false" customHeight="false" outlineLevel="0" collapsed="false">
      <c r="G409" s="19" t="n">
        <f aca="false">Daromadlilik!A387</f>
        <v>45833</v>
      </c>
      <c r="H409" s="51" t="n">
        <f aca="false">Hajmlar!B388*Narxlar!C388</f>
        <v>3341601000</v>
      </c>
      <c r="I409" s="51" t="n">
        <f aca="false">Hajmlar!C388*Narxlar!D388</f>
        <v>997024000</v>
      </c>
      <c r="J409" s="51" t="n">
        <f aca="false">Hajmlar!D388*Narxlar!E388</f>
        <v>906407500</v>
      </c>
      <c r="K409" s="51" t="n">
        <f aca="false">Hajmlar!E388*Narxlar!F388</f>
        <v>645843600</v>
      </c>
      <c r="M409" s="52" t="n">
        <f aca="false">ABS(Daromadlilik!I387)/H409</f>
        <v>8.48750643414758E-012</v>
      </c>
      <c r="N409" s="52" t="n">
        <f aca="false">ABS(Daromadlilik!J387)/I409</f>
        <v>1.99401596424586E-011</v>
      </c>
      <c r="O409" s="52" t="n">
        <f aca="false">ABS(Daromadlilik!K387)/J409</f>
        <v>1.96606816218344E-011</v>
      </c>
      <c r="P409" s="52" t="n">
        <f aca="false">ABS(Daromadlilik!L387)/K409</f>
        <v>2.68787967832045E-011</v>
      </c>
    </row>
    <row r="410" customFormat="false" ht="15" hidden="false" customHeight="false" outlineLevel="0" collapsed="false">
      <c r="G410" s="19" t="n">
        <f aca="false">Daromadlilik!A388</f>
        <v>45834</v>
      </c>
      <c r="H410" s="51" t="n">
        <f aca="false">Hajmlar!B389*Narxlar!C389</f>
        <v>1544038400</v>
      </c>
      <c r="I410" s="51" t="n">
        <f aca="false">Hajmlar!C389*Narxlar!D389</f>
        <v>1186449000</v>
      </c>
      <c r="J410" s="51" t="n">
        <f aca="false">Hajmlar!D389*Narxlar!E389</f>
        <v>676427400</v>
      </c>
      <c r="K410" s="51" t="n">
        <f aca="false">Hajmlar!E389*Narxlar!F389</f>
        <v>690028800</v>
      </c>
      <c r="M410" s="52" t="n">
        <f aca="false">ABS(Daromadlilik!I388)/H410</f>
        <v>5.53685495652808E-012</v>
      </c>
      <c r="N410" s="52" t="n">
        <f aca="false">ABS(Daromadlilik!J388)/I410</f>
        <v>8.12693862682462E-012</v>
      </c>
      <c r="O410" s="52" t="n">
        <f aca="false">ABS(Daromadlilik!K388)/J410</f>
        <v>5.67315353071773E-012</v>
      </c>
      <c r="P410" s="52" t="n">
        <f aca="false">ABS(Daromadlilik!L388)/K410</f>
        <v>2.63275206152156E-011</v>
      </c>
    </row>
    <row r="411" customFormat="false" ht="15" hidden="false" customHeight="false" outlineLevel="0" collapsed="false">
      <c r="G411" s="19" t="n">
        <f aca="false">Daromadlilik!A389</f>
        <v>45835</v>
      </c>
      <c r="H411" s="51" t="n">
        <f aca="false">Hajmlar!B390*Narxlar!C390</f>
        <v>7239096900</v>
      </c>
      <c r="I411" s="51" t="n">
        <f aca="false">Hajmlar!C390*Narxlar!D390</f>
        <v>2535116500</v>
      </c>
      <c r="J411" s="51" t="n">
        <f aca="false">Hajmlar!D390*Narxlar!E390</f>
        <v>1519485000</v>
      </c>
      <c r="K411" s="51" t="n">
        <f aca="false">Hajmlar!E390*Narxlar!F390</f>
        <v>1090689600</v>
      </c>
      <c r="M411" s="52" t="n">
        <f aca="false">ABS(Daromadlilik!I389)/H411</f>
        <v>7.48539034291453E-012</v>
      </c>
      <c r="N411" s="52" t="n">
        <f aca="false">ABS(Daromadlilik!J389)/I411</f>
        <v>1.14190398698505E-011</v>
      </c>
      <c r="O411" s="52" t="n">
        <f aca="false">ABS(Daromadlilik!K389)/J411</f>
        <v>2.41645061669235E-011</v>
      </c>
      <c r="P411" s="52" t="n">
        <f aca="false">ABS(Daromadlilik!L389)/K411</f>
        <v>5.44019683378055E-011</v>
      </c>
    </row>
    <row r="412" customFormat="false" ht="15" hidden="false" customHeight="false" outlineLevel="0" collapsed="false">
      <c r="G412" s="19" t="n">
        <f aca="false">Daromadlilik!A390</f>
        <v>45838</v>
      </c>
      <c r="H412" s="51" t="n">
        <f aca="false">Hajmlar!B391*Narxlar!C391</f>
        <v>1411056000</v>
      </c>
      <c r="I412" s="51" t="n">
        <f aca="false">Hajmlar!C391*Narxlar!D391</f>
        <v>894000000</v>
      </c>
      <c r="J412" s="51" t="n">
        <f aca="false">Hajmlar!D391*Narxlar!E391</f>
        <v>611420200</v>
      </c>
      <c r="K412" s="51" t="n">
        <f aca="false">Hajmlar!E391*Narxlar!F391</f>
        <v>1193708100</v>
      </c>
      <c r="M412" s="52" t="n">
        <f aca="false">ABS(Daromadlilik!I390)/H412</f>
        <v>8.15906735979676E-013</v>
      </c>
      <c r="N412" s="52" t="n">
        <f aca="false">ABS(Daromadlilik!J390)/I412</f>
        <v>7.26042339702679E-012</v>
      </c>
      <c r="O412" s="52" t="n">
        <f aca="false">ABS(Daromadlilik!K390)/J412</f>
        <v>1.22088534044539E-011</v>
      </c>
      <c r="P412" s="52" t="n">
        <f aca="false">ABS(Daromadlilik!L390)/K412</f>
        <v>1.62505550618473E-011</v>
      </c>
    </row>
    <row r="413" customFormat="false" ht="15" hidden="false" customHeight="false" outlineLevel="0" collapsed="false">
      <c r="G413" s="19" t="n">
        <f aca="false">Daromadlilik!A391</f>
        <v>45839</v>
      </c>
      <c r="H413" s="51" t="n">
        <f aca="false">Hajmlar!B392*Narxlar!C392</f>
        <v>4029712500</v>
      </c>
      <c r="I413" s="51" t="n">
        <f aca="false">Hajmlar!C392*Narxlar!D392</f>
        <v>1605233000</v>
      </c>
      <c r="J413" s="51" t="n">
        <f aca="false">Hajmlar!D392*Narxlar!E392</f>
        <v>776070900</v>
      </c>
      <c r="K413" s="51" t="n">
        <f aca="false">Hajmlar!E392*Narxlar!F392</f>
        <v>1038617600</v>
      </c>
      <c r="M413" s="52" t="n">
        <f aca="false">ABS(Daromadlilik!I391)/H413</f>
        <v>5.36673015940852E-012</v>
      </c>
      <c r="N413" s="52" t="n">
        <f aca="false">ABS(Daromadlilik!J391)/I413</f>
        <v>1.35315922872879E-012</v>
      </c>
      <c r="O413" s="52" t="n">
        <f aca="false">ABS(Daromadlilik!K391)/J413</f>
        <v>8.44404009740449E-012</v>
      </c>
      <c r="P413" s="52" t="n">
        <f aca="false">ABS(Daromadlilik!L391)/K413</f>
        <v>4.09162992813432E-011</v>
      </c>
    </row>
    <row r="414" customFormat="false" ht="15" hidden="false" customHeight="false" outlineLevel="0" collapsed="false">
      <c r="G414" s="19" t="n">
        <f aca="false">Daromadlilik!A392</f>
        <v>45840</v>
      </c>
      <c r="H414" s="51" t="n">
        <f aca="false">Hajmlar!B393*Narxlar!C393</f>
        <v>2835406500</v>
      </c>
      <c r="I414" s="51" t="n">
        <f aca="false">Hajmlar!C393*Narxlar!D393</f>
        <v>2150647200</v>
      </c>
      <c r="J414" s="51" t="n">
        <f aca="false">Hajmlar!D393*Narxlar!E393</f>
        <v>1728065600</v>
      </c>
      <c r="K414" s="51" t="n">
        <f aca="false">Hajmlar!E393*Narxlar!F393</f>
        <v>1111768000</v>
      </c>
      <c r="M414" s="52" t="n">
        <f aca="false">ABS(Daromadlilik!I392)/H414</f>
        <v>1.34173109611027E-011</v>
      </c>
      <c r="N414" s="52" t="n">
        <f aca="false">ABS(Daromadlilik!J392)/I414</f>
        <v>1.73462400300951E-011</v>
      </c>
      <c r="O414" s="52" t="n">
        <f aca="false">ABS(Daromadlilik!K392)/J414</f>
        <v>1.89583480734139E-011</v>
      </c>
      <c r="P414" s="52" t="n">
        <f aca="false">ABS(Daromadlilik!L392)/K414</f>
        <v>1.93846341097522E-011</v>
      </c>
    </row>
    <row r="415" customFormat="false" ht="15" hidden="false" customHeight="false" outlineLevel="0" collapsed="false">
      <c r="G415" s="19" t="n">
        <f aca="false">Daromadlilik!A393</f>
        <v>45841</v>
      </c>
      <c r="H415" s="51" t="n">
        <f aca="false">Hajmlar!B394*Narxlar!C394</f>
        <v>2013821600</v>
      </c>
      <c r="I415" s="51" t="n">
        <f aca="false">Hajmlar!C394*Narxlar!D394</f>
        <v>1904241300</v>
      </c>
      <c r="J415" s="51" t="n">
        <f aca="false">Hajmlar!D394*Narxlar!E394</f>
        <v>577861500</v>
      </c>
      <c r="K415" s="51" t="n">
        <f aca="false">Hajmlar!E394*Narxlar!F394</f>
        <v>562089600</v>
      </c>
      <c r="M415" s="52" t="n">
        <f aca="false">ABS(Daromadlilik!I393)/H415</f>
        <v>1.5336260070045E-012</v>
      </c>
      <c r="N415" s="52" t="n">
        <f aca="false">ABS(Daromadlilik!J393)/I415</f>
        <v>4.81642493435554E-013</v>
      </c>
      <c r="O415" s="52" t="n">
        <f aca="false">ABS(Daromadlilik!K393)/J415</f>
        <v>4.40945509227958E-012</v>
      </c>
      <c r="P415" s="52" t="n">
        <f aca="false">ABS(Daromadlilik!L393)/K415</f>
        <v>3.03674869022254E-011</v>
      </c>
    </row>
    <row r="416" customFormat="false" ht="15" hidden="false" customHeight="false" outlineLevel="0" collapsed="false">
      <c r="G416" s="19" t="n">
        <f aca="false">Daromadlilik!A394</f>
        <v>45842</v>
      </c>
      <c r="H416" s="51" t="n">
        <f aca="false">Hajmlar!B395*Narxlar!C395</f>
        <v>3114814800</v>
      </c>
      <c r="I416" s="51" t="n">
        <f aca="false">Hajmlar!C395*Narxlar!D395</f>
        <v>1424256600</v>
      </c>
      <c r="J416" s="51" t="n">
        <f aca="false">Hajmlar!D395*Narxlar!E395</f>
        <v>887542500</v>
      </c>
      <c r="K416" s="51" t="n">
        <f aca="false">Hajmlar!E395*Narxlar!F395</f>
        <v>1275307200</v>
      </c>
      <c r="M416" s="52" t="n">
        <f aca="false">ABS(Daromadlilik!I394)/H416</f>
        <v>9.84661356997773E-012</v>
      </c>
      <c r="N416" s="52" t="n">
        <f aca="false">ABS(Daromadlilik!J394)/I416</f>
        <v>8.31816663232625E-012</v>
      </c>
      <c r="O416" s="52" t="n">
        <f aca="false">ABS(Daromadlilik!K394)/J416</f>
        <v>1.09450227655251E-011</v>
      </c>
      <c r="P416" s="52" t="n">
        <f aca="false">ABS(Daromadlilik!L394)/K416</f>
        <v>2.12051016039054E-011</v>
      </c>
    </row>
    <row r="417" customFormat="false" ht="15" hidden="false" customHeight="false" outlineLevel="0" collapsed="false">
      <c r="G417" s="19" t="n">
        <f aca="false">Daromadlilik!A395</f>
        <v>45845</v>
      </c>
      <c r="H417" s="51" t="n">
        <f aca="false">Hajmlar!B396*Narxlar!C396</f>
        <v>2418221000</v>
      </c>
      <c r="I417" s="51" t="n">
        <f aca="false">Hajmlar!C396*Narxlar!D396</f>
        <v>1199880000</v>
      </c>
      <c r="J417" s="51" t="n">
        <f aca="false">Hajmlar!D396*Narxlar!E396</f>
        <v>1739758500</v>
      </c>
      <c r="K417" s="51" t="n">
        <f aca="false">Hajmlar!E396*Narxlar!F396</f>
        <v>568429000</v>
      </c>
      <c r="M417" s="52" t="n">
        <f aca="false">ABS(Daromadlilik!I395)/H417</f>
        <v>5.51186291127249E-012</v>
      </c>
      <c r="N417" s="52" t="n">
        <f aca="false">ABS(Daromadlilik!J395)/I417</f>
        <v>1.5114311990148E-012</v>
      </c>
      <c r="O417" s="52" t="n">
        <f aca="false">ABS(Daromadlilik!K395)/J417</f>
        <v>7.11590287992037E-012</v>
      </c>
      <c r="P417" s="52" t="n">
        <f aca="false">ABS(Daromadlilik!L395)/K417</f>
        <v>4.00196226056709E-011</v>
      </c>
    </row>
    <row r="418" customFormat="false" ht="15" hidden="false" customHeight="false" outlineLevel="0" collapsed="false">
      <c r="G418" s="19" t="n">
        <f aca="false">Daromadlilik!A396</f>
        <v>45846</v>
      </c>
      <c r="H418" s="51" t="n">
        <f aca="false">Hajmlar!B397*Narxlar!C397</f>
        <v>3101822000</v>
      </c>
      <c r="I418" s="51" t="n">
        <f aca="false">Hajmlar!C397*Narxlar!D397</f>
        <v>1273594100</v>
      </c>
      <c r="J418" s="51" t="n">
        <f aca="false">Hajmlar!D397*Narxlar!E397</f>
        <v>998712600</v>
      </c>
      <c r="K418" s="51" t="n">
        <f aca="false">Hajmlar!E397*Narxlar!F397</f>
        <v>1222556400</v>
      </c>
      <c r="M418" s="52" t="n">
        <f aca="false">ABS(Daromadlilik!I396)/H418</f>
        <v>9.62201214896414E-012</v>
      </c>
      <c r="N418" s="52" t="n">
        <f aca="false">ABS(Daromadlilik!J396)/I418</f>
        <v>7.37222815307345E-012</v>
      </c>
      <c r="O418" s="52" t="n">
        <f aca="false">ABS(Daromadlilik!K396)/J418</f>
        <v>1.52517176415998E-011</v>
      </c>
      <c r="P418" s="52" t="n">
        <f aca="false">ABS(Daromadlilik!L396)/K418</f>
        <v>2.62807220756932E-011</v>
      </c>
    </row>
    <row r="419" customFormat="false" ht="15" hidden="false" customHeight="false" outlineLevel="0" collapsed="false">
      <c r="G419" s="19" t="n">
        <f aca="false">Daromadlilik!A397</f>
        <v>45847</v>
      </c>
      <c r="H419" s="51" t="n">
        <f aca="false">Hajmlar!B398*Narxlar!C398</f>
        <v>1842750000</v>
      </c>
      <c r="I419" s="51" t="n">
        <f aca="false">Hajmlar!C398*Narxlar!D398</f>
        <v>1614961200</v>
      </c>
      <c r="J419" s="51" t="n">
        <f aca="false">Hajmlar!D398*Narxlar!E398</f>
        <v>755547200</v>
      </c>
      <c r="K419" s="51" t="n">
        <f aca="false">Hajmlar!E398*Narxlar!F398</f>
        <v>777828600</v>
      </c>
      <c r="M419" s="52" t="n">
        <f aca="false">ABS(Daromadlilik!I397)/H419</f>
        <v>4.34246955615355E-012</v>
      </c>
      <c r="N419" s="52" t="n">
        <f aca="false">ABS(Daromadlilik!J397)/I419</f>
        <v>5.59255196144014E-012</v>
      </c>
      <c r="O419" s="52" t="n">
        <f aca="false">ABS(Daromadlilik!K397)/J419</f>
        <v>1.01448768615728E-012</v>
      </c>
      <c r="P419" s="52" t="n">
        <f aca="false">ABS(Daromadlilik!L397)/K419</f>
        <v>5.72919967273112E-012</v>
      </c>
    </row>
    <row r="420" customFormat="false" ht="15" hidden="false" customHeight="false" outlineLevel="0" collapsed="false">
      <c r="G420" s="19" t="n">
        <f aca="false">Daromadlilik!A398</f>
        <v>45848</v>
      </c>
      <c r="H420" s="51" t="n">
        <f aca="false">Hajmlar!B399*Narxlar!C399</f>
        <v>4409468000</v>
      </c>
      <c r="I420" s="51" t="n">
        <f aca="false">Hajmlar!C399*Narxlar!D399</f>
        <v>1331616000</v>
      </c>
      <c r="J420" s="51" t="n">
        <f aca="false">Hajmlar!D399*Narxlar!E399</f>
        <v>1274198400</v>
      </c>
      <c r="K420" s="51" t="n">
        <f aca="false">Hajmlar!E399*Narxlar!F399</f>
        <v>2761559900</v>
      </c>
      <c r="M420" s="52" t="n">
        <f aca="false">ABS(Daromadlilik!I398)/H420</f>
        <v>1.11792890583939E-011</v>
      </c>
      <c r="N420" s="52" t="n">
        <f aca="false">ABS(Daromadlilik!J398)/I420</f>
        <v>2.94947623659983E-011</v>
      </c>
      <c r="O420" s="52" t="n">
        <f aca="false">ABS(Daromadlilik!K398)/J420</f>
        <v>2.0350504223677E-011</v>
      </c>
      <c r="P420" s="52" t="n">
        <f aca="false">ABS(Daromadlilik!L398)/K420</f>
        <v>1.966361873703E-011</v>
      </c>
    </row>
    <row r="421" customFormat="false" ht="15" hidden="false" customHeight="false" outlineLevel="0" collapsed="false">
      <c r="G421" s="19" t="n">
        <f aca="false">Daromadlilik!A399</f>
        <v>45849</v>
      </c>
      <c r="H421" s="51" t="n">
        <f aca="false">Hajmlar!B400*Narxlar!C400</f>
        <v>4252133600</v>
      </c>
      <c r="I421" s="51" t="n">
        <f aca="false">Hajmlar!C400*Narxlar!D400</f>
        <v>1833540300</v>
      </c>
      <c r="J421" s="51" t="n">
        <f aca="false">Hajmlar!D400*Narxlar!E400</f>
        <v>1264225600</v>
      </c>
      <c r="K421" s="51" t="n">
        <f aca="false">Hajmlar!E400*Narxlar!F400</f>
        <v>1159039200</v>
      </c>
      <c r="M421" s="52" t="n">
        <f aca="false">ABS(Daromadlilik!I399)/H421</f>
        <v>3.38891586643832E-012</v>
      </c>
      <c r="N421" s="52" t="n">
        <f aca="false">ABS(Daromadlilik!J399)/I421</f>
        <v>8.70999702085135E-012</v>
      </c>
      <c r="O421" s="52" t="n">
        <f aca="false">ABS(Daromadlilik!K399)/J421</f>
        <v>1.80159181166371E-011</v>
      </c>
      <c r="P421" s="52" t="n">
        <f aca="false">ABS(Daromadlilik!L399)/K421</f>
        <v>2.69872652885577E-011</v>
      </c>
    </row>
    <row r="422" customFormat="false" ht="15" hidden="false" customHeight="false" outlineLevel="0" collapsed="false">
      <c r="G422" s="19" t="n">
        <f aca="false">Daromadlilik!A400</f>
        <v>45852</v>
      </c>
      <c r="H422" s="51" t="n">
        <f aca="false">Hajmlar!B401*Narxlar!C401</f>
        <v>2142148800</v>
      </c>
      <c r="I422" s="51" t="n">
        <f aca="false">Hajmlar!C401*Narxlar!D401</f>
        <v>655887600</v>
      </c>
      <c r="J422" s="51" t="n">
        <f aca="false">Hajmlar!D401*Narxlar!E401</f>
        <v>1066155000</v>
      </c>
      <c r="K422" s="51" t="n">
        <f aca="false">Hajmlar!E401*Narxlar!F401</f>
        <v>498579000</v>
      </c>
      <c r="M422" s="52" t="n">
        <f aca="false">ABS(Daromadlilik!I400)/H422</f>
        <v>5.96796311498028E-012</v>
      </c>
      <c r="N422" s="52" t="n">
        <f aca="false">ABS(Daromadlilik!J400)/I422</f>
        <v>3.29568649279858E-012</v>
      </c>
      <c r="O422" s="52" t="n">
        <f aca="false">ABS(Daromadlilik!K400)/J422</f>
        <v>1.27033920518762E-012</v>
      </c>
      <c r="P422" s="52" t="n">
        <f aca="false">ABS(Daromadlilik!L400)/K422</f>
        <v>7.68977033583982E-012</v>
      </c>
    </row>
    <row r="423" customFormat="false" ht="15" hidden="false" customHeight="false" outlineLevel="0" collapsed="false">
      <c r="G423" s="19" t="n">
        <f aca="false">Daromadlilik!A401</f>
        <v>45853</v>
      </c>
      <c r="H423" s="51" t="n">
        <f aca="false">Hajmlar!B402*Narxlar!C402</f>
        <v>1669805500</v>
      </c>
      <c r="I423" s="51" t="n">
        <f aca="false">Hajmlar!C402*Narxlar!D402</f>
        <v>779545200</v>
      </c>
      <c r="J423" s="51" t="n">
        <f aca="false">Hajmlar!D402*Narxlar!E402</f>
        <v>814669000</v>
      </c>
      <c r="K423" s="51" t="n">
        <f aca="false">Hajmlar!E402*Narxlar!F402</f>
        <v>524293000</v>
      </c>
      <c r="M423" s="52" t="n">
        <f aca="false">ABS(Daromadlilik!I401)/H423</f>
        <v>9.27499258950319E-012</v>
      </c>
      <c r="N423" s="52" t="n">
        <f aca="false">ABS(Daromadlilik!J401)/I423</f>
        <v>4.79150848020211E-012</v>
      </c>
      <c r="O423" s="52" t="n">
        <f aca="false">ABS(Daromadlilik!K401)/J423</f>
        <v>1.33458939553532E-011</v>
      </c>
      <c r="P423" s="52" t="n">
        <f aca="false">ABS(Daromadlilik!L401)/K423</f>
        <v>1.77447746202985E-011</v>
      </c>
    </row>
    <row r="424" customFormat="false" ht="15" hidden="false" customHeight="false" outlineLevel="0" collapsed="false">
      <c r="G424" s="19" t="n">
        <f aca="false">Daromadlilik!A402</f>
        <v>45854</v>
      </c>
      <c r="H424" s="51" t="n">
        <f aca="false">Hajmlar!B403*Narxlar!C403</f>
        <v>1552370400</v>
      </c>
      <c r="I424" s="51" t="n">
        <f aca="false">Hajmlar!C403*Narxlar!D403</f>
        <v>2463237000</v>
      </c>
      <c r="J424" s="51" t="n">
        <f aca="false">Hajmlar!D403*Narxlar!E403</f>
        <v>1988812300</v>
      </c>
      <c r="K424" s="51" t="n">
        <f aca="false">Hajmlar!E403*Narxlar!F403</f>
        <v>1596039900</v>
      </c>
      <c r="M424" s="52" t="n">
        <f aca="false">ABS(Daromadlilik!I402)/H424</f>
        <v>1.04578402046889E-011</v>
      </c>
      <c r="N424" s="52" t="n">
        <f aca="false">ABS(Daromadlilik!J402)/I424</f>
        <v>9.30528380409943E-012</v>
      </c>
      <c r="O424" s="52" t="n">
        <f aca="false">ABS(Daromadlilik!K402)/J424</f>
        <v>1.2731408914893E-011</v>
      </c>
      <c r="P424" s="52" t="n">
        <f aca="false">ABS(Daromadlilik!L402)/K424</f>
        <v>1.96015482819996E-011</v>
      </c>
    </row>
    <row r="425" customFormat="false" ht="15" hidden="false" customHeight="false" outlineLevel="0" collapsed="false">
      <c r="G425" s="19" t="n">
        <f aca="false">Daromadlilik!A403</f>
        <v>45855</v>
      </c>
      <c r="H425" s="51" t="n">
        <f aca="false">Hajmlar!B404*Narxlar!C404</f>
        <v>1398643200</v>
      </c>
      <c r="I425" s="51" t="n">
        <f aca="false">Hajmlar!C404*Narxlar!D404</f>
        <v>1774172400</v>
      </c>
      <c r="J425" s="51" t="n">
        <f aca="false">Hajmlar!D404*Narxlar!E404</f>
        <v>1216120800</v>
      </c>
      <c r="K425" s="51" t="n">
        <f aca="false">Hajmlar!E404*Narxlar!F404</f>
        <v>1141598400</v>
      </c>
      <c r="M425" s="52" t="n">
        <f aca="false">ABS(Daromadlilik!I403)/H425</f>
        <v>3.00074435113165E-012</v>
      </c>
      <c r="N425" s="52" t="n">
        <f aca="false">ABS(Daromadlilik!J403)/I425</f>
        <v>1.01384451961758E-011</v>
      </c>
      <c r="O425" s="52" t="n">
        <f aca="false">ABS(Daromadlilik!K403)/J425</f>
        <v>6.16933869773366E-012</v>
      </c>
      <c r="P425" s="52" t="n">
        <f aca="false">ABS(Daromadlilik!L403)/K425</f>
        <v>9.03988321925552E-012</v>
      </c>
    </row>
    <row r="426" customFormat="false" ht="15" hidden="false" customHeight="false" outlineLevel="0" collapsed="false">
      <c r="G426" s="19" t="n">
        <f aca="false">Daromadlilik!A404</f>
        <v>45856</v>
      </c>
      <c r="H426" s="51" t="n">
        <f aca="false">Hajmlar!B405*Narxlar!C405</f>
        <v>1265575200</v>
      </c>
      <c r="I426" s="51" t="n">
        <f aca="false">Hajmlar!C405*Narxlar!D405</f>
        <v>1403595000</v>
      </c>
      <c r="J426" s="51" t="n">
        <f aca="false">Hajmlar!D405*Narxlar!E405</f>
        <v>1042561500</v>
      </c>
      <c r="K426" s="51" t="n">
        <f aca="false">Hajmlar!E405*Narxlar!F405</f>
        <v>976651900</v>
      </c>
      <c r="M426" s="52" t="n">
        <f aca="false">ABS(Daromadlilik!I404)/H426</f>
        <v>8.8890282135683E-012</v>
      </c>
      <c r="N426" s="52" t="n">
        <f aca="false">ABS(Daromadlilik!J404)/I426</f>
        <v>8.71716754525819E-012</v>
      </c>
      <c r="O426" s="52" t="n">
        <f aca="false">ABS(Daromadlilik!K404)/J426</f>
        <v>1.81798094815478E-012</v>
      </c>
      <c r="P426" s="52" t="n">
        <f aca="false">ABS(Daromadlilik!L404)/K426</f>
        <v>1.74144549721222E-011</v>
      </c>
    </row>
    <row r="427" customFormat="false" ht="15" hidden="false" customHeight="false" outlineLevel="0" collapsed="false">
      <c r="G427" s="19" t="n">
        <f aca="false">Daromadlilik!A405</f>
        <v>45859</v>
      </c>
      <c r="H427" s="51" t="n">
        <f aca="false">Hajmlar!B406*Narxlar!C406</f>
        <v>941092800</v>
      </c>
      <c r="I427" s="51" t="n">
        <f aca="false">Hajmlar!C406*Narxlar!D406</f>
        <v>1315164700</v>
      </c>
      <c r="J427" s="51" t="n">
        <f aca="false">Hajmlar!D406*Narxlar!E406</f>
        <v>976082400</v>
      </c>
      <c r="K427" s="51" t="n">
        <f aca="false">Hajmlar!E406*Narxlar!F406</f>
        <v>1017924600</v>
      </c>
      <c r="M427" s="52" t="n">
        <f aca="false">ABS(Daromadlilik!I405)/H427</f>
        <v>2.12601261086488E-012</v>
      </c>
      <c r="N427" s="52" t="n">
        <f aca="false">ABS(Daromadlilik!J405)/I427</f>
        <v>6.81794322389402E-013</v>
      </c>
      <c r="O427" s="52" t="n">
        <f aca="false">ABS(Daromadlilik!K405)/J427</f>
        <v>2.75830042087867E-012</v>
      </c>
      <c r="P427" s="52" t="n">
        <f aca="false">ABS(Daromadlilik!L405)/K427</f>
        <v>2.07574541241733E-011</v>
      </c>
    </row>
    <row r="428" customFormat="false" ht="15" hidden="false" customHeight="false" outlineLevel="0" collapsed="false">
      <c r="G428" s="19" t="n">
        <f aca="false">Daromadlilik!A406</f>
        <v>45860</v>
      </c>
      <c r="H428" s="51" t="n">
        <f aca="false">Hajmlar!B407*Narxlar!C407</f>
        <v>2549672400</v>
      </c>
      <c r="I428" s="51" t="n">
        <f aca="false">Hajmlar!C407*Narxlar!D407</f>
        <v>1316212800</v>
      </c>
      <c r="J428" s="51" t="n">
        <f aca="false">Hajmlar!D407*Narxlar!E407</f>
        <v>2020416000</v>
      </c>
      <c r="K428" s="51" t="n">
        <f aca="false">Hajmlar!E407*Narxlar!F407</f>
        <v>597018600</v>
      </c>
      <c r="M428" s="52" t="n">
        <f aca="false">ABS(Daromadlilik!I406)/H428</f>
        <v>2.55485670698425E-012</v>
      </c>
      <c r="N428" s="52" t="n">
        <f aca="false">ABS(Daromadlilik!J406)/I428</f>
        <v>7.20228491670825E-012</v>
      </c>
      <c r="O428" s="52" t="n">
        <f aca="false">ABS(Daromadlilik!K406)/J428</f>
        <v>6.84887749368123E-012</v>
      </c>
      <c r="P428" s="52" t="n">
        <f aca="false">ABS(Daromadlilik!L406)/K428</f>
        <v>1.86528094600586E-011</v>
      </c>
    </row>
    <row r="429" customFormat="false" ht="15" hidden="false" customHeight="false" outlineLevel="0" collapsed="false">
      <c r="G429" s="19" t="n">
        <f aca="false">Daromadlilik!A407</f>
        <v>45861</v>
      </c>
      <c r="H429" s="51" t="n">
        <f aca="false">Hajmlar!B408*Narxlar!C408</f>
        <v>2463346200</v>
      </c>
      <c r="I429" s="51" t="n">
        <f aca="false">Hajmlar!C408*Narxlar!D408</f>
        <v>1077241600</v>
      </c>
      <c r="J429" s="51" t="n">
        <f aca="false">Hajmlar!D408*Narxlar!E408</f>
        <v>1353694800</v>
      </c>
      <c r="K429" s="51" t="n">
        <f aca="false">Hajmlar!E408*Narxlar!F408</f>
        <v>916984800</v>
      </c>
      <c r="M429" s="52" t="n">
        <f aca="false">ABS(Daromadlilik!I407)/H429</f>
        <v>1.48876634128591E-012</v>
      </c>
      <c r="N429" s="52" t="n">
        <f aca="false">ABS(Daromadlilik!J407)/I429</f>
        <v>1.79362357691598E-012</v>
      </c>
      <c r="O429" s="52" t="n">
        <f aca="false">ABS(Daromadlilik!K407)/J429</f>
        <v>5.8690706443194E-012</v>
      </c>
      <c r="P429" s="52" t="n">
        <f aca="false">ABS(Daromadlilik!L407)/K429</f>
        <v>8.13832595871775E-012</v>
      </c>
    </row>
    <row r="430" customFormat="false" ht="15" hidden="false" customHeight="false" outlineLevel="0" collapsed="false">
      <c r="G430" s="19" t="n">
        <f aca="false">Daromadlilik!A408</f>
        <v>45862</v>
      </c>
      <c r="H430" s="51" t="n">
        <f aca="false">Hajmlar!B409*Narxlar!C409</f>
        <v>2343746500</v>
      </c>
      <c r="I430" s="51" t="n">
        <f aca="false">Hajmlar!C409*Narxlar!D409</f>
        <v>1035218800</v>
      </c>
      <c r="J430" s="51" t="n">
        <f aca="false">Hajmlar!D409*Narxlar!E409</f>
        <v>1244855500</v>
      </c>
      <c r="K430" s="51" t="n">
        <f aca="false">Hajmlar!E409*Narxlar!F409</f>
        <v>1002777000</v>
      </c>
      <c r="M430" s="52" t="n">
        <f aca="false">ABS(Daromadlilik!I408)/H430</f>
        <v>2.39825256266603E-012</v>
      </c>
      <c r="N430" s="52" t="n">
        <f aca="false">ABS(Daromadlilik!J408)/I430</f>
        <v>1.45548612940374E-011</v>
      </c>
      <c r="O430" s="52" t="n">
        <f aca="false">ABS(Daromadlilik!K408)/J430</f>
        <v>3.87175085823858E-012</v>
      </c>
      <c r="P430" s="52" t="n">
        <f aca="false">ABS(Daromadlilik!L408)/K430</f>
        <v>7.92249888225047E-012</v>
      </c>
    </row>
    <row r="431" customFormat="false" ht="15" hidden="false" customHeight="false" outlineLevel="0" collapsed="false">
      <c r="G431" s="19" t="n">
        <f aca="false">Daromadlilik!A409</f>
        <v>45863</v>
      </c>
      <c r="H431" s="51" t="n">
        <f aca="false">Hajmlar!B410*Narxlar!C410</f>
        <v>1411900600</v>
      </c>
      <c r="I431" s="51" t="n">
        <f aca="false">Hajmlar!C410*Narxlar!D410</f>
        <v>1927087700</v>
      </c>
      <c r="J431" s="51" t="n">
        <f aca="false">Hajmlar!D410*Narxlar!E410</f>
        <v>755596900</v>
      </c>
      <c r="K431" s="51" t="n">
        <f aca="false">Hajmlar!E410*Narxlar!F410</f>
        <v>582010000</v>
      </c>
      <c r="M431" s="52" t="n">
        <f aca="false">ABS(Daromadlilik!I409)/H431</f>
        <v>5.97523107273808E-012</v>
      </c>
      <c r="N431" s="52" t="n">
        <f aca="false">ABS(Daromadlilik!J409)/I431</f>
        <v>2.27505419260149E-012</v>
      </c>
      <c r="O431" s="52" t="n">
        <f aca="false">ABS(Daromadlilik!K409)/J431</f>
        <v>7.99510893074285E-013</v>
      </c>
      <c r="P431" s="52" t="n">
        <f aca="false">ABS(Daromadlilik!L409)/K431</f>
        <v>4.55388360006375E-011</v>
      </c>
    </row>
    <row r="432" customFormat="false" ht="15" hidden="false" customHeight="false" outlineLevel="0" collapsed="false">
      <c r="G432" s="19" t="n">
        <f aca="false">Daromadlilik!A410</f>
        <v>45866</v>
      </c>
      <c r="H432" s="51" t="n">
        <f aca="false">Hajmlar!B411*Narxlar!C411</f>
        <v>3159122700</v>
      </c>
      <c r="I432" s="51" t="n">
        <f aca="false">Hajmlar!C411*Narxlar!D411</f>
        <v>2063882600</v>
      </c>
      <c r="J432" s="51" t="n">
        <f aca="false">Hajmlar!D411*Narxlar!E411</f>
        <v>1771505400</v>
      </c>
      <c r="K432" s="51" t="n">
        <f aca="false">Hajmlar!E411*Narxlar!F411</f>
        <v>902860000</v>
      </c>
      <c r="M432" s="52" t="n">
        <f aca="false">ABS(Daromadlilik!I410)/H432</f>
        <v>9.84833752537343E-012</v>
      </c>
      <c r="N432" s="52" t="n">
        <f aca="false">ABS(Daromadlilik!J410)/I432</f>
        <v>4.57060082796685E-012</v>
      </c>
      <c r="O432" s="52" t="n">
        <f aca="false">ABS(Daromadlilik!K410)/J432</f>
        <v>6.86390031285169E-012</v>
      </c>
      <c r="P432" s="52" t="n">
        <f aca="false">ABS(Daromadlilik!L410)/K432</f>
        <v>9.1896382946187E-012</v>
      </c>
    </row>
    <row r="433" customFormat="false" ht="15" hidden="false" customHeight="false" outlineLevel="0" collapsed="false">
      <c r="G433" s="19" t="n">
        <f aca="false">Daromadlilik!A411</f>
        <v>45867</v>
      </c>
      <c r="H433" s="51" t="n">
        <f aca="false">Hajmlar!B412*Narxlar!C412</f>
        <v>2312755200</v>
      </c>
      <c r="I433" s="51" t="n">
        <f aca="false">Hajmlar!C412*Narxlar!D412</f>
        <v>2770131000</v>
      </c>
      <c r="J433" s="51" t="n">
        <f aca="false">Hajmlar!D412*Narxlar!E412</f>
        <v>2192936600</v>
      </c>
      <c r="K433" s="51" t="n">
        <f aca="false">Hajmlar!E412*Narxlar!F412</f>
        <v>546036000</v>
      </c>
      <c r="M433" s="52" t="n">
        <f aca="false">ABS(Daromadlilik!I411)/H433</f>
        <v>3.47674973841958E-012</v>
      </c>
      <c r="N433" s="52" t="n">
        <f aca="false">ABS(Daromadlilik!J411)/I433</f>
        <v>7.29837853641548E-012</v>
      </c>
      <c r="O433" s="52" t="n">
        <f aca="false">ABS(Daromadlilik!K411)/J433</f>
        <v>3.61179221178454E-012</v>
      </c>
      <c r="P433" s="52" t="n">
        <f aca="false">ABS(Daromadlilik!L411)/K433</f>
        <v>1.45467126081983E-011</v>
      </c>
    </row>
    <row r="434" customFormat="false" ht="15" hidden="false" customHeight="false" outlineLevel="0" collapsed="false">
      <c r="G434" s="19" t="n">
        <f aca="false">Daromadlilik!A412</f>
        <v>45868</v>
      </c>
      <c r="H434" s="51" t="n">
        <f aca="false">Hajmlar!B413*Narxlar!C413</f>
        <v>2212219200</v>
      </c>
      <c r="I434" s="51" t="n">
        <f aca="false">Hajmlar!C413*Narxlar!D413</f>
        <v>1620382400</v>
      </c>
      <c r="J434" s="51" t="n">
        <f aca="false">Hajmlar!D413*Narxlar!E413</f>
        <v>829898800</v>
      </c>
      <c r="K434" s="51" t="n">
        <f aca="false">Hajmlar!E413*Narxlar!F413</f>
        <v>925001000</v>
      </c>
      <c r="M434" s="52" t="n">
        <f aca="false">ABS(Daromadlilik!I412)/H434</f>
        <v>2.59316616429017E-012</v>
      </c>
      <c r="N434" s="52" t="n">
        <f aca="false">ABS(Daromadlilik!J412)/I434</f>
        <v>1.00176604522488E-011</v>
      </c>
      <c r="O434" s="52" t="n">
        <f aca="false">ABS(Daromadlilik!K412)/J434</f>
        <v>2.31782989430231E-012</v>
      </c>
      <c r="P434" s="52" t="n">
        <f aca="false">ABS(Daromadlilik!L412)/K434</f>
        <v>9.09007168719211E-012</v>
      </c>
    </row>
    <row r="435" customFormat="false" ht="15" hidden="false" customHeight="false" outlineLevel="0" collapsed="false">
      <c r="G435" s="19" t="n">
        <f aca="false">Daromadlilik!A413</f>
        <v>45869</v>
      </c>
      <c r="H435" s="51" t="n">
        <f aca="false">Hajmlar!B414*Narxlar!C414</f>
        <v>2614940000</v>
      </c>
      <c r="I435" s="51" t="n">
        <f aca="false">Hajmlar!C414*Narxlar!D414</f>
        <v>1284732600</v>
      </c>
      <c r="J435" s="51" t="n">
        <f aca="false">Hajmlar!D414*Narxlar!E414</f>
        <v>684090000</v>
      </c>
      <c r="K435" s="51" t="n">
        <f aca="false">Hajmlar!E414*Narxlar!F414</f>
        <v>850102000</v>
      </c>
      <c r="M435" s="52" t="n">
        <f aca="false">ABS(Daromadlilik!I413)/H435</f>
        <v>4.97195544129267E-014</v>
      </c>
      <c r="N435" s="52" t="n">
        <f aca="false">ABS(Daromadlilik!J413)/I435</f>
        <v>4.28556761268419E-012</v>
      </c>
      <c r="O435" s="52" t="n">
        <f aca="false">ABS(Daromadlilik!K413)/J435</f>
        <v>4.73264990488672E-012</v>
      </c>
      <c r="P435" s="52" t="n">
        <f aca="false">ABS(Daromadlilik!L413)/K435</f>
        <v>8.77881239643914E-012</v>
      </c>
    </row>
    <row r="436" customFormat="false" ht="15" hidden="false" customHeight="false" outlineLevel="0" collapsed="false">
      <c r="G436" s="19" t="n">
        <f aca="false">Daromadlilik!A414</f>
        <v>45870</v>
      </c>
      <c r="H436" s="51" t="n">
        <f aca="false">Hajmlar!B415*Narxlar!C415</f>
        <v>2273261400</v>
      </c>
      <c r="I436" s="51" t="n">
        <f aca="false">Hajmlar!C415*Narxlar!D415</f>
        <v>2020291200</v>
      </c>
      <c r="J436" s="51" t="n">
        <f aca="false">Hajmlar!D415*Narxlar!E415</f>
        <v>2437749100</v>
      </c>
      <c r="K436" s="51" t="n">
        <f aca="false">Hajmlar!E415*Narxlar!F415</f>
        <v>897955500</v>
      </c>
      <c r="M436" s="52" t="n">
        <f aca="false">ABS(Daromadlilik!I414)/H436</f>
        <v>5.57310584167312E-013</v>
      </c>
      <c r="N436" s="52" t="n">
        <f aca="false">ABS(Daromadlilik!J414)/I436</f>
        <v>7.42252904854254E-012</v>
      </c>
      <c r="O436" s="52" t="n">
        <f aca="false">ABS(Daromadlilik!K414)/J436</f>
        <v>1.17229621651322E-011</v>
      </c>
      <c r="P436" s="52" t="n">
        <f aca="false">ABS(Daromadlilik!L414)/K436</f>
        <v>1.43361542019976E-011</v>
      </c>
    </row>
    <row r="437" customFormat="false" ht="15" hidden="false" customHeight="false" outlineLevel="0" collapsed="false">
      <c r="G437" s="19" t="n">
        <f aca="false">Daromadlilik!A415</f>
        <v>45873</v>
      </c>
      <c r="H437" s="51" t="n">
        <f aca="false">Hajmlar!B416*Narxlar!C416</f>
        <v>3456281000</v>
      </c>
      <c r="I437" s="51" t="n">
        <f aca="false">Hajmlar!C416*Narxlar!D416</f>
        <v>1669820700</v>
      </c>
      <c r="J437" s="51" t="n">
        <f aca="false">Hajmlar!D416*Narxlar!E416</f>
        <v>1210125600</v>
      </c>
      <c r="K437" s="51" t="n">
        <f aca="false">Hajmlar!E416*Narxlar!F416</f>
        <v>588224000</v>
      </c>
      <c r="M437" s="52" t="n">
        <f aca="false">ABS(Daromadlilik!I415)/H437</f>
        <v>8.38718392001713E-012</v>
      </c>
      <c r="N437" s="52" t="n">
        <f aca="false">ABS(Daromadlilik!J415)/I437</f>
        <v>8.189838544475E-012</v>
      </c>
      <c r="O437" s="52" t="n">
        <f aca="false">ABS(Daromadlilik!K415)/J437</f>
        <v>6.22268441011904E-012</v>
      </c>
      <c r="P437" s="52" t="n">
        <f aca="false">ABS(Daromadlilik!L415)/K437</f>
        <v>3.47382991658976E-012</v>
      </c>
    </row>
    <row r="438" customFormat="false" ht="15" hidden="false" customHeight="false" outlineLevel="0" collapsed="false">
      <c r="G438" s="19" t="n">
        <f aca="false">Daromadlilik!A416</f>
        <v>45874</v>
      </c>
      <c r="H438" s="51" t="n">
        <f aca="false">Hajmlar!B417*Narxlar!C417</f>
        <v>3104618400</v>
      </c>
      <c r="I438" s="51" t="n">
        <f aca="false">Hajmlar!C417*Narxlar!D417</f>
        <v>2957025600</v>
      </c>
      <c r="J438" s="51" t="n">
        <f aca="false">Hajmlar!D417*Narxlar!E417</f>
        <v>1365175000</v>
      </c>
      <c r="K438" s="51" t="n">
        <f aca="false">Hajmlar!E417*Narxlar!F417</f>
        <v>1352864700</v>
      </c>
      <c r="M438" s="52" t="n">
        <f aca="false">ABS(Daromadlilik!I416)/H438</f>
        <v>1.60897972319757E-012</v>
      </c>
      <c r="N438" s="52" t="n">
        <f aca="false">ABS(Daromadlilik!J416)/I438</f>
        <v>9.30557458426906E-013</v>
      </c>
      <c r="O438" s="52" t="n">
        <f aca="false">ABS(Daromadlilik!K416)/J438</f>
        <v>8.18131142566997E-012</v>
      </c>
      <c r="P438" s="52" t="n">
        <f aca="false">ABS(Daromadlilik!L416)/K438</f>
        <v>6.5269494046759E-012</v>
      </c>
    </row>
    <row r="439" customFormat="false" ht="15" hidden="false" customHeight="false" outlineLevel="0" collapsed="false">
      <c r="G439" s="19" t="n">
        <f aca="false">Daromadlilik!A417</f>
        <v>45875</v>
      </c>
      <c r="H439" s="51" t="n">
        <f aca="false">Hajmlar!B418*Narxlar!C418</f>
        <v>3130610000</v>
      </c>
      <c r="I439" s="51" t="n">
        <f aca="false">Hajmlar!C418*Narxlar!D418</f>
        <v>2479964900</v>
      </c>
      <c r="J439" s="51" t="n">
        <f aca="false">Hajmlar!D418*Narxlar!E418</f>
        <v>1117008100</v>
      </c>
      <c r="K439" s="51" t="n">
        <f aca="false">Hajmlar!E418*Narxlar!F418</f>
        <v>583155200</v>
      </c>
      <c r="M439" s="52" t="n">
        <f aca="false">ABS(Daromadlilik!I417)/H439</f>
        <v>3.96420820488832E-012</v>
      </c>
      <c r="N439" s="52" t="n">
        <f aca="false">ABS(Daromadlilik!J417)/I439</f>
        <v>6.12249466012459E-012</v>
      </c>
      <c r="O439" s="52" t="n">
        <f aca="false">ABS(Daromadlilik!K417)/J439</f>
        <v>2.03094421396617E-012</v>
      </c>
      <c r="P439" s="52" t="n">
        <f aca="false">ABS(Daromadlilik!L417)/K439</f>
        <v>3.01140928105082E-013</v>
      </c>
    </row>
    <row r="440" customFormat="false" ht="15" hidden="false" customHeight="false" outlineLevel="0" collapsed="false">
      <c r="G440" s="19" t="n">
        <f aca="false">Daromadlilik!A418</f>
        <v>45876</v>
      </c>
      <c r="H440" s="51" t="n">
        <f aca="false">Hajmlar!B419*Narxlar!C419</f>
        <v>2767598400</v>
      </c>
      <c r="I440" s="51" t="n">
        <f aca="false">Hajmlar!C419*Narxlar!D419</f>
        <v>4473331200</v>
      </c>
      <c r="J440" s="51" t="n">
        <f aca="false">Hajmlar!D419*Narxlar!E419</f>
        <v>2045482800</v>
      </c>
      <c r="K440" s="51" t="n">
        <f aca="false">Hajmlar!E419*Narxlar!F419</f>
        <v>1318659000</v>
      </c>
      <c r="M440" s="52" t="n">
        <f aca="false">ABS(Daromadlilik!I418)/H440</f>
        <v>2.24387108269469E-012</v>
      </c>
      <c r="N440" s="52" t="n">
        <f aca="false">ABS(Daromadlilik!J418)/I440</f>
        <v>4.9316580736938E-012</v>
      </c>
      <c r="O440" s="52" t="n">
        <f aca="false">ABS(Daromadlilik!K418)/J440</f>
        <v>3.8468351194219E-012</v>
      </c>
      <c r="P440" s="52" t="n">
        <f aca="false">ABS(Daromadlilik!L418)/K440</f>
        <v>1.46620858184611E-012</v>
      </c>
    </row>
    <row r="441" customFormat="false" ht="15" hidden="false" customHeight="false" outlineLevel="0" collapsed="false">
      <c r="G441" s="19" t="n">
        <f aca="false">Daromadlilik!A419</f>
        <v>45877</v>
      </c>
      <c r="H441" s="51" t="n">
        <f aca="false">Hajmlar!B420*Narxlar!C420</f>
        <v>2837353600</v>
      </c>
      <c r="I441" s="51" t="n">
        <f aca="false">Hajmlar!C420*Narxlar!D420</f>
        <v>1688621400</v>
      </c>
      <c r="J441" s="51" t="n">
        <f aca="false">Hajmlar!D420*Narxlar!E420</f>
        <v>1845355600</v>
      </c>
      <c r="K441" s="51" t="n">
        <f aca="false">Hajmlar!E420*Narxlar!F420</f>
        <v>1093553200</v>
      </c>
      <c r="M441" s="52" t="n">
        <f aca="false">ABS(Daromadlilik!I419)/H441</f>
        <v>3.4912726460602E-012</v>
      </c>
      <c r="N441" s="52" t="n">
        <f aca="false">ABS(Daromadlilik!J419)/I441</f>
        <v>1.30119176800912E-012</v>
      </c>
      <c r="O441" s="52" t="n">
        <f aca="false">ABS(Daromadlilik!K419)/J441</f>
        <v>4.49405794641224E-012</v>
      </c>
      <c r="P441" s="52" t="n">
        <f aca="false">ABS(Daromadlilik!L419)/K441</f>
        <v>1.72520348387782E-011</v>
      </c>
    </row>
    <row r="442" customFormat="false" ht="15" hidden="false" customHeight="false" outlineLevel="0" collapsed="false">
      <c r="G442" s="19" t="n">
        <f aca="false">Daromadlilik!A420</f>
        <v>45880</v>
      </c>
      <c r="H442" s="51" t="n">
        <f aca="false">Hajmlar!B421*Narxlar!C421</f>
        <v>1835662500</v>
      </c>
      <c r="I442" s="51" t="n">
        <f aca="false">Hajmlar!C421*Narxlar!D421</f>
        <v>1441896000</v>
      </c>
      <c r="J442" s="51" t="n">
        <f aca="false">Hajmlar!D421*Narxlar!E421</f>
        <v>3758914400</v>
      </c>
      <c r="K442" s="51" t="n">
        <f aca="false">Hajmlar!E421*Narxlar!F421</f>
        <v>1122597900</v>
      </c>
      <c r="M442" s="52" t="n">
        <f aca="false">ABS(Daromadlilik!I420)/H442</f>
        <v>1.49551623120107E-012</v>
      </c>
      <c r="N442" s="52" t="n">
        <f aca="false">ABS(Daromadlilik!J420)/I442</f>
        <v>2.36601634054453E-012</v>
      </c>
      <c r="O442" s="52" t="n">
        <f aca="false">ABS(Daromadlilik!K420)/J442</f>
        <v>2.80640420127479E-012</v>
      </c>
      <c r="P442" s="52" t="n">
        <f aca="false">ABS(Daromadlilik!L420)/K442</f>
        <v>1.95840431251248E-011</v>
      </c>
    </row>
    <row r="443" customFormat="false" ht="15" hidden="false" customHeight="false" outlineLevel="0" collapsed="false">
      <c r="G443" s="19" t="n">
        <f aca="false">Daromadlilik!A421</f>
        <v>45881</v>
      </c>
      <c r="H443" s="51" t="n">
        <f aca="false">Hajmlar!B422*Narxlar!C422</f>
        <v>4677420000</v>
      </c>
      <c r="I443" s="51" t="n">
        <f aca="false">Hajmlar!C422*Narxlar!D422</f>
        <v>2648600000</v>
      </c>
      <c r="J443" s="51" t="n">
        <f aca="false">Hajmlar!D422*Narxlar!E422</f>
        <v>1234988300</v>
      </c>
      <c r="K443" s="51" t="n">
        <f aca="false">Hajmlar!E422*Narxlar!F422</f>
        <v>726046200</v>
      </c>
      <c r="M443" s="52" t="n">
        <f aca="false">ABS(Daromadlilik!I421)/H443</f>
        <v>2.94466503332672E-012</v>
      </c>
      <c r="N443" s="52" t="n">
        <f aca="false">ABS(Daromadlilik!J421)/I443</f>
        <v>8.23410440987576E-012</v>
      </c>
      <c r="O443" s="52" t="n">
        <f aca="false">ABS(Daromadlilik!K421)/J443</f>
        <v>7.83342238298794E-012</v>
      </c>
      <c r="P443" s="52" t="n">
        <f aca="false">ABS(Daromadlilik!L421)/K443</f>
        <v>2.52743841572878E-012</v>
      </c>
    </row>
    <row r="444" customFormat="false" ht="15" hidden="false" customHeight="false" outlineLevel="0" collapsed="false">
      <c r="G444" s="19" t="n">
        <f aca="false">Daromadlilik!A422</f>
        <v>45882</v>
      </c>
      <c r="H444" s="51" t="n">
        <f aca="false">Hajmlar!B423*Narxlar!C423</f>
        <v>3783016800</v>
      </c>
      <c r="I444" s="51" t="n">
        <f aca="false">Hajmlar!C423*Narxlar!D423</f>
        <v>1348483500</v>
      </c>
      <c r="J444" s="51" t="n">
        <f aca="false">Hajmlar!D423*Narxlar!E423</f>
        <v>1896412800</v>
      </c>
      <c r="K444" s="51" t="n">
        <f aca="false">Hajmlar!E423*Narxlar!F423</f>
        <v>941529600</v>
      </c>
      <c r="M444" s="52" t="n">
        <f aca="false">ABS(Daromadlilik!I422)/H444</f>
        <v>8.51068397475203E-012</v>
      </c>
      <c r="N444" s="52" t="n">
        <f aca="false">ABS(Daromadlilik!J422)/I444</f>
        <v>2.20078937423605E-012</v>
      </c>
      <c r="O444" s="52" t="n">
        <f aca="false">ABS(Daromadlilik!K422)/J444</f>
        <v>5.81374305677525E-012</v>
      </c>
      <c r="P444" s="52" t="n">
        <f aca="false">ABS(Daromadlilik!L422)/K444</f>
        <v>3.48737702953922E-011</v>
      </c>
    </row>
    <row r="445" customFormat="false" ht="15" hidden="false" customHeight="false" outlineLevel="0" collapsed="false">
      <c r="G445" s="19" t="n">
        <f aca="false">Daromadlilik!A423</f>
        <v>45883</v>
      </c>
      <c r="H445" s="51" t="n">
        <f aca="false">Hajmlar!B424*Narxlar!C424</f>
        <v>1493054400</v>
      </c>
      <c r="I445" s="51" t="n">
        <f aca="false">Hajmlar!C424*Narxlar!D424</f>
        <v>2294406600</v>
      </c>
      <c r="J445" s="51" t="n">
        <f aca="false">Hajmlar!D424*Narxlar!E424</f>
        <v>1025229600</v>
      </c>
      <c r="K445" s="51" t="n">
        <f aca="false">Hajmlar!E424*Narxlar!F424</f>
        <v>678306100</v>
      </c>
      <c r="M445" s="52" t="n">
        <f aca="false">ABS(Daromadlilik!I423)/H445</f>
        <v>3.74360143993973E-012</v>
      </c>
      <c r="N445" s="52" t="n">
        <f aca="false">ABS(Daromadlilik!J423)/I445</f>
        <v>4.90305704814725E-012</v>
      </c>
      <c r="O445" s="52" t="n">
        <f aca="false">ABS(Daromadlilik!K423)/J445</f>
        <v>2.06174249574282E-012</v>
      </c>
      <c r="P445" s="52" t="n">
        <f aca="false">ABS(Daromadlilik!L423)/K445</f>
        <v>7.20277602720171E-012</v>
      </c>
    </row>
    <row r="446" customFormat="false" ht="15" hidden="false" customHeight="false" outlineLevel="0" collapsed="false">
      <c r="G446" s="19" t="n">
        <f aca="false">Daromadlilik!A424</f>
        <v>45884</v>
      </c>
      <c r="H446" s="51" t="n">
        <f aca="false">Hajmlar!B425*Narxlar!C425</f>
        <v>2751277000</v>
      </c>
      <c r="I446" s="51" t="n">
        <f aca="false">Hajmlar!C425*Narxlar!D425</f>
        <v>1548779600</v>
      </c>
      <c r="J446" s="51" t="n">
        <f aca="false">Hajmlar!D425*Narxlar!E425</f>
        <v>1294968000</v>
      </c>
      <c r="K446" s="51" t="n">
        <f aca="false">Hajmlar!E425*Narxlar!F425</f>
        <v>520041400</v>
      </c>
      <c r="M446" s="52" t="n">
        <f aca="false">ABS(Daromadlilik!I424)/H446</f>
        <v>3.53580898283773E-012</v>
      </c>
      <c r="N446" s="52" t="n">
        <f aca="false">ABS(Daromadlilik!J424)/I446</f>
        <v>2.0187539471536E-012</v>
      </c>
      <c r="O446" s="52" t="n">
        <f aca="false">ABS(Daromadlilik!K424)/J446</f>
        <v>1.30051713549551E-011</v>
      </c>
      <c r="P446" s="52" t="n">
        <f aca="false">ABS(Daromadlilik!L424)/K446</f>
        <v>7.77849325605905E-012</v>
      </c>
    </row>
    <row r="447" customFormat="false" ht="15" hidden="false" customHeight="false" outlineLevel="0" collapsed="false">
      <c r="G447" s="19" t="n">
        <f aca="false">Daromadlilik!A425</f>
        <v>45887</v>
      </c>
      <c r="H447" s="51" t="n">
        <f aca="false">Hajmlar!B426*Narxlar!C426</f>
        <v>3231531000</v>
      </c>
      <c r="I447" s="51" t="n">
        <f aca="false">Hajmlar!C426*Narxlar!D426</f>
        <v>2057212200</v>
      </c>
      <c r="J447" s="51" t="n">
        <f aca="false">Hajmlar!D426*Narxlar!E426</f>
        <v>1711070700</v>
      </c>
      <c r="K447" s="51" t="n">
        <f aca="false">Hajmlar!E426*Narxlar!F426</f>
        <v>1352809500</v>
      </c>
      <c r="M447" s="52" t="n">
        <f aca="false">ABS(Daromadlilik!I425)/H447</f>
        <v>4.97401692142769E-012</v>
      </c>
      <c r="N447" s="52" t="n">
        <f aca="false">ABS(Daromadlilik!J425)/I447</f>
        <v>3.4094898992825E-012</v>
      </c>
      <c r="O447" s="52" t="n">
        <f aca="false">ABS(Daromadlilik!K425)/J447</f>
        <v>1.02911084367192E-011</v>
      </c>
      <c r="P447" s="52" t="n">
        <f aca="false">ABS(Daromadlilik!L425)/K447</f>
        <v>1.74673149220737E-011</v>
      </c>
    </row>
    <row r="448" customFormat="false" ht="15" hidden="false" customHeight="false" outlineLevel="0" collapsed="false">
      <c r="G448" s="19" t="n">
        <f aca="false">Daromadlilik!A426</f>
        <v>45888</v>
      </c>
      <c r="H448" s="51" t="n">
        <f aca="false">Hajmlar!B427*Narxlar!C427</f>
        <v>5560733500</v>
      </c>
      <c r="I448" s="51" t="n">
        <f aca="false">Hajmlar!C427*Narxlar!D427</f>
        <v>3998097600</v>
      </c>
      <c r="J448" s="51" t="n">
        <f aca="false">Hajmlar!D427*Narxlar!E427</f>
        <v>1246208000</v>
      </c>
      <c r="K448" s="51" t="n">
        <f aca="false">Hajmlar!E427*Narxlar!F427</f>
        <v>412772800</v>
      </c>
      <c r="M448" s="52" t="n">
        <f aca="false">ABS(Daromadlilik!I426)/H448</f>
        <v>2.42770817595974E-012</v>
      </c>
      <c r="N448" s="52" t="n">
        <f aca="false">ABS(Daromadlilik!J426)/I448</f>
        <v>4.75218017557784E-012</v>
      </c>
      <c r="O448" s="52" t="n">
        <f aca="false">ABS(Daromadlilik!K426)/J448</f>
        <v>1.4521633785126E-011</v>
      </c>
      <c r="P448" s="52" t="n">
        <f aca="false">ABS(Daromadlilik!L426)/K448</f>
        <v>2.88030938996776E-011</v>
      </c>
    </row>
    <row r="449" customFormat="false" ht="15" hidden="false" customHeight="false" outlineLevel="0" collapsed="false">
      <c r="G449" s="19" t="n">
        <f aca="false">Daromadlilik!A427</f>
        <v>45889</v>
      </c>
      <c r="H449" s="51" t="n">
        <f aca="false">Hajmlar!B428*Narxlar!C428</f>
        <v>2003067500</v>
      </c>
      <c r="I449" s="51" t="n">
        <f aca="false">Hajmlar!C428*Narxlar!D428</f>
        <v>1656979500</v>
      </c>
      <c r="J449" s="51" t="n">
        <f aca="false">Hajmlar!D428*Narxlar!E428</f>
        <v>1118093400</v>
      </c>
      <c r="K449" s="51" t="n">
        <f aca="false">Hajmlar!E428*Narxlar!F428</f>
        <v>1055457600</v>
      </c>
      <c r="M449" s="52" t="n">
        <f aca="false">ABS(Daromadlilik!I427)/H449</f>
        <v>2.66219484032701E-012</v>
      </c>
      <c r="N449" s="52" t="n">
        <f aca="false">ABS(Daromadlilik!J427)/I449</f>
        <v>6.9765048169072E-012</v>
      </c>
      <c r="O449" s="52" t="n">
        <f aca="false">ABS(Daromadlilik!K427)/J449</f>
        <v>4.99238831195443E-012</v>
      </c>
      <c r="P449" s="52" t="n">
        <f aca="false">ABS(Daromadlilik!L427)/K449</f>
        <v>1.24841007858148E-011</v>
      </c>
    </row>
    <row r="450" customFormat="false" ht="15" hidden="false" customHeight="false" outlineLevel="0" collapsed="false">
      <c r="G450" s="19" t="n">
        <f aca="false">Daromadlilik!A428</f>
        <v>45890</v>
      </c>
      <c r="H450" s="51" t="n">
        <f aca="false">Hajmlar!B429*Narxlar!C429</f>
        <v>2356691900</v>
      </c>
      <c r="I450" s="51" t="n">
        <f aca="false">Hajmlar!C429*Narxlar!D429</f>
        <v>1857953700</v>
      </c>
      <c r="J450" s="51" t="n">
        <f aca="false">Hajmlar!D429*Narxlar!E429</f>
        <v>2110293500</v>
      </c>
      <c r="K450" s="51" t="n">
        <f aca="false">Hajmlar!E429*Narxlar!F429</f>
        <v>974734200</v>
      </c>
      <c r="M450" s="52" t="n">
        <f aca="false">ABS(Daromadlilik!I428)/H450</f>
        <v>5.80194067380293E-013</v>
      </c>
      <c r="N450" s="52" t="n">
        <f aca="false">ABS(Daromadlilik!J428)/I450</f>
        <v>4.13179229246924E-012</v>
      </c>
      <c r="O450" s="52" t="n">
        <f aca="false">ABS(Daromadlilik!K428)/J450</f>
        <v>5.14671832566622E-012</v>
      </c>
      <c r="P450" s="52" t="n">
        <f aca="false">ABS(Daromadlilik!L428)/K450</f>
        <v>7.63951802481771E-012</v>
      </c>
    </row>
    <row r="451" customFormat="false" ht="15" hidden="false" customHeight="false" outlineLevel="0" collapsed="false">
      <c r="G451" s="19" t="n">
        <f aca="false">Daromadlilik!A429</f>
        <v>45891</v>
      </c>
      <c r="H451" s="51" t="n">
        <f aca="false">Hajmlar!B430*Narxlar!C430</f>
        <v>2928979200</v>
      </c>
      <c r="I451" s="51" t="n">
        <f aca="false">Hajmlar!C430*Narxlar!D430</f>
        <v>2210515200</v>
      </c>
      <c r="J451" s="51" t="n">
        <f aca="false">Hajmlar!D430*Narxlar!E430</f>
        <v>649108500</v>
      </c>
      <c r="K451" s="51" t="n">
        <f aca="false">Hajmlar!E430*Narxlar!F430</f>
        <v>890643600</v>
      </c>
      <c r="M451" s="52" t="n">
        <f aca="false">ABS(Daromadlilik!I429)/H451</f>
        <v>1.26707639241609E-012</v>
      </c>
      <c r="N451" s="52" t="n">
        <f aca="false">ABS(Daromadlilik!J429)/I451</f>
        <v>2.67193462701725E-012</v>
      </c>
      <c r="O451" s="52" t="n">
        <f aca="false">ABS(Daromadlilik!K429)/J451</f>
        <v>3.36103256120763E-012</v>
      </c>
      <c r="P451" s="52" t="n">
        <f aca="false">ABS(Daromadlilik!L429)/K451</f>
        <v>2.35842531319947E-011</v>
      </c>
    </row>
    <row r="452" customFormat="false" ht="15" hidden="false" customHeight="false" outlineLevel="0" collapsed="false">
      <c r="G452" s="19" t="n">
        <f aca="false">Daromadlilik!A430</f>
        <v>45894</v>
      </c>
      <c r="H452" s="51" t="n">
        <f aca="false">Hajmlar!B431*Narxlar!C431</f>
        <v>4104342000</v>
      </c>
      <c r="I452" s="51" t="n">
        <f aca="false">Hajmlar!C431*Narxlar!D431</f>
        <v>2344106400</v>
      </c>
      <c r="J452" s="51" t="n">
        <f aca="false">Hajmlar!D431*Narxlar!E431</f>
        <v>1487616000</v>
      </c>
      <c r="K452" s="51" t="n">
        <f aca="false">Hajmlar!E431*Narxlar!F431</f>
        <v>1272824000</v>
      </c>
      <c r="M452" s="52" t="n">
        <f aca="false">ABS(Daromadlilik!I430)/H452</f>
        <v>7.43372146456842E-012</v>
      </c>
      <c r="N452" s="52" t="n">
        <f aca="false">ABS(Daromadlilik!J430)/I452</f>
        <v>4.30130243504594E-012</v>
      </c>
      <c r="O452" s="52" t="n">
        <f aca="false">ABS(Daromadlilik!K430)/J452</f>
        <v>7.43232133677571E-012</v>
      </c>
      <c r="P452" s="52" t="n">
        <f aca="false">ABS(Daromadlilik!L430)/K452</f>
        <v>1.38624538661345E-011</v>
      </c>
    </row>
    <row r="453" customFormat="false" ht="15" hidden="false" customHeight="false" outlineLevel="0" collapsed="false">
      <c r="G453" s="19" t="n">
        <f aca="false">Daromadlilik!A431</f>
        <v>45895</v>
      </c>
      <c r="H453" s="51" t="n">
        <f aca="false">Hajmlar!B432*Narxlar!C432</f>
        <v>3887470800</v>
      </c>
      <c r="I453" s="51" t="n">
        <f aca="false">Hajmlar!C432*Narxlar!D432</f>
        <v>857192800</v>
      </c>
      <c r="J453" s="51" t="n">
        <f aca="false">Hajmlar!D432*Narxlar!E432</f>
        <v>960909900</v>
      </c>
      <c r="K453" s="51" t="n">
        <f aca="false">Hajmlar!E432*Narxlar!F432</f>
        <v>764656200</v>
      </c>
      <c r="M453" s="52" t="n">
        <f aca="false">ABS(Daromadlilik!I431)/H453</f>
        <v>5.62548841092937E-012</v>
      </c>
      <c r="N453" s="52" t="n">
        <f aca="false">ABS(Daromadlilik!J431)/I453</f>
        <v>1.73235912421401E-011</v>
      </c>
      <c r="O453" s="52" t="n">
        <f aca="false">ABS(Daromadlilik!K431)/J453</f>
        <v>1.02684193221513E-011</v>
      </c>
      <c r="P453" s="52" t="n">
        <f aca="false">ABS(Daromadlilik!L431)/K453</f>
        <v>1.12975206354677E-011</v>
      </c>
    </row>
    <row r="454" customFormat="false" ht="15" hidden="false" customHeight="false" outlineLevel="0" collapsed="false">
      <c r="G454" s="19" t="n">
        <f aca="false">Daromadlilik!A432</f>
        <v>45896</v>
      </c>
      <c r="H454" s="51" t="n">
        <f aca="false">Hajmlar!B433*Narxlar!C433</f>
        <v>3140824500</v>
      </c>
      <c r="I454" s="51" t="n">
        <f aca="false">Hajmlar!C433*Narxlar!D433</f>
        <v>1808656400</v>
      </c>
      <c r="J454" s="51" t="n">
        <f aca="false">Hajmlar!D433*Narxlar!E433</f>
        <v>1743799200</v>
      </c>
      <c r="K454" s="51" t="n">
        <f aca="false">Hajmlar!E433*Narxlar!F433</f>
        <v>809827200</v>
      </c>
      <c r="M454" s="52" t="n">
        <f aca="false">ABS(Daromadlilik!I432)/H454</f>
        <v>5.84214070802002E-012</v>
      </c>
      <c r="N454" s="52" t="n">
        <f aca="false">ABS(Daromadlilik!J432)/I454</f>
        <v>5.96461279229849E-012</v>
      </c>
      <c r="O454" s="52" t="n">
        <f aca="false">ABS(Daromadlilik!K432)/J454</f>
        <v>4.4755358073693E-012</v>
      </c>
      <c r="P454" s="52" t="n">
        <f aca="false">ABS(Daromadlilik!L432)/K454</f>
        <v>2.5964707480049E-011</v>
      </c>
    </row>
    <row r="455" customFormat="false" ht="15" hidden="false" customHeight="false" outlineLevel="0" collapsed="false">
      <c r="G455" s="19" t="n">
        <f aca="false">Daromadlilik!A433</f>
        <v>45897</v>
      </c>
      <c r="H455" s="51" t="n">
        <f aca="false">Hajmlar!B434*Narxlar!C434</f>
        <v>2850251400</v>
      </c>
      <c r="I455" s="51" t="n">
        <f aca="false">Hajmlar!C434*Narxlar!D434</f>
        <v>1194535200</v>
      </c>
      <c r="J455" s="51" t="n">
        <f aca="false">Hajmlar!D434*Narxlar!E434</f>
        <v>691196000</v>
      </c>
      <c r="K455" s="51" t="n">
        <f aca="false">Hajmlar!E434*Narxlar!F434</f>
        <v>741728700</v>
      </c>
      <c r="M455" s="52" t="n">
        <f aca="false">ABS(Daromadlilik!I433)/H455</f>
        <v>1.63891718128371E-012</v>
      </c>
      <c r="N455" s="52" t="n">
        <f aca="false">ABS(Daromadlilik!J433)/I455</f>
        <v>6.08416036786564E-012</v>
      </c>
      <c r="O455" s="52" t="n">
        <f aca="false">ABS(Daromadlilik!K433)/J455</f>
        <v>5.99194629630481E-012</v>
      </c>
      <c r="P455" s="52" t="n">
        <f aca="false">ABS(Daromadlilik!L433)/K455</f>
        <v>7.6695283874907E-012</v>
      </c>
    </row>
    <row r="456" customFormat="false" ht="15" hidden="false" customHeight="false" outlineLevel="0" collapsed="false">
      <c r="G456" s="19" t="n">
        <f aca="false">Daromadlilik!A434</f>
        <v>45898</v>
      </c>
      <c r="H456" s="51" t="n">
        <f aca="false">Hajmlar!B435*Narxlar!C435</f>
        <v>1118900300</v>
      </c>
      <c r="I456" s="51" t="n">
        <f aca="false">Hajmlar!C435*Narxlar!D435</f>
        <v>1697052000</v>
      </c>
      <c r="J456" s="51" t="n">
        <f aca="false">Hajmlar!D435*Narxlar!E435</f>
        <v>521000000</v>
      </c>
      <c r="K456" s="51" t="n">
        <f aca="false">Hajmlar!E435*Narxlar!F435</f>
        <v>1954262100</v>
      </c>
      <c r="M456" s="52" t="n">
        <f aca="false">ABS(Daromadlilik!I434)/H456</f>
        <v>4.3393263051225E-012</v>
      </c>
      <c r="N456" s="52" t="n">
        <f aca="false">ABS(Daromadlilik!J434)/I456</f>
        <v>2.89345459947627E-012</v>
      </c>
      <c r="O456" s="52" t="n">
        <f aca="false">ABS(Daromadlilik!K434)/J456</f>
        <v>2.28955294918884E-011</v>
      </c>
      <c r="P456" s="52" t="n">
        <f aca="false">ABS(Daromadlilik!L434)/K456</f>
        <v>5.25053437482161E-012</v>
      </c>
    </row>
    <row r="457" customFormat="false" ht="15" hidden="false" customHeight="false" outlineLevel="0" collapsed="false">
      <c r="G457" s="19" t="n">
        <f aca="false">Daromadlilik!A435</f>
        <v>45901</v>
      </c>
      <c r="H457" s="51" t="n">
        <f aca="false">Hajmlar!B436*Narxlar!C436</f>
        <v>3818309400</v>
      </c>
      <c r="I457" s="51" t="n">
        <f aca="false">Hajmlar!C436*Narxlar!D436</f>
        <v>1528895500</v>
      </c>
      <c r="J457" s="51" t="n">
        <f aca="false">Hajmlar!D436*Narxlar!E436</f>
        <v>703723600</v>
      </c>
      <c r="K457" s="51" t="n">
        <f aca="false">Hajmlar!E436*Narxlar!F436</f>
        <v>474989600</v>
      </c>
      <c r="M457" s="52" t="n">
        <f aca="false">ABS(Daromadlilik!I435)/H457</f>
        <v>1.89351394911626E-012</v>
      </c>
      <c r="N457" s="52" t="n">
        <f aca="false">ABS(Daromadlilik!J435)/I457</f>
        <v>3.22910479735674E-012</v>
      </c>
      <c r="O457" s="52" t="n">
        <f aca="false">ABS(Daromadlilik!K435)/J457</f>
        <v>1.16047872579425E-011</v>
      </c>
      <c r="P457" s="52" t="n">
        <f aca="false">ABS(Daromadlilik!L435)/K457</f>
        <v>4.72876185719195E-013</v>
      </c>
    </row>
    <row r="458" customFormat="false" ht="15" hidden="false" customHeight="false" outlineLevel="0" collapsed="false">
      <c r="G458" s="19" t="n">
        <f aca="false">Daromadlilik!A436</f>
        <v>45902</v>
      </c>
      <c r="H458" s="51" t="n">
        <f aca="false">Hajmlar!B437*Narxlar!C437</f>
        <v>2490444600</v>
      </c>
      <c r="I458" s="51" t="n">
        <f aca="false">Hajmlar!C437*Narxlar!D437</f>
        <v>2734320400</v>
      </c>
      <c r="J458" s="51" t="n">
        <f aca="false">Hajmlar!D437*Narxlar!E437</f>
        <v>627812000</v>
      </c>
      <c r="K458" s="51" t="n">
        <f aca="false">Hajmlar!E437*Narxlar!F437</f>
        <v>667332000</v>
      </c>
      <c r="M458" s="52" t="n">
        <f aca="false">ABS(Daromadlilik!I436)/H458</f>
        <v>3.66554405299126E-012</v>
      </c>
      <c r="N458" s="52" t="n">
        <f aca="false">ABS(Daromadlilik!J436)/I458</f>
        <v>3.47852111061627E-012</v>
      </c>
      <c r="O458" s="52" t="n">
        <f aca="false">ABS(Daromadlilik!K436)/J458</f>
        <v>6.93634063585652E-012</v>
      </c>
      <c r="P458" s="52" t="n">
        <f aca="false">ABS(Daromadlilik!L436)/K458</f>
        <v>1.41323422373116E-011</v>
      </c>
    </row>
    <row r="459" customFormat="false" ht="15" hidden="false" customHeight="false" outlineLevel="0" collapsed="false">
      <c r="G459" s="19" t="n">
        <f aca="false">Daromadlilik!A437</f>
        <v>45903</v>
      </c>
      <c r="H459" s="51" t="n">
        <f aca="false">Hajmlar!B438*Narxlar!C438</f>
        <v>2239297600</v>
      </c>
      <c r="I459" s="51" t="n">
        <f aca="false">Hajmlar!C438*Narxlar!D438</f>
        <v>1583349000</v>
      </c>
      <c r="J459" s="51" t="n">
        <f aca="false">Hajmlar!D438*Narxlar!E438</f>
        <v>846726400</v>
      </c>
      <c r="K459" s="51" t="n">
        <f aca="false">Hajmlar!E438*Narxlar!F438</f>
        <v>730720400</v>
      </c>
      <c r="M459" s="52" t="n">
        <f aca="false">ABS(Daromadlilik!I437)/H459</f>
        <v>7.33151381233969E-012</v>
      </c>
      <c r="N459" s="52" t="n">
        <f aca="false">ABS(Daromadlilik!J437)/I459</f>
        <v>7.65603280134905E-013</v>
      </c>
      <c r="O459" s="52" t="n">
        <f aca="false">ABS(Daromadlilik!K437)/J459</f>
        <v>5.93331997452427E-012</v>
      </c>
      <c r="P459" s="52" t="n">
        <f aca="false">ABS(Daromadlilik!L437)/K459</f>
        <v>1.63437572963608E-012</v>
      </c>
    </row>
    <row r="460" customFormat="false" ht="15" hidden="false" customHeight="false" outlineLevel="0" collapsed="false">
      <c r="G460" s="19" t="n">
        <f aca="false">Daromadlilik!A438</f>
        <v>45904</v>
      </c>
      <c r="H460" s="51" t="n">
        <f aca="false">Hajmlar!B439*Narxlar!C439</f>
        <v>2916540400</v>
      </c>
      <c r="I460" s="51" t="n">
        <f aca="false">Hajmlar!C439*Narxlar!D439</f>
        <v>1851561400</v>
      </c>
      <c r="J460" s="51" t="n">
        <f aca="false">Hajmlar!D439*Narxlar!E439</f>
        <v>611460000</v>
      </c>
      <c r="K460" s="51" t="n">
        <f aca="false">Hajmlar!E439*Narxlar!F439</f>
        <v>905632000</v>
      </c>
      <c r="M460" s="52" t="n">
        <f aca="false">ABS(Daromadlilik!I438)/H460</f>
        <v>6.19256471281438E-014</v>
      </c>
      <c r="N460" s="52" t="n">
        <f aca="false">ABS(Daromadlilik!J438)/I460</f>
        <v>7.40240682767585E-012</v>
      </c>
      <c r="O460" s="52" t="n">
        <f aca="false">ABS(Daromadlilik!K438)/J460</f>
        <v>2.24823477702878E-012</v>
      </c>
      <c r="P460" s="52" t="n">
        <f aca="false">ABS(Daromadlilik!L438)/K460</f>
        <v>8.62130794754992E-012</v>
      </c>
    </row>
    <row r="461" customFormat="false" ht="15" hidden="false" customHeight="false" outlineLevel="0" collapsed="false">
      <c r="G461" s="19" t="n">
        <f aca="false">Daromadlilik!A439</f>
        <v>45905</v>
      </c>
      <c r="H461" s="51" t="n">
        <f aca="false">Hajmlar!B440*Narxlar!C440</f>
        <v>2777418600</v>
      </c>
      <c r="I461" s="51" t="n">
        <f aca="false">Hajmlar!C440*Narxlar!D440</f>
        <v>2040371000</v>
      </c>
      <c r="J461" s="51" t="n">
        <f aca="false">Hajmlar!D440*Narxlar!E440</f>
        <v>1219200600</v>
      </c>
      <c r="K461" s="51" t="n">
        <f aca="false">Hajmlar!E440*Narxlar!F440</f>
        <v>878482500</v>
      </c>
      <c r="M461" s="52" t="n">
        <f aca="false">ABS(Daromadlilik!I439)/H461</f>
        <v>5.50467143860606E-012</v>
      </c>
      <c r="N461" s="52" t="n">
        <f aca="false">ABS(Daromadlilik!J439)/I461</f>
        <v>1.3632890103709E-011</v>
      </c>
      <c r="O461" s="52" t="n">
        <f aca="false">ABS(Daromadlilik!K439)/J461</f>
        <v>5.05486588093242E-012</v>
      </c>
      <c r="P461" s="52" t="n">
        <f aca="false">ABS(Daromadlilik!L439)/K461</f>
        <v>9.99867128784277E-012</v>
      </c>
    </row>
    <row r="462" customFormat="false" ht="15" hidden="false" customHeight="false" outlineLevel="0" collapsed="false">
      <c r="G462" s="19" t="n">
        <f aca="false">Daromadlilik!A440</f>
        <v>45908</v>
      </c>
      <c r="H462" s="51" t="n">
        <f aca="false">Hajmlar!B441*Narxlar!C441</f>
        <v>1520488200</v>
      </c>
      <c r="I462" s="51" t="n">
        <f aca="false">Hajmlar!C441*Narxlar!D441</f>
        <v>1790262500</v>
      </c>
      <c r="J462" s="51" t="n">
        <f aca="false">Hajmlar!D441*Narxlar!E441</f>
        <v>750454500</v>
      </c>
      <c r="K462" s="51" t="n">
        <f aca="false">Hajmlar!E441*Narxlar!F441</f>
        <v>590413000</v>
      </c>
      <c r="M462" s="52" t="n">
        <f aca="false">ABS(Daromadlilik!I440)/H462</f>
        <v>3.94861831759984E-012</v>
      </c>
      <c r="N462" s="52" t="n">
        <f aca="false">ABS(Daromadlilik!J440)/I462</f>
        <v>9.40755709448682E-013</v>
      </c>
      <c r="O462" s="52" t="n">
        <f aca="false">ABS(Daromadlilik!K440)/J462</f>
        <v>1.29277368969882E-011</v>
      </c>
      <c r="P462" s="52" t="n">
        <f aca="false">ABS(Daromadlilik!L440)/K462</f>
        <v>5.54246881103025E-012</v>
      </c>
    </row>
    <row r="463" customFormat="false" ht="15" hidden="false" customHeight="false" outlineLevel="0" collapsed="false">
      <c r="G463" s="19" t="n">
        <f aca="false">Daromadlilik!A441</f>
        <v>45909</v>
      </c>
      <c r="H463" s="51" t="n">
        <f aca="false">Hajmlar!B442*Narxlar!C442</f>
        <v>4039168000</v>
      </c>
      <c r="I463" s="51" t="n">
        <f aca="false">Hajmlar!C442*Narxlar!D442</f>
        <v>2288730500</v>
      </c>
      <c r="J463" s="51" t="n">
        <f aca="false">Hajmlar!D442*Narxlar!E442</f>
        <v>1657564000</v>
      </c>
      <c r="K463" s="51" t="n">
        <f aca="false">Hajmlar!E442*Narxlar!F442</f>
        <v>1233830000</v>
      </c>
      <c r="M463" s="52" t="n">
        <f aca="false">ABS(Daromadlilik!I441)/H463</f>
        <v>1.04088770661941E-011</v>
      </c>
      <c r="N463" s="52" t="n">
        <f aca="false">ABS(Daromadlilik!J441)/I463</f>
        <v>1.5855672649765E-011</v>
      </c>
      <c r="O463" s="52" t="n">
        <f aca="false">ABS(Daromadlilik!K441)/J463</f>
        <v>1.5952355020818E-011</v>
      </c>
      <c r="P463" s="52" t="n">
        <f aca="false">ABS(Daromadlilik!L441)/K463</f>
        <v>4.29077481986691E-011</v>
      </c>
    </row>
    <row r="464" customFormat="false" ht="15" hidden="false" customHeight="false" outlineLevel="0" collapsed="false">
      <c r="G464" s="19" t="n">
        <f aca="false">Daromadlilik!A442</f>
        <v>45910</v>
      </c>
      <c r="H464" s="51" t="n">
        <f aca="false">Hajmlar!B443*Narxlar!C443</f>
        <v>3262486400</v>
      </c>
      <c r="I464" s="51" t="n">
        <f aca="false">Hajmlar!C443*Narxlar!D443</f>
        <v>3247962300</v>
      </c>
      <c r="J464" s="51" t="n">
        <f aca="false">Hajmlar!D443*Narxlar!E443</f>
        <v>938646500</v>
      </c>
      <c r="K464" s="51" t="n">
        <f aca="false">Hajmlar!E443*Narxlar!F443</f>
        <v>711954400</v>
      </c>
      <c r="M464" s="52" t="n">
        <f aca="false">ABS(Daromadlilik!I442)/H464</f>
        <v>4.74209905997442E-012</v>
      </c>
      <c r="N464" s="52" t="n">
        <f aca="false">ABS(Daromadlilik!J442)/I464</f>
        <v>3.48251870881224E-012</v>
      </c>
      <c r="O464" s="52" t="n">
        <f aca="false">ABS(Daromadlilik!K442)/J464</f>
        <v>1.59307706093496E-011</v>
      </c>
      <c r="P464" s="52" t="n">
        <f aca="false">ABS(Daromadlilik!L442)/K464</f>
        <v>3.821936084733E-011</v>
      </c>
    </row>
    <row r="465" customFormat="false" ht="15" hidden="false" customHeight="false" outlineLevel="0" collapsed="false">
      <c r="G465" s="19" t="n">
        <f aca="false">Daromadlilik!A443</f>
        <v>45911</v>
      </c>
      <c r="H465" s="51" t="n">
        <f aca="false">Hajmlar!B444*Narxlar!C444</f>
        <v>1744712200</v>
      </c>
      <c r="I465" s="51" t="n">
        <f aca="false">Hajmlar!C444*Narxlar!D444</f>
        <v>1558170900</v>
      </c>
      <c r="J465" s="51" t="n">
        <f aca="false">Hajmlar!D444*Narxlar!E444</f>
        <v>1662328800</v>
      </c>
      <c r="K465" s="51" t="n">
        <f aca="false">Hajmlar!E444*Narxlar!F444</f>
        <v>1233704400</v>
      </c>
      <c r="M465" s="52" t="n">
        <f aca="false">ABS(Daromadlilik!I443)/H465</f>
        <v>1.00128147261845E-011</v>
      </c>
      <c r="N465" s="52" t="n">
        <f aca="false">ABS(Daromadlilik!J443)/I465</f>
        <v>2.32816130815397E-012</v>
      </c>
      <c r="O465" s="52" t="n">
        <f aca="false">ABS(Daromadlilik!K443)/J465</f>
        <v>4.39035156593369E-012</v>
      </c>
      <c r="P465" s="52" t="n">
        <f aca="false">ABS(Daromadlilik!L443)/K465</f>
        <v>1.58791668832161E-011</v>
      </c>
    </row>
    <row r="466" customFormat="false" ht="15" hidden="false" customHeight="false" outlineLevel="0" collapsed="false">
      <c r="G466" s="19" t="n">
        <f aca="false">Daromadlilik!A444</f>
        <v>45912</v>
      </c>
      <c r="H466" s="51" t="n">
        <f aca="false">Hajmlar!B445*Narxlar!C445</f>
        <v>1327662000</v>
      </c>
      <c r="I466" s="51" t="n">
        <f aca="false">Hajmlar!C445*Narxlar!D445</f>
        <v>3203074200</v>
      </c>
      <c r="J466" s="51" t="n">
        <f aca="false">Hajmlar!D445*Narxlar!E445</f>
        <v>1162075000</v>
      </c>
      <c r="K466" s="51" t="n">
        <f aca="false">Hajmlar!E445*Narxlar!F445</f>
        <v>767911600</v>
      </c>
      <c r="M466" s="52" t="n">
        <f aca="false">ABS(Daromadlilik!I444)/H466</f>
        <v>2.81687837051268E-012</v>
      </c>
      <c r="N466" s="52" t="n">
        <f aca="false">ABS(Daromadlilik!J444)/I466</f>
        <v>5.67280432055319E-012</v>
      </c>
      <c r="O466" s="52" t="n">
        <f aca="false">ABS(Daromadlilik!K444)/J466</f>
        <v>1.19192401491914E-011</v>
      </c>
      <c r="P466" s="52" t="n">
        <f aca="false">ABS(Daromadlilik!L444)/K466</f>
        <v>2.11776260084489E-011</v>
      </c>
    </row>
    <row r="467" customFormat="false" ht="15" hidden="false" customHeight="false" outlineLevel="0" collapsed="false">
      <c r="G467" s="19" t="n">
        <f aca="false">Daromadlilik!A445</f>
        <v>45915</v>
      </c>
      <c r="H467" s="51" t="n">
        <f aca="false">Hajmlar!B446*Narxlar!C446</f>
        <v>2565213000</v>
      </c>
      <c r="I467" s="51" t="n">
        <f aca="false">Hajmlar!C446*Narxlar!D446</f>
        <v>1853412400</v>
      </c>
      <c r="J467" s="51" t="n">
        <f aca="false">Hajmlar!D446*Narxlar!E446</f>
        <v>861491100</v>
      </c>
      <c r="K467" s="51" t="n">
        <f aca="false">Hajmlar!E446*Narxlar!F446</f>
        <v>1591006600</v>
      </c>
      <c r="M467" s="52" t="n">
        <f aca="false">ABS(Daromadlilik!I445)/H467</f>
        <v>3.13207884991103E-012</v>
      </c>
      <c r="N467" s="52" t="n">
        <f aca="false">ABS(Daromadlilik!J445)/I467</f>
        <v>4.43092259441121E-012</v>
      </c>
      <c r="O467" s="52" t="n">
        <f aca="false">ABS(Daromadlilik!K445)/J467</f>
        <v>8.76324172067829E-012</v>
      </c>
      <c r="P467" s="52" t="n">
        <f aca="false">ABS(Daromadlilik!L445)/K467</f>
        <v>2.61781449720349E-011</v>
      </c>
    </row>
    <row r="468" customFormat="false" ht="15" hidden="false" customHeight="false" outlineLevel="0" collapsed="false">
      <c r="G468" s="19" t="n">
        <f aca="false">Daromadlilik!A446</f>
        <v>45916</v>
      </c>
      <c r="H468" s="51" t="n">
        <f aca="false">Hajmlar!B447*Narxlar!C447</f>
        <v>1605998400</v>
      </c>
      <c r="I468" s="51" t="n">
        <f aca="false">Hajmlar!C447*Narxlar!D447</f>
        <v>1013676300</v>
      </c>
      <c r="J468" s="51" t="n">
        <f aca="false">Hajmlar!D447*Narxlar!E447</f>
        <v>1095025400</v>
      </c>
      <c r="K468" s="51" t="n">
        <f aca="false">Hajmlar!E447*Narxlar!F447</f>
        <v>1284743600</v>
      </c>
      <c r="M468" s="52" t="n">
        <f aca="false">ABS(Daromadlilik!I446)/H468</f>
        <v>2.45720100107212E-012</v>
      </c>
      <c r="N468" s="52" t="n">
        <f aca="false">ABS(Daromadlilik!J446)/I468</f>
        <v>4.26825230939332E-012</v>
      </c>
      <c r="O468" s="52" t="n">
        <f aca="false">ABS(Daromadlilik!K446)/J468</f>
        <v>4.2897863909401E-012</v>
      </c>
      <c r="P468" s="52" t="n">
        <f aca="false">ABS(Daromadlilik!L446)/K468</f>
        <v>1.65346673910886E-011</v>
      </c>
    </row>
    <row r="469" customFormat="false" ht="15" hidden="false" customHeight="false" outlineLevel="0" collapsed="false">
      <c r="G469" s="19" t="n">
        <f aca="false">Daromadlilik!A447</f>
        <v>45917</v>
      </c>
      <c r="H469" s="51" t="n">
        <f aca="false">Hajmlar!B448*Narxlar!C448</f>
        <v>2851036500</v>
      </c>
      <c r="I469" s="51" t="n">
        <f aca="false">Hajmlar!C448*Narxlar!D448</f>
        <v>2992511200</v>
      </c>
      <c r="J469" s="51" t="n">
        <f aca="false">Hajmlar!D448*Narxlar!E448</f>
        <v>598808000</v>
      </c>
      <c r="K469" s="51" t="n">
        <f aca="false">Hajmlar!E448*Narxlar!F448</f>
        <v>1080527700</v>
      </c>
      <c r="M469" s="52" t="n">
        <f aca="false">ABS(Daromadlilik!I447)/H469</f>
        <v>4.82358437729627E-012</v>
      </c>
      <c r="N469" s="52" t="n">
        <f aca="false">ABS(Daromadlilik!J447)/I469</f>
        <v>6.24996996354754E-012</v>
      </c>
      <c r="O469" s="52" t="n">
        <f aca="false">ABS(Daromadlilik!K447)/J469</f>
        <v>1.36625243995858E-011</v>
      </c>
      <c r="P469" s="52" t="n">
        <f aca="false">ABS(Daromadlilik!L447)/K469</f>
        <v>2.07549177516983E-011</v>
      </c>
    </row>
    <row r="470" customFormat="false" ht="15" hidden="false" customHeight="false" outlineLevel="0" collapsed="false">
      <c r="G470" s="19" t="n">
        <f aca="false">Daromadlilik!A448</f>
        <v>45918</v>
      </c>
      <c r="H470" s="51" t="n">
        <f aca="false">Hajmlar!B449*Narxlar!C449</f>
        <v>1465092600</v>
      </c>
      <c r="I470" s="51" t="n">
        <f aca="false">Hajmlar!C449*Narxlar!D449</f>
        <v>1307436000</v>
      </c>
      <c r="J470" s="51" t="n">
        <f aca="false">Hajmlar!D449*Narxlar!E449</f>
        <v>1145971800</v>
      </c>
      <c r="K470" s="51" t="n">
        <f aca="false">Hajmlar!E449*Narxlar!F449</f>
        <v>1012787600</v>
      </c>
      <c r="M470" s="52" t="n">
        <f aca="false">ABS(Daromadlilik!I448)/H470</f>
        <v>1.95987032441949E-012</v>
      </c>
      <c r="N470" s="52" t="n">
        <f aca="false">ABS(Daromadlilik!J448)/I470</f>
        <v>5.31532385194923E-012</v>
      </c>
      <c r="O470" s="52" t="n">
        <f aca="false">ABS(Daromadlilik!K448)/J470</f>
        <v>3.30111187445721E-012</v>
      </c>
      <c r="P470" s="52" t="n">
        <f aca="false">ABS(Daromadlilik!L448)/K470</f>
        <v>1.15705756671928E-011</v>
      </c>
    </row>
    <row r="471" customFormat="false" ht="15" hidden="false" customHeight="false" outlineLevel="0" collapsed="false">
      <c r="G471" s="19" t="n">
        <f aca="false">Daromadlilik!A449</f>
        <v>45919</v>
      </c>
      <c r="H471" s="51" t="n">
        <f aca="false">Hajmlar!B450*Narxlar!C450</f>
        <v>1818331600</v>
      </c>
      <c r="I471" s="51" t="n">
        <f aca="false">Hajmlar!C450*Narxlar!D450</f>
        <v>1640571400</v>
      </c>
      <c r="J471" s="51" t="n">
        <f aca="false">Hajmlar!D450*Narxlar!E450</f>
        <v>781648000</v>
      </c>
      <c r="K471" s="51" t="n">
        <f aca="false">Hajmlar!E450*Narxlar!F450</f>
        <v>867105300</v>
      </c>
      <c r="M471" s="52" t="n">
        <f aca="false">ABS(Daromadlilik!I449)/H471</f>
        <v>3.68525961941028E-012</v>
      </c>
      <c r="N471" s="52" t="n">
        <f aca="false">ABS(Daromadlilik!J449)/I471</f>
        <v>7.39423709289552E-012</v>
      </c>
      <c r="O471" s="52" t="n">
        <f aca="false">ABS(Daromadlilik!K449)/J471</f>
        <v>7.16580208426907E-012</v>
      </c>
      <c r="P471" s="52" t="n">
        <f aca="false">ABS(Daromadlilik!L449)/K471</f>
        <v>2.67365687982311E-011</v>
      </c>
    </row>
    <row r="472" customFormat="false" ht="15" hidden="false" customHeight="false" outlineLevel="0" collapsed="false">
      <c r="G472" s="19" t="n">
        <f aca="false">Daromadlilik!A450</f>
        <v>45922</v>
      </c>
      <c r="H472" s="51" t="n">
        <f aca="false">Hajmlar!B451*Narxlar!C451</f>
        <v>1485607200</v>
      </c>
      <c r="I472" s="51" t="n">
        <f aca="false">Hajmlar!C451*Narxlar!D451</f>
        <v>1548090000</v>
      </c>
      <c r="J472" s="51" t="n">
        <f aca="false">Hajmlar!D451*Narxlar!E451</f>
        <v>1098066000</v>
      </c>
      <c r="K472" s="51" t="n">
        <f aca="false">Hajmlar!E451*Narxlar!F451</f>
        <v>1069725800</v>
      </c>
      <c r="M472" s="52" t="n">
        <f aca="false">ABS(Daromadlilik!I450)/H472</f>
        <v>6.28286757185878E-013</v>
      </c>
      <c r="N472" s="52" t="n">
        <f aca="false">ABS(Daromadlilik!J450)/I472</f>
        <v>7.92192311337459E-012</v>
      </c>
      <c r="O472" s="52" t="n">
        <f aca="false">ABS(Daromadlilik!K450)/J472</f>
        <v>9.45049145471379E-012</v>
      </c>
      <c r="P472" s="52" t="n">
        <f aca="false">ABS(Daromadlilik!L450)/K472</f>
        <v>3.21466084657107E-011</v>
      </c>
    </row>
    <row r="473" customFormat="false" ht="15" hidden="false" customHeight="false" outlineLevel="0" collapsed="false">
      <c r="G473" s="19" t="n">
        <f aca="false">Daromadlilik!A451</f>
        <v>45923</v>
      </c>
      <c r="H473" s="51" t="n">
        <f aca="false">Hajmlar!B452*Narxlar!C452</f>
        <v>2342076000</v>
      </c>
      <c r="I473" s="51" t="n">
        <f aca="false">Hajmlar!C452*Narxlar!D452</f>
        <v>2971108500</v>
      </c>
      <c r="J473" s="51" t="n">
        <f aca="false">Hajmlar!D452*Narxlar!E452</f>
        <v>1448832000</v>
      </c>
      <c r="K473" s="51" t="n">
        <f aca="false">Hajmlar!E452*Narxlar!F452</f>
        <v>457180400</v>
      </c>
      <c r="M473" s="52" t="n">
        <f aca="false">ABS(Daromadlilik!I451)/H473</f>
        <v>1.37869745958217E-012</v>
      </c>
      <c r="N473" s="52" t="n">
        <f aca="false">ABS(Daromadlilik!J451)/I473</f>
        <v>9.35494537028288E-012</v>
      </c>
      <c r="O473" s="52" t="n">
        <f aca="false">ABS(Daromadlilik!K451)/J473</f>
        <v>1.46426242121236E-011</v>
      </c>
      <c r="P473" s="52" t="n">
        <f aca="false">ABS(Daromadlilik!L451)/K473</f>
        <v>9.30825294290584E-012</v>
      </c>
    </row>
    <row r="474" customFormat="false" ht="15" hidden="false" customHeight="false" outlineLevel="0" collapsed="false">
      <c r="G474" s="19" t="n">
        <f aca="false">Daromadlilik!A452</f>
        <v>45924</v>
      </c>
      <c r="H474" s="51" t="n">
        <f aca="false">Hajmlar!B453*Narxlar!C453</f>
        <v>2231715400</v>
      </c>
      <c r="I474" s="51" t="n">
        <f aca="false">Hajmlar!C453*Narxlar!D453</f>
        <v>2351630400</v>
      </c>
      <c r="J474" s="51" t="n">
        <f aca="false">Hajmlar!D453*Narxlar!E453</f>
        <v>1293894000</v>
      </c>
      <c r="K474" s="51" t="n">
        <f aca="false">Hajmlar!E453*Narxlar!F453</f>
        <v>683196800</v>
      </c>
      <c r="M474" s="52" t="n">
        <f aca="false">ABS(Daromadlilik!I452)/H474</f>
        <v>4.00421848355762E-012</v>
      </c>
      <c r="N474" s="52" t="n">
        <f aca="false">ABS(Daromadlilik!J452)/I474</f>
        <v>3.3757738015325E-013</v>
      </c>
      <c r="O474" s="52" t="n">
        <f aca="false">ABS(Daromadlilik!K452)/J474</f>
        <v>1.57887866378567E-012</v>
      </c>
      <c r="P474" s="52" t="n">
        <f aca="false">ABS(Daromadlilik!L452)/K474</f>
        <v>1.98643282662998E-011</v>
      </c>
    </row>
    <row r="475" customFormat="false" ht="15" hidden="false" customHeight="false" outlineLevel="0" collapsed="false">
      <c r="G475" s="19" t="n">
        <f aca="false">Daromadlilik!A453</f>
        <v>45925</v>
      </c>
      <c r="H475" s="51" t="n">
        <f aca="false">Hajmlar!B454*Narxlar!C454</f>
        <v>1523919600</v>
      </c>
      <c r="I475" s="51" t="n">
        <f aca="false">Hajmlar!C454*Narxlar!D454</f>
        <v>1151743000</v>
      </c>
      <c r="J475" s="51" t="n">
        <f aca="false">Hajmlar!D454*Narxlar!E454</f>
        <v>1012188100</v>
      </c>
      <c r="K475" s="51" t="n">
        <f aca="false">Hajmlar!E454*Narxlar!F454</f>
        <v>906066000</v>
      </c>
      <c r="M475" s="52" t="n">
        <f aca="false">ABS(Daromadlilik!I453)/H475</f>
        <v>5.13291900176491E-013</v>
      </c>
      <c r="N475" s="52" t="n">
        <f aca="false">ABS(Daromadlilik!J453)/I475</f>
        <v>1.50155033733572E-011</v>
      </c>
      <c r="O475" s="52" t="n">
        <f aca="false">ABS(Daromadlilik!K453)/J475</f>
        <v>6.7117014993538E-012</v>
      </c>
      <c r="P475" s="52" t="n">
        <f aca="false">ABS(Daromadlilik!L453)/K475</f>
        <v>3.78207288371766E-012</v>
      </c>
    </row>
    <row r="476" customFormat="false" ht="15" hidden="false" customHeight="false" outlineLevel="0" collapsed="false">
      <c r="G476" s="19" t="n">
        <f aca="false">Daromadlilik!A454</f>
        <v>45926</v>
      </c>
      <c r="H476" s="51" t="n">
        <f aca="false">Hajmlar!B455*Narxlar!C455</f>
        <v>4445118000</v>
      </c>
      <c r="I476" s="51" t="n">
        <f aca="false">Hajmlar!C455*Narxlar!D455</f>
        <v>2035269600</v>
      </c>
      <c r="J476" s="51" t="n">
        <f aca="false">Hajmlar!D455*Narxlar!E455</f>
        <v>842897000</v>
      </c>
      <c r="K476" s="51" t="n">
        <f aca="false">Hajmlar!E455*Narxlar!F455</f>
        <v>1112014800</v>
      </c>
      <c r="M476" s="52" t="n">
        <f aca="false">ABS(Daromadlilik!I454)/H476</f>
        <v>1.84436680082861E-012</v>
      </c>
      <c r="N476" s="52" t="n">
        <f aca="false">ABS(Daromadlilik!J454)/I476</f>
        <v>1.62394521042042E-012</v>
      </c>
      <c r="O476" s="52" t="n">
        <f aca="false">ABS(Daromadlilik!K454)/J476</f>
        <v>1.83455658638183E-012</v>
      </c>
      <c r="P476" s="52" t="n">
        <f aca="false">ABS(Daromadlilik!L454)/K476</f>
        <v>7.87531541434251E-012</v>
      </c>
    </row>
    <row r="477" customFormat="false" ht="15" hidden="false" customHeight="false" outlineLevel="0" collapsed="false">
      <c r="G477" s="19" t="n">
        <f aca="false">Daromadlilik!A455</f>
        <v>45929</v>
      </c>
      <c r="H477" s="51" t="n">
        <f aca="false">Hajmlar!B456*Narxlar!C456</f>
        <v>2320782000</v>
      </c>
      <c r="I477" s="51" t="n">
        <f aca="false">Hajmlar!C456*Narxlar!D456</f>
        <v>1612284400</v>
      </c>
      <c r="J477" s="51" t="n">
        <f aca="false">Hajmlar!D456*Narxlar!E456</f>
        <v>753347500</v>
      </c>
      <c r="K477" s="51" t="n">
        <f aca="false">Hajmlar!E456*Narxlar!F456</f>
        <v>427945700</v>
      </c>
      <c r="M477" s="52" t="n">
        <f aca="false">ABS(Daromadlilik!I455)/H477</f>
        <v>2.09189474965226E-012</v>
      </c>
      <c r="N477" s="52" t="n">
        <f aca="false">ABS(Daromadlilik!J455)/I477</f>
        <v>4.96159608949521E-012</v>
      </c>
      <c r="O477" s="52" t="n">
        <f aca="false">ABS(Daromadlilik!K455)/J477</f>
        <v>4.60684083104042E-012</v>
      </c>
      <c r="P477" s="52" t="n">
        <f aca="false">ABS(Daromadlilik!L455)/K477</f>
        <v>2.44677230295336E-011</v>
      </c>
    </row>
    <row r="478" customFormat="false" ht="15" hidden="false" customHeight="false" outlineLevel="0" collapsed="false">
      <c r="G478" s="19" t="n">
        <f aca="false">Daromadlilik!A456</f>
        <v>45930</v>
      </c>
      <c r="H478" s="51" t="n">
        <f aca="false">Hajmlar!B457*Narxlar!C457</f>
        <v>1852191000</v>
      </c>
      <c r="I478" s="51" t="n">
        <f aca="false">Hajmlar!C457*Narxlar!D457</f>
        <v>2404422900</v>
      </c>
      <c r="J478" s="51" t="n">
        <f aca="false">Hajmlar!D457*Narxlar!E457</f>
        <v>1455614400</v>
      </c>
      <c r="K478" s="51" t="n">
        <f aca="false">Hajmlar!E457*Narxlar!F457</f>
        <v>461844600</v>
      </c>
      <c r="M478" s="52" t="n">
        <f aca="false">ABS(Daromadlilik!I456)/H478</f>
        <v>4.82171069711267E-012</v>
      </c>
      <c r="N478" s="52" t="n">
        <f aca="false">ABS(Daromadlilik!J456)/I478</f>
        <v>4.31867210818228E-012</v>
      </c>
      <c r="O478" s="52" t="n">
        <f aca="false">ABS(Daromadlilik!K456)/J478</f>
        <v>4.34975344153093E-012</v>
      </c>
      <c r="P478" s="52" t="n">
        <f aca="false">ABS(Daromadlilik!L456)/K478</f>
        <v>4.59933998226026E-012</v>
      </c>
    </row>
    <row r="479" customFormat="false" ht="15" hidden="false" customHeight="false" outlineLevel="0" collapsed="false">
      <c r="G479" s="19" t="n">
        <f aca="false">Daromadlilik!A457</f>
        <v>45931</v>
      </c>
      <c r="H479" s="51" t="n">
        <f aca="false">Hajmlar!B458*Narxlar!C458</f>
        <v>2775720600</v>
      </c>
      <c r="I479" s="51" t="n">
        <f aca="false">Hajmlar!C458*Narxlar!D458</f>
        <v>1464160000</v>
      </c>
      <c r="J479" s="51" t="n">
        <f aca="false">Hajmlar!D458*Narxlar!E458</f>
        <v>743114400</v>
      </c>
      <c r="K479" s="51" t="n">
        <f aca="false">Hajmlar!E458*Narxlar!F458</f>
        <v>1381821000</v>
      </c>
      <c r="M479" s="52" t="n">
        <f aca="false">ABS(Daromadlilik!I457)/H479</f>
        <v>1.03285347046787E-011</v>
      </c>
      <c r="N479" s="52" t="n">
        <f aca="false">ABS(Daromadlilik!J457)/I479</f>
        <v>1.30623851506416E-013</v>
      </c>
      <c r="O479" s="52" t="n">
        <f aca="false">ABS(Daromadlilik!K457)/J479</f>
        <v>2.57621946033753E-012</v>
      </c>
      <c r="P479" s="52" t="n">
        <f aca="false">ABS(Daromadlilik!L457)/K479</f>
        <v>7.97176937911301E-012</v>
      </c>
    </row>
    <row r="480" customFormat="false" ht="15" hidden="false" customHeight="false" outlineLevel="0" collapsed="false">
      <c r="G480" s="19" t="n">
        <f aca="false">Daromadlilik!A458</f>
        <v>45932</v>
      </c>
      <c r="H480" s="51" t="n">
        <f aca="false">Hajmlar!B459*Narxlar!C459</f>
        <v>1734416500</v>
      </c>
      <c r="I480" s="51" t="n">
        <f aca="false">Hajmlar!C459*Narxlar!D459</f>
        <v>1318416000</v>
      </c>
      <c r="J480" s="51" t="n">
        <f aca="false">Hajmlar!D459*Narxlar!E459</f>
        <v>526237200</v>
      </c>
      <c r="K480" s="51" t="n">
        <f aca="false">Hajmlar!E459*Narxlar!F459</f>
        <v>775681600</v>
      </c>
      <c r="M480" s="52" t="n">
        <f aca="false">ABS(Daromadlilik!I458)/H480</f>
        <v>4.87017054699272E-012</v>
      </c>
      <c r="N480" s="52" t="n">
        <f aca="false">ABS(Daromadlilik!J458)/I480</f>
        <v>5.90782448031517E-012</v>
      </c>
      <c r="O480" s="52" t="n">
        <f aca="false">ABS(Daromadlilik!K458)/J480</f>
        <v>1.42549362947921E-011</v>
      </c>
      <c r="P480" s="52" t="n">
        <f aca="false">ABS(Daromadlilik!L458)/K480</f>
        <v>3.2910715219819E-011</v>
      </c>
    </row>
    <row r="481" customFormat="false" ht="15" hidden="false" customHeight="false" outlineLevel="0" collapsed="false">
      <c r="G481" s="19" t="n">
        <f aca="false">Daromadlilik!A459</f>
        <v>45933</v>
      </c>
      <c r="H481" s="51" t="n">
        <f aca="false">Hajmlar!B460*Narxlar!C460</f>
        <v>3485888000</v>
      </c>
      <c r="I481" s="51" t="n">
        <f aca="false">Hajmlar!C460*Narxlar!D460</f>
        <v>1324523200</v>
      </c>
      <c r="J481" s="51" t="n">
        <f aca="false">Hajmlar!D460*Narxlar!E460</f>
        <v>1989637000</v>
      </c>
      <c r="K481" s="51" t="n">
        <f aca="false">Hajmlar!E460*Narxlar!F460</f>
        <v>1126882400</v>
      </c>
      <c r="M481" s="52" t="n">
        <f aca="false">ABS(Daromadlilik!I459)/H481</f>
        <v>2.58664265898219E-012</v>
      </c>
      <c r="N481" s="52" t="n">
        <f aca="false">ABS(Daromadlilik!J459)/I481</f>
        <v>1.41220344552884E-012</v>
      </c>
      <c r="O481" s="52" t="n">
        <f aca="false">ABS(Daromadlilik!K459)/J481</f>
        <v>2.43180387262467E-012</v>
      </c>
      <c r="P481" s="52" t="n">
        <f aca="false">ABS(Daromadlilik!L459)/K481</f>
        <v>1.70303243793434E-011</v>
      </c>
    </row>
    <row r="482" customFormat="false" ht="15" hidden="false" customHeight="false" outlineLevel="0" collapsed="false">
      <c r="G482" s="19" t="n">
        <f aca="false">Daromadlilik!A460</f>
        <v>45936</v>
      </c>
      <c r="H482" s="51" t="n">
        <f aca="false">Hajmlar!B461*Narxlar!C461</f>
        <v>1429826800</v>
      </c>
      <c r="I482" s="51" t="n">
        <f aca="false">Hajmlar!C461*Narxlar!D461</f>
        <v>1100608800</v>
      </c>
      <c r="J482" s="51" t="n">
        <f aca="false">Hajmlar!D461*Narxlar!E461</f>
        <v>784909000</v>
      </c>
      <c r="K482" s="51" t="n">
        <f aca="false">Hajmlar!E461*Narxlar!F461</f>
        <v>949755800</v>
      </c>
      <c r="M482" s="52" t="n">
        <f aca="false">ABS(Daromadlilik!I460)/H482</f>
        <v>3.2143724799368E-012</v>
      </c>
      <c r="N482" s="52" t="n">
        <f aca="false">ABS(Daromadlilik!J460)/I482</f>
        <v>1.39721387998771E-012</v>
      </c>
      <c r="O482" s="52" t="n">
        <f aca="false">ABS(Daromadlilik!K460)/J482</f>
        <v>5.67224319417886E-012</v>
      </c>
      <c r="P482" s="52" t="n">
        <f aca="false">ABS(Daromadlilik!L460)/K482</f>
        <v>1.25722498563017E-011</v>
      </c>
    </row>
    <row r="483" customFormat="false" ht="15" hidden="false" customHeight="false" outlineLevel="0" collapsed="false">
      <c r="G483" s="19" t="n">
        <f aca="false">Daromadlilik!A461</f>
        <v>45937</v>
      </c>
      <c r="H483" s="51" t="n">
        <f aca="false">Hajmlar!B462*Narxlar!C462</f>
        <v>2848373400</v>
      </c>
      <c r="I483" s="51" t="n">
        <f aca="false">Hajmlar!C462*Narxlar!D462</f>
        <v>1517558000</v>
      </c>
      <c r="J483" s="51" t="n">
        <f aca="false">Hajmlar!D462*Narxlar!E462</f>
        <v>1001374200</v>
      </c>
      <c r="K483" s="51" t="n">
        <f aca="false">Hajmlar!E462*Narxlar!F462</f>
        <v>1357258000</v>
      </c>
      <c r="M483" s="52" t="n">
        <f aca="false">ABS(Daromadlilik!I461)/H483</f>
        <v>9.22447862589627E-012</v>
      </c>
      <c r="N483" s="52" t="n">
        <f aca="false">ABS(Daromadlilik!J461)/I483</f>
        <v>1.6551600087184E-011</v>
      </c>
      <c r="O483" s="52" t="n">
        <f aca="false">ABS(Daromadlilik!K461)/J483</f>
        <v>1.12500763998791E-011</v>
      </c>
      <c r="P483" s="52" t="n">
        <f aca="false">ABS(Daromadlilik!L461)/K483</f>
        <v>2.51922760186213E-013</v>
      </c>
    </row>
    <row r="484" customFormat="false" ht="15" hidden="false" customHeight="false" outlineLevel="0" collapsed="false">
      <c r="G484" s="19" t="n">
        <f aca="false">Daromadlilik!A462</f>
        <v>45938</v>
      </c>
      <c r="H484" s="51" t="n">
        <f aca="false">Hajmlar!B463*Narxlar!C463</f>
        <v>3402618300</v>
      </c>
      <c r="I484" s="51" t="n">
        <f aca="false">Hajmlar!C463*Narxlar!D463</f>
        <v>960948800</v>
      </c>
      <c r="J484" s="51" t="n">
        <f aca="false">Hajmlar!D463*Narxlar!E463</f>
        <v>1502401000</v>
      </c>
      <c r="K484" s="51" t="n">
        <f aca="false">Hajmlar!E463*Narxlar!F463</f>
        <v>535111200</v>
      </c>
      <c r="M484" s="52" t="n">
        <f aca="false">ABS(Daromadlilik!I462)/H484</f>
        <v>2.8933757125028E-012</v>
      </c>
      <c r="N484" s="52" t="n">
        <f aca="false">ABS(Daromadlilik!J462)/I484</f>
        <v>6.19665305067932E-012</v>
      </c>
      <c r="O484" s="52" t="n">
        <f aca="false">ABS(Daromadlilik!K462)/J484</f>
        <v>9.75713156950914E-012</v>
      </c>
      <c r="P484" s="52" t="n">
        <f aca="false">ABS(Daromadlilik!L462)/K484</f>
        <v>4.30568507845658E-011</v>
      </c>
    </row>
    <row r="485" customFormat="false" ht="15" hidden="false" customHeight="false" outlineLevel="0" collapsed="false">
      <c r="G485" s="19" t="n">
        <f aca="false">Daromadlilik!A463</f>
        <v>45939</v>
      </c>
      <c r="H485" s="51" t="n">
        <f aca="false">Hajmlar!B464*Narxlar!C464</f>
        <v>2195154000</v>
      </c>
      <c r="I485" s="51" t="n">
        <f aca="false">Hajmlar!C464*Narxlar!D464</f>
        <v>2022645000</v>
      </c>
      <c r="J485" s="51" t="n">
        <f aca="false">Hajmlar!D464*Narxlar!E464</f>
        <v>1257847500</v>
      </c>
      <c r="K485" s="51" t="n">
        <f aca="false">Hajmlar!E464*Narxlar!F464</f>
        <v>844504100</v>
      </c>
      <c r="M485" s="52" t="n">
        <f aca="false">ABS(Daromadlilik!I463)/H485</f>
        <v>1.05446803234085E-011</v>
      </c>
      <c r="N485" s="52" t="n">
        <f aca="false">ABS(Daromadlilik!J463)/I485</f>
        <v>2.17829404740214E-012</v>
      </c>
      <c r="O485" s="52" t="n">
        <f aca="false">ABS(Daromadlilik!K463)/J485</f>
        <v>7.45019989565634E-012</v>
      </c>
      <c r="P485" s="52" t="n">
        <f aca="false">ABS(Daromadlilik!L463)/K485</f>
        <v>3.67827040406836E-011</v>
      </c>
    </row>
    <row r="486" customFormat="false" ht="15" hidden="false" customHeight="false" outlineLevel="0" collapsed="false">
      <c r="G486" s="19" t="n">
        <f aca="false">Daromadlilik!A464</f>
        <v>45940</v>
      </c>
      <c r="H486" s="51" t="n">
        <f aca="false">Hajmlar!B465*Narxlar!C465</f>
        <v>1784340000</v>
      </c>
      <c r="I486" s="51" t="n">
        <f aca="false">Hajmlar!C465*Narxlar!D465</f>
        <v>1396996500</v>
      </c>
      <c r="J486" s="51" t="n">
        <f aca="false">Hajmlar!D465*Narxlar!E465</f>
        <v>1202339200</v>
      </c>
      <c r="K486" s="51" t="n">
        <f aca="false">Hajmlar!E465*Narxlar!F465</f>
        <v>1404841200</v>
      </c>
      <c r="M486" s="52" t="n">
        <f aca="false">ABS(Daromadlilik!I464)/H486</f>
        <v>8.12043678672153E-012</v>
      </c>
      <c r="N486" s="52" t="n">
        <f aca="false">ABS(Daromadlilik!J464)/I486</f>
        <v>2.38432236504971E-012</v>
      </c>
      <c r="O486" s="52" t="n">
        <f aca="false">ABS(Daromadlilik!K464)/J486</f>
        <v>8.85370081237774E-012</v>
      </c>
      <c r="P486" s="52" t="n">
        <f aca="false">ABS(Daromadlilik!L464)/K486</f>
        <v>1.39246790752347E-011</v>
      </c>
    </row>
    <row r="487" customFormat="false" ht="15" hidden="false" customHeight="false" outlineLevel="0" collapsed="false">
      <c r="G487" s="19" t="n">
        <f aca="false">Daromadlilik!A465</f>
        <v>45943</v>
      </c>
      <c r="H487" s="51" t="n">
        <f aca="false">Hajmlar!B466*Narxlar!C466</f>
        <v>2257652700</v>
      </c>
      <c r="I487" s="51" t="n">
        <f aca="false">Hajmlar!C466*Narxlar!D466</f>
        <v>1414669800</v>
      </c>
      <c r="J487" s="51" t="n">
        <f aca="false">Hajmlar!D466*Narxlar!E466</f>
        <v>1285772400</v>
      </c>
      <c r="K487" s="51" t="n">
        <f aca="false">Hajmlar!E466*Narxlar!F466</f>
        <v>1111051500</v>
      </c>
      <c r="M487" s="52" t="n">
        <f aca="false">ABS(Daromadlilik!I465)/H487</f>
        <v>9.03452411078007E-013</v>
      </c>
      <c r="N487" s="52" t="n">
        <f aca="false">ABS(Daromadlilik!J465)/I487</f>
        <v>5.31647475875854E-012</v>
      </c>
      <c r="O487" s="52" t="n">
        <f aca="false">ABS(Daromadlilik!K465)/J487</f>
        <v>1.00587746639237E-011</v>
      </c>
      <c r="P487" s="52" t="n">
        <f aca="false">ABS(Daromadlilik!L465)/K487</f>
        <v>1.5468569655513E-011</v>
      </c>
    </row>
    <row r="488" customFormat="false" ht="15" hidden="false" customHeight="false" outlineLevel="0" collapsed="false">
      <c r="G488" s="19" t="n">
        <f aca="false">Daromadlilik!A466</f>
        <v>45944</v>
      </c>
      <c r="H488" s="51" t="n">
        <f aca="false">Hajmlar!B467*Narxlar!C467</f>
        <v>3285676800</v>
      </c>
      <c r="I488" s="51" t="n">
        <f aca="false">Hajmlar!C467*Narxlar!D467</f>
        <v>1946249100</v>
      </c>
      <c r="J488" s="51" t="n">
        <f aca="false">Hajmlar!D467*Narxlar!E467</f>
        <v>1278435900</v>
      </c>
      <c r="K488" s="51" t="n">
        <f aca="false">Hajmlar!E467*Narxlar!F467</f>
        <v>1299414600</v>
      </c>
      <c r="M488" s="52" t="n">
        <f aca="false">ABS(Daromadlilik!I466)/H488</f>
        <v>1.92014474000008E-012</v>
      </c>
      <c r="N488" s="52" t="n">
        <f aca="false">ABS(Daromadlilik!J466)/I488</f>
        <v>8.70701542970956E-012</v>
      </c>
      <c r="O488" s="52" t="n">
        <f aca="false">ABS(Daromadlilik!K466)/J488</f>
        <v>1.70620219426623E-011</v>
      </c>
      <c r="P488" s="52" t="n">
        <f aca="false">ABS(Daromadlilik!L466)/K488</f>
        <v>1.31109818962497E-011</v>
      </c>
    </row>
    <row r="489" customFormat="false" ht="15" hidden="false" customHeight="false" outlineLevel="0" collapsed="false">
      <c r="G489" s="19" t="n">
        <f aca="false">Daromadlilik!A467</f>
        <v>45945</v>
      </c>
      <c r="H489" s="51" t="n">
        <f aca="false">Hajmlar!B468*Narxlar!C468</f>
        <v>1760850000</v>
      </c>
      <c r="I489" s="51" t="n">
        <f aca="false">Hajmlar!C468*Narxlar!D468</f>
        <v>879122400</v>
      </c>
      <c r="J489" s="51" t="n">
        <f aca="false">Hajmlar!D468*Narxlar!E468</f>
        <v>769638100</v>
      </c>
      <c r="K489" s="51" t="n">
        <f aca="false">Hajmlar!E468*Narxlar!F468</f>
        <v>1560920600</v>
      </c>
      <c r="M489" s="52" t="n">
        <f aca="false">ABS(Daromadlilik!I467)/H489</f>
        <v>6.06044706601465E-012</v>
      </c>
      <c r="N489" s="52" t="n">
        <f aca="false">ABS(Daromadlilik!J467)/I489</f>
        <v>2.06175678174005E-011</v>
      </c>
      <c r="O489" s="52" t="n">
        <f aca="false">ABS(Daromadlilik!K467)/J489</f>
        <v>1.48567601064315E-011</v>
      </c>
      <c r="P489" s="52" t="n">
        <f aca="false">ABS(Daromadlilik!L467)/K489</f>
        <v>2.49948997987742E-011</v>
      </c>
    </row>
    <row r="490" customFormat="false" ht="15" hidden="false" customHeight="false" outlineLevel="0" collapsed="false">
      <c r="G490" s="19" t="n">
        <f aca="false">Daromadlilik!A468</f>
        <v>45946</v>
      </c>
      <c r="H490" s="51" t="n">
        <f aca="false">Hajmlar!B469*Narxlar!C469</f>
        <v>2045207600</v>
      </c>
      <c r="I490" s="51" t="n">
        <f aca="false">Hajmlar!C469*Narxlar!D469</f>
        <v>1338121200</v>
      </c>
      <c r="J490" s="51" t="n">
        <f aca="false">Hajmlar!D469*Narxlar!E469</f>
        <v>2545693200</v>
      </c>
      <c r="K490" s="51" t="n">
        <f aca="false">Hajmlar!E469*Narxlar!F469</f>
        <v>750654900</v>
      </c>
      <c r="M490" s="52" t="n">
        <f aca="false">ABS(Daromadlilik!I468)/H490</f>
        <v>4.78262573491255E-012</v>
      </c>
      <c r="N490" s="52" t="n">
        <f aca="false">ABS(Daromadlilik!J468)/I490</f>
        <v>7.91569908808326E-012</v>
      </c>
      <c r="O490" s="52" t="n">
        <f aca="false">ABS(Daromadlilik!K468)/J490</f>
        <v>5.45075114767956E-012</v>
      </c>
      <c r="P490" s="52" t="n">
        <f aca="false">ABS(Daromadlilik!L468)/K490</f>
        <v>1.87727406189404E-011</v>
      </c>
    </row>
    <row r="491" customFormat="false" ht="15" hidden="false" customHeight="false" outlineLevel="0" collapsed="false">
      <c r="G491" s="19" t="n">
        <f aca="false">Daromadlilik!A469</f>
        <v>45947</v>
      </c>
      <c r="H491" s="51" t="n">
        <f aca="false">Hajmlar!B470*Narxlar!C470</f>
        <v>2590358000</v>
      </c>
      <c r="I491" s="51" t="n">
        <f aca="false">Hajmlar!C470*Narxlar!D470</f>
        <v>2277601200</v>
      </c>
      <c r="J491" s="51" t="n">
        <f aca="false">Hajmlar!D470*Narxlar!E470</f>
        <v>1676941200</v>
      </c>
      <c r="K491" s="51" t="n">
        <f aca="false">Hajmlar!E470*Narxlar!F470</f>
        <v>601037500</v>
      </c>
      <c r="M491" s="52" t="n">
        <f aca="false">ABS(Daromadlilik!I469)/H491</f>
        <v>1.74647266333462E-012</v>
      </c>
      <c r="N491" s="52" t="n">
        <f aca="false">ABS(Daromadlilik!J469)/I491</f>
        <v>5.39135620356676E-012</v>
      </c>
      <c r="O491" s="52" t="n">
        <f aca="false">ABS(Daromadlilik!K469)/J491</f>
        <v>2.22206629343163E-012</v>
      </c>
      <c r="P491" s="52" t="n">
        <f aca="false">ABS(Daromadlilik!L469)/K491</f>
        <v>3.04502930353276E-011</v>
      </c>
    </row>
    <row r="492" customFormat="false" ht="15" hidden="false" customHeight="false" outlineLevel="0" collapsed="false">
      <c r="G492" s="19" t="n">
        <f aca="false">Daromadlilik!A470</f>
        <v>45950</v>
      </c>
      <c r="H492" s="51" t="n">
        <f aca="false">Hajmlar!B471*Narxlar!C471</f>
        <v>2378387700</v>
      </c>
      <c r="I492" s="51" t="n">
        <f aca="false">Hajmlar!C471*Narxlar!D471</f>
        <v>3641919000</v>
      </c>
      <c r="J492" s="51" t="n">
        <f aca="false">Hajmlar!D471*Narxlar!E471</f>
        <v>914480000</v>
      </c>
      <c r="K492" s="51" t="n">
        <f aca="false">Hajmlar!E471*Narxlar!F471</f>
        <v>1269542800</v>
      </c>
      <c r="M492" s="52" t="n">
        <f aca="false">ABS(Daromadlilik!I470)/H492</f>
        <v>4.20997320283438E-012</v>
      </c>
      <c r="N492" s="52" t="n">
        <f aca="false">ABS(Daromadlilik!J470)/I492</f>
        <v>5.40225993671503E-012</v>
      </c>
      <c r="O492" s="52" t="n">
        <f aca="false">ABS(Daromadlilik!K470)/J492</f>
        <v>3.1950061717164E-012</v>
      </c>
      <c r="P492" s="52" t="n">
        <f aca="false">ABS(Daromadlilik!L470)/K492</f>
        <v>1.1751047043698E-011</v>
      </c>
    </row>
    <row r="493" customFormat="false" ht="15" hidden="false" customHeight="false" outlineLevel="0" collapsed="false">
      <c r="G493" s="19" t="n">
        <f aca="false">Daromadlilik!A471</f>
        <v>45951</v>
      </c>
      <c r="H493" s="51" t="n">
        <f aca="false">Hajmlar!B472*Narxlar!C472</f>
        <v>2443453600</v>
      </c>
      <c r="I493" s="51" t="n">
        <f aca="false">Hajmlar!C472*Narxlar!D472</f>
        <v>1272831300</v>
      </c>
      <c r="J493" s="51" t="n">
        <f aca="false">Hajmlar!D472*Narxlar!E472</f>
        <v>1041251700</v>
      </c>
      <c r="K493" s="51" t="n">
        <f aca="false">Hajmlar!E472*Narxlar!F472</f>
        <v>852761700</v>
      </c>
      <c r="M493" s="52" t="n">
        <f aca="false">ABS(Daromadlilik!I471)/H493</f>
        <v>5.55959023749996E-012</v>
      </c>
      <c r="N493" s="52" t="n">
        <f aca="false">ABS(Daromadlilik!J471)/I493</f>
        <v>5.41820182606685E-013</v>
      </c>
      <c r="O493" s="52" t="n">
        <f aca="false">ABS(Daromadlilik!K471)/J493</f>
        <v>9.70917044247469E-012</v>
      </c>
      <c r="P493" s="52" t="n">
        <f aca="false">ABS(Daromadlilik!L471)/K493</f>
        <v>1.92681559765054E-011</v>
      </c>
    </row>
    <row r="494" customFormat="false" ht="15" hidden="false" customHeight="false" outlineLevel="0" collapsed="false">
      <c r="G494" s="19" t="n">
        <f aca="false">Daromadlilik!A472</f>
        <v>45952</v>
      </c>
      <c r="H494" s="51" t="n">
        <f aca="false">Hajmlar!B473*Narxlar!C473</f>
        <v>2426067600</v>
      </c>
      <c r="I494" s="51" t="n">
        <f aca="false">Hajmlar!C473*Narxlar!D473</f>
        <v>948004200</v>
      </c>
      <c r="J494" s="51" t="n">
        <f aca="false">Hajmlar!D473*Narxlar!E473</f>
        <v>1128482000</v>
      </c>
      <c r="K494" s="51" t="n">
        <f aca="false">Hajmlar!E473*Narxlar!F473</f>
        <v>639216000</v>
      </c>
      <c r="M494" s="52" t="n">
        <f aca="false">ABS(Daromadlilik!I472)/H494</f>
        <v>7.61906401190602E-012</v>
      </c>
      <c r="N494" s="52" t="n">
        <f aca="false">ABS(Daromadlilik!J472)/I494</f>
        <v>1.71484535089349E-012</v>
      </c>
      <c r="O494" s="52" t="n">
        <f aca="false">ABS(Daromadlilik!K472)/J494</f>
        <v>7.81989199942286E-012</v>
      </c>
      <c r="P494" s="52" t="n">
        <f aca="false">ABS(Daromadlilik!L472)/K494</f>
        <v>9.39470915799992E-012</v>
      </c>
    </row>
    <row r="495" customFormat="false" ht="15" hidden="false" customHeight="false" outlineLevel="0" collapsed="false">
      <c r="G495" s="19" t="n">
        <f aca="false">Daromadlilik!A473</f>
        <v>45953</v>
      </c>
      <c r="H495" s="51" t="n">
        <f aca="false">Hajmlar!B474*Narxlar!C474</f>
        <v>2567350300</v>
      </c>
      <c r="I495" s="51" t="n">
        <f aca="false">Hajmlar!C474*Narxlar!D474</f>
        <v>850190100</v>
      </c>
      <c r="J495" s="51" t="n">
        <f aca="false">Hajmlar!D474*Narxlar!E474</f>
        <v>733806300</v>
      </c>
      <c r="K495" s="51" t="n">
        <f aca="false">Hajmlar!E474*Narxlar!F474</f>
        <v>1057518000</v>
      </c>
      <c r="M495" s="52" t="n">
        <f aca="false">ABS(Daromadlilik!I473)/H495</f>
        <v>2.19208553864196E-012</v>
      </c>
      <c r="N495" s="52" t="n">
        <f aca="false">ABS(Daromadlilik!J473)/I495</f>
        <v>1.46304866399666E-011</v>
      </c>
      <c r="O495" s="52" t="n">
        <f aca="false">ABS(Daromadlilik!K473)/J495</f>
        <v>1.6103472841873E-011</v>
      </c>
      <c r="P495" s="52" t="n">
        <f aca="false">ABS(Daromadlilik!L473)/K495</f>
        <v>1.1088717866097E-011</v>
      </c>
    </row>
    <row r="496" customFormat="false" ht="15" hidden="false" customHeight="false" outlineLevel="0" collapsed="false">
      <c r="G496" s="19" t="n">
        <f aca="false">Daromadlilik!A474</f>
        <v>45954</v>
      </c>
      <c r="H496" s="51" t="n">
        <f aca="false">Hajmlar!B475*Narxlar!C475</f>
        <v>1230532800</v>
      </c>
      <c r="I496" s="51" t="n">
        <f aca="false">Hajmlar!C475*Narxlar!D475</f>
        <v>2971342800</v>
      </c>
      <c r="J496" s="51" t="n">
        <f aca="false">Hajmlar!D475*Narxlar!E475</f>
        <v>1870876800</v>
      </c>
      <c r="K496" s="51" t="n">
        <f aca="false">Hajmlar!E475*Narxlar!F475</f>
        <v>817758000</v>
      </c>
      <c r="M496" s="52" t="n">
        <f aca="false">ABS(Daromadlilik!I474)/H496</f>
        <v>5.18626907965979E-012</v>
      </c>
      <c r="N496" s="52" t="n">
        <f aca="false">ABS(Daromadlilik!J474)/I496</f>
        <v>1.00190901067093E-011</v>
      </c>
      <c r="O496" s="52" t="n">
        <f aca="false">ABS(Daromadlilik!K474)/J496</f>
        <v>9.08437966269815E-013</v>
      </c>
      <c r="P496" s="52" t="n">
        <f aca="false">ABS(Daromadlilik!L474)/K496</f>
        <v>9.35805349375736E-012</v>
      </c>
    </row>
    <row r="497" customFormat="false" ht="15" hidden="false" customHeight="false" outlineLevel="0" collapsed="false">
      <c r="G497" s="19" t="n">
        <f aca="false">Daromadlilik!A475</f>
        <v>45957</v>
      </c>
      <c r="H497" s="51" t="n">
        <f aca="false">Hajmlar!B476*Narxlar!C476</f>
        <v>4722799200</v>
      </c>
      <c r="I497" s="51" t="n">
        <f aca="false">Hajmlar!C476*Narxlar!D476</f>
        <v>1827158300</v>
      </c>
      <c r="J497" s="51" t="n">
        <f aca="false">Hajmlar!D476*Narxlar!E476</f>
        <v>663398200</v>
      </c>
      <c r="K497" s="51" t="n">
        <f aca="false">Hajmlar!E476*Narxlar!F476</f>
        <v>1214743200</v>
      </c>
      <c r="M497" s="52" t="n">
        <f aca="false">ABS(Daromadlilik!I475)/H497</f>
        <v>4.60135280431434E-013</v>
      </c>
      <c r="N497" s="52" t="n">
        <f aca="false">ABS(Daromadlilik!J475)/I497</f>
        <v>3.77804591369845E-012</v>
      </c>
      <c r="O497" s="52" t="n">
        <f aca="false">ABS(Daromadlilik!K475)/J497</f>
        <v>7.2572591084306E-012</v>
      </c>
      <c r="P497" s="52" t="n">
        <f aca="false">ABS(Daromadlilik!L475)/K497</f>
        <v>1.17697188099187E-012</v>
      </c>
    </row>
    <row r="498" customFormat="false" ht="15" hidden="false" customHeight="false" outlineLevel="0" collapsed="false">
      <c r="G498" s="19" t="n">
        <f aca="false">Daromadlilik!A476</f>
        <v>45958</v>
      </c>
      <c r="H498" s="51" t="n">
        <f aca="false">Hajmlar!B477*Narxlar!C477</f>
        <v>2199348900</v>
      </c>
      <c r="I498" s="51" t="n">
        <f aca="false">Hajmlar!C477*Narxlar!D477</f>
        <v>1217547900</v>
      </c>
      <c r="J498" s="51" t="n">
        <f aca="false">Hajmlar!D477*Narxlar!E477</f>
        <v>1636096000</v>
      </c>
      <c r="K498" s="51" t="n">
        <f aca="false">Hajmlar!E477*Narxlar!F477</f>
        <v>949490100</v>
      </c>
      <c r="M498" s="52" t="n">
        <f aca="false">ABS(Daromadlilik!I476)/H498</f>
        <v>9.7900895696892E-012</v>
      </c>
      <c r="N498" s="52" t="n">
        <f aca="false">ABS(Daromadlilik!J476)/I498</f>
        <v>1.44728289414293E-011</v>
      </c>
      <c r="O498" s="52" t="n">
        <f aca="false">ABS(Daromadlilik!K476)/J498</f>
        <v>5.55594140037185E-012</v>
      </c>
      <c r="P498" s="52" t="n">
        <f aca="false">ABS(Daromadlilik!L476)/K498</f>
        <v>2.14919345258877E-011</v>
      </c>
    </row>
    <row r="499" customFormat="false" ht="15" hidden="false" customHeight="false" outlineLevel="0" collapsed="false">
      <c r="G499" s="19" t="n">
        <f aca="false">Daromadlilik!A477</f>
        <v>45959</v>
      </c>
      <c r="H499" s="51" t="n">
        <f aca="false">Hajmlar!B478*Narxlar!C478</f>
        <v>2816660000</v>
      </c>
      <c r="I499" s="51" t="n">
        <f aca="false">Hajmlar!C478*Narxlar!D478</f>
        <v>2577197700</v>
      </c>
      <c r="J499" s="51" t="n">
        <f aca="false">Hajmlar!D478*Narxlar!E478</f>
        <v>1050235200</v>
      </c>
      <c r="K499" s="51" t="n">
        <f aca="false">Hajmlar!E478*Narxlar!F478</f>
        <v>468594000</v>
      </c>
      <c r="M499" s="52" t="n">
        <f aca="false">ABS(Daromadlilik!I477)/H499</f>
        <v>6.46097405077609E-013</v>
      </c>
      <c r="N499" s="52" t="n">
        <f aca="false">ABS(Daromadlilik!J477)/I499</f>
        <v>6.58708430268141E-012</v>
      </c>
      <c r="O499" s="52" t="n">
        <f aca="false">ABS(Daromadlilik!K477)/J499</f>
        <v>7.69743615521462E-012</v>
      </c>
      <c r="P499" s="52" t="n">
        <f aca="false">ABS(Daromadlilik!L477)/K499</f>
        <v>2.44013749346598E-012</v>
      </c>
    </row>
    <row r="500" customFormat="false" ht="15" hidden="false" customHeight="false" outlineLevel="0" collapsed="false">
      <c r="G500" s="19" t="n">
        <f aca="false">Daromadlilik!A478</f>
        <v>45960</v>
      </c>
      <c r="H500" s="51" t="n">
        <f aca="false">Hajmlar!B479*Narxlar!C479</f>
        <v>2427348000</v>
      </c>
      <c r="I500" s="51" t="n">
        <f aca="false">Hajmlar!C479*Narxlar!D479</f>
        <v>1112526100</v>
      </c>
      <c r="J500" s="51" t="n">
        <f aca="false">Hajmlar!D479*Narxlar!E479</f>
        <v>391839000</v>
      </c>
      <c r="K500" s="51" t="n">
        <f aca="false">Hajmlar!E479*Narxlar!F479</f>
        <v>1074378000</v>
      </c>
      <c r="M500" s="52" t="n">
        <f aca="false">ABS(Daromadlilik!I478)/H500</f>
        <v>1.19271248534186E-011</v>
      </c>
      <c r="N500" s="52" t="n">
        <f aca="false">ABS(Daromadlilik!J478)/I500</f>
        <v>5.52770487119097E-012</v>
      </c>
      <c r="O500" s="52" t="n">
        <f aca="false">ABS(Daromadlilik!K478)/J500</f>
        <v>1.7008699352879E-011</v>
      </c>
      <c r="P500" s="52" t="n">
        <f aca="false">ABS(Daromadlilik!L478)/K500</f>
        <v>1.0016370152875E-012</v>
      </c>
    </row>
    <row r="501" customFormat="false" ht="15" hidden="false" customHeight="false" outlineLevel="0" collapsed="false">
      <c r="G501" s="19" t="n">
        <f aca="false">Daromadlilik!A479</f>
        <v>45961</v>
      </c>
      <c r="H501" s="51" t="n">
        <f aca="false">Hajmlar!B480*Narxlar!C480</f>
        <v>2953968000</v>
      </c>
      <c r="I501" s="51" t="n">
        <f aca="false">Hajmlar!C480*Narxlar!D480</f>
        <v>1419033000</v>
      </c>
      <c r="J501" s="51" t="n">
        <f aca="false">Hajmlar!D480*Narxlar!E480</f>
        <v>992873200</v>
      </c>
      <c r="K501" s="51" t="n">
        <f aca="false">Hajmlar!E480*Narxlar!F480</f>
        <v>753435800</v>
      </c>
      <c r="M501" s="52" t="n">
        <f aca="false">ABS(Daromadlilik!I479)/H501</f>
        <v>3.93164025096262E-012</v>
      </c>
      <c r="N501" s="52" t="n">
        <f aca="false">ABS(Daromadlilik!J479)/I501</f>
        <v>1.96655840609757E-012</v>
      </c>
      <c r="O501" s="52" t="n">
        <f aca="false">ABS(Daromadlilik!K479)/J501</f>
        <v>6.03868476270331E-012</v>
      </c>
      <c r="P501" s="52" t="n">
        <f aca="false">ABS(Daromadlilik!L479)/K501</f>
        <v>5.95434422119882E-014</v>
      </c>
    </row>
    <row r="502" customFormat="false" ht="15" hidden="false" customHeight="false" outlineLevel="0" collapsed="false">
      <c r="G502" s="19" t="n">
        <f aca="false">Daromadlilik!A480</f>
        <v>45964</v>
      </c>
      <c r="H502" s="51" t="n">
        <f aca="false">Hajmlar!B481*Narxlar!C481</f>
        <v>2400500200</v>
      </c>
      <c r="I502" s="51" t="n">
        <f aca="false">Hajmlar!C481*Narxlar!D481</f>
        <v>2865128000</v>
      </c>
      <c r="J502" s="51" t="n">
        <f aca="false">Hajmlar!D481*Narxlar!E481</f>
        <v>1631542200</v>
      </c>
      <c r="K502" s="51" t="n">
        <f aca="false">Hajmlar!E481*Narxlar!F481</f>
        <v>942653400</v>
      </c>
      <c r="M502" s="52" t="n">
        <f aca="false">ABS(Daromadlilik!I480)/H502</f>
        <v>1.25812020214246E-011</v>
      </c>
      <c r="N502" s="52" t="n">
        <f aca="false">ABS(Daromadlilik!J480)/I502</f>
        <v>2.97659074131777E-012</v>
      </c>
      <c r="O502" s="52" t="n">
        <f aca="false">ABS(Daromadlilik!K480)/J502</f>
        <v>8.42900004820486E-012</v>
      </c>
      <c r="P502" s="52" t="n">
        <f aca="false">ABS(Daromadlilik!L480)/K502</f>
        <v>4.68986097576687E-011</v>
      </c>
    </row>
    <row r="503" customFormat="false" ht="15" hidden="false" customHeight="false" outlineLevel="0" collapsed="false">
      <c r="G503" s="19" t="n">
        <f aca="false">Daromadlilik!A481</f>
        <v>45965</v>
      </c>
      <c r="H503" s="51" t="n">
        <f aca="false">Hajmlar!B482*Narxlar!C482</f>
        <v>3115770200</v>
      </c>
      <c r="I503" s="51" t="n">
        <f aca="false">Hajmlar!C482*Narxlar!D482</f>
        <v>1410885900</v>
      </c>
      <c r="J503" s="51" t="n">
        <f aca="false">Hajmlar!D482*Narxlar!E482</f>
        <v>753600000</v>
      </c>
      <c r="K503" s="51" t="n">
        <f aca="false">Hajmlar!E482*Narxlar!F482</f>
        <v>990008000</v>
      </c>
      <c r="M503" s="52" t="n">
        <f aca="false">ABS(Daromadlilik!I481)/H503</f>
        <v>1.99132220779488E-012</v>
      </c>
      <c r="N503" s="52" t="n">
        <f aca="false">ABS(Daromadlilik!J481)/I503</f>
        <v>1.70878029187805E-012</v>
      </c>
      <c r="O503" s="52" t="n">
        <f aca="false">ABS(Daromadlilik!K481)/J503</f>
        <v>1.06008989185443E-011</v>
      </c>
      <c r="P503" s="52" t="n">
        <f aca="false">ABS(Daromadlilik!L481)/K503</f>
        <v>1.25336900524516E-011</v>
      </c>
    </row>
    <row r="504" customFormat="false" ht="15" hidden="false" customHeight="false" outlineLevel="0" collapsed="false">
      <c r="G504" s="19" t="n">
        <f aca="false">Daromadlilik!A482</f>
        <v>45966</v>
      </c>
      <c r="H504" s="51" t="n">
        <f aca="false">Hajmlar!B483*Narxlar!C483</f>
        <v>2833045200</v>
      </c>
      <c r="I504" s="51" t="n">
        <f aca="false">Hajmlar!C483*Narxlar!D483</f>
        <v>1356685000</v>
      </c>
      <c r="J504" s="51" t="n">
        <f aca="false">Hajmlar!D483*Narxlar!E483</f>
        <v>1074645600</v>
      </c>
      <c r="K504" s="51" t="n">
        <f aca="false">Hajmlar!E483*Narxlar!F483</f>
        <v>835461700</v>
      </c>
      <c r="M504" s="52" t="n">
        <f aca="false">ABS(Daromadlilik!I482)/H504</f>
        <v>1.53053905063385E-012</v>
      </c>
      <c r="N504" s="52" t="n">
        <f aca="false">ABS(Daromadlilik!J482)/I504</f>
        <v>3.68890725709716E-012</v>
      </c>
      <c r="O504" s="52" t="n">
        <f aca="false">ABS(Daromadlilik!K482)/J504</f>
        <v>7.10301679842005E-012</v>
      </c>
      <c r="P504" s="52" t="n">
        <f aca="false">ABS(Daromadlilik!L482)/K504</f>
        <v>4.12685382652246E-012</v>
      </c>
    </row>
    <row r="505" customFormat="false" ht="15" hidden="false" customHeight="false" outlineLevel="0" collapsed="false">
      <c r="G505" s="19" t="n">
        <f aca="false">Daromadlilik!A483</f>
        <v>45967</v>
      </c>
      <c r="H505" s="51" t="n">
        <f aca="false">Hajmlar!B484*Narxlar!C484</f>
        <v>2749015000</v>
      </c>
      <c r="I505" s="51" t="n">
        <f aca="false">Hajmlar!C484*Narxlar!D484</f>
        <v>8078846400</v>
      </c>
      <c r="J505" s="51" t="n">
        <f aca="false">Hajmlar!D484*Narxlar!E484</f>
        <v>1703430500</v>
      </c>
      <c r="K505" s="51" t="n">
        <f aca="false">Hajmlar!E484*Narxlar!F484</f>
        <v>1065356600</v>
      </c>
      <c r="M505" s="52" t="n">
        <f aca="false">ABS(Daromadlilik!I483)/H505</f>
        <v>1.21033902142971E-011</v>
      </c>
      <c r="N505" s="52" t="n">
        <f aca="false">ABS(Daromadlilik!J483)/I505</f>
        <v>4.68383691051032E-012</v>
      </c>
      <c r="O505" s="52" t="n">
        <f aca="false">ABS(Daromadlilik!K483)/J505</f>
        <v>1.52310894438293E-011</v>
      </c>
      <c r="P505" s="52" t="n">
        <f aca="false">ABS(Daromadlilik!L483)/K505</f>
        <v>4.42209983480918E-011</v>
      </c>
    </row>
    <row r="506" customFormat="false" ht="15" hidden="false" customHeight="false" outlineLevel="0" collapsed="false">
      <c r="G506" s="19" t="n">
        <f aca="false">Daromadlilik!A484</f>
        <v>45968</v>
      </c>
      <c r="H506" s="51" t="n">
        <f aca="false">Hajmlar!B485*Narxlar!C485</f>
        <v>2924968400</v>
      </c>
      <c r="I506" s="51" t="n">
        <f aca="false">Hajmlar!C485*Narxlar!D485</f>
        <v>1531134000</v>
      </c>
      <c r="J506" s="51" t="n">
        <f aca="false">Hajmlar!D485*Narxlar!E485</f>
        <v>999439200</v>
      </c>
      <c r="K506" s="51" t="n">
        <f aca="false">Hajmlar!E485*Narxlar!F485</f>
        <v>445132200</v>
      </c>
      <c r="M506" s="52" t="n">
        <f aca="false">ABS(Daromadlilik!I484)/H506</f>
        <v>5.76671184267628E-012</v>
      </c>
      <c r="N506" s="52" t="n">
        <f aca="false">ABS(Daromadlilik!J484)/I506</f>
        <v>8.33653548568153E-012</v>
      </c>
      <c r="O506" s="52" t="n">
        <f aca="false">ABS(Daromadlilik!K484)/J506</f>
        <v>1.50953093747833E-011</v>
      </c>
      <c r="P506" s="52" t="n">
        <f aca="false">ABS(Daromadlilik!L484)/K506</f>
        <v>2.85885044677791E-012</v>
      </c>
    </row>
    <row r="507" customFormat="false" ht="15" hidden="false" customHeight="false" outlineLevel="0" collapsed="false">
      <c r="G507" s="19" t="n">
        <f aca="false">Daromadlilik!A485</f>
        <v>45971</v>
      </c>
      <c r="H507" s="51" t="n">
        <f aca="false">Hajmlar!B486*Narxlar!C486</f>
        <v>1927170000</v>
      </c>
      <c r="I507" s="51" t="n">
        <f aca="false">Hajmlar!C486*Narxlar!D486</f>
        <v>1177143600</v>
      </c>
      <c r="J507" s="51" t="n">
        <f aca="false">Hajmlar!D486*Narxlar!E486</f>
        <v>910958900</v>
      </c>
      <c r="K507" s="51" t="n">
        <f aca="false">Hajmlar!E486*Narxlar!F486</f>
        <v>904383000</v>
      </c>
      <c r="M507" s="52" t="n">
        <f aca="false">ABS(Daromadlilik!I485)/H507</f>
        <v>9.6266666721908E-012</v>
      </c>
      <c r="N507" s="52" t="n">
        <f aca="false">ABS(Daromadlilik!J485)/I507</f>
        <v>5.8672906570676E-012</v>
      </c>
      <c r="O507" s="52" t="n">
        <f aca="false">ABS(Daromadlilik!K485)/J507</f>
        <v>8.40677308302332E-013</v>
      </c>
      <c r="P507" s="52" t="n">
        <f aca="false">ABS(Daromadlilik!L485)/K507</f>
        <v>2.1746849592478E-011</v>
      </c>
    </row>
    <row r="508" customFormat="false" ht="15" hidden="false" customHeight="false" outlineLevel="0" collapsed="false">
      <c r="G508" s="19" t="n">
        <f aca="false">Daromadlilik!A486</f>
        <v>45972</v>
      </c>
      <c r="H508" s="51" t="n">
        <f aca="false">Hajmlar!B487*Narxlar!C487</f>
        <v>2645421200</v>
      </c>
      <c r="I508" s="51" t="n">
        <f aca="false">Hajmlar!C487*Narxlar!D487</f>
        <v>1726200000</v>
      </c>
      <c r="J508" s="51" t="n">
        <f aca="false">Hajmlar!D487*Narxlar!E487</f>
        <v>470831900</v>
      </c>
      <c r="K508" s="51" t="n">
        <f aca="false">Hajmlar!E487*Narxlar!F487</f>
        <v>800262000</v>
      </c>
      <c r="M508" s="52" t="n">
        <f aca="false">ABS(Daromadlilik!I486)/H508</f>
        <v>4.30120143556903E-012</v>
      </c>
      <c r="N508" s="52" t="n">
        <f aca="false">ABS(Daromadlilik!J486)/I508</f>
        <v>7.96230206310233E-012</v>
      </c>
      <c r="O508" s="52" t="n">
        <f aca="false">ABS(Daromadlilik!K486)/J508</f>
        <v>6.98498855069511E-012</v>
      </c>
      <c r="P508" s="52" t="n">
        <f aca="false">ABS(Daromadlilik!L486)/K508</f>
        <v>2.11846289406887E-011</v>
      </c>
    </row>
    <row r="509" customFormat="false" ht="15" hidden="false" customHeight="false" outlineLevel="0" collapsed="false">
      <c r="G509" s="19" t="n">
        <f aca="false">Daromadlilik!A487</f>
        <v>45973</v>
      </c>
      <c r="H509" s="51" t="n">
        <f aca="false">Hajmlar!B488*Narxlar!C488</f>
        <v>2995931100</v>
      </c>
      <c r="I509" s="51" t="n">
        <f aca="false">Hajmlar!C488*Narxlar!D488</f>
        <v>1374488800</v>
      </c>
      <c r="J509" s="51" t="n">
        <f aca="false">Hajmlar!D488*Narxlar!E488</f>
        <v>1067421300</v>
      </c>
      <c r="K509" s="51" t="n">
        <f aca="false">Hajmlar!E488*Narxlar!F488</f>
        <v>554609400</v>
      </c>
      <c r="M509" s="52" t="n">
        <f aca="false">ABS(Daromadlilik!I487)/H509</f>
        <v>4.90718467447414E-012</v>
      </c>
      <c r="N509" s="52" t="n">
        <f aca="false">ABS(Daromadlilik!J487)/I509</f>
        <v>4.85939974253934E-012</v>
      </c>
      <c r="O509" s="52" t="n">
        <f aca="false">ABS(Daromadlilik!K487)/J509</f>
        <v>3.91723878870591E-012</v>
      </c>
      <c r="P509" s="52" t="n">
        <f aca="false">ABS(Daromadlilik!L487)/K509</f>
        <v>1.84213318475759E-011</v>
      </c>
    </row>
    <row r="510" customFormat="false" ht="15" hidden="false" customHeight="false" outlineLevel="0" collapsed="false">
      <c r="G510" s="19" t="n">
        <f aca="false">Daromadlilik!A488</f>
        <v>45974</v>
      </c>
      <c r="H510" s="51" t="n">
        <f aca="false">Hajmlar!B489*Narxlar!C489</f>
        <v>1834717500</v>
      </c>
      <c r="I510" s="51" t="n">
        <f aca="false">Hajmlar!C489*Narxlar!D489</f>
        <v>1168677100</v>
      </c>
      <c r="J510" s="51" t="n">
        <f aca="false">Hajmlar!D489*Narxlar!E489</f>
        <v>483383500</v>
      </c>
      <c r="K510" s="51" t="n">
        <f aca="false">Hajmlar!E489*Narxlar!F489</f>
        <v>563068800</v>
      </c>
      <c r="M510" s="52" t="n">
        <f aca="false">ABS(Daromadlilik!I488)/H510</f>
        <v>1.49453045642122E-011</v>
      </c>
      <c r="N510" s="52" t="n">
        <f aca="false">ABS(Daromadlilik!J488)/I510</f>
        <v>2.33277727446321E-011</v>
      </c>
      <c r="O510" s="52" t="n">
        <f aca="false">ABS(Daromadlilik!K488)/J510</f>
        <v>3.07951261349204E-011</v>
      </c>
      <c r="P510" s="52" t="n">
        <f aca="false">ABS(Daromadlilik!L488)/K510</f>
        <v>2.04504137847569E-012</v>
      </c>
    </row>
    <row r="511" customFormat="false" ht="15" hidden="false" customHeight="false" outlineLevel="0" collapsed="false">
      <c r="G511" s="19" t="n">
        <f aca="false">Daromadlilik!A489</f>
        <v>45975</v>
      </c>
      <c r="H511" s="51" t="n">
        <f aca="false">Hajmlar!B490*Narxlar!C490</f>
        <v>1432435900</v>
      </c>
      <c r="I511" s="51" t="n">
        <f aca="false">Hajmlar!C490*Narxlar!D490</f>
        <v>2239740000</v>
      </c>
      <c r="J511" s="51" t="n">
        <f aca="false">Hajmlar!D490*Narxlar!E490</f>
        <v>1746885600</v>
      </c>
      <c r="K511" s="51" t="n">
        <f aca="false">Hajmlar!E490*Narxlar!F490</f>
        <v>658127700</v>
      </c>
      <c r="M511" s="52" t="n">
        <f aca="false">ABS(Daromadlilik!I489)/H511</f>
        <v>1.52482211413006E-011</v>
      </c>
      <c r="N511" s="52" t="n">
        <f aca="false">ABS(Daromadlilik!J489)/I511</f>
        <v>8.81181668420899E-012</v>
      </c>
      <c r="O511" s="52" t="n">
        <f aca="false">ABS(Daromadlilik!K489)/J511</f>
        <v>8.97544516874869E-012</v>
      </c>
      <c r="P511" s="52" t="n">
        <f aca="false">ABS(Daromadlilik!L489)/K511</f>
        <v>2.40881741385227E-011</v>
      </c>
    </row>
    <row r="512" customFormat="false" ht="15" hidden="false" customHeight="false" outlineLevel="0" collapsed="false">
      <c r="G512" s="19" t="n">
        <f aca="false">Daromadlilik!A490</f>
        <v>45978</v>
      </c>
      <c r="H512" s="51" t="n">
        <f aca="false">Hajmlar!B491*Narxlar!C491</f>
        <v>1892705200</v>
      </c>
      <c r="I512" s="51" t="n">
        <f aca="false">Hajmlar!C491*Narxlar!D491</f>
        <v>1239310800</v>
      </c>
      <c r="J512" s="51" t="n">
        <f aca="false">Hajmlar!D491*Narxlar!E491</f>
        <v>487612000</v>
      </c>
      <c r="K512" s="51" t="n">
        <f aca="false">Hajmlar!E491*Narxlar!F491</f>
        <v>847600700</v>
      </c>
      <c r="M512" s="52" t="n">
        <f aca="false">ABS(Daromadlilik!I490)/H512</f>
        <v>2.24414996201489E-013</v>
      </c>
      <c r="N512" s="52" t="n">
        <f aca="false">ABS(Daromadlilik!J490)/I512</f>
        <v>8.06337919254749E-012</v>
      </c>
      <c r="O512" s="52" t="n">
        <f aca="false">ABS(Daromadlilik!K490)/J512</f>
        <v>6.07094638446774E-012</v>
      </c>
      <c r="P512" s="52" t="n">
        <f aca="false">ABS(Daromadlilik!L490)/K512</f>
        <v>1.47446175378661E-011</v>
      </c>
    </row>
    <row r="513" customFormat="false" ht="15" hidden="false" customHeight="false" outlineLevel="0" collapsed="false">
      <c r="G513" s="19" t="n">
        <f aca="false">Daromadlilik!A491</f>
        <v>45979</v>
      </c>
      <c r="H513" s="51" t="n">
        <f aca="false">Hajmlar!B492*Narxlar!C492</f>
        <v>1292273400</v>
      </c>
      <c r="I513" s="51" t="n">
        <f aca="false">Hajmlar!C492*Narxlar!D492</f>
        <v>1547892000</v>
      </c>
      <c r="J513" s="51" t="n">
        <f aca="false">Hajmlar!D492*Narxlar!E492</f>
        <v>1162447600</v>
      </c>
      <c r="K513" s="51" t="n">
        <f aca="false">Hajmlar!E492*Narxlar!F492</f>
        <v>1161919200</v>
      </c>
      <c r="M513" s="52" t="n">
        <f aca="false">ABS(Daromadlilik!I491)/H513</f>
        <v>1.06226322643754E-011</v>
      </c>
      <c r="N513" s="52" t="n">
        <f aca="false">ABS(Daromadlilik!J491)/I513</f>
        <v>9.81681969825775E-012</v>
      </c>
      <c r="O513" s="52" t="n">
        <f aca="false">ABS(Daromadlilik!K491)/J513</f>
        <v>5.51068167618161E-012</v>
      </c>
      <c r="P513" s="52" t="n">
        <f aca="false">ABS(Daromadlilik!L491)/K513</f>
        <v>1.75680623009314E-011</v>
      </c>
    </row>
    <row r="514" customFormat="false" ht="15" hidden="false" customHeight="false" outlineLevel="0" collapsed="false">
      <c r="G514" s="19" t="n">
        <f aca="false">Daromadlilik!A492</f>
        <v>45980</v>
      </c>
      <c r="H514" s="51" t="n">
        <f aca="false">Hajmlar!B493*Narxlar!C493</f>
        <v>1468967500</v>
      </c>
      <c r="I514" s="51" t="n">
        <f aca="false">Hajmlar!C493*Narxlar!D493</f>
        <v>1789127600</v>
      </c>
      <c r="J514" s="51" t="n">
        <f aca="false">Hajmlar!D493*Narxlar!E493</f>
        <v>465210000</v>
      </c>
      <c r="K514" s="51" t="n">
        <f aca="false">Hajmlar!E493*Narxlar!F493</f>
        <v>1183601200</v>
      </c>
      <c r="M514" s="52" t="n">
        <f aca="false">ABS(Daromadlilik!I492)/H514</f>
        <v>1.38405855600927E-011</v>
      </c>
      <c r="N514" s="52" t="n">
        <f aca="false">ABS(Daromadlilik!J492)/I514</f>
        <v>9.82449512315911E-012</v>
      </c>
      <c r="O514" s="52" t="n">
        <f aca="false">ABS(Daromadlilik!K492)/J514</f>
        <v>2.45610750313997E-011</v>
      </c>
      <c r="P514" s="52" t="n">
        <f aca="false">ABS(Daromadlilik!L492)/K514</f>
        <v>1.36537549486893E-011</v>
      </c>
    </row>
    <row r="515" customFormat="false" ht="15" hidden="false" customHeight="false" outlineLevel="0" collapsed="false">
      <c r="G515" s="19" t="n">
        <f aca="false">Daromadlilik!A493</f>
        <v>45981</v>
      </c>
      <c r="H515" s="51" t="n">
        <f aca="false">Hajmlar!B494*Narxlar!C494</f>
        <v>1615103100</v>
      </c>
      <c r="I515" s="51" t="n">
        <f aca="false">Hajmlar!C494*Narxlar!D494</f>
        <v>1724681000</v>
      </c>
      <c r="J515" s="51" t="n">
        <f aca="false">Hajmlar!D494*Narxlar!E494</f>
        <v>644417400</v>
      </c>
      <c r="K515" s="51" t="n">
        <f aca="false">Hajmlar!E494*Narxlar!F494</f>
        <v>778981400</v>
      </c>
      <c r="M515" s="52" t="n">
        <f aca="false">ABS(Daromadlilik!I493)/H515</f>
        <v>1.10334616182875E-011</v>
      </c>
      <c r="N515" s="52" t="n">
        <f aca="false">ABS(Daromadlilik!J493)/I515</f>
        <v>1.03135242185975E-011</v>
      </c>
      <c r="O515" s="52" t="n">
        <f aca="false">ABS(Daromadlilik!K493)/J515</f>
        <v>1.03013233119835E-011</v>
      </c>
      <c r="P515" s="52" t="n">
        <f aca="false">ABS(Daromadlilik!L493)/K515</f>
        <v>8.54122750576283E-012</v>
      </c>
    </row>
    <row r="516" customFormat="false" ht="15" hidden="false" customHeight="false" outlineLevel="0" collapsed="false">
      <c r="G516" s="19" t="n">
        <f aca="false">Daromadlilik!A494</f>
        <v>45982</v>
      </c>
      <c r="H516" s="51" t="n">
        <f aca="false">Hajmlar!B495*Narxlar!C495</f>
        <v>2389950000</v>
      </c>
      <c r="I516" s="51" t="n">
        <f aca="false">Hajmlar!C495*Narxlar!D495</f>
        <v>3411621000</v>
      </c>
      <c r="J516" s="51" t="n">
        <f aca="false">Hajmlar!D495*Narxlar!E495</f>
        <v>1463771400</v>
      </c>
      <c r="K516" s="51" t="n">
        <f aca="false">Hajmlar!E495*Narxlar!F495</f>
        <v>649908000</v>
      </c>
      <c r="M516" s="52" t="n">
        <f aca="false">ABS(Daromadlilik!I494)/H516</f>
        <v>1.88517441736203E-011</v>
      </c>
      <c r="N516" s="52" t="n">
        <f aca="false">ABS(Daromadlilik!J494)/I516</f>
        <v>1.13170240236186E-011</v>
      </c>
      <c r="O516" s="52" t="n">
        <f aca="false">ABS(Daromadlilik!K494)/J516</f>
        <v>7.3839234021741E-012</v>
      </c>
      <c r="P516" s="52" t="n">
        <f aca="false">ABS(Daromadlilik!L494)/K516</f>
        <v>1.25205264104123E-011</v>
      </c>
    </row>
    <row r="517" customFormat="false" ht="15" hidden="false" customHeight="false" outlineLevel="0" collapsed="false">
      <c r="G517" s="19" t="n">
        <f aca="false">Daromadlilik!A495</f>
        <v>45985</v>
      </c>
      <c r="H517" s="51" t="n">
        <f aca="false">Hajmlar!B496*Narxlar!C496</f>
        <v>1886232600</v>
      </c>
      <c r="I517" s="51" t="n">
        <f aca="false">Hajmlar!C496*Narxlar!D496</f>
        <v>765747000</v>
      </c>
      <c r="J517" s="51" t="n">
        <f aca="false">Hajmlar!D496*Narxlar!E496</f>
        <v>1294188000</v>
      </c>
      <c r="K517" s="51" t="n">
        <f aca="false">Hajmlar!E496*Narxlar!F496</f>
        <v>572928000</v>
      </c>
      <c r="M517" s="52" t="n">
        <f aca="false">ABS(Daromadlilik!I495)/H517</f>
        <v>3.08173010133924E-012</v>
      </c>
      <c r="N517" s="52" t="n">
        <f aca="false">ABS(Daromadlilik!J495)/I517</f>
        <v>1.12033623250273E-011</v>
      </c>
      <c r="O517" s="52" t="n">
        <f aca="false">ABS(Daromadlilik!K495)/J517</f>
        <v>4.91288649136949E-012</v>
      </c>
      <c r="P517" s="52" t="n">
        <f aca="false">ABS(Daromadlilik!L495)/K517</f>
        <v>1.44655600441096E-011</v>
      </c>
    </row>
    <row r="518" customFormat="false" ht="15" hidden="false" customHeight="false" outlineLevel="0" collapsed="false">
      <c r="G518" s="19" t="n">
        <f aca="false">Daromadlilik!A496</f>
        <v>45986</v>
      </c>
      <c r="H518" s="51" t="n">
        <f aca="false">Hajmlar!B497*Narxlar!C497</f>
        <v>2005096000</v>
      </c>
      <c r="I518" s="51" t="n">
        <f aca="false">Hajmlar!C497*Narxlar!D497</f>
        <v>3102426100</v>
      </c>
      <c r="J518" s="51" t="n">
        <f aca="false">Hajmlar!D497*Narxlar!E497</f>
        <v>574163700</v>
      </c>
      <c r="K518" s="51" t="n">
        <f aca="false">Hajmlar!E497*Narxlar!F497</f>
        <v>891717800</v>
      </c>
      <c r="M518" s="52" t="n">
        <f aca="false">ABS(Daromadlilik!I496)/H518</f>
        <v>1.68767562340343E-013</v>
      </c>
      <c r="N518" s="52" t="n">
        <f aca="false">ABS(Daromadlilik!J496)/I518</f>
        <v>2.2725714565723E-012</v>
      </c>
      <c r="O518" s="52" t="n">
        <f aca="false">ABS(Daromadlilik!K496)/J518</f>
        <v>7.99070624224665E-012</v>
      </c>
      <c r="P518" s="52" t="n">
        <f aca="false">ABS(Daromadlilik!L496)/K518</f>
        <v>2.21715786561882E-011</v>
      </c>
    </row>
    <row r="519" customFormat="false" ht="15" hidden="false" customHeight="false" outlineLevel="0" collapsed="false">
      <c r="G519" s="19" t="n">
        <f aca="false">Daromadlilik!A497</f>
        <v>45987</v>
      </c>
      <c r="H519" s="51" t="n">
        <f aca="false">Hajmlar!B498*Narxlar!C498</f>
        <v>1648056500</v>
      </c>
      <c r="I519" s="51" t="n">
        <f aca="false">Hajmlar!C498*Narxlar!D498</f>
        <v>1179893000</v>
      </c>
      <c r="J519" s="51" t="n">
        <f aca="false">Hajmlar!D498*Narxlar!E498</f>
        <v>1340388000</v>
      </c>
      <c r="K519" s="51" t="n">
        <f aca="false">Hajmlar!E498*Narxlar!F498</f>
        <v>485743500</v>
      </c>
      <c r="M519" s="52" t="n">
        <f aca="false">ABS(Daromadlilik!I497)/H519</f>
        <v>0</v>
      </c>
      <c r="N519" s="52" t="n">
        <f aca="false">ABS(Daromadlilik!J497)/I519</f>
        <v>5.14044247871034E-012</v>
      </c>
      <c r="O519" s="52" t="n">
        <f aca="false">ABS(Daromadlilik!K497)/J519</f>
        <v>2.10823915781261E-012</v>
      </c>
      <c r="P519" s="52" t="n">
        <f aca="false">ABS(Daromadlilik!L497)/K519</f>
        <v>5.06244150810579E-011</v>
      </c>
    </row>
    <row r="520" customFormat="false" ht="15" hidden="false" customHeight="false" outlineLevel="0" collapsed="false">
      <c r="G520" s="19" t="n">
        <f aca="false">Daromadlilik!A498</f>
        <v>45988</v>
      </c>
      <c r="H520" s="51" t="n">
        <f aca="false">Hajmlar!B499*Narxlar!C499</f>
        <v>1373752800</v>
      </c>
      <c r="I520" s="51" t="n">
        <f aca="false">Hajmlar!C499*Narxlar!D499</f>
        <v>1946147200</v>
      </c>
      <c r="J520" s="51" t="n">
        <f aca="false">Hajmlar!D499*Narxlar!E499</f>
        <v>572050000</v>
      </c>
      <c r="K520" s="51" t="n">
        <f aca="false">Hajmlar!E499*Narxlar!F499</f>
        <v>1288595400</v>
      </c>
      <c r="M520" s="52" t="n">
        <f aca="false">ABS(Daromadlilik!I498)/H520</f>
        <v>1.26331819008248E-012</v>
      </c>
      <c r="N520" s="52" t="n">
        <f aca="false">ABS(Daromadlilik!J498)/I520</f>
        <v>1.92996219323519E-012</v>
      </c>
      <c r="O520" s="52" t="n">
        <f aca="false">ABS(Daromadlilik!K498)/J520</f>
        <v>1.0279911748174E-012</v>
      </c>
      <c r="P520" s="52" t="n">
        <f aca="false">ABS(Daromadlilik!L498)/K520</f>
        <v>9.00610497149616E-012</v>
      </c>
    </row>
    <row r="521" customFormat="false" ht="15" hidden="false" customHeight="false" outlineLevel="0" collapsed="false">
      <c r="G521" s="19" t="n">
        <f aca="false">Daromadlilik!A499</f>
        <v>45989</v>
      </c>
      <c r="H521" s="51" t="n">
        <f aca="false">Hajmlar!B500*Narxlar!C500</f>
        <v>2027185200</v>
      </c>
      <c r="I521" s="51" t="n">
        <f aca="false">Hajmlar!C500*Narxlar!D500</f>
        <v>1775673600</v>
      </c>
      <c r="J521" s="51" t="n">
        <f aca="false">Hajmlar!D500*Narxlar!E500</f>
        <v>922406400</v>
      </c>
      <c r="K521" s="51" t="n">
        <f aca="false">Hajmlar!E500*Narxlar!F500</f>
        <v>505121400</v>
      </c>
      <c r="M521" s="52" t="n">
        <f aca="false">ABS(Daromadlilik!I499)/H521</f>
        <v>7.42559339067051E-012</v>
      </c>
      <c r="N521" s="52" t="n">
        <f aca="false">ABS(Daromadlilik!J499)/I521</f>
        <v>2.79052205237118E-012</v>
      </c>
      <c r="O521" s="52" t="n">
        <f aca="false">ABS(Daromadlilik!K499)/J521</f>
        <v>2.80959733781704E-012</v>
      </c>
      <c r="P521" s="52" t="n">
        <f aca="false">ABS(Daromadlilik!L499)/K521</f>
        <v>1.09556979144071E-011</v>
      </c>
    </row>
    <row r="522" customFormat="false" ht="15" hidden="false" customHeight="false" outlineLevel="0" collapsed="false">
      <c r="G522" s="19" t="n">
        <f aca="false">Daromadlilik!A500</f>
        <v>45992</v>
      </c>
      <c r="H522" s="51" t="n">
        <f aca="false">Hajmlar!B501*Narxlar!C501</f>
        <v>1594560000</v>
      </c>
      <c r="I522" s="51" t="n">
        <f aca="false">Hajmlar!C501*Narxlar!D501</f>
        <v>2529048800</v>
      </c>
      <c r="J522" s="51" t="n">
        <f aca="false">Hajmlar!D501*Narxlar!E501</f>
        <v>963021500</v>
      </c>
      <c r="K522" s="51" t="n">
        <f aca="false">Hajmlar!E501*Narxlar!F501</f>
        <v>666797100</v>
      </c>
      <c r="M522" s="52" t="n">
        <f aca="false">ABS(Daromadlilik!I500)/H522</f>
        <v>5.16075334192933E-012</v>
      </c>
      <c r="N522" s="52" t="n">
        <f aca="false">ABS(Daromadlilik!J500)/I522</f>
        <v>3.90344195800987E-012</v>
      </c>
      <c r="O522" s="52" t="n">
        <f aca="false">ABS(Daromadlilik!K500)/J522</f>
        <v>8.17400612251015E-012</v>
      </c>
      <c r="P522" s="52" t="n">
        <f aca="false">ABS(Daromadlilik!L500)/K522</f>
        <v>6.81685983888444E-012</v>
      </c>
    </row>
    <row r="523" customFormat="false" ht="15" hidden="false" customHeight="false" outlineLevel="0" collapsed="false">
      <c r="G523" s="19" t="n">
        <f aca="false">Daromadlilik!A501</f>
        <v>45993</v>
      </c>
      <c r="H523" s="51" t="n">
        <f aca="false">Hajmlar!B502*Narxlar!C502</f>
        <v>1869423000</v>
      </c>
      <c r="I523" s="51" t="n">
        <f aca="false">Hajmlar!C502*Narxlar!D502</f>
        <v>2856399000</v>
      </c>
      <c r="J523" s="51" t="n">
        <f aca="false">Hajmlar!D502*Narxlar!E502</f>
        <v>768929400</v>
      </c>
      <c r="K523" s="51" t="n">
        <f aca="false">Hajmlar!E502*Narxlar!F502</f>
        <v>1020272000</v>
      </c>
      <c r="M523" s="52" t="n">
        <f aca="false">ABS(Daromadlilik!I501)/H523</f>
        <v>5.39720345395159E-012</v>
      </c>
      <c r="N523" s="52" t="n">
        <f aca="false">ABS(Daromadlilik!J501)/I523</f>
        <v>5.12626608823855E-012</v>
      </c>
      <c r="O523" s="52" t="n">
        <f aca="false">ABS(Daromadlilik!K501)/J523</f>
        <v>8.49513492628612E-012</v>
      </c>
      <c r="P523" s="52" t="n">
        <f aca="false">ABS(Daromadlilik!L501)/K523</f>
        <v>2.84461616158864E-011</v>
      </c>
    </row>
    <row r="524" customFormat="false" ht="15" hidden="false" customHeight="false" outlineLevel="0" collapsed="false">
      <c r="G524" s="19" t="n">
        <f aca="false">Daromadlilik!A502</f>
        <v>45994</v>
      </c>
      <c r="H524" s="51" t="n">
        <f aca="false">Hajmlar!B503*Narxlar!C503</f>
        <v>1662763700</v>
      </c>
      <c r="I524" s="51" t="n">
        <f aca="false">Hajmlar!C503*Narxlar!D503</f>
        <v>836969000</v>
      </c>
      <c r="J524" s="51" t="n">
        <f aca="false">Hajmlar!D503*Narxlar!E503</f>
        <v>1195147800</v>
      </c>
      <c r="K524" s="51" t="n">
        <f aca="false">Hajmlar!E503*Narxlar!F503</f>
        <v>1183815900</v>
      </c>
      <c r="M524" s="52" t="n">
        <f aca="false">ABS(Daromadlilik!I502)/H524</f>
        <v>6.74048324824183E-012</v>
      </c>
      <c r="N524" s="52" t="n">
        <f aca="false">ABS(Daromadlilik!J502)/I524</f>
        <v>2.88935899881231E-012</v>
      </c>
      <c r="O524" s="52" t="n">
        <f aca="false">ABS(Daromadlilik!K502)/J524</f>
        <v>2.13745647261774E-012</v>
      </c>
      <c r="P524" s="52" t="n">
        <f aca="false">ABS(Daromadlilik!L502)/K524</f>
        <v>1.43310127364249E-011</v>
      </c>
    </row>
    <row r="525" customFormat="false" ht="15" hidden="false" customHeight="false" outlineLevel="0" collapsed="false">
      <c r="G525" s="19" t="n">
        <f aca="false">Daromadlilik!A503</f>
        <v>45995</v>
      </c>
      <c r="H525" s="51" t="n">
        <f aca="false">Hajmlar!B504*Narxlar!C504</f>
        <v>2830053600</v>
      </c>
      <c r="I525" s="51" t="n">
        <f aca="false">Hajmlar!C504*Narxlar!D504</f>
        <v>1888345600</v>
      </c>
      <c r="J525" s="51" t="n">
        <f aca="false">Hajmlar!D504*Narxlar!E504</f>
        <v>864455800</v>
      </c>
      <c r="K525" s="51" t="n">
        <f aca="false">Hajmlar!E504*Narxlar!F504</f>
        <v>504152000</v>
      </c>
      <c r="M525" s="52" t="n">
        <f aca="false">ABS(Daromadlilik!I503)/H525</f>
        <v>4.58319058507126E-012</v>
      </c>
      <c r="N525" s="52" t="n">
        <f aca="false">ABS(Daromadlilik!J503)/I525</f>
        <v>3.39373318026353E-012</v>
      </c>
      <c r="O525" s="52" t="n">
        <f aca="false">ABS(Daromadlilik!K503)/J525</f>
        <v>4.03159263793645E-012</v>
      </c>
      <c r="P525" s="52" t="n">
        <f aca="false">ABS(Daromadlilik!L503)/K525</f>
        <v>1.0246381665306E-011</v>
      </c>
    </row>
    <row r="526" customFormat="false" ht="15" hidden="false" customHeight="false" outlineLevel="0" collapsed="false">
      <c r="G526" s="19" t="n">
        <f aca="false">Daromadlilik!A504</f>
        <v>45996</v>
      </c>
      <c r="H526" s="51" t="n">
        <f aca="false">Hajmlar!B505*Narxlar!C505</f>
        <v>1082987100</v>
      </c>
      <c r="I526" s="51" t="n">
        <f aca="false">Hajmlar!C505*Narxlar!D505</f>
        <v>654650700</v>
      </c>
      <c r="J526" s="51" t="n">
        <f aca="false">Hajmlar!D505*Narxlar!E505</f>
        <v>1594653300</v>
      </c>
      <c r="K526" s="51" t="n">
        <f aca="false">Hajmlar!E505*Narxlar!F505</f>
        <v>730400000</v>
      </c>
      <c r="M526" s="52" t="n">
        <f aca="false">ABS(Daromadlilik!I504)/H526</f>
        <v>3.28884769265643E-012</v>
      </c>
      <c r="N526" s="52" t="n">
        <f aca="false">ABS(Daromadlilik!J504)/I526</f>
        <v>2.87997265673234E-012</v>
      </c>
      <c r="O526" s="52" t="n">
        <f aca="false">ABS(Daromadlilik!K504)/J526</f>
        <v>5.12934491210432E-012</v>
      </c>
      <c r="P526" s="52" t="n">
        <f aca="false">ABS(Daromadlilik!L504)/K526</f>
        <v>2.04654455584243E-011</v>
      </c>
    </row>
    <row r="527" customFormat="false" ht="15" hidden="false" customHeight="false" outlineLevel="0" collapsed="false">
      <c r="G527" s="19" t="n">
        <f aca="false">Daromadlilik!A505</f>
        <v>45999</v>
      </c>
      <c r="H527" s="51" t="n">
        <f aca="false">Hajmlar!B506*Narxlar!C506</f>
        <v>3243411600</v>
      </c>
      <c r="I527" s="51" t="n">
        <f aca="false">Hajmlar!C506*Narxlar!D506</f>
        <v>1242744400</v>
      </c>
      <c r="J527" s="51" t="n">
        <f aca="false">Hajmlar!D506*Narxlar!E506</f>
        <v>1508009100</v>
      </c>
      <c r="K527" s="51" t="n">
        <f aca="false">Hajmlar!E506*Narxlar!F506</f>
        <v>663027200</v>
      </c>
      <c r="M527" s="52" t="n">
        <f aca="false">ABS(Daromadlilik!I505)/H527</f>
        <v>5.92447902133425E-012</v>
      </c>
      <c r="N527" s="52" t="n">
        <f aca="false">ABS(Daromadlilik!J505)/I527</f>
        <v>1.45685614146758E-011</v>
      </c>
      <c r="O527" s="52" t="n">
        <f aca="false">ABS(Daromadlilik!K505)/J527</f>
        <v>2.34394894257384E-011</v>
      </c>
      <c r="P527" s="52" t="n">
        <f aca="false">ABS(Daromadlilik!L505)/K527</f>
        <v>4.45947988286893E-011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2026-10-27T18:19:42Z</dcterms:created>
  <dc:creator>openpyxl</dc:creator>
  <dc:description/>
  <dc:language>en-US</dc:language>
  <cp:lastModifiedBy/>
  <dcterms:modified xsi:type="dcterms:W3CDTF">2026-10-27T18:19:47Z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