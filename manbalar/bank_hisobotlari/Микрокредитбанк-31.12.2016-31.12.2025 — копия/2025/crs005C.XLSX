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codeName="ЭтаКнига" defaultThemeVersion="124226"/>
  <mc:AlternateContent xmlns:mc="http://schemas.openxmlformats.org/markup-compatibility/2006">
    <mc:Choice Requires="x15">
      <x15ac:absPath xmlns:x15ac="http://schemas.microsoft.com/office/spreadsheetml/2010/11/ac" url="D:\01) BOBURJON\01. Нормативка (т)\01) 01,01,2026\"/>
    </mc:Choice>
  </mc:AlternateContent>
  <xr:revisionPtr revIDLastSave="0" documentId="13_ncr:1_{EA08EE32-C7E4-4DE0-A752-5B07A0BE796F}" xr6:coauthVersionLast="47" xr6:coauthVersionMax="47" xr10:uidLastSave="{00000000-0000-0000-0000-000000000000}"/>
  <bookViews>
    <workbookView xWindow="-120" yWindow="-120" windowWidth="38640" windowHeight="21120" tabRatio="889" activeTab="2" xr2:uid="{00000000-000D-0000-FFFF-FFFF00000000}"/>
  </bookViews>
  <sheets>
    <sheet name="Bank Capital Calc" sheetId="27" r:id="rId1"/>
    <sheet name="Bank Capital Calc (2)" sheetId="41" state="hidden" r:id="rId2"/>
    <sheet name="Calculation of Risk Weighted As" sheetId="5" r:id="rId3"/>
    <sheet name="Calculation of Risk Weighte нац" sheetId="38" r:id="rId4"/>
    <sheet name="Calculation of Risk Weighte ин" sheetId="39" r:id="rId5"/>
    <sheet name="Calculation of Risk" sheetId="23" r:id="rId6"/>
  </sheets>
  <externalReferences>
    <externalReference r:id="rId7"/>
    <externalReference r:id="rId8"/>
    <externalReference r:id="rId9"/>
    <externalReference r:id="rId10"/>
    <externalReference r:id="rId11"/>
    <externalReference r:id="rId12"/>
    <externalReference r:id="rId13"/>
  </externalReferences>
  <definedNames>
    <definedName name="____add21" hidden="1">[1]tab17!#REF!</definedName>
    <definedName name="___add21" hidden="1">[1]tab17!#REF!</definedName>
    <definedName name="__123Graph_A" hidden="1">'[2]tab 19'!#REF!</definedName>
    <definedName name="__123Graph_B" hidden="1">[3]tab17!#REF!</definedName>
    <definedName name="__123Graph_X" hidden="1">[3]tab17!#REF!</definedName>
    <definedName name="__2__123Graph_ACHART_1" hidden="1">[4]A!$C$31:$AJ$31</definedName>
    <definedName name="__4__123Graph_ACHART_2" hidden="1">[4]A!$C$31:$AJ$31</definedName>
    <definedName name="__add21" hidden="1">[1]tab17!#REF!</definedName>
    <definedName name="_10__123Graph_AREALEX_WAGE" hidden="1">'[2]tab 19'!#REF!</definedName>
    <definedName name="_10__123Graph_BCHART_2" hidden="1">[4]A!$C$36:$AJ$36</definedName>
    <definedName name="_10__123Graph_BREALEX_WAGE" hidden="1">#REF!</definedName>
    <definedName name="_11__123Graph_BCHART_1" hidden="1">[4]A!$C$28:$AJ$28</definedName>
    <definedName name="_12__123Graph_BREALEX_WAGE" hidden="1">#REF!</definedName>
    <definedName name="_12__123Graph_CCHART_1" hidden="1">[4]A!$C$24:$AJ$24</definedName>
    <definedName name="_13__123Graph_BCHART_1" hidden="1">[4]A!$C$28:$AJ$28</definedName>
    <definedName name="_14__123Graph_BCHART_2" hidden="1">[4]A!$C$36:$AJ$36</definedName>
    <definedName name="_14__123Graph_CCHART_1" hidden="1">[4]A!$C$24:$AJ$24</definedName>
    <definedName name="_14__123Graph_CCHART_2" hidden="1">[4]A!$C$38:$AJ$38</definedName>
    <definedName name="_16__123Graph_BCHART_2" hidden="1">[4]A!$C$36:$AJ$36</definedName>
    <definedName name="_16__123Graph_BREALEX_WAGE" hidden="1">#REF!</definedName>
    <definedName name="_16__123Graph_CCHART_2" hidden="1">[4]A!$C$38:$AJ$38</definedName>
    <definedName name="_16__123Graph_XCHART_1" hidden="1">[4]A!$C$5:$AJ$5</definedName>
    <definedName name="_18__123Graph_XCHART_1" hidden="1">[4]A!$C$5:$AJ$5</definedName>
    <definedName name="_18__123Graph_XCHART_2" hidden="1">[4]A!$C$39:$AJ$39</definedName>
    <definedName name="_19__123Graph_CCHART_1" hidden="1">[4]A!$C$24:$AJ$24</definedName>
    <definedName name="_19__123Graph_XREALEX_WAGE" hidden="1">#REF!</definedName>
    <definedName name="_2__123Graph_ACHART_1" hidden="1">[4]A!$C$31:$AJ$31</definedName>
    <definedName name="_20__123Graph_BREALEX_WAGE" hidden="1">#REF!</definedName>
    <definedName name="_20__123Graph_XCHART_2" hidden="1">[4]A!$C$39:$AJ$39</definedName>
    <definedName name="_22__123Graph_CCHART_2" hidden="1">[4]A!$C$38:$AJ$38</definedName>
    <definedName name="_22__123Graph_XREALEX_WAGE" hidden="1">#REF!</definedName>
    <definedName name="_23__123Graph_CCHART_1" hidden="1">[4]A!$C$24:$AJ$24</definedName>
    <definedName name="_25__123Graph_XCHART_1" hidden="1">[4]A!$C$5:$AJ$5</definedName>
    <definedName name="_26__123Graph_CCHART_2" hidden="1">[4]A!$C$38:$AJ$38</definedName>
    <definedName name="_28__123Graph_XCHART_2" hidden="1">[4]A!$C$39:$AJ$39</definedName>
    <definedName name="_29__123Graph_XCHART_1" hidden="1">[4]A!$C$5:$AJ$5</definedName>
    <definedName name="_3__123Graph_ACHART_1" hidden="1">[4]A!$C$31:$AJ$31</definedName>
    <definedName name="_30__123Graph_XREALEX_WAGE" hidden="1">#REF!</definedName>
    <definedName name="_32__123Graph_XCHART_2" hidden="1">[4]A!$C$39:$AJ$39</definedName>
    <definedName name="_36__123Graph_XREALEX_WAGE" hidden="1">#REF!</definedName>
    <definedName name="_4__123Graph_ACHART_2" hidden="1">[4]A!$C$31:$AJ$31</definedName>
    <definedName name="_5__123Graph_AREALEX_WAGE" hidden="1">'[2]tab 19'!#REF!</definedName>
    <definedName name="_6__123Graph_ACHART_2" hidden="1">[4]A!$C$31:$AJ$31</definedName>
    <definedName name="_6__123Graph_AREALEX_WAGE" hidden="1">'[5]tab 19'!#REF!</definedName>
    <definedName name="_7__123Graph_BCHART_1" hidden="1">[4]A!$C$28:$AJ$28</definedName>
    <definedName name="_8__123Graph_AREALEX_WAGE" hidden="1">'[2]tab 19'!#REF!</definedName>
    <definedName name="_8__123Graph_BCHART_1" hidden="1">[4]A!$C$28:$AJ$28</definedName>
    <definedName name="_9__123Graph_BCHART_2" hidden="1">[4]A!$C$36:$AJ$36</definedName>
    <definedName name="_add21" hidden="1">[1]tab17!#REF!</definedName>
    <definedName name="_Key1" hidden="1">#REF!</definedName>
    <definedName name="_Key2" hidden="1">#REF!</definedName>
    <definedName name="_Order1" hidden="1">255</definedName>
    <definedName name="_Order2" hidden="1">0</definedName>
    <definedName name="_Parse_Out" hidden="1">#REF!</definedName>
    <definedName name="_Sort" hidden="1">#REF!</definedName>
    <definedName name="jop" localSheetId="1">#REF!</definedName>
    <definedName name="kol" localSheetId="1">#REF!</definedName>
    <definedName name="TwentyLargestData" localSheetId="1">#REF!</definedName>
    <definedName name="wrn.WEO." hidden="1">{"WEO",#N/A,FALSE,"T"}</definedName>
    <definedName name="апв"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ддд" hidden="1">{"MONA",#N/A,FALSE,"S"}</definedName>
    <definedName name="Е" localSheetId="1">#REF!</definedName>
    <definedName name="_xlnm.Print_Area" localSheetId="0">'Bank Capital Calc'!$A$1:$C$57</definedName>
    <definedName name="_xlnm.Print_Area" localSheetId="1">'Bank Capital Calc (2)'!$A$1:$C$55</definedName>
    <definedName name="_xlnm.Print_Area" localSheetId="5">'Calculation of Risk'!$A$1:$C$28</definedName>
    <definedName name="_xlnm.Print_Area" localSheetId="4">'Calculation of Risk Weighte ин'!$A$1:$L$92</definedName>
    <definedName name="_xlnm.Print_Area" localSheetId="3">'Calculation of Risk Weighte нац'!$A$1:$L$92</definedName>
    <definedName name="_xlnm.Print_Area" localSheetId="2">'Calculation of Risk Weighted As'!$A$1:$L$92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72" i="39" l="1"/>
  <c r="K71" i="39"/>
  <c r="J72" i="39"/>
  <c r="J71" i="39"/>
  <c r="D62" i="38" l="1"/>
  <c r="M62" i="38" s="1"/>
  <c r="D62" i="5"/>
  <c r="M62" i="5" s="1"/>
  <c r="C53" i="27"/>
  <c r="F38" i="27"/>
  <c r="N79" i="5"/>
  <c r="N74" i="5"/>
  <c r="N72" i="5"/>
  <c r="N64" i="5"/>
  <c r="N62" i="5"/>
  <c r="N79" i="38"/>
  <c r="N74" i="38"/>
  <c r="N72" i="38"/>
  <c r="N64" i="38"/>
  <c r="N62" i="38"/>
  <c r="N79" i="39"/>
  <c r="N74" i="39"/>
  <c r="N72" i="39"/>
  <c r="N64" i="39"/>
  <c r="M79" i="38"/>
  <c r="M74" i="38"/>
  <c r="M72" i="38"/>
  <c r="M79" i="5"/>
  <c r="M74" i="5"/>
  <c r="M72" i="5"/>
  <c r="O74" i="38" l="1"/>
  <c r="O62" i="5"/>
  <c r="O72" i="5"/>
  <c r="O74" i="5"/>
  <c r="O79" i="5"/>
  <c r="O62" i="38"/>
  <c r="O72" i="38"/>
  <c r="O79" i="38"/>
  <c r="F39" i="27" l="1"/>
  <c r="I50" i="39" l="1"/>
  <c r="K51" i="39"/>
  <c r="K50" i="39"/>
  <c r="J50" i="39"/>
  <c r="K49" i="39"/>
  <c r="J49" i="39"/>
  <c r="K48" i="39"/>
  <c r="J48" i="39"/>
  <c r="I48" i="39"/>
  <c r="H48" i="39"/>
  <c r="H47" i="39"/>
  <c r="J45" i="39" l="1"/>
  <c r="I44" i="39"/>
  <c r="J32" i="39" l="1"/>
  <c r="I32" i="39"/>
  <c r="K33" i="39"/>
  <c r="K32" i="39"/>
  <c r="H31" i="39"/>
  <c r="H30" i="39"/>
  <c r="H29" i="39"/>
  <c r="L57" i="39" l="1"/>
  <c r="K28" i="39"/>
  <c r="K41" i="39"/>
  <c r="K40" i="39"/>
  <c r="K39" i="39"/>
  <c r="K46" i="39"/>
  <c r="K61" i="39"/>
  <c r="K60" i="39"/>
  <c r="K58" i="39"/>
  <c r="K57" i="39"/>
  <c r="K56" i="39"/>
  <c r="K55" i="39"/>
  <c r="L63" i="39"/>
  <c r="K63" i="39"/>
  <c r="J63" i="39"/>
  <c r="J58" i="39"/>
  <c r="J57" i="39"/>
  <c r="D57" i="39"/>
  <c r="L64" i="39" l="1"/>
  <c r="L65" i="39" s="1"/>
  <c r="L64" i="38"/>
  <c r="L65" i="38" s="1"/>
  <c r="L64" i="5"/>
  <c r="L65" i="5" s="1"/>
  <c r="C22" i="27"/>
  <c r="C21" i="27"/>
  <c r="E24" i="27"/>
  <c r="J2" i="39"/>
  <c r="B2" i="39"/>
  <c r="J2" i="38"/>
  <c r="B2" i="38"/>
  <c r="K90" i="5"/>
  <c r="K89" i="5"/>
  <c r="K64" i="5"/>
  <c r="K65" i="5" s="1"/>
  <c r="K90" i="38"/>
  <c r="K89" i="38"/>
  <c r="K64" i="38"/>
  <c r="K65" i="38" s="1"/>
  <c r="K79" i="39"/>
  <c r="K78" i="39"/>
  <c r="K77" i="39"/>
  <c r="K76" i="39"/>
  <c r="K74" i="39"/>
  <c r="D58" i="39" l="1"/>
  <c r="K90" i="39"/>
  <c r="K64" i="39"/>
  <c r="K65" i="39" s="1"/>
  <c r="K89" i="39"/>
  <c r="D60" i="39" l="1"/>
  <c r="F72" i="39" l="1"/>
  <c r="F71" i="39"/>
  <c r="J39" i="39" l="1"/>
  <c r="I39" i="39"/>
  <c r="D46" i="39" l="1"/>
  <c r="D86" i="39"/>
  <c r="E86" i="39"/>
  <c r="D87" i="39"/>
  <c r="E87" i="39"/>
  <c r="D88" i="39"/>
  <c r="E88" i="39"/>
  <c r="I84" i="39"/>
  <c r="I83" i="39"/>
  <c r="I82" i="39"/>
  <c r="G84" i="39"/>
  <c r="G83" i="39"/>
  <c r="G82" i="39"/>
  <c r="E84" i="39"/>
  <c r="D84" i="39"/>
  <c r="E83" i="39"/>
  <c r="D83" i="39"/>
  <c r="E82" i="39"/>
  <c r="D82" i="39"/>
  <c r="E79" i="39"/>
  <c r="D79" i="39"/>
  <c r="E78" i="39"/>
  <c r="D78" i="39"/>
  <c r="E77" i="39"/>
  <c r="D77" i="39"/>
  <c r="E76" i="39"/>
  <c r="D76" i="39"/>
  <c r="G79" i="39"/>
  <c r="G78" i="39"/>
  <c r="G77" i="39"/>
  <c r="G76" i="39"/>
  <c r="I79" i="39"/>
  <c r="I78" i="39"/>
  <c r="I77" i="39"/>
  <c r="I76" i="39"/>
  <c r="J74" i="39"/>
  <c r="I74" i="39"/>
  <c r="I73" i="39"/>
  <c r="I72" i="39"/>
  <c r="H72" i="39"/>
  <c r="I71" i="39"/>
  <c r="H71" i="39"/>
  <c r="G74" i="39"/>
  <c r="G73" i="39"/>
  <c r="G72" i="39"/>
  <c r="G71" i="39"/>
  <c r="E74" i="39"/>
  <c r="D74" i="39"/>
  <c r="M74" i="39" s="1"/>
  <c r="O74" i="39" s="1"/>
  <c r="E73" i="39"/>
  <c r="D73" i="39"/>
  <c r="E72" i="39"/>
  <c r="D72" i="39"/>
  <c r="E71" i="39"/>
  <c r="D71" i="39"/>
  <c r="I63" i="39"/>
  <c r="H63" i="39"/>
  <c r="G63" i="39"/>
  <c r="F63" i="39"/>
  <c r="E63" i="39"/>
  <c r="D63" i="39"/>
  <c r="E60" i="39"/>
  <c r="I60" i="39"/>
  <c r="I59" i="39"/>
  <c r="J56" i="39"/>
  <c r="J55" i="39"/>
  <c r="I54" i="39"/>
  <c r="I53" i="39"/>
  <c r="J46" i="39"/>
  <c r="I46" i="39"/>
  <c r="J43" i="39"/>
  <c r="I42" i="39"/>
  <c r="J41" i="39"/>
  <c r="I41" i="39"/>
  <c r="J40" i="39"/>
  <c r="I40" i="39"/>
  <c r="J38" i="39"/>
  <c r="I38" i="39"/>
  <c r="J37" i="39"/>
  <c r="I37" i="39"/>
  <c r="G38" i="39"/>
  <c r="F38" i="39"/>
  <c r="G37" i="39"/>
  <c r="F37" i="39"/>
  <c r="E36" i="39"/>
  <c r="D36" i="39"/>
  <c r="I35" i="39"/>
  <c r="D28" i="39"/>
  <c r="J28" i="39"/>
  <c r="I28" i="39"/>
  <c r="I27" i="39"/>
  <c r="E25" i="39"/>
  <c r="D26" i="39"/>
  <c r="D25" i="39"/>
  <c r="D24" i="39"/>
  <c r="D23" i="39"/>
  <c r="D20" i="39"/>
  <c r="E20" i="39"/>
  <c r="G20" i="39"/>
  <c r="J20" i="39"/>
  <c r="I20" i="39"/>
  <c r="I19" i="39"/>
  <c r="J18" i="39"/>
  <c r="I18" i="39"/>
  <c r="J17" i="39"/>
  <c r="I17" i="39"/>
  <c r="J16" i="39"/>
  <c r="I16" i="39"/>
  <c r="J15" i="39"/>
  <c r="I15" i="39"/>
  <c r="G18" i="39"/>
  <c r="G17" i="39"/>
  <c r="G16" i="39"/>
  <c r="G15" i="39"/>
  <c r="E18" i="39"/>
  <c r="D18" i="39"/>
  <c r="E17" i="39"/>
  <c r="D17" i="39"/>
  <c r="E16" i="39"/>
  <c r="D16" i="39"/>
  <c r="E15" i="39"/>
  <c r="D15" i="39"/>
  <c r="E14" i="39"/>
  <c r="D14" i="39"/>
  <c r="E13" i="39"/>
  <c r="D13" i="39"/>
  <c r="J11" i="39"/>
  <c r="I11" i="39"/>
  <c r="G11" i="39"/>
  <c r="E11" i="39"/>
  <c r="E10" i="39"/>
  <c r="E9" i="39"/>
  <c r="D10" i="39"/>
  <c r="D59" i="5"/>
  <c r="M72" i="39" l="1"/>
  <c r="O72" i="39" s="1"/>
  <c r="M79" i="39"/>
  <c r="O79" i="39" s="1"/>
  <c r="E89" i="39"/>
  <c r="E90" i="39"/>
  <c r="D89" i="39"/>
  <c r="D90" i="39"/>
  <c r="D62" i="39"/>
  <c r="J89" i="38" l="1"/>
  <c r="D59" i="38"/>
  <c r="D59" i="39" s="1"/>
  <c r="H90" i="39" l="1"/>
  <c r="H89" i="39"/>
  <c r="H90" i="38"/>
  <c r="H89" i="38"/>
  <c r="H90" i="5" l="1"/>
  <c r="H89" i="5"/>
  <c r="I88" i="39" l="1"/>
  <c r="G88" i="39"/>
  <c r="I87" i="39"/>
  <c r="G87" i="39"/>
  <c r="I86" i="39"/>
  <c r="G86" i="39"/>
  <c r="J90" i="39"/>
  <c r="D8" i="39"/>
  <c r="F90" i="39"/>
  <c r="F89" i="39"/>
  <c r="J90" i="38"/>
  <c r="I90" i="38"/>
  <c r="G90" i="38"/>
  <c r="F90" i="38"/>
  <c r="E90" i="38"/>
  <c r="D90" i="38"/>
  <c r="I89" i="38"/>
  <c r="G89" i="38"/>
  <c r="F89" i="38"/>
  <c r="E89" i="38"/>
  <c r="D89" i="38"/>
  <c r="J64" i="38"/>
  <c r="J65" i="38" s="1"/>
  <c r="I64" i="38"/>
  <c r="I65" i="38" s="1"/>
  <c r="H64" i="38"/>
  <c r="H65" i="38" s="1"/>
  <c r="G64" i="38"/>
  <c r="G65" i="38" s="1"/>
  <c r="F64" i="38"/>
  <c r="F65" i="38" s="1"/>
  <c r="E64" i="38"/>
  <c r="E65" i="38" s="1"/>
  <c r="D64" i="38"/>
  <c r="H64" i="5"/>
  <c r="H65" i="5" s="1"/>
  <c r="M64" i="38" l="1"/>
  <c r="O64" i="38" s="1"/>
  <c r="L91" i="38"/>
  <c r="L66" i="38"/>
  <c r="I89" i="39"/>
  <c r="I90" i="39"/>
  <c r="G90" i="39"/>
  <c r="G89" i="39"/>
  <c r="J89" i="39"/>
  <c r="F64" i="39"/>
  <c r="F65" i="39" s="1"/>
  <c r="H64" i="39"/>
  <c r="H65" i="39" s="1"/>
  <c r="E64" i="39"/>
  <c r="E65" i="39" s="1"/>
  <c r="I64" i="39"/>
  <c r="I65" i="39" s="1"/>
  <c r="J64" i="39"/>
  <c r="J65" i="39" s="1"/>
  <c r="G64" i="39"/>
  <c r="G65" i="39" s="1"/>
  <c r="D64" i="39"/>
  <c r="M64" i="39" l="1"/>
  <c r="O64" i="39" s="1"/>
  <c r="L92" i="38"/>
  <c r="L91" i="39"/>
  <c r="L66" i="39"/>
  <c r="L92" i="39" l="1"/>
  <c r="C27" i="27"/>
  <c r="J64" i="5" l="1"/>
  <c r="C54" i="27" l="1"/>
  <c r="C55" i="27"/>
  <c r="J90" i="5"/>
  <c r="J89" i="5"/>
  <c r="I90" i="5"/>
  <c r="G90" i="5"/>
  <c r="F90" i="5"/>
  <c r="E90" i="5" l="1"/>
  <c r="D90" i="5"/>
  <c r="L91" i="5" s="1"/>
  <c r="I89" i="5"/>
  <c r="G89" i="5"/>
  <c r="F89" i="5"/>
  <c r="E89" i="5"/>
  <c r="D89" i="5"/>
  <c r="I64" i="5" l="1"/>
  <c r="G64" i="5"/>
  <c r="F64" i="5"/>
  <c r="E64" i="5"/>
  <c r="D64" i="5"/>
  <c r="M64" i="5" l="1"/>
  <c r="O64" i="5" s="1"/>
  <c r="C7" i="27"/>
  <c r="F65" i="5" l="1"/>
  <c r="J65" i="5"/>
  <c r="G65" i="5"/>
  <c r="E65" i="5"/>
  <c r="I65" i="5" l="1"/>
  <c r="L66" i="5" s="1"/>
  <c r="L92" i="5" s="1"/>
  <c r="C46" i="27" l="1"/>
  <c r="C3" i="23" l="1"/>
  <c r="B2" i="23" s="1"/>
  <c r="D6" i="23" s="1"/>
  <c r="J2" i="5"/>
  <c r="B3" i="23"/>
  <c r="B2" i="5"/>
  <c r="B10" i="23" l="1"/>
  <c r="B15" i="23"/>
  <c r="C28" i="23"/>
  <c r="B5" i="23"/>
  <c r="C52" i="41" l="1"/>
  <c r="C25" i="41"/>
  <c r="C31" i="41" s="1"/>
  <c r="C54" i="41"/>
  <c r="C3" i="41"/>
  <c r="B3" i="41"/>
  <c r="C26" i="23" l="1"/>
  <c r="D26" i="23" l="1"/>
  <c r="C33" i="27"/>
  <c r="C15" i="23" l="1"/>
  <c r="C10" i="23"/>
  <c r="C5" i="23"/>
  <c r="C11" i="27" l="1"/>
  <c r="C18" i="27" l="1"/>
  <c r="E25" i="27" s="1"/>
  <c r="C24" i="27" s="1"/>
  <c r="C53" i="41" l="1"/>
  <c r="C20" i="23"/>
  <c r="C21" i="23" l="1"/>
  <c r="C47" i="27" s="1"/>
  <c r="E46" i="41" l="1"/>
  <c r="C45" i="41"/>
  <c r="C44" i="41"/>
  <c r="D52" i="41"/>
  <c r="C27" i="23"/>
  <c r="C48" i="27" s="1"/>
  <c r="C45" i="27" l="1"/>
  <c r="C46" i="41"/>
  <c r="C43" i="41" s="1"/>
  <c r="C35" i="41" s="1"/>
  <c r="C40" i="41" s="1"/>
  <c r="C37" i="27" l="1"/>
  <c r="C51" i="41"/>
  <c r="C42" i="27" l="1"/>
  <c r="C19" i="27" l="1"/>
  <c r="C56" i="27" s="1"/>
  <c r="C25" i="27" l="1"/>
  <c r="C34" i="27" s="1"/>
  <c r="C49" i="27" l="1"/>
  <c r="C41" i="27"/>
  <c r="C43" i="27" s="1"/>
  <c r="C50" i="27"/>
  <c r="C44" i="27" l="1"/>
  <c r="E34" i="27" l="1"/>
  <c r="C51" i="27"/>
  <c r="C52" i="27" l="1"/>
  <c r="C57" i="27" s="1"/>
</calcChain>
</file>

<file path=xl/sharedStrings.xml><?xml version="1.0" encoding="utf-8"?>
<sst xmlns="http://schemas.openxmlformats.org/spreadsheetml/2006/main" count="872" uniqueCount="330">
  <si>
    <t>Подпись Председателя правления:</t>
  </si>
  <si>
    <t>Подпись Главного Бухгалтера:</t>
  </si>
  <si>
    <t xml:space="preserve">Итого капитала </t>
  </si>
  <si>
    <t>Резерв на девальвацию</t>
  </si>
  <si>
    <t>Инвестиции в капитал других банков</t>
  </si>
  <si>
    <t>Излишки оценочной стоимости прироста над первоначальной стоимостью</t>
  </si>
  <si>
    <t>Субординированный долг</t>
  </si>
  <si>
    <t>Операционный риск</t>
  </si>
  <si>
    <t>Рыночный риск</t>
  </si>
  <si>
    <t>VI</t>
  </si>
  <si>
    <t>VII</t>
  </si>
  <si>
    <t>Доля участия дочерних предприятий (выпущенные дочерними предприятиями и находящиеся во владении третьих лиц инструменты, приравненные к капиталу)</t>
  </si>
  <si>
    <t>Все инвестиции в капитал неконсолидированных хозяйствующих субъектов, в том числе в долговые обязательства, которые образуют капитал хозяйствующих субъектов</t>
  </si>
  <si>
    <t>Резервы, создаваемые на стандартные кредиты (активы), в размере не более 1.25% от общей суммы активов, взвешенных с учетом риска</t>
  </si>
  <si>
    <t>Сумма балансовых и забалансовых активов, взвешенных с учетом риска</t>
  </si>
  <si>
    <t>б.</t>
  </si>
  <si>
    <t>в.</t>
  </si>
  <si>
    <t>Активы для расчета левеража</t>
  </si>
  <si>
    <t>Итого капитала Уровня II</t>
  </si>
  <si>
    <t>СКОРРЕКТИРОВАННЫЙ КАПИТАЛ УРОВНЯ II</t>
  </si>
  <si>
    <t>IX</t>
  </si>
  <si>
    <t>X</t>
  </si>
  <si>
    <t>XI</t>
  </si>
  <si>
    <t xml:space="preserve">Общие активы </t>
  </si>
  <si>
    <t>Коэффициент левеража</t>
  </si>
  <si>
    <t>Характеристики</t>
  </si>
  <si>
    <t>(A)</t>
  </si>
  <si>
    <t>(Б)</t>
  </si>
  <si>
    <t>(В)</t>
  </si>
  <si>
    <t>(Г)</t>
  </si>
  <si>
    <t>I.</t>
  </si>
  <si>
    <t>a</t>
  </si>
  <si>
    <t>Полностью оплаченные обыкновенные акции</t>
  </si>
  <si>
    <t>б</t>
  </si>
  <si>
    <t>Минус: Обратно Выкупленные обыкновенные акции</t>
  </si>
  <si>
    <t>в</t>
  </si>
  <si>
    <t xml:space="preserve">Некумулятивные бессрочные привилегированные акции </t>
  </si>
  <si>
    <t>а</t>
  </si>
  <si>
    <t>Полностью оплаченные привилегированные акции</t>
  </si>
  <si>
    <t>Минус: Обратно Выкупленные привилегированные акции</t>
  </si>
  <si>
    <t xml:space="preserve">Капитальные резервы </t>
  </si>
  <si>
    <t xml:space="preserve">Нераспределенная прибыль </t>
  </si>
  <si>
    <t>г</t>
  </si>
  <si>
    <t xml:space="preserve">Интерес меньшинства в консолидированных дочерних компаниях (согласно МБС) </t>
  </si>
  <si>
    <t>II</t>
  </si>
  <si>
    <t xml:space="preserve">Нематериальные активы </t>
  </si>
  <si>
    <t>III</t>
  </si>
  <si>
    <t>IV</t>
  </si>
  <si>
    <t>КАПИТАЛ УРОВНЯ II</t>
  </si>
  <si>
    <t xml:space="preserve">Вычеты превышения Капитала Уровня II над Капиталом Уровня I </t>
  </si>
  <si>
    <t>V</t>
  </si>
  <si>
    <t>VIII</t>
  </si>
  <si>
    <t>№</t>
  </si>
  <si>
    <t>(Д)</t>
  </si>
  <si>
    <t>(Е)</t>
  </si>
  <si>
    <t>1.</t>
  </si>
  <si>
    <t>а.</t>
  </si>
  <si>
    <t>(Ж)</t>
  </si>
  <si>
    <t>а1</t>
  </si>
  <si>
    <t>а2</t>
  </si>
  <si>
    <t>а3</t>
  </si>
  <si>
    <t>б1</t>
  </si>
  <si>
    <t>б2</t>
  </si>
  <si>
    <t>б3</t>
  </si>
  <si>
    <t>(З)</t>
  </si>
  <si>
    <t>2.</t>
  </si>
  <si>
    <t>3.</t>
  </si>
  <si>
    <t>4.</t>
  </si>
  <si>
    <t>5.</t>
  </si>
  <si>
    <t>6.</t>
  </si>
  <si>
    <t>7.</t>
  </si>
  <si>
    <t>8.</t>
  </si>
  <si>
    <t>9.</t>
  </si>
  <si>
    <t>12.</t>
  </si>
  <si>
    <t>13.</t>
  </si>
  <si>
    <t>14.</t>
  </si>
  <si>
    <t>15.</t>
  </si>
  <si>
    <t>16.</t>
  </si>
  <si>
    <t>17.</t>
  </si>
  <si>
    <t>10.</t>
  </si>
  <si>
    <t>11.</t>
  </si>
  <si>
    <t>Формула</t>
  </si>
  <si>
    <t xml:space="preserve">КАПИТАЛ УРОВНЯ 1 </t>
  </si>
  <si>
    <t>ОСНОВНОЙ КАПИТАЛ УРОВНЯ 1</t>
  </si>
  <si>
    <t>Обыкновенные Акции, чистые</t>
  </si>
  <si>
    <t>Добавленный капитал - Обыкновенные</t>
  </si>
  <si>
    <t>1.1.</t>
  </si>
  <si>
    <t>1.2.</t>
  </si>
  <si>
    <t>1.3.</t>
  </si>
  <si>
    <t>Нераспределенная прибыль (убыток), в том числе капитальные резервы</t>
  </si>
  <si>
    <t xml:space="preserve">Убыток за предыдущие периоды </t>
  </si>
  <si>
    <t xml:space="preserve">Убыток за текущий год </t>
  </si>
  <si>
    <t>1.4.</t>
  </si>
  <si>
    <t>1.5.</t>
  </si>
  <si>
    <t xml:space="preserve">Итого основного капитала уровня I до вычетов </t>
  </si>
  <si>
    <t>Вычеты из суммы основного капитала уровня I</t>
  </si>
  <si>
    <t>I</t>
  </si>
  <si>
    <t>ВСЕГО СКОРРЕКТИРОВАННЫЙ ОСНОВНОЙ КАПИТАЛ УРОВНЯ I</t>
  </si>
  <si>
    <t>ДОБАВЛЕННЫЙ КАПИТАЛ УРОВНЯ 1</t>
  </si>
  <si>
    <t>2.1.</t>
  </si>
  <si>
    <t>2.2.</t>
  </si>
  <si>
    <t xml:space="preserve">Добавленный капитал - Привилегированные </t>
  </si>
  <si>
    <t>2.3.</t>
  </si>
  <si>
    <t>Интерес меньшинства в консолидированных дочерних компаниях</t>
  </si>
  <si>
    <t>2.4.</t>
  </si>
  <si>
    <t>ВСЕГО ДОБАВЛЕННЫЙ КАПИТАЛ УРОВНЯ I</t>
  </si>
  <si>
    <t>ВСЕГО СКОРРЕКТИРОВАННЫЙ КАПИТАЛ УРОВНЯ I</t>
  </si>
  <si>
    <t>3.1.</t>
  </si>
  <si>
    <t>3.2.</t>
  </si>
  <si>
    <t>3.3.</t>
  </si>
  <si>
    <t>3.4.</t>
  </si>
  <si>
    <t>Другие инструменты капитала (не более 1/3 части капитала 1 уровня после вычетов)</t>
  </si>
  <si>
    <t>3.5.</t>
  </si>
  <si>
    <t>3.6.</t>
  </si>
  <si>
    <t xml:space="preserve">ВСЕГО РЕГУЛЯТИВНЫЙ КАПИТАЛ </t>
  </si>
  <si>
    <t>ОБЩАЯ  СУММА АКТИВОВ ВЗВЕШЕННЫХ С УЧЕТОМ РИСКА</t>
  </si>
  <si>
    <t>КОЭФФИЦИЕНТ ОСНОВНОГО КАПИТАЛА УРОВНЯ I (I/VI)</t>
  </si>
  <si>
    <t>КОЭФФИЦИЕНТ КАПИТАЛА УРОВНЯ I (III/VI)</t>
  </si>
  <si>
    <t>КОЭФФИЦИЕНТ ОБЩЕЙ СУММЫ КАПИТАЛА, ОСНОВАННОГО НА РИСКЕ (V/VI)</t>
  </si>
  <si>
    <t>Забалансовые инструменты</t>
  </si>
  <si>
    <t>Деривативные (производные) инструменты</t>
  </si>
  <si>
    <t xml:space="preserve">Минус: Строка 1.6. Итого вычетов из суммы основного капитала Уровня 1 </t>
  </si>
  <si>
    <t>1.6.</t>
  </si>
  <si>
    <t>г.</t>
  </si>
  <si>
    <t>Резервы созданные по стандартным активам</t>
  </si>
  <si>
    <t>Таблица-5</t>
  </si>
  <si>
    <t>РАСЧЕТ РЕГУЛЯТИВНОГО КАПИТАЛА БАНКА</t>
  </si>
  <si>
    <t xml:space="preserve">Прибыль за текущий год </t>
  </si>
  <si>
    <t>д</t>
  </si>
  <si>
    <t>БАНКНИНГ РЕГУЛЯТИВ КАПИТАЛИ ҲИСОБ-КИТОБИ</t>
  </si>
  <si>
    <t>5-жадвал</t>
  </si>
  <si>
    <t>Кўрсаткичлар</t>
  </si>
  <si>
    <t>I ДАРАЖАЛИ КАПИТАЛ</t>
  </si>
  <si>
    <t>I ДАРАЖАЛИ АСОСИЙ КАПИТАЛ</t>
  </si>
  <si>
    <t>Оддий акциялар, нетто</t>
  </si>
  <si>
    <t>Тўлиқ тўланган оддий акциялар</t>
  </si>
  <si>
    <t>Минус: Қайта сотиб олинган оддий акциялар</t>
  </si>
  <si>
    <t>Қўшимча капитал (оддий)</t>
  </si>
  <si>
    <t>Тақсимланмаган фойда (зарар), шу жумладан капитал захиралар</t>
  </si>
  <si>
    <t>Капитал ва бошқа захиралар</t>
  </si>
  <si>
    <t>Тақсимланмаган фойда</t>
  </si>
  <si>
    <t>Ўтган даврлар (йиллар) учун зарарлар</t>
  </si>
  <si>
    <t>Жорий йил учун зарар</t>
  </si>
  <si>
    <t>Озчилик улуш эгаларининг банк йиғма балансига бирлашадиган корхоналардаги улушлари</t>
  </si>
  <si>
    <t>Девальвация захираси</t>
  </si>
  <si>
    <t>Чегирмалар ҳисоблангунга қадар жами I даражали асосий капитал</t>
  </si>
  <si>
    <t>1.7.</t>
  </si>
  <si>
    <t>I даражали асосий капиталдан чегирмалар</t>
  </si>
  <si>
    <t>Номоддий активлар (бундан банкнинг дастурий таъминотлари мустасно)</t>
  </si>
  <si>
    <t>Банк томонидан муаммоли активлар бўйича қўшимча шакллантирилиши лозим бўлган захиралар</t>
  </si>
  <si>
    <t>Банкка алоқадор бир ёки барча шахслар учун таваккалчиликнинг белгиланган энг кўп миқдоридан ортиқ қиймати</t>
  </si>
  <si>
    <t>I ДАРАЖАЛИ ҚЎШИМЧА КАПИТАЛ</t>
  </si>
  <si>
    <t>Нокумулятив муддатсиз имтиёзли акциялар</t>
  </si>
  <si>
    <t>Тўлиқ тўланган имтиёзли акциялар</t>
  </si>
  <si>
    <t>Минус: Қайтиб сотиб олинган имтиёзли акциялар</t>
  </si>
  <si>
    <t>Қўшилган капитал (имтиёзли)</t>
  </si>
  <si>
    <t>Шўъба корхоналарнинг улушлари (шўъба корхоналар томонидан чиқарилган ва капиталга тенглаштирилган учинчи шахслар эгалик қиладиган воситалар)</t>
  </si>
  <si>
    <t>ЖАМИ I ДАРАЖАЛИ ҚЎШИМЧА КАПИТАЛ</t>
  </si>
  <si>
    <t>ЖАМИ ТЎҒРИЛАНГАН I ДАРАЖАЛИ КАПИТАЛ</t>
  </si>
  <si>
    <t>II ДАРАЖАЛИ КАПИТАЛ</t>
  </si>
  <si>
    <t>Жорий йил соф фойдаси</t>
  </si>
  <si>
    <t>Стандарт активларга яратилган захиралар</t>
  </si>
  <si>
    <t>Чегирмалардан сўнг I даражали капиталнинг учдан бир қисмидан ошмаган миқдорда аралаш турдаги мажбуриятлар</t>
  </si>
  <si>
    <t>Субординар қарз</t>
  </si>
  <si>
    <t>Активларнинг бошланғич қийматига нисбатан баҳолаш қийматининг ошган суммасининг 45 фоизи миқдори</t>
  </si>
  <si>
    <t>II даражали капиталнинг I даражали капиталдан ортиқча қисми (чегирмаси)</t>
  </si>
  <si>
    <t>Жами II даражали капитал</t>
  </si>
  <si>
    <t>ЧЕГИРМАЛАРНИ ҲИСОБГА ОЛГАН ҲОЛДАГИ II ДАРАЖАЛИ КАПИТАЛ</t>
  </si>
  <si>
    <t>ЖАМИ РЕГУЛЯТИВ КАПИТАЛ</t>
  </si>
  <si>
    <t>ТАВАККАЛЧИЛИККА ТОРТИЛГАН АКТИВЛАР УМУМИЙ СУММАСИ</t>
  </si>
  <si>
    <t>Баланс ва балансдан ташқари активларнинг таваккалчиликни ҳисобга олган ҳолдаги активларнинг умумий суммаси</t>
  </si>
  <si>
    <t xml:space="preserve">Операцион таваккалчилик </t>
  </si>
  <si>
    <t>Бозор таваккалчилиги</t>
  </si>
  <si>
    <t>I ДАРАЖАЛИ АСОСИЙ КАПИТАЛНИНГ МОНАНДЛИК КОЭФФИЦИЕНТИ (I/VI)</t>
  </si>
  <si>
    <t>I ДАРАЖАЛИ КАПИТАЛНИНГ МОНАНДЛИК КОЭФФИЦИЕНТИ (III/VI)</t>
  </si>
  <si>
    <t>РЕГУЛЯТИВ КАПИТАЛНИНГ МОНАНДЛИК КОЭФФИЦИЕНТИ (V/VI)</t>
  </si>
  <si>
    <t>Левераж ҳисоб-китоби учун активлар</t>
  </si>
  <si>
    <t xml:space="preserve">Жами активлар </t>
  </si>
  <si>
    <t>Балансдан ташқари активлар</t>
  </si>
  <si>
    <t xml:space="preserve">Ҳосилавий (дереватив) воситалар </t>
  </si>
  <si>
    <t>Левераж коэффициенти</t>
  </si>
  <si>
    <t>6-жадвал</t>
  </si>
  <si>
    <t>ТАВАККАЛЧИЛИКНИ ҲИСОБГА ОЛГАН ҲОЛДАГИ АКТИВЛАР</t>
  </si>
  <si>
    <t>Таваккалчилик</t>
  </si>
  <si>
    <t>I гуруҳ</t>
  </si>
  <si>
    <t xml:space="preserve">II гуруҳ </t>
  </si>
  <si>
    <t xml:space="preserve">III гуруҳ </t>
  </si>
  <si>
    <t xml:space="preserve">IV гуруҳ </t>
  </si>
  <si>
    <t xml:space="preserve">V гуруҳ </t>
  </si>
  <si>
    <t xml:space="preserve">VI гуруҳ </t>
  </si>
  <si>
    <t xml:space="preserve">VII гуруҳ </t>
  </si>
  <si>
    <t>I. БАЛАНС АКТИВЛАРИ</t>
  </si>
  <si>
    <t>Кассадаги нақд пул ва бошқа тўлов ҳужжатлари ва қимматбаҳо металлар</t>
  </si>
  <si>
    <t>Йўлдаги нақд пуллар ва бошқа тўлов ҳужжатлари</t>
  </si>
  <si>
    <t>Банкнинг Марказий банкдаги маблағлар</t>
  </si>
  <si>
    <t>Қимматли қоғозлар (соф)</t>
  </si>
  <si>
    <t>Ўзбекистон Республикаси Ҳукумати ва Марказий банки томонидан чиқарилган қимматли қоғозлар</t>
  </si>
  <si>
    <t>Хорижий давлатларининг ҳукуматлари ва марказий банклари томонидан чиқарилган қимматли қоғозлар, шунингдек ушбу мамлакатларнинг марказий банклари ва ҳукуматларига нисбатан бошқа талаблар</t>
  </si>
  <si>
    <t>Ўзбекистон Республикаси ҳудудида чиқарилган бошқа қимматли қоғозлар</t>
  </si>
  <si>
    <t>Миллий валютага деноминация қилинмаган ва миллий валютада молиялаштириш суммасидан ошиб кетган активлар</t>
  </si>
  <si>
    <t>Хорижий давлатларнинг давлат секторлари (ҳукуматлар ва марказий банклар бундан мустасно) ва хорижий компаниялар бўйича банк талаблари, шунингдек уларнинг қимматли қоғозлари билан таъминланган ёки кафолатланган активлар (кредитлар ва қимматли қоғозлар бундан мустасно)</t>
  </si>
  <si>
    <t>Кредит ва лизинглар, соф</t>
  </si>
  <si>
    <t>Ўзбекистон Республикаси ҳукумати ва Марказий банкига тўғридан-тўғри берилган кредитлар</t>
  </si>
  <si>
    <t>Дастлабки гаров ҳуқуқи банкка тегишли бўлмаган кредитлар</t>
  </si>
  <si>
    <t>е</t>
  </si>
  <si>
    <t>ж</t>
  </si>
  <si>
    <t>з</t>
  </si>
  <si>
    <t>и</t>
  </si>
  <si>
    <t>Банкнинг асосий воситалари ва бошқа хусусий мол-мулклари</t>
  </si>
  <si>
    <t>Банк фаолиятидаги фойдаланиладиган асосий воситалар (амортизацияни чегирган ҳолда)</t>
  </si>
  <si>
    <t>Банкнинг бошқа хусусий мулклари</t>
  </si>
  <si>
    <t>Қарздорликни тўлиқ ёки қисман ундириш мақсадида банк балансига қабул қилинган кўчмас мулк</t>
  </si>
  <si>
    <t>Икки йилдан ортиқ вақт мобайнида банк фойдаланмаётган банкнинг кўчмас мулки</t>
  </si>
  <si>
    <t>Номоддий активлар, соф</t>
  </si>
  <si>
    <t>Бошқа активлар, соф</t>
  </si>
  <si>
    <t>Баланс активларининг умумий миқдори</t>
  </si>
  <si>
    <t>Таваккалчилик гурухларига асосан рискка (таваккалчиликка) тортилган активларининг умумий миқдори</t>
  </si>
  <si>
    <t>Кредитни қайта ҳисоблаш  омили</t>
  </si>
  <si>
    <t>Таваккалчилик қиймати</t>
  </si>
  <si>
    <t>II. БАЛАНСДАН ТАШҚАРИ АКТИВЛАР</t>
  </si>
  <si>
    <t>Банкнинг кредит ва лизинг бериш мажбурияти</t>
  </si>
  <si>
    <t>Бир йилдан ортиқ муддатга</t>
  </si>
  <si>
    <t>Бир йил ёки ундан кам муддатга</t>
  </si>
  <si>
    <t>Кафолат ва кафилликлар</t>
  </si>
  <si>
    <t>Тўғридан-тўғри кредит ўрнини босувчи воситалар</t>
  </si>
  <si>
    <t>Битимлар билан боғлиқ аккредитивлар</t>
  </si>
  <si>
    <t>Савдога тегишли аккредитивлар</t>
  </si>
  <si>
    <t>Бошқа аккредитивлар</t>
  </si>
  <si>
    <t>Фоиз ставкалари бўйича шартномалар</t>
  </si>
  <si>
    <t>Бир йил муддатгача</t>
  </si>
  <si>
    <t>Бир йилдан икки йил муддатгача</t>
  </si>
  <si>
    <t>Икки йилдан уч йил муддатгача</t>
  </si>
  <si>
    <t>Валюта шартномалари ва олтин</t>
  </si>
  <si>
    <t>Бир йилгача бўлган муддатда қайтариш</t>
  </si>
  <si>
    <t>Бир йилдан икки йилгача бўлган муддатда қайтариш</t>
  </si>
  <si>
    <t>Икки йилдан уч йилгача бўлган муддатда қайтариш</t>
  </si>
  <si>
    <t>Балансдан ташқари активларнинг умумий миқдори</t>
  </si>
  <si>
    <t>Жами балансдан ташқари активларнинг таваккалчиликка тортилган қиймати</t>
  </si>
  <si>
    <t>Жами активларнинг таваккалчиликка тортилган қиймати</t>
  </si>
  <si>
    <t>6.2-жадвал</t>
  </si>
  <si>
    <t>6.1-жадвал</t>
  </si>
  <si>
    <t>6а-жадвал</t>
  </si>
  <si>
    <t>ОПЕРАЦИОН ВА БОЗОР ТАВАККАЛЧИЛИКЛАРИ ҲИСОБ-КИТОБИ</t>
  </si>
  <si>
    <t>Кўрсаткичлар номи</t>
  </si>
  <si>
    <t>фоизли даромад</t>
  </si>
  <si>
    <t>фоизли харажат</t>
  </si>
  <si>
    <t xml:space="preserve">фоизсиз даромад </t>
  </si>
  <si>
    <t>фоизсиз харажат</t>
  </si>
  <si>
    <t xml:space="preserve">фоизли даромад </t>
  </si>
  <si>
    <t xml:space="preserve">Банкнинг ўртача ялпи даромади 
(оҳирги уч йил давомида) </t>
  </si>
  <si>
    <t>Операцион таваккалчиликлар қиймати</t>
  </si>
  <si>
    <t>Валюта позицияси ҳисобварақлари</t>
  </si>
  <si>
    <t>Очиқ валюта позицияси, жами</t>
  </si>
  <si>
    <t>Бозор таваккалчилиги суммаси</t>
  </si>
  <si>
    <t>Капитал монандлигига бўлган амалдаги минимал талаб</t>
  </si>
  <si>
    <t>минг сўмда</t>
  </si>
  <si>
    <t>Форвард шартномалар, спот, своплар, опционлар ва шунга ўхшаш мажбуриятлар</t>
  </si>
  <si>
    <t>Бошқарув Раис имзоси:</t>
  </si>
  <si>
    <t>Бош бухгалтер имзоси:</t>
  </si>
  <si>
    <t>Кўзда тутилмаган ҳолатлар бўйича талаблар</t>
  </si>
  <si>
    <t>Кўзда тутилмаган ҳолатлар бўйича мажбуриятлар</t>
  </si>
  <si>
    <t>Бошқа банкларга жойлаштирилган пул маблағлари, жумладан вакиллик ҳисобварақлари, депозитлар ва кредитлар</t>
  </si>
  <si>
    <t>Ипотекани қайта молиялаштириш ташкилотлари томонидан чиқарилган қимматли қоғозлар</t>
  </si>
  <si>
    <t>18.</t>
  </si>
  <si>
    <t>Молиявий инструментлар бўйича мижозларнинг мажбуриятлари, соф</t>
  </si>
  <si>
    <t>к</t>
  </si>
  <si>
    <t>л</t>
  </si>
  <si>
    <t>м</t>
  </si>
  <si>
    <t>Стандарт деб таснифланган активлар бўйича яратилган захиралар</t>
  </si>
  <si>
    <t>19.</t>
  </si>
  <si>
    <t>Минус: 1.7-қатор. Жами I даражали асосий капиталдан чегирмалар</t>
  </si>
  <si>
    <t>сўм қисми</t>
  </si>
  <si>
    <t>чет эл валютасидаги қолдиқларининг эквиваленти</t>
  </si>
  <si>
    <t>н</t>
  </si>
  <si>
    <t>Ўзбекистон Республикаси ҳудудидан ташқарида чиқарилган бошқа қимматли қоғозлар</t>
  </si>
  <si>
    <t>Кредитларнинг депозит билан таъминланган қисми</t>
  </si>
  <si>
    <t xml:space="preserve">VIII гуруҳ </t>
  </si>
  <si>
    <t>(И)</t>
  </si>
  <si>
    <t>Жорий бозор қийматида баҳоланган ва ЎзР Ҳукумати, ЎзР Марказий банки томонидан эмиссия қилинган ёки кафолатланган қимматли қоғозлар кўринишидаги гаров билан таъминланган ёки кафолатланган кредитлар, уларнинг қисмлари</t>
  </si>
  <si>
    <t>Юридик шахсларга ажратилган бошқа барча кредит, лизинг ва кўрсатилган факторинг хизматлари</t>
  </si>
  <si>
    <t>Молиявий бўлган фаолият билан шуғулланувчи хўжалик юритувчи субъектларнинг капиталига қилинган барча инвестициялар, соф</t>
  </si>
  <si>
    <t>Молиявий бўлмаган фаолият билан шуғулланувчи хўжалик юритувчи субъектларнинг капиталига қилинган барча инвестициялар, соф</t>
  </si>
  <si>
    <t>Бошқа муаммоли активлар</t>
  </si>
  <si>
    <t>Баланс активларининг таваккалчиликка тортилган умумий миқдори</t>
  </si>
  <si>
    <t>Қимматли қоғозларни сотиб олиш бўйича муддатли битимлар (шу жумладан, қайта сотиб олиш шартномалари бўйича сотилган активлар)</t>
  </si>
  <si>
    <t>Aккредитивлар</t>
  </si>
  <si>
    <t>РЕПО битимлари бўйича сотиб олинган қимматли қоғозлар</t>
  </si>
  <si>
    <t xml:space="preserve">92503, 92705, 92716, 92717, 92728, 92732 </t>
  </si>
  <si>
    <t>92501, 92701, 92709, 92710, 92724, 92736</t>
  </si>
  <si>
    <t>8.1.</t>
  </si>
  <si>
    <t>Қайта тикланадиган энергия манбалари учун ажратилган кредитлар</t>
  </si>
  <si>
    <t>8.2.</t>
  </si>
  <si>
    <t>Жисмоний шахсларга ажратилган кредитлар, соф</t>
  </si>
  <si>
    <t>2024 йил 1 июлга қадар ажратилган ипотека кредитлари</t>
  </si>
  <si>
    <t>2024 йил 1 июлдан бошлаб ажратилган ипотека кредитлари</t>
  </si>
  <si>
    <t>2023 йил 20 августга қадар автомобиль сотиб олиш учун ажратилган кредитлар</t>
  </si>
  <si>
    <t>Кредитларнинг (микроқарзларнинг) депозит билан таъминланган қисми</t>
  </si>
  <si>
    <t>Жисмоний шахсларга ажратилган юқорида кўрсатилмаган бошқа барча кредитлар</t>
  </si>
  <si>
    <t>Халқаро молия институтларига берилган кредитлар, халқаро молия ташкилотларининг қимматли қоғозлари билан таъминланган ёки улар томонидан кафолатланган кредитлар</t>
  </si>
  <si>
    <t>Юридик шахсларнинг муаммоли кредит ва лизинглари, соф</t>
  </si>
  <si>
    <t>Жисмоний шахсларнинг муаммоли кредитлари, соф</t>
  </si>
  <si>
    <t>п</t>
  </si>
  <si>
    <t>2025 йил 1 январдан бошлаб қарз юки 50 фоиз ва ундан паст ҳолда жисмоний шахсларга ажратилган кредитлар (микроқарзлар) (автокредит, ипотека, оилавий тадбиркорликни ривожлантириш ва таълим дастурлари кредитлари мустасно)</t>
  </si>
  <si>
    <t>2025 йил 1 январдан бошлаб қарз юки 50 фоиздан юқори бўлган ёки қарз юки аниқлаш имкони бўлмаган жисмоний шахсларга берилган кредитлар (микроқарзлар) (автокредит, ипотека, оилавий тадбиркорликни ривожлантириш ва таълим дастурлари кредитлари мустасно)</t>
  </si>
  <si>
    <t>MKBANK</t>
  </si>
  <si>
    <t xml:space="preserve">Юридик шахсларга ажратилган кредит ва лизинглар, соф </t>
  </si>
  <si>
    <t>2023 йил 20 августдан бошлаб 2024 йил 1 июлга қадар жисмоний шахсларга автомобиль сотиб олиш учун ажратилган кредитлар</t>
  </si>
  <si>
    <t>2024 йил 1 июлдан бошлаб жисмоний шахсларга автомобиль сотиб олиш учун ажратилган кредитлар</t>
  </si>
  <si>
    <t>2024 йил 1 июлдан бошлаб 2025 йил 1 январга қадар қарз юки 60 фоиз ва ундан паст ҳолда жисмоний шахсларга ажратилган кредитлар (микроқарзлар) (автокредит, ипотека, оилавий тадбиркорликни ривожлантириш ва таълим дастурлари кредитлари мустасно)</t>
  </si>
  <si>
    <t>2024 йил 1 июлдан бошлаб 2025 йил 1 январга қадар қарз юки 60 фоиздан юқори бўлган ёки қарз юки аниқлаш имкони бўлмаган жисмоний шахсларга берилган кредитлар (микроқарзлар) (автокредит, ипотека, оилавий тадбиркорликни ривожлантириш ва таълим дастурлари кредитлари мустасно)</t>
  </si>
  <si>
    <t>№2</t>
  </si>
  <si>
    <r>
      <t xml:space="preserve">бирлашмаган </t>
    </r>
    <r>
      <rPr>
        <u/>
        <sz val="8"/>
        <rFont val="Times New Roman Cyr"/>
        <family val="1"/>
        <charset val="204"/>
      </rPr>
      <t>молиявий бўлмаган битта ташкилот</t>
    </r>
    <r>
      <rPr>
        <sz val="8"/>
        <rFont val="Times New Roman Cyr"/>
        <family val="1"/>
        <charset val="204"/>
      </rPr>
      <t xml:space="preserve"> устав фондидаги (устав капиталидаги) улушлар ва (ёки) акцияларга инвестицияларнинг банк I даражали асосий капиталининг 15 фоизидан ошган қисми</t>
    </r>
  </si>
  <si>
    <r>
      <t xml:space="preserve">бирлашмаган </t>
    </r>
    <r>
      <rPr>
        <u/>
        <sz val="8"/>
        <rFont val="Times New Roman Cyr"/>
        <family val="1"/>
        <charset val="204"/>
      </rPr>
      <t>молиявий бўлмаган барча ташкилотлар</t>
    </r>
    <r>
      <rPr>
        <sz val="8"/>
        <rFont val="Times New Roman Cyr"/>
        <family val="1"/>
        <charset val="204"/>
      </rPr>
      <t xml:space="preserve"> устав фондидаги (устав капиталидаги) улушлар ва (ёки) акцияларга инвестициялар йиғиндисининг (бунда инвестициянинг мазкур банднинг «д»- кичик банди иккинчи хатбошисига кўра чегирилган қисми ҳисобга олинмайди) банк I даражали асосий капиталининг 50 фоизидан ошган қисми</t>
    </r>
  </si>
  <si>
    <r>
      <t xml:space="preserve">бирлашмаган </t>
    </r>
    <r>
      <rPr>
        <u/>
        <sz val="8"/>
        <rFont val="Times New Roman Cyr"/>
        <family val="1"/>
        <charset val="204"/>
      </rPr>
      <t>молиявий ташкилот</t>
    </r>
    <r>
      <rPr>
        <sz val="8"/>
        <rFont val="Times New Roman Cyr"/>
        <family val="1"/>
        <charset val="204"/>
      </rPr>
      <t xml:space="preserve"> устав фондидаги (устав капиталидаги) улушлар ва (ёки) акцияларга инвестициялар натижасида банкнинг ушбу ташкилотдаги улуши 10 фоиздан ошмаган бўлса, бундай ташкилотларга жами инвестициялар йиғиндисининг банк I даражали асосий капиталининг 10 фоизидан ошган қисми</t>
    </r>
  </si>
  <si>
    <r>
      <t xml:space="preserve">бирлашмаган </t>
    </r>
    <r>
      <rPr>
        <u/>
        <sz val="8"/>
        <rFont val="Times New Roman Cyr"/>
        <family val="1"/>
        <charset val="204"/>
      </rPr>
      <t>молиявий ташкилот</t>
    </r>
    <r>
      <rPr>
        <sz val="8"/>
        <rFont val="Times New Roman Cyr"/>
        <family val="1"/>
        <charset val="204"/>
      </rPr>
      <t xml:space="preserve"> устав фондидаги (устав капиталидаги) улушлар ва (ёки) акцияларга инвестициялар натижасида банкнинг ушбу ташкилотдаги улуши 10 фоиздан ошган бўлса, бундай ташкилотларга жами инвестициялар йиғиндисининг банк I даражали асосий капиталининг 10 фоизидан ошган қисми </t>
    </r>
  </si>
  <si>
    <t xml:space="preserve">Бирлашмаган молиявий бўлмаган ташкилотлар капиталига қилинган инвестициялар </t>
  </si>
  <si>
    <t xml:space="preserve">Бирлашмаган молиявий бўлган ташкилотлар капиталига қилинган инвестициялар </t>
  </si>
  <si>
    <t xml:space="preserve">IX гуруҳ </t>
  </si>
  <si>
    <t>(K)</t>
  </si>
  <si>
    <t>МИЛЛИЙ ВАЛЮТАДА ТАВАККАЛЧИЛИКНИ ҲИСОБГА ОЛГАН ҲОЛДАГИ АКТИВЛАР</t>
  </si>
  <si>
    <t>ХОРИЖИЙ ВАЛЮТАДА ТАВАККАЛЧИЛИКНИ ҲИСОБГА ОЛГАН ҲОЛДАГИ АКТИВЛАР</t>
  </si>
  <si>
    <t>2024 йил 1 апрелдан бошлаб 2025 йил 1 июнга қадар доимий даромадга эга бўлган, шунингдек камида олти ой давомида банк ҳисобварағида, шу жумладан банк картасида маблағлар айланмасига эга бўлган кичик тадбиркорлик субъектларига микромолиялаштириш фаолияти доирасида кўрсатилган хизматлар (оилавий тадбиркорликни ривожлантириш дастурлари доирасида ажратилган кредитлар мустасно)</t>
  </si>
  <si>
    <t>2024 йил 1 апрелдан бошлаб 2025 йил 1 июнга қадар мазкур жадвалнинг 8.1.ж-қаторида қайд этилган хизматларни кўрсатиш мақсадида микромолия ташкилотларига ажратилган кредитлар</t>
  </si>
  <si>
    <t>2025 йил 1 июндан бошлаб кичик тадбиркорлик субъектларига ажратилган жами қолдиқ суммаси банк регулятив капиталининг 0,2 фоизидан ошмаган, бироқ энг кўпи билан 15 млрд. сўмгача кредитлар (оилавий тадбиркорликни ривожлантириш дастурлари доирасида ажратилган кредитлар мустасно)</t>
  </si>
  <si>
    <t>2024 йил 1 апрелдан бошлаб 2025 йил 1 июнга қадар доимий даромадга эга бўлган, шунингдек камида олти ой давомида банк ҳисобварағида, шу жумладан банк картасида маблағлар айланмасига эга бўлган ўзини ўзи банд қилган шахсларга микромолиялаштириш фаолияти доирасида кўрсатилган хизматлар (оилавий тадбиркорликни ривожлантириш дастурлари доирасида ажратилган кредитлар мустасно)</t>
  </si>
  <si>
    <t xml:space="preserve">2025 йил 1 июндан бошлаб доимий даромадга эга бўлган ёки камида охирги узлуксиз олти ой давомида ҳар ой банк ҳисобварағида, шу жумладан банк картасида маблағлар айланмасига эга бўлган ўзини ўзи банд қилган шахсларга ажратилган кредитлар </t>
  </si>
  <si>
    <t>р</t>
  </si>
  <si>
    <t>с</t>
  </si>
  <si>
    <t>2025 йил 1 июндан бошлаб доимий даромадга эга бўлмаган ёки охирги узлуксиз олти ой давомида ҳар ой банк ҳисобварағида, шу жумладан банк картасида маблағлар айланмасига эга бўлмаган ёки қарз йуки кўрсаткичи 50 фоиздан ошган ёхуд мазкур кўрсаткични аниқлаш имкони бўлмаган ўзини ўзи банд қилган шахсларга ажратилган кредитлар</t>
  </si>
  <si>
    <t>о</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</si>
</sst>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0">
    <numFmt numFmtId="164" formatCode="#,##0&quot;р.&quot;;[Red]\-#,##0&quot;р.&quot;"/>
    <numFmt numFmtId="165" formatCode="_-* #,##0_р_._-;\-* #,##0_р_._-;_-* &quot;-&quot;_р_._-;_-@_-"/>
    <numFmt numFmtId="166" formatCode="_-* #,##0.00_р_._-;\-* #,##0.00_р_._-;_-* &quot;-&quot;??_р_._-;_-@_-"/>
    <numFmt numFmtId="167" formatCode="_-* #,##0_р_._-;\-* #,##0_р_._-;_-* &quot;-&quot;??_р_._-;_-@_-"/>
    <numFmt numFmtId="168" formatCode="[$-F800]dddd\,\ mmmm\ dd\,\ yyyy"/>
    <numFmt numFmtId="169" formatCode="0.0%"/>
    <numFmt numFmtId="170" formatCode="#,##0_ ;\-#,##0\ "/>
    <numFmt numFmtId="171" formatCode="#,##0.0"/>
    <numFmt numFmtId="172" formatCode="\$#.00"/>
    <numFmt numFmtId="173" formatCode="#"/>
    <numFmt numFmtId="174" formatCode="%#.00"/>
    <numFmt numFmtId="175" formatCode="#.00"/>
    <numFmt numFmtId="176" formatCode="_(* #,##0.00_);_(* \(#,##0.00\);_(* &quot;-&quot;??_);_(@_)"/>
    <numFmt numFmtId="177" formatCode="#,##0&quot; &quot;;\-#,##0&quot; &quot;"/>
    <numFmt numFmtId="178" formatCode="_-* #,##0.00_ _-;\-* #,##0.00_ _-;_-* &quot;-&quot;??_ _-;_-@_-"/>
    <numFmt numFmtId="179" formatCode="#&quot; &quot;##0&quot; &quot;;\-#&quot; &quot;##0&quot; &quot;"/>
    <numFmt numFmtId="180" formatCode="_-* #,##0.00\ _с_ў_м_-;\-* #,##0.00\ _с_ў_м_-;_-* &quot;-&quot;??\ _с_ў_м_-;_-@_-"/>
    <numFmt numFmtId="181" formatCode="&quot;   &quot;@"/>
    <numFmt numFmtId="182" formatCode="&quot;      &quot;@"/>
    <numFmt numFmtId="183" formatCode="&quot;            &quot;@"/>
    <numFmt numFmtId="184" formatCode="_-* #,##0.00\ &quot;сум&quot;_-;\-* #,##0.00\ &quot;сум&quot;_-;_-* &quot;-&quot;??\ &quot;сум&quot;_-;_-@_-"/>
    <numFmt numFmtId="185" formatCode="&quot;$&quot;#,##0\ ;\(&quot;$&quot;#,##0\)"/>
    <numFmt numFmtId="186" formatCode="_([$€-2]* #,##0.00_);_([$€-2]* \(#,##0.00\);_([$€-2]* &quot;-&quot;??_)"/>
    <numFmt numFmtId="187" formatCode="General_)"/>
    <numFmt numFmtId="188" formatCode="_(* #,##0_);_(* \(#,##0\);_(* &quot;-&quot;_);_(@_)"/>
    <numFmt numFmtId="189" formatCode="_(&quot;$&quot;* #,##0_);_(&quot;$&quot;* \(#,##0\);_(&quot;$&quot;* &quot;-&quot;_);_(@_)"/>
    <numFmt numFmtId="190" formatCode="_(&quot;$&quot;* #,##0.00_);_(&quot;$&quot;* \(#,##0.00\);_(&quot;$&quot;* &quot;-&quot;??_);_(@_)"/>
    <numFmt numFmtId="191" formatCode="[Black]#,##0.0;[Black]\-#,##0.0;;"/>
    <numFmt numFmtId="192" formatCode="[$-843]dd\ mmmm\ yyyy\ \й\и\л;@"/>
    <numFmt numFmtId="193" formatCode="_-* #,##0.0_р_._-;\-* #,##0.0_р_._-;_-* &quot;-&quot;??_р_._-;_-@_-"/>
  </numFmts>
  <fonts count="92">
    <font>
      <sz val="10"/>
      <name val="Arial Cyr"/>
      <charset val="204"/>
    </font>
    <font>
      <sz val="11"/>
      <color theme="1"/>
      <name val="Calibri"/>
      <family val="2"/>
      <charset val="204"/>
      <scheme val="minor"/>
    </font>
    <font>
      <sz val="10"/>
      <name val="Arial Cyr"/>
      <family val="2"/>
      <charset val="204"/>
    </font>
    <font>
      <sz val="10"/>
      <name val="Arial Cyr"/>
      <family val="2"/>
      <charset val="204"/>
    </font>
    <font>
      <b/>
      <sz val="10"/>
      <name val="Arial Cyr"/>
      <family val="2"/>
      <charset val="204"/>
    </font>
    <font>
      <b/>
      <sz val="10"/>
      <name val="Arial Cyr"/>
      <family val="2"/>
      <charset val="204"/>
    </font>
    <font>
      <sz val="10"/>
      <name val="Times New Roman"/>
      <family val="1"/>
    </font>
    <font>
      <sz val="10"/>
      <name val="Times New Roman Cyr"/>
      <family val="1"/>
      <charset val="204"/>
    </font>
    <font>
      <b/>
      <sz val="12"/>
      <name val="Times New Roman"/>
      <family val="1"/>
      <charset val="204"/>
    </font>
    <font>
      <sz val="8"/>
      <name val="Arial Cyr"/>
      <family val="2"/>
      <charset val="204"/>
    </font>
    <font>
      <b/>
      <sz val="10"/>
      <name val="Times New Roman"/>
      <family val="1"/>
      <charset val="204"/>
    </font>
    <font>
      <b/>
      <sz val="10"/>
      <name val="Times New Roman Cyr"/>
      <family val="1"/>
      <charset val="204"/>
    </font>
    <font>
      <sz val="10"/>
      <name val="Times New Roman Cyr"/>
      <family val="1"/>
      <charset val="204"/>
    </font>
    <font>
      <sz val="10"/>
      <name val="Times New Roman"/>
      <family val="1"/>
      <charset val="204"/>
    </font>
    <font>
      <b/>
      <sz val="12"/>
      <name val="Times New Roman Cyr"/>
      <family val="1"/>
      <charset val="204"/>
    </font>
    <font>
      <sz val="12"/>
      <name val="Times New Roman Cyr"/>
      <family val="1"/>
      <charset val="204"/>
    </font>
    <font>
      <b/>
      <sz val="10"/>
      <color indexed="10"/>
      <name val="Times New Roman Cyr"/>
      <family val="1"/>
      <charset val="204"/>
    </font>
    <font>
      <sz val="8"/>
      <name val="Arial Cyr"/>
      <family val="2"/>
      <charset val="204"/>
    </font>
    <font>
      <sz val="11"/>
      <color theme="1"/>
      <name val="Calibri"/>
      <family val="2"/>
      <charset val="204"/>
      <scheme val="minor"/>
    </font>
    <font>
      <b/>
      <sz val="10"/>
      <name val="Times New Roman Cyr"/>
      <charset val="204"/>
    </font>
    <font>
      <b/>
      <sz val="10"/>
      <name val="Arial Cyr"/>
      <charset val="204"/>
    </font>
    <font>
      <sz val="10"/>
      <name val="Arial"/>
      <family val="2"/>
      <charset val="204"/>
    </font>
    <font>
      <sz val="10"/>
      <name val="Times New Roman Cyr"/>
      <charset val="204"/>
    </font>
    <font>
      <sz val="10"/>
      <name val="Arial Cyr"/>
      <charset val="204"/>
    </font>
    <font>
      <sz val="10"/>
      <color theme="0" tint="-0.34998626667073579"/>
      <name val="Arial Cyr"/>
      <family val="2"/>
      <charset val="204"/>
    </font>
    <font>
      <b/>
      <sz val="10"/>
      <color theme="0" tint="-0.34998626667073579"/>
      <name val="Times New Roman Cyr"/>
      <family val="1"/>
      <charset val="204"/>
    </font>
    <font>
      <sz val="10"/>
      <color rgb="FF7030A0"/>
      <name val="Times New Roman Cyr"/>
      <charset val="204"/>
    </font>
    <font>
      <sz val="10"/>
      <color rgb="FFFF0000"/>
      <name val="Times New Roman Cyr"/>
      <family val="1"/>
      <charset val="204"/>
    </font>
    <font>
      <sz val="10"/>
      <color theme="0" tint="-0.34998626667073579"/>
      <name val="Times New Roman Cyr"/>
      <family val="1"/>
      <charset val="204"/>
    </font>
    <font>
      <b/>
      <sz val="10"/>
      <color theme="0" tint="-0.34998626667073579"/>
      <name val="Times New Roman Cyr"/>
      <charset val="204"/>
    </font>
    <font>
      <sz val="10"/>
      <color theme="0" tint="-0.34998626667073579"/>
      <name val="Times New Roman Cyr"/>
      <charset val="204"/>
    </font>
    <font>
      <sz val="10"/>
      <color rgb="FFFF0000"/>
      <name val="Times New Roman Cyr"/>
      <charset val="204"/>
    </font>
    <font>
      <sz val="1"/>
      <color indexed="8"/>
      <name val="Courier"/>
      <family val="1"/>
      <charset val="204"/>
    </font>
    <font>
      <b/>
      <sz val="1"/>
      <color indexed="8"/>
      <name val="Courier"/>
      <family val="1"/>
      <charset val="204"/>
    </font>
    <font>
      <sz val="12"/>
      <color indexed="8"/>
      <name val="Courier"/>
      <family val="3"/>
    </font>
    <font>
      <b/>
      <sz val="18"/>
      <color indexed="8"/>
      <name val="Courier"/>
      <family val="3"/>
    </font>
    <font>
      <b/>
      <sz val="12"/>
      <color indexed="8"/>
      <name val="Courier"/>
      <family val="3"/>
    </font>
    <font>
      <b/>
      <sz val="8"/>
      <name val="Arial"/>
      <family val="2"/>
      <charset val="204"/>
    </font>
    <font>
      <sz val="10"/>
      <name val="Times Armenian"/>
    </font>
    <font>
      <sz val="11"/>
      <color theme="1"/>
      <name val="Times New Roman"/>
      <family val="2"/>
      <charset val="204"/>
    </font>
    <font>
      <sz val="12"/>
      <color theme="1"/>
      <name val="Calibri"/>
      <family val="2"/>
      <charset val="204"/>
      <scheme val="minor"/>
    </font>
    <font>
      <sz val="10"/>
      <name val="Arial Cyr"/>
      <charset val="186"/>
    </font>
    <font>
      <sz val="10"/>
      <color indexed="8"/>
      <name val="Arial Cyr"/>
      <family val="2"/>
      <charset val="204"/>
    </font>
    <font>
      <sz val="11"/>
      <color indexed="8"/>
      <name val="Calibri"/>
      <family val="2"/>
      <charset val="204"/>
    </font>
    <font>
      <sz val="6"/>
      <color theme="1"/>
      <name val="Calibri"/>
      <family val="2"/>
      <charset val="204"/>
      <scheme val="minor"/>
    </font>
    <font>
      <sz val="12"/>
      <name val="Journal Uzbek"/>
      <family val="2"/>
    </font>
    <font>
      <sz val="10"/>
      <color theme="1"/>
      <name val="Times New Roman"/>
      <family val="2"/>
      <charset val="204"/>
    </font>
    <font>
      <sz val="12"/>
      <color theme="1"/>
      <name val="Times New Roman"/>
      <family val="2"/>
      <charset val="204"/>
    </font>
    <font>
      <sz val="10"/>
      <name val="Helv"/>
      <family val="2"/>
    </font>
    <font>
      <sz val="11"/>
      <color indexed="8"/>
      <name val="Times New Roman"/>
      <family val="2"/>
      <charset val="204"/>
    </font>
    <font>
      <sz val="6"/>
      <color indexed="8"/>
      <name val="Calibri"/>
      <family val="2"/>
      <charset val="204"/>
    </font>
    <font>
      <sz val="1"/>
      <color indexed="10"/>
      <name val="Arial Cyr"/>
    </font>
    <font>
      <sz val="10"/>
      <color theme="0" tint="-0.499984740745262"/>
      <name val="Times New Roman"/>
      <family val="1"/>
      <charset val="204"/>
    </font>
    <font>
      <sz val="8"/>
      <name val="Times New Roman"/>
      <family val="1"/>
    </font>
    <font>
      <sz val="11"/>
      <color indexed="9"/>
      <name val="Calibri"/>
      <family val="2"/>
      <charset val="204"/>
    </font>
    <font>
      <sz val="11"/>
      <color indexed="20"/>
      <name val="Calibri"/>
      <family val="2"/>
      <charset val="204"/>
    </font>
    <font>
      <b/>
      <sz val="11"/>
      <color indexed="52"/>
      <name val="Calibri"/>
      <family val="2"/>
      <charset val="204"/>
    </font>
    <font>
      <b/>
      <sz val="11"/>
      <color indexed="9"/>
      <name val="Calibri"/>
      <family val="2"/>
      <charset val="204"/>
    </font>
    <font>
      <sz val="11"/>
      <name val="Arial"/>
      <family val="2"/>
      <charset val="204"/>
    </font>
    <font>
      <sz val="12"/>
      <name val="Helv"/>
      <family val="2"/>
    </font>
    <font>
      <i/>
      <sz val="11"/>
      <color indexed="23"/>
      <name val="Calibri"/>
      <family val="2"/>
      <charset val="204"/>
    </font>
    <font>
      <sz val="11"/>
      <color indexed="17"/>
      <name val="Calibri"/>
      <family val="2"/>
      <charset val="204"/>
    </font>
    <font>
      <b/>
      <sz val="18"/>
      <name val="Arial"/>
      <family val="2"/>
      <charset val="204"/>
    </font>
    <font>
      <b/>
      <sz val="12"/>
      <name val="Arial"/>
      <family val="2"/>
      <charset val="204"/>
    </font>
    <font>
      <b/>
      <sz val="11"/>
      <color indexed="56"/>
      <name val="Calibri"/>
      <family val="2"/>
      <charset val="204"/>
    </font>
    <font>
      <sz val="11"/>
      <color indexed="62"/>
      <name val="Calibri"/>
      <family val="2"/>
      <charset val="204"/>
    </font>
    <font>
      <sz val="11"/>
      <color indexed="52"/>
      <name val="Calibri"/>
      <family val="2"/>
      <charset val="204"/>
    </font>
    <font>
      <sz val="12"/>
      <name val="Tms Rmn"/>
    </font>
    <font>
      <sz val="11"/>
      <color indexed="60"/>
      <name val="Calibri"/>
      <family val="2"/>
      <charset val="204"/>
    </font>
    <font>
      <b/>
      <sz val="11"/>
      <color indexed="63"/>
      <name val="Calibri"/>
      <family val="2"/>
      <charset val="204"/>
    </font>
    <font>
      <b/>
      <sz val="18"/>
      <color indexed="56"/>
      <name val="Cambria"/>
      <family val="2"/>
      <charset val="204"/>
    </font>
    <font>
      <sz val="11"/>
      <color indexed="10"/>
      <name val="Calibri"/>
      <family val="2"/>
      <charset val="204"/>
    </font>
    <font>
      <sz val="10"/>
      <color theme="0"/>
      <name val="Times New Roman"/>
      <family val="1"/>
      <charset val="204"/>
    </font>
    <font>
      <b/>
      <sz val="22"/>
      <name val="Times New Roman"/>
      <family val="1"/>
      <charset val="204"/>
    </font>
    <font>
      <b/>
      <sz val="11"/>
      <name val="Times New Roman"/>
      <family val="1"/>
      <charset val="204"/>
    </font>
    <font>
      <b/>
      <u/>
      <sz val="10"/>
      <name val="Times New Roman"/>
      <family val="1"/>
      <charset val="204"/>
    </font>
    <font>
      <sz val="12"/>
      <name val="Times New Roman"/>
      <family val="1"/>
      <charset val="204"/>
    </font>
    <font>
      <b/>
      <sz val="10"/>
      <color theme="0" tint="-0.499984740745262"/>
      <name val="Times New Roman Cyr"/>
      <family val="1"/>
      <charset val="204"/>
    </font>
    <font>
      <sz val="10"/>
      <color rgb="FFCC00CC"/>
      <name val="Times New Roman"/>
      <family val="1"/>
      <charset val="204"/>
    </font>
    <font>
      <sz val="12"/>
      <color rgb="FFCC00CC"/>
      <name val="Times New Roman"/>
      <family val="1"/>
      <charset val="204"/>
    </font>
    <font>
      <sz val="10"/>
      <color theme="0" tint="-0.34998626667073579"/>
      <name val="Times New Roman"/>
      <family val="1"/>
      <charset val="204"/>
    </font>
    <font>
      <b/>
      <sz val="12"/>
      <name val="Arial Cyr"/>
      <family val="2"/>
      <charset val="204"/>
    </font>
    <font>
      <b/>
      <sz val="16"/>
      <color rgb="FFB6FF5D"/>
      <name val="Times New Roman Cyr"/>
      <charset val="204"/>
    </font>
    <font>
      <b/>
      <sz val="10"/>
      <color rgb="FFFF0000"/>
      <name val="Times New Roman Cyr"/>
      <family val="1"/>
      <charset val="204"/>
    </font>
    <font>
      <b/>
      <sz val="10"/>
      <color rgb="FFFF0000"/>
      <name val="Times New Roman Cyr"/>
      <charset val="204"/>
    </font>
    <font>
      <sz val="10"/>
      <color rgb="FFFF0000"/>
      <name val="Arial Cyr"/>
      <family val="2"/>
      <charset val="204"/>
    </font>
    <font>
      <sz val="8"/>
      <color rgb="FFFF0000"/>
      <name val="Arial Cyr"/>
      <family val="2"/>
      <charset val="204"/>
    </font>
    <font>
      <sz val="11"/>
      <color theme="0" tint="-0.34998626667073579"/>
      <name val="Times New Roman"/>
      <family val="1"/>
      <charset val="204"/>
    </font>
    <font>
      <b/>
      <sz val="16"/>
      <color rgb="FF7030A0"/>
      <name val="Times New Roman Cyr"/>
      <charset val="204"/>
    </font>
    <font>
      <u/>
      <sz val="8"/>
      <name val="Times New Roman Cyr"/>
      <family val="1"/>
      <charset val="204"/>
    </font>
    <font>
      <sz val="8"/>
      <name val="Times New Roman Cyr"/>
      <family val="1"/>
      <charset val="204"/>
    </font>
    <font>
      <b/>
      <sz val="10"/>
      <color rgb="FF7030A0"/>
      <name val="Arial Cyr"/>
      <charset val="204"/>
    </font>
  </fonts>
  <fills count="41">
    <fill>
      <patternFill patternType="none"/>
    </fill>
    <fill>
      <patternFill patternType="gray125"/>
    </fill>
    <fill>
      <patternFill patternType="solid">
        <fgColor indexed="42"/>
        <bgColor indexed="64"/>
      </patternFill>
    </fill>
    <fill>
      <patternFill patternType="gray125">
        <bgColor indexed="55"/>
      </patternFill>
    </fill>
    <fill>
      <patternFill patternType="solid">
        <fgColor rgb="FFFFFFCC"/>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rgb="FFFFFF00"/>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rgb="FF92D050"/>
        <bgColor indexed="64"/>
      </patternFill>
    </fill>
  </fills>
  <borders count="3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rgb="FFB2B2B2"/>
      </left>
      <right style="thin">
        <color rgb="FFB2B2B2"/>
      </right>
      <top style="thin">
        <color rgb="FFB2B2B2"/>
      </top>
      <bottom style="thin">
        <color rgb="FFB2B2B2"/>
      </bottom>
      <diagonal/>
    </border>
    <border>
      <left/>
      <right/>
      <top style="thin">
        <color indexed="64"/>
      </top>
      <bottom style="double">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double">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288">
    <xf numFmtId="0" fontId="0" fillId="0" borderId="0"/>
    <xf numFmtId="0" fontId="18" fillId="0" borderId="0"/>
    <xf numFmtId="9" fontId="2" fillId="0" borderId="0" applyFont="0" applyFill="0" applyBorder="0" applyAlignment="0" applyProtection="0"/>
    <xf numFmtId="166" fontId="2" fillId="0" borderId="0" applyFont="0" applyFill="0" applyBorder="0" applyAlignment="0" applyProtection="0"/>
    <xf numFmtId="0" fontId="21" fillId="0" borderId="0" applyNumberFormat="0" applyFont="0" applyFill="0" applyBorder="0" applyAlignment="0" applyProtection="0">
      <alignment vertical="top"/>
    </xf>
    <xf numFmtId="0" fontId="21" fillId="0" borderId="0" applyNumberFormat="0" applyFont="0" applyFill="0" applyBorder="0" applyAlignment="0" applyProtection="0">
      <alignment vertical="top"/>
    </xf>
    <xf numFmtId="0" fontId="21" fillId="0" borderId="0" applyNumberFormat="0" applyFont="0" applyFill="0" applyBorder="0" applyAlignment="0" applyProtection="0">
      <alignment vertical="top"/>
    </xf>
    <xf numFmtId="166" fontId="23" fillId="0" borderId="0" applyFont="0" applyFill="0" applyBorder="0" applyAlignment="0" applyProtection="0"/>
    <xf numFmtId="9" fontId="23" fillId="0" borderId="0" applyFont="0" applyFill="0" applyBorder="0" applyAlignment="0" applyProtection="0"/>
    <xf numFmtId="0" fontId="21" fillId="0" borderId="0" applyNumberFormat="0" applyFont="0" applyFill="0" applyBorder="0" applyAlignment="0" applyProtection="0">
      <alignment vertical="top"/>
    </xf>
    <xf numFmtId="9" fontId="2" fillId="0" borderId="0" applyFont="0" applyFill="0" applyBorder="0" applyAlignment="0" applyProtection="0"/>
    <xf numFmtId="0" fontId="32" fillId="0" borderId="0">
      <protection locked="0"/>
    </xf>
    <xf numFmtId="0" fontId="32" fillId="0" borderId="0">
      <protection locked="0"/>
    </xf>
    <xf numFmtId="0" fontId="32" fillId="0" borderId="0">
      <protection locked="0"/>
    </xf>
    <xf numFmtId="0" fontId="33" fillId="0" borderId="0">
      <protection locked="0"/>
    </xf>
    <xf numFmtId="0" fontId="33" fillId="0" borderId="0">
      <protection locked="0"/>
    </xf>
    <xf numFmtId="0" fontId="32" fillId="0" borderId="9">
      <protection locked="0"/>
    </xf>
    <xf numFmtId="172" fontId="34" fillId="0" borderId="0">
      <protection locked="0"/>
    </xf>
    <xf numFmtId="173" fontId="34" fillId="0" borderId="9">
      <protection locked="0"/>
    </xf>
    <xf numFmtId="174" fontId="34" fillId="0" borderId="0">
      <protection locked="0"/>
    </xf>
    <xf numFmtId="4" fontId="34" fillId="0" borderId="0">
      <protection locked="0"/>
    </xf>
    <xf numFmtId="175" fontId="34" fillId="0" borderId="0">
      <protection locked="0"/>
    </xf>
    <xf numFmtId="173" fontId="35" fillId="0" borderId="0">
      <protection locked="0"/>
    </xf>
    <xf numFmtId="173" fontId="36" fillId="0" borderId="0">
      <protection locked="0"/>
    </xf>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37" fillId="0" borderId="2">
      <alignment horizontal="center"/>
    </xf>
    <xf numFmtId="165" fontId="21" fillId="0" borderId="0" applyFont="0" applyFill="0" applyBorder="0" applyAlignment="0" applyProtection="0"/>
    <xf numFmtId="166" fontId="21" fillId="0" borderId="0" applyFont="0" applyFill="0" applyBorder="0" applyAlignment="0" applyProtection="0"/>
    <xf numFmtId="0" fontId="38" fillId="0" borderId="0"/>
    <xf numFmtId="0" fontId="21" fillId="0" borderId="0"/>
    <xf numFmtId="9" fontId="23" fillId="0" borderId="0" applyFont="0" applyFill="0" applyBorder="0" applyAlignment="0" applyProtection="0"/>
    <xf numFmtId="0" fontId="39" fillId="0" borderId="0"/>
    <xf numFmtId="0" fontId="1" fillId="0" borderId="0"/>
    <xf numFmtId="0" fontId="7" fillId="0" borderId="0"/>
    <xf numFmtId="0" fontId="1" fillId="0" borderId="0"/>
    <xf numFmtId="0" fontId="1" fillId="0" borderId="0"/>
    <xf numFmtId="0" fontId="23"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7" fillId="0" borderId="0"/>
    <xf numFmtId="0" fontId="2" fillId="0" borderId="0"/>
    <xf numFmtId="0" fontId="23" fillId="0" borderId="0"/>
    <xf numFmtId="0" fontId="1" fillId="0" borderId="0"/>
    <xf numFmtId="0" fontId="1" fillId="0" borderId="0"/>
    <xf numFmtId="0" fontId="1" fillId="0" borderId="0"/>
    <xf numFmtId="0" fontId="23" fillId="0" borderId="0"/>
    <xf numFmtId="0" fontId="1" fillId="0" borderId="0"/>
    <xf numFmtId="0" fontId="23" fillId="0" borderId="0"/>
    <xf numFmtId="0" fontId="23" fillId="0" borderId="0"/>
    <xf numFmtId="0" fontId="23" fillId="0" borderId="0"/>
    <xf numFmtId="0" fontId="23" fillId="0" borderId="0"/>
    <xf numFmtId="0" fontId="1" fillId="0" borderId="0"/>
    <xf numFmtId="0" fontId="39" fillId="0" borderId="0"/>
    <xf numFmtId="0" fontId="1" fillId="0" borderId="0"/>
    <xf numFmtId="0" fontId="39" fillId="0" borderId="0"/>
    <xf numFmtId="0" fontId="7" fillId="0" borderId="0"/>
    <xf numFmtId="0" fontId="1" fillId="0" borderId="0"/>
    <xf numFmtId="0" fontId="23" fillId="0" borderId="0"/>
    <xf numFmtId="0" fontId="23" fillId="0" borderId="0"/>
    <xf numFmtId="0" fontId="23" fillId="0" borderId="0"/>
    <xf numFmtId="0" fontId="23" fillId="0" borderId="0"/>
    <xf numFmtId="0" fontId="23" fillId="0" borderId="0"/>
    <xf numFmtId="0" fontId="23" fillId="0" borderId="0"/>
    <xf numFmtId="0" fontId="1" fillId="0" borderId="0"/>
    <xf numFmtId="0" fontId="40" fillId="0" borderId="0"/>
    <xf numFmtId="0" fontId="1" fillId="0" borderId="0"/>
    <xf numFmtId="0" fontId="39" fillId="0" borderId="0"/>
    <xf numFmtId="0" fontId="1" fillId="0" borderId="0"/>
    <xf numFmtId="0" fontId="1" fillId="0" borderId="0"/>
    <xf numFmtId="0" fontId="1" fillId="0" borderId="0"/>
    <xf numFmtId="0" fontId="1" fillId="0" borderId="0"/>
    <xf numFmtId="0" fontId="1" fillId="0" borderId="0"/>
    <xf numFmtId="0" fontId="23" fillId="0" borderId="0"/>
    <xf numFmtId="0" fontId="23" fillId="0" borderId="0"/>
    <xf numFmtId="0" fontId="23" fillId="0" borderId="0"/>
    <xf numFmtId="0" fontId="23" fillId="0" borderId="0"/>
    <xf numFmtId="0" fontId="39" fillId="0" borderId="0"/>
    <xf numFmtId="0" fontId="41" fillId="0" borderId="0"/>
    <xf numFmtId="0" fontId="1" fillId="0" borderId="0"/>
    <xf numFmtId="0" fontId="1" fillId="0" borderId="0"/>
    <xf numFmtId="0" fontId="40" fillId="0" borderId="0"/>
    <xf numFmtId="0" fontId="1" fillId="0" borderId="0"/>
    <xf numFmtId="0" fontId="39" fillId="0" borderId="0"/>
    <xf numFmtId="0" fontId="42" fillId="0" borderId="0"/>
    <xf numFmtId="0" fontId="43" fillId="0" borderId="0"/>
    <xf numFmtId="0" fontId="1" fillId="0" borderId="0"/>
    <xf numFmtId="0" fontId="1" fillId="0" borderId="0"/>
    <xf numFmtId="0" fontId="1" fillId="0" borderId="0"/>
    <xf numFmtId="0" fontId="1" fillId="0" borderId="0"/>
    <xf numFmtId="0" fontId="43" fillId="0" borderId="0"/>
    <xf numFmtId="0" fontId="43" fillId="0" borderId="0"/>
    <xf numFmtId="0" fontId="43" fillId="0" borderId="0"/>
    <xf numFmtId="0" fontId="43" fillId="0" borderId="0"/>
    <xf numFmtId="0" fontId="43" fillId="0" borderId="0"/>
    <xf numFmtId="0" fontId="1" fillId="0" borderId="0"/>
    <xf numFmtId="0" fontId="40" fillId="0" borderId="0"/>
    <xf numFmtId="0" fontId="39" fillId="0" borderId="0"/>
    <xf numFmtId="0" fontId="1" fillId="0" borderId="0"/>
    <xf numFmtId="0" fontId="39" fillId="0" borderId="0"/>
    <xf numFmtId="0" fontId="21" fillId="0" borderId="0"/>
    <xf numFmtId="0" fontId="21" fillId="0" borderId="0"/>
    <xf numFmtId="0" fontId="21" fillId="0" borderId="0"/>
    <xf numFmtId="0" fontId="21" fillId="0" borderId="0"/>
    <xf numFmtId="0" fontId="21" fillId="0" borderId="0"/>
    <xf numFmtId="0" fontId="40" fillId="0" borderId="0"/>
    <xf numFmtId="0" fontId="21" fillId="0" borderId="0"/>
    <xf numFmtId="0" fontId="39" fillId="0" borderId="0"/>
    <xf numFmtId="0" fontId="21" fillId="0" borderId="0"/>
    <xf numFmtId="0" fontId="42" fillId="0" borderId="0"/>
    <xf numFmtId="0" fontId="21" fillId="0" borderId="0"/>
    <xf numFmtId="0" fontId="21" fillId="0" borderId="0"/>
    <xf numFmtId="0" fontId="21" fillId="0" borderId="0"/>
    <xf numFmtId="0" fontId="21" fillId="0" borderId="0"/>
    <xf numFmtId="0" fontId="21" fillId="0" borderId="0"/>
    <xf numFmtId="0" fontId="21" fillId="0" borderId="0"/>
    <xf numFmtId="0" fontId="1" fillId="0" borderId="0"/>
    <xf numFmtId="0" fontId="41" fillId="0" borderId="0"/>
    <xf numFmtId="0" fontId="1" fillId="0" borderId="0"/>
    <xf numFmtId="0" fontId="39" fillId="0" borderId="0"/>
    <xf numFmtId="0" fontId="4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1" fillId="0" borderId="0"/>
    <xf numFmtId="0" fontId="39" fillId="0" borderId="0"/>
    <xf numFmtId="0" fontId="1" fillId="0" borderId="0"/>
    <xf numFmtId="0" fontId="1" fillId="0" borderId="0"/>
    <xf numFmtId="0" fontId="39" fillId="0" borderId="0"/>
    <xf numFmtId="0" fontId="1" fillId="0" borderId="0"/>
    <xf numFmtId="0" fontId="1" fillId="0" borderId="0"/>
    <xf numFmtId="0" fontId="1" fillId="0" borderId="0"/>
    <xf numFmtId="0" fontId="43" fillId="0" borderId="0"/>
    <xf numFmtId="0" fontId="1"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1"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43" fillId="0" borderId="0"/>
    <xf numFmtId="0" fontId="39" fillId="0" borderId="0"/>
    <xf numFmtId="0" fontId="39" fillId="0" borderId="0"/>
    <xf numFmtId="0" fontId="39" fillId="0" borderId="0"/>
    <xf numFmtId="0" fontId="39" fillId="0" borderId="0"/>
    <xf numFmtId="0" fontId="39"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9" fillId="0" borderId="0"/>
    <xf numFmtId="0" fontId="1" fillId="0" borderId="0"/>
    <xf numFmtId="0" fontId="1" fillId="0" borderId="0"/>
    <xf numFmtId="0" fontId="1" fillId="0" borderId="0"/>
    <xf numFmtId="0" fontId="1" fillId="0" borderId="0"/>
    <xf numFmtId="0" fontId="1" fillId="0" borderId="0"/>
    <xf numFmtId="0" fontId="2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1" fillId="0" borderId="0"/>
    <xf numFmtId="0" fontId="23" fillId="0" borderId="0"/>
    <xf numFmtId="0" fontId="23" fillId="0" borderId="0"/>
    <xf numFmtId="0" fontId="23" fillId="0" borderId="0"/>
    <xf numFmtId="0" fontId="41" fillId="0" borderId="0"/>
    <xf numFmtId="0" fontId="1" fillId="0" borderId="0"/>
    <xf numFmtId="0" fontId="1" fillId="0" borderId="0"/>
    <xf numFmtId="0" fontId="1" fillId="0" borderId="0"/>
    <xf numFmtId="0" fontId="23" fillId="0" borderId="0"/>
    <xf numFmtId="0" fontId="21" fillId="0" borderId="0"/>
    <xf numFmtId="0" fontId="2" fillId="0" borderId="0"/>
    <xf numFmtId="0" fontId="23" fillId="0" borderId="0"/>
    <xf numFmtId="0" fontId="1" fillId="0" borderId="0"/>
    <xf numFmtId="0" fontId="23" fillId="0" borderId="0"/>
    <xf numFmtId="0" fontId="22" fillId="0" borderId="0"/>
    <xf numFmtId="0" fontId="23" fillId="0" borderId="0"/>
    <xf numFmtId="0" fontId="23" fillId="0" borderId="0"/>
    <xf numFmtId="0" fontId="23" fillId="0" borderId="0"/>
    <xf numFmtId="0" fontId="2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1" fillId="0" borderId="0"/>
    <xf numFmtId="0" fontId="1" fillId="0" borderId="0"/>
    <xf numFmtId="0" fontId="1" fillId="0" borderId="0"/>
    <xf numFmtId="0" fontId="43" fillId="0" borderId="0"/>
    <xf numFmtId="0" fontId="1"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43" fillId="0" borderId="0"/>
    <xf numFmtId="0" fontId="43" fillId="0" borderId="0"/>
    <xf numFmtId="0" fontId="43"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1" fillId="0" borderId="0"/>
    <xf numFmtId="0" fontId="1" fillId="0" borderId="0"/>
    <xf numFmtId="0" fontId="1" fillId="0" borderId="0"/>
    <xf numFmtId="0" fontId="1"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43" fillId="0" borderId="0"/>
    <xf numFmtId="0" fontId="1"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1" fillId="0" borderId="0"/>
    <xf numFmtId="0" fontId="41" fillId="0" borderId="0"/>
    <xf numFmtId="0" fontId="39" fillId="0" borderId="0"/>
    <xf numFmtId="0" fontId="44" fillId="0" borderId="0"/>
    <xf numFmtId="0" fontId="1" fillId="0" borderId="0"/>
    <xf numFmtId="0" fontId="39" fillId="0" borderId="0"/>
    <xf numFmtId="0" fontId="1" fillId="0" borderId="0"/>
    <xf numFmtId="0" fontId="1"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5"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43" fillId="0" borderId="0"/>
    <xf numFmtId="0" fontId="43" fillId="0" borderId="0"/>
    <xf numFmtId="0" fontId="43"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1" fillId="0" borderId="0"/>
    <xf numFmtId="0" fontId="39" fillId="0" borderId="0"/>
    <xf numFmtId="0" fontId="39" fillId="0" borderId="0"/>
    <xf numFmtId="0" fontId="39" fillId="0" borderId="0"/>
    <xf numFmtId="0" fontId="23" fillId="0" borderId="0"/>
    <xf numFmtId="0" fontId="1" fillId="0" borderId="0"/>
    <xf numFmtId="0" fontId="1" fillId="0" borderId="0"/>
    <xf numFmtId="0" fontId="45" fillId="0" borderId="0"/>
    <xf numFmtId="0" fontId="21" fillId="0" borderId="0"/>
    <xf numFmtId="0" fontId="1" fillId="0" borderId="0"/>
    <xf numFmtId="0" fontId="1" fillId="0" borderId="0"/>
    <xf numFmtId="0" fontId="21" fillId="0" borderId="0"/>
    <xf numFmtId="0" fontId="1" fillId="0" borderId="0"/>
    <xf numFmtId="0" fontId="46" fillId="0" borderId="0"/>
    <xf numFmtId="0" fontId="23" fillId="0" borderId="0"/>
    <xf numFmtId="0" fontId="41" fillId="0" borderId="0"/>
    <xf numFmtId="0" fontId="39" fillId="0" borderId="0"/>
    <xf numFmtId="0" fontId="1" fillId="0" borderId="0"/>
    <xf numFmtId="0" fontId="1" fillId="0" borderId="0"/>
    <xf numFmtId="0" fontId="39" fillId="0" borderId="0"/>
    <xf numFmtId="0" fontId="1" fillId="0" borderId="0"/>
    <xf numFmtId="0" fontId="39" fillId="0" borderId="0"/>
    <xf numFmtId="0" fontId="1" fillId="0" borderId="0"/>
    <xf numFmtId="0" fontId="39" fillId="0" borderId="0"/>
    <xf numFmtId="0" fontId="1" fillId="0" borderId="0"/>
    <xf numFmtId="0" fontId="39" fillId="0" borderId="0"/>
    <xf numFmtId="0" fontId="1"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1" fillId="0" borderId="0"/>
    <xf numFmtId="0" fontId="39" fillId="0" borderId="0"/>
    <xf numFmtId="0" fontId="1" fillId="0" borderId="0"/>
    <xf numFmtId="0" fontId="39" fillId="0" borderId="0"/>
    <xf numFmtId="0" fontId="1" fillId="0" borderId="0"/>
    <xf numFmtId="0" fontId="39" fillId="0" borderId="0"/>
    <xf numFmtId="0" fontId="1" fillId="0" borderId="0"/>
    <xf numFmtId="0" fontId="39" fillId="0" borderId="0"/>
    <xf numFmtId="0" fontId="1" fillId="0" borderId="0"/>
    <xf numFmtId="0" fontId="1" fillId="0" borderId="0"/>
    <xf numFmtId="0" fontId="1" fillId="0" borderId="0"/>
    <xf numFmtId="0" fontId="1" fillId="0" borderId="0"/>
    <xf numFmtId="0" fontId="39" fillId="0" borderId="0"/>
    <xf numFmtId="0" fontId="23"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39" fillId="0" borderId="0"/>
    <xf numFmtId="0" fontId="39" fillId="0" borderId="0"/>
    <xf numFmtId="0" fontId="39" fillId="0" borderId="0"/>
    <xf numFmtId="0" fontId="39" fillId="0" borderId="0"/>
    <xf numFmtId="0" fontId="39" fillId="0" borderId="0"/>
    <xf numFmtId="0" fontId="7" fillId="0" borderId="0"/>
    <xf numFmtId="0" fontId="7" fillId="0" borderId="0"/>
    <xf numFmtId="0" fontId="7" fillId="0" borderId="0"/>
    <xf numFmtId="0" fontId="7" fillId="0" borderId="0"/>
    <xf numFmtId="0" fontId="7" fillId="0" borderId="0"/>
    <xf numFmtId="0" fontId="7" fillId="0" borderId="0"/>
    <xf numFmtId="0" fontId="39" fillId="0" borderId="0"/>
    <xf numFmtId="0" fontId="39" fillId="0" borderId="0"/>
    <xf numFmtId="0" fontId="23" fillId="0" borderId="0"/>
    <xf numFmtId="0" fontId="39" fillId="0" borderId="0"/>
    <xf numFmtId="0" fontId="39" fillId="0" borderId="0"/>
    <xf numFmtId="0" fontId="1" fillId="0" borderId="0"/>
    <xf numFmtId="0" fontId="1" fillId="0" borderId="0"/>
    <xf numFmtId="0" fontId="1" fillId="0" borderId="0"/>
    <xf numFmtId="0" fontId="21" fillId="0" borderId="0"/>
    <xf numFmtId="0" fontId="1" fillId="0" borderId="0"/>
    <xf numFmtId="0" fontId="1" fillId="0" borderId="0"/>
    <xf numFmtId="0" fontId="1" fillId="0" borderId="0"/>
    <xf numFmtId="0" fontId="1" fillId="0" borderId="0"/>
    <xf numFmtId="0" fontId="7" fillId="0" borderId="0"/>
    <xf numFmtId="0" fontId="1" fillId="0" borderId="0"/>
    <xf numFmtId="0" fontId="7" fillId="0" borderId="0"/>
    <xf numFmtId="0" fontId="1" fillId="0" borderId="0"/>
    <xf numFmtId="0" fontId="7" fillId="0" borderId="0"/>
    <xf numFmtId="0" fontId="1" fillId="0" borderId="0"/>
    <xf numFmtId="0" fontId="7" fillId="0" borderId="0"/>
    <xf numFmtId="0" fontId="1" fillId="0" borderId="0"/>
    <xf numFmtId="0" fontId="7" fillId="0" borderId="0"/>
    <xf numFmtId="0" fontId="1" fillId="0" borderId="0"/>
    <xf numFmtId="0" fontId="7"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39" fillId="0" borderId="0"/>
    <xf numFmtId="0" fontId="41" fillId="0" borderId="0"/>
    <xf numFmtId="0" fontId="1" fillId="0" borderId="0"/>
    <xf numFmtId="0" fontId="39" fillId="0" borderId="0"/>
    <xf numFmtId="0" fontId="39" fillId="0" borderId="0"/>
    <xf numFmtId="0" fontId="39" fillId="0" borderId="0"/>
    <xf numFmtId="0" fontId="39" fillId="0" borderId="0"/>
    <xf numFmtId="0" fontId="39" fillId="0" borderId="0"/>
    <xf numFmtId="0" fontId="1" fillId="0" borderId="0"/>
    <xf numFmtId="0" fontId="39" fillId="0" borderId="0"/>
    <xf numFmtId="0" fontId="1" fillId="0" borderId="0"/>
    <xf numFmtId="0" fontId="39" fillId="0" borderId="0"/>
    <xf numFmtId="0" fontId="2" fillId="0" borderId="0"/>
    <xf numFmtId="0" fontId="39" fillId="0" borderId="0"/>
    <xf numFmtId="0" fontId="39" fillId="0" borderId="0"/>
    <xf numFmtId="0" fontId="39"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3" fillId="0" borderId="0"/>
    <xf numFmtId="0" fontId="39" fillId="0" borderId="0"/>
    <xf numFmtId="0" fontId="39" fillId="0" borderId="0"/>
    <xf numFmtId="0" fontId="39" fillId="0" borderId="0"/>
    <xf numFmtId="0" fontId="39" fillId="0" borderId="0"/>
    <xf numFmtId="0" fontId="39" fillId="0" borderId="0"/>
    <xf numFmtId="0" fontId="23" fillId="0" borderId="0"/>
    <xf numFmtId="0" fontId="21" fillId="0" borderId="0"/>
    <xf numFmtId="0" fontId="39" fillId="0" borderId="0"/>
    <xf numFmtId="0" fontId="39" fillId="0" borderId="0"/>
    <xf numFmtId="0" fontId="21" fillId="0" borderId="0"/>
    <xf numFmtId="0" fontId="39" fillId="0" borderId="0"/>
    <xf numFmtId="0" fontId="39" fillId="0" borderId="0"/>
    <xf numFmtId="0" fontId="39" fillId="0" borderId="0"/>
    <xf numFmtId="0" fontId="39" fillId="0" borderId="0"/>
    <xf numFmtId="0" fontId="23" fillId="0" borderId="0"/>
    <xf numFmtId="0" fontId="39" fillId="0" borderId="0"/>
    <xf numFmtId="0" fontId="47" fillId="0" borderId="0"/>
    <xf numFmtId="0" fontId="1" fillId="0" borderId="0"/>
    <xf numFmtId="0" fontId="1" fillId="0" borderId="0"/>
    <xf numFmtId="0" fontId="1" fillId="0" borderId="0"/>
    <xf numFmtId="0" fontId="1" fillId="0" borderId="0"/>
    <xf numFmtId="0" fontId="1" fillId="0" borderId="0"/>
    <xf numFmtId="0" fontId="39" fillId="0" borderId="0"/>
    <xf numFmtId="0" fontId="1" fillId="0" borderId="0"/>
    <xf numFmtId="0" fontId="43"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23" fillId="0" borderId="0"/>
    <xf numFmtId="0" fontId="39" fillId="0" borderId="0"/>
    <xf numFmtId="0" fontId="39" fillId="0" borderId="0"/>
    <xf numFmtId="0" fontId="23" fillId="0" borderId="0"/>
    <xf numFmtId="0" fontId="39" fillId="0" borderId="0"/>
    <xf numFmtId="0" fontId="39" fillId="0" borderId="0"/>
    <xf numFmtId="0" fontId="1" fillId="0" borderId="0"/>
    <xf numFmtId="0" fontId="1" fillId="0" borderId="0"/>
    <xf numFmtId="0" fontId="1" fillId="0" borderId="0"/>
    <xf numFmtId="0" fontId="1" fillId="0" borderId="0"/>
    <xf numFmtId="0" fontId="1" fillId="0" borderId="0"/>
    <xf numFmtId="0" fontId="43" fillId="0" borderId="0"/>
    <xf numFmtId="0" fontId="1" fillId="0" borderId="0"/>
    <xf numFmtId="0" fontId="23" fillId="0" borderId="0"/>
    <xf numFmtId="0" fontId="23" fillId="0" borderId="0"/>
    <xf numFmtId="0" fontId="40" fillId="0" borderId="0"/>
    <xf numFmtId="0" fontId="40" fillId="0" borderId="0"/>
    <xf numFmtId="0" fontId="40" fillId="0" borderId="0"/>
    <xf numFmtId="0" fontId="40" fillId="0" borderId="0"/>
    <xf numFmtId="0" fontId="23" fillId="0" borderId="0"/>
    <xf numFmtId="0" fontId="40" fillId="0" borderId="0"/>
    <xf numFmtId="0" fontId="40" fillId="0" borderId="0"/>
    <xf numFmtId="0" fontId="23" fillId="0" borderId="0"/>
    <xf numFmtId="0" fontId="40" fillId="0" borderId="0"/>
    <xf numFmtId="0" fontId="40" fillId="0" borderId="0"/>
    <xf numFmtId="0" fontId="23" fillId="0" borderId="0"/>
    <xf numFmtId="0" fontId="23" fillId="0" borderId="0"/>
    <xf numFmtId="0" fontId="22" fillId="0" borderId="0"/>
    <xf numFmtId="0" fontId="1" fillId="0" borderId="0"/>
    <xf numFmtId="0" fontId="23" fillId="0" borderId="0"/>
    <xf numFmtId="0" fontId="1" fillId="0" borderId="0"/>
    <xf numFmtId="0" fontId="1" fillId="0" borderId="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9" fontId="43" fillId="0" borderId="0" applyFont="0" applyFill="0" applyBorder="0" applyAlignment="0" applyProtection="0"/>
    <xf numFmtId="9" fontId="2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1" fillId="0" borderId="0" applyFont="0" applyFill="0" applyBorder="0" applyAlignment="0" applyProtection="0"/>
    <xf numFmtId="9" fontId="43" fillId="0" borderId="0" applyFont="0" applyFill="0" applyBorder="0" applyAlignment="0" applyProtection="0"/>
    <xf numFmtId="9" fontId="41" fillId="0" borderId="0" applyFont="0" applyFill="0" applyBorder="0" applyAlignment="0" applyProtection="0"/>
    <xf numFmtId="0" fontId="48" fillId="0" borderId="0"/>
    <xf numFmtId="165" fontId="2" fillId="0" borderId="0" applyFont="0" applyFill="0" applyBorder="0" applyAlignment="0" applyProtection="0"/>
    <xf numFmtId="165" fontId="22" fillId="0" borderId="0" applyFont="0" applyFill="0" applyBorder="0" applyAlignment="0" applyProtection="0"/>
    <xf numFmtId="165" fontId="22" fillId="0" borderId="0" applyFont="0" applyFill="0" applyBorder="0" applyAlignment="0" applyProtection="0"/>
    <xf numFmtId="166" fontId="1" fillId="0" borderId="0" applyFont="0" applyFill="0" applyBorder="0" applyAlignment="0" applyProtection="0"/>
    <xf numFmtId="166" fontId="2" fillId="0" borderId="0" applyFont="0" applyFill="0" applyBorder="0" applyAlignment="0" applyProtection="0"/>
    <xf numFmtId="166" fontId="1" fillId="0" borderId="0" applyFont="0" applyFill="0" applyBorder="0" applyAlignment="0" applyProtection="0"/>
    <xf numFmtId="176" fontId="2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49"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77" fontId="21" fillId="0" borderId="0" applyFont="0" applyFill="0" applyBorder="0" applyAlignment="0" applyProtection="0"/>
    <xf numFmtId="166" fontId="49" fillId="0" borderId="0" applyFont="0" applyFill="0" applyBorder="0" applyAlignment="0" applyProtection="0"/>
    <xf numFmtId="168" fontId="21"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49"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2" fillId="0" borderId="0" applyFont="0" applyFill="0" applyBorder="0" applyAlignment="0" applyProtection="0"/>
    <xf numFmtId="166" fontId="23" fillId="0" borderId="0" applyFont="0" applyFill="0" applyBorder="0" applyAlignment="0" applyProtection="0"/>
    <xf numFmtId="166" fontId="49"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43" fillId="0" borderId="0" applyFont="0" applyFill="0" applyBorder="0" applyAlignment="0" applyProtection="0"/>
    <xf numFmtId="166" fontId="49" fillId="0" borderId="0" applyFont="0" applyFill="0" applyBorder="0" applyAlignment="0" applyProtection="0"/>
    <xf numFmtId="166" fontId="23" fillId="0" borderId="0" applyFont="0" applyFill="0" applyBorder="0" applyAlignment="0" applyProtection="0"/>
    <xf numFmtId="166" fontId="49"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43" fillId="0" borderId="0" applyFont="0" applyFill="0" applyBorder="0" applyAlignment="0" applyProtection="0"/>
    <xf numFmtId="166" fontId="43" fillId="0" borderId="0" applyFont="0" applyFill="0" applyBorder="0" applyAlignment="0" applyProtection="0"/>
    <xf numFmtId="166" fontId="43" fillId="0" borderId="0" applyFont="0" applyFill="0" applyBorder="0" applyAlignment="0" applyProtection="0"/>
    <xf numFmtId="166" fontId="43" fillId="0" borderId="0" applyFont="0" applyFill="0" applyBorder="0" applyAlignment="0" applyProtection="0"/>
    <xf numFmtId="166" fontId="43" fillId="0" borderId="0" applyFont="0" applyFill="0" applyBorder="0" applyAlignment="0" applyProtection="0"/>
    <xf numFmtId="166" fontId="43" fillId="0" borderId="0" applyFont="0" applyFill="0" applyBorder="0" applyAlignment="0" applyProtection="0"/>
    <xf numFmtId="166" fontId="43" fillId="0" borderId="0" applyFont="0" applyFill="0" applyBorder="0" applyAlignment="0" applyProtection="0"/>
    <xf numFmtId="166" fontId="43" fillId="0" borderId="0" applyFont="0" applyFill="0" applyBorder="0" applyAlignment="0" applyProtection="0"/>
    <xf numFmtId="166" fontId="49"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66" fontId="49" fillId="0" borderId="0" applyFont="0" applyFill="0" applyBorder="0" applyAlignment="0" applyProtection="0"/>
    <xf numFmtId="166" fontId="49" fillId="0" borderId="0" applyFont="0" applyFill="0" applyBorder="0" applyAlignment="0" applyProtection="0"/>
    <xf numFmtId="166" fontId="49" fillId="0" borderId="0" applyFont="0" applyFill="0" applyBorder="0" applyAlignment="0" applyProtection="0"/>
    <xf numFmtId="171" fontId="43" fillId="0" borderId="0" applyFont="0" applyFill="0" applyBorder="0" applyAlignment="0" applyProtection="0"/>
    <xf numFmtId="166" fontId="49" fillId="0" borderId="0" applyFont="0" applyFill="0" applyBorder="0" applyAlignment="0" applyProtection="0"/>
    <xf numFmtId="166" fontId="23" fillId="0" borderId="0" applyFont="0" applyFill="0" applyBorder="0" applyAlignment="0" applyProtection="0"/>
    <xf numFmtId="166" fontId="49" fillId="0" borderId="0" applyFont="0" applyFill="0" applyBorder="0" applyAlignment="0" applyProtection="0"/>
    <xf numFmtId="166" fontId="49" fillId="0" borderId="0" applyFont="0" applyFill="0" applyBorder="0" applyAlignment="0" applyProtection="0"/>
    <xf numFmtId="166" fontId="50"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66" fontId="2" fillId="0" borderId="0" applyFont="0" applyFill="0" applyBorder="0" applyAlignment="0" applyProtection="0"/>
    <xf numFmtId="166" fontId="49" fillId="0" borderId="0" applyFont="0" applyFill="0" applyBorder="0" applyAlignment="0" applyProtection="0"/>
    <xf numFmtId="166" fontId="49" fillId="0" borderId="0" applyFont="0" applyFill="0" applyBorder="0" applyAlignment="0" applyProtection="0"/>
    <xf numFmtId="176" fontId="21" fillId="0" borderId="0" applyFont="0" applyFill="0" applyBorder="0" applyAlignment="0" applyProtection="0"/>
    <xf numFmtId="166" fontId="49" fillId="0" borderId="0" applyFont="0" applyFill="0" applyBorder="0" applyAlignment="0" applyProtection="0"/>
    <xf numFmtId="166" fontId="49" fillId="0" borderId="0" applyFont="0" applyFill="0" applyBorder="0" applyAlignment="0" applyProtection="0"/>
    <xf numFmtId="176" fontId="21" fillId="0" borderId="0" applyFont="0" applyFill="0" applyBorder="0" applyAlignment="0" applyProtection="0"/>
    <xf numFmtId="166" fontId="49" fillId="0" borderId="0" applyFont="0" applyFill="0" applyBorder="0" applyAlignment="0" applyProtection="0"/>
    <xf numFmtId="166" fontId="39" fillId="0" borderId="0" applyFont="0" applyFill="0" applyBorder="0" applyAlignment="0" applyProtection="0"/>
    <xf numFmtId="166" fontId="39" fillId="0" borderId="0" applyFont="0" applyFill="0" applyBorder="0" applyAlignment="0" applyProtection="0"/>
    <xf numFmtId="176" fontId="21" fillId="0" borderId="0" applyFont="0" applyFill="0" applyBorder="0" applyAlignment="0" applyProtection="0"/>
    <xf numFmtId="166" fontId="49" fillId="0" borderId="0" applyFont="0" applyFill="0" applyBorder="0" applyAlignment="0" applyProtection="0"/>
    <xf numFmtId="176" fontId="21" fillId="0" borderId="0" applyFont="0" applyFill="0" applyBorder="0" applyAlignment="0" applyProtection="0"/>
    <xf numFmtId="166" fontId="49"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66" fontId="43" fillId="0" borderId="0" applyFont="0" applyFill="0" applyBorder="0" applyAlignment="0" applyProtection="0"/>
    <xf numFmtId="166" fontId="43" fillId="0" borderId="0" applyFont="0" applyFill="0" applyBorder="0" applyAlignment="0" applyProtection="0"/>
    <xf numFmtId="166" fontId="22" fillId="0" borderId="0" applyFont="0" applyFill="0" applyBorder="0" applyAlignment="0" applyProtection="0"/>
    <xf numFmtId="166" fontId="43" fillId="0" borderId="0" applyFont="0" applyFill="0" applyBorder="0" applyAlignment="0" applyProtection="0"/>
    <xf numFmtId="166" fontId="23" fillId="0" borderId="0" applyFont="0" applyFill="0" applyBorder="0" applyAlignment="0" applyProtection="0"/>
    <xf numFmtId="166" fontId="43" fillId="0" borderId="0" applyFont="0" applyFill="0" applyBorder="0" applyAlignment="0" applyProtection="0"/>
    <xf numFmtId="166" fontId="23" fillId="0" borderId="0" applyFont="0" applyFill="0" applyBorder="0" applyAlignment="0" applyProtection="0"/>
    <xf numFmtId="166" fontId="43" fillId="0" borderId="0" applyFont="0" applyFill="0" applyBorder="0" applyAlignment="0" applyProtection="0"/>
    <xf numFmtId="166" fontId="23" fillId="0" borderId="0" applyFont="0" applyFill="0" applyBorder="0" applyAlignment="0" applyProtection="0"/>
    <xf numFmtId="166" fontId="43" fillId="0" borderId="0" applyFont="0" applyFill="0" applyBorder="0" applyAlignment="0" applyProtection="0"/>
    <xf numFmtId="176" fontId="21" fillId="0" borderId="0" applyFont="0" applyFill="0" applyBorder="0" applyAlignment="0" applyProtection="0"/>
    <xf numFmtId="166" fontId="43" fillId="0" borderId="0" applyFont="0" applyFill="0" applyBorder="0" applyAlignment="0" applyProtection="0"/>
    <xf numFmtId="166" fontId="23" fillId="0" borderId="0" applyFont="0" applyFill="0" applyBorder="0" applyAlignment="0" applyProtection="0"/>
    <xf numFmtId="166" fontId="43" fillId="0" borderId="0" applyFont="0" applyFill="0" applyBorder="0" applyAlignment="0" applyProtection="0"/>
    <xf numFmtId="166" fontId="23" fillId="0" borderId="0" applyFont="0" applyFill="0" applyBorder="0" applyAlignment="0" applyProtection="0"/>
    <xf numFmtId="166" fontId="4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78" fontId="21" fillId="0" borderId="0" applyFont="0" applyFill="0" applyBorder="0" applyAlignment="0" applyProtection="0"/>
    <xf numFmtId="166" fontId="2" fillId="0" borderId="0" applyFont="0" applyFill="0" applyBorder="0" applyAlignment="0" applyProtection="0"/>
    <xf numFmtId="166" fontId="1" fillId="0" borderId="0" applyFont="0" applyFill="0" applyBorder="0" applyAlignment="0" applyProtection="0"/>
    <xf numFmtId="166" fontId="2" fillId="0" borderId="0" applyFont="0" applyFill="0" applyBorder="0" applyAlignment="0" applyProtection="0"/>
    <xf numFmtId="166" fontId="1"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79" fontId="43" fillId="0" borderId="0" applyFont="0" applyFill="0" applyBorder="0" applyAlignment="0" applyProtection="0"/>
    <xf numFmtId="166" fontId="2"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49" fillId="0" borderId="0" applyFont="0" applyFill="0" applyBorder="0" applyAlignment="0" applyProtection="0"/>
    <xf numFmtId="180" fontId="41" fillId="0" borderId="0" applyFont="0" applyFill="0" applyBorder="0" applyAlignment="0" applyProtection="0"/>
    <xf numFmtId="176" fontId="21" fillId="0" borderId="0" applyFont="0" applyFill="0" applyBorder="0" applyAlignment="0" applyProtection="0"/>
    <xf numFmtId="166" fontId="39" fillId="0" borderId="0" applyFont="0" applyFill="0" applyBorder="0" applyAlignment="0" applyProtection="0"/>
    <xf numFmtId="166" fontId="39" fillId="0" borderId="0" applyFont="0" applyFill="0" applyBorder="0" applyAlignment="0" applyProtection="0"/>
    <xf numFmtId="166" fontId="21" fillId="0" borderId="0" applyFont="0" applyFill="0" applyBorder="0" applyAlignment="0" applyProtection="0"/>
    <xf numFmtId="166" fontId="49" fillId="0" borderId="0" applyFont="0" applyFill="0" applyBorder="0" applyAlignment="0" applyProtection="0"/>
    <xf numFmtId="166" fontId="2" fillId="0" borderId="0" applyFont="0" applyFill="0" applyBorder="0" applyAlignment="0" applyProtection="0"/>
    <xf numFmtId="166" fontId="1" fillId="0" borderId="0" applyFont="0" applyFill="0" applyBorder="0" applyAlignment="0" applyProtection="0"/>
    <xf numFmtId="166" fontId="39" fillId="0" borderId="0" applyFont="0" applyFill="0" applyBorder="0" applyAlignment="0" applyProtection="0"/>
    <xf numFmtId="166" fontId="39" fillId="0" borderId="0" applyFont="0" applyFill="0" applyBorder="0" applyAlignment="0" applyProtection="0"/>
    <xf numFmtId="176" fontId="21" fillId="0" borderId="0" applyFont="0" applyFill="0" applyBorder="0" applyAlignment="0" applyProtection="0"/>
    <xf numFmtId="166" fontId="39" fillId="0" borderId="0" applyFont="0" applyFill="0" applyBorder="0" applyAlignment="0" applyProtection="0"/>
    <xf numFmtId="166" fontId="39" fillId="0" borderId="0" applyFont="0" applyFill="0" applyBorder="0" applyAlignment="0" applyProtection="0"/>
    <xf numFmtId="166" fontId="5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76" fontId="21" fillId="0" borderId="0" applyFont="0" applyFill="0" applyBorder="0" applyAlignment="0" applyProtection="0"/>
    <xf numFmtId="166" fontId="5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0" fontId="32" fillId="0" borderId="0">
      <protection locked="0"/>
    </xf>
    <xf numFmtId="0" fontId="6" fillId="0" borderId="0">
      <alignment vertical="top"/>
    </xf>
    <xf numFmtId="181" fontId="53" fillId="0" borderId="0" applyFont="0" applyFill="0" applyBorder="0" applyAlignment="0" applyProtection="0"/>
    <xf numFmtId="182" fontId="53" fillId="0" borderId="0" applyFont="0" applyFill="0" applyBorder="0" applyAlignment="0" applyProtection="0"/>
    <xf numFmtId="0" fontId="43" fillId="18" borderId="0" applyNumberFormat="0" applyBorder="0" applyAlignment="0" applyProtection="0"/>
    <xf numFmtId="0" fontId="43" fillId="19" borderId="0" applyNumberFormat="0" applyBorder="0" applyAlignment="0" applyProtection="0"/>
    <xf numFmtId="0" fontId="43" fillId="20" borderId="0" applyNumberFormat="0" applyBorder="0" applyAlignment="0" applyProtection="0"/>
    <xf numFmtId="0" fontId="43" fillId="21" borderId="0" applyNumberFormat="0" applyBorder="0" applyAlignment="0" applyProtection="0"/>
    <xf numFmtId="0" fontId="43" fillId="22" borderId="0" applyNumberFormat="0" applyBorder="0" applyAlignment="0" applyProtection="0"/>
    <xf numFmtId="0" fontId="43" fillId="23" borderId="0" applyNumberFormat="0" applyBorder="0" applyAlignment="0" applyProtection="0"/>
    <xf numFmtId="183" fontId="53" fillId="0" borderId="0" applyFont="0" applyFill="0" applyBorder="0" applyAlignment="0" applyProtection="0"/>
    <xf numFmtId="0" fontId="43" fillId="24" borderId="0" applyNumberFormat="0" applyBorder="0" applyAlignment="0" applyProtection="0"/>
    <xf numFmtId="0" fontId="43" fillId="25" borderId="0" applyNumberFormat="0" applyBorder="0" applyAlignment="0" applyProtection="0"/>
    <xf numFmtId="0" fontId="43" fillId="26" borderId="0" applyNumberFormat="0" applyBorder="0" applyAlignment="0" applyProtection="0"/>
    <xf numFmtId="0" fontId="43" fillId="21" borderId="0" applyNumberFormat="0" applyBorder="0" applyAlignment="0" applyProtection="0"/>
    <xf numFmtId="0" fontId="43" fillId="24" borderId="0" applyNumberFormat="0" applyBorder="0" applyAlignment="0" applyProtection="0"/>
    <xf numFmtId="0" fontId="43" fillId="27" borderId="0" applyNumberFormat="0" applyBorder="0" applyAlignment="0" applyProtection="0"/>
    <xf numFmtId="0" fontId="54" fillId="28" borderId="0" applyNumberFormat="0" applyBorder="0" applyAlignment="0" applyProtection="0"/>
    <xf numFmtId="0" fontId="54" fillId="25" borderId="0" applyNumberFormat="0" applyBorder="0" applyAlignment="0" applyProtection="0"/>
    <xf numFmtId="0" fontId="54" fillId="26" borderId="0" applyNumberFormat="0" applyBorder="0" applyAlignment="0" applyProtection="0"/>
    <xf numFmtId="0" fontId="54" fillId="29" borderId="0" applyNumberFormat="0" applyBorder="0" applyAlignment="0" applyProtection="0"/>
    <xf numFmtId="0" fontId="54" fillId="30" borderId="0" applyNumberFormat="0" applyBorder="0" applyAlignment="0" applyProtection="0"/>
    <xf numFmtId="0" fontId="54" fillId="31" borderId="0" applyNumberFormat="0" applyBorder="0" applyAlignment="0" applyProtection="0"/>
    <xf numFmtId="0" fontId="54" fillId="32" borderId="0" applyNumberFormat="0" applyBorder="0" applyAlignment="0" applyProtection="0"/>
    <xf numFmtId="0" fontId="54" fillId="33" borderId="0" applyNumberFormat="0" applyBorder="0" applyAlignment="0" applyProtection="0"/>
    <xf numFmtId="0" fontId="54" fillId="34" borderId="0" applyNumberFormat="0" applyBorder="0" applyAlignment="0" applyProtection="0"/>
    <xf numFmtId="0" fontId="54" fillId="29" borderId="0" applyNumberFormat="0" applyBorder="0" applyAlignment="0" applyProtection="0"/>
    <xf numFmtId="0" fontId="54" fillId="30" borderId="0" applyNumberFormat="0" applyBorder="0" applyAlignment="0" applyProtection="0"/>
    <xf numFmtId="0" fontId="54" fillId="35" borderId="0" applyNumberFormat="0" applyBorder="0" applyAlignment="0" applyProtection="0"/>
    <xf numFmtId="0" fontId="55" fillId="19" borderId="0" applyNumberFormat="0" applyBorder="0" applyAlignment="0" applyProtection="0"/>
    <xf numFmtId="0" fontId="56" fillId="36" borderId="10" applyNumberFormat="0" applyAlignment="0" applyProtection="0"/>
    <xf numFmtId="0" fontId="57" fillId="37" borderId="11" applyNumberFormat="0" applyAlignment="0" applyProtection="0"/>
    <xf numFmtId="176" fontId="58" fillId="0" borderId="0" applyFont="0" applyFill="0" applyBorder="0" applyAlignment="0" applyProtection="0"/>
    <xf numFmtId="3" fontId="21" fillId="0" borderId="0" applyFont="0" applyFill="0" applyBorder="0" applyAlignment="0" applyProtection="0"/>
    <xf numFmtId="0" fontId="8" fillId="0" borderId="0" applyNumberFormat="0" applyFont="0" applyFill="0" applyBorder="0" applyAlignment="0"/>
    <xf numFmtId="184" fontId="21" fillId="0" borderId="0" applyFont="0" applyFill="0" applyBorder="0" applyAlignment="0" applyProtection="0"/>
    <xf numFmtId="185" fontId="21" fillId="0" borderId="0" applyFont="0" applyFill="0" applyBorder="0" applyAlignment="0" applyProtection="0"/>
    <xf numFmtId="0" fontId="21" fillId="0" borderId="0" applyFont="0" applyFill="0" applyBorder="0" applyAlignment="0" applyProtection="0"/>
    <xf numFmtId="186" fontId="13" fillId="0" borderId="0" applyFont="0" applyFill="0" applyBorder="0" applyAlignment="0" applyProtection="0"/>
    <xf numFmtId="187" fontId="59" fillId="0" borderId="0"/>
    <xf numFmtId="0" fontId="60" fillId="0" borderId="0" applyNumberFormat="0" applyFill="0" applyBorder="0" applyAlignment="0" applyProtection="0"/>
    <xf numFmtId="2" fontId="21" fillId="0" borderId="0" applyFont="0" applyFill="0" applyBorder="0" applyAlignment="0" applyProtection="0"/>
    <xf numFmtId="0" fontId="61" fillId="20" borderId="0" applyNumberFormat="0" applyBorder="0" applyAlignment="0" applyProtection="0"/>
    <xf numFmtId="0" fontId="62" fillId="0" borderId="0" applyNumberFormat="0" applyFill="0" applyBorder="0" applyAlignment="0" applyProtection="0"/>
    <xf numFmtId="0" fontId="63" fillId="0" borderId="0" applyNumberFormat="0" applyFill="0" applyBorder="0" applyAlignment="0" applyProtection="0"/>
    <xf numFmtId="0" fontId="64" fillId="0" borderId="12" applyNumberFormat="0" applyFill="0" applyAlignment="0" applyProtection="0"/>
    <xf numFmtId="0" fontId="64" fillId="0" borderId="0" applyNumberFormat="0" applyFill="0" applyBorder="0" applyAlignment="0" applyProtection="0"/>
    <xf numFmtId="171" fontId="53" fillId="0" borderId="0" applyFont="0" applyFill="0" applyBorder="0" applyAlignment="0" applyProtection="0"/>
    <xf numFmtId="0" fontId="65" fillId="23" borderId="10" applyNumberFormat="0" applyAlignment="0" applyProtection="0"/>
    <xf numFmtId="0" fontId="66" fillId="0" borderId="13" applyNumberFormat="0" applyFill="0" applyAlignment="0" applyProtection="0"/>
    <xf numFmtId="188" fontId="6" fillId="0" borderId="0" applyFont="0" applyFill="0" applyBorder="0" applyAlignment="0" applyProtection="0"/>
    <xf numFmtId="176" fontId="6" fillId="0" borderId="0" applyFont="0" applyFill="0" applyBorder="0" applyAlignment="0" applyProtection="0"/>
    <xf numFmtId="189" fontId="6" fillId="0" borderId="0" applyFont="0" applyFill="0" applyBorder="0" applyAlignment="0" applyProtection="0"/>
    <xf numFmtId="190" fontId="6" fillId="0" borderId="0" applyFont="0" applyFill="0" applyBorder="0" applyAlignment="0" applyProtection="0"/>
    <xf numFmtId="171" fontId="67" fillId="0" borderId="0" applyFill="0" applyBorder="0"/>
    <xf numFmtId="0" fontId="68" fillId="38" borderId="0" applyNumberFormat="0" applyBorder="0" applyAlignment="0" applyProtection="0"/>
    <xf numFmtId="0" fontId="67" fillId="0" borderId="0"/>
    <xf numFmtId="0" fontId="23" fillId="39" borderId="14" applyNumberFormat="0" applyFont="0" applyAlignment="0" applyProtection="0"/>
    <xf numFmtId="0" fontId="69" fillId="36" borderId="15" applyNumberFormat="0" applyAlignment="0" applyProtection="0"/>
    <xf numFmtId="9" fontId="21" fillId="0" borderId="0" applyFont="0" applyFill="0" applyBorder="0" applyAlignment="0" applyProtection="0"/>
    <xf numFmtId="191" fontId="53" fillId="0" borderId="0" applyFont="0" applyFill="0" applyBorder="0" applyAlignment="0" applyProtection="0"/>
    <xf numFmtId="0" fontId="70" fillId="0" borderId="0" applyNumberFormat="0" applyFill="0" applyBorder="0" applyAlignment="0" applyProtection="0"/>
    <xf numFmtId="0" fontId="21" fillId="0" borderId="16" applyNumberFormat="0" applyFont="0" applyFill="0" applyAlignment="0" applyProtection="0"/>
    <xf numFmtId="0" fontId="71" fillId="0" borderId="0" applyNumberFormat="0" applyFill="0" applyBorder="0" applyAlignment="0" applyProtection="0"/>
  </cellStyleXfs>
  <cellXfs count="258">
    <xf numFmtId="0" fontId="0" fillId="0" borderId="0" xfId="0"/>
    <xf numFmtId="0" fontId="3" fillId="0" borderId="0" xfId="0" applyFont="1"/>
    <xf numFmtId="0" fontId="5" fillId="0" borderId="0" xfId="0" applyFont="1"/>
    <xf numFmtId="0" fontId="4" fillId="0" borderId="0" xfId="0" applyFont="1" applyAlignment="1">
      <alignment horizontal="center"/>
    </xf>
    <xf numFmtId="0" fontId="24" fillId="0" borderId="0" xfId="0" applyFont="1" applyProtection="1">
      <protection hidden="1"/>
    </xf>
    <xf numFmtId="167" fontId="14" fillId="0" borderId="0" xfId="3" applyNumberFormat="1" applyFont="1" applyBorder="1" applyAlignment="1" applyProtection="1">
      <alignment horizontal="center" vertical="center" wrapText="1"/>
    </xf>
    <xf numFmtId="0" fontId="12" fillId="0" borderId="0" xfId="0" applyFont="1"/>
    <xf numFmtId="0" fontId="12" fillId="0" borderId="0" xfId="0" applyFont="1" applyAlignment="1">
      <alignment wrapText="1"/>
    </xf>
    <xf numFmtId="0" fontId="12" fillId="0" borderId="0" xfId="0" applyFont="1" applyAlignment="1">
      <alignment vertical="center"/>
    </xf>
    <xf numFmtId="0" fontId="12" fillId="0" borderId="1" xfId="0" applyFont="1" applyBorder="1" applyAlignment="1">
      <alignment horizontal="center" wrapText="1"/>
    </xf>
    <xf numFmtId="0" fontId="11" fillId="0" borderId="1" xfId="0" applyFont="1" applyBorder="1" applyAlignment="1">
      <alignment horizontal="center" vertical="center"/>
    </xf>
    <xf numFmtId="167" fontId="11" fillId="0" borderId="1" xfId="3" applyNumberFormat="1" applyFont="1" applyBorder="1" applyAlignment="1" applyProtection="1">
      <alignment horizontal="left" vertical="center"/>
    </xf>
    <xf numFmtId="3" fontId="11" fillId="0" borderId="1" xfId="3" applyNumberFormat="1" applyFont="1" applyBorder="1" applyAlignment="1" applyProtection="1">
      <alignment horizontal="center" vertical="center"/>
    </xf>
    <xf numFmtId="3" fontId="12" fillId="0" borderId="1" xfId="3" applyNumberFormat="1" applyFont="1" applyFill="1" applyBorder="1" applyAlignment="1" applyProtection="1">
      <alignment horizontal="center" wrapText="1"/>
    </xf>
    <xf numFmtId="3" fontId="19" fillId="0" borderId="1" xfId="3" applyNumberFormat="1" applyFont="1" applyFill="1" applyBorder="1" applyAlignment="1" applyProtection="1">
      <alignment horizontal="center" wrapText="1"/>
    </xf>
    <xf numFmtId="0" fontId="11" fillId="0" borderId="1" xfId="0" applyFont="1" applyBorder="1" applyAlignment="1">
      <alignment horizontal="center" vertical="center" wrapText="1"/>
    </xf>
    <xf numFmtId="0" fontId="11" fillId="0" borderId="1" xfId="0" applyFont="1" applyBorder="1" applyAlignment="1">
      <alignment horizontal="left" vertical="center" wrapText="1" indent="2"/>
    </xf>
    <xf numFmtId="0" fontId="16" fillId="0" borderId="0" xfId="0" applyFont="1" applyAlignment="1">
      <alignment vertical="center"/>
    </xf>
    <xf numFmtId="0" fontId="11" fillId="0" borderId="0" xfId="0" applyFont="1" applyAlignment="1">
      <alignment vertical="center"/>
    </xf>
    <xf numFmtId="0" fontId="11" fillId="0" borderId="1" xfId="0" applyFont="1" applyBorder="1" applyAlignment="1">
      <alignment horizontal="left" vertical="center" indent="2"/>
    </xf>
    <xf numFmtId="0" fontId="12" fillId="0" borderId="1" xfId="0" applyFont="1" applyBorder="1" applyAlignment="1">
      <alignment horizontal="center" vertical="center" wrapText="1"/>
    </xf>
    <xf numFmtId="0" fontId="19" fillId="0" borderId="1" xfId="0" applyFont="1" applyBorder="1" applyAlignment="1">
      <alignment horizontal="center" wrapText="1"/>
    </xf>
    <xf numFmtId="0" fontId="19" fillId="0" borderId="0" xfId="0" applyFont="1"/>
    <xf numFmtId="0" fontId="19" fillId="0" borderId="1" xfId="0" applyFont="1" applyBorder="1" applyAlignment="1">
      <alignment horizontal="center" vertical="center" wrapText="1"/>
    </xf>
    <xf numFmtId="0" fontId="19" fillId="0" borderId="0" xfId="0" applyFont="1" applyAlignment="1">
      <alignment vertical="center"/>
    </xf>
    <xf numFmtId="3" fontId="19" fillId="0" borderId="1" xfId="3" applyNumberFormat="1" applyFont="1" applyBorder="1" applyAlignment="1" applyProtection="1">
      <alignment horizontal="center" vertical="center" wrapText="1"/>
    </xf>
    <xf numFmtId="0" fontId="22" fillId="0" borderId="1" xfId="0" applyFont="1" applyBorder="1" applyAlignment="1">
      <alignment horizontal="center" vertical="center" wrapText="1"/>
    </xf>
    <xf numFmtId="0" fontId="22" fillId="0" borderId="1" xfId="0" applyFont="1" applyBorder="1" applyAlignment="1">
      <alignment horizontal="left" vertical="center" wrapText="1" indent="2"/>
    </xf>
    <xf numFmtId="3" fontId="22" fillId="0" borderId="1" xfId="3" applyNumberFormat="1" applyFont="1" applyFill="1" applyBorder="1" applyAlignment="1" applyProtection="1">
      <alignment horizontal="center"/>
    </xf>
    <xf numFmtId="0" fontId="22" fillId="0" borderId="0" xfId="0" applyFont="1" applyAlignment="1">
      <alignment vertical="center"/>
    </xf>
    <xf numFmtId="0" fontId="11" fillId="0" borderId="0" xfId="0" applyFont="1"/>
    <xf numFmtId="167" fontId="12" fillId="0" borderId="0" xfId="3" applyNumberFormat="1" applyFont="1" applyProtection="1"/>
    <xf numFmtId="0" fontId="11" fillId="0" borderId="0" xfId="0" applyFont="1" applyAlignment="1">
      <alignment horizontal="right"/>
    </xf>
    <xf numFmtId="168" fontId="12" fillId="0" borderId="0" xfId="0" applyNumberFormat="1" applyFont="1" applyAlignment="1">
      <alignment wrapText="1"/>
    </xf>
    <xf numFmtId="3" fontId="22" fillId="0" borderId="1" xfId="3" applyNumberFormat="1" applyFont="1" applyBorder="1" applyAlignment="1" applyProtection="1">
      <alignment horizontal="center" vertical="center"/>
      <protection locked="0"/>
    </xf>
    <xf numFmtId="3" fontId="11" fillId="0" borderId="1" xfId="3" applyNumberFormat="1" applyFont="1" applyBorder="1" applyAlignment="1" applyProtection="1">
      <alignment horizontal="center" vertical="center"/>
      <protection locked="0"/>
    </xf>
    <xf numFmtId="3" fontId="12" fillId="0" borderId="1" xfId="3" applyNumberFormat="1" applyFont="1" applyFill="1" applyBorder="1" applyAlignment="1" applyProtection="1">
      <alignment horizontal="center" wrapText="1"/>
      <protection locked="0"/>
    </xf>
    <xf numFmtId="0" fontId="19" fillId="0" borderId="1" xfId="0" applyFont="1" applyBorder="1" applyAlignment="1">
      <alignment horizontal="left" vertical="center" wrapText="1" indent="2"/>
    </xf>
    <xf numFmtId="10" fontId="19" fillId="0" borderId="1" xfId="2" applyNumberFormat="1" applyFont="1" applyFill="1" applyBorder="1" applyAlignment="1" applyProtection="1">
      <alignment horizontal="center" vertical="center"/>
    </xf>
    <xf numFmtId="3" fontId="12" fillId="0" borderId="1" xfId="3" applyNumberFormat="1" applyFont="1" applyFill="1" applyBorder="1" applyAlignment="1" applyProtection="1">
      <alignment horizontal="center" vertical="center" wrapText="1"/>
      <protection locked="0"/>
    </xf>
    <xf numFmtId="3" fontId="19" fillId="0" borderId="1" xfId="3" applyNumberFormat="1" applyFont="1" applyFill="1" applyBorder="1" applyAlignment="1" applyProtection="1">
      <alignment horizontal="center" vertical="center" wrapText="1"/>
      <protection locked="0"/>
    </xf>
    <xf numFmtId="3" fontId="19" fillId="0" borderId="1" xfId="3" applyNumberFormat="1" applyFont="1" applyFill="1" applyBorder="1" applyAlignment="1" applyProtection="1">
      <alignment horizontal="center" vertical="center" wrapText="1"/>
    </xf>
    <xf numFmtId="3" fontId="22" fillId="0" borderId="1" xfId="3" applyNumberFormat="1" applyFont="1" applyFill="1" applyBorder="1" applyAlignment="1" applyProtection="1">
      <alignment horizontal="center" vertical="center" wrapText="1"/>
      <protection locked="0"/>
    </xf>
    <xf numFmtId="166" fontId="25" fillId="0" borderId="0" xfId="3" applyFont="1" applyFill="1" applyBorder="1" applyAlignment="1" applyProtection="1">
      <alignment vertical="center"/>
    </xf>
    <xf numFmtId="0" fontId="19" fillId="0" borderId="1" xfId="0" applyFont="1" applyBorder="1" applyAlignment="1">
      <alignment horizontal="left" vertical="center" indent="2"/>
    </xf>
    <xf numFmtId="3" fontId="26" fillId="0" borderId="1" xfId="3" applyNumberFormat="1" applyFont="1" applyFill="1" applyBorder="1" applyAlignment="1" applyProtection="1">
      <alignment horizontal="center"/>
    </xf>
    <xf numFmtId="15" fontId="22" fillId="0" borderId="0" xfId="0" applyNumberFormat="1" applyFont="1" applyAlignment="1">
      <alignment horizontal="left" wrapText="1" indent="3"/>
    </xf>
    <xf numFmtId="167" fontId="14" fillId="0" borderId="0" xfId="3" applyNumberFormat="1" applyFont="1" applyBorder="1" applyAlignment="1" applyProtection="1">
      <alignment horizontal="left" indent="2"/>
    </xf>
    <xf numFmtId="0" fontId="27" fillId="0" borderId="1" xfId="0" applyFont="1" applyBorder="1" applyAlignment="1">
      <alignment horizontal="center" vertical="center" wrapText="1"/>
    </xf>
    <xf numFmtId="3" fontId="12" fillId="0" borderId="1" xfId="3" applyNumberFormat="1" applyFont="1" applyFill="1" applyBorder="1" applyAlignment="1" applyProtection="1">
      <alignment horizontal="center" vertical="center" wrapText="1"/>
    </xf>
    <xf numFmtId="0" fontId="22" fillId="0" borderId="1" xfId="0" applyFont="1" applyBorder="1" applyAlignment="1">
      <alignment horizontal="left" vertical="center" wrapText="1" indent="1"/>
    </xf>
    <xf numFmtId="0" fontId="22" fillId="0" borderId="1" xfId="0" applyFont="1" applyBorder="1" applyAlignment="1">
      <alignment horizontal="left" vertical="center" indent="1"/>
    </xf>
    <xf numFmtId="0" fontId="12" fillId="0" borderId="1" xfId="0" applyFont="1" applyBorder="1" applyAlignment="1">
      <alignment horizontal="left" vertical="center" wrapText="1" indent="1"/>
    </xf>
    <xf numFmtId="3" fontId="20" fillId="2" borderId="1" xfId="0" applyNumberFormat="1" applyFont="1" applyFill="1" applyBorder="1" applyAlignment="1">
      <alignment horizontal="center" vertical="center" wrapText="1"/>
    </xf>
    <xf numFmtId="0" fontId="28" fillId="0" borderId="0" xfId="0" applyFont="1"/>
    <xf numFmtId="166" fontId="28" fillId="0" borderId="0" xfId="3" applyFont="1" applyBorder="1" applyProtection="1"/>
    <xf numFmtId="0" fontId="28" fillId="0" borderId="0" xfId="0" applyFont="1" applyAlignment="1">
      <alignment vertical="center"/>
    </xf>
    <xf numFmtId="166" fontId="28" fillId="0" borderId="0" xfId="3" applyFont="1" applyBorder="1" applyAlignment="1" applyProtection="1">
      <alignment vertical="center"/>
    </xf>
    <xf numFmtId="0" fontId="25" fillId="0" borderId="0" xfId="0" applyFont="1" applyAlignment="1">
      <alignment vertical="center"/>
    </xf>
    <xf numFmtId="3" fontId="29" fillId="0" borderId="0" xfId="0" applyNumberFormat="1" applyFont="1"/>
    <xf numFmtId="166" fontId="29" fillId="0" borderId="0" xfId="3" applyFont="1" applyBorder="1" applyProtection="1"/>
    <xf numFmtId="0" fontId="29" fillId="0" borderId="0" xfId="0" applyFont="1"/>
    <xf numFmtId="0" fontId="29" fillId="0" borderId="0" xfId="0" applyFont="1" applyAlignment="1">
      <alignment vertical="center"/>
    </xf>
    <xf numFmtId="166" fontId="29" fillId="0" borderId="0" xfId="3" applyFont="1" applyBorder="1" applyAlignment="1" applyProtection="1">
      <alignment vertical="center"/>
    </xf>
    <xf numFmtId="167" fontId="29" fillId="0" borderId="0" xfId="3" applyNumberFormat="1" applyFont="1" applyAlignment="1" applyProtection="1">
      <alignment vertical="center"/>
    </xf>
    <xf numFmtId="3" fontId="28" fillId="0" borderId="0" xfId="0" applyNumberFormat="1" applyFont="1" applyAlignment="1">
      <alignment vertical="center"/>
    </xf>
    <xf numFmtId="166" fontId="28" fillId="0" borderId="0" xfId="3" applyFont="1" applyFill="1" applyBorder="1" applyAlignment="1" applyProtection="1">
      <alignment vertical="center"/>
    </xf>
    <xf numFmtId="0" fontId="30" fillId="0" borderId="0" xfId="0" applyFont="1" applyAlignment="1">
      <alignment vertical="center"/>
    </xf>
    <xf numFmtId="166" fontId="30" fillId="0" borderId="0" xfId="3" applyFont="1" applyFill="1" applyBorder="1" applyAlignment="1" applyProtection="1">
      <alignment vertical="center"/>
    </xf>
    <xf numFmtId="3" fontId="30" fillId="0" borderId="0" xfId="0" applyNumberFormat="1" applyFont="1" applyAlignment="1">
      <alignment vertical="center"/>
    </xf>
    <xf numFmtId="166" fontId="30" fillId="0" borderId="0" xfId="3" applyFont="1" applyBorder="1" applyAlignment="1" applyProtection="1">
      <alignment vertical="center"/>
    </xf>
    <xf numFmtId="0" fontId="31" fillId="0" borderId="0" xfId="0" applyFont="1" applyAlignment="1">
      <alignment vertical="center"/>
    </xf>
    <xf numFmtId="3" fontId="22" fillId="0" borderId="1" xfId="3" applyNumberFormat="1" applyFont="1" applyFill="1" applyBorder="1" applyAlignment="1" applyProtection="1">
      <alignment horizontal="center"/>
      <protection locked="0"/>
    </xf>
    <xf numFmtId="166" fontId="31" fillId="0" borderId="0" xfId="3" applyFont="1" applyBorder="1" applyAlignment="1" applyProtection="1">
      <alignment vertical="center"/>
    </xf>
    <xf numFmtId="3" fontId="31" fillId="0" borderId="1" xfId="3" applyNumberFormat="1" applyFont="1" applyFill="1" applyBorder="1" applyAlignment="1" applyProtection="1">
      <alignment horizontal="center"/>
    </xf>
    <xf numFmtId="3" fontId="7" fillId="0" borderId="1" xfId="3" applyNumberFormat="1" applyFont="1" applyFill="1" applyBorder="1" applyAlignment="1" applyProtection="1">
      <alignment horizontal="center" vertical="center" wrapText="1"/>
    </xf>
    <xf numFmtId="0" fontId="31" fillId="17" borderId="1" xfId="0" applyFont="1" applyFill="1" applyBorder="1" applyAlignment="1">
      <alignment horizontal="left" vertical="center" wrapText="1" indent="1"/>
    </xf>
    <xf numFmtId="0" fontId="22" fillId="17" borderId="1" xfId="0" applyFont="1" applyFill="1" applyBorder="1" applyAlignment="1">
      <alignment horizontal="left" vertical="center" wrapText="1" indent="1"/>
    </xf>
    <xf numFmtId="0" fontId="13" fillId="0" borderId="0" xfId="1" applyFont="1" applyAlignment="1">
      <alignment vertical="center"/>
    </xf>
    <xf numFmtId="0" fontId="13" fillId="0" borderId="0" xfId="1" applyFont="1"/>
    <xf numFmtId="0" fontId="72" fillId="0" borderId="0" xfId="1" applyFont="1"/>
    <xf numFmtId="0" fontId="7" fillId="0" borderId="0" xfId="0" applyFont="1" applyAlignment="1">
      <alignment vertical="center"/>
    </xf>
    <xf numFmtId="3" fontId="11" fillId="0" borderId="4" xfId="3" applyNumberFormat="1" applyFont="1" applyBorder="1" applyAlignment="1" applyProtection="1">
      <alignment horizontal="center" vertical="center"/>
    </xf>
    <xf numFmtId="0" fontId="11" fillId="0" borderId="3" xfId="0" applyFont="1" applyBorder="1" applyAlignment="1">
      <alignment horizontal="center" vertical="center" wrapText="1"/>
    </xf>
    <xf numFmtId="3" fontId="22" fillId="0" borderId="4" xfId="3" applyNumberFormat="1" applyFont="1" applyFill="1" applyBorder="1" applyAlignment="1" applyProtection="1">
      <alignment horizontal="center" vertical="center" wrapText="1"/>
      <protection locked="0"/>
    </xf>
    <xf numFmtId="3" fontId="19" fillId="0" borderId="4" xfId="3" applyNumberFormat="1" applyFont="1" applyFill="1" applyBorder="1" applyAlignment="1" applyProtection="1">
      <alignment horizontal="center" vertical="center" wrapText="1"/>
    </xf>
    <xf numFmtId="0" fontId="22" fillId="0" borderId="3" xfId="0" applyFont="1" applyBorder="1" applyAlignment="1">
      <alignment horizontal="center" vertical="center" wrapText="1"/>
    </xf>
    <xf numFmtId="3" fontId="19" fillId="0" borderId="4" xfId="3" applyNumberFormat="1" applyFont="1" applyFill="1" applyBorder="1" applyAlignment="1" applyProtection="1">
      <alignment horizontal="center" vertical="center" wrapText="1"/>
      <protection locked="0"/>
    </xf>
    <xf numFmtId="0" fontId="7" fillId="0" borderId="3" xfId="0" applyFont="1" applyBorder="1" applyAlignment="1">
      <alignment horizontal="center" vertical="center" wrapText="1"/>
    </xf>
    <xf numFmtId="3" fontId="7" fillId="0" borderId="4" xfId="3" applyNumberFormat="1" applyFont="1" applyFill="1" applyBorder="1" applyAlignment="1" applyProtection="1">
      <alignment horizontal="center" vertical="center" wrapText="1"/>
      <protection locked="0"/>
    </xf>
    <xf numFmtId="3" fontId="7" fillId="0" borderId="4" xfId="3" applyNumberFormat="1" applyFont="1" applyFill="1" applyBorder="1" applyAlignment="1" applyProtection="1">
      <alignment horizontal="center" vertical="center" wrapText="1"/>
    </xf>
    <xf numFmtId="3" fontId="19" fillId="0" borderId="4" xfId="3" applyNumberFormat="1" applyFont="1" applyFill="1" applyBorder="1" applyAlignment="1" applyProtection="1">
      <alignment horizontal="center" vertical="center"/>
    </xf>
    <xf numFmtId="3" fontId="19" fillId="0" borderId="4" xfId="3" applyNumberFormat="1" applyFont="1" applyBorder="1" applyAlignment="1" applyProtection="1">
      <alignment horizontal="center" vertical="center" wrapText="1"/>
    </xf>
    <xf numFmtId="10" fontId="19" fillId="0" borderId="4" xfId="2" applyNumberFormat="1" applyFont="1" applyFill="1" applyBorder="1" applyAlignment="1" applyProtection="1">
      <alignment horizontal="center" vertical="center"/>
    </xf>
    <xf numFmtId="10" fontId="19" fillId="0" borderId="5" xfId="2" applyNumberFormat="1" applyFont="1" applyFill="1" applyBorder="1" applyAlignment="1" applyProtection="1">
      <alignment horizontal="center" vertical="center"/>
    </xf>
    <xf numFmtId="0" fontId="19" fillId="0" borderId="17" xfId="0" applyFont="1" applyBorder="1" applyAlignment="1">
      <alignment horizontal="center" wrapText="1"/>
    </xf>
    <xf numFmtId="167" fontId="11" fillId="0" borderId="19" xfId="3" applyNumberFormat="1" applyFont="1" applyBorder="1" applyAlignment="1" applyProtection="1">
      <alignment horizontal="left" vertical="center"/>
    </xf>
    <xf numFmtId="3" fontId="20" fillId="2" borderId="20" xfId="0" applyNumberFormat="1" applyFont="1" applyFill="1" applyBorder="1" applyAlignment="1">
      <alignment horizontal="center" vertical="center" wrapText="1"/>
    </xf>
    <xf numFmtId="192" fontId="10" fillId="0" borderId="23" xfId="4" applyNumberFormat="1" applyFont="1" applyFill="1" applyBorder="1" applyAlignment="1" applyProtection="1">
      <alignment vertical="center" wrapText="1"/>
      <protection locked="0"/>
    </xf>
    <xf numFmtId="0" fontId="7" fillId="0" borderId="0" xfId="0" applyFont="1"/>
    <xf numFmtId="168" fontId="7" fillId="0" borderId="0" xfId="0" applyNumberFormat="1" applyFont="1" applyAlignment="1">
      <alignment wrapText="1"/>
    </xf>
    <xf numFmtId="166" fontId="7" fillId="0" borderId="0" xfId="3" applyFont="1" applyBorder="1" applyProtection="1"/>
    <xf numFmtId="0" fontId="7" fillId="0" borderId="0" xfId="0" applyFont="1" applyAlignment="1">
      <alignment wrapText="1"/>
    </xf>
    <xf numFmtId="3" fontId="20" fillId="2" borderId="21" xfId="0" applyNumberFormat="1" applyFont="1" applyFill="1" applyBorder="1" applyAlignment="1">
      <alignment horizontal="center" vertical="center" wrapText="1"/>
    </xf>
    <xf numFmtId="3" fontId="20" fillId="2" borderId="22" xfId="0" applyNumberFormat="1" applyFont="1" applyFill="1" applyBorder="1" applyAlignment="1">
      <alignment horizontal="center" vertical="center" wrapText="1"/>
    </xf>
    <xf numFmtId="166" fontId="7" fillId="0" borderId="0" xfId="3" applyFont="1" applyBorder="1" applyAlignment="1" applyProtection="1">
      <alignment vertical="center"/>
    </xf>
    <xf numFmtId="0" fontId="11" fillId="0" borderId="18" xfId="0" applyFont="1" applyBorder="1" applyAlignment="1">
      <alignment horizontal="center" vertical="center"/>
    </xf>
    <xf numFmtId="0" fontId="7" fillId="0" borderId="3" xfId="0" applyFont="1" applyBorder="1" applyAlignment="1">
      <alignment horizontal="center" wrapText="1"/>
    </xf>
    <xf numFmtId="166" fontId="11" fillId="0" borderId="0" xfId="3" applyFont="1" applyFill="1" applyBorder="1" applyAlignment="1" applyProtection="1">
      <alignment vertical="center"/>
    </xf>
    <xf numFmtId="0" fontId="7" fillId="0" borderId="1" xfId="0" applyFont="1" applyBorder="1" applyAlignment="1">
      <alignment horizontal="left" vertical="center" wrapText="1" indent="1"/>
    </xf>
    <xf numFmtId="0" fontId="19" fillId="0" borderId="3" xfId="0" applyFont="1" applyBorder="1" applyAlignment="1">
      <alignment horizontal="center" wrapText="1"/>
    </xf>
    <xf numFmtId="0" fontId="19" fillId="0" borderId="3" xfId="0" applyFont="1" applyBorder="1" applyAlignment="1">
      <alignment horizontal="center" vertical="center" wrapText="1"/>
    </xf>
    <xf numFmtId="170" fontId="20" fillId="40" borderId="1" xfId="3" applyNumberFormat="1" applyFont="1" applyFill="1" applyBorder="1" applyAlignment="1" applyProtection="1">
      <alignment horizontal="center" vertical="center" wrapText="1"/>
      <protection locked="0"/>
    </xf>
    <xf numFmtId="3" fontId="7" fillId="0" borderId="0" xfId="0" applyNumberFormat="1" applyFont="1" applyAlignment="1">
      <alignment vertical="center"/>
    </xf>
    <xf numFmtId="0" fontId="19" fillId="0" borderId="6" xfId="0" applyFont="1" applyBorder="1" applyAlignment="1">
      <alignment horizontal="center" vertical="center" wrapText="1"/>
    </xf>
    <xf numFmtId="0" fontId="19" fillId="0" borderId="7" xfId="0" applyFont="1" applyBorder="1" applyAlignment="1">
      <alignment horizontal="left" vertical="center" wrapText="1" indent="2"/>
    </xf>
    <xf numFmtId="167" fontId="7" fillId="0" borderId="0" xfId="3" applyNumberFormat="1" applyFont="1" applyProtection="1"/>
    <xf numFmtId="0" fontId="4" fillId="0" borderId="0" xfId="0" applyFont="1" applyAlignment="1">
      <alignment horizontal="center" vertical="center" wrapText="1"/>
    </xf>
    <xf numFmtId="0" fontId="13" fillId="0" borderId="0" xfId="1" applyFont="1" applyAlignment="1">
      <alignment horizontal="center"/>
    </xf>
    <xf numFmtId="15" fontId="10" fillId="0" borderId="0" xfId="1" applyNumberFormat="1" applyFont="1" applyAlignment="1">
      <alignment horizontal="center" vertical="center" wrapText="1"/>
    </xf>
    <xf numFmtId="0" fontId="13" fillId="0" borderId="1" xfId="1" applyFont="1" applyBorder="1" applyAlignment="1">
      <alignment horizontal="center" vertical="center"/>
    </xf>
    <xf numFmtId="0" fontId="75" fillId="0" borderId="0" xfId="1" applyFont="1" applyAlignment="1">
      <alignment horizontal="left" vertical="center" indent="1"/>
    </xf>
    <xf numFmtId="167" fontId="10" fillId="0" borderId="1" xfId="3" applyNumberFormat="1" applyFont="1" applyBorder="1" applyAlignment="1" applyProtection="1">
      <alignment horizontal="center" vertical="center" wrapText="1"/>
    </xf>
    <xf numFmtId="0" fontId="13" fillId="0" borderId="1" xfId="1" applyFont="1" applyBorder="1" applyAlignment="1">
      <alignment horizontal="left" vertical="center" wrapText="1" indent="1"/>
    </xf>
    <xf numFmtId="167" fontId="13" fillId="0" borderId="1" xfId="3" applyNumberFormat="1" applyFont="1" applyBorder="1" applyAlignment="1" applyProtection="1">
      <alignment horizontal="center" vertical="center" wrapText="1"/>
      <protection locked="0"/>
    </xf>
    <xf numFmtId="0" fontId="74" fillId="0" borderId="1" xfId="1" applyFont="1" applyBorder="1" applyAlignment="1">
      <alignment horizontal="left" vertical="center" wrapText="1" indent="1"/>
    </xf>
    <xf numFmtId="167" fontId="10" fillId="0" borderId="1" xfId="3" applyNumberFormat="1" applyFont="1" applyFill="1" applyBorder="1" applyAlignment="1" applyProtection="1">
      <alignment horizontal="center" vertical="center" wrapText="1"/>
    </xf>
    <xf numFmtId="0" fontId="10" fillId="0" borderId="1" xfId="1" applyFont="1" applyBorder="1" applyAlignment="1">
      <alignment horizontal="left" vertical="center" wrapText="1" indent="1"/>
    </xf>
    <xf numFmtId="0" fontId="76" fillId="0" borderId="0" xfId="1" applyFont="1"/>
    <xf numFmtId="0" fontId="8" fillId="0" borderId="0" xfId="0" applyFont="1" applyAlignment="1">
      <alignment horizontal="left" vertical="center" indent="1"/>
    </xf>
    <xf numFmtId="0" fontId="4" fillId="0" borderId="0" xfId="0" applyFont="1"/>
    <xf numFmtId="167" fontId="77" fillId="0" borderId="0" xfId="3" applyNumberFormat="1" applyFont="1" applyFill="1" applyBorder="1" applyAlignment="1" applyProtection="1">
      <alignment vertical="center"/>
    </xf>
    <xf numFmtId="0" fontId="78" fillId="0" borderId="0" xfId="1" applyFont="1" applyAlignment="1">
      <alignment vertical="center"/>
    </xf>
    <xf numFmtId="0" fontId="78" fillId="0" borderId="0" xfId="1" applyFont="1"/>
    <xf numFmtId="0" fontId="79" fillId="0" borderId="0" xfId="1" applyFont="1"/>
    <xf numFmtId="0" fontId="78" fillId="0" borderId="0" xfId="1" applyFont="1" applyAlignment="1">
      <alignment horizontal="center"/>
    </xf>
    <xf numFmtId="0" fontId="79" fillId="0" borderId="0" xfId="1" applyFont="1" applyAlignment="1">
      <alignment horizontal="center"/>
    </xf>
    <xf numFmtId="0" fontId="74" fillId="0" borderId="1" xfId="1" applyFont="1" applyBorder="1" applyAlignment="1">
      <alignment horizontal="right" vertical="center" indent="1"/>
    </xf>
    <xf numFmtId="0" fontId="80" fillId="0" borderId="0" xfId="1" applyFont="1" applyAlignment="1">
      <alignment vertical="center"/>
    </xf>
    <xf numFmtId="0" fontId="80" fillId="0" borderId="0" xfId="1" applyFont="1" applyAlignment="1">
      <alignment horizontal="center" vertical="center"/>
    </xf>
    <xf numFmtId="0" fontId="80" fillId="0" borderId="0" xfId="1" applyFont="1" applyAlignment="1">
      <alignment horizontal="center" vertical="center" wrapText="1"/>
    </xf>
    <xf numFmtId="0" fontId="80" fillId="0" borderId="0" xfId="1" applyFont="1" applyAlignment="1">
      <alignment vertical="center" wrapText="1"/>
    </xf>
    <xf numFmtId="0" fontId="80" fillId="0" borderId="0" xfId="1" applyFont="1"/>
    <xf numFmtId="0" fontId="80" fillId="0" borderId="0" xfId="1" applyFont="1" applyAlignment="1">
      <alignment horizontal="center"/>
    </xf>
    <xf numFmtId="0" fontId="2" fillId="0" borderId="0" xfId="0" applyFont="1"/>
    <xf numFmtId="0" fontId="9" fillId="0" borderId="0" xfId="0" applyFont="1"/>
    <xf numFmtId="0" fontId="81" fillId="0" borderId="0" xfId="0" applyFont="1"/>
    <xf numFmtId="0" fontId="52" fillId="0" borderId="0" xfId="1" applyFont="1"/>
    <xf numFmtId="0" fontId="8" fillId="0" borderId="0" xfId="0" quotePrefix="1" applyFont="1" applyAlignment="1" applyProtection="1">
      <alignment horizontal="center"/>
      <protection locked="0"/>
    </xf>
    <xf numFmtId="192" fontId="10" fillId="0" borderId="23" xfId="4" applyNumberFormat="1" applyFont="1" applyFill="1" applyBorder="1" applyAlignment="1" applyProtection="1">
      <alignment vertical="center" wrapText="1"/>
    </xf>
    <xf numFmtId="3" fontId="22" fillId="0" borderId="4" xfId="3" applyNumberFormat="1" applyFont="1" applyFill="1" applyBorder="1" applyAlignment="1" applyProtection="1">
      <alignment horizontal="center" vertical="center"/>
    </xf>
    <xf numFmtId="0" fontId="83" fillId="0" borderId="0" xfId="0" applyFont="1" applyAlignment="1">
      <alignment vertical="center"/>
    </xf>
    <xf numFmtId="166" fontId="83" fillId="0" borderId="0" xfId="3" applyFont="1" applyFill="1" applyBorder="1" applyAlignment="1" applyProtection="1">
      <alignment vertical="center"/>
    </xf>
    <xf numFmtId="166" fontId="27" fillId="0" borderId="0" xfId="3" applyFont="1" applyBorder="1" applyProtection="1"/>
    <xf numFmtId="0" fontId="27" fillId="0" borderId="0" xfId="0" applyFont="1"/>
    <xf numFmtId="166" fontId="27" fillId="0" borderId="0" xfId="3" applyFont="1" applyBorder="1" applyAlignment="1" applyProtection="1">
      <alignment vertical="center"/>
    </xf>
    <xf numFmtId="0" fontId="27" fillId="0" borderId="0" xfId="0" applyFont="1" applyAlignment="1">
      <alignment vertical="center"/>
    </xf>
    <xf numFmtId="0" fontId="84" fillId="0" borderId="0" xfId="0" applyFont="1" applyAlignment="1">
      <alignment vertical="center"/>
    </xf>
    <xf numFmtId="166" fontId="84" fillId="0" borderId="0" xfId="3" applyFont="1" applyBorder="1" applyAlignment="1" applyProtection="1">
      <alignment vertical="center"/>
    </xf>
    <xf numFmtId="166" fontId="27" fillId="0" borderId="0" xfId="3" applyFont="1" applyFill="1" applyBorder="1" applyAlignment="1" applyProtection="1">
      <alignment vertical="center"/>
    </xf>
    <xf numFmtId="166" fontId="31" fillId="0" borderId="0" xfId="3" applyFont="1" applyFill="1" applyBorder="1" applyAlignment="1" applyProtection="1">
      <alignment vertical="center"/>
    </xf>
    <xf numFmtId="0" fontId="86" fillId="0" borderId="0" xfId="0" applyFont="1"/>
    <xf numFmtId="0" fontId="76" fillId="0" borderId="0" xfId="0" applyFont="1"/>
    <xf numFmtId="0" fontId="7" fillId="0" borderId="0" xfId="0" applyFont="1" applyAlignment="1" applyProtection="1">
      <alignment vertical="center"/>
      <protection locked="0"/>
    </xf>
    <xf numFmtId="193" fontId="87" fillId="0" borderId="0" xfId="3" applyNumberFormat="1" applyFont="1" applyProtection="1"/>
    <xf numFmtId="0" fontId="8" fillId="0" borderId="0" xfId="443" applyFont="1" applyAlignment="1">
      <alignment horizontal="center" vertical="center" wrapText="1"/>
    </xf>
    <xf numFmtId="0" fontId="13" fillId="0" borderId="0" xfId="443" applyFont="1"/>
    <xf numFmtId="0" fontId="10" fillId="0" borderId="0" xfId="443" applyFont="1" applyAlignment="1">
      <alignment horizontal="center" vertical="center"/>
    </xf>
    <xf numFmtId="3" fontId="8" fillId="0" borderId="0" xfId="443" applyNumberFormat="1" applyFont="1" applyAlignment="1">
      <alignment horizontal="centerContinuous"/>
    </xf>
    <xf numFmtId="3" fontId="13" fillId="0" borderId="0" xfId="443" applyNumberFormat="1" applyFont="1" applyAlignment="1">
      <alignment horizontal="centerContinuous"/>
    </xf>
    <xf numFmtId="167" fontId="13" fillId="0" borderId="0" xfId="1074" applyNumberFormat="1" applyFont="1" applyProtection="1"/>
    <xf numFmtId="9" fontId="13" fillId="0" borderId="1" xfId="10" applyFont="1" applyBorder="1" applyAlignment="1" applyProtection="1">
      <alignment horizontal="center" vertical="center"/>
    </xf>
    <xf numFmtId="0" fontId="13" fillId="0" borderId="0" xfId="443" applyFont="1" applyAlignment="1">
      <alignment horizontal="center" vertical="center"/>
    </xf>
    <xf numFmtId="0" fontId="13" fillId="0" borderId="1" xfId="443" applyFont="1" applyBorder="1" applyAlignment="1">
      <alignment horizontal="center" vertical="center"/>
    </xf>
    <xf numFmtId="3" fontId="10" fillId="0" borderId="1" xfId="443" applyNumberFormat="1" applyFont="1" applyBorder="1" applyAlignment="1">
      <alignment horizontal="centerContinuous"/>
    </xf>
    <xf numFmtId="3" fontId="13" fillId="0" borderId="1" xfId="443" applyNumberFormat="1" applyFont="1" applyBorder="1" applyAlignment="1">
      <alignment horizontal="right" vertical="center"/>
    </xf>
    <xf numFmtId="3" fontId="13" fillId="3" borderId="1" xfId="443" applyNumberFormat="1" applyFont="1" applyFill="1" applyBorder="1" applyAlignment="1">
      <alignment horizontal="right" vertical="center"/>
    </xf>
    <xf numFmtId="165" fontId="13" fillId="0" borderId="0" xfId="443" applyNumberFormat="1" applyFont="1" applyAlignment="1">
      <alignment vertical="center"/>
    </xf>
    <xf numFmtId="167" fontId="13" fillId="0" borderId="0" xfId="1074" applyNumberFormat="1" applyFont="1" applyAlignment="1" applyProtection="1">
      <alignment vertical="center"/>
    </xf>
    <xf numFmtId="0" fontId="13" fillId="0" borderId="0" xfId="443" applyFont="1" applyAlignment="1">
      <alignment vertical="center"/>
    </xf>
    <xf numFmtId="3" fontId="10" fillId="3" borderId="1" xfId="443" applyNumberFormat="1" applyFont="1" applyFill="1" applyBorder="1" applyAlignment="1">
      <alignment horizontal="right" vertical="center"/>
    </xf>
    <xf numFmtId="3" fontId="73" fillId="3" borderId="1" xfId="443" applyNumberFormat="1" applyFont="1" applyFill="1" applyBorder="1" applyAlignment="1">
      <alignment horizontal="left" vertical="center"/>
    </xf>
    <xf numFmtId="3" fontId="13" fillId="0" borderId="1" xfId="443" applyNumberFormat="1" applyFont="1" applyBorder="1" applyAlignment="1">
      <alignment vertical="center"/>
    </xf>
    <xf numFmtId="0" fontId="13" fillId="0" borderId="0" xfId="443" applyFont="1" applyAlignment="1">
      <alignment vertical="center" wrapText="1"/>
    </xf>
    <xf numFmtId="0" fontId="13" fillId="0" borderId="0" xfId="443" applyFont="1" applyAlignment="1">
      <alignment horizontal="left" vertical="center" wrapText="1"/>
    </xf>
    <xf numFmtId="0" fontId="10" fillId="0" borderId="1" xfId="443" applyFont="1" applyBorder="1" applyAlignment="1">
      <alignment horizontal="center" vertical="center" wrapText="1"/>
    </xf>
    <xf numFmtId="0" fontId="10" fillId="0" borderId="2" xfId="443" applyFont="1" applyBorder="1" applyAlignment="1">
      <alignment horizontal="center" vertical="center" wrapText="1"/>
    </xf>
    <xf numFmtId="9" fontId="13" fillId="0" borderId="1" xfId="10" applyFont="1" applyFill="1" applyBorder="1" applyAlignment="1" applyProtection="1">
      <alignment horizontal="center" vertical="center"/>
    </xf>
    <xf numFmtId="0" fontId="13" fillId="0" borderId="1" xfId="443" applyFont="1" applyBorder="1" applyAlignment="1">
      <alignment horizontal="left" vertical="center" wrapText="1"/>
    </xf>
    <xf numFmtId="0" fontId="13" fillId="0" borderId="1" xfId="443" applyFont="1" applyBorder="1" applyAlignment="1">
      <alignment horizontal="left" vertical="center" wrapText="1" indent="1"/>
    </xf>
    <xf numFmtId="9" fontId="13" fillId="0" borderId="1" xfId="443" applyNumberFormat="1" applyFont="1" applyBorder="1" applyAlignment="1">
      <alignment horizontal="center" vertical="center"/>
    </xf>
    <xf numFmtId="3" fontId="13" fillId="0" borderId="0" xfId="443" applyNumberFormat="1" applyFont="1" applyAlignment="1">
      <alignment vertical="center"/>
    </xf>
    <xf numFmtId="166" fontId="13" fillId="0" borderId="0" xfId="1074" applyFont="1" applyAlignment="1" applyProtection="1">
      <alignment vertical="center"/>
    </xf>
    <xf numFmtId="3" fontId="13" fillId="3" borderId="1" xfId="443" applyNumberFormat="1" applyFont="1" applyFill="1" applyBorder="1" applyAlignment="1">
      <alignment horizontal="center" vertical="center"/>
    </xf>
    <xf numFmtId="0" fontId="13" fillId="0" borderId="1" xfId="443" applyFont="1" applyBorder="1" applyAlignment="1">
      <alignment horizontal="left" vertical="center" wrapText="1" indent="2"/>
    </xf>
    <xf numFmtId="169" fontId="13" fillId="0" borderId="1" xfId="443" applyNumberFormat="1" applyFont="1" applyBorder="1" applyAlignment="1">
      <alignment horizontal="center" vertical="center"/>
    </xf>
    <xf numFmtId="3" fontId="10" fillId="0" borderId="1" xfId="443" applyNumberFormat="1" applyFont="1" applyBorder="1" applyAlignment="1">
      <alignment horizontal="right" vertical="center"/>
    </xf>
    <xf numFmtId="0" fontId="13" fillId="0" borderId="1" xfId="443" applyFont="1" applyBorder="1" applyAlignment="1">
      <alignment vertical="center" wrapText="1"/>
    </xf>
    <xf numFmtId="167" fontId="13" fillId="0" borderId="0" xfId="443" applyNumberFormat="1" applyFont="1" applyAlignment="1">
      <alignment vertical="center"/>
    </xf>
    <xf numFmtId="0" fontId="2" fillId="0" borderId="0" xfId="443" applyFont="1"/>
    <xf numFmtId="0" fontId="4" fillId="0" borderId="0" xfId="443" applyFont="1"/>
    <xf numFmtId="167" fontId="2" fillId="0" borderId="0" xfId="1074" applyNumberFormat="1" applyFont="1" applyBorder="1" applyProtection="1"/>
    <xf numFmtId="167" fontId="9" fillId="0" borderId="0" xfId="1074" applyNumberFormat="1" applyFont="1" applyBorder="1" applyProtection="1"/>
    <xf numFmtId="0" fontId="9" fillId="0" borderId="0" xfId="443" applyFont="1"/>
    <xf numFmtId="3" fontId="13" fillId="0" borderId="1" xfId="443" applyNumberFormat="1" applyFont="1" applyBorder="1" applyAlignment="1" applyProtection="1">
      <alignment horizontal="right" vertical="center"/>
      <protection locked="0"/>
    </xf>
    <xf numFmtId="0" fontId="10" fillId="0" borderId="1" xfId="443" applyFont="1" applyBorder="1" applyAlignment="1">
      <alignment horizontal="center" vertical="center"/>
    </xf>
    <xf numFmtId="166" fontId="13" fillId="0" borderId="0" xfId="3" applyFont="1" applyAlignment="1" applyProtection="1">
      <alignment vertical="center"/>
    </xf>
    <xf numFmtId="0" fontId="88" fillId="0" borderId="0" xfId="0" applyFont="1" applyAlignment="1">
      <alignment horizontal="center"/>
    </xf>
    <xf numFmtId="0" fontId="82" fillId="0" borderId="0" xfId="0" applyFont="1" applyAlignment="1">
      <alignment horizontal="center"/>
    </xf>
    <xf numFmtId="0" fontId="7" fillId="0" borderId="0" xfId="0" applyFont="1" applyAlignment="1">
      <alignment vertical="center" wrapText="1"/>
    </xf>
    <xf numFmtId="0" fontId="11" fillId="0" borderId="0" xfId="0" applyFont="1" applyAlignment="1">
      <alignment vertical="center" wrapText="1"/>
    </xf>
    <xf numFmtId="166" fontId="7" fillId="0" borderId="0" xfId="3" applyFont="1" applyBorder="1" applyAlignment="1" applyProtection="1">
      <alignment vertical="center" wrapText="1"/>
    </xf>
    <xf numFmtId="167" fontId="7" fillId="0" borderId="1" xfId="3" applyNumberFormat="1" applyFont="1" applyBorder="1" applyAlignment="1" applyProtection="1">
      <alignment vertical="center"/>
      <protection locked="0"/>
    </xf>
    <xf numFmtId="167" fontId="25" fillId="0" borderId="0" xfId="3" applyNumberFormat="1" applyFont="1" applyFill="1" applyBorder="1" applyAlignment="1" applyProtection="1">
      <alignment vertical="center"/>
    </xf>
    <xf numFmtId="3" fontId="19" fillId="0" borderId="0" xfId="0" applyNumberFormat="1" applyFont="1"/>
    <xf numFmtId="166" fontId="25" fillId="0" borderId="0" xfId="3" applyFont="1" applyBorder="1" applyProtection="1"/>
    <xf numFmtId="0" fontId="19" fillId="0" borderId="0" xfId="0" applyFont="1" applyAlignment="1">
      <alignment wrapText="1"/>
    </xf>
    <xf numFmtId="166" fontId="25" fillId="0" borderId="0" xfId="3" applyFont="1" applyBorder="1" applyAlignment="1" applyProtection="1">
      <alignment vertical="center"/>
    </xf>
    <xf numFmtId="0" fontId="19" fillId="0" borderId="0" xfId="0" applyFont="1" applyAlignment="1">
      <alignment vertical="center" wrapText="1"/>
    </xf>
    <xf numFmtId="0" fontId="20" fillId="0" borderId="1" xfId="0" applyFont="1" applyBorder="1" applyAlignment="1">
      <alignment horizontal="left" vertical="center" wrapText="1" indent="2"/>
    </xf>
    <xf numFmtId="3" fontId="83" fillId="0" borderId="0" xfId="0" applyNumberFormat="1" applyFont="1" applyAlignment="1">
      <alignment horizontal="center" vertical="center"/>
    </xf>
    <xf numFmtId="0" fontId="83" fillId="0" borderId="0" xfId="0" applyFont="1" applyAlignment="1">
      <alignment vertical="center" wrapText="1"/>
    </xf>
    <xf numFmtId="3" fontId="84" fillId="0" borderId="0" xfId="0" applyNumberFormat="1" applyFont="1"/>
    <xf numFmtId="0" fontId="27" fillId="0" borderId="0" xfId="0" applyFont="1" applyAlignment="1">
      <alignment wrapText="1"/>
    </xf>
    <xf numFmtId="3" fontId="27" fillId="0" borderId="0" xfId="0" applyNumberFormat="1" applyFont="1" applyAlignment="1">
      <alignment vertical="center"/>
    </xf>
    <xf numFmtId="0" fontId="27" fillId="0" borderId="0" xfId="0" applyFont="1" applyAlignment="1">
      <alignment vertical="center" wrapText="1"/>
    </xf>
    <xf numFmtId="0" fontId="84" fillId="0" borderId="0" xfId="0" applyFont="1" applyAlignment="1">
      <alignment vertical="center" wrapText="1"/>
    </xf>
    <xf numFmtId="3" fontId="31" fillId="0" borderId="0" xfId="0" applyNumberFormat="1" applyFont="1" applyAlignment="1">
      <alignment vertical="center"/>
    </xf>
    <xf numFmtId="0" fontId="31" fillId="0" borderId="0" xfId="0" applyFont="1" applyAlignment="1">
      <alignment vertical="center" wrapText="1"/>
    </xf>
    <xf numFmtId="0" fontId="85" fillId="0" borderId="0" xfId="0" applyFont="1"/>
    <xf numFmtId="0" fontId="86" fillId="0" borderId="0" xfId="0" applyFont="1" applyAlignment="1">
      <alignment wrapText="1"/>
    </xf>
    <xf numFmtId="15" fontId="23" fillId="0" borderId="0" xfId="443" applyNumberFormat="1" applyAlignment="1">
      <alignment horizontal="center"/>
    </xf>
    <xf numFmtId="3" fontId="10" fillId="0" borderId="1" xfId="443" applyNumberFormat="1" applyFont="1" applyBorder="1" applyAlignment="1">
      <alignment vertical="center"/>
    </xf>
    <xf numFmtId="3" fontId="22" fillId="0" borderId="4" xfId="3" applyNumberFormat="1" applyFont="1" applyFill="1" applyBorder="1" applyAlignment="1" applyProtection="1">
      <alignment horizontal="center" vertical="center" wrapText="1"/>
    </xf>
    <xf numFmtId="0" fontId="82" fillId="0" borderId="0" xfId="0" applyFont="1" applyAlignment="1">
      <alignment horizontal="center" vertical="center"/>
    </xf>
    <xf numFmtId="170" fontId="91" fillId="40" borderId="0" xfId="3" applyNumberFormat="1" applyFont="1" applyFill="1" applyBorder="1" applyAlignment="1" applyProtection="1">
      <alignment horizontal="center" vertical="center" wrapText="1"/>
    </xf>
    <xf numFmtId="165" fontId="13" fillId="0" borderId="0" xfId="443" applyNumberFormat="1" applyFont="1" applyAlignment="1" applyProtection="1">
      <alignment vertical="center"/>
    </xf>
    <xf numFmtId="0" fontId="13" fillId="0" borderId="0" xfId="443" applyFont="1" applyAlignment="1" applyProtection="1">
      <alignment vertical="center"/>
    </xf>
    <xf numFmtId="3" fontId="13" fillId="0" borderId="0" xfId="443" applyNumberFormat="1" applyFont="1" applyAlignment="1" applyProtection="1">
      <alignment vertical="center"/>
    </xf>
    <xf numFmtId="3" fontId="13" fillId="0" borderId="1" xfId="443" applyNumberFormat="1" applyFont="1" applyFill="1" applyBorder="1" applyAlignment="1" applyProtection="1">
      <alignment horizontal="right" vertical="center"/>
    </xf>
    <xf numFmtId="0" fontId="14" fillId="0" borderId="0" xfId="0" applyFont="1" applyAlignment="1">
      <alignment horizontal="center" vertical="center"/>
    </xf>
    <xf numFmtId="0" fontId="15" fillId="0" borderId="0" xfId="0" applyFont="1" applyAlignment="1">
      <alignment horizontal="center" vertical="center"/>
    </xf>
    <xf numFmtId="0" fontId="13" fillId="0" borderId="30" xfId="443" applyFont="1" applyBorder="1" applyAlignment="1">
      <alignment horizontal="left" vertical="center" wrapText="1"/>
    </xf>
    <xf numFmtId="0" fontId="13" fillId="0" borderId="31" xfId="443" applyFont="1" applyBorder="1" applyAlignment="1">
      <alignment horizontal="left" vertical="center" wrapText="1"/>
    </xf>
    <xf numFmtId="0" fontId="8" fillId="0" borderId="0" xfId="443" applyFont="1" applyAlignment="1">
      <alignment horizontal="center" vertical="center"/>
    </xf>
    <xf numFmtId="0" fontId="10" fillId="0" borderId="1" xfId="443" applyFont="1" applyBorder="1" applyAlignment="1">
      <alignment horizontal="center" vertical="center"/>
    </xf>
    <xf numFmtId="192" fontId="10" fillId="0" borderId="0" xfId="4" applyNumberFormat="1" applyFont="1" applyFill="1" applyBorder="1" applyAlignment="1" applyProtection="1">
      <alignment horizontal="center" wrapText="1"/>
    </xf>
    <xf numFmtId="0" fontId="10" fillId="0" borderId="24" xfId="443" applyFont="1" applyBorder="1" applyAlignment="1">
      <alignment horizontal="center" vertical="center"/>
    </xf>
    <xf numFmtId="0" fontId="10" fillId="0" borderId="25" xfId="443" applyFont="1" applyBorder="1" applyAlignment="1">
      <alignment horizontal="center" vertical="center"/>
    </xf>
    <xf numFmtId="0" fontId="10" fillId="0" borderId="26" xfId="443" applyFont="1" applyBorder="1" applyAlignment="1">
      <alignment horizontal="center" vertical="center"/>
    </xf>
    <xf numFmtId="0" fontId="10" fillId="0" borderId="27" xfId="443" applyFont="1" applyBorder="1" applyAlignment="1">
      <alignment horizontal="center" vertical="center"/>
    </xf>
    <xf numFmtId="0" fontId="10" fillId="0" borderId="28" xfId="443" applyFont="1" applyBorder="1" applyAlignment="1">
      <alignment horizontal="center" vertical="center"/>
    </xf>
    <xf numFmtId="0" fontId="10" fillId="0" borderId="29" xfId="443" applyFont="1" applyBorder="1" applyAlignment="1">
      <alignment horizontal="center" vertical="center"/>
    </xf>
    <xf numFmtId="0" fontId="13" fillId="0" borderId="30" xfId="443" applyFont="1" applyBorder="1" applyAlignment="1">
      <alignment horizontal="center" vertical="center"/>
    </xf>
    <xf numFmtId="0" fontId="13" fillId="0" borderId="31" xfId="443" applyFont="1" applyBorder="1" applyAlignment="1">
      <alignment horizontal="center" vertical="center"/>
    </xf>
    <xf numFmtId="0" fontId="10" fillId="0" borderId="30" xfId="443" applyFont="1" applyBorder="1" applyAlignment="1">
      <alignment horizontal="center" vertical="center"/>
    </xf>
    <xf numFmtId="0" fontId="10" fillId="0" borderId="31" xfId="443" applyFont="1" applyBorder="1" applyAlignment="1">
      <alignment horizontal="center" vertical="center"/>
    </xf>
    <xf numFmtId="0" fontId="10" fillId="0" borderId="0" xfId="1" applyFont="1" applyAlignment="1">
      <alignment horizontal="center" vertical="center"/>
    </xf>
  </cellXfs>
  <cellStyles count="1288">
    <cellStyle name="”ќђќ‘ћ‚›‰" xfId="11" xr:uid="{00000000-0005-0000-0000-000000000000}"/>
    <cellStyle name="”љ‘ђћ‚ђќќ›‰" xfId="12" xr:uid="{00000000-0005-0000-0000-000001000000}"/>
    <cellStyle name="„…ќ…†ќ›‰" xfId="13" xr:uid="{00000000-0005-0000-0000-000002000000}"/>
    <cellStyle name="‡ђѓћ‹ћ‚ћљ1" xfId="14" xr:uid="{00000000-0005-0000-0000-000003000000}"/>
    <cellStyle name="‡ђѓћ‹ћ‚ћљ2" xfId="15" xr:uid="{00000000-0005-0000-0000-000004000000}"/>
    <cellStyle name="’ћѓћ‚›‰" xfId="16" xr:uid="{00000000-0005-0000-0000-000005000000}"/>
    <cellStyle name="" xfId="17" xr:uid="{00000000-0005-0000-0000-000006000000}"/>
    <cellStyle name="" xfId="18" xr:uid="{00000000-0005-0000-0000-000007000000}"/>
    <cellStyle name="" xfId="19" xr:uid="{00000000-0005-0000-0000-000008000000}"/>
    <cellStyle name="" xfId="20" xr:uid="{00000000-0005-0000-0000-000009000000}"/>
    <cellStyle name="" xfId="21" xr:uid="{00000000-0005-0000-0000-00000A000000}"/>
    <cellStyle name="1" xfId="22" xr:uid="{00000000-0005-0000-0000-00000B000000}"/>
    <cellStyle name="2" xfId="23" xr:uid="{00000000-0005-0000-0000-00000C000000}"/>
    <cellStyle name="1 indent" xfId="1226" xr:uid="{00000000-0005-0000-0000-00000D000000}"/>
    <cellStyle name="2 indents" xfId="1227" xr:uid="{00000000-0005-0000-0000-00000E000000}"/>
    <cellStyle name="20% - Accent1" xfId="1228" xr:uid="{00000000-0005-0000-0000-00000F000000}"/>
    <cellStyle name="20% - Accent2" xfId="1229" xr:uid="{00000000-0005-0000-0000-000010000000}"/>
    <cellStyle name="20% - Accent3" xfId="1230" xr:uid="{00000000-0005-0000-0000-000011000000}"/>
    <cellStyle name="20% - Accent4" xfId="1231" xr:uid="{00000000-0005-0000-0000-000012000000}"/>
    <cellStyle name="20% - Accent5" xfId="1232" xr:uid="{00000000-0005-0000-0000-000013000000}"/>
    <cellStyle name="20% - Accent6" xfId="1233" xr:uid="{00000000-0005-0000-0000-000014000000}"/>
    <cellStyle name="20% - Акцент1 10" xfId="24" xr:uid="{00000000-0005-0000-0000-000015000000}"/>
    <cellStyle name="20% - Акцент1 11" xfId="25" xr:uid="{00000000-0005-0000-0000-000016000000}"/>
    <cellStyle name="20% - Акцент1 12" xfId="26" xr:uid="{00000000-0005-0000-0000-000017000000}"/>
    <cellStyle name="20% - Акцент1 13" xfId="27" xr:uid="{00000000-0005-0000-0000-000018000000}"/>
    <cellStyle name="20% - Акцент1 14" xfId="28" xr:uid="{00000000-0005-0000-0000-000019000000}"/>
    <cellStyle name="20% - Акцент1 15" xfId="29" xr:uid="{00000000-0005-0000-0000-00001A000000}"/>
    <cellStyle name="20% - Акцент1 16" xfId="30" xr:uid="{00000000-0005-0000-0000-00001B000000}"/>
    <cellStyle name="20% - Акцент1 17" xfId="31" xr:uid="{00000000-0005-0000-0000-00001C000000}"/>
    <cellStyle name="20% - Акцент1 18" xfId="32" xr:uid="{00000000-0005-0000-0000-00001D000000}"/>
    <cellStyle name="20% - Акцент1 19" xfId="33" xr:uid="{00000000-0005-0000-0000-00001E000000}"/>
    <cellStyle name="20% - Акцент1 2" xfId="34" xr:uid="{00000000-0005-0000-0000-00001F000000}"/>
    <cellStyle name="20% - Акцент1 20" xfId="35" xr:uid="{00000000-0005-0000-0000-000020000000}"/>
    <cellStyle name="20% - Акцент1 21" xfId="36" xr:uid="{00000000-0005-0000-0000-000021000000}"/>
    <cellStyle name="20% - Акцент1 22" xfId="37" xr:uid="{00000000-0005-0000-0000-000022000000}"/>
    <cellStyle name="20% - Акцент1 23" xfId="38" xr:uid="{00000000-0005-0000-0000-000023000000}"/>
    <cellStyle name="20% - Акцент1 24" xfId="39" xr:uid="{00000000-0005-0000-0000-000024000000}"/>
    <cellStyle name="20% - Акцент1 25" xfId="40" xr:uid="{00000000-0005-0000-0000-000025000000}"/>
    <cellStyle name="20% - Акцент1 26" xfId="41" xr:uid="{00000000-0005-0000-0000-000026000000}"/>
    <cellStyle name="20% - Акцент1 3" xfId="42" xr:uid="{00000000-0005-0000-0000-000027000000}"/>
    <cellStyle name="20% - Акцент1 4" xfId="43" xr:uid="{00000000-0005-0000-0000-000028000000}"/>
    <cellStyle name="20% - Акцент1 5" xfId="44" xr:uid="{00000000-0005-0000-0000-000029000000}"/>
    <cellStyle name="20% - Акцент1 6" xfId="45" xr:uid="{00000000-0005-0000-0000-00002A000000}"/>
    <cellStyle name="20% - Акцент1 7" xfId="46" xr:uid="{00000000-0005-0000-0000-00002B000000}"/>
    <cellStyle name="20% - Акцент1 8" xfId="47" xr:uid="{00000000-0005-0000-0000-00002C000000}"/>
    <cellStyle name="20% - Акцент1 9" xfId="48" xr:uid="{00000000-0005-0000-0000-00002D000000}"/>
    <cellStyle name="20% - Акцент2 10" xfId="49" xr:uid="{00000000-0005-0000-0000-00002E000000}"/>
    <cellStyle name="20% - Акцент2 11" xfId="50" xr:uid="{00000000-0005-0000-0000-00002F000000}"/>
    <cellStyle name="20% - Акцент2 12" xfId="51" xr:uid="{00000000-0005-0000-0000-000030000000}"/>
    <cellStyle name="20% - Акцент2 13" xfId="52" xr:uid="{00000000-0005-0000-0000-000031000000}"/>
    <cellStyle name="20% - Акцент2 14" xfId="53" xr:uid="{00000000-0005-0000-0000-000032000000}"/>
    <cellStyle name="20% - Акцент2 15" xfId="54" xr:uid="{00000000-0005-0000-0000-000033000000}"/>
    <cellStyle name="20% - Акцент2 16" xfId="55" xr:uid="{00000000-0005-0000-0000-000034000000}"/>
    <cellStyle name="20% - Акцент2 17" xfId="56" xr:uid="{00000000-0005-0000-0000-000035000000}"/>
    <cellStyle name="20% - Акцент2 18" xfId="57" xr:uid="{00000000-0005-0000-0000-000036000000}"/>
    <cellStyle name="20% - Акцент2 19" xfId="58" xr:uid="{00000000-0005-0000-0000-000037000000}"/>
    <cellStyle name="20% - Акцент2 2" xfId="59" xr:uid="{00000000-0005-0000-0000-000038000000}"/>
    <cellStyle name="20% - Акцент2 20" xfId="60" xr:uid="{00000000-0005-0000-0000-000039000000}"/>
    <cellStyle name="20% - Акцент2 21" xfId="61" xr:uid="{00000000-0005-0000-0000-00003A000000}"/>
    <cellStyle name="20% - Акцент2 22" xfId="62" xr:uid="{00000000-0005-0000-0000-00003B000000}"/>
    <cellStyle name="20% - Акцент2 23" xfId="63" xr:uid="{00000000-0005-0000-0000-00003C000000}"/>
    <cellStyle name="20% - Акцент2 24" xfId="64" xr:uid="{00000000-0005-0000-0000-00003D000000}"/>
    <cellStyle name="20% - Акцент2 25" xfId="65" xr:uid="{00000000-0005-0000-0000-00003E000000}"/>
    <cellStyle name="20% - Акцент2 26" xfId="66" xr:uid="{00000000-0005-0000-0000-00003F000000}"/>
    <cellStyle name="20% - Акцент2 3" xfId="67" xr:uid="{00000000-0005-0000-0000-000040000000}"/>
    <cellStyle name="20% - Акцент2 4" xfId="68" xr:uid="{00000000-0005-0000-0000-000041000000}"/>
    <cellStyle name="20% - Акцент2 5" xfId="69" xr:uid="{00000000-0005-0000-0000-000042000000}"/>
    <cellStyle name="20% - Акцент2 6" xfId="70" xr:uid="{00000000-0005-0000-0000-000043000000}"/>
    <cellStyle name="20% - Акцент2 7" xfId="71" xr:uid="{00000000-0005-0000-0000-000044000000}"/>
    <cellStyle name="20% - Акцент2 8" xfId="72" xr:uid="{00000000-0005-0000-0000-000045000000}"/>
    <cellStyle name="20% - Акцент2 9" xfId="73" xr:uid="{00000000-0005-0000-0000-000046000000}"/>
    <cellStyle name="20% - Акцент3 10" xfId="74" xr:uid="{00000000-0005-0000-0000-000047000000}"/>
    <cellStyle name="20% - Акцент3 11" xfId="75" xr:uid="{00000000-0005-0000-0000-000048000000}"/>
    <cellStyle name="20% - Акцент3 12" xfId="76" xr:uid="{00000000-0005-0000-0000-000049000000}"/>
    <cellStyle name="20% - Акцент3 13" xfId="77" xr:uid="{00000000-0005-0000-0000-00004A000000}"/>
    <cellStyle name="20% - Акцент3 14" xfId="78" xr:uid="{00000000-0005-0000-0000-00004B000000}"/>
    <cellStyle name="20% - Акцент3 15" xfId="79" xr:uid="{00000000-0005-0000-0000-00004C000000}"/>
    <cellStyle name="20% - Акцент3 16" xfId="80" xr:uid="{00000000-0005-0000-0000-00004D000000}"/>
    <cellStyle name="20% - Акцент3 17" xfId="81" xr:uid="{00000000-0005-0000-0000-00004E000000}"/>
    <cellStyle name="20% - Акцент3 18" xfId="82" xr:uid="{00000000-0005-0000-0000-00004F000000}"/>
    <cellStyle name="20% - Акцент3 19" xfId="83" xr:uid="{00000000-0005-0000-0000-000050000000}"/>
    <cellStyle name="20% - Акцент3 2" xfId="84" xr:uid="{00000000-0005-0000-0000-000051000000}"/>
    <cellStyle name="20% - Акцент3 20" xfId="85" xr:uid="{00000000-0005-0000-0000-000052000000}"/>
    <cellStyle name="20% - Акцент3 21" xfId="86" xr:uid="{00000000-0005-0000-0000-000053000000}"/>
    <cellStyle name="20% - Акцент3 22" xfId="87" xr:uid="{00000000-0005-0000-0000-000054000000}"/>
    <cellStyle name="20% - Акцент3 23" xfId="88" xr:uid="{00000000-0005-0000-0000-000055000000}"/>
    <cellStyle name="20% - Акцент3 24" xfId="89" xr:uid="{00000000-0005-0000-0000-000056000000}"/>
    <cellStyle name="20% - Акцент3 25" xfId="90" xr:uid="{00000000-0005-0000-0000-000057000000}"/>
    <cellStyle name="20% - Акцент3 26" xfId="91" xr:uid="{00000000-0005-0000-0000-000058000000}"/>
    <cellStyle name="20% - Акцент3 3" xfId="92" xr:uid="{00000000-0005-0000-0000-000059000000}"/>
    <cellStyle name="20% - Акцент3 4" xfId="93" xr:uid="{00000000-0005-0000-0000-00005A000000}"/>
    <cellStyle name="20% - Акцент3 5" xfId="94" xr:uid="{00000000-0005-0000-0000-00005B000000}"/>
    <cellStyle name="20% - Акцент3 6" xfId="95" xr:uid="{00000000-0005-0000-0000-00005C000000}"/>
    <cellStyle name="20% - Акцент3 7" xfId="96" xr:uid="{00000000-0005-0000-0000-00005D000000}"/>
    <cellStyle name="20% - Акцент3 8" xfId="97" xr:uid="{00000000-0005-0000-0000-00005E000000}"/>
    <cellStyle name="20% - Акцент3 9" xfId="98" xr:uid="{00000000-0005-0000-0000-00005F000000}"/>
    <cellStyle name="20% - Акцент4 10" xfId="99" xr:uid="{00000000-0005-0000-0000-000060000000}"/>
    <cellStyle name="20% - Акцент4 11" xfId="100" xr:uid="{00000000-0005-0000-0000-000061000000}"/>
    <cellStyle name="20% - Акцент4 12" xfId="101" xr:uid="{00000000-0005-0000-0000-000062000000}"/>
    <cellStyle name="20% - Акцент4 13" xfId="102" xr:uid="{00000000-0005-0000-0000-000063000000}"/>
    <cellStyle name="20% - Акцент4 14" xfId="103" xr:uid="{00000000-0005-0000-0000-000064000000}"/>
    <cellStyle name="20% - Акцент4 15" xfId="104" xr:uid="{00000000-0005-0000-0000-000065000000}"/>
    <cellStyle name="20% - Акцент4 16" xfId="105" xr:uid="{00000000-0005-0000-0000-000066000000}"/>
    <cellStyle name="20% - Акцент4 17" xfId="106" xr:uid="{00000000-0005-0000-0000-000067000000}"/>
    <cellStyle name="20% - Акцент4 18" xfId="107" xr:uid="{00000000-0005-0000-0000-000068000000}"/>
    <cellStyle name="20% - Акцент4 19" xfId="108" xr:uid="{00000000-0005-0000-0000-000069000000}"/>
    <cellStyle name="20% - Акцент4 2" xfId="109" xr:uid="{00000000-0005-0000-0000-00006A000000}"/>
    <cellStyle name="20% - Акцент4 20" xfId="110" xr:uid="{00000000-0005-0000-0000-00006B000000}"/>
    <cellStyle name="20% - Акцент4 21" xfId="111" xr:uid="{00000000-0005-0000-0000-00006C000000}"/>
    <cellStyle name="20% - Акцент4 22" xfId="112" xr:uid="{00000000-0005-0000-0000-00006D000000}"/>
    <cellStyle name="20% - Акцент4 23" xfId="113" xr:uid="{00000000-0005-0000-0000-00006E000000}"/>
    <cellStyle name="20% - Акцент4 24" xfId="114" xr:uid="{00000000-0005-0000-0000-00006F000000}"/>
    <cellStyle name="20% - Акцент4 25" xfId="115" xr:uid="{00000000-0005-0000-0000-000070000000}"/>
    <cellStyle name="20% - Акцент4 26" xfId="116" xr:uid="{00000000-0005-0000-0000-000071000000}"/>
    <cellStyle name="20% - Акцент4 3" xfId="117" xr:uid="{00000000-0005-0000-0000-000072000000}"/>
    <cellStyle name="20% - Акцент4 4" xfId="118" xr:uid="{00000000-0005-0000-0000-000073000000}"/>
    <cellStyle name="20% - Акцент4 5" xfId="119" xr:uid="{00000000-0005-0000-0000-000074000000}"/>
    <cellStyle name="20% - Акцент4 6" xfId="120" xr:uid="{00000000-0005-0000-0000-000075000000}"/>
    <cellStyle name="20% - Акцент4 7" xfId="121" xr:uid="{00000000-0005-0000-0000-000076000000}"/>
    <cellStyle name="20% - Акцент4 8" xfId="122" xr:uid="{00000000-0005-0000-0000-000077000000}"/>
    <cellStyle name="20% - Акцент4 9" xfId="123" xr:uid="{00000000-0005-0000-0000-000078000000}"/>
    <cellStyle name="20% - Акцент5 10" xfId="124" xr:uid="{00000000-0005-0000-0000-000079000000}"/>
    <cellStyle name="20% - Акцент5 11" xfId="125" xr:uid="{00000000-0005-0000-0000-00007A000000}"/>
    <cellStyle name="20% - Акцент5 12" xfId="126" xr:uid="{00000000-0005-0000-0000-00007B000000}"/>
    <cellStyle name="20% - Акцент5 13" xfId="127" xr:uid="{00000000-0005-0000-0000-00007C000000}"/>
    <cellStyle name="20% - Акцент5 14" xfId="128" xr:uid="{00000000-0005-0000-0000-00007D000000}"/>
    <cellStyle name="20% - Акцент5 15" xfId="129" xr:uid="{00000000-0005-0000-0000-00007E000000}"/>
    <cellStyle name="20% - Акцент5 16" xfId="130" xr:uid="{00000000-0005-0000-0000-00007F000000}"/>
    <cellStyle name="20% - Акцент5 17" xfId="131" xr:uid="{00000000-0005-0000-0000-000080000000}"/>
    <cellStyle name="20% - Акцент5 18" xfId="132" xr:uid="{00000000-0005-0000-0000-000081000000}"/>
    <cellStyle name="20% - Акцент5 19" xfId="133" xr:uid="{00000000-0005-0000-0000-000082000000}"/>
    <cellStyle name="20% - Акцент5 2" xfId="134" xr:uid="{00000000-0005-0000-0000-000083000000}"/>
    <cellStyle name="20% - Акцент5 20" xfId="135" xr:uid="{00000000-0005-0000-0000-000084000000}"/>
    <cellStyle name="20% - Акцент5 21" xfId="136" xr:uid="{00000000-0005-0000-0000-000085000000}"/>
    <cellStyle name="20% - Акцент5 22" xfId="137" xr:uid="{00000000-0005-0000-0000-000086000000}"/>
    <cellStyle name="20% - Акцент5 23" xfId="138" xr:uid="{00000000-0005-0000-0000-000087000000}"/>
    <cellStyle name="20% - Акцент5 24" xfId="139" xr:uid="{00000000-0005-0000-0000-000088000000}"/>
    <cellStyle name="20% - Акцент5 25" xfId="140" xr:uid="{00000000-0005-0000-0000-000089000000}"/>
    <cellStyle name="20% - Акцент5 26" xfId="141" xr:uid="{00000000-0005-0000-0000-00008A000000}"/>
    <cellStyle name="20% - Акцент5 3" xfId="142" xr:uid="{00000000-0005-0000-0000-00008B000000}"/>
    <cellStyle name="20% - Акцент5 4" xfId="143" xr:uid="{00000000-0005-0000-0000-00008C000000}"/>
    <cellStyle name="20% - Акцент5 5" xfId="144" xr:uid="{00000000-0005-0000-0000-00008D000000}"/>
    <cellStyle name="20% - Акцент5 6" xfId="145" xr:uid="{00000000-0005-0000-0000-00008E000000}"/>
    <cellStyle name="20% - Акцент5 7" xfId="146" xr:uid="{00000000-0005-0000-0000-00008F000000}"/>
    <cellStyle name="20% - Акцент5 8" xfId="147" xr:uid="{00000000-0005-0000-0000-000090000000}"/>
    <cellStyle name="20% - Акцент5 9" xfId="148" xr:uid="{00000000-0005-0000-0000-000091000000}"/>
    <cellStyle name="20% - Акцент6 10" xfId="149" xr:uid="{00000000-0005-0000-0000-000092000000}"/>
    <cellStyle name="20% - Акцент6 11" xfId="150" xr:uid="{00000000-0005-0000-0000-000093000000}"/>
    <cellStyle name="20% - Акцент6 12" xfId="151" xr:uid="{00000000-0005-0000-0000-000094000000}"/>
    <cellStyle name="20% - Акцент6 13" xfId="152" xr:uid="{00000000-0005-0000-0000-000095000000}"/>
    <cellStyle name="20% - Акцент6 14" xfId="153" xr:uid="{00000000-0005-0000-0000-000096000000}"/>
    <cellStyle name="20% - Акцент6 15" xfId="154" xr:uid="{00000000-0005-0000-0000-000097000000}"/>
    <cellStyle name="20% - Акцент6 16" xfId="155" xr:uid="{00000000-0005-0000-0000-000098000000}"/>
    <cellStyle name="20% - Акцент6 17" xfId="156" xr:uid="{00000000-0005-0000-0000-000099000000}"/>
    <cellStyle name="20% - Акцент6 18" xfId="157" xr:uid="{00000000-0005-0000-0000-00009A000000}"/>
    <cellStyle name="20% - Акцент6 19" xfId="158" xr:uid="{00000000-0005-0000-0000-00009B000000}"/>
    <cellStyle name="20% - Акцент6 2" xfId="159" xr:uid="{00000000-0005-0000-0000-00009C000000}"/>
    <cellStyle name="20% - Акцент6 20" xfId="160" xr:uid="{00000000-0005-0000-0000-00009D000000}"/>
    <cellStyle name="20% - Акцент6 21" xfId="161" xr:uid="{00000000-0005-0000-0000-00009E000000}"/>
    <cellStyle name="20% - Акцент6 22" xfId="162" xr:uid="{00000000-0005-0000-0000-00009F000000}"/>
    <cellStyle name="20% - Акцент6 23" xfId="163" xr:uid="{00000000-0005-0000-0000-0000A0000000}"/>
    <cellStyle name="20% - Акцент6 24" xfId="164" xr:uid="{00000000-0005-0000-0000-0000A1000000}"/>
    <cellStyle name="20% - Акцент6 25" xfId="165" xr:uid="{00000000-0005-0000-0000-0000A2000000}"/>
    <cellStyle name="20% - Акцент6 26" xfId="166" xr:uid="{00000000-0005-0000-0000-0000A3000000}"/>
    <cellStyle name="20% - Акцент6 3" xfId="167" xr:uid="{00000000-0005-0000-0000-0000A4000000}"/>
    <cellStyle name="20% - Акцент6 4" xfId="168" xr:uid="{00000000-0005-0000-0000-0000A5000000}"/>
    <cellStyle name="20% - Акцент6 5" xfId="169" xr:uid="{00000000-0005-0000-0000-0000A6000000}"/>
    <cellStyle name="20% - Акцент6 6" xfId="170" xr:uid="{00000000-0005-0000-0000-0000A7000000}"/>
    <cellStyle name="20% - Акцент6 7" xfId="171" xr:uid="{00000000-0005-0000-0000-0000A8000000}"/>
    <cellStyle name="20% - Акцент6 8" xfId="172" xr:uid="{00000000-0005-0000-0000-0000A9000000}"/>
    <cellStyle name="20% - Акцент6 9" xfId="173" xr:uid="{00000000-0005-0000-0000-0000AA000000}"/>
    <cellStyle name="4 indents" xfId="1234" xr:uid="{00000000-0005-0000-0000-0000AB000000}"/>
    <cellStyle name="40% - Accent1" xfId="1235" xr:uid="{00000000-0005-0000-0000-0000AC000000}"/>
    <cellStyle name="40% - Accent2" xfId="1236" xr:uid="{00000000-0005-0000-0000-0000AD000000}"/>
    <cellStyle name="40% - Accent3" xfId="1237" xr:uid="{00000000-0005-0000-0000-0000AE000000}"/>
    <cellStyle name="40% - Accent4" xfId="1238" xr:uid="{00000000-0005-0000-0000-0000AF000000}"/>
    <cellStyle name="40% - Accent5" xfId="1239" xr:uid="{00000000-0005-0000-0000-0000B0000000}"/>
    <cellStyle name="40% - Accent6" xfId="1240" xr:uid="{00000000-0005-0000-0000-0000B1000000}"/>
    <cellStyle name="40% - Акцент1 10" xfId="174" xr:uid="{00000000-0005-0000-0000-0000B2000000}"/>
    <cellStyle name="40% - Акцент1 11" xfId="175" xr:uid="{00000000-0005-0000-0000-0000B3000000}"/>
    <cellStyle name="40% - Акцент1 12" xfId="176" xr:uid="{00000000-0005-0000-0000-0000B4000000}"/>
    <cellStyle name="40% - Акцент1 13" xfId="177" xr:uid="{00000000-0005-0000-0000-0000B5000000}"/>
    <cellStyle name="40% - Акцент1 14" xfId="178" xr:uid="{00000000-0005-0000-0000-0000B6000000}"/>
    <cellStyle name="40% - Акцент1 15" xfId="179" xr:uid="{00000000-0005-0000-0000-0000B7000000}"/>
    <cellStyle name="40% - Акцент1 16" xfId="180" xr:uid="{00000000-0005-0000-0000-0000B8000000}"/>
    <cellStyle name="40% - Акцент1 17" xfId="181" xr:uid="{00000000-0005-0000-0000-0000B9000000}"/>
    <cellStyle name="40% - Акцент1 18" xfId="182" xr:uid="{00000000-0005-0000-0000-0000BA000000}"/>
    <cellStyle name="40% - Акцент1 19" xfId="183" xr:uid="{00000000-0005-0000-0000-0000BB000000}"/>
    <cellStyle name="40% - Акцент1 2" xfId="184" xr:uid="{00000000-0005-0000-0000-0000BC000000}"/>
    <cellStyle name="40% - Акцент1 20" xfId="185" xr:uid="{00000000-0005-0000-0000-0000BD000000}"/>
    <cellStyle name="40% - Акцент1 21" xfId="186" xr:uid="{00000000-0005-0000-0000-0000BE000000}"/>
    <cellStyle name="40% - Акцент1 22" xfId="187" xr:uid="{00000000-0005-0000-0000-0000BF000000}"/>
    <cellStyle name="40% - Акцент1 23" xfId="188" xr:uid="{00000000-0005-0000-0000-0000C0000000}"/>
    <cellStyle name="40% - Акцент1 24" xfId="189" xr:uid="{00000000-0005-0000-0000-0000C1000000}"/>
    <cellStyle name="40% - Акцент1 25" xfId="190" xr:uid="{00000000-0005-0000-0000-0000C2000000}"/>
    <cellStyle name="40% - Акцент1 26" xfId="191" xr:uid="{00000000-0005-0000-0000-0000C3000000}"/>
    <cellStyle name="40% - Акцент1 3" xfId="192" xr:uid="{00000000-0005-0000-0000-0000C4000000}"/>
    <cellStyle name="40% - Акцент1 4" xfId="193" xr:uid="{00000000-0005-0000-0000-0000C5000000}"/>
    <cellStyle name="40% - Акцент1 5" xfId="194" xr:uid="{00000000-0005-0000-0000-0000C6000000}"/>
    <cellStyle name="40% - Акцент1 6" xfId="195" xr:uid="{00000000-0005-0000-0000-0000C7000000}"/>
    <cellStyle name="40% - Акцент1 7" xfId="196" xr:uid="{00000000-0005-0000-0000-0000C8000000}"/>
    <cellStyle name="40% - Акцент1 8" xfId="197" xr:uid="{00000000-0005-0000-0000-0000C9000000}"/>
    <cellStyle name="40% - Акцент1 9" xfId="198" xr:uid="{00000000-0005-0000-0000-0000CA000000}"/>
    <cellStyle name="40% - Акцент2 10" xfId="199" xr:uid="{00000000-0005-0000-0000-0000CB000000}"/>
    <cellStyle name="40% - Акцент2 11" xfId="200" xr:uid="{00000000-0005-0000-0000-0000CC000000}"/>
    <cellStyle name="40% - Акцент2 12" xfId="201" xr:uid="{00000000-0005-0000-0000-0000CD000000}"/>
    <cellStyle name="40% - Акцент2 13" xfId="202" xr:uid="{00000000-0005-0000-0000-0000CE000000}"/>
    <cellStyle name="40% - Акцент2 14" xfId="203" xr:uid="{00000000-0005-0000-0000-0000CF000000}"/>
    <cellStyle name="40% - Акцент2 15" xfId="204" xr:uid="{00000000-0005-0000-0000-0000D0000000}"/>
    <cellStyle name="40% - Акцент2 16" xfId="205" xr:uid="{00000000-0005-0000-0000-0000D1000000}"/>
    <cellStyle name="40% - Акцент2 17" xfId="206" xr:uid="{00000000-0005-0000-0000-0000D2000000}"/>
    <cellStyle name="40% - Акцент2 18" xfId="207" xr:uid="{00000000-0005-0000-0000-0000D3000000}"/>
    <cellStyle name="40% - Акцент2 19" xfId="208" xr:uid="{00000000-0005-0000-0000-0000D4000000}"/>
    <cellStyle name="40% - Акцент2 2" xfId="209" xr:uid="{00000000-0005-0000-0000-0000D5000000}"/>
    <cellStyle name="40% - Акцент2 20" xfId="210" xr:uid="{00000000-0005-0000-0000-0000D6000000}"/>
    <cellStyle name="40% - Акцент2 21" xfId="211" xr:uid="{00000000-0005-0000-0000-0000D7000000}"/>
    <cellStyle name="40% - Акцент2 22" xfId="212" xr:uid="{00000000-0005-0000-0000-0000D8000000}"/>
    <cellStyle name="40% - Акцент2 23" xfId="213" xr:uid="{00000000-0005-0000-0000-0000D9000000}"/>
    <cellStyle name="40% - Акцент2 24" xfId="214" xr:uid="{00000000-0005-0000-0000-0000DA000000}"/>
    <cellStyle name="40% - Акцент2 25" xfId="215" xr:uid="{00000000-0005-0000-0000-0000DB000000}"/>
    <cellStyle name="40% - Акцент2 26" xfId="216" xr:uid="{00000000-0005-0000-0000-0000DC000000}"/>
    <cellStyle name="40% - Акцент2 3" xfId="217" xr:uid="{00000000-0005-0000-0000-0000DD000000}"/>
    <cellStyle name="40% - Акцент2 4" xfId="218" xr:uid="{00000000-0005-0000-0000-0000DE000000}"/>
    <cellStyle name="40% - Акцент2 5" xfId="219" xr:uid="{00000000-0005-0000-0000-0000DF000000}"/>
    <cellStyle name="40% - Акцент2 6" xfId="220" xr:uid="{00000000-0005-0000-0000-0000E0000000}"/>
    <cellStyle name="40% - Акцент2 7" xfId="221" xr:uid="{00000000-0005-0000-0000-0000E1000000}"/>
    <cellStyle name="40% - Акцент2 8" xfId="222" xr:uid="{00000000-0005-0000-0000-0000E2000000}"/>
    <cellStyle name="40% - Акцент2 9" xfId="223" xr:uid="{00000000-0005-0000-0000-0000E3000000}"/>
    <cellStyle name="40% - Акцент3 10" xfId="224" xr:uid="{00000000-0005-0000-0000-0000E4000000}"/>
    <cellStyle name="40% - Акцент3 11" xfId="225" xr:uid="{00000000-0005-0000-0000-0000E5000000}"/>
    <cellStyle name="40% - Акцент3 12" xfId="226" xr:uid="{00000000-0005-0000-0000-0000E6000000}"/>
    <cellStyle name="40% - Акцент3 13" xfId="227" xr:uid="{00000000-0005-0000-0000-0000E7000000}"/>
    <cellStyle name="40% - Акцент3 14" xfId="228" xr:uid="{00000000-0005-0000-0000-0000E8000000}"/>
    <cellStyle name="40% - Акцент3 15" xfId="229" xr:uid="{00000000-0005-0000-0000-0000E9000000}"/>
    <cellStyle name="40% - Акцент3 16" xfId="230" xr:uid="{00000000-0005-0000-0000-0000EA000000}"/>
    <cellStyle name="40% - Акцент3 17" xfId="231" xr:uid="{00000000-0005-0000-0000-0000EB000000}"/>
    <cellStyle name="40% - Акцент3 18" xfId="232" xr:uid="{00000000-0005-0000-0000-0000EC000000}"/>
    <cellStyle name="40% - Акцент3 19" xfId="233" xr:uid="{00000000-0005-0000-0000-0000ED000000}"/>
    <cellStyle name="40% - Акцент3 2" xfId="234" xr:uid="{00000000-0005-0000-0000-0000EE000000}"/>
    <cellStyle name="40% - Акцент3 20" xfId="235" xr:uid="{00000000-0005-0000-0000-0000EF000000}"/>
    <cellStyle name="40% - Акцент3 21" xfId="236" xr:uid="{00000000-0005-0000-0000-0000F0000000}"/>
    <cellStyle name="40% - Акцент3 22" xfId="237" xr:uid="{00000000-0005-0000-0000-0000F1000000}"/>
    <cellStyle name="40% - Акцент3 23" xfId="238" xr:uid="{00000000-0005-0000-0000-0000F2000000}"/>
    <cellStyle name="40% - Акцент3 24" xfId="239" xr:uid="{00000000-0005-0000-0000-0000F3000000}"/>
    <cellStyle name="40% - Акцент3 25" xfId="240" xr:uid="{00000000-0005-0000-0000-0000F4000000}"/>
    <cellStyle name="40% - Акцент3 26" xfId="241" xr:uid="{00000000-0005-0000-0000-0000F5000000}"/>
    <cellStyle name="40% - Акцент3 3" xfId="242" xr:uid="{00000000-0005-0000-0000-0000F6000000}"/>
    <cellStyle name="40% - Акцент3 4" xfId="243" xr:uid="{00000000-0005-0000-0000-0000F7000000}"/>
    <cellStyle name="40% - Акцент3 5" xfId="244" xr:uid="{00000000-0005-0000-0000-0000F8000000}"/>
    <cellStyle name="40% - Акцент3 6" xfId="245" xr:uid="{00000000-0005-0000-0000-0000F9000000}"/>
    <cellStyle name="40% - Акцент3 7" xfId="246" xr:uid="{00000000-0005-0000-0000-0000FA000000}"/>
    <cellStyle name="40% - Акцент3 8" xfId="247" xr:uid="{00000000-0005-0000-0000-0000FB000000}"/>
    <cellStyle name="40% - Акцент3 9" xfId="248" xr:uid="{00000000-0005-0000-0000-0000FC000000}"/>
    <cellStyle name="40% - Акцент4 10" xfId="249" xr:uid="{00000000-0005-0000-0000-0000FD000000}"/>
    <cellStyle name="40% - Акцент4 11" xfId="250" xr:uid="{00000000-0005-0000-0000-0000FE000000}"/>
    <cellStyle name="40% - Акцент4 12" xfId="251" xr:uid="{00000000-0005-0000-0000-0000FF000000}"/>
    <cellStyle name="40% - Акцент4 13" xfId="252" xr:uid="{00000000-0005-0000-0000-000000010000}"/>
    <cellStyle name="40% - Акцент4 14" xfId="253" xr:uid="{00000000-0005-0000-0000-000001010000}"/>
    <cellStyle name="40% - Акцент4 15" xfId="254" xr:uid="{00000000-0005-0000-0000-000002010000}"/>
    <cellStyle name="40% - Акцент4 16" xfId="255" xr:uid="{00000000-0005-0000-0000-000003010000}"/>
    <cellStyle name="40% - Акцент4 17" xfId="256" xr:uid="{00000000-0005-0000-0000-000004010000}"/>
    <cellStyle name="40% - Акцент4 18" xfId="257" xr:uid="{00000000-0005-0000-0000-000005010000}"/>
    <cellStyle name="40% - Акцент4 19" xfId="258" xr:uid="{00000000-0005-0000-0000-000006010000}"/>
    <cellStyle name="40% - Акцент4 2" xfId="259" xr:uid="{00000000-0005-0000-0000-000007010000}"/>
    <cellStyle name="40% - Акцент4 20" xfId="260" xr:uid="{00000000-0005-0000-0000-000008010000}"/>
    <cellStyle name="40% - Акцент4 21" xfId="261" xr:uid="{00000000-0005-0000-0000-000009010000}"/>
    <cellStyle name="40% - Акцент4 22" xfId="262" xr:uid="{00000000-0005-0000-0000-00000A010000}"/>
    <cellStyle name="40% - Акцент4 23" xfId="263" xr:uid="{00000000-0005-0000-0000-00000B010000}"/>
    <cellStyle name="40% - Акцент4 24" xfId="264" xr:uid="{00000000-0005-0000-0000-00000C010000}"/>
    <cellStyle name="40% - Акцент4 25" xfId="265" xr:uid="{00000000-0005-0000-0000-00000D010000}"/>
    <cellStyle name="40% - Акцент4 26" xfId="266" xr:uid="{00000000-0005-0000-0000-00000E010000}"/>
    <cellStyle name="40% - Акцент4 3" xfId="267" xr:uid="{00000000-0005-0000-0000-00000F010000}"/>
    <cellStyle name="40% - Акцент4 4" xfId="268" xr:uid="{00000000-0005-0000-0000-000010010000}"/>
    <cellStyle name="40% - Акцент4 5" xfId="269" xr:uid="{00000000-0005-0000-0000-000011010000}"/>
    <cellStyle name="40% - Акцент4 6" xfId="270" xr:uid="{00000000-0005-0000-0000-000012010000}"/>
    <cellStyle name="40% - Акцент4 7" xfId="271" xr:uid="{00000000-0005-0000-0000-000013010000}"/>
    <cellStyle name="40% - Акцент4 8" xfId="272" xr:uid="{00000000-0005-0000-0000-000014010000}"/>
    <cellStyle name="40% - Акцент4 9" xfId="273" xr:uid="{00000000-0005-0000-0000-000015010000}"/>
    <cellStyle name="40% - Акцент5 10" xfId="274" xr:uid="{00000000-0005-0000-0000-000016010000}"/>
    <cellStyle name="40% - Акцент5 11" xfId="275" xr:uid="{00000000-0005-0000-0000-000017010000}"/>
    <cellStyle name="40% - Акцент5 12" xfId="276" xr:uid="{00000000-0005-0000-0000-000018010000}"/>
    <cellStyle name="40% - Акцент5 13" xfId="277" xr:uid="{00000000-0005-0000-0000-000019010000}"/>
    <cellStyle name="40% - Акцент5 14" xfId="278" xr:uid="{00000000-0005-0000-0000-00001A010000}"/>
    <cellStyle name="40% - Акцент5 15" xfId="279" xr:uid="{00000000-0005-0000-0000-00001B010000}"/>
    <cellStyle name="40% - Акцент5 16" xfId="280" xr:uid="{00000000-0005-0000-0000-00001C010000}"/>
    <cellStyle name="40% - Акцент5 17" xfId="281" xr:uid="{00000000-0005-0000-0000-00001D010000}"/>
    <cellStyle name="40% - Акцент5 18" xfId="282" xr:uid="{00000000-0005-0000-0000-00001E010000}"/>
    <cellStyle name="40% - Акцент5 19" xfId="283" xr:uid="{00000000-0005-0000-0000-00001F010000}"/>
    <cellStyle name="40% - Акцент5 2" xfId="284" xr:uid="{00000000-0005-0000-0000-000020010000}"/>
    <cellStyle name="40% - Акцент5 20" xfId="285" xr:uid="{00000000-0005-0000-0000-000021010000}"/>
    <cellStyle name="40% - Акцент5 21" xfId="286" xr:uid="{00000000-0005-0000-0000-000022010000}"/>
    <cellStyle name="40% - Акцент5 22" xfId="287" xr:uid="{00000000-0005-0000-0000-000023010000}"/>
    <cellStyle name="40% - Акцент5 23" xfId="288" xr:uid="{00000000-0005-0000-0000-000024010000}"/>
    <cellStyle name="40% - Акцент5 24" xfId="289" xr:uid="{00000000-0005-0000-0000-000025010000}"/>
    <cellStyle name="40% - Акцент5 25" xfId="290" xr:uid="{00000000-0005-0000-0000-000026010000}"/>
    <cellStyle name="40% - Акцент5 26" xfId="291" xr:uid="{00000000-0005-0000-0000-000027010000}"/>
    <cellStyle name="40% - Акцент5 3" xfId="292" xr:uid="{00000000-0005-0000-0000-000028010000}"/>
    <cellStyle name="40% - Акцент5 4" xfId="293" xr:uid="{00000000-0005-0000-0000-000029010000}"/>
    <cellStyle name="40% - Акцент5 5" xfId="294" xr:uid="{00000000-0005-0000-0000-00002A010000}"/>
    <cellStyle name="40% - Акцент5 6" xfId="295" xr:uid="{00000000-0005-0000-0000-00002B010000}"/>
    <cellStyle name="40% - Акцент5 7" xfId="296" xr:uid="{00000000-0005-0000-0000-00002C010000}"/>
    <cellStyle name="40% - Акцент5 8" xfId="297" xr:uid="{00000000-0005-0000-0000-00002D010000}"/>
    <cellStyle name="40% - Акцент5 9" xfId="298" xr:uid="{00000000-0005-0000-0000-00002E010000}"/>
    <cellStyle name="40% - Акцент6 10" xfId="299" xr:uid="{00000000-0005-0000-0000-00002F010000}"/>
    <cellStyle name="40% - Акцент6 11" xfId="300" xr:uid="{00000000-0005-0000-0000-000030010000}"/>
    <cellStyle name="40% - Акцент6 12" xfId="301" xr:uid="{00000000-0005-0000-0000-000031010000}"/>
    <cellStyle name="40% - Акцент6 13" xfId="302" xr:uid="{00000000-0005-0000-0000-000032010000}"/>
    <cellStyle name="40% - Акцент6 14" xfId="303" xr:uid="{00000000-0005-0000-0000-000033010000}"/>
    <cellStyle name="40% - Акцент6 15" xfId="304" xr:uid="{00000000-0005-0000-0000-000034010000}"/>
    <cellStyle name="40% - Акцент6 16" xfId="305" xr:uid="{00000000-0005-0000-0000-000035010000}"/>
    <cellStyle name="40% - Акцент6 17" xfId="306" xr:uid="{00000000-0005-0000-0000-000036010000}"/>
    <cellStyle name="40% - Акцент6 18" xfId="307" xr:uid="{00000000-0005-0000-0000-000037010000}"/>
    <cellStyle name="40% - Акцент6 19" xfId="308" xr:uid="{00000000-0005-0000-0000-000038010000}"/>
    <cellStyle name="40% - Акцент6 2" xfId="309" xr:uid="{00000000-0005-0000-0000-000039010000}"/>
    <cellStyle name="40% - Акцент6 20" xfId="310" xr:uid="{00000000-0005-0000-0000-00003A010000}"/>
    <cellStyle name="40% - Акцент6 21" xfId="311" xr:uid="{00000000-0005-0000-0000-00003B010000}"/>
    <cellStyle name="40% - Акцент6 22" xfId="312" xr:uid="{00000000-0005-0000-0000-00003C010000}"/>
    <cellStyle name="40% - Акцент6 23" xfId="313" xr:uid="{00000000-0005-0000-0000-00003D010000}"/>
    <cellStyle name="40% - Акцент6 24" xfId="314" xr:uid="{00000000-0005-0000-0000-00003E010000}"/>
    <cellStyle name="40% - Акцент6 25" xfId="315" xr:uid="{00000000-0005-0000-0000-00003F010000}"/>
    <cellStyle name="40% - Акцент6 26" xfId="316" xr:uid="{00000000-0005-0000-0000-000040010000}"/>
    <cellStyle name="40% - Акцент6 3" xfId="317" xr:uid="{00000000-0005-0000-0000-000041010000}"/>
    <cellStyle name="40% - Акцент6 4" xfId="318" xr:uid="{00000000-0005-0000-0000-000042010000}"/>
    <cellStyle name="40% - Акцент6 5" xfId="319" xr:uid="{00000000-0005-0000-0000-000043010000}"/>
    <cellStyle name="40% - Акцент6 6" xfId="320" xr:uid="{00000000-0005-0000-0000-000044010000}"/>
    <cellStyle name="40% - Акцент6 7" xfId="321" xr:uid="{00000000-0005-0000-0000-000045010000}"/>
    <cellStyle name="40% - Акцент6 8" xfId="322" xr:uid="{00000000-0005-0000-0000-000046010000}"/>
    <cellStyle name="40% - Акцент6 9" xfId="323" xr:uid="{00000000-0005-0000-0000-000047010000}"/>
    <cellStyle name="60% - Accent1" xfId="1241" xr:uid="{00000000-0005-0000-0000-000048010000}"/>
    <cellStyle name="60% - Accent2" xfId="1242" xr:uid="{00000000-0005-0000-0000-000049010000}"/>
    <cellStyle name="60% - Accent3" xfId="1243" xr:uid="{00000000-0005-0000-0000-00004A010000}"/>
    <cellStyle name="60% - Accent4" xfId="1244" xr:uid="{00000000-0005-0000-0000-00004B010000}"/>
    <cellStyle name="60% - Accent5" xfId="1245" xr:uid="{00000000-0005-0000-0000-00004C010000}"/>
    <cellStyle name="60% - Accent6" xfId="1246" xr:uid="{00000000-0005-0000-0000-00004D010000}"/>
    <cellStyle name="Accent1" xfId="1247" xr:uid="{00000000-0005-0000-0000-00004E010000}"/>
    <cellStyle name="Accent2" xfId="1248" xr:uid="{00000000-0005-0000-0000-00004F010000}"/>
    <cellStyle name="Accent3" xfId="1249" xr:uid="{00000000-0005-0000-0000-000050010000}"/>
    <cellStyle name="Accent4" xfId="1250" xr:uid="{00000000-0005-0000-0000-000051010000}"/>
    <cellStyle name="Accent5" xfId="1251" xr:uid="{00000000-0005-0000-0000-000052010000}"/>
    <cellStyle name="Accent6" xfId="1252" xr:uid="{00000000-0005-0000-0000-000053010000}"/>
    <cellStyle name="Bad" xfId="1253" xr:uid="{00000000-0005-0000-0000-000054010000}"/>
    <cellStyle name="Calculation" xfId="1254" xr:uid="{00000000-0005-0000-0000-000055010000}"/>
    <cellStyle name="Check Cell" xfId="1255" xr:uid="{00000000-0005-0000-0000-000056010000}"/>
    <cellStyle name="Column_Title" xfId="324" xr:uid="{00000000-0005-0000-0000-000057010000}"/>
    <cellStyle name="Comma [0]_1 MAIN" xfId="325" xr:uid="{00000000-0005-0000-0000-000058010000}"/>
    <cellStyle name="Comma 2" xfId="1256" xr:uid="{00000000-0005-0000-0000-000059010000}"/>
    <cellStyle name="Comma_1 MAIN" xfId="326" xr:uid="{00000000-0005-0000-0000-00005A010000}"/>
    <cellStyle name="Comma0" xfId="1257" xr:uid="{00000000-0005-0000-0000-00005B010000}"/>
    <cellStyle name="common" xfId="1258" xr:uid="{00000000-0005-0000-0000-00005C010000}"/>
    <cellStyle name="Currency_Copy of SEI1098d" xfId="1259" xr:uid="{00000000-0005-0000-0000-00005D010000}"/>
    <cellStyle name="Currency0" xfId="1260" xr:uid="{00000000-0005-0000-0000-00005E010000}"/>
    <cellStyle name="Date" xfId="1261" xr:uid="{00000000-0005-0000-0000-00005F010000}"/>
    <cellStyle name="Euro" xfId="1262" xr:uid="{00000000-0005-0000-0000-000060010000}"/>
    <cellStyle name="Excel.Chart" xfId="1263" xr:uid="{00000000-0005-0000-0000-000061010000}"/>
    <cellStyle name="Explanatory Text" xfId="1264" xr:uid="{00000000-0005-0000-0000-000062010000}"/>
    <cellStyle name="Fixed" xfId="1265" xr:uid="{00000000-0005-0000-0000-000063010000}"/>
    <cellStyle name="Good" xfId="1266" xr:uid="{00000000-0005-0000-0000-000064010000}"/>
    <cellStyle name="Heading 1" xfId="1267" xr:uid="{00000000-0005-0000-0000-000065010000}"/>
    <cellStyle name="Heading 2" xfId="1268" xr:uid="{00000000-0005-0000-0000-000066010000}"/>
    <cellStyle name="Heading 3" xfId="1269" xr:uid="{00000000-0005-0000-0000-000067010000}"/>
    <cellStyle name="Heading 4" xfId="1270" xr:uid="{00000000-0005-0000-0000-000068010000}"/>
    <cellStyle name="imf-one decimal" xfId="1271" xr:uid="{00000000-0005-0000-0000-000069010000}"/>
    <cellStyle name="Input" xfId="1272" xr:uid="{00000000-0005-0000-0000-00006A010000}"/>
    <cellStyle name="Linked Cell" xfId="1273" xr:uid="{00000000-0005-0000-0000-00006B010000}"/>
    <cellStyle name="Millares [0]_11.1.3. bis" xfId="1274" xr:uid="{00000000-0005-0000-0000-00006C010000}"/>
    <cellStyle name="Millares_11.1.3. bis" xfId="1275" xr:uid="{00000000-0005-0000-0000-00006D010000}"/>
    <cellStyle name="Moneda [0]_11.1.3. bis" xfId="1276" xr:uid="{00000000-0005-0000-0000-00006E010000}"/>
    <cellStyle name="Moneda_11.1.3. bis" xfId="1277" xr:uid="{00000000-0005-0000-0000-00006F010000}"/>
    <cellStyle name="mystyle" xfId="1278" xr:uid="{00000000-0005-0000-0000-000070010000}"/>
    <cellStyle name="Neutral" xfId="1279" xr:uid="{00000000-0005-0000-0000-000071010000}"/>
    <cellStyle name="Normal - Style1" xfId="1280" xr:uid="{00000000-0005-0000-0000-000072010000}"/>
    <cellStyle name="Normal 2" xfId="327" xr:uid="{00000000-0005-0000-0000-000073010000}"/>
    <cellStyle name="Normal 2 2" xfId="1225" xr:uid="{00000000-0005-0000-0000-000074010000}"/>
    <cellStyle name="Normal_1 MAIN" xfId="328" xr:uid="{00000000-0005-0000-0000-000075010000}"/>
    <cellStyle name="Note" xfId="1281" xr:uid="{00000000-0005-0000-0000-000076010000}"/>
    <cellStyle name="Output" xfId="1282" xr:uid="{00000000-0005-0000-0000-000077010000}"/>
    <cellStyle name="Percent 2" xfId="329" xr:uid="{00000000-0005-0000-0000-000078010000}"/>
    <cellStyle name="Percent_Copy of SEI1098d" xfId="1283" xr:uid="{00000000-0005-0000-0000-000079010000}"/>
    <cellStyle name="percentage difference" xfId="1284" xr:uid="{00000000-0005-0000-0000-00007A010000}"/>
    <cellStyle name="Title" xfId="1285" xr:uid="{00000000-0005-0000-0000-00007B010000}"/>
    <cellStyle name="Total" xfId="1286" xr:uid="{00000000-0005-0000-0000-00007C010000}"/>
    <cellStyle name="Warning Text" xfId="1287" xr:uid="{00000000-0005-0000-0000-00007D010000}"/>
    <cellStyle name="Обычный" xfId="0" builtinId="0"/>
    <cellStyle name="Обычный 10" xfId="330" xr:uid="{00000000-0005-0000-0000-00007F010000}"/>
    <cellStyle name="Обычный 10 10" xfId="331" xr:uid="{00000000-0005-0000-0000-000080010000}"/>
    <cellStyle name="Обычный 10 11" xfId="332" xr:uid="{00000000-0005-0000-0000-000081010000}"/>
    <cellStyle name="Обычный 10 2" xfId="333" xr:uid="{00000000-0005-0000-0000-000082010000}"/>
    <cellStyle name="Обычный 10 2 2" xfId="334" xr:uid="{00000000-0005-0000-0000-000083010000}"/>
    <cellStyle name="Обычный 10 2 2 2" xfId="335" xr:uid="{00000000-0005-0000-0000-000084010000}"/>
    <cellStyle name="Обычный 10 2 3" xfId="336" xr:uid="{00000000-0005-0000-0000-000085010000}"/>
    <cellStyle name="Обычный 10 3" xfId="337" xr:uid="{00000000-0005-0000-0000-000086010000}"/>
    <cellStyle name="Обычный 10 3 2" xfId="338" xr:uid="{00000000-0005-0000-0000-000087010000}"/>
    <cellStyle name="Обычный 10 3 3" xfId="339" xr:uid="{00000000-0005-0000-0000-000088010000}"/>
    <cellStyle name="Обычный 10 4" xfId="340" xr:uid="{00000000-0005-0000-0000-000089010000}"/>
    <cellStyle name="Обычный 10 5" xfId="341" xr:uid="{00000000-0005-0000-0000-00008A010000}"/>
    <cellStyle name="Обычный 10 6" xfId="342" xr:uid="{00000000-0005-0000-0000-00008B010000}"/>
    <cellStyle name="Обычный 10 7" xfId="343" xr:uid="{00000000-0005-0000-0000-00008C010000}"/>
    <cellStyle name="Обычный 10 8" xfId="344" xr:uid="{00000000-0005-0000-0000-00008D010000}"/>
    <cellStyle name="Обычный 10 9" xfId="345" xr:uid="{00000000-0005-0000-0000-00008E010000}"/>
    <cellStyle name="Обычный 100" xfId="346" xr:uid="{00000000-0005-0000-0000-00008F010000}"/>
    <cellStyle name="Обычный 100 2" xfId="347" xr:uid="{00000000-0005-0000-0000-000090010000}"/>
    <cellStyle name="Обычный 100 2 2" xfId="348" xr:uid="{00000000-0005-0000-0000-000091010000}"/>
    <cellStyle name="Обычный 101" xfId="349" xr:uid="{00000000-0005-0000-0000-000092010000}"/>
    <cellStyle name="Обычный 102" xfId="350" xr:uid="{00000000-0005-0000-0000-000093010000}"/>
    <cellStyle name="Обычный 103" xfId="351" xr:uid="{00000000-0005-0000-0000-000094010000}"/>
    <cellStyle name="Обычный 104" xfId="352" xr:uid="{00000000-0005-0000-0000-000095010000}"/>
    <cellStyle name="Обычный 106" xfId="353" xr:uid="{00000000-0005-0000-0000-000096010000}"/>
    <cellStyle name="Обычный 107" xfId="354" xr:uid="{00000000-0005-0000-0000-000097010000}"/>
    <cellStyle name="Обычный 109" xfId="355" xr:uid="{00000000-0005-0000-0000-000098010000}"/>
    <cellStyle name="Обычный 11" xfId="356" xr:uid="{00000000-0005-0000-0000-000099010000}"/>
    <cellStyle name="Обычный 11 2" xfId="357" xr:uid="{00000000-0005-0000-0000-00009A010000}"/>
    <cellStyle name="Обычный 11 2 2" xfId="358" xr:uid="{00000000-0005-0000-0000-00009B010000}"/>
    <cellStyle name="Обычный 11 3" xfId="359" xr:uid="{00000000-0005-0000-0000-00009C010000}"/>
    <cellStyle name="Обычный 11 4" xfId="360" xr:uid="{00000000-0005-0000-0000-00009D010000}"/>
    <cellStyle name="Обычный 11 6" xfId="361" xr:uid="{00000000-0005-0000-0000-00009E010000}"/>
    <cellStyle name="Обычный 110" xfId="362" xr:uid="{00000000-0005-0000-0000-00009F010000}"/>
    <cellStyle name="Обычный 112" xfId="363" xr:uid="{00000000-0005-0000-0000-0000A0010000}"/>
    <cellStyle name="Обычный 113" xfId="364" xr:uid="{00000000-0005-0000-0000-0000A1010000}"/>
    <cellStyle name="Обычный 115" xfId="365" xr:uid="{00000000-0005-0000-0000-0000A2010000}"/>
    <cellStyle name="Обычный 116" xfId="366" xr:uid="{00000000-0005-0000-0000-0000A3010000}"/>
    <cellStyle name="Обычный 118" xfId="367" xr:uid="{00000000-0005-0000-0000-0000A4010000}"/>
    <cellStyle name="Обычный 12" xfId="368" xr:uid="{00000000-0005-0000-0000-0000A5010000}"/>
    <cellStyle name="Обычный 12 2" xfId="369" xr:uid="{00000000-0005-0000-0000-0000A6010000}"/>
    <cellStyle name="Обычный 12 2 2" xfId="370" xr:uid="{00000000-0005-0000-0000-0000A7010000}"/>
    <cellStyle name="Обычный 12 3" xfId="371" xr:uid="{00000000-0005-0000-0000-0000A8010000}"/>
    <cellStyle name="Обычный 12 4" xfId="372" xr:uid="{00000000-0005-0000-0000-0000A9010000}"/>
    <cellStyle name="Обычный 12 5" xfId="373" xr:uid="{00000000-0005-0000-0000-0000AA010000}"/>
    <cellStyle name="Обычный 12 6" xfId="374" xr:uid="{00000000-0005-0000-0000-0000AB010000}"/>
    <cellStyle name="Обычный 12 7" xfId="375" xr:uid="{00000000-0005-0000-0000-0000AC010000}"/>
    <cellStyle name="Обычный 12 8" xfId="376" xr:uid="{00000000-0005-0000-0000-0000AD010000}"/>
    <cellStyle name="Обычный 120" xfId="377" xr:uid="{00000000-0005-0000-0000-0000AE010000}"/>
    <cellStyle name="Обычный 121" xfId="378" xr:uid="{00000000-0005-0000-0000-0000AF010000}"/>
    <cellStyle name="Обычный 122" xfId="379" xr:uid="{00000000-0005-0000-0000-0000B0010000}"/>
    <cellStyle name="Обычный 123" xfId="380" xr:uid="{00000000-0005-0000-0000-0000B1010000}"/>
    <cellStyle name="Обычный 13" xfId="381" xr:uid="{00000000-0005-0000-0000-0000B2010000}"/>
    <cellStyle name="Обычный 13 2" xfId="382" xr:uid="{00000000-0005-0000-0000-0000B3010000}"/>
    <cellStyle name="Обычный 13 2 2" xfId="383" xr:uid="{00000000-0005-0000-0000-0000B4010000}"/>
    <cellStyle name="Обычный 14" xfId="384" xr:uid="{00000000-0005-0000-0000-0000B5010000}"/>
    <cellStyle name="Обычный 14 2" xfId="385" xr:uid="{00000000-0005-0000-0000-0000B6010000}"/>
    <cellStyle name="Обычный 14 2 2" xfId="386" xr:uid="{00000000-0005-0000-0000-0000B7010000}"/>
    <cellStyle name="Обычный 14 3" xfId="387" xr:uid="{00000000-0005-0000-0000-0000B8010000}"/>
    <cellStyle name="Обычный 14 4" xfId="388" xr:uid="{00000000-0005-0000-0000-0000B9010000}"/>
    <cellStyle name="Обычный 14 5" xfId="389" xr:uid="{00000000-0005-0000-0000-0000BA010000}"/>
    <cellStyle name="Обычный 144" xfId="390" xr:uid="{00000000-0005-0000-0000-0000BB010000}"/>
    <cellStyle name="Обычный 147" xfId="391" xr:uid="{00000000-0005-0000-0000-0000BC010000}"/>
    <cellStyle name="Обычный 148" xfId="392" xr:uid="{00000000-0005-0000-0000-0000BD010000}"/>
    <cellStyle name="Обычный 15" xfId="393" xr:uid="{00000000-0005-0000-0000-0000BE010000}"/>
    <cellStyle name="Обычный 15 2" xfId="394" xr:uid="{00000000-0005-0000-0000-0000BF010000}"/>
    <cellStyle name="Обычный 15 2 2" xfId="395" xr:uid="{00000000-0005-0000-0000-0000C0010000}"/>
    <cellStyle name="Обычный 15 2 3" xfId="396" xr:uid="{00000000-0005-0000-0000-0000C1010000}"/>
    <cellStyle name="Обычный 15 2 4" xfId="397" xr:uid="{00000000-0005-0000-0000-0000C2010000}"/>
    <cellStyle name="Обычный 15 2 5" xfId="398" xr:uid="{00000000-0005-0000-0000-0000C3010000}"/>
    <cellStyle name="Обычный 15 2 6" xfId="399" xr:uid="{00000000-0005-0000-0000-0000C4010000}"/>
    <cellStyle name="Обычный 15 3" xfId="400" xr:uid="{00000000-0005-0000-0000-0000C5010000}"/>
    <cellStyle name="Обычный 15 4" xfId="401" xr:uid="{00000000-0005-0000-0000-0000C6010000}"/>
    <cellStyle name="Обычный 15 5" xfId="402" xr:uid="{00000000-0005-0000-0000-0000C7010000}"/>
    <cellStyle name="Обычный 16" xfId="403" xr:uid="{00000000-0005-0000-0000-0000C8010000}"/>
    <cellStyle name="Обычный 16 10" xfId="404" xr:uid="{00000000-0005-0000-0000-0000C9010000}"/>
    <cellStyle name="Обычный 16 11" xfId="405" xr:uid="{00000000-0005-0000-0000-0000CA010000}"/>
    <cellStyle name="Обычный 16 12" xfId="406" xr:uid="{00000000-0005-0000-0000-0000CB010000}"/>
    <cellStyle name="Обычный 16 13" xfId="407" xr:uid="{00000000-0005-0000-0000-0000CC010000}"/>
    <cellStyle name="Обычный 16 14" xfId="408" xr:uid="{00000000-0005-0000-0000-0000CD010000}"/>
    <cellStyle name="Обычный 16 2" xfId="409" xr:uid="{00000000-0005-0000-0000-0000CE010000}"/>
    <cellStyle name="Обычный 16 2 2" xfId="410" xr:uid="{00000000-0005-0000-0000-0000CF010000}"/>
    <cellStyle name="Обычный 16 3" xfId="411" xr:uid="{00000000-0005-0000-0000-0000D0010000}"/>
    <cellStyle name="Обычный 16 3 2" xfId="412" xr:uid="{00000000-0005-0000-0000-0000D1010000}"/>
    <cellStyle name="Обычный 16 4" xfId="413" xr:uid="{00000000-0005-0000-0000-0000D2010000}"/>
    <cellStyle name="Обычный 16 4 2" xfId="414" xr:uid="{00000000-0005-0000-0000-0000D3010000}"/>
    <cellStyle name="Обычный 16 5" xfId="415" xr:uid="{00000000-0005-0000-0000-0000D4010000}"/>
    <cellStyle name="Обычный 16 6" xfId="416" xr:uid="{00000000-0005-0000-0000-0000D5010000}"/>
    <cellStyle name="Обычный 16 7" xfId="417" xr:uid="{00000000-0005-0000-0000-0000D6010000}"/>
    <cellStyle name="Обычный 16 8" xfId="418" xr:uid="{00000000-0005-0000-0000-0000D7010000}"/>
    <cellStyle name="Обычный 16 9" xfId="419" xr:uid="{00000000-0005-0000-0000-0000D8010000}"/>
    <cellStyle name="Обычный 17" xfId="420" xr:uid="{00000000-0005-0000-0000-0000D9010000}"/>
    <cellStyle name="Обычный 17 2" xfId="421" xr:uid="{00000000-0005-0000-0000-0000DA010000}"/>
    <cellStyle name="Обычный 17 2 2" xfId="422" xr:uid="{00000000-0005-0000-0000-0000DB010000}"/>
    <cellStyle name="Обычный 17 3" xfId="423" xr:uid="{00000000-0005-0000-0000-0000DC010000}"/>
    <cellStyle name="Обычный 17 4" xfId="424" xr:uid="{00000000-0005-0000-0000-0000DD010000}"/>
    <cellStyle name="Обычный 18" xfId="425" xr:uid="{00000000-0005-0000-0000-0000DE010000}"/>
    <cellStyle name="Обычный 18 2" xfId="426" xr:uid="{00000000-0005-0000-0000-0000DF010000}"/>
    <cellStyle name="Обычный 18 2 2" xfId="427" xr:uid="{00000000-0005-0000-0000-0000E0010000}"/>
    <cellStyle name="Обычный 18 2 2 2" xfId="428" xr:uid="{00000000-0005-0000-0000-0000E1010000}"/>
    <cellStyle name="Обычный 18 2 3" xfId="429" xr:uid="{00000000-0005-0000-0000-0000E2010000}"/>
    <cellStyle name="Обычный 18 2 4" xfId="430" xr:uid="{00000000-0005-0000-0000-0000E3010000}"/>
    <cellStyle name="Обычный 18 3" xfId="431" xr:uid="{00000000-0005-0000-0000-0000E4010000}"/>
    <cellStyle name="Обычный 18 3 2" xfId="432" xr:uid="{00000000-0005-0000-0000-0000E5010000}"/>
    <cellStyle name="Обычный 18 4" xfId="433" xr:uid="{00000000-0005-0000-0000-0000E6010000}"/>
    <cellStyle name="Обычный 18 5" xfId="434" xr:uid="{00000000-0005-0000-0000-0000E7010000}"/>
    <cellStyle name="Обычный 18 6" xfId="435" xr:uid="{00000000-0005-0000-0000-0000E8010000}"/>
    <cellStyle name="Обычный 188" xfId="436" xr:uid="{00000000-0005-0000-0000-0000E9010000}"/>
    <cellStyle name="Обычный 19" xfId="437" xr:uid="{00000000-0005-0000-0000-0000EA010000}"/>
    <cellStyle name="Обычный 19 2" xfId="438" xr:uid="{00000000-0005-0000-0000-0000EB010000}"/>
    <cellStyle name="Обычный 19 2 2" xfId="439" xr:uid="{00000000-0005-0000-0000-0000EC010000}"/>
    <cellStyle name="Обычный 19 2 3" xfId="440" xr:uid="{00000000-0005-0000-0000-0000ED010000}"/>
    <cellStyle name="Обычный 19 3" xfId="441" xr:uid="{00000000-0005-0000-0000-0000EE010000}"/>
    <cellStyle name="Обычный 190" xfId="442" xr:uid="{00000000-0005-0000-0000-0000EF010000}"/>
    <cellStyle name="Обычный 2" xfId="1" xr:uid="{00000000-0005-0000-0000-0000F0010000}"/>
    <cellStyle name="Обычный 2 10" xfId="443" xr:uid="{00000000-0005-0000-0000-0000F1010000}"/>
    <cellStyle name="Обычный 2 11" xfId="444" xr:uid="{00000000-0005-0000-0000-0000F2010000}"/>
    <cellStyle name="Обычный 2 12" xfId="445" xr:uid="{00000000-0005-0000-0000-0000F3010000}"/>
    <cellStyle name="Обычный 2 13" xfId="446" xr:uid="{00000000-0005-0000-0000-0000F4010000}"/>
    <cellStyle name="Обычный 2 14" xfId="447" xr:uid="{00000000-0005-0000-0000-0000F5010000}"/>
    <cellStyle name="Обычный 2 15" xfId="448" xr:uid="{00000000-0005-0000-0000-0000F6010000}"/>
    <cellStyle name="Обычный 2 16" xfId="449" xr:uid="{00000000-0005-0000-0000-0000F7010000}"/>
    <cellStyle name="Обычный 2 17" xfId="450" xr:uid="{00000000-0005-0000-0000-0000F8010000}"/>
    <cellStyle name="Обычный 2 18" xfId="451" xr:uid="{00000000-0005-0000-0000-0000F9010000}"/>
    <cellStyle name="Обычный 2 19" xfId="452" xr:uid="{00000000-0005-0000-0000-0000FA010000}"/>
    <cellStyle name="Обычный 2 2" xfId="453" xr:uid="{00000000-0005-0000-0000-0000FB010000}"/>
    <cellStyle name="Обычный 2 2 10" xfId="454" xr:uid="{00000000-0005-0000-0000-0000FC010000}"/>
    <cellStyle name="Обычный 2 2 10 2" xfId="455" xr:uid="{00000000-0005-0000-0000-0000FD010000}"/>
    <cellStyle name="Обычный 2 2 11" xfId="456" xr:uid="{00000000-0005-0000-0000-0000FE010000}"/>
    <cellStyle name="Обычный 2 2 11 2" xfId="457" xr:uid="{00000000-0005-0000-0000-0000FF010000}"/>
    <cellStyle name="Обычный 2 2 12" xfId="458" xr:uid="{00000000-0005-0000-0000-000000020000}"/>
    <cellStyle name="Обычный 2 2 12 2" xfId="459" xr:uid="{00000000-0005-0000-0000-000001020000}"/>
    <cellStyle name="Обычный 2 2 13" xfId="460" xr:uid="{00000000-0005-0000-0000-000002020000}"/>
    <cellStyle name="Обычный 2 2 13 2" xfId="461" xr:uid="{00000000-0005-0000-0000-000003020000}"/>
    <cellStyle name="Обычный 2 2 14" xfId="462" xr:uid="{00000000-0005-0000-0000-000004020000}"/>
    <cellStyle name="Обычный 2 2 14 2" xfId="463" xr:uid="{00000000-0005-0000-0000-000005020000}"/>
    <cellStyle name="Обычный 2 2 15" xfId="464" xr:uid="{00000000-0005-0000-0000-000006020000}"/>
    <cellStyle name="Обычный 2 2 15 2" xfId="465" xr:uid="{00000000-0005-0000-0000-000007020000}"/>
    <cellStyle name="Обычный 2 2 16" xfId="466" xr:uid="{00000000-0005-0000-0000-000008020000}"/>
    <cellStyle name="Обычный 2 2 16 2" xfId="467" xr:uid="{00000000-0005-0000-0000-000009020000}"/>
    <cellStyle name="Обычный 2 2 17" xfId="468" xr:uid="{00000000-0005-0000-0000-00000A020000}"/>
    <cellStyle name="Обычный 2 2 17 2" xfId="469" xr:uid="{00000000-0005-0000-0000-00000B020000}"/>
    <cellStyle name="Обычный 2 2 18" xfId="470" xr:uid="{00000000-0005-0000-0000-00000C020000}"/>
    <cellStyle name="Обычный 2 2 18 2" xfId="471" xr:uid="{00000000-0005-0000-0000-00000D020000}"/>
    <cellStyle name="Обычный 2 2 19" xfId="472" xr:uid="{00000000-0005-0000-0000-00000E020000}"/>
    <cellStyle name="Обычный 2 2 19 2" xfId="473" xr:uid="{00000000-0005-0000-0000-00000F020000}"/>
    <cellStyle name="Обычный 2 2 2" xfId="474" xr:uid="{00000000-0005-0000-0000-000010020000}"/>
    <cellStyle name="Обычный 2 2 2 10" xfId="475" xr:uid="{00000000-0005-0000-0000-000011020000}"/>
    <cellStyle name="Обычный 2 2 2 11" xfId="476" xr:uid="{00000000-0005-0000-0000-000012020000}"/>
    <cellStyle name="Обычный 2 2 2 12" xfId="477" xr:uid="{00000000-0005-0000-0000-000013020000}"/>
    <cellStyle name="Обычный 2 2 2 13" xfId="478" xr:uid="{00000000-0005-0000-0000-000014020000}"/>
    <cellStyle name="Обычный 2 2 2 14" xfId="479" xr:uid="{00000000-0005-0000-0000-000015020000}"/>
    <cellStyle name="Обычный 2 2 2 15" xfId="480" xr:uid="{00000000-0005-0000-0000-000016020000}"/>
    <cellStyle name="Обычный 2 2 2 16" xfId="481" xr:uid="{00000000-0005-0000-0000-000017020000}"/>
    <cellStyle name="Обычный 2 2 2 17" xfId="482" xr:uid="{00000000-0005-0000-0000-000018020000}"/>
    <cellStyle name="Обычный 2 2 2 18" xfId="483" xr:uid="{00000000-0005-0000-0000-000019020000}"/>
    <cellStyle name="Обычный 2 2 2 19" xfId="484" xr:uid="{00000000-0005-0000-0000-00001A020000}"/>
    <cellStyle name="Обычный 2 2 2 2" xfId="485" xr:uid="{00000000-0005-0000-0000-00001B020000}"/>
    <cellStyle name="Обычный 2 2 2 2 10" xfId="486" xr:uid="{00000000-0005-0000-0000-00001C020000}"/>
    <cellStyle name="Обычный 2 2 2 2 11" xfId="487" xr:uid="{00000000-0005-0000-0000-00001D020000}"/>
    <cellStyle name="Обычный 2 2 2 2 12" xfId="488" xr:uid="{00000000-0005-0000-0000-00001E020000}"/>
    <cellStyle name="Обычный 2 2 2 2 13" xfId="489" xr:uid="{00000000-0005-0000-0000-00001F020000}"/>
    <cellStyle name="Обычный 2 2 2 2 14" xfId="490" xr:uid="{00000000-0005-0000-0000-000020020000}"/>
    <cellStyle name="Обычный 2 2 2 2 15" xfId="491" xr:uid="{00000000-0005-0000-0000-000021020000}"/>
    <cellStyle name="Обычный 2 2 2 2 16" xfId="492" xr:uid="{00000000-0005-0000-0000-000022020000}"/>
    <cellStyle name="Обычный 2 2 2 2 17" xfId="493" xr:uid="{00000000-0005-0000-0000-000023020000}"/>
    <cellStyle name="Обычный 2 2 2 2 18" xfId="494" xr:uid="{00000000-0005-0000-0000-000024020000}"/>
    <cellStyle name="Обычный 2 2 2 2 19" xfId="495" xr:uid="{00000000-0005-0000-0000-000025020000}"/>
    <cellStyle name="Обычный 2 2 2 2 2" xfId="496" xr:uid="{00000000-0005-0000-0000-000026020000}"/>
    <cellStyle name="Обычный 2 2 2 2 20" xfId="497" xr:uid="{00000000-0005-0000-0000-000027020000}"/>
    <cellStyle name="Обычный 2 2 2 2 21" xfId="498" xr:uid="{00000000-0005-0000-0000-000028020000}"/>
    <cellStyle name="Обычный 2 2 2 2 22" xfId="499" xr:uid="{00000000-0005-0000-0000-000029020000}"/>
    <cellStyle name="Обычный 2 2 2 2 23" xfId="500" xr:uid="{00000000-0005-0000-0000-00002A020000}"/>
    <cellStyle name="Обычный 2 2 2 2 24" xfId="501" xr:uid="{00000000-0005-0000-0000-00002B020000}"/>
    <cellStyle name="Обычный 2 2 2 2 25" xfId="502" xr:uid="{00000000-0005-0000-0000-00002C020000}"/>
    <cellStyle name="Обычный 2 2 2 2 26" xfId="503" xr:uid="{00000000-0005-0000-0000-00002D020000}"/>
    <cellStyle name="Обычный 2 2 2 2 27" xfId="504" xr:uid="{00000000-0005-0000-0000-00002E020000}"/>
    <cellStyle name="Обычный 2 2 2 2 28" xfId="505" xr:uid="{00000000-0005-0000-0000-00002F020000}"/>
    <cellStyle name="Обычный 2 2 2 2 29" xfId="506" xr:uid="{00000000-0005-0000-0000-000030020000}"/>
    <cellStyle name="Обычный 2 2 2 2 3" xfId="507" xr:uid="{00000000-0005-0000-0000-000031020000}"/>
    <cellStyle name="Обычный 2 2 2 2 30" xfId="508" xr:uid="{00000000-0005-0000-0000-000032020000}"/>
    <cellStyle name="Обычный 2 2 2 2 4" xfId="509" xr:uid="{00000000-0005-0000-0000-000033020000}"/>
    <cellStyle name="Обычный 2 2 2 2 5" xfId="510" xr:uid="{00000000-0005-0000-0000-000034020000}"/>
    <cellStyle name="Обычный 2 2 2 2 6" xfId="511" xr:uid="{00000000-0005-0000-0000-000035020000}"/>
    <cellStyle name="Обычный 2 2 2 2 7" xfId="512" xr:uid="{00000000-0005-0000-0000-000036020000}"/>
    <cellStyle name="Обычный 2 2 2 2 8" xfId="513" xr:uid="{00000000-0005-0000-0000-000037020000}"/>
    <cellStyle name="Обычный 2 2 2 2 9" xfId="514" xr:uid="{00000000-0005-0000-0000-000038020000}"/>
    <cellStyle name="Обычный 2 2 2 20" xfId="515" xr:uid="{00000000-0005-0000-0000-000039020000}"/>
    <cellStyle name="Обычный 2 2 2 21" xfId="516" xr:uid="{00000000-0005-0000-0000-00003A020000}"/>
    <cellStyle name="Обычный 2 2 2 22" xfId="517" xr:uid="{00000000-0005-0000-0000-00003B020000}"/>
    <cellStyle name="Обычный 2 2 2 23" xfId="518" xr:uid="{00000000-0005-0000-0000-00003C020000}"/>
    <cellStyle name="Обычный 2 2 2 24" xfId="519" xr:uid="{00000000-0005-0000-0000-00003D020000}"/>
    <cellStyle name="Обычный 2 2 2 25" xfId="520" xr:uid="{00000000-0005-0000-0000-00003E020000}"/>
    <cellStyle name="Обычный 2 2 2 26" xfId="521" xr:uid="{00000000-0005-0000-0000-00003F020000}"/>
    <cellStyle name="Обычный 2 2 2 27" xfId="522" xr:uid="{00000000-0005-0000-0000-000040020000}"/>
    <cellStyle name="Обычный 2 2 2 28" xfId="523" xr:uid="{00000000-0005-0000-0000-000041020000}"/>
    <cellStyle name="Обычный 2 2 2 29" xfId="524" xr:uid="{00000000-0005-0000-0000-000042020000}"/>
    <cellStyle name="Обычный 2 2 2 3" xfId="525" xr:uid="{00000000-0005-0000-0000-000043020000}"/>
    <cellStyle name="Обычный 2 2 2 30" xfId="526" xr:uid="{00000000-0005-0000-0000-000044020000}"/>
    <cellStyle name="Обычный 2 2 2 31" xfId="527" xr:uid="{00000000-0005-0000-0000-000045020000}"/>
    <cellStyle name="Обычный 2 2 2 4" xfId="528" xr:uid="{00000000-0005-0000-0000-000046020000}"/>
    <cellStyle name="Обычный 2 2 2 5" xfId="529" xr:uid="{00000000-0005-0000-0000-000047020000}"/>
    <cellStyle name="Обычный 2 2 2 6" xfId="530" xr:uid="{00000000-0005-0000-0000-000048020000}"/>
    <cellStyle name="Обычный 2 2 2 7" xfId="531" xr:uid="{00000000-0005-0000-0000-000049020000}"/>
    <cellStyle name="Обычный 2 2 2 8" xfId="532" xr:uid="{00000000-0005-0000-0000-00004A020000}"/>
    <cellStyle name="Обычный 2 2 2 9" xfId="533" xr:uid="{00000000-0005-0000-0000-00004B020000}"/>
    <cellStyle name="Обычный 2 2 20" xfId="534" xr:uid="{00000000-0005-0000-0000-00004C020000}"/>
    <cellStyle name="Обычный 2 2 20 2" xfId="535" xr:uid="{00000000-0005-0000-0000-00004D020000}"/>
    <cellStyle name="Обычный 2 2 21" xfId="536" xr:uid="{00000000-0005-0000-0000-00004E020000}"/>
    <cellStyle name="Обычный 2 2 21 2" xfId="537" xr:uid="{00000000-0005-0000-0000-00004F020000}"/>
    <cellStyle name="Обычный 2 2 22" xfId="538" xr:uid="{00000000-0005-0000-0000-000050020000}"/>
    <cellStyle name="Обычный 2 2 22 2" xfId="539" xr:uid="{00000000-0005-0000-0000-000051020000}"/>
    <cellStyle name="Обычный 2 2 23" xfId="540" xr:uid="{00000000-0005-0000-0000-000052020000}"/>
    <cellStyle name="Обычный 2 2 23 2" xfId="541" xr:uid="{00000000-0005-0000-0000-000053020000}"/>
    <cellStyle name="Обычный 2 2 24" xfId="542" xr:uid="{00000000-0005-0000-0000-000054020000}"/>
    <cellStyle name="Обычный 2 2 24 2" xfId="543" xr:uid="{00000000-0005-0000-0000-000055020000}"/>
    <cellStyle name="Обычный 2 2 25" xfId="544" xr:uid="{00000000-0005-0000-0000-000056020000}"/>
    <cellStyle name="Обычный 2 2 25 2" xfId="545" xr:uid="{00000000-0005-0000-0000-000057020000}"/>
    <cellStyle name="Обычный 2 2 26" xfId="546" xr:uid="{00000000-0005-0000-0000-000058020000}"/>
    <cellStyle name="Обычный 2 2 26 2" xfId="547" xr:uid="{00000000-0005-0000-0000-000059020000}"/>
    <cellStyle name="Обычный 2 2 27" xfId="548" xr:uid="{00000000-0005-0000-0000-00005A020000}"/>
    <cellStyle name="Обычный 2 2 27 2" xfId="549" xr:uid="{00000000-0005-0000-0000-00005B020000}"/>
    <cellStyle name="Обычный 2 2 28" xfId="550" xr:uid="{00000000-0005-0000-0000-00005C020000}"/>
    <cellStyle name="Обычный 2 2 28 2" xfId="551" xr:uid="{00000000-0005-0000-0000-00005D020000}"/>
    <cellStyle name="Обычный 2 2 29" xfId="552" xr:uid="{00000000-0005-0000-0000-00005E020000}"/>
    <cellStyle name="Обычный 2 2 29 2" xfId="553" xr:uid="{00000000-0005-0000-0000-00005F020000}"/>
    <cellStyle name="Обычный 2 2 3" xfId="554" xr:uid="{00000000-0005-0000-0000-000060020000}"/>
    <cellStyle name="Обычный 2 2 3 2" xfId="555" xr:uid="{00000000-0005-0000-0000-000061020000}"/>
    <cellStyle name="Обычный 2 2 30" xfId="556" xr:uid="{00000000-0005-0000-0000-000062020000}"/>
    <cellStyle name="Обычный 2 2 30 2" xfId="557" xr:uid="{00000000-0005-0000-0000-000063020000}"/>
    <cellStyle name="Обычный 2 2 31" xfId="558" xr:uid="{00000000-0005-0000-0000-000064020000}"/>
    <cellStyle name="Обычный 2 2 31 2" xfId="559" xr:uid="{00000000-0005-0000-0000-000065020000}"/>
    <cellStyle name="Обычный 2 2 32" xfId="560" xr:uid="{00000000-0005-0000-0000-000066020000}"/>
    <cellStyle name="Обычный 2 2 4" xfId="561" xr:uid="{00000000-0005-0000-0000-000067020000}"/>
    <cellStyle name="Обычный 2 2 4 2" xfId="562" xr:uid="{00000000-0005-0000-0000-000068020000}"/>
    <cellStyle name="Обычный 2 2 5" xfId="563" xr:uid="{00000000-0005-0000-0000-000069020000}"/>
    <cellStyle name="Обычный 2 2 5 2" xfId="564" xr:uid="{00000000-0005-0000-0000-00006A020000}"/>
    <cellStyle name="Обычный 2 2 6" xfId="565" xr:uid="{00000000-0005-0000-0000-00006B020000}"/>
    <cellStyle name="Обычный 2 2 6 2" xfId="566" xr:uid="{00000000-0005-0000-0000-00006C020000}"/>
    <cellStyle name="Обычный 2 2 7" xfId="567" xr:uid="{00000000-0005-0000-0000-00006D020000}"/>
    <cellStyle name="Обычный 2 2 7 2" xfId="568" xr:uid="{00000000-0005-0000-0000-00006E020000}"/>
    <cellStyle name="Обычный 2 2 8" xfId="569" xr:uid="{00000000-0005-0000-0000-00006F020000}"/>
    <cellStyle name="Обычный 2 2 8 2" xfId="570" xr:uid="{00000000-0005-0000-0000-000070020000}"/>
    <cellStyle name="Обычный 2 2 9" xfId="571" xr:uid="{00000000-0005-0000-0000-000071020000}"/>
    <cellStyle name="Обычный 2 2 9 2" xfId="572" xr:uid="{00000000-0005-0000-0000-000072020000}"/>
    <cellStyle name="Обычный 2 20" xfId="573" xr:uid="{00000000-0005-0000-0000-000073020000}"/>
    <cellStyle name="Обычный 2 21" xfId="574" xr:uid="{00000000-0005-0000-0000-000074020000}"/>
    <cellStyle name="Обычный 2 22" xfId="575" xr:uid="{00000000-0005-0000-0000-000075020000}"/>
    <cellStyle name="Обычный 2 23" xfId="576" xr:uid="{00000000-0005-0000-0000-000076020000}"/>
    <cellStyle name="Обычный 2 24" xfId="577" xr:uid="{00000000-0005-0000-0000-000077020000}"/>
    <cellStyle name="Обычный 2 25" xfId="578" xr:uid="{00000000-0005-0000-0000-000078020000}"/>
    <cellStyle name="Обычный 2 26" xfId="579" xr:uid="{00000000-0005-0000-0000-000079020000}"/>
    <cellStyle name="Обычный 2 27" xfId="580" xr:uid="{00000000-0005-0000-0000-00007A020000}"/>
    <cellStyle name="Обычный 2 28" xfId="581" xr:uid="{00000000-0005-0000-0000-00007B020000}"/>
    <cellStyle name="Обычный 2 29" xfId="582" xr:uid="{00000000-0005-0000-0000-00007C020000}"/>
    <cellStyle name="Обычный 2 3" xfId="583" xr:uid="{00000000-0005-0000-0000-00007D020000}"/>
    <cellStyle name="Обычный 2 3 2" xfId="584" xr:uid="{00000000-0005-0000-0000-00007E020000}"/>
    <cellStyle name="Обычный 2 3 3" xfId="585" xr:uid="{00000000-0005-0000-0000-00007F020000}"/>
    <cellStyle name="Обычный 2 30" xfId="586" xr:uid="{00000000-0005-0000-0000-000080020000}"/>
    <cellStyle name="Обычный 2 31" xfId="587" xr:uid="{00000000-0005-0000-0000-000081020000}"/>
    <cellStyle name="Обычный 2 32" xfId="588" xr:uid="{00000000-0005-0000-0000-000082020000}"/>
    <cellStyle name="Обычный 2 33" xfId="589" xr:uid="{00000000-0005-0000-0000-000083020000}"/>
    <cellStyle name="Обычный 2 34" xfId="590" xr:uid="{00000000-0005-0000-0000-000084020000}"/>
    <cellStyle name="Обычный 2 34 2" xfId="591" xr:uid="{00000000-0005-0000-0000-000085020000}"/>
    <cellStyle name="Обычный 2 35" xfId="592" xr:uid="{00000000-0005-0000-0000-000086020000}"/>
    <cellStyle name="Обычный 2 36" xfId="593" xr:uid="{00000000-0005-0000-0000-000087020000}"/>
    <cellStyle name="Обычный 2 4" xfId="594" xr:uid="{00000000-0005-0000-0000-000088020000}"/>
    <cellStyle name="Обычный 2 4 2" xfId="595" xr:uid="{00000000-0005-0000-0000-000089020000}"/>
    <cellStyle name="Обычный 2 4 3" xfId="596" xr:uid="{00000000-0005-0000-0000-00008A020000}"/>
    <cellStyle name="Обычный 2 5" xfId="597" xr:uid="{00000000-0005-0000-0000-00008B020000}"/>
    <cellStyle name="Обычный 2 5 2" xfId="598" xr:uid="{00000000-0005-0000-0000-00008C020000}"/>
    <cellStyle name="Обычный 2 5 3" xfId="599" xr:uid="{00000000-0005-0000-0000-00008D020000}"/>
    <cellStyle name="Обычный 2 6" xfId="600" xr:uid="{00000000-0005-0000-0000-00008E020000}"/>
    <cellStyle name="Обычный 2 7" xfId="601" xr:uid="{00000000-0005-0000-0000-00008F020000}"/>
    <cellStyle name="Обычный 2 8" xfId="602" xr:uid="{00000000-0005-0000-0000-000090020000}"/>
    <cellStyle name="Обычный 2 9" xfId="603" xr:uid="{00000000-0005-0000-0000-000091020000}"/>
    <cellStyle name="Обычный 20" xfId="604" xr:uid="{00000000-0005-0000-0000-000092020000}"/>
    <cellStyle name="Обычный 20 10" xfId="605" xr:uid="{00000000-0005-0000-0000-000093020000}"/>
    <cellStyle name="Обычный 20 11" xfId="606" xr:uid="{00000000-0005-0000-0000-000094020000}"/>
    <cellStyle name="Обычный 20 12" xfId="607" xr:uid="{00000000-0005-0000-0000-000095020000}"/>
    <cellStyle name="Обычный 20 13" xfId="608" xr:uid="{00000000-0005-0000-0000-000096020000}"/>
    <cellStyle name="Обычный 20 14" xfId="609" xr:uid="{00000000-0005-0000-0000-000097020000}"/>
    <cellStyle name="Обычный 20 15" xfId="610" xr:uid="{00000000-0005-0000-0000-000098020000}"/>
    <cellStyle name="Обычный 20 16" xfId="611" xr:uid="{00000000-0005-0000-0000-000099020000}"/>
    <cellStyle name="Обычный 20 17" xfId="612" xr:uid="{00000000-0005-0000-0000-00009A020000}"/>
    <cellStyle name="Обычный 20 18" xfId="613" xr:uid="{00000000-0005-0000-0000-00009B020000}"/>
    <cellStyle name="Обычный 20 19" xfId="614" xr:uid="{00000000-0005-0000-0000-00009C020000}"/>
    <cellStyle name="Обычный 20 2" xfId="615" xr:uid="{00000000-0005-0000-0000-00009D020000}"/>
    <cellStyle name="Обычный 20 2 2" xfId="616" xr:uid="{00000000-0005-0000-0000-00009E020000}"/>
    <cellStyle name="Обычный 20 2 2 2" xfId="617" xr:uid="{00000000-0005-0000-0000-00009F020000}"/>
    <cellStyle name="Обычный 20 2 3" xfId="618" xr:uid="{00000000-0005-0000-0000-0000A0020000}"/>
    <cellStyle name="Обычный 20 2 4" xfId="619" xr:uid="{00000000-0005-0000-0000-0000A1020000}"/>
    <cellStyle name="Обычный 20 20" xfId="620" xr:uid="{00000000-0005-0000-0000-0000A2020000}"/>
    <cellStyle name="Обычный 20 21" xfId="621" xr:uid="{00000000-0005-0000-0000-0000A3020000}"/>
    <cellStyle name="Обычный 20 22" xfId="622" xr:uid="{00000000-0005-0000-0000-0000A4020000}"/>
    <cellStyle name="Обычный 20 23" xfId="623" xr:uid="{00000000-0005-0000-0000-0000A5020000}"/>
    <cellStyle name="Обычный 20 24" xfId="624" xr:uid="{00000000-0005-0000-0000-0000A6020000}"/>
    <cellStyle name="Обычный 20 25" xfId="625" xr:uid="{00000000-0005-0000-0000-0000A7020000}"/>
    <cellStyle name="Обычный 20 26" xfId="626" xr:uid="{00000000-0005-0000-0000-0000A8020000}"/>
    <cellStyle name="Обычный 20 27" xfId="627" xr:uid="{00000000-0005-0000-0000-0000A9020000}"/>
    <cellStyle name="Обычный 20 28" xfId="628" xr:uid="{00000000-0005-0000-0000-0000AA020000}"/>
    <cellStyle name="Обычный 20 29" xfId="629" xr:uid="{00000000-0005-0000-0000-0000AB020000}"/>
    <cellStyle name="Обычный 20 3" xfId="630" xr:uid="{00000000-0005-0000-0000-0000AC020000}"/>
    <cellStyle name="Обычный 20 3 2" xfId="631" xr:uid="{00000000-0005-0000-0000-0000AD020000}"/>
    <cellStyle name="Обычный 20 30" xfId="632" xr:uid="{00000000-0005-0000-0000-0000AE020000}"/>
    <cellStyle name="Обычный 20 31" xfId="633" xr:uid="{00000000-0005-0000-0000-0000AF020000}"/>
    <cellStyle name="Обычный 20 32" xfId="634" xr:uid="{00000000-0005-0000-0000-0000B0020000}"/>
    <cellStyle name="Обычный 20 4" xfId="635" xr:uid="{00000000-0005-0000-0000-0000B1020000}"/>
    <cellStyle name="Обычный 20 5" xfId="636" xr:uid="{00000000-0005-0000-0000-0000B2020000}"/>
    <cellStyle name="Обычный 20 6" xfId="637" xr:uid="{00000000-0005-0000-0000-0000B3020000}"/>
    <cellStyle name="Обычный 20 7" xfId="638" xr:uid="{00000000-0005-0000-0000-0000B4020000}"/>
    <cellStyle name="Обычный 20 8" xfId="639" xr:uid="{00000000-0005-0000-0000-0000B5020000}"/>
    <cellStyle name="Обычный 20 9" xfId="640" xr:uid="{00000000-0005-0000-0000-0000B6020000}"/>
    <cellStyle name="Обычный 21" xfId="641" xr:uid="{00000000-0005-0000-0000-0000B7020000}"/>
    <cellStyle name="Обычный 21 2" xfId="642" xr:uid="{00000000-0005-0000-0000-0000B8020000}"/>
    <cellStyle name="Обычный 21 2 2" xfId="643" xr:uid="{00000000-0005-0000-0000-0000B9020000}"/>
    <cellStyle name="Обычный 21 2 3" xfId="644" xr:uid="{00000000-0005-0000-0000-0000BA020000}"/>
    <cellStyle name="Обычный 21 2 4" xfId="645" xr:uid="{00000000-0005-0000-0000-0000BB020000}"/>
    <cellStyle name="Обычный 22" xfId="646" xr:uid="{00000000-0005-0000-0000-0000BC020000}"/>
    <cellStyle name="Обычный 22 10" xfId="647" xr:uid="{00000000-0005-0000-0000-0000BD020000}"/>
    <cellStyle name="Обычный 22 11" xfId="648" xr:uid="{00000000-0005-0000-0000-0000BE020000}"/>
    <cellStyle name="Обычный 22 12" xfId="649" xr:uid="{00000000-0005-0000-0000-0000BF020000}"/>
    <cellStyle name="Обычный 22 13" xfId="650" xr:uid="{00000000-0005-0000-0000-0000C0020000}"/>
    <cellStyle name="Обычный 22 14" xfId="651" xr:uid="{00000000-0005-0000-0000-0000C1020000}"/>
    <cellStyle name="Обычный 22 15" xfId="652" xr:uid="{00000000-0005-0000-0000-0000C2020000}"/>
    <cellStyle name="Обычный 22 16" xfId="653" xr:uid="{00000000-0005-0000-0000-0000C3020000}"/>
    <cellStyle name="Обычный 22 17" xfId="654" xr:uid="{00000000-0005-0000-0000-0000C4020000}"/>
    <cellStyle name="Обычный 22 18" xfId="655" xr:uid="{00000000-0005-0000-0000-0000C5020000}"/>
    <cellStyle name="Обычный 22 19" xfId="656" xr:uid="{00000000-0005-0000-0000-0000C6020000}"/>
    <cellStyle name="Обычный 22 2" xfId="657" xr:uid="{00000000-0005-0000-0000-0000C7020000}"/>
    <cellStyle name="Обычный 22 2 2" xfId="658" xr:uid="{00000000-0005-0000-0000-0000C8020000}"/>
    <cellStyle name="Обычный 22 2 3" xfId="659" xr:uid="{00000000-0005-0000-0000-0000C9020000}"/>
    <cellStyle name="Обычный 22 20" xfId="660" xr:uid="{00000000-0005-0000-0000-0000CA020000}"/>
    <cellStyle name="Обычный 22 21" xfId="661" xr:uid="{00000000-0005-0000-0000-0000CB020000}"/>
    <cellStyle name="Обычный 22 22" xfId="662" xr:uid="{00000000-0005-0000-0000-0000CC020000}"/>
    <cellStyle name="Обычный 22 23" xfId="663" xr:uid="{00000000-0005-0000-0000-0000CD020000}"/>
    <cellStyle name="Обычный 22 24" xfId="664" xr:uid="{00000000-0005-0000-0000-0000CE020000}"/>
    <cellStyle name="Обычный 22 25" xfId="665" xr:uid="{00000000-0005-0000-0000-0000CF020000}"/>
    <cellStyle name="Обычный 22 26" xfId="666" xr:uid="{00000000-0005-0000-0000-0000D0020000}"/>
    <cellStyle name="Обычный 22 27" xfId="667" xr:uid="{00000000-0005-0000-0000-0000D1020000}"/>
    <cellStyle name="Обычный 22 28" xfId="668" xr:uid="{00000000-0005-0000-0000-0000D2020000}"/>
    <cellStyle name="Обычный 22 29" xfId="669" xr:uid="{00000000-0005-0000-0000-0000D3020000}"/>
    <cellStyle name="Обычный 22 3" xfId="670" xr:uid="{00000000-0005-0000-0000-0000D4020000}"/>
    <cellStyle name="Обычный 22 30" xfId="671" xr:uid="{00000000-0005-0000-0000-0000D5020000}"/>
    <cellStyle name="Обычный 22 31" xfId="672" xr:uid="{00000000-0005-0000-0000-0000D6020000}"/>
    <cellStyle name="Обычный 22 32" xfId="673" xr:uid="{00000000-0005-0000-0000-0000D7020000}"/>
    <cellStyle name="Обычный 22 4" xfId="674" xr:uid="{00000000-0005-0000-0000-0000D8020000}"/>
    <cellStyle name="Обычный 22 5" xfId="675" xr:uid="{00000000-0005-0000-0000-0000D9020000}"/>
    <cellStyle name="Обычный 22 6" xfId="676" xr:uid="{00000000-0005-0000-0000-0000DA020000}"/>
    <cellStyle name="Обычный 22 7" xfId="677" xr:uid="{00000000-0005-0000-0000-0000DB020000}"/>
    <cellStyle name="Обычный 22 8" xfId="678" xr:uid="{00000000-0005-0000-0000-0000DC020000}"/>
    <cellStyle name="Обычный 22 9" xfId="679" xr:uid="{00000000-0005-0000-0000-0000DD020000}"/>
    <cellStyle name="Обычный 23" xfId="680" xr:uid="{00000000-0005-0000-0000-0000DE020000}"/>
    <cellStyle name="Обычный 24" xfId="681" xr:uid="{00000000-0005-0000-0000-0000DF020000}"/>
    <cellStyle name="Обычный 24 2" xfId="682" xr:uid="{00000000-0005-0000-0000-0000E0020000}"/>
    <cellStyle name="Обычный 24 3" xfId="683" xr:uid="{00000000-0005-0000-0000-0000E1020000}"/>
    <cellStyle name="Обычный 24 4" xfId="684" xr:uid="{00000000-0005-0000-0000-0000E2020000}"/>
    <cellStyle name="Обычный 25" xfId="685" xr:uid="{00000000-0005-0000-0000-0000E3020000}"/>
    <cellStyle name="Обычный 25 2" xfId="686" xr:uid="{00000000-0005-0000-0000-0000E4020000}"/>
    <cellStyle name="Обычный 256" xfId="687" xr:uid="{00000000-0005-0000-0000-0000E5020000}"/>
    <cellStyle name="Обычный 256 2" xfId="688" xr:uid="{00000000-0005-0000-0000-0000E6020000}"/>
    <cellStyle name="Обычный 26" xfId="689" xr:uid="{00000000-0005-0000-0000-0000E7020000}"/>
    <cellStyle name="Обычный 26 10" xfId="690" xr:uid="{00000000-0005-0000-0000-0000E8020000}"/>
    <cellStyle name="Обычный 26 11" xfId="691" xr:uid="{00000000-0005-0000-0000-0000E9020000}"/>
    <cellStyle name="Обычный 26 12" xfId="692" xr:uid="{00000000-0005-0000-0000-0000EA020000}"/>
    <cellStyle name="Обычный 26 13" xfId="693" xr:uid="{00000000-0005-0000-0000-0000EB020000}"/>
    <cellStyle name="Обычный 26 14" xfId="694" xr:uid="{00000000-0005-0000-0000-0000EC020000}"/>
    <cellStyle name="Обычный 26 15" xfId="695" xr:uid="{00000000-0005-0000-0000-0000ED020000}"/>
    <cellStyle name="Обычный 26 16" xfId="696" xr:uid="{00000000-0005-0000-0000-0000EE020000}"/>
    <cellStyle name="Обычный 26 17" xfId="697" xr:uid="{00000000-0005-0000-0000-0000EF020000}"/>
    <cellStyle name="Обычный 26 18" xfId="698" xr:uid="{00000000-0005-0000-0000-0000F0020000}"/>
    <cellStyle name="Обычный 26 19" xfId="699" xr:uid="{00000000-0005-0000-0000-0000F1020000}"/>
    <cellStyle name="Обычный 26 2" xfId="700" xr:uid="{00000000-0005-0000-0000-0000F2020000}"/>
    <cellStyle name="Обычный 26 20" xfId="701" xr:uid="{00000000-0005-0000-0000-0000F3020000}"/>
    <cellStyle name="Обычный 26 21" xfId="702" xr:uid="{00000000-0005-0000-0000-0000F4020000}"/>
    <cellStyle name="Обычный 26 22" xfId="703" xr:uid="{00000000-0005-0000-0000-0000F5020000}"/>
    <cellStyle name="Обычный 26 23" xfId="704" xr:uid="{00000000-0005-0000-0000-0000F6020000}"/>
    <cellStyle name="Обычный 26 24" xfId="705" xr:uid="{00000000-0005-0000-0000-0000F7020000}"/>
    <cellStyle name="Обычный 26 25" xfId="706" xr:uid="{00000000-0005-0000-0000-0000F8020000}"/>
    <cellStyle name="Обычный 26 26" xfId="707" xr:uid="{00000000-0005-0000-0000-0000F9020000}"/>
    <cellStyle name="Обычный 26 27" xfId="708" xr:uid="{00000000-0005-0000-0000-0000FA020000}"/>
    <cellStyle name="Обычный 26 28" xfId="709" xr:uid="{00000000-0005-0000-0000-0000FB020000}"/>
    <cellStyle name="Обычный 26 29" xfId="710" xr:uid="{00000000-0005-0000-0000-0000FC020000}"/>
    <cellStyle name="Обычный 26 3" xfId="711" xr:uid="{00000000-0005-0000-0000-0000FD020000}"/>
    <cellStyle name="Обычный 26 3 2" xfId="712" xr:uid="{00000000-0005-0000-0000-0000FE020000}"/>
    <cellStyle name="Обычный 26 30" xfId="713" xr:uid="{00000000-0005-0000-0000-0000FF020000}"/>
    <cellStyle name="Обычный 26 31" xfId="714" xr:uid="{00000000-0005-0000-0000-000000030000}"/>
    <cellStyle name="Обычный 26 32" xfId="715" xr:uid="{00000000-0005-0000-0000-000001030000}"/>
    <cellStyle name="Обычный 26 4" xfId="716" xr:uid="{00000000-0005-0000-0000-000002030000}"/>
    <cellStyle name="Обычный 26 5" xfId="717" xr:uid="{00000000-0005-0000-0000-000003030000}"/>
    <cellStyle name="Обычный 26 6" xfId="718" xr:uid="{00000000-0005-0000-0000-000004030000}"/>
    <cellStyle name="Обычный 26 7" xfId="719" xr:uid="{00000000-0005-0000-0000-000005030000}"/>
    <cellStyle name="Обычный 26 8" xfId="720" xr:uid="{00000000-0005-0000-0000-000006030000}"/>
    <cellStyle name="Обычный 26 9" xfId="721" xr:uid="{00000000-0005-0000-0000-000007030000}"/>
    <cellStyle name="Обычный 27" xfId="722" xr:uid="{00000000-0005-0000-0000-000008030000}"/>
    <cellStyle name="Обычный 27 2" xfId="723" xr:uid="{00000000-0005-0000-0000-000009030000}"/>
    <cellStyle name="Обычный 28" xfId="724" xr:uid="{00000000-0005-0000-0000-00000A030000}"/>
    <cellStyle name="Обычный 29" xfId="725" xr:uid="{00000000-0005-0000-0000-00000B030000}"/>
    <cellStyle name="Обычный 3" xfId="5" xr:uid="{00000000-0005-0000-0000-00000C030000}"/>
    <cellStyle name="Обычный 3 2" xfId="726" xr:uid="{00000000-0005-0000-0000-00000D030000}"/>
    <cellStyle name="Обычный 3 2 2" xfId="727" xr:uid="{00000000-0005-0000-0000-00000E030000}"/>
    <cellStyle name="Обычный 3 2 2 2" xfId="728" xr:uid="{00000000-0005-0000-0000-00000F030000}"/>
    <cellStyle name="Обычный 3 2 3" xfId="729" xr:uid="{00000000-0005-0000-0000-000010030000}"/>
    <cellStyle name="Обычный 3 2 4" xfId="730" xr:uid="{00000000-0005-0000-0000-000011030000}"/>
    <cellStyle name="Обычный 3 3" xfId="731" xr:uid="{00000000-0005-0000-0000-000012030000}"/>
    <cellStyle name="Обычный 3 3 2" xfId="732" xr:uid="{00000000-0005-0000-0000-000013030000}"/>
    <cellStyle name="Обычный 3 3 2 2" xfId="733" xr:uid="{00000000-0005-0000-0000-000014030000}"/>
    <cellStyle name="Обычный 3 3 3" xfId="734" xr:uid="{00000000-0005-0000-0000-000015030000}"/>
    <cellStyle name="Обычный 3 4" xfId="735" xr:uid="{00000000-0005-0000-0000-000016030000}"/>
    <cellStyle name="Обычный 3 5" xfId="736" xr:uid="{00000000-0005-0000-0000-000017030000}"/>
    <cellStyle name="Обычный 3 5 2" xfId="737" xr:uid="{00000000-0005-0000-0000-000018030000}"/>
    <cellStyle name="Обычный 3 6" xfId="738" xr:uid="{00000000-0005-0000-0000-000019030000}"/>
    <cellStyle name="Обычный 3 7" xfId="739" xr:uid="{00000000-0005-0000-0000-00001A030000}"/>
    <cellStyle name="Обычный 3 8" xfId="9" xr:uid="{00000000-0005-0000-0000-00001B030000}"/>
    <cellStyle name="Обычный 30" xfId="740" xr:uid="{00000000-0005-0000-0000-00001C030000}"/>
    <cellStyle name="Обычный 30 2" xfId="741" xr:uid="{00000000-0005-0000-0000-00001D030000}"/>
    <cellStyle name="Обычный 31" xfId="742" xr:uid="{00000000-0005-0000-0000-00001E030000}"/>
    <cellStyle name="Обычный 31 2" xfId="743" xr:uid="{00000000-0005-0000-0000-00001F030000}"/>
    <cellStyle name="Обычный 32" xfId="744" xr:uid="{00000000-0005-0000-0000-000020030000}"/>
    <cellStyle name="Обычный 32 2" xfId="745" xr:uid="{00000000-0005-0000-0000-000021030000}"/>
    <cellStyle name="Обычный 33" xfId="746" xr:uid="{00000000-0005-0000-0000-000022030000}"/>
    <cellStyle name="Обычный 33 2" xfId="747" xr:uid="{00000000-0005-0000-0000-000023030000}"/>
    <cellStyle name="Обычный 34" xfId="748" xr:uid="{00000000-0005-0000-0000-000024030000}"/>
    <cellStyle name="Обычный 34 2" xfId="749" xr:uid="{00000000-0005-0000-0000-000025030000}"/>
    <cellStyle name="Обычный 35" xfId="750" xr:uid="{00000000-0005-0000-0000-000026030000}"/>
    <cellStyle name="Обычный 35 10" xfId="751" xr:uid="{00000000-0005-0000-0000-000027030000}"/>
    <cellStyle name="Обычный 35 11" xfId="752" xr:uid="{00000000-0005-0000-0000-000028030000}"/>
    <cellStyle name="Обычный 35 12" xfId="753" xr:uid="{00000000-0005-0000-0000-000029030000}"/>
    <cellStyle name="Обычный 35 13" xfId="754" xr:uid="{00000000-0005-0000-0000-00002A030000}"/>
    <cellStyle name="Обычный 35 14" xfId="755" xr:uid="{00000000-0005-0000-0000-00002B030000}"/>
    <cellStyle name="Обычный 35 15" xfId="756" xr:uid="{00000000-0005-0000-0000-00002C030000}"/>
    <cellStyle name="Обычный 35 16" xfId="757" xr:uid="{00000000-0005-0000-0000-00002D030000}"/>
    <cellStyle name="Обычный 35 17" xfId="758" xr:uid="{00000000-0005-0000-0000-00002E030000}"/>
    <cellStyle name="Обычный 35 18" xfId="759" xr:uid="{00000000-0005-0000-0000-00002F030000}"/>
    <cellStyle name="Обычный 35 19" xfId="760" xr:uid="{00000000-0005-0000-0000-000030030000}"/>
    <cellStyle name="Обычный 35 2" xfId="761" xr:uid="{00000000-0005-0000-0000-000031030000}"/>
    <cellStyle name="Обычный 35 2 2" xfId="762" xr:uid="{00000000-0005-0000-0000-000032030000}"/>
    <cellStyle name="Обычный 35 20" xfId="763" xr:uid="{00000000-0005-0000-0000-000033030000}"/>
    <cellStyle name="Обычный 35 21" xfId="764" xr:uid="{00000000-0005-0000-0000-000034030000}"/>
    <cellStyle name="Обычный 35 22" xfId="765" xr:uid="{00000000-0005-0000-0000-000035030000}"/>
    <cellStyle name="Обычный 35 23" xfId="766" xr:uid="{00000000-0005-0000-0000-000036030000}"/>
    <cellStyle name="Обычный 35 24" xfId="767" xr:uid="{00000000-0005-0000-0000-000037030000}"/>
    <cellStyle name="Обычный 35 25" xfId="768" xr:uid="{00000000-0005-0000-0000-000038030000}"/>
    <cellStyle name="Обычный 35 26" xfId="769" xr:uid="{00000000-0005-0000-0000-000039030000}"/>
    <cellStyle name="Обычный 35 27" xfId="770" xr:uid="{00000000-0005-0000-0000-00003A030000}"/>
    <cellStyle name="Обычный 35 28" xfId="771" xr:uid="{00000000-0005-0000-0000-00003B030000}"/>
    <cellStyle name="Обычный 35 29" xfId="772" xr:uid="{00000000-0005-0000-0000-00003C030000}"/>
    <cellStyle name="Обычный 35 3" xfId="773" xr:uid="{00000000-0005-0000-0000-00003D030000}"/>
    <cellStyle name="Обычный 35 30" xfId="774" xr:uid="{00000000-0005-0000-0000-00003E030000}"/>
    <cellStyle name="Обычный 35 31" xfId="775" xr:uid="{00000000-0005-0000-0000-00003F030000}"/>
    <cellStyle name="Обычный 35 4" xfId="776" xr:uid="{00000000-0005-0000-0000-000040030000}"/>
    <cellStyle name="Обычный 35 5" xfId="777" xr:uid="{00000000-0005-0000-0000-000041030000}"/>
    <cellStyle name="Обычный 35 6" xfId="778" xr:uid="{00000000-0005-0000-0000-000042030000}"/>
    <cellStyle name="Обычный 35 7" xfId="779" xr:uid="{00000000-0005-0000-0000-000043030000}"/>
    <cellStyle name="Обычный 35 8" xfId="780" xr:uid="{00000000-0005-0000-0000-000044030000}"/>
    <cellStyle name="Обычный 35 9" xfId="781" xr:uid="{00000000-0005-0000-0000-000045030000}"/>
    <cellStyle name="Обычный 36" xfId="782" xr:uid="{00000000-0005-0000-0000-000046030000}"/>
    <cellStyle name="Обычный 36 2" xfId="783" xr:uid="{00000000-0005-0000-0000-000047030000}"/>
    <cellStyle name="Обычный 37" xfId="784" xr:uid="{00000000-0005-0000-0000-000048030000}"/>
    <cellStyle name="Обычный 37 2" xfId="785" xr:uid="{00000000-0005-0000-0000-000049030000}"/>
    <cellStyle name="Обычный 38" xfId="786" xr:uid="{00000000-0005-0000-0000-00004A030000}"/>
    <cellStyle name="Обычный 38 2" xfId="787" xr:uid="{00000000-0005-0000-0000-00004B030000}"/>
    <cellStyle name="Обычный 39" xfId="788" xr:uid="{00000000-0005-0000-0000-00004C030000}"/>
    <cellStyle name="Обычный 39 2" xfId="789" xr:uid="{00000000-0005-0000-0000-00004D030000}"/>
    <cellStyle name="Обычный 4" xfId="6" xr:uid="{00000000-0005-0000-0000-00004E030000}"/>
    <cellStyle name="Обычный 4 2" xfId="4" xr:uid="{00000000-0005-0000-0000-00004F030000}"/>
    <cellStyle name="Обычный 4 2 2" xfId="790" xr:uid="{00000000-0005-0000-0000-000050030000}"/>
    <cellStyle name="Обычный 4 2 3" xfId="791" xr:uid="{00000000-0005-0000-0000-000051030000}"/>
    <cellStyle name="Обычный 4 3" xfId="792" xr:uid="{00000000-0005-0000-0000-000052030000}"/>
    <cellStyle name="Обычный 4 3 2" xfId="793" xr:uid="{00000000-0005-0000-0000-000053030000}"/>
    <cellStyle name="Обычный 4 4" xfId="794" xr:uid="{00000000-0005-0000-0000-000054030000}"/>
    <cellStyle name="Обычный 4 4 2" xfId="795" xr:uid="{00000000-0005-0000-0000-000055030000}"/>
    <cellStyle name="Обычный 4 5" xfId="796" xr:uid="{00000000-0005-0000-0000-000056030000}"/>
    <cellStyle name="Обычный 40" xfId="797" xr:uid="{00000000-0005-0000-0000-000057030000}"/>
    <cellStyle name="Обычный 40 10" xfId="798" xr:uid="{00000000-0005-0000-0000-000058030000}"/>
    <cellStyle name="Обычный 40 11" xfId="799" xr:uid="{00000000-0005-0000-0000-000059030000}"/>
    <cellStyle name="Обычный 40 12" xfId="800" xr:uid="{00000000-0005-0000-0000-00005A030000}"/>
    <cellStyle name="Обычный 40 13" xfId="801" xr:uid="{00000000-0005-0000-0000-00005B030000}"/>
    <cellStyle name="Обычный 40 14" xfId="802" xr:uid="{00000000-0005-0000-0000-00005C030000}"/>
    <cellStyle name="Обычный 40 15" xfId="803" xr:uid="{00000000-0005-0000-0000-00005D030000}"/>
    <cellStyle name="Обычный 40 16" xfId="804" xr:uid="{00000000-0005-0000-0000-00005E030000}"/>
    <cellStyle name="Обычный 40 17" xfId="805" xr:uid="{00000000-0005-0000-0000-00005F030000}"/>
    <cellStyle name="Обычный 40 18" xfId="806" xr:uid="{00000000-0005-0000-0000-000060030000}"/>
    <cellStyle name="Обычный 40 19" xfId="807" xr:uid="{00000000-0005-0000-0000-000061030000}"/>
    <cellStyle name="Обычный 40 2" xfId="808" xr:uid="{00000000-0005-0000-0000-000062030000}"/>
    <cellStyle name="Обычный 40 2 2" xfId="809" xr:uid="{00000000-0005-0000-0000-000063030000}"/>
    <cellStyle name="Обычный 40 20" xfId="810" xr:uid="{00000000-0005-0000-0000-000064030000}"/>
    <cellStyle name="Обычный 40 21" xfId="811" xr:uid="{00000000-0005-0000-0000-000065030000}"/>
    <cellStyle name="Обычный 40 22" xfId="812" xr:uid="{00000000-0005-0000-0000-000066030000}"/>
    <cellStyle name="Обычный 40 23" xfId="813" xr:uid="{00000000-0005-0000-0000-000067030000}"/>
    <cellStyle name="Обычный 40 24" xfId="814" xr:uid="{00000000-0005-0000-0000-000068030000}"/>
    <cellStyle name="Обычный 40 25" xfId="815" xr:uid="{00000000-0005-0000-0000-000069030000}"/>
    <cellStyle name="Обычный 40 26" xfId="816" xr:uid="{00000000-0005-0000-0000-00006A030000}"/>
    <cellStyle name="Обычный 40 27" xfId="817" xr:uid="{00000000-0005-0000-0000-00006B030000}"/>
    <cellStyle name="Обычный 40 28" xfId="818" xr:uid="{00000000-0005-0000-0000-00006C030000}"/>
    <cellStyle name="Обычный 40 29" xfId="819" xr:uid="{00000000-0005-0000-0000-00006D030000}"/>
    <cellStyle name="Обычный 40 3" xfId="820" xr:uid="{00000000-0005-0000-0000-00006E030000}"/>
    <cellStyle name="Обычный 40 30" xfId="821" xr:uid="{00000000-0005-0000-0000-00006F030000}"/>
    <cellStyle name="Обычный 40 31" xfId="822" xr:uid="{00000000-0005-0000-0000-000070030000}"/>
    <cellStyle name="Обычный 40 32" xfId="823" xr:uid="{00000000-0005-0000-0000-000071030000}"/>
    <cellStyle name="Обычный 40 4" xfId="824" xr:uid="{00000000-0005-0000-0000-000072030000}"/>
    <cellStyle name="Обычный 40 5" xfId="825" xr:uid="{00000000-0005-0000-0000-000073030000}"/>
    <cellStyle name="Обычный 40 6" xfId="826" xr:uid="{00000000-0005-0000-0000-000074030000}"/>
    <cellStyle name="Обычный 40 7" xfId="827" xr:uid="{00000000-0005-0000-0000-000075030000}"/>
    <cellStyle name="Обычный 40 8" xfId="828" xr:uid="{00000000-0005-0000-0000-000076030000}"/>
    <cellStyle name="Обычный 40 9" xfId="829" xr:uid="{00000000-0005-0000-0000-000077030000}"/>
    <cellStyle name="Обычный 41" xfId="830" xr:uid="{00000000-0005-0000-0000-000078030000}"/>
    <cellStyle name="Обычный 41 10" xfId="831" xr:uid="{00000000-0005-0000-0000-000079030000}"/>
    <cellStyle name="Обычный 41 11" xfId="832" xr:uid="{00000000-0005-0000-0000-00007A030000}"/>
    <cellStyle name="Обычный 41 12" xfId="833" xr:uid="{00000000-0005-0000-0000-00007B030000}"/>
    <cellStyle name="Обычный 41 13" xfId="834" xr:uid="{00000000-0005-0000-0000-00007C030000}"/>
    <cellStyle name="Обычный 41 14" xfId="835" xr:uid="{00000000-0005-0000-0000-00007D030000}"/>
    <cellStyle name="Обычный 41 15" xfId="836" xr:uid="{00000000-0005-0000-0000-00007E030000}"/>
    <cellStyle name="Обычный 41 16" xfId="837" xr:uid="{00000000-0005-0000-0000-00007F030000}"/>
    <cellStyle name="Обычный 41 17" xfId="838" xr:uid="{00000000-0005-0000-0000-000080030000}"/>
    <cellStyle name="Обычный 41 18" xfId="839" xr:uid="{00000000-0005-0000-0000-000081030000}"/>
    <cellStyle name="Обычный 41 19" xfId="840" xr:uid="{00000000-0005-0000-0000-000082030000}"/>
    <cellStyle name="Обычный 41 2" xfId="841" xr:uid="{00000000-0005-0000-0000-000083030000}"/>
    <cellStyle name="Обычный 41 2 2" xfId="842" xr:uid="{00000000-0005-0000-0000-000084030000}"/>
    <cellStyle name="Обычный 41 20" xfId="843" xr:uid="{00000000-0005-0000-0000-000085030000}"/>
    <cellStyle name="Обычный 41 21" xfId="844" xr:uid="{00000000-0005-0000-0000-000086030000}"/>
    <cellStyle name="Обычный 41 22" xfId="845" xr:uid="{00000000-0005-0000-0000-000087030000}"/>
    <cellStyle name="Обычный 41 23" xfId="846" xr:uid="{00000000-0005-0000-0000-000088030000}"/>
    <cellStyle name="Обычный 41 24" xfId="847" xr:uid="{00000000-0005-0000-0000-000089030000}"/>
    <cellStyle name="Обычный 41 25" xfId="848" xr:uid="{00000000-0005-0000-0000-00008A030000}"/>
    <cellStyle name="Обычный 41 26" xfId="849" xr:uid="{00000000-0005-0000-0000-00008B030000}"/>
    <cellStyle name="Обычный 41 27" xfId="850" xr:uid="{00000000-0005-0000-0000-00008C030000}"/>
    <cellStyle name="Обычный 41 28" xfId="851" xr:uid="{00000000-0005-0000-0000-00008D030000}"/>
    <cellStyle name="Обычный 41 29" xfId="852" xr:uid="{00000000-0005-0000-0000-00008E030000}"/>
    <cellStyle name="Обычный 41 3" xfId="853" xr:uid="{00000000-0005-0000-0000-00008F030000}"/>
    <cellStyle name="Обычный 41 30" xfId="854" xr:uid="{00000000-0005-0000-0000-000090030000}"/>
    <cellStyle name="Обычный 41 31" xfId="855" xr:uid="{00000000-0005-0000-0000-000091030000}"/>
    <cellStyle name="Обычный 41 32" xfId="856" xr:uid="{00000000-0005-0000-0000-000092030000}"/>
    <cellStyle name="Обычный 41 4" xfId="857" xr:uid="{00000000-0005-0000-0000-000093030000}"/>
    <cellStyle name="Обычный 41 5" xfId="858" xr:uid="{00000000-0005-0000-0000-000094030000}"/>
    <cellStyle name="Обычный 41 6" xfId="859" xr:uid="{00000000-0005-0000-0000-000095030000}"/>
    <cellStyle name="Обычный 41 7" xfId="860" xr:uid="{00000000-0005-0000-0000-000096030000}"/>
    <cellStyle name="Обычный 41 8" xfId="861" xr:uid="{00000000-0005-0000-0000-000097030000}"/>
    <cellStyle name="Обычный 41 9" xfId="862" xr:uid="{00000000-0005-0000-0000-000098030000}"/>
    <cellStyle name="Обычный 42" xfId="863" xr:uid="{00000000-0005-0000-0000-000099030000}"/>
    <cellStyle name="Обычный 43" xfId="864" xr:uid="{00000000-0005-0000-0000-00009A030000}"/>
    <cellStyle name="Обычный 44" xfId="865" xr:uid="{00000000-0005-0000-0000-00009B030000}"/>
    <cellStyle name="Обычный 45" xfId="866" xr:uid="{00000000-0005-0000-0000-00009C030000}"/>
    <cellStyle name="Обычный 46" xfId="867" xr:uid="{00000000-0005-0000-0000-00009D030000}"/>
    <cellStyle name="Обычный 47" xfId="868" xr:uid="{00000000-0005-0000-0000-00009E030000}"/>
    <cellStyle name="Обычный 47 2" xfId="869" xr:uid="{00000000-0005-0000-0000-00009F030000}"/>
    <cellStyle name="Обычный 47 3" xfId="870" xr:uid="{00000000-0005-0000-0000-0000A0030000}"/>
    <cellStyle name="Обычный 47 4" xfId="871" xr:uid="{00000000-0005-0000-0000-0000A1030000}"/>
    <cellStyle name="Обычный 47 5" xfId="872" xr:uid="{00000000-0005-0000-0000-0000A2030000}"/>
    <cellStyle name="Обычный 47 6" xfId="873" xr:uid="{00000000-0005-0000-0000-0000A3030000}"/>
    <cellStyle name="Обычный 47 7" xfId="874" xr:uid="{00000000-0005-0000-0000-0000A4030000}"/>
    <cellStyle name="Обычный 48" xfId="875" xr:uid="{00000000-0005-0000-0000-0000A5030000}"/>
    <cellStyle name="Обычный 48 2" xfId="876" xr:uid="{00000000-0005-0000-0000-0000A6030000}"/>
    <cellStyle name="Обычный 48 3" xfId="877" xr:uid="{00000000-0005-0000-0000-0000A7030000}"/>
    <cellStyle name="Обычный 49" xfId="878" xr:uid="{00000000-0005-0000-0000-0000A8030000}"/>
    <cellStyle name="Обычный 5" xfId="879" xr:uid="{00000000-0005-0000-0000-0000A9030000}"/>
    <cellStyle name="Обычный 5 2" xfId="880" xr:uid="{00000000-0005-0000-0000-0000AA030000}"/>
    <cellStyle name="Обычный 5 2 2" xfId="881" xr:uid="{00000000-0005-0000-0000-0000AB030000}"/>
    <cellStyle name="Обычный 5 2 2 2" xfId="882" xr:uid="{00000000-0005-0000-0000-0000AC030000}"/>
    <cellStyle name="Обычный 5 2 3" xfId="883" xr:uid="{00000000-0005-0000-0000-0000AD030000}"/>
    <cellStyle name="Обычный 5 3" xfId="884" xr:uid="{00000000-0005-0000-0000-0000AE030000}"/>
    <cellStyle name="Обычный 5 3 2" xfId="885" xr:uid="{00000000-0005-0000-0000-0000AF030000}"/>
    <cellStyle name="Обычный 5 3 2 2" xfId="886" xr:uid="{00000000-0005-0000-0000-0000B0030000}"/>
    <cellStyle name="Обычный 5 3 3" xfId="887" xr:uid="{00000000-0005-0000-0000-0000B1030000}"/>
    <cellStyle name="Обычный 5 3 4" xfId="888" xr:uid="{00000000-0005-0000-0000-0000B2030000}"/>
    <cellStyle name="Обычный 5 4" xfId="889" xr:uid="{00000000-0005-0000-0000-0000B3030000}"/>
    <cellStyle name="Обычный 5 4 2" xfId="890" xr:uid="{00000000-0005-0000-0000-0000B4030000}"/>
    <cellStyle name="Обычный 5 5" xfId="891" xr:uid="{00000000-0005-0000-0000-0000B5030000}"/>
    <cellStyle name="Обычный 5 5 2" xfId="892" xr:uid="{00000000-0005-0000-0000-0000B6030000}"/>
    <cellStyle name="Обычный 5 6" xfId="893" xr:uid="{00000000-0005-0000-0000-0000B7030000}"/>
    <cellStyle name="Обычный 5 6 2" xfId="894" xr:uid="{00000000-0005-0000-0000-0000B8030000}"/>
    <cellStyle name="Обычный 5 7" xfId="895" xr:uid="{00000000-0005-0000-0000-0000B9030000}"/>
    <cellStyle name="Обычный 5 7 2" xfId="896" xr:uid="{00000000-0005-0000-0000-0000BA030000}"/>
    <cellStyle name="Обычный 5 8" xfId="897" xr:uid="{00000000-0005-0000-0000-0000BB030000}"/>
    <cellStyle name="Обычный 5 8 2" xfId="898" xr:uid="{00000000-0005-0000-0000-0000BC030000}"/>
    <cellStyle name="Обычный 50" xfId="899" xr:uid="{00000000-0005-0000-0000-0000BD030000}"/>
    <cellStyle name="Обычный 51" xfId="900" xr:uid="{00000000-0005-0000-0000-0000BE030000}"/>
    <cellStyle name="Обычный 52" xfId="901" xr:uid="{00000000-0005-0000-0000-0000BF030000}"/>
    <cellStyle name="Обычный 53" xfId="902" xr:uid="{00000000-0005-0000-0000-0000C0030000}"/>
    <cellStyle name="Обычный 54" xfId="903" xr:uid="{00000000-0005-0000-0000-0000C1030000}"/>
    <cellStyle name="Обычный 55" xfId="904" xr:uid="{00000000-0005-0000-0000-0000C2030000}"/>
    <cellStyle name="Обычный 56" xfId="905" xr:uid="{00000000-0005-0000-0000-0000C3030000}"/>
    <cellStyle name="Обычный 57" xfId="906" xr:uid="{00000000-0005-0000-0000-0000C4030000}"/>
    <cellStyle name="Обычный 58" xfId="907" xr:uid="{00000000-0005-0000-0000-0000C5030000}"/>
    <cellStyle name="Обычный 59" xfId="908" xr:uid="{00000000-0005-0000-0000-0000C6030000}"/>
    <cellStyle name="Обычный 6" xfId="909" xr:uid="{00000000-0005-0000-0000-0000C7030000}"/>
    <cellStyle name="Обычный 6 2" xfId="910" xr:uid="{00000000-0005-0000-0000-0000C8030000}"/>
    <cellStyle name="Обычный 6 2 2" xfId="911" xr:uid="{00000000-0005-0000-0000-0000C9030000}"/>
    <cellStyle name="Обычный 6 2 3" xfId="912" xr:uid="{00000000-0005-0000-0000-0000CA030000}"/>
    <cellStyle name="Обычный 6 3" xfId="913" xr:uid="{00000000-0005-0000-0000-0000CB030000}"/>
    <cellStyle name="Обычный 6 3 2" xfId="914" xr:uid="{00000000-0005-0000-0000-0000CC030000}"/>
    <cellStyle name="Обычный 6 4" xfId="915" xr:uid="{00000000-0005-0000-0000-0000CD030000}"/>
    <cellStyle name="Обычный 6 5" xfId="916" xr:uid="{00000000-0005-0000-0000-0000CE030000}"/>
    <cellStyle name="Обычный 6 6" xfId="917" xr:uid="{00000000-0005-0000-0000-0000CF030000}"/>
    <cellStyle name="Обычный 60" xfId="918" xr:uid="{00000000-0005-0000-0000-0000D0030000}"/>
    <cellStyle name="Обычный 61" xfId="919" xr:uid="{00000000-0005-0000-0000-0000D1030000}"/>
    <cellStyle name="Обычный 62" xfId="920" xr:uid="{00000000-0005-0000-0000-0000D2030000}"/>
    <cellStyle name="Обычный 63" xfId="921" xr:uid="{00000000-0005-0000-0000-0000D3030000}"/>
    <cellStyle name="Обычный 64" xfId="922" xr:uid="{00000000-0005-0000-0000-0000D4030000}"/>
    <cellStyle name="Обычный 65" xfId="923" xr:uid="{00000000-0005-0000-0000-0000D5030000}"/>
    <cellStyle name="Обычный 65 2" xfId="924" xr:uid="{00000000-0005-0000-0000-0000D6030000}"/>
    <cellStyle name="Обычный 66" xfId="925" xr:uid="{00000000-0005-0000-0000-0000D7030000}"/>
    <cellStyle name="Обычный 66 2" xfId="926" xr:uid="{00000000-0005-0000-0000-0000D8030000}"/>
    <cellStyle name="Обычный 66 3" xfId="927" xr:uid="{00000000-0005-0000-0000-0000D9030000}"/>
    <cellStyle name="Обычный 67" xfId="928" xr:uid="{00000000-0005-0000-0000-0000DA030000}"/>
    <cellStyle name="Обычный 68" xfId="929" xr:uid="{00000000-0005-0000-0000-0000DB030000}"/>
    <cellStyle name="Обычный 69" xfId="930" xr:uid="{00000000-0005-0000-0000-0000DC030000}"/>
    <cellStyle name="Обычный 7" xfId="931" xr:uid="{00000000-0005-0000-0000-0000DD030000}"/>
    <cellStyle name="Обычный 7 2" xfId="932" xr:uid="{00000000-0005-0000-0000-0000DE030000}"/>
    <cellStyle name="Обычный 7 2 2" xfId="933" xr:uid="{00000000-0005-0000-0000-0000DF030000}"/>
    <cellStyle name="Обычный 7 2 3" xfId="934" xr:uid="{00000000-0005-0000-0000-0000E0030000}"/>
    <cellStyle name="Обычный 7 3" xfId="935" xr:uid="{00000000-0005-0000-0000-0000E1030000}"/>
    <cellStyle name="Обычный 7 3 2" xfId="936" xr:uid="{00000000-0005-0000-0000-0000E2030000}"/>
    <cellStyle name="Обычный 7 4" xfId="937" xr:uid="{00000000-0005-0000-0000-0000E3030000}"/>
    <cellStyle name="Обычный 7 4 2" xfId="938" xr:uid="{00000000-0005-0000-0000-0000E4030000}"/>
    <cellStyle name="Обычный 7 5" xfId="939" xr:uid="{00000000-0005-0000-0000-0000E5030000}"/>
    <cellStyle name="Обычный 70" xfId="940" xr:uid="{00000000-0005-0000-0000-0000E6030000}"/>
    <cellStyle name="Обычный 71" xfId="941" xr:uid="{00000000-0005-0000-0000-0000E7030000}"/>
    <cellStyle name="Обычный 72" xfId="942" xr:uid="{00000000-0005-0000-0000-0000E8030000}"/>
    <cellStyle name="Обычный 73" xfId="943" xr:uid="{00000000-0005-0000-0000-0000E9030000}"/>
    <cellStyle name="Обычный 73 2" xfId="944" xr:uid="{00000000-0005-0000-0000-0000EA030000}"/>
    <cellStyle name="Обычный 73 3" xfId="945" xr:uid="{00000000-0005-0000-0000-0000EB030000}"/>
    <cellStyle name="Обычный 73 4" xfId="946" xr:uid="{00000000-0005-0000-0000-0000EC030000}"/>
    <cellStyle name="Обычный 74" xfId="947" xr:uid="{00000000-0005-0000-0000-0000ED030000}"/>
    <cellStyle name="Обычный 75" xfId="948" xr:uid="{00000000-0005-0000-0000-0000EE030000}"/>
    <cellStyle name="Обычный 75 2" xfId="949" xr:uid="{00000000-0005-0000-0000-0000EF030000}"/>
    <cellStyle name="Обычный 76" xfId="950" xr:uid="{00000000-0005-0000-0000-0000F0030000}"/>
    <cellStyle name="Обычный 77" xfId="951" xr:uid="{00000000-0005-0000-0000-0000F1030000}"/>
    <cellStyle name="Обычный 78" xfId="952" xr:uid="{00000000-0005-0000-0000-0000F2030000}"/>
    <cellStyle name="Обычный 78 2" xfId="953" xr:uid="{00000000-0005-0000-0000-0000F3030000}"/>
    <cellStyle name="Обычный 78 3" xfId="954" xr:uid="{00000000-0005-0000-0000-0000F4030000}"/>
    <cellStyle name="Обычный 79" xfId="955" xr:uid="{00000000-0005-0000-0000-0000F5030000}"/>
    <cellStyle name="Обычный 8" xfId="956" xr:uid="{00000000-0005-0000-0000-0000F6030000}"/>
    <cellStyle name="Обычный 8 2" xfId="957" xr:uid="{00000000-0005-0000-0000-0000F7030000}"/>
    <cellStyle name="Обычный 8 2 2" xfId="958" xr:uid="{00000000-0005-0000-0000-0000F8030000}"/>
    <cellStyle name="Обычный 8 2 3" xfId="959" xr:uid="{00000000-0005-0000-0000-0000F9030000}"/>
    <cellStyle name="Обычный 8 3" xfId="960" xr:uid="{00000000-0005-0000-0000-0000FA030000}"/>
    <cellStyle name="Обычный 8 3 2" xfId="961" xr:uid="{00000000-0005-0000-0000-0000FB030000}"/>
    <cellStyle name="Обычный 8 4" xfId="962" xr:uid="{00000000-0005-0000-0000-0000FC030000}"/>
    <cellStyle name="Обычный 8 5" xfId="963" xr:uid="{00000000-0005-0000-0000-0000FD030000}"/>
    <cellStyle name="Обычный 8 6" xfId="964" xr:uid="{00000000-0005-0000-0000-0000FE030000}"/>
    <cellStyle name="Обычный 80" xfId="965" xr:uid="{00000000-0005-0000-0000-0000FF030000}"/>
    <cellStyle name="Обычный 81" xfId="966" xr:uid="{00000000-0005-0000-0000-000000040000}"/>
    <cellStyle name="Обычный 82" xfId="967" xr:uid="{00000000-0005-0000-0000-000001040000}"/>
    <cellStyle name="Обычный 83" xfId="968" xr:uid="{00000000-0005-0000-0000-000002040000}"/>
    <cellStyle name="Обычный 84" xfId="969" xr:uid="{00000000-0005-0000-0000-000003040000}"/>
    <cellStyle name="Обычный 85" xfId="970" xr:uid="{00000000-0005-0000-0000-000004040000}"/>
    <cellStyle name="Обычный 86" xfId="971" xr:uid="{00000000-0005-0000-0000-000005040000}"/>
    <cellStyle name="Обычный 87" xfId="972" xr:uid="{00000000-0005-0000-0000-000006040000}"/>
    <cellStyle name="Обычный 87 2" xfId="973" xr:uid="{00000000-0005-0000-0000-000007040000}"/>
    <cellStyle name="Обычный 87 3" xfId="974" xr:uid="{00000000-0005-0000-0000-000008040000}"/>
    <cellStyle name="Обычный 88" xfId="975" xr:uid="{00000000-0005-0000-0000-000009040000}"/>
    <cellStyle name="Обычный 88 2" xfId="976" xr:uid="{00000000-0005-0000-0000-00000A040000}"/>
    <cellStyle name="Обычный 88 3" xfId="977" xr:uid="{00000000-0005-0000-0000-00000B040000}"/>
    <cellStyle name="Обычный 89" xfId="978" xr:uid="{00000000-0005-0000-0000-00000C040000}"/>
    <cellStyle name="Обычный 9" xfId="979" xr:uid="{00000000-0005-0000-0000-00000D040000}"/>
    <cellStyle name="Обычный 9 2" xfId="980" xr:uid="{00000000-0005-0000-0000-00000E040000}"/>
    <cellStyle name="Обычный 9 2 2" xfId="981" xr:uid="{00000000-0005-0000-0000-00000F040000}"/>
    <cellStyle name="Обычный 9 2 3" xfId="982" xr:uid="{00000000-0005-0000-0000-000010040000}"/>
    <cellStyle name="Обычный 9 3" xfId="983" xr:uid="{00000000-0005-0000-0000-000011040000}"/>
    <cellStyle name="Обычный 9 3 2" xfId="984" xr:uid="{00000000-0005-0000-0000-000012040000}"/>
    <cellStyle name="Обычный 9 4" xfId="985" xr:uid="{00000000-0005-0000-0000-000013040000}"/>
    <cellStyle name="Обычный 90" xfId="986" xr:uid="{00000000-0005-0000-0000-000014040000}"/>
    <cellStyle name="Обычный 90 2" xfId="987" xr:uid="{00000000-0005-0000-0000-000015040000}"/>
    <cellStyle name="Обычный 91" xfId="988" xr:uid="{00000000-0005-0000-0000-000016040000}"/>
    <cellStyle name="Обычный 92" xfId="989" xr:uid="{00000000-0005-0000-0000-000017040000}"/>
    <cellStyle name="Обычный 92 2" xfId="990" xr:uid="{00000000-0005-0000-0000-000018040000}"/>
    <cellStyle name="Обычный 93" xfId="991" xr:uid="{00000000-0005-0000-0000-000019040000}"/>
    <cellStyle name="Обычный 93 2" xfId="992" xr:uid="{00000000-0005-0000-0000-00001A040000}"/>
    <cellStyle name="Обычный 93 3" xfId="993" xr:uid="{00000000-0005-0000-0000-00001B040000}"/>
    <cellStyle name="Обычный 94" xfId="994" xr:uid="{00000000-0005-0000-0000-00001C040000}"/>
    <cellStyle name="Обычный 94 2" xfId="995" xr:uid="{00000000-0005-0000-0000-00001D040000}"/>
    <cellStyle name="Обычный 94 3" xfId="996" xr:uid="{00000000-0005-0000-0000-00001E040000}"/>
    <cellStyle name="Обычный 95" xfId="997" xr:uid="{00000000-0005-0000-0000-00001F040000}"/>
    <cellStyle name="Обычный 95 2" xfId="998" xr:uid="{00000000-0005-0000-0000-000020040000}"/>
    <cellStyle name="Обычный 96" xfId="999" xr:uid="{00000000-0005-0000-0000-000021040000}"/>
    <cellStyle name="Обычный 97" xfId="1000" xr:uid="{00000000-0005-0000-0000-000022040000}"/>
    <cellStyle name="Обычный 97 2" xfId="1001" xr:uid="{00000000-0005-0000-0000-000023040000}"/>
    <cellStyle name="Обычный 98" xfId="1002" xr:uid="{00000000-0005-0000-0000-000024040000}"/>
    <cellStyle name="Обычный 99" xfId="1003" xr:uid="{00000000-0005-0000-0000-000025040000}"/>
    <cellStyle name="Обычный 99 2" xfId="1004" xr:uid="{00000000-0005-0000-0000-000026040000}"/>
    <cellStyle name="Обычный 99 2 2" xfId="1005" xr:uid="{00000000-0005-0000-0000-000027040000}"/>
    <cellStyle name="Примечание 10" xfId="1006" xr:uid="{00000000-0005-0000-0000-000028040000}"/>
    <cellStyle name="Примечание 11" xfId="1007" xr:uid="{00000000-0005-0000-0000-000029040000}"/>
    <cellStyle name="Примечание 12" xfId="1008" xr:uid="{00000000-0005-0000-0000-00002A040000}"/>
    <cellStyle name="Примечание 13" xfId="1009" xr:uid="{00000000-0005-0000-0000-00002B040000}"/>
    <cellStyle name="Примечание 14" xfId="1010" xr:uid="{00000000-0005-0000-0000-00002C040000}"/>
    <cellStyle name="Примечание 15" xfId="1011" xr:uid="{00000000-0005-0000-0000-00002D040000}"/>
    <cellStyle name="Примечание 16" xfId="1012" xr:uid="{00000000-0005-0000-0000-00002E040000}"/>
    <cellStyle name="Примечание 17" xfId="1013" xr:uid="{00000000-0005-0000-0000-00002F040000}"/>
    <cellStyle name="Примечание 18" xfId="1014" xr:uid="{00000000-0005-0000-0000-000030040000}"/>
    <cellStyle name="Примечание 19" xfId="1015" xr:uid="{00000000-0005-0000-0000-000031040000}"/>
    <cellStyle name="Примечание 2" xfId="1016" xr:uid="{00000000-0005-0000-0000-000032040000}"/>
    <cellStyle name="Примечание 2 2" xfId="1017" xr:uid="{00000000-0005-0000-0000-000033040000}"/>
    <cellStyle name="Примечание 2 3" xfId="1018" xr:uid="{00000000-0005-0000-0000-000034040000}"/>
    <cellStyle name="Примечание 20" xfId="1019" xr:uid="{00000000-0005-0000-0000-000035040000}"/>
    <cellStyle name="Примечание 21" xfId="1020" xr:uid="{00000000-0005-0000-0000-000036040000}"/>
    <cellStyle name="Примечание 22" xfId="1021" xr:uid="{00000000-0005-0000-0000-000037040000}"/>
    <cellStyle name="Примечание 23" xfId="1022" xr:uid="{00000000-0005-0000-0000-000038040000}"/>
    <cellStyle name="Примечание 24" xfId="1023" xr:uid="{00000000-0005-0000-0000-000039040000}"/>
    <cellStyle name="Примечание 25" xfId="1024" xr:uid="{00000000-0005-0000-0000-00003A040000}"/>
    <cellStyle name="Примечание 26" xfId="1025" xr:uid="{00000000-0005-0000-0000-00003B040000}"/>
    <cellStyle name="Примечание 27" xfId="1026" xr:uid="{00000000-0005-0000-0000-00003C040000}"/>
    <cellStyle name="Примечание 28" xfId="1027" xr:uid="{00000000-0005-0000-0000-00003D040000}"/>
    <cellStyle name="Примечание 29" xfId="1028" xr:uid="{00000000-0005-0000-0000-00003E040000}"/>
    <cellStyle name="Примечание 3" xfId="1029" xr:uid="{00000000-0005-0000-0000-00003F040000}"/>
    <cellStyle name="Примечание 3 2" xfId="1030" xr:uid="{00000000-0005-0000-0000-000040040000}"/>
    <cellStyle name="Примечание 3 3" xfId="1031" xr:uid="{00000000-0005-0000-0000-000041040000}"/>
    <cellStyle name="Примечание 30" xfId="1032" xr:uid="{00000000-0005-0000-0000-000042040000}"/>
    <cellStyle name="Примечание 4" xfId="1033" xr:uid="{00000000-0005-0000-0000-000043040000}"/>
    <cellStyle name="Примечание 4 2" xfId="1034" xr:uid="{00000000-0005-0000-0000-000044040000}"/>
    <cellStyle name="Примечание 4 3" xfId="1035" xr:uid="{00000000-0005-0000-0000-000045040000}"/>
    <cellStyle name="Примечание 5" xfId="1036" xr:uid="{00000000-0005-0000-0000-000046040000}"/>
    <cellStyle name="Примечание 5 2" xfId="1037" xr:uid="{00000000-0005-0000-0000-000047040000}"/>
    <cellStyle name="Примечание 5 3" xfId="1038" xr:uid="{00000000-0005-0000-0000-000048040000}"/>
    <cellStyle name="Примечание 6" xfId="1039" xr:uid="{00000000-0005-0000-0000-000049040000}"/>
    <cellStyle name="Примечание 6 2" xfId="1040" xr:uid="{00000000-0005-0000-0000-00004A040000}"/>
    <cellStyle name="Примечание 6 3" xfId="1041" xr:uid="{00000000-0005-0000-0000-00004B040000}"/>
    <cellStyle name="Примечание 7" xfId="1042" xr:uid="{00000000-0005-0000-0000-00004C040000}"/>
    <cellStyle name="Примечание 7 2" xfId="1043" xr:uid="{00000000-0005-0000-0000-00004D040000}"/>
    <cellStyle name="Примечание 7 3" xfId="1044" xr:uid="{00000000-0005-0000-0000-00004E040000}"/>
    <cellStyle name="Примечание 8" xfId="1045" xr:uid="{00000000-0005-0000-0000-00004F040000}"/>
    <cellStyle name="Примечание 8 2" xfId="1046" xr:uid="{00000000-0005-0000-0000-000050040000}"/>
    <cellStyle name="Примечание 8 3" xfId="1047" xr:uid="{00000000-0005-0000-0000-000051040000}"/>
    <cellStyle name="Примечание 9" xfId="1048" xr:uid="{00000000-0005-0000-0000-000052040000}"/>
    <cellStyle name="Примечание 9 2" xfId="1049" xr:uid="{00000000-0005-0000-0000-000053040000}"/>
    <cellStyle name="Процентный" xfId="2" builtinId="5"/>
    <cellStyle name="Процентный 2" xfId="8" xr:uid="{00000000-0005-0000-0000-000055040000}"/>
    <cellStyle name="Процентный 2 2" xfId="1050" xr:uid="{00000000-0005-0000-0000-000056040000}"/>
    <cellStyle name="Процентный 2 2 2" xfId="10" xr:uid="{00000000-0005-0000-0000-000057040000}"/>
    <cellStyle name="Процентный 2 2 3" xfId="1051" xr:uid="{00000000-0005-0000-0000-000058040000}"/>
    <cellStyle name="Процентный 2 3" xfId="1052" xr:uid="{00000000-0005-0000-0000-000059040000}"/>
    <cellStyle name="Процентный 2 4" xfId="1053" xr:uid="{00000000-0005-0000-0000-00005A040000}"/>
    <cellStyle name="Процентный 2 5" xfId="1054" xr:uid="{00000000-0005-0000-0000-00005B040000}"/>
    <cellStyle name="Процентный 2 6" xfId="1055" xr:uid="{00000000-0005-0000-0000-00005C040000}"/>
    <cellStyle name="Процентный 2 7" xfId="1056" xr:uid="{00000000-0005-0000-0000-00005D040000}"/>
    <cellStyle name="Процентный 3" xfId="1057" xr:uid="{00000000-0005-0000-0000-00005E040000}"/>
    <cellStyle name="Процентный 4" xfId="1058" xr:uid="{00000000-0005-0000-0000-00005F040000}"/>
    <cellStyle name="Стиль 1" xfId="1059" xr:uid="{00000000-0005-0000-0000-000060040000}"/>
    <cellStyle name="Финансовый" xfId="3" builtinId="3"/>
    <cellStyle name="Финансовый [0] 2" xfId="1060" xr:uid="{00000000-0005-0000-0000-000062040000}"/>
    <cellStyle name="Финансовый [0] 2 2" xfId="1061" xr:uid="{00000000-0005-0000-0000-000063040000}"/>
    <cellStyle name="Финансовый [0] 67" xfId="1062" xr:uid="{00000000-0005-0000-0000-000064040000}"/>
    <cellStyle name="Финансовый 10" xfId="1063" xr:uid="{00000000-0005-0000-0000-000065040000}"/>
    <cellStyle name="Финансовый 10 2" xfId="1064" xr:uid="{00000000-0005-0000-0000-000066040000}"/>
    <cellStyle name="Финансовый 11" xfId="1065" xr:uid="{00000000-0005-0000-0000-000067040000}"/>
    <cellStyle name="Финансовый 11 2" xfId="1066" xr:uid="{00000000-0005-0000-0000-000068040000}"/>
    <cellStyle name="Финансовый 13" xfId="1067" xr:uid="{00000000-0005-0000-0000-000069040000}"/>
    <cellStyle name="Финансовый 13 2" xfId="1068" xr:uid="{00000000-0005-0000-0000-00006A040000}"/>
    <cellStyle name="Финансовый 13 3" xfId="1069" xr:uid="{00000000-0005-0000-0000-00006B040000}"/>
    <cellStyle name="Финансовый 17" xfId="1070" xr:uid="{00000000-0005-0000-0000-00006C040000}"/>
    <cellStyle name="Финансовый 19" xfId="1071" xr:uid="{00000000-0005-0000-0000-00006D040000}"/>
    <cellStyle name="Финансовый 19 2" xfId="1072" xr:uid="{00000000-0005-0000-0000-00006E040000}"/>
    <cellStyle name="Финансовый 19 3" xfId="1073" xr:uid="{00000000-0005-0000-0000-00006F040000}"/>
    <cellStyle name="Финансовый 2" xfId="7" xr:uid="{00000000-0005-0000-0000-000070040000}"/>
    <cellStyle name="Финансовый 2 10" xfId="1074" xr:uid="{00000000-0005-0000-0000-000071040000}"/>
    <cellStyle name="Финансовый 2 11" xfId="1075" xr:uid="{00000000-0005-0000-0000-000072040000}"/>
    <cellStyle name="Финансовый 2 12" xfId="1076" xr:uid="{00000000-0005-0000-0000-000073040000}"/>
    <cellStyle name="Финансовый 2 13" xfId="1077" xr:uid="{00000000-0005-0000-0000-000074040000}"/>
    <cellStyle name="Финансовый 2 14" xfId="1078" xr:uid="{00000000-0005-0000-0000-000075040000}"/>
    <cellStyle name="Финансовый 2 15" xfId="1079" xr:uid="{00000000-0005-0000-0000-000076040000}"/>
    <cellStyle name="Финансовый 2 16" xfId="1080" xr:uid="{00000000-0005-0000-0000-000077040000}"/>
    <cellStyle name="Финансовый 2 17" xfId="1081" xr:uid="{00000000-0005-0000-0000-000078040000}"/>
    <cellStyle name="Финансовый 2 18" xfId="1082" xr:uid="{00000000-0005-0000-0000-000079040000}"/>
    <cellStyle name="Финансовый 2 19" xfId="1083" xr:uid="{00000000-0005-0000-0000-00007A040000}"/>
    <cellStyle name="Финансовый 2 2" xfId="1084" xr:uid="{00000000-0005-0000-0000-00007B040000}"/>
    <cellStyle name="Финансовый 2 2 2" xfId="1085" xr:uid="{00000000-0005-0000-0000-00007C040000}"/>
    <cellStyle name="Финансовый 2 2 2 2" xfId="1086" xr:uid="{00000000-0005-0000-0000-00007D040000}"/>
    <cellStyle name="Финансовый 2 2 2 3" xfId="1087" xr:uid="{00000000-0005-0000-0000-00007E040000}"/>
    <cellStyle name="Финансовый 2 2 3" xfId="1088" xr:uid="{00000000-0005-0000-0000-00007F040000}"/>
    <cellStyle name="Финансовый 2 2 4" xfId="1089" xr:uid="{00000000-0005-0000-0000-000080040000}"/>
    <cellStyle name="Финансовый 2 20" xfId="1090" xr:uid="{00000000-0005-0000-0000-000081040000}"/>
    <cellStyle name="Финансовый 2 21" xfId="1091" xr:uid="{00000000-0005-0000-0000-000082040000}"/>
    <cellStyle name="Финансовый 2 22" xfId="1092" xr:uid="{00000000-0005-0000-0000-000083040000}"/>
    <cellStyle name="Финансовый 2 23" xfId="1093" xr:uid="{00000000-0005-0000-0000-000084040000}"/>
    <cellStyle name="Финансовый 2 24" xfId="1094" xr:uid="{00000000-0005-0000-0000-000085040000}"/>
    <cellStyle name="Финансовый 2 25" xfId="1095" xr:uid="{00000000-0005-0000-0000-000086040000}"/>
    <cellStyle name="Финансовый 2 26" xfId="1096" xr:uid="{00000000-0005-0000-0000-000087040000}"/>
    <cellStyle name="Финансовый 2 27" xfId="1097" xr:uid="{00000000-0005-0000-0000-000088040000}"/>
    <cellStyle name="Финансовый 2 28" xfId="1098" xr:uid="{00000000-0005-0000-0000-000089040000}"/>
    <cellStyle name="Финансовый 2 29" xfId="1099" xr:uid="{00000000-0005-0000-0000-00008A040000}"/>
    <cellStyle name="Финансовый 2 3" xfId="1100" xr:uid="{00000000-0005-0000-0000-00008B040000}"/>
    <cellStyle name="Финансовый 2 3 2" xfId="1101" xr:uid="{00000000-0005-0000-0000-00008C040000}"/>
    <cellStyle name="Финансовый 2 3 3" xfId="1102" xr:uid="{00000000-0005-0000-0000-00008D040000}"/>
    <cellStyle name="Финансовый 2 3 4" xfId="1103" xr:uid="{00000000-0005-0000-0000-00008E040000}"/>
    <cellStyle name="Финансовый 2 30" xfId="1104" xr:uid="{00000000-0005-0000-0000-00008F040000}"/>
    <cellStyle name="Финансовый 2 4" xfId="1105" xr:uid="{00000000-0005-0000-0000-000090040000}"/>
    <cellStyle name="Финансовый 2 4 2" xfId="1106" xr:uid="{00000000-0005-0000-0000-000091040000}"/>
    <cellStyle name="Финансовый 2 4 3" xfId="1107" xr:uid="{00000000-0005-0000-0000-000092040000}"/>
    <cellStyle name="Финансовый 2 4 4" xfId="1108" xr:uid="{00000000-0005-0000-0000-000093040000}"/>
    <cellStyle name="Финансовый 2 5" xfId="1109" xr:uid="{00000000-0005-0000-0000-000094040000}"/>
    <cellStyle name="Финансовый 2 5 2" xfId="1110" xr:uid="{00000000-0005-0000-0000-000095040000}"/>
    <cellStyle name="Финансовый 2 6" xfId="1111" xr:uid="{00000000-0005-0000-0000-000096040000}"/>
    <cellStyle name="Финансовый 2 6 2" xfId="1112" xr:uid="{00000000-0005-0000-0000-000097040000}"/>
    <cellStyle name="Финансовый 2 7" xfId="1113" xr:uid="{00000000-0005-0000-0000-000098040000}"/>
    <cellStyle name="Финансовый 2 8" xfId="1114" xr:uid="{00000000-0005-0000-0000-000099040000}"/>
    <cellStyle name="Финансовый 2 9" xfId="1115" xr:uid="{00000000-0005-0000-0000-00009A040000}"/>
    <cellStyle name="Финансовый 20" xfId="1116" xr:uid="{00000000-0005-0000-0000-00009B040000}"/>
    <cellStyle name="Финансовый 21" xfId="1117" xr:uid="{00000000-0005-0000-0000-00009C040000}"/>
    <cellStyle name="Финансовый 23" xfId="1118" xr:uid="{00000000-0005-0000-0000-00009D040000}"/>
    <cellStyle name="Финансовый 24" xfId="1119" xr:uid="{00000000-0005-0000-0000-00009E040000}"/>
    <cellStyle name="Финансовый 25" xfId="1120" xr:uid="{00000000-0005-0000-0000-00009F040000}"/>
    <cellStyle name="Финансовый 26" xfId="1121" xr:uid="{00000000-0005-0000-0000-0000A0040000}"/>
    <cellStyle name="Финансовый 27" xfId="1122" xr:uid="{00000000-0005-0000-0000-0000A1040000}"/>
    <cellStyle name="Финансовый 28" xfId="1123" xr:uid="{00000000-0005-0000-0000-0000A2040000}"/>
    <cellStyle name="Финансовый 3" xfId="1124" xr:uid="{00000000-0005-0000-0000-0000A3040000}"/>
    <cellStyle name="Финансовый 3 10" xfId="1125" xr:uid="{00000000-0005-0000-0000-0000A4040000}"/>
    <cellStyle name="Финансовый 3 11" xfId="1126" xr:uid="{00000000-0005-0000-0000-0000A5040000}"/>
    <cellStyle name="Финансовый 3 12" xfId="1127" xr:uid="{00000000-0005-0000-0000-0000A6040000}"/>
    <cellStyle name="Финансовый 3 13" xfId="1128" xr:uid="{00000000-0005-0000-0000-0000A7040000}"/>
    <cellStyle name="Финансовый 3 14" xfId="1129" xr:uid="{00000000-0005-0000-0000-0000A8040000}"/>
    <cellStyle name="Финансовый 3 15" xfId="1130" xr:uid="{00000000-0005-0000-0000-0000A9040000}"/>
    <cellStyle name="Финансовый 3 16" xfId="1131" xr:uid="{00000000-0005-0000-0000-0000AA040000}"/>
    <cellStyle name="Финансовый 3 17" xfId="1132" xr:uid="{00000000-0005-0000-0000-0000AB040000}"/>
    <cellStyle name="Финансовый 3 18" xfId="1133" xr:uid="{00000000-0005-0000-0000-0000AC040000}"/>
    <cellStyle name="Финансовый 3 19" xfId="1134" xr:uid="{00000000-0005-0000-0000-0000AD040000}"/>
    <cellStyle name="Финансовый 3 2" xfId="1135" xr:uid="{00000000-0005-0000-0000-0000AE040000}"/>
    <cellStyle name="Финансовый 3 2 2" xfId="1136" xr:uid="{00000000-0005-0000-0000-0000AF040000}"/>
    <cellStyle name="Финансовый 3 2 2 2" xfId="1137" xr:uid="{00000000-0005-0000-0000-0000B0040000}"/>
    <cellStyle name="Финансовый 3 2 2 3" xfId="1138" xr:uid="{00000000-0005-0000-0000-0000B1040000}"/>
    <cellStyle name="Финансовый 3 2 3" xfId="1139" xr:uid="{00000000-0005-0000-0000-0000B2040000}"/>
    <cellStyle name="Финансовый 3 2 3 2" xfId="1140" xr:uid="{00000000-0005-0000-0000-0000B3040000}"/>
    <cellStyle name="Финансовый 3 2 4" xfId="1141" xr:uid="{00000000-0005-0000-0000-0000B4040000}"/>
    <cellStyle name="Финансовый 3 2 5" xfId="1142" xr:uid="{00000000-0005-0000-0000-0000B5040000}"/>
    <cellStyle name="Финансовый 3 2 6" xfId="1143" xr:uid="{00000000-0005-0000-0000-0000B6040000}"/>
    <cellStyle name="Финансовый 3 20" xfId="1144" xr:uid="{00000000-0005-0000-0000-0000B7040000}"/>
    <cellStyle name="Финансовый 3 21" xfId="1145" xr:uid="{00000000-0005-0000-0000-0000B8040000}"/>
    <cellStyle name="Финансовый 3 22" xfId="1146" xr:uid="{00000000-0005-0000-0000-0000B9040000}"/>
    <cellStyle name="Финансовый 3 3" xfId="1147" xr:uid="{00000000-0005-0000-0000-0000BA040000}"/>
    <cellStyle name="Финансовый 3 3 2" xfId="1148" xr:uid="{00000000-0005-0000-0000-0000BB040000}"/>
    <cellStyle name="Финансовый 3 3 3" xfId="1149" xr:uid="{00000000-0005-0000-0000-0000BC040000}"/>
    <cellStyle name="Финансовый 3 4" xfId="1150" xr:uid="{00000000-0005-0000-0000-0000BD040000}"/>
    <cellStyle name="Финансовый 3 4 2" xfId="1151" xr:uid="{00000000-0005-0000-0000-0000BE040000}"/>
    <cellStyle name="Финансовый 3 4 3" xfId="1152" xr:uid="{00000000-0005-0000-0000-0000BF040000}"/>
    <cellStyle name="Финансовый 3 5" xfId="1153" xr:uid="{00000000-0005-0000-0000-0000C0040000}"/>
    <cellStyle name="Финансовый 3 5 2" xfId="1154" xr:uid="{00000000-0005-0000-0000-0000C1040000}"/>
    <cellStyle name="Финансовый 3 5 3" xfId="1155" xr:uid="{00000000-0005-0000-0000-0000C2040000}"/>
    <cellStyle name="Финансовый 3 5 4" xfId="1156" xr:uid="{00000000-0005-0000-0000-0000C3040000}"/>
    <cellStyle name="Финансовый 3 6" xfId="1157" xr:uid="{00000000-0005-0000-0000-0000C4040000}"/>
    <cellStyle name="Финансовый 3 6 2" xfId="1158" xr:uid="{00000000-0005-0000-0000-0000C5040000}"/>
    <cellStyle name="Финансовый 3 7" xfId="1159" xr:uid="{00000000-0005-0000-0000-0000C6040000}"/>
    <cellStyle name="Финансовый 3 7 2" xfId="1160" xr:uid="{00000000-0005-0000-0000-0000C7040000}"/>
    <cellStyle name="Финансовый 3 8" xfId="1161" xr:uid="{00000000-0005-0000-0000-0000C8040000}"/>
    <cellStyle name="Финансовый 3 9" xfId="1162" xr:uid="{00000000-0005-0000-0000-0000C9040000}"/>
    <cellStyle name="Финансовый 30" xfId="1163" xr:uid="{00000000-0005-0000-0000-0000CA040000}"/>
    <cellStyle name="Финансовый 31" xfId="1164" xr:uid="{00000000-0005-0000-0000-0000CB040000}"/>
    <cellStyle name="Финансовый 31 2" xfId="1165" xr:uid="{00000000-0005-0000-0000-0000CC040000}"/>
    <cellStyle name="Финансовый 32" xfId="1166" xr:uid="{00000000-0005-0000-0000-0000CD040000}"/>
    <cellStyle name="Финансовый 32 2" xfId="1167" xr:uid="{00000000-0005-0000-0000-0000CE040000}"/>
    <cellStyle name="Финансовый 33" xfId="1168" xr:uid="{00000000-0005-0000-0000-0000CF040000}"/>
    <cellStyle name="Финансовый 33 2" xfId="1169" xr:uid="{00000000-0005-0000-0000-0000D0040000}"/>
    <cellStyle name="Финансовый 34" xfId="1170" xr:uid="{00000000-0005-0000-0000-0000D1040000}"/>
    <cellStyle name="Финансовый 34 2" xfId="1171" xr:uid="{00000000-0005-0000-0000-0000D2040000}"/>
    <cellStyle name="Финансовый 35" xfId="1172" xr:uid="{00000000-0005-0000-0000-0000D3040000}"/>
    <cellStyle name="Финансовый 35 2" xfId="1173" xr:uid="{00000000-0005-0000-0000-0000D4040000}"/>
    <cellStyle name="Финансовый 36" xfId="1174" xr:uid="{00000000-0005-0000-0000-0000D5040000}"/>
    <cellStyle name="Финансовый 36 2" xfId="1175" xr:uid="{00000000-0005-0000-0000-0000D6040000}"/>
    <cellStyle name="Финансовый 37" xfId="1176" xr:uid="{00000000-0005-0000-0000-0000D7040000}"/>
    <cellStyle name="Финансовый 37 2" xfId="1177" xr:uid="{00000000-0005-0000-0000-0000D8040000}"/>
    <cellStyle name="Финансовый 38" xfId="1178" xr:uid="{00000000-0005-0000-0000-0000D9040000}"/>
    <cellStyle name="Финансовый 38 2" xfId="1179" xr:uid="{00000000-0005-0000-0000-0000DA040000}"/>
    <cellStyle name="Финансовый 39" xfId="1180" xr:uid="{00000000-0005-0000-0000-0000DB040000}"/>
    <cellStyle name="Финансовый 4" xfId="1181" xr:uid="{00000000-0005-0000-0000-0000DC040000}"/>
    <cellStyle name="Финансовый 4 2" xfId="1182" xr:uid="{00000000-0005-0000-0000-0000DD040000}"/>
    <cellStyle name="Финансовый 4 2 2" xfId="1183" xr:uid="{00000000-0005-0000-0000-0000DE040000}"/>
    <cellStyle name="Финансовый 4 2 2 2" xfId="1184" xr:uid="{00000000-0005-0000-0000-0000DF040000}"/>
    <cellStyle name="Финансовый 4 2 3" xfId="1185" xr:uid="{00000000-0005-0000-0000-0000E0040000}"/>
    <cellStyle name="Финансовый 4 3" xfId="1186" xr:uid="{00000000-0005-0000-0000-0000E1040000}"/>
    <cellStyle name="Финансовый 4 3 2" xfId="1187" xr:uid="{00000000-0005-0000-0000-0000E2040000}"/>
    <cellStyle name="Финансовый 4 4" xfId="1188" xr:uid="{00000000-0005-0000-0000-0000E3040000}"/>
    <cellStyle name="Финансовый 4 4 2" xfId="1189" xr:uid="{00000000-0005-0000-0000-0000E4040000}"/>
    <cellStyle name="Финансовый 4 5" xfId="1190" xr:uid="{00000000-0005-0000-0000-0000E5040000}"/>
    <cellStyle name="Финансовый 4 6" xfId="1191" xr:uid="{00000000-0005-0000-0000-0000E6040000}"/>
    <cellStyle name="Финансовый 4 7" xfId="1192" xr:uid="{00000000-0005-0000-0000-0000E7040000}"/>
    <cellStyle name="Финансовый 4 8" xfId="1193" xr:uid="{00000000-0005-0000-0000-0000E8040000}"/>
    <cellStyle name="Финансовый 4 9" xfId="1194" xr:uid="{00000000-0005-0000-0000-0000E9040000}"/>
    <cellStyle name="Финансовый 40" xfId="1195" xr:uid="{00000000-0005-0000-0000-0000EA040000}"/>
    <cellStyle name="Финансовый 41" xfId="1196" xr:uid="{00000000-0005-0000-0000-0000EB040000}"/>
    <cellStyle name="Финансовый 42" xfId="1197" xr:uid="{00000000-0005-0000-0000-0000EC040000}"/>
    <cellStyle name="Финансовый 42 2" xfId="1198" xr:uid="{00000000-0005-0000-0000-0000ED040000}"/>
    <cellStyle name="Финансовый 44" xfId="1199" xr:uid="{00000000-0005-0000-0000-0000EE040000}"/>
    <cellStyle name="Финансовый 46" xfId="1200" xr:uid="{00000000-0005-0000-0000-0000EF040000}"/>
    <cellStyle name="Финансовый 47" xfId="1201" xr:uid="{00000000-0005-0000-0000-0000F0040000}"/>
    <cellStyle name="Финансовый 5" xfId="1202" xr:uid="{00000000-0005-0000-0000-0000F1040000}"/>
    <cellStyle name="Финансовый 5 2" xfId="1203" xr:uid="{00000000-0005-0000-0000-0000F2040000}"/>
    <cellStyle name="Финансовый 5 2 2" xfId="1204" xr:uid="{00000000-0005-0000-0000-0000F3040000}"/>
    <cellStyle name="Финансовый 5 3" xfId="1205" xr:uid="{00000000-0005-0000-0000-0000F4040000}"/>
    <cellStyle name="Финансовый 5 3 2" xfId="1206" xr:uid="{00000000-0005-0000-0000-0000F5040000}"/>
    <cellStyle name="Финансовый 5 3 3" xfId="1207" xr:uid="{00000000-0005-0000-0000-0000F6040000}"/>
    <cellStyle name="Финансовый 5 4" xfId="1208" xr:uid="{00000000-0005-0000-0000-0000F7040000}"/>
    <cellStyle name="Финансовый 5 5" xfId="1209" xr:uid="{00000000-0005-0000-0000-0000F8040000}"/>
    <cellStyle name="Финансовый 6" xfId="1210" xr:uid="{00000000-0005-0000-0000-0000F9040000}"/>
    <cellStyle name="Финансовый 6 2" xfId="1211" xr:uid="{00000000-0005-0000-0000-0000FA040000}"/>
    <cellStyle name="Финансовый 6 2 2" xfId="1212" xr:uid="{00000000-0005-0000-0000-0000FB040000}"/>
    <cellStyle name="Финансовый 6 2 3" xfId="1213" xr:uid="{00000000-0005-0000-0000-0000FC040000}"/>
    <cellStyle name="Финансовый 6 3" xfId="1214" xr:uid="{00000000-0005-0000-0000-0000FD040000}"/>
    <cellStyle name="Финансовый 6 4" xfId="1215" xr:uid="{00000000-0005-0000-0000-0000FE040000}"/>
    <cellStyle name="Финансовый 7" xfId="1216" xr:uid="{00000000-0005-0000-0000-0000FF040000}"/>
    <cellStyle name="Финансовый 7 2" xfId="1217" xr:uid="{00000000-0005-0000-0000-000000050000}"/>
    <cellStyle name="Финансовый 7 2 2" xfId="1218" xr:uid="{00000000-0005-0000-0000-000001050000}"/>
    <cellStyle name="Финансовый 7 2 3" xfId="1219" xr:uid="{00000000-0005-0000-0000-000002050000}"/>
    <cellStyle name="Финансовый 7 3" xfId="1220" xr:uid="{00000000-0005-0000-0000-000003050000}"/>
    <cellStyle name="Финансовый 8" xfId="1221" xr:uid="{00000000-0005-0000-0000-000004050000}"/>
    <cellStyle name="Финансовый 8 2" xfId="1222" xr:uid="{00000000-0005-0000-0000-000005050000}"/>
    <cellStyle name="Финансовый 9" xfId="1223" xr:uid="{00000000-0005-0000-0000-000006050000}"/>
    <cellStyle name="Џђћ–…ќ’ќ›‰" xfId="1224" xr:uid="{00000000-0005-0000-0000-000007050000}"/>
  </cellStyles>
  <dxfs count="71">
    <dxf>
      <fill>
        <patternFill>
          <bgColor rgb="FFFF00FF"/>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FF"/>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FF"/>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ill>
        <patternFill>
          <bgColor rgb="FFFF0000"/>
        </patternFill>
      </fill>
    </dxf>
    <dxf>
      <fill>
        <patternFill>
          <bgColor rgb="FFFF66FF"/>
        </patternFill>
      </fill>
    </dxf>
  </dxfs>
  <tableStyles count="0" defaultTableStyle="TableStyleMedium9" defaultPivotStyle="PivotStyleLight16"/>
  <colors>
    <mruColors>
      <color rgb="FFFF66FF"/>
      <color rgb="FF08C8C3"/>
      <color rgb="FFFF33CC"/>
      <color rgb="FFB6FF5D"/>
      <color rgb="FF68A62A"/>
      <color rgb="FF4A5886"/>
      <color rgb="FFB30D9B"/>
      <color rgb="FFFF00FF"/>
      <color rgb="FF35E2EB"/>
      <color rgb="FFD9F29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externalLink" Target="externalLinks/externalLink7.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externalLink" Target="externalLinks/externalLink6.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5.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Server2\pochta\Documents%20and%20Settings\rrgkostina\Local%20Settings\Temporary%20Internet%20Files\OLK1\UZB%20redtab%20Jan%2004.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101.151\&#1073;&#1072;&#1083;&#1072;&#1085;&#1089;\RSN\D\&#1052;&#1042;&#1060;\2008\May_2008\&#1043;&#1072;&#1083;&#1080;&#1085;&#1072;\UZB%20SA%20tables%20English%20--%20to%20authorities%20(3).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0.1.101.151\&#1073;&#1072;&#1083;&#1072;&#1085;&#1089;\Documents%20and%20Settings\&#1040;&#1076;&#1084;&#1080;&#1085;&#1080;&#1089;&#1090;&#1088;&#1072;&#1090;&#1086;&#1088;\&#1056;&#1072;&#1073;&#1086;&#1095;&#1080;&#1081;%20&#1089;&#1090;&#1086;&#1083;\&#1053;&#1086;&#1103;&#1073;&#1088;&#1100;_2006\&#1052;&#1080;&#1089;&#1089;&#1080;&#1103;%20&#1052;&#1042;&#1060;_&#1085;&#1086;&#1103;-&#1076;&#1077;&#1082;_2006\UZB___RED_Tables___Russian_&#1043;&#1040;&#1051;&#1040;.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P:\Mission\Uganda\Previous%20files\Data%20from%20the%20Authorities\Diskette%209\INTRT.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10.1.101.10\imf_&#1080;&#1083;&#1093;&#1086;&#1084;%20&#1072;&#1082;&#1072;%20&#1091;&#1095;&#1091;&#1085;\RSN\D\&#1052;&#1042;&#1060;\2008\May_2008\&#1043;&#1072;&#1083;&#1080;&#1085;&#1072;\UZB%20SA%20tables%20English%20--%20to%20authorities%20(3).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Users\BS4CB5~1.SAN\AppData\Local\Temp\notes848B87\crs005O.XLSX"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file:///D:\01)%20BOBURJON\01.%20&#1053;&#1086;&#1088;&#1084;&#1072;&#1090;&#1080;&#1074;&#1082;&#1072;%20(&#1090;)\01)%2001,01,2026\crs005L.XLSX" TargetMode="External"/><Relationship Id="rId1" Type="http://schemas.openxmlformats.org/officeDocument/2006/relationships/externalLinkPath" Target="crs005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Print"/>
      <sheetName val="basic"/>
      <sheetName val="tab1"/>
      <sheetName val="tab2"/>
      <sheetName val="tab3"/>
      <sheetName val="tab4"/>
      <sheetName val="tab5"/>
      <sheetName val="tab6"/>
      <sheetName val="tab7"/>
      <sheetName val="tab8"/>
      <sheetName val="tab9"/>
      <sheetName val="tab10"/>
      <sheetName val="tab11"/>
      <sheetName val="tab12"/>
      <sheetName val="tab13"/>
      <sheetName val="tab14"/>
      <sheetName val="tab15"/>
      <sheetName val="ControlSheet"/>
      <sheetName val="tab16"/>
      <sheetName val="tab17"/>
      <sheetName val="tab18"/>
      <sheetName val="tab19"/>
      <sheetName val="tab20"/>
      <sheetName val="tab21"/>
      <sheetName val="oldtab23"/>
      <sheetName val="oldtab25"/>
      <sheetName val="21bis"/>
      <sheetName val="tab22"/>
      <sheetName val="tab23"/>
      <sheetName val="tab24"/>
      <sheetName val="tab25"/>
      <sheetName val="tab26"/>
      <sheetName val="tab27"/>
      <sheetName val="tab28"/>
      <sheetName val="tab29"/>
      <sheetName val="tab30"/>
      <sheetName val="tab31"/>
      <sheetName val="tab31 old"/>
      <sheetName val="tab32"/>
      <sheetName val="tab33"/>
      <sheetName val="tab34"/>
      <sheetName val="tab35"/>
      <sheetName val="tab36"/>
      <sheetName val="tab37"/>
      <sheetName val="tab38"/>
      <sheetName val="tab40"/>
      <sheetName val="#ССЫЛКА"/>
      <sheetName val="TAB113"/>
      <sheetName val="TAB110"/>
      <sheetName val="TAB111"/>
      <sheetName val="TAB104"/>
      <sheetName val="TAB151"/>
      <sheetName val="TAB158"/>
      <sheetName val="Пост по регион (2)"/>
      <sheetName val="Лист1"/>
      <sheetName val="Тегишилмасин"/>
      <sheetName val="тегилмасин"/>
      <sheetName val="Субстандарт "/>
      <sheetName val="Харакатсиз"/>
      <sheetName val="ЭСЛАТМА!!"/>
      <sheetName val="Sheet"/>
      <sheetName val="tab31_old"/>
      <sheetName val="Пост_по_регион_(2)"/>
      <sheetName val="Лист2"/>
      <sheetName val="Сабаб"/>
      <sheetName val="UZB redtab Jan 04"/>
      <sheetName val="жадвал"/>
      <sheetName val="Танишиб чиқиш учун"/>
      <sheetName val="tab 19"/>
      <sheetName val="tab31_old1"/>
      <sheetName val="Пост_по_регион_(2)1"/>
      <sheetName val="Субстандарт_"/>
      <sheetName val="tab_19"/>
      <sheetName val="Танишиб_чиқиш_учун"/>
      <sheetName val="UZB_redtab_Jan_04"/>
      <sheetName val="Свод (Район,кала)"/>
      <sheetName val="Банк жами"/>
      <sheetName val="shablon"/>
      <sheetName val="tegmang"/>
      <sheetName val="Лист4"/>
      <sheetName val="ruyhat"/>
      <sheetName val="Bank Capital Calc"/>
      <sheetName val="Bank Capital Calc (2)"/>
      <sheetName val="Calculation of Risk Weighted As"/>
      <sheetName val="Calculation of Risk Weighte нац"/>
      <sheetName val="Calculation of Risk Weighte ин"/>
      <sheetName val="Calculation of Risk"/>
      <sheetName val="Svod jadval"/>
      <sheetName val="ж а м и"/>
      <sheetName val="РУЙХАТ"/>
      <sheetName val="Лист3"/>
      <sheetName val="T1"/>
      <sheetName val="tab31_old2"/>
      <sheetName val="Пост_по_регион_(2)2"/>
      <sheetName val="Субстандарт_1"/>
      <sheetName val="tab_191"/>
      <sheetName val="Танишиб_чиқиш_учун1"/>
      <sheetName val="UZB_redtab_Jan_041"/>
      <sheetName val="Свод_(Район,кала)"/>
      <sheetName val="Банк_жами"/>
      <sheetName val="Bank_Capital_Calc"/>
      <sheetName val="Bank_Capital_Calc_(2)"/>
      <sheetName val="Calculation_of_Risk_Weighted_As"/>
      <sheetName val="Calculation_of_Risk_Weighte_нац"/>
      <sheetName val="Calculation_of_Risk_Weighte_ин"/>
      <sheetName val="Calculation_of_Risk"/>
      <sheetName val="Svod_jadval"/>
      <sheetName val="ж_а_м_и"/>
      <sheetName val="Боғлиқлик"/>
      <sheetName val="tab31_old3"/>
      <sheetName val="Пост_по_регион_(2)3"/>
      <sheetName val="Субстандарт_2"/>
      <sheetName val="Танишиб_чиқиш_учун2"/>
      <sheetName val="UZB_redtab_Jan_042"/>
      <sheetName val="tab_192"/>
      <sheetName val="Свод_(Район,кала)1"/>
      <sheetName val="Банк_жами1"/>
      <sheetName val="Svod_jadval1"/>
      <sheetName val="Bank_Capital_Calc1"/>
      <sheetName val="Bank_Capital_Calc_(2)1"/>
      <sheetName val="Calculation_of_Risk_Weighted_A1"/>
      <sheetName val="Calculation_of_Risk_Weighte_на1"/>
      <sheetName val="Calculation_of_Risk_Weighte_ин1"/>
      <sheetName val="Calculation_of_Risk1"/>
      <sheetName val="ж_а_м_и1"/>
      <sheetName val="Лист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sheetData sheetId="75"/>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refreshError="1"/>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basic"/>
      <sheetName val="tab1"/>
      <sheetName val="tab2"/>
      <sheetName val="tab3"/>
      <sheetName val="tab4"/>
      <sheetName val="tab5"/>
      <sheetName val="tab6"/>
      <sheetName val="table7"/>
      <sheetName val="table 8"/>
      <sheetName val="tab 9"/>
      <sheetName val="tab 10"/>
      <sheetName val="tab 11"/>
      <sheetName val="tab 12"/>
      <sheetName val="tab 13"/>
      <sheetName val="tab 14"/>
      <sheetName val="tab 15"/>
      <sheetName val="tab 16"/>
      <sheetName val="tab 17"/>
      <sheetName val="ControlSheet"/>
      <sheetName val="tab 18"/>
      <sheetName val="tab 19"/>
      <sheetName val="tab 20"/>
      <sheetName val="tab 21"/>
      <sheetName val="tab 22"/>
      <sheetName val="tab 23"/>
      <sheetName val="oldtab23"/>
      <sheetName val="oldtab25"/>
      <sheetName val="21bis"/>
      <sheetName val="tab 24"/>
      <sheetName val="tab 25"/>
      <sheetName val="tab 26"/>
      <sheetName val="tab 27"/>
      <sheetName val="tab 28"/>
      <sheetName val="tab 29"/>
      <sheetName val="tab 30"/>
      <sheetName val="tab 31"/>
      <sheetName val="tab32"/>
      <sheetName val="tab31 old"/>
      <sheetName val="tab 33"/>
      <sheetName val="tab 34"/>
      <sheetName val="tab 35"/>
      <sheetName val="tab 36"/>
      <sheetName val="tab 37"/>
      <sheetName val="tab 38"/>
      <sheetName val="tab 39"/>
      <sheetName val="tab 40"/>
      <sheetName val="tab 41"/>
      <sheetName val="tab 42"/>
      <sheetName val="A"/>
      <sheetName val="Balance"/>
      <sheetName val="Bank Capital Calc (2)"/>
      <sheetName val="Liquidity Analysis"/>
      <sheetName val="Bank Assets Analysis"/>
      <sheetName val="Bank Assets Analysis (нац)"/>
      <sheetName val="Bank Liabilities Analysis"/>
      <sheetName val="Bank Liabilities Analysis (нац)"/>
      <sheetName val="Commitments"/>
      <sheetName val="Deposits by Client"/>
      <sheetName val="Investment Securities"/>
      <sheetName val="table_8"/>
      <sheetName val="tab_9"/>
      <sheetName val="tab_10"/>
      <sheetName val="tab_11"/>
      <sheetName val="tab_12"/>
      <sheetName val="tab_13"/>
      <sheetName val="tab_14"/>
      <sheetName val="tab_15"/>
      <sheetName val="tab_16"/>
      <sheetName val="tab_17"/>
      <sheetName val="tab_18"/>
      <sheetName val="tab_19"/>
      <sheetName val="tab_20"/>
      <sheetName val="tab_21"/>
      <sheetName val="tab_22"/>
      <sheetName val="tab_23"/>
      <sheetName val="tab_24"/>
      <sheetName val="tab_25"/>
      <sheetName val="tab_26"/>
      <sheetName val="tab_27"/>
      <sheetName val="tab_28"/>
      <sheetName val="tab_29"/>
      <sheetName val="tab_30"/>
      <sheetName val="tab_31"/>
      <sheetName val="tab31_old"/>
      <sheetName val="tab_33"/>
      <sheetName val="tab_34"/>
      <sheetName val="tab_35"/>
      <sheetName val="tab_36"/>
      <sheetName val="tab_37"/>
      <sheetName val="tab_38"/>
      <sheetName val="tab_39"/>
      <sheetName val="tab_40"/>
      <sheetName val="tab_41"/>
      <sheetName val="tab_42"/>
      <sheetName val="Bank_Capital_Calc_(2)"/>
      <sheetName val="Liquidity_Analysis"/>
      <sheetName val="Bank_Assets_Analysis"/>
      <sheetName val="Bank_Assets_Analysis_(нац)"/>
      <sheetName val="Bank_Liabilities_Analysis"/>
      <sheetName val="Bank_Liabilities_Analysis_(нац)"/>
      <sheetName val="Deposits_by_Client"/>
      <sheetName val="Investment_Securities"/>
      <sheetName val="БАЗА"/>
      <sheetName val="Data input"/>
      <sheetName val="План пр-ва"/>
      <sheetName val="табл чувств"/>
      <sheetName val="План продаж"/>
      <sheetName val="table_81"/>
      <sheetName val="tab_91"/>
      <sheetName val="tab_101"/>
      <sheetName val="tab_111"/>
      <sheetName val="tab_121"/>
      <sheetName val="tab_131"/>
      <sheetName val="tab_141"/>
      <sheetName val="tab_151"/>
      <sheetName val="tab_161"/>
      <sheetName val="tab_171"/>
      <sheetName val="tab_181"/>
      <sheetName val="tab_191"/>
      <sheetName val="tab_201"/>
      <sheetName val="tab_211"/>
      <sheetName val="tab_221"/>
      <sheetName val="tab_231"/>
      <sheetName val="tab_241"/>
      <sheetName val="tab_251"/>
      <sheetName val="tab_261"/>
      <sheetName val="tab_271"/>
      <sheetName val="tab_281"/>
      <sheetName val="tab_291"/>
      <sheetName val="tab_301"/>
      <sheetName val="tab_311"/>
      <sheetName val="tab31_old1"/>
      <sheetName val="tab_331"/>
      <sheetName val="tab_341"/>
      <sheetName val="tab_351"/>
      <sheetName val="tab_361"/>
      <sheetName val="tab_371"/>
      <sheetName val="tab_381"/>
      <sheetName val="tab_391"/>
      <sheetName val="tab_401"/>
      <sheetName val="tab_411"/>
      <sheetName val="tab_421"/>
      <sheetName val="Bank_Capital_Calc_(2)1"/>
      <sheetName val="Liquidity_Analysis1"/>
      <sheetName val="Bank_Assets_Analysis1"/>
      <sheetName val="Bank_Assets_Analysis_(нац)1"/>
      <sheetName val="Bank_Liabilities_Analysis1"/>
      <sheetName val="Bank_Liabilities_Analysis_(нац1"/>
      <sheetName val="Deposits_by_Client1"/>
      <sheetName val="Investment_Securities1"/>
      <sheetName val="Data_input"/>
      <sheetName val="План_пр-ва"/>
      <sheetName val="табл_чувств"/>
      <sheetName val="План_продаж"/>
      <sheetName val="tab17"/>
      <sheetName val="000"/>
      <sheetName val="Central Govt"/>
      <sheetName val="table_82"/>
      <sheetName val="tab_92"/>
      <sheetName val="tab_102"/>
      <sheetName val="tab_112"/>
      <sheetName val="tab_122"/>
      <sheetName val="tab_132"/>
      <sheetName val="tab_142"/>
      <sheetName val="tab_152"/>
      <sheetName val="tab_162"/>
      <sheetName val="tab_172"/>
      <sheetName val="tab_182"/>
      <sheetName val="tab_192"/>
      <sheetName val="tab_202"/>
      <sheetName val="tab_212"/>
      <sheetName val="tab_222"/>
      <sheetName val="tab_232"/>
      <sheetName val="tab_242"/>
      <sheetName val="tab_252"/>
      <sheetName val="tab_262"/>
      <sheetName val="tab_272"/>
      <sheetName val="tab_282"/>
      <sheetName val="tab_292"/>
      <sheetName val="tab_302"/>
      <sheetName val="tab_312"/>
      <sheetName val="tab31_old2"/>
      <sheetName val="tab_332"/>
      <sheetName val="tab_342"/>
      <sheetName val="tab_352"/>
      <sheetName val="tab_362"/>
      <sheetName val="tab_372"/>
      <sheetName val="tab_382"/>
      <sheetName val="tab_392"/>
      <sheetName val="tab_402"/>
      <sheetName val="tab_412"/>
      <sheetName val="tab_422"/>
      <sheetName val="Bank_Capital_Calc_(2)2"/>
      <sheetName val="Liquidity_Analysis2"/>
      <sheetName val="Bank_Assets_Analysis2"/>
      <sheetName val="Bank_Assets_Analysis_(нац)2"/>
      <sheetName val="Bank_Liabilities_Analysis2"/>
      <sheetName val="Bank_Liabilities_Analysis_(нац2"/>
      <sheetName val="Deposits_by_Client2"/>
      <sheetName val="Investment_Securities2"/>
      <sheetName val="Data_input1"/>
      <sheetName val="План_пр-ва1"/>
      <sheetName val="табл_чувств1"/>
      <sheetName val="План_продаж1"/>
      <sheetName val="Central_Govt"/>
      <sheetName val="Tit"/>
      <sheetName val="ж а м и"/>
      <sheetName val="ER"/>
      <sheetName val="WB"/>
      <sheetName val="table_83"/>
      <sheetName val="tab_93"/>
      <sheetName val="tab_103"/>
      <sheetName val="tab_113"/>
      <sheetName val="tab_123"/>
      <sheetName val="tab_133"/>
      <sheetName val="tab_143"/>
      <sheetName val="tab_153"/>
      <sheetName val="tab_163"/>
      <sheetName val="tab_173"/>
      <sheetName val="tab_183"/>
      <sheetName val="tab_193"/>
      <sheetName val="tab_203"/>
      <sheetName val="tab_213"/>
      <sheetName val="tab_223"/>
      <sheetName val="tab_233"/>
      <sheetName val="tab_243"/>
      <sheetName val="tab_253"/>
      <sheetName val="tab_263"/>
      <sheetName val="tab_273"/>
      <sheetName val="tab_283"/>
      <sheetName val="tab_293"/>
      <sheetName val="tab_303"/>
      <sheetName val="tab_313"/>
      <sheetName val="tab31_old3"/>
      <sheetName val="tab_333"/>
      <sheetName val="tab_343"/>
      <sheetName val="tab_353"/>
      <sheetName val="tab_363"/>
      <sheetName val="tab_373"/>
      <sheetName val="tab_383"/>
      <sheetName val="tab_393"/>
      <sheetName val="tab_403"/>
      <sheetName val="tab_413"/>
      <sheetName val="tab_423"/>
      <sheetName val="Bank_Capital_Calc_(2)3"/>
      <sheetName val="Liquidity_Analysis3"/>
      <sheetName val="Bank_Assets_Analysis3"/>
      <sheetName val="Bank_Assets_Analysis_(нац)3"/>
      <sheetName val="Bank_Liabilities_Analysis3"/>
      <sheetName val="Bank_Liabilities_Analysis_(нац3"/>
      <sheetName val="Deposits_by_Client3"/>
      <sheetName val="Investment_Securities3"/>
      <sheetName val="Data_input2"/>
      <sheetName val="План_пр-ва2"/>
      <sheetName val="табл_чувств2"/>
      <sheetName val="План_продаж2"/>
      <sheetName val="Central_Govt1"/>
      <sheetName val="Rev"/>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refreshError="1"/>
      <sheetData sheetId="207" refreshError="1"/>
      <sheetData sheetId="208" refreshError="1"/>
      <sheetData sheetId="209" refreshError="1"/>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Print"/>
      <sheetName val="basic"/>
      <sheetName val="tab1"/>
      <sheetName val="tab2"/>
      <sheetName val="tab3"/>
      <sheetName val="tab4"/>
      <sheetName val="tab5"/>
      <sheetName val="tab6"/>
      <sheetName val="tab7"/>
      <sheetName val="tab8"/>
      <sheetName val="tab9"/>
      <sheetName val="tab10"/>
      <sheetName val="tab11"/>
      <sheetName val="tab12"/>
      <sheetName val="tab13"/>
      <sheetName val="tab14"/>
      <sheetName val="tab15"/>
      <sheetName val="tab16"/>
      <sheetName val="tab17"/>
      <sheetName val="tab18"/>
      <sheetName val="tab19"/>
      <sheetName val="tab20"/>
      <sheetName val="tab21"/>
      <sheetName val="oldtab23"/>
      <sheetName val="oldtab25"/>
      <sheetName val="tab22"/>
      <sheetName val="tab23"/>
      <sheetName val="tab24"/>
      <sheetName val="tab25"/>
      <sheetName val="tab26"/>
      <sheetName val="tab27"/>
      <sheetName val="tab28"/>
      <sheetName val="tab29"/>
      <sheetName val="tab30"/>
      <sheetName val="tab31"/>
      <sheetName val="tab32"/>
      <sheetName val="tab33"/>
      <sheetName val="tab34"/>
      <sheetName val="tab35"/>
      <sheetName val="tab36"/>
      <sheetName val="tab37"/>
      <sheetName val="tab38"/>
      <sheetName val="tab39"/>
      <sheetName val="tab40"/>
      <sheetName val="tab41"/>
      <sheetName val="TAB113"/>
      <sheetName val="TAB110"/>
      <sheetName val="TAB111"/>
      <sheetName val="TAB104"/>
      <sheetName val="TAB151"/>
      <sheetName val="TAB158"/>
      <sheetName val="tab 19"/>
      <sheetName val="tab_19"/>
      <sheetName val="Параметр (ФОРМУДА)"/>
      <sheetName val="ж а м и"/>
      <sheetName val="Q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sheetData sheetId="54" refreshError="1"/>
      <sheetData sheetId="55" refreshError="1"/>
      <sheetData sheetId="56"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tab17"/>
      <sheetName val="Guidance"/>
      <sheetName val="СМЕТА СМР"/>
      <sheetName val="Assumptions"/>
      <sheetName val="План пр-ва"/>
      <sheetName val="tab 19"/>
      <sheetName val="programa"/>
      <sheetName val="C"/>
      <sheetName val="REER"/>
      <sheetName val="к.смета"/>
      <sheetName val="2-жадвал Свод"/>
      <sheetName val="СМЕТА_СМР"/>
      <sheetName val="План_пр-ва"/>
      <sheetName val="tab_19"/>
      <sheetName val="к_смета"/>
      <sheetName val="2-жадвал_Свод"/>
      <sheetName val="Q2"/>
      <sheetName val="INTRT"/>
      <sheetName val="AeCO SPL"/>
      <sheetName val="Tier1"/>
      <sheetName val="Вазирликлар"/>
      <sheetName val="Bank Capital Calc"/>
      <sheetName val="Bank Capital Calc (2)"/>
      <sheetName val="Calculation of Risk Weighted As"/>
      <sheetName val="Calculation of Risk Weighte нац"/>
      <sheetName val="Calculation of Risk Weighte ин"/>
      <sheetName val="Calculation of Risk"/>
      <sheetName val="Edm Oil"/>
      <sheetName val="WTI Comp"/>
      <sheetName val="monimp"/>
      <sheetName val="interv"/>
      <sheetName val="fiscout"/>
      <sheetName val="Base EEFF"/>
      <sheetName val="Sheet1"/>
      <sheetName val="Sheet2"/>
      <sheetName val="Base_EEFF"/>
      <sheetName val="жиззах янги раз"/>
      <sheetName val="Oglavlenie"/>
      <sheetName val="Таблицы_"/>
      <sheetName val="Зарплата"/>
      <sheetName val="7 (2)"/>
      <sheetName val="Амортизация"/>
      <sheetName val="Treatment Summary"/>
      <sheetName val="cop fed"/>
      <sheetName val="setup_products"/>
      <sheetName val="Анализ"/>
      <sheetName val="Форма №2а"/>
      <sheetName val="СМЕТА_СМР1"/>
      <sheetName val="План_пр-ва1"/>
      <sheetName val="tab_191"/>
      <sheetName val="к_смета1"/>
      <sheetName val="2-жадвал_Свод1"/>
      <sheetName val="AeCO_SPL"/>
      <sheetName val="Edm_Oil"/>
      <sheetName val="WTI_Comp"/>
      <sheetName val="Bank_Capital_Calc"/>
      <sheetName val="Bank_Capital_Calc_(2)"/>
      <sheetName val="Calculation_of_Risk_Weighted_As"/>
      <sheetName val="Calculation_of_Risk_Weighte_нац"/>
      <sheetName val="Calculation_of_Risk_Weighte_ин"/>
      <sheetName val="Calculation_of_Risk"/>
      <sheetName val="7_(2)"/>
      <sheetName val="Base_EEFF1"/>
      <sheetName val="жиззах_янги_раз"/>
      <sheetName val="Treatment_Summary"/>
      <sheetName val="cop_fed"/>
      <sheetName val="Форма_№2а"/>
      <sheetName val="Ex rate bloom"/>
      <sheetName val="Central Govt"/>
      <sheetName val="фев"/>
      <sheetName val="СМЕТА_СМР2"/>
      <sheetName val="План_пр-ва2"/>
      <sheetName val="tab_192"/>
      <sheetName val="к_смета2"/>
      <sheetName val="2-жадвал_Свод2"/>
      <sheetName val="AeCO_SPL1"/>
      <sheetName val="Edm_Oil1"/>
      <sheetName val="WTI_Comp1"/>
      <sheetName val="Bank_Capital_Calc1"/>
      <sheetName val="Bank_Capital_Calc_(2)1"/>
      <sheetName val="Calculation_of_Risk_Weighted_A1"/>
      <sheetName val="Calculation_of_Risk_Weighte_на1"/>
      <sheetName val="Calculation_of_Risk_Weighte_ин1"/>
      <sheetName val="Calculation_of_Risk1"/>
      <sheetName val="Base_EEFF2"/>
      <sheetName val="жиззах_янги_раз1"/>
      <sheetName val="7_(2)1"/>
      <sheetName val="cop_fed1"/>
      <sheetName val="Treatment_Summary1"/>
      <sheetName val="СМЕТА_СМР4"/>
      <sheetName val="План_пр-ва4"/>
      <sheetName val="tab_194"/>
      <sheetName val="к_смета4"/>
      <sheetName val="2-жадвал_Свод4"/>
      <sheetName val="AeCO_SPL3"/>
      <sheetName val="Edm_Oil3"/>
      <sheetName val="WTI_Comp3"/>
      <sheetName val="Bank_Capital_Calc2"/>
      <sheetName val="Bank_Capital_Calc_(2)2"/>
      <sheetName val="Calculation_of_Risk_Weighted_A2"/>
      <sheetName val="Calculation_of_Risk_Weighte_на2"/>
      <sheetName val="Calculation_of_Risk_Weighte_ин2"/>
      <sheetName val="Calculation_of_Risk2"/>
      <sheetName val="Base_EEFF3"/>
      <sheetName val="жиззах_янги_раз2"/>
      <sheetName val="7_(2)2"/>
      <sheetName val="cop_fed2"/>
      <sheetName val="Treatment_Summary2"/>
      <sheetName val="форма_№2а1"/>
      <sheetName val="СМЕТА_СМР3"/>
      <sheetName val="План_пр-ва3"/>
      <sheetName val="tab_193"/>
      <sheetName val="к_смета3"/>
      <sheetName val="2-жадвал_Свод3"/>
      <sheetName val="AeCO_SPL2"/>
      <sheetName val="Edm_Oil2"/>
      <sheetName val="WTI_Comp2"/>
      <sheetName val="СМЕТА_СМР5"/>
      <sheetName val="План_пр-ва5"/>
      <sheetName val="tab_195"/>
      <sheetName val="к_смета5"/>
      <sheetName val="2-жадвал_Свод5"/>
      <sheetName val="AeCO_SPL4"/>
      <sheetName val="Edm_Oil4"/>
      <sheetName val="WTI_Comp4"/>
      <sheetName val="Bank_Capital_Calc3"/>
      <sheetName val="Bank_Capital_Calc_(2)3"/>
      <sheetName val="Calculation_of_Risk_Weighted_A3"/>
      <sheetName val="Calculation_of_Risk_Weighte_на3"/>
      <sheetName val="Calculation_of_Risk_Weighte_ин3"/>
      <sheetName val="Calculation_of_Risk3"/>
      <sheetName val="Base_EEFF4"/>
      <sheetName val="жиззах_янги_раз3"/>
      <sheetName val="7_(2)3"/>
      <sheetName val="cop_fed3"/>
      <sheetName val="Treatment_Summary3"/>
      <sheetName val="форма_№2а2"/>
      <sheetName val="СМЕТА_СМР6"/>
      <sheetName val="План_пр-ва6"/>
      <sheetName val="tab_196"/>
      <sheetName val="к_смета6"/>
      <sheetName val="2-жадвал_Свод6"/>
      <sheetName val="AeCO_SPL5"/>
      <sheetName val="Edm_Oil5"/>
      <sheetName val="WTI_Comp5"/>
      <sheetName val="Bank_Capital_Calc4"/>
      <sheetName val="Bank_Capital_Calc_(2)4"/>
      <sheetName val="Calculation_of_Risk_Weighted_A4"/>
      <sheetName val="Calculation_of_Risk_Weighte_на4"/>
      <sheetName val="Calculation_of_Risk_Weighte_ин4"/>
      <sheetName val="Calculation_of_Risk4"/>
      <sheetName val="Base_EEFF5"/>
      <sheetName val="жиззах_янги_раз4"/>
      <sheetName val="7_(2)4"/>
      <sheetName val="cop_fed4"/>
      <sheetName val="Treatment_Summary4"/>
      <sheetName val="форма_№2а3"/>
      <sheetName val="er"/>
      <sheetName val="wb"/>
      <sheetName val="T17_T18_MSURC"/>
      <sheetName val="Tit"/>
      <sheetName val="Analysis of Interest"/>
      <sheetName val="Changes in Equity"/>
    </sheetNames>
    <sheetDataSet>
      <sheetData sheetId="0">
        <row r="5">
          <cell r="C5" t="str">
            <v>Jan95</v>
          </cell>
          <cell r="D5" t="str">
            <v>Feb95</v>
          </cell>
          <cell r="E5" t="str">
            <v>Mar95</v>
          </cell>
          <cell r="F5" t="str">
            <v>Apr95</v>
          </cell>
          <cell r="G5" t="str">
            <v>May95</v>
          </cell>
          <cell r="H5" t="str">
            <v>Jun95</v>
          </cell>
          <cell r="I5" t="str">
            <v>Jul95</v>
          </cell>
          <cell r="J5" t="str">
            <v>Aug95</v>
          </cell>
          <cell r="K5" t="str">
            <v>Sep95</v>
          </cell>
          <cell r="L5" t="str">
            <v>Oct95</v>
          </cell>
          <cell r="M5" t="str">
            <v>Nov95</v>
          </cell>
          <cell r="N5" t="str">
            <v>Dec95</v>
          </cell>
          <cell r="O5" t="str">
            <v>Jan96</v>
          </cell>
          <cell r="P5" t="str">
            <v>Feb96</v>
          </cell>
          <cell r="Q5" t="str">
            <v>Mar96</v>
          </cell>
          <cell r="R5" t="str">
            <v>Apr96</v>
          </cell>
          <cell r="S5" t="str">
            <v>May96</v>
          </cell>
          <cell r="T5" t="str">
            <v>Jun96</v>
          </cell>
          <cell r="U5" t="str">
            <v>Jul96</v>
          </cell>
          <cell r="V5" t="str">
            <v>Aug96</v>
          </cell>
          <cell r="W5" t="str">
            <v>Sep96</v>
          </cell>
          <cell r="X5" t="str">
            <v>Oct96</v>
          </cell>
          <cell r="Y5" t="str">
            <v>Nov96</v>
          </cell>
          <cell r="Z5" t="str">
            <v>Dec96</v>
          </cell>
          <cell r="AA5" t="str">
            <v>Jan97</v>
          </cell>
          <cell r="AB5" t="str">
            <v>Feb97</v>
          </cell>
          <cell r="AC5" t="str">
            <v>Mar97</v>
          </cell>
          <cell r="AD5" t="str">
            <v>Apr97</v>
          </cell>
          <cell r="AE5" t="str">
            <v>May97</v>
          </cell>
          <cell r="AF5" t="str">
            <v>Jun97</v>
          </cell>
          <cell r="AG5" t="str">
            <v>Jul97</v>
          </cell>
          <cell r="AH5" t="str">
            <v>Aug97</v>
          </cell>
          <cell r="AI5" t="str">
            <v>Sep97</v>
          </cell>
          <cell r="AJ5" t="str">
            <v>Oct97</v>
          </cell>
        </row>
        <row r="24">
          <cell r="C24">
            <v>2.76</v>
          </cell>
          <cell r="D24">
            <v>2.68</v>
          </cell>
          <cell r="E24">
            <v>2.78</v>
          </cell>
          <cell r="F24">
            <v>2.77</v>
          </cell>
          <cell r="G24">
            <v>2.81</v>
          </cell>
          <cell r="H24">
            <v>2.73</v>
          </cell>
          <cell r="I24">
            <v>2.77</v>
          </cell>
          <cell r="J24">
            <v>2.8</v>
          </cell>
          <cell r="K24">
            <v>2.77</v>
          </cell>
          <cell r="L24">
            <v>2.76</v>
          </cell>
          <cell r="M24">
            <v>2.79</v>
          </cell>
          <cell r="N24">
            <v>2.85</v>
          </cell>
          <cell r="O24">
            <v>2.8591423281021102</v>
          </cell>
          <cell r="P24">
            <v>2.8591423281021102</v>
          </cell>
          <cell r="Q24">
            <v>2.9235356921452</v>
          </cell>
          <cell r="R24">
            <v>3.09235160587059</v>
          </cell>
          <cell r="S24">
            <v>3.1377599982747699</v>
          </cell>
          <cell r="T24">
            <v>3.1567017543859599</v>
          </cell>
          <cell r="U24">
            <v>3.3376506478666799</v>
          </cell>
          <cell r="V24">
            <v>3.29361004444061</v>
          </cell>
          <cell r="W24">
            <v>3.2793591807192501</v>
          </cell>
          <cell r="X24">
            <v>3.3820933905286301</v>
          </cell>
          <cell r="Y24">
            <v>3.3850789203524698</v>
          </cell>
          <cell r="Z24">
            <v>3.39725552799618</v>
          </cell>
          <cell r="AA24">
            <v>3.3820425469399602</v>
          </cell>
          <cell r="AB24">
            <v>3.3970902439019799</v>
          </cell>
          <cell r="AC24">
            <v>3.3945742944401101</v>
          </cell>
          <cell r="AD24">
            <v>3.3544290588954699</v>
          </cell>
          <cell r="AE24">
            <v>3.31400147151964</v>
          </cell>
          <cell r="AF24">
            <v>3.3275012603147598</v>
          </cell>
          <cell r="AG24">
            <v>4.1649827420294097</v>
          </cell>
          <cell r="AH24">
            <v>4.1684582930998504</v>
          </cell>
          <cell r="AI24">
            <v>4.1843460145256701</v>
          </cell>
          <cell r="AJ24">
            <v>4.1883350978107696</v>
          </cell>
        </row>
        <row r="28">
          <cell r="C28">
            <v>7.09</v>
          </cell>
          <cell r="D28">
            <v>6.89</v>
          </cell>
          <cell r="E28">
            <v>7.07</v>
          </cell>
          <cell r="F28">
            <v>7.21</v>
          </cell>
          <cell r="G28">
            <v>7.37</v>
          </cell>
          <cell r="H28">
            <v>7.96</v>
          </cell>
          <cell r="I28">
            <v>7.22</v>
          </cell>
          <cell r="J28">
            <v>7.99</v>
          </cell>
          <cell r="K28">
            <v>8.23</v>
          </cell>
          <cell r="L28">
            <v>8.0399999999999991</v>
          </cell>
          <cell r="M28">
            <v>7.98</v>
          </cell>
          <cell r="N28">
            <v>8.31</v>
          </cell>
          <cell r="O28">
            <v>8.6909337903440793</v>
          </cell>
          <cell r="P28">
            <v>9.1322621608738608</v>
          </cell>
          <cell r="Q28">
            <v>9.7493803418803395</v>
          </cell>
          <cell r="R28">
            <v>9.9560049500706196</v>
          </cell>
          <cell r="S28">
            <v>10.9298507857317</v>
          </cell>
          <cell r="T28">
            <v>10.808979513739599</v>
          </cell>
          <cell r="U28">
            <v>11.4947199533256</v>
          </cell>
          <cell r="V28">
            <v>11.369484393232201</v>
          </cell>
          <cell r="W28">
            <v>11.401698221673501</v>
          </cell>
          <cell r="X28">
            <v>11.4076403553484</v>
          </cell>
          <cell r="Y28">
            <v>11.231871137000301</v>
          </cell>
          <cell r="Z28">
            <v>11.2526278422272</v>
          </cell>
          <cell r="AA28">
            <v>11.184496734085</v>
          </cell>
          <cell r="AB28">
            <v>11.118308133379401</v>
          </cell>
          <cell r="AC28">
            <v>11.0588477657833</v>
          </cell>
          <cell r="AD28">
            <v>11.303862550782799</v>
          </cell>
          <cell r="AE28">
            <v>11.771151578906</v>
          </cell>
          <cell r="AF28">
            <v>11.9154805849318</v>
          </cell>
          <cell r="AG28">
            <v>12.1723360959221</v>
          </cell>
          <cell r="AH28">
            <v>12.320111356728701</v>
          </cell>
          <cell r="AI28">
            <v>12.238305163620099</v>
          </cell>
          <cell r="AJ28">
            <v>12.028883257383001</v>
          </cell>
        </row>
        <row r="31">
          <cell r="C31">
            <v>22.01</v>
          </cell>
          <cell r="D31">
            <v>21.78</v>
          </cell>
          <cell r="E31">
            <v>21.71</v>
          </cell>
          <cell r="F31">
            <v>21.7</v>
          </cell>
          <cell r="G31">
            <v>20.07</v>
          </cell>
          <cell r="H31">
            <v>19.53</v>
          </cell>
          <cell r="I31">
            <v>19.54</v>
          </cell>
          <cell r="J31">
            <v>19.25</v>
          </cell>
          <cell r="K31">
            <v>19.32</v>
          </cell>
          <cell r="L31">
            <v>19.12</v>
          </cell>
          <cell r="M31">
            <v>19.02</v>
          </cell>
          <cell r="N31">
            <v>18.899999999999999</v>
          </cell>
          <cell r="O31">
            <v>19.3623397709793</v>
          </cell>
          <cell r="P31">
            <v>19.431367564335499</v>
          </cell>
          <cell r="Q31">
            <v>19.277274488906102</v>
          </cell>
          <cell r="R31">
            <v>19.9419677024338</v>
          </cell>
          <cell r="S31">
            <v>20.2628862237741</v>
          </cell>
          <cell r="T31">
            <v>20.774264198520999</v>
          </cell>
          <cell r="U31">
            <v>20.463835184731899</v>
          </cell>
          <cell r="V31">
            <v>20.807119765235601</v>
          </cell>
          <cell r="W31">
            <v>20.628356312554398</v>
          </cell>
          <cell r="X31">
            <v>20.771135826261901</v>
          </cell>
          <cell r="Y31">
            <v>20.701627499210598</v>
          </cell>
          <cell r="Z31">
            <v>21.1690111519816</v>
          </cell>
          <cell r="AA31">
            <v>21.1570962018343</v>
          </cell>
          <cell r="AB31">
            <v>21.2825480465597</v>
          </cell>
          <cell r="AC31">
            <v>21.338161921063801</v>
          </cell>
          <cell r="AD31">
            <v>21.4268082057798</v>
          </cell>
          <cell r="AE31">
            <v>21.441750145799698</v>
          </cell>
          <cell r="AF31">
            <v>21.703939616709</v>
          </cell>
          <cell r="AG31">
            <v>21.969554090806099</v>
          </cell>
          <cell r="AH31">
            <v>21.964134693972099</v>
          </cell>
          <cell r="AI31">
            <v>21.076268986959199</v>
          </cell>
          <cell r="AJ31">
            <v>20.976568505585199</v>
          </cell>
        </row>
        <row r="36">
          <cell r="C36">
            <v>2.4389642737124002</v>
          </cell>
          <cell r="D36">
            <v>2.27890666667333</v>
          </cell>
          <cell r="E36">
            <v>2.3434877592782</v>
          </cell>
          <cell r="F36">
            <v>2.04311395453343</v>
          </cell>
          <cell r="G36">
            <v>2.0230128788331299</v>
          </cell>
          <cell r="H36">
            <v>2.0483568267241199</v>
          </cell>
          <cell r="I36">
            <v>2.2255707534829998</v>
          </cell>
          <cell r="J36">
            <v>2.1116877841376902</v>
          </cell>
          <cell r="K36">
            <v>2.1765219655800099</v>
          </cell>
          <cell r="L36">
            <v>2.1322867567730701</v>
          </cell>
          <cell r="M36">
            <v>2.0472252509522999</v>
          </cell>
          <cell r="N36">
            <v>2.1955317001441701</v>
          </cell>
          <cell r="O36">
            <v>2.32925514924161</v>
          </cell>
          <cell r="P36">
            <v>2.6748968049274602</v>
          </cell>
          <cell r="Q36">
            <v>2.77491916793638</v>
          </cell>
          <cell r="R36">
            <v>3.1634066096180899</v>
          </cell>
          <cell r="S36">
            <v>3.6404916397259099</v>
          </cell>
          <cell r="T36">
            <v>3.6689872966945698</v>
          </cell>
          <cell r="U36">
            <v>3.9521705618521601</v>
          </cell>
          <cell r="V36">
            <v>3.9186163103922702</v>
          </cell>
          <cell r="W36">
            <v>4.0759093307606404</v>
          </cell>
          <cell r="X36">
            <v>4.18648566628256</v>
          </cell>
          <cell r="Y36">
            <v>4.1909546884391498</v>
          </cell>
          <cell r="Z36">
            <v>4.1346147459824802</v>
          </cell>
          <cell r="AA36">
            <v>4.0815222007616301</v>
          </cell>
          <cell r="AB36">
            <v>4.1726319411750996</v>
          </cell>
          <cell r="AC36">
            <v>4.1882461788305303</v>
          </cell>
          <cell r="AD36">
            <v>4.0243654750049496</v>
          </cell>
          <cell r="AE36">
            <v>4.4935629494848497</v>
          </cell>
          <cell r="AF36">
            <v>4.5294156237997498</v>
          </cell>
          <cell r="AG36">
            <v>4.8200579734128004</v>
          </cell>
          <cell r="AH36">
            <v>4.8133609487810096</v>
          </cell>
          <cell r="AI36">
            <v>4.95599744864698</v>
          </cell>
          <cell r="AJ36">
            <v>5.2100693457513403</v>
          </cell>
        </row>
        <row r="38">
          <cell r="C38">
            <v>19.571035726287601</v>
          </cell>
          <cell r="D38">
            <v>19.501093333326672</v>
          </cell>
          <cell r="E38">
            <v>19.3665122407218</v>
          </cell>
          <cell r="F38">
            <v>19.656886045466571</v>
          </cell>
          <cell r="G38">
            <v>18.046987121166872</v>
          </cell>
          <cell r="H38">
            <v>17.481643173275881</v>
          </cell>
          <cell r="I38">
            <v>17.314429246517001</v>
          </cell>
          <cell r="J38">
            <v>17.13831221586231</v>
          </cell>
          <cell r="K38">
            <v>17.143478034419992</v>
          </cell>
          <cell r="L38">
            <v>16.987713243226931</v>
          </cell>
          <cell r="M38">
            <v>16.972774749047701</v>
          </cell>
          <cell r="N38">
            <v>16.704468299855829</v>
          </cell>
          <cell r="O38">
            <v>17.033084621737689</v>
          </cell>
          <cell r="P38">
            <v>16.756470759408039</v>
          </cell>
          <cell r="Q38">
            <v>16.50235532096972</v>
          </cell>
          <cell r="R38">
            <v>16.778561092815711</v>
          </cell>
          <cell r="S38">
            <v>16.622394584048191</v>
          </cell>
          <cell r="T38">
            <v>17.105276901826429</v>
          </cell>
          <cell r="U38">
            <v>16.511664622879739</v>
          </cell>
          <cell r="V38">
            <v>16.888503454843331</v>
          </cell>
          <cell r="W38">
            <v>16.552446981793757</v>
          </cell>
          <cell r="X38">
            <v>16.58465015997934</v>
          </cell>
          <cell r="Y38">
            <v>16.51067281077145</v>
          </cell>
          <cell r="Z38">
            <v>17.034396405999118</v>
          </cell>
          <cell r="AA38">
            <v>17.07557400107267</v>
          </cell>
          <cell r="AB38">
            <v>17.109916105384599</v>
          </cell>
          <cell r="AC38">
            <v>17.149915742233269</v>
          </cell>
          <cell r="AD38">
            <v>17.402442730774851</v>
          </cell>
          <cell r="AE38">
            <v>16.948187196314848</v>
          </cell>
          <cell r="AF38">
            <v>17.174523992909251</v>
          </cell>
          <cell r="AG38">
            <v>17.149496117393298</v>
          </cell>
          <cell r="AH38">
            <v>17.150773745191088</v>
          </cell>
          <cell r="AI38">
            <v>16.12027153831222</v>
          </cell>
          <cell r="AJ38">
            <v>15.76649915983386</v>
          </cell>
        </row>
        <row r="39">
          <cell r="C39" t="str">
            <v>J95</v>
          </cell>
          <cell r="D39" t="str">
            <v>F95</v>
          </cell>
          <cell r="E39" t="str">
            <v>M95</v>
          </cell>
          <cell r="F39" t="str">
            <v>A95</v>
          </cell>
          <cell r="G39" t="str">
            <v>M95</v>
          </cell>
          <cell r="H39" t="str">
            <v>J95</v>
          </cell>
          <cell r="I39" t="str">
            <v>J95</v>
          </cell>
          <cell r="J39" t="str">
            <v>A95</v>
          </cell>
          <cell r="K39" t="str">
            <v>S95</v>
          </cell>
          <cell r="L39" t="str">
            <v>O95</v>
          </cell>
          <cell r="M39" t="str">
            <v>N95</v>
          </cell>
          <cell r="N39" t="str">
            <v>D95</v>
          </cell>
          <cell r="O39" t="str">
            <v>J96</v>
          </cell>
          <cell r="P39" t="str">
            <v>F96</v>
          </cell>
          <cell r="Q39" t="str">
            <v>M96</v>
          </cell>
          <cell r="R39" t="str">
            <v>A96</v>
          </cell>
          <cell r="S39" t="str">
            <v>M96</v>
          </cell>
          <cell r="T39" t="str">
            <v>J96</v>
          </cell>
          <cell r="U39" t="str">
            <v>J96</v>
          </cell>
          <cell r="V39" t="str">
            <v>A96</v>
          </cell>
          <cell r="W39" t="str">
            <v>S96</v>
          </cell>
          <cell r="X39" t="str">
            <v>O96</v>
          </cell>
          <cell r="Y39" t="str">
            <v>N96</v>
          </cell>
          <cell r="Z39" t="str">
            <v>D96</v>
          </cell>
          <cell r="AA39" t="str">
            <v>J97</v>
          </cell>
          <cell r="AB39" t="str">
            <v>F97</v>
          </cell>
          <cell r="AC39" t="str">
            <v>M97</v>
          </cell>
          <cell r="AD39" t="str">
            <v>A97</v>
          </cell>
          <cell r="AE39" t="str">
            <v>M97</v>
          </cell>
          <cell r="AF39" t="str">
            <v>J97</v>
          </cell>
          <cell r="AG39" t="str">
            <v>J97</v>
          </cell>
          <cell r="AH39" t="str">
            <v>A97</v>
          </cell>
          <cell r="AI39" t="str">
            <v>S97</v>
          </cell>
          <cell r="AJ39" t="str">
            <v>O97</v>
          </cell>
        </row>
      </sheetData>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ow r="5">
          <cell r="C5">
            <v>597958561</v>
          </cell>
        </row>
      </sheetData>
      <sheetData sheetId="23">
        <row r="5">
          <cell r="C5">
            <v>597958561</v>
          </cell>
        </row>
      </sheetData>
      <sheetData sheetId="24">
        <row r="5">
          <cell r="C5">
            <v>597958561</v>
          </cell>
        </row>
      </sheetData>
      <sheetData sheetId="25">
        <row r="5">
          <cell r="C5">
            <v>597958561</v>
          </cell>
        </row>
      </sheetData>
      <sheetData sheetId="26">
        <row r="5">
          <cell r="C5">
            <v>597958561</v>
          </cell>
        </row>
      </sheetData>
      <sheetData sheetId="27">
        <row r="5">
          <cell r="C5">
            <v>597958561</v>
          </cell>
        </row>
      </sheetData>
      <sheetData sheetId="28" refreshError="1"/>
      <sheetData sheetId="29" refreshError="1"/>
      <sheetData sheetId="30" refreshError="1"/>
      <sheetData sheetId="31" refreshError="1"/>
      <sheetData sheetId="32" refreshError="1"/>
      <sheetData sheetId="33" refreshError="1"/>
      <sheetData sheetId="34">
        <row r="5">
          <cell r="C5">
            <v>597958561</v>
          </cell>
        </row>
      </sheetData>
      <sheetData sheetId="35">
        <row r="5">
          <cell r="C5">
            <v>597958561</v>
          </cell>
        </row>
      </sheetData>
      <sheetData sheetId="36">
        <row r="5">
          <cell r="C5">
            <v>597958561</v>
          </cell>
        </row>
      </sheetData>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ow r="5">
          <cell r="C5">
            <v>597958561</v>
          </cell>
        </row>
      </sheetData>
      <sheetData sheetId="49">
        <row r="5">
          <cell r="C5">
            <v>597958561</v>
          </cell>
        </row>
      </sheetData>
      <sheetData sheetId="50">
        <row r="5">
          <cell r="C5">
            <v>597958561</v>
          </cell>
        </row>
      </sheetData>
      <sheetData sheetId="51">
        <row r="5">
          <cell r="C5">
            <v>597958561</v>
          </cell>
        </row>
      </sheetData>
      <sheetData sheetId="52">
        <row r="5">
          <cell r="C5">
            <v>597958561</v>
          </cell>
        </row>
      </sheetData>
      <sheetData sheetId="53">
        <row r="5">
          <cell r="C5">
            <v>597958561</v>
          </cell>
        </row>
      </sheetData>
      <sheetData sheetId="54">
        <row r="5">
          <cell r="C5">
            <v>597958561</v>
          </cell>
        </row>
      </sheetData>
      <sheetData sheetId="55">
        <row r="5">
          <cell r="C5">
            <v>597958561</v>
          </cell>
        </row>
      </sheetData>
      <sheetData sheetId="56">
        <row r="5">
          <cell r="C5">
            <v>597958561</v>
          </cell>
        </row>
      </sheetData>
      <sheetData sheetId="57">
        <row r="5">
          <cell r="C5">
            <v>597958561</v>
          </cell>
        </row>
      </sheetData>
      <sheetData sheetId="58">
        <row r="5">
          <cell r="C5">
            <v>597958561</v>
          </cell>
        </row>
      </sheetData>
      <sheetData sheetId="59">
        <row r="5">
          <cell r="C5">
            <v>597958561</v>
          </cell>
        </row>
      </sheetData>
      <sheetData sheetId="60">
        <row r="5">
          <cell r="C5">
            <v>597958561</v>
          </cell>
        </row>
      </sheetData>
      <sheetData sheetId="61">
        <row r="5">
          <cell r="C5">
            <v>597958561</v>
          </cell>
        </row>
      </sheetData>
      <sheetData sheetId="62">
        <row r="5">
          <cell r="C5">
            <v>597958561</v>
          </cell>
        </row>
      </sheetData>
      <sheetData sheetId="63">
        <row r="5">
          <cell r="C5">
            <v>597958561</v>
          </cell>
        </row>
      </sheetData>
      <sheetData sheetId="64">
        <row r="5">
          <cell r="C5">
            <v>597958561</v>
          </cell>
        </row>
      </sheetData>
      <sheetData sheetId="65">
        <row r="5">
          <cell r="C5">
            <v>597958561</v>
          </cell>
        </row>
      </sheetData>
      <sheetData sheetId="66">
        <row r="5">
          <cell r="C5">
            <v>597958561</v>
          </cell>
        </row>
      </sheetData>
      <sheetData sheetId="67">
        <row r="5">
          <cell r="C5">
            <v>597958561</v>
          </cell>
        </row>
      </sheetData>
      <sheetData sheetId="68" refreshError="1"/>
      <sheetData sheetId="69" refreshError="1"/>
      <sheetData sheetId="70" refreshError="1"/>
      <sheetData sheetId="71"/>
      <sheetData sheetId="72">
        <row r="5">
          <cell r="C5">
            <v>597958561</v>
          </cell>
        </row>
      </sheetData>
      <sheetData sheetId="73">
        <row r="5">
          <cell r="C5">
            <v>597958561</v>
          </cell>
        </row>
      </sheetData>
      <sheetData sheetId="74">
        <row r="5">
          <cell r="C5">
            <v>597958561</v>
          </cell>
        </row>
      </sheetData>
      <sheetData sheetId="75">
        <row r="5">
          <cell r="C5">
            <v>597958561</v>
          </cell>
        </row>
      </sheetData>
      <sheetData sheetId="76">
        <row r="5">
          <cell r="C5">
            <v>597958561</v>
          </cell>
        </row>
      </sheetData>
      <sheetData sheetId="77">
        <row r="5">
          <cell r="C5">
            <v>597958561</v>
          </cell>
        </row>
      </sheetData>
      <sheetData sheetId="78">
        <row r="5">
          <cell r="C5">
            <v>597958561</v>
          </cell>
        </row>
      </sheetData>
      <sheetData sheetId="79">
        <row r="5">
          <cell r="C5">
            <v>597958561</v>
          </cell>
        </row>
      </sheetData>
      <sheetData sheetId="80">
        <row r="5">
          <cell r="C5">
            <v>597958561</v>
          </cell>
        </row>
      </sheetData>
      <sheetData sheetId="81">
        <row r="5">
          <cell r="C5">
            <v>597958561</v>
          </cell>
        </row>
      </sheetData>
      <sheetData sheetId="82">
        <row r="5">
          <cell r="C5">
            <v>597958561</v>
          </cell>
        </row>
      </sheetData>
      <sheetData sheetId="83">
        <row r="5">
          <cell r="C5">
            <v>597958561</v>
          </cell>
        </row>
      </sheetData>
      <sheetData sheetId="84">
        <row r="5">
          <cell r="C5">
            <v>597958561</v>
          </cell>
        </row>
      </sheetData>
      <sheetData sheetId="85">
        <row r="5">
          <cell r="C5">
            <v>597958561</v>
          </cell>
        </row>
      </sheetData>
      <sheetData sheetId="86">
        <row r="5">
          <cell r="C5">
            <v>597958561</v>
          </cell>
        </row>
      </sheetData>
      <sheetData sheetId="87">
        <row r="5">
          <cell r="C5">
            <v>597958561</v>
          </cell>
        </row>
      </sheetData>
      <sheetData sheetId="88">
        <row r="5">
          <cell r="C5">
            <v>597958561</v>
          </cell>
        </row>
      </sheetData>
      <sheetData sheetId="89">
        <row r="5">
          <cell r="C5">
            <v>597958561</v>
          </cell>
        </row>
      </sheetData>
      <sheetData sheetId="90">
        <row r="5">
          <cell r="C5">
            <v>597958561</v>
          </cell>
        </row>
      </sheetData>
      <sheetData sheetId="91">
        <row r="5">
          <cell r="C5">
            <v>597958561</v>
          </cell>
        </row>
      </sheetData>
      <sheetData sheetId="92">
        <row r="5">
          <cell r="C5">
            <v>597958561</v>
          </cell>
        </row>
      </sheetData>
      <sheetData sheetId="93">
        <row r="5">
          <cell r="C5">
            <v>597958561</v>
          </cell>
        </row>
      </sheetData>
      <sheetData sheetId="94">
        <row r="5">
          <cell r="C5">
            <v>597958561</v>
          </cell>
        </row>
      </sheetData>
      <sheetData sheetId="95">
        <row r="5">
          <cell r="C5">
            <v>597958561</v>
          </cell>
        </row>
      </sheetData>
      <sheetData sheetId="96">
        <row r="5">
          <cell r="C5">
            <v>597958561</v>
          </cell>
        </row>
      </sheetData>
      <sheetData sheetId="97">
        <row r="5">
          <cell r="C5">
            <v>597958561</v>
          </cell>
        </row>
      </sheetData>
      <sheetData sheetId="98">
        <row r="5">
          <cell r="C5">
            <v>597958561</v>
          </cell>
        </row>
      </sheetData>
      <sheetData sheetId="99">
        <row r="5">
          <cell r="C5">
            <v>597958561</v>
          </cell>
        </row>
      </sheetData>
      <sheetData sheetId="100">
        <row r="5">
          <cell r="C5">
            <v>597958561</v>
          </cell>
        </row>
      </sheetData>
      <sheetData sheetId="101">
        <row r="5">
          <cell r="C5">
            <v>597958561</v>
          </cell>
        </row>
      </sheetData>
      <sheetData sheetId="102">
        <row r="5">
          <cell r="C5">
            <v>597958561</v>
          </cell>
        </row>
      </sheetData>
      <sheetData sheetId="103">
        <row r="5">
          <cell r="C5">
            <v>597958561</v>
          </cell>
        </row>
      </sheetData>
      <sheetData sheetId="104">
        <row r="5">
          <cell r="C5">
            <v>597958561</v>
          </cell>
        </row>
      </sheetData>
      <sheetData sheetId="105">
        <row r="5">
          <cell r="C5">
            <v>597958561</v>
          </cell>
        </row>
      </sheetData>
      <sheetData sheetId="106">
        <row r="5">
          <cell r="C5">
            <v>597958561</v>
          </cell>
        </row>
      </sheetData>
      <sheetData sheetId="107">
        <row r="5">
          <cell r="C5">
            <v>597958561</v>
          </cell>
        </row>
      </sheetData>
      <sheetData sheetId="108">
        <row r="5">
          <cell r="C5">
            <v>597958561</v>
          </cell>
        </row>
      </sheetData>
      <sheetData sheetId="109">
        <row r="5">
          <cell r="C5">
            <v>597958561</v>
          </cell>
        </row>
      </sheetData>
      <sheetData sheetId="110">
        <row r="5">
          <cell r="C5">
            <v>597958561</v>
          </cell>
        </row>
      </sheetData>
      <sheetData sheetId="111">
        <row r="5">
          <cell r="C5">
            <v>597958561</v>
          </cell>
        </row>
      </sheetData>
      <sheetData sheetId="112">
        <row r="5">
          <cell r="C5">
            <v>597958561</v>
          </cell>
        </row>
      </sheetData>
      <sheetData sheetId="113">
        <row r="5">
          <cell r="C5">
            <v>597958561</v>
          </cell>
        </row>
      </sheetData>
      <sheetData sheetId="114">
        <row r="5">
          <cell r="C5">
            <v>597958561</v>
          </cell>
        </row>
      </sheetData>
      <sheetData sheetId="115">
        <row r="5">
          <cell r="C5">
            <v>597958561</v>
          </cell>
        </row>
      </sheetData>
      <sheetData sheetId="116">
        <row r="5">
          <cell r="C5">
            <v>597958561</v>
          </cell>
        </row>
      </sheetData>
      <sheetData sheetId="117">
        <row r="5">
          <cell r="C5">
            <v>597958561</v>
          </cell>
        </row>
      </sheetData>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basic"/>
      <sheetName val="tab1"/>
      <sheetName val="tab2"/>
      <sheetName val="tab3"/>
      <sheetName val="tab4"/>
      <sheetName val="tab5"/>
      <sheetName val="tab6"/>
      <sheetName val="table7"/>
      <sheetName val="table 8"/>
      <sheetName val="tab 9"/>
      <sheetName val="tab 10"/>
      <sheetName val="tab 11"/>
      <sheetName val="tab 12"/>
      <sheetName val="tab 13"/>
      <sheetName val="tab 14"/>
      <sheetName val="tab 15"/>
      <sheetName val="tab 16"/>
      <sheetName val="tab 17"/>
      <sheetName val="ControlSheet"/>
      <sheetName val="tab 18"/>
      <sheetName val="tab 19"/>
      <sheetName val="tab 20"/>
      <sheetName val="tab 21"/>
      <sheetName val="tab 22"/>
      <sheetName val="tab 23"/>
      <sheetName val="oldtab23"/>
      <sheetName val="oldtab25"/>
      <sheetName val="21bis"/>
      <sheetName val="tab 24"/>
      <sheetName val="tab 25"/>
      <sheetName val="tab 26"/>
      <sheetName val="tab 27"/>
      <sheetName val="tab 28"/>
      <sheetName val="tab 29"/>
      <sheetName val="tab 30"/>
      <sheetName val="tab 31"/>
      <sheetName val="tab32"/>
      <sheetName val="tab31 old"/>
      <sheetName val="tab 33"/>
      <sheetName val="tab 34"/>
      <sheetName val="tab 35"/>
      <sheetName val="tab 36"/>
      <sheetName val="tab 37"/>
      <sheetName val="tab 38"/>
      <sheetName val="tab 39"/>
      <sheetName val="tab 40"/>
      <sheetName val="tab 41"/>
      <sheetName val="tab 42"/>
      <sheetName val="СВОД"/>
      <sheetName val="номма ном"/>
      <sheetName val="Пенсия бўйича"/>
      <sheetName val="UZB SA tables English -- to aut"/>
      <sheetName val="тегилмасин"/>
      <sheetName val="table_8"/>
      <sheetName val="tab_9"/>
      <sheetName val="tab_10"/>
      <sheetName val="tab_11"/>
      <sheetName val="tab_12"/>
      <sheetName val="tab_13"/>
      <sheetName val="tab_14"/>
      <sheetName val="tab_15"/>
      <sheetName val="tab_16"/>
      <sheetName val="tab_17"/>
      <sheetName val="tab_18"/>
      <sheetName val="tab_19"/>
      <sheetName val="tab_20"/>
      <sheetName val="tab_21"/>
      <sheetName val="tab_22"/>
      <sheetName val="tab_23"/>
      <sheetName val="tab_24"/>
      <sheetName val="tab_25"/>
      <sheetName val="tab_26"/>
      <sheetName val="tab_27"/>
      <sheetName val="tab_28"/>
      <sheetName val="tab_29"/>
      <sheetName val="tab_30"/>
      <sheetName val="tab_31"/>
      <sheetName val="tab31_old"/>
      <sheetName val="tab_33"/>
      <sheetName val="tab_34"/>
      <sheetName val="tab_35"/>
      <sheetName val="tab_36"/>
      <sheetName val="tab_37"/>
      <sheetName val="tab_38"/>
      <sheetName val="tab_39"/>
      <sheetName val="tab_40"/>
      <sheetName val="tab_41"/>
      <sheetName val="tab_42"/>
      <sheetName val="номма_ном"/>
      <sheetName val="Пенсия_бўйича"/>
      <sheetName val="UZB_SA_tables_English_--_to_aut"/>
      <sheetName val="Параметр (ФОРМУДА)"/>
      <sheetName val="BAL"/>
      <sheetName val="진행 DATA (2)"/>
      <sheetName val="table_81"/>
      <sheetName val="tab_91"/>
      <sheetName val="tab_101"/>
      <sheetName val="tab_111"/>
      <sheetName val="tab_121"/>
      <sheetName val="tab_131"/>
      <sheetName val="tab_141"/>
      <sheetName val="tab_151"/>
      <sheetName val="tab_161"/>
      <sheetName val="tab_171"/>
      <sheetName val="tab_181"/>
      <sheetName val="tab_191"/>
      <sheetName val="tab_201"/>
      <sheetName val="tab_211"/>
      <sheetName val="tab_221"/>
      <sheetName val="tab_231"/>
      <sheetName val="tab_241"/>
      <sheetName val="tab_251"/>
      <sheetName val="tab_261"/>
      <sheetName val="tab_271"/>
      <sheetName val="tab_281"/>
      <sheetName val="tab_291"/>
      <sheetName val="tab_301"/>
      <sheetName val="tab_311"/>
      <sheetName val="tab31_old1"/>
      <sheetName val="tab_331"/>
      <sheetName val="tab_341"/>
      <sheetName val="tab_351"/>
      <sheetName val="tab_361"/>
      <sheetName val="tab_371"/>
      <sheetName val="tab_381"/>
      <sheetName val="tab_391"/>
      <sheetName val="tab_401"/>
      <sheetName val="tab_411"/>
      <sheetName val="tab_421"/>
      <sheetName val="номма_ном1"/>
      <sheetName val="Пенсия_бўйича1"/>
      <sheetName val="UZB_SA_tables_English_--_to_au1"/>
      <sheetName val="Параметр_(ФОРМУДА)"/>
      <sheetName val="진행_DATA_(2)"/>
      <sheetName val="A"/>
      <sheetName val="ￒ_x0000_"/>
      <sheetName val=""/>
      <sheetName val="ￒ"/>
      <sheetName val="IPC1988"/>
      <sheetName val="table_82"/>
      <sheetName val="tab_92"/>
      <sheetName val="tab_102"/>
      <sheetName val="tab_112"/>
      <sheetName val="tab_122"/>
      <sheetName val="tab_132"/>
      <sheetName val="tab_142"/>
      <sheetName val="tab_152"/>
      <sheetName val="tab_162"/>
      <sheetName val="tab_172"/>
      <sheetName val="tab_182"/>
      <sheetName val="tab_192"/>
      <sheetName val="tab_202"/>
      <sheetName val="tab_212"/>
      <sheetName val="tab_222"/>
      <sheetName val="tab_232"/>
      <sheetName val="tab_242"/>
      <sheetName val="tab_252"/>
      <sheetName val="tab_262"/>
      <sheetName val="tab_272"/>
      <sheetName val="tab_282"/>
      <sheetName val="tab_292"/>
      <sheetName val="tab_302"/>
      <sheetName val="tab_312"/>
      <sheetName val="tab31_old2"/>
      <sheetName val="tab_332"/>
      <sheetName val="tab_342"/>
      <sheetName val="tab_352"/>
      <sheetName val="tab_362"/>
      <sheetName val="tab_372"/>
      <sheetName val="tab_382"/>
      <sheetName val="tab_392"/>
      <sheetName val="tab_402"/>
      <sheetName val="tab_412"/>
      <sheetName val="tab_422"/>
      <sheetName val="номма_ном2"/>
      <sheetName val="Пенсия_бўйича2"/>
      <sheetName val="UZB_SA_tables_English_--_to_au2"/>
      <sheetName val="Параметр_(ФОРМУДА)1"/>
      <sheetName val="진행_DATA_(2)1"/>
      <sheetName val="interv"/>
      <sheetName val="Tit"/>
      <sheetName val="table_83"/>
      <sheetName val="tab_93"/>
      <sheetName val="tab_103"/>
      <sheetName val="tab_113"/>
      <sheetName val="tab_123"/>
      <sheetName val="tab_133"/>
      <sheetName val="tab_143"/>
      <sheetName val="tab_153"/>
      <sheetName val="tab_163"/>
      <sheetName val="tab_173"/>
      <sheetName val="tab_183"/>
      <sheetName val="tab_193"/>
      <sheetName val="tab_203"/>
      <sheetName val="tab_213"/>
      <sheetName val="tab_223"/>
      <sheetName val="tab_233"/>
      <sheetName val="tab_243"/>
      <sheetName val="tab_253"/>
      <sheetName val="tab_263"/>
      <sheetName val="tab_273"/>
      <sheetName val="tab_283"/>
      <sheetName val="tab_293"/>
      <sheetName val="tab_303"/>
      <sheetName val="tab_313"/>
      <sheetName val="tab31_old3"/>
      <sheetName val="tab_333"/>
      <sheetName val="tab_343"/>
      <sheetName val="tab_353"/>
      <sheetName val="tab_363"/>
      <sheetName val="tab_373"/>
      <sheetName val="tab_383"/>
      <sheetName val="tab_393"/>
      <sheetName val="tab_403"/>
      <sheetName val="tab_413"/>
      <sheetName val="tab_423"/>
      <sheetName val="номма_ном3"/>
      <sheetName val="Пенсия_бўйича3"/>
      <sheetName val="UZB_SA_tables_English_--_to_au3"/>
      <sheetName val="Параметр_(ФОРМУДА)2"/>
      <sheetName val="진행_DATA_(2)2"/>
      <sheetName val="Q2"/>
      <sheetName val="Dat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refreshError="1"/>
      <sheetData sheetId="93" refreshError="1"/>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sheetData sheetId="137"/>
      <sheetData sheetId="138"/>
      <sheetData sheetId="139" refreshError="1"/>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refreshError="1"/>
      <sheetData sheetId="181" refreshError="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refreshError="1"/>
      <sheetData sheetId="223"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et quality"/>
      <sheetName val="Income "/>
      <sheetName val="Analysis of Interest"/>
      <sheetName val="Changes in Equity"/>
      <sheetName val="Loans Receivable"/>
      <sheetName val="Aging Analysis"/>
      <sheetName val="Asset Classification"/>
      <sheetName val="Asset Provisioning"/>
      <sheetName val="Transactions of related parties"/>
      <sheetName val=" Largest risk"/>
      <sheetName val="Charge-offs and Recoveries"/>
      <sheetName val="loans_av rate"/>
      <sheetName val="Bank Capital Calc (2)"/>
      <sheetName val="loans type"/>
      <sheetName val="IRRBB_fixed%"/>
      <sheetName val="IRRBB_floating%"/>
      <sheetName val="Economic Normatives"/>
      <sheetName val="Miscellaneous"/>
      <sheetName val="ПФУ"/>
    </sheetNames>
    <sheetDataSet>
      <sheetData sheetId="0"/>
      <sheetData sheetId="1"/>
      <sheetData sheetId="2"/>
      <sheetData sheetId="3"/>
      <sheetData sheetId="4"/>
      <sheetData sheetId="5"/>
      <sheetData sheetId="6"/>
      <sheetData sheetId="7"/>
      <sheetData sheetId="8">
        <row r="89">
          <cell r="Z89">
            <v>2179274</v>
          </cell>
        </row>
        <row r="90">
          <cell r="Z90">
            <v>1171639</v>
          </cell>
        </row>
      </sheetData>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alance"/>
      <sheetName val="Liquidity Analysis"/>
      <sheetName val="Bank Assets Analysis"/>
      <sheetName val="Bank Assets Analysis (нац)"/>
      <sheetName val="Bank Liabilities Analysis"/>
      <sheetName val="Bank Liabilities Analysis (нац)"/>
      <sheetName val="Commitments"/>
      <sheetName val="Deposits by Client"/>
      <sheetName val="Investment Securities"/>
    </sheetNames>
    <sheetDataSet>
      <sheetData sheetId="0">
        <row r="25">
          <cell r="C25">
            <v>20277891345</v>
          </cell>
        </row>
        <row r="39">
          <cell r="C39">
            <v>123374035</v>
          </cell>
          <cell r="D39">
            <v>123374035</v>
          </cell>
        </row>
        <row r="47">
          <cell r="C47">
            <v>30728787180</v>
          </cell>
          <cell r="D47">
            <v>22869741752</v>
          </cell>
          <cell r="E47">
            <v>7859045428</v>
          </cell>
        </row>
        <row r="61">
          <cell r="C61">
            <v>0</v>
          </cell>
        </row>
      </sheetData>
      <sheetData sheetId="1">
        <row r="18">
          <cell r="C18">
            <v>0.12334470234044558</v>
          </cell>
        </row>
      </sheetData>
      <sheetData sheetId="2">
        <row r="23">
          <cell r="S23">
            <v>10000000</v>
          </cell>
        </row>
      </sheetData>
      <sheetData sheetId="3" refreshError="1"/>
      <sheetData sheetId="4">
        <row r="12">
          <cell r="S12">
            <v>8810218869</v>
          </cell>
        </row>
      </sheetData>
      <sheetData sheetId="5" refreshError="1"/>
      <sheetData sheetId="6">
        <row r="4">
          <cell r="C4">
            <v>906971873</v>
          </cell>
          <cell r="D4">
            <v>584424854</v>
          </cell>
          <cell r="E4">
            <v>322547019</v>
          </cell>
        </row>
        <row r="7">
          <cell r="C7">
            <v>445106241</v>
          </cell>
          <cell r="D7">
            <v>3000000</v>
          </cell>
          <cell r="E7">
            <v>442106241</v>
          </cell>
        </row>
        <row r="10">
          <cell r="C10">
            <v>1029438692</v>
          </cell>
          <cell r="D10">
            <v>0</v>
          </cell>
          <cell r="E10">
            <v>1029438692</v>
          </cell>
        </row>
      </sheetData>
      <sheetData sheetId="7" refreshError="1"/>
      <sheetData sheetId="8">
        <row r="5">
          <cell r="B5">
            <v>0</v>
          </cell>
        </row>
      </sheetData>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Лист7">
    <pageSetUpPr fitToPage="1"/>
  </sheetPr>
  <dimension ref="A1:M62"/>
  <sheetViews>
    <sheetView view="pageBreakPreview" zoomScale="98" zoomScaleNormal="100" zoomScaleSheetLayoutView="98" workbookViewId="0">
      <pane xSplit="2" ySplit="4" topLeftCell="C5" activePane="bottomRight" state="frozen"/>
      <selection sqref="A1:B1"/>
      <selection pane="topRight" sqref="A1:B1"/>
      <selection pane="bottomLeft" sqref="A1:B1"/>
      <selection pane="bottomRight" activeCell="F38" sqref="F38"/>
    </sheetView>
  </sheetViews>
  <sheetFormatPr defaultRowHeight="12.75"/>
  <cols>
    <col min="1" max="1" width="6" style="99" customWidth="1"/>
    <col min="2" max="2" width="105.140625" style="99" customWidth="1"/>
    <col min="3" max="3" width="19.7109375" style="116" customWidth="1"/>
    <col min="4" max="4" width="14.5703125" style="99" customWidth="1"/>
    <col min="5" max="5" width="27.42578125" style="101" customWidth="1"/>
    <col min="6" max="6" width="16.28515625" style="99" customWidth="1"/>
    <col min="7" max="7" width="18.42578125" style="99" customWidth="1"/>
    <col min="8" max="8" width="255.42578125" style="102" customWidth="1"/>
    <col min="9" max="16384" width="9.140625" style="99"/>
  </cols>
  <sheetData>
    <row r="1" spans="1:10" ht="23.25" customHeight="1">
      <c r="A1" s="240" t="s">
        <v>129</v>
      </c>
      <c r="B1" s="241"/>
      <c r="C1" s="5" t="s">
        <v>130</v>
      </c>
      <c r="E1" s="207" t="s">
        <v>310</v>
      </c>
    </row>
    <row r="2" spans="1:10">
      <c r="A2" s="100"/>
      <c r="B2" s="100"/>
      <c r="C2" s="100"/>
    </row>
    <row r="3" spans="1:10" ht="16.5" thickBot="1">
      <c r="A3" s="102"/>
      <c r="B3" s="148" t="s">
        <v>304</v>
      </c>
      <c r="C3" s="98">
        <v>46021</v>
      </c>
    </row>
    <row r="4" spans="1:10" s="81" customFormat="1" ht="43.5" customHeight="1" thickBot="1">
      <c r="A4" s="97" t="s">
        <v>52</v>
      </c>
      <c r="B4" s="103" t="s">
        <v>131</v>
      </c>
      <c r="C4" s="104" t="s">
        <v>255</v>
      </c>
      <c r="E4" s="208"/>
      <c r="H4" s="209"/>
    </row>
    <row r="5" spans="1:10" ht="12.75" customHeight="1">
      <c r="A5" s="95" t="s">
        <v>30</v>
      </c>
      <c r="B5" s="106" t="s">
        <v>132</v>
      </c>
      <c r="C5" s="96"/>
    </row>
    <row r="6" spans="1:10" ht="12.75" customHeight="1">
      <c r="A6" s="107">
        <v>1</v>
      </c>
      <c r="B6" s="10" t="s">
        <v>133</v>
      </c>
      <c r="C6" s="82"/>
    </row>
    <row r="7" spans="1:10" s="18" customFormat="1" ht="18" customHeight="1">
      <c r="A7" s="83" t="s">
        <v>86</v>
      </c>
      <c r="B7" s="16" t="s">
        <v>134</v>
      </c>
      <c r="C7" s="82">
        <f>+C8-C9</f>
        <v>7145161149</v>
      </c>
      <c r="E7" s="108"/>
      <c r="H7" s="210"/>
    </row>
    <row r="8" spans="1:10" s="81" customFormat="1" ht="18" customHeight="1">
      <c r="A8" s="88" t="s">
        <v>31</v>
      </c>
      <c r="B8" s="109" t="s">
        <v>135</v>
      </c>
      <c r="C8" s="84">
        <v>7145161149</v>
      </c>
      <c r="E8" s="105"/>
      <c r="H8" s="209"/>
    </row>
    <row r="9" spans="1:10" s="81" customFormat="1" ht="18" customHeight="1">
      <c r="A9" s="88" t="s">
        <v>33</v>
      </c>
      <c r="B9" s="109" t="s">
        <v>136</v>
      </c>
      <c r="C9" s="84">
        <v>0</v>
      </c>
      <c r="E9" s="105"/>
      <c r="H9" s="209"/>
    </row>
    <row r="10" spans="1:10" s="18" customFormat="1" ht="18" customHeight="1">
      <c r="A10" s="83" t="s">
        <v>87</v>
      </c>
      <c r="B10" s="16" t="s">
        <v>137</v>
      </c>
      <c r="C10" s="84"/>
      <c r="E10" s="108"/>
      <c r="H10" s="210"/>
    </row>
    <row r="11" spans="1:10" s="81" customFormat="1" ht="18" customHeight="1">
      <c r="A11" s="88" t="s">
        <v>88</v>
      </c>
      <c r="B11" s="109" t="s">
        <v>138</v>
      </c>
      <c r="C11" s="85">
        <f>+C12+C13-C14-C15</f>
        <v>-1571600175</v>
      </c>
      <c r="E11" s="105"/>
      <c r="H11" s="209"/>
    </row>
    <row r="12" spans="1:10" s="81" customFormat="1" ht="18" customHeight="1">
      <c r="A12" s="88" t="s">
        <v>37</v>
      </c>
      <c r="B12" s="109" t="s">
        <v>139</v>
      </c>
      <c r="C12" s="84">
        <v>27827555</v>
      </c>
      <c r="E12" s="105"/>
      <c r="H12" s="209"/>
    </row>
    <row r="13" spans="1:10" s="81" customFormat="1" ht="18" customHeight="1">
      <c r="A13" s="88" t="s">
        <v>33</v>
      </c>
      <c r="B13" s="109" t="s">
        <v>140</v>
      </c>
      <c r="C13" s="84">
        <v>0</v>
      </c>
      <c r="E13" s="105"/>
      <c r="H13" s="209"/>
    </row>
    <row r="14" spans="1:10" s="18" customFormat="1" ht="17.25" customHeight="1">
      <c r="A14" s="86" t="s">
        <v>35</v>
      </c>
      <c r="B14" s="109" t="s">
        <v>141</v>
      </c>
      <c r="C14" s="84">
        <v>1599427730</v>
      </c>
      <c r="D14" s="105"/>
      <c r="E14" s="105"/>
      <c r="F14" s="105"/>
      <c r="G14" s="105"/>
      <c r="H14" s="211"/>
      <c r="I14" s="105"/>
      <c r="J14" s="105"/>
    </row>
    <row r="15" spans="1:10" s="18" customFormat="1" ht="18" customHeight="1">
      <c r="A15" s="86" t="s">
        <v>42</v>
      </c>
      <c r="B15" s="109" t="s">
        <v>142</v>
      </c>
      <c r="C15" s="84">
        <v>0</v>
      </c>
      <c r="D15" s="105"/>
      <c r="E15" s="105"/>
      <c r="F15" s="105"/>
      <c r="G15" s="105"/>
      <c r="H15" s="211"/>
      <c r="I15" s="105"/>
      <c r="J15" s="105"/>
    </row>
    <row r="16" spans="1:10" s="81" customFormat="1" ht="18" customHeight="1">
      <c r="A16" s="88" t="s">
        <v>92</v>
      </c>
      <c r="B16" s="109" t="s">
        <v>143</v>
      </c>
      <c r="C16" s="87">
        <v>0</v>
      </c>
      <c r="D16" s="105"/>
      <c r="E16" s="105"/>
      <c r="F16" s="105"/>
      <c r="G16" s="105"/>
      <c r="H16" s="211"/>
      <c r="I16" s="105"/>
      <c r="J16" s="105"/>
    </row>
    <row r="17" spans="1:12" s="81" customFormat="1" ht="18" customHeight="1">
      <c r="A17" s="88" t="s">
        <v>93</v>
      </c>
      <c r="B17" s="109" t="s">
        <v>144</v>
      </c>
      <c r="C17" s="87">
        <v>0</v>
      </c>
      <c r="D17" s="105"/>
      <c r="E17" s="105"/>
      <c r="F17" s="105"/>
      <c r="G17" s="105"/>
      <c r="H17" s="211"/>
      <c r="I17" s="105"/>
      <c r="J17" s="105"/>
    </row>
    <row r="18" spans="1:12" s="81" customFormat="1" ht="18" customHeight="1">
      <c r="A18" s="88" t="s">
        <v>122</v>
      </c>
      <c r="B18" s="109" t="s">
        <v>145</v>
      </c>
      <c r="C18" s="85">
        <f>+C7+C10+C11+C16+C17</f>
        <v>5573560974</v>
      </c>
      <c r="E18" s="131"/>
      <c r="H18" s="209"/>
    </row>
    <row r="19" spans="1:12" s="81" customFormat="1" ht="18" customHeight="1">
      <c r="A19" s="88" t="s">
        <v>146</v>
      </c>
      <c r="B19" s="109" t="s">
        <v>147</v>
      </c>
      <c r="C19" s="85">
        <f>C20+C21+C22+C23+C24</f>
        <v>6889119</v>
      </c>
      <c r="E19" s="131"/>
      <c r="H19" s="209"/>
    </row>
    <row r="20" spans="1:12" s="81" customFormat="1" ht="22.5" customHeight="1">
      <c r="A20" s="88" t="s">
        <v>37</v>
      </c>
      <c r="B20" s="109" t="s">
        <v>148</v>
      </c>
      <c r="C20" s="84">
        <v>6889119</v>
      </c>
      <c r="G20" s="212"/>
      <c r="H20" s="109" t="s">
        <v>311</v>
      </c>
    </row>
    <row r="21" spans="1:12" s="81" customFormat="1" ht="20.25" customHeight="1">
      <c r="A21" s="88" t="s">
        <v>33</v>
      </c>
      <c r="B21" s="109" t="s">
        <v>315</v>
      </c>
      <c r="C21" s="90">
        <f>+G20+G21</f>
        <v>0</v>
      </c>
      <c r="D21" s="163"/>
      <c r="E21" s="163"/>
      <c r="G21" s="212">
        <v>0</v>
      </c>
      <c r="H21" s="109" t="s">
        <v>312</v>
      </c>
      <c r="J21" s="163"/>
      <c r="K21" s="163"/>
      <c r="L21" s="163"/>
    </row>
    <row r="22" spans="1:12" s="81" customFormat="1" ht="17.25" customHeight="1">
      <c r="A22" s="88" t="s">
        <v>35</v>
      </c>
      <c r="B22" s="109" t="s">
        <v>316</v>
      </c>
      <c r="C22" s="233">
        <f>+G22+G23</f>
        <v>0</v>
      </c>
      <c r="G22" s="212"/>
      <c r="H22" s="109" t="s">
        <v>313</v>
      </c>
    </row>
    <row r="23" spans="1:12" s="81" customFormat="1" ht="17.25" customHeight="1">
      <c r="A23" s="88" t="s">
        <v>42</v>
      </c>
      <c r="B23" s="109" t="s">
        <v>149</v>
      </c>
      <c r="C23" s="87">
        <v>0</v>
      </c>
      <c r="F23" s="56"/>
      <c r="G23" s="212"/>
      <c r="H23" s="109" t="s">
        <v>314</v>
      </c>
    </row>
    <row r="24" spans="1:12" s="81" customFormat="1" ht="17.25" customHeight="1">
      <c r="A24" s="88" t="s">
        <v>128</v>
      </c>
      <c r="B24" s="109" t="s">
        <v>150</v>
      </c>
      <c r="C24" s="87">
        <f>+IF(MAX('[6]Transactions of related parties'!$Z$90-E25*25%,'[6]Transactions of related parties'!$Z$89-E25*50%)&lt;0,0,MAX('[6]Transactions of related parties'!$Z$90-E25*25%,'[6]Transactions of related parties'!$Z$89-E25*50%))</f>
        <v>0</v>
      </c>
      <c r="D24" s="113"/>
      <c r="E24" s="213">
        <f>+'[6]Transactions of related parties'!$Z$89</f>
        <v>2179274</v>
      </c>
      <c r="F24" s="113"/>
      <c r="H24" s="209"/>
    </row>
    <row r="25" spans="1:12" s="18" customFormat="1" ht="15" customHeight="1">
      <c r="A25" s="83" t="s">
        <v>96</v>
      </c>
      <c r="B25" s="16" t="s">
        <v>133</v>
      </c>
      <c r="C25" s="85">
        <f>+C18-C19</f>
        <v>5566671855</v>
      </c>
      <c r="E25" s="213">
        <f>C18-C20-C21-C22-C23</f>
        <v>5566671855</v>
      </c>
      <c r="H25" s="210"/>
    </row>
    <row r="26" spans="1:12" ht="16.5" customHeight="1">
      <c r="A26" s="107">
        <v>2</v>
      </c>
      <c r="B26" s="19" t="s">
        <v>151</v>
      </c>
      <c r="C26" s="90"/>
      <c r="E26" s="55"/>
    </row>
    <row r="27" spans="1:12" s="18" customFormat="1" ht="18" customHeight="1">
      <c r="A27" s="86" t="s">
        <v>99</v>
      </c>
      <c r="B27" s="50" t="s">
        <v>152</v>
      </c>
      <c r="C27" s="82">
        <f>+C28-C29</f>
        <v>175651</v>
      </c>
      <c r="E27" s="43"/>
      <c r="H27" s="210"/>
    </row>
    <row r="28" spans="1:12" s="18" customFormat="1" ht="18" customHeight="1">
      <c r="A28" s="86" t="s">
        <v>37</v>
      </c>
      <c r="B28" s="50" t="s">
        <v>153</v>
      </c>
      <c r="C28" s="89">
        <v>175651</v>
      </c>
      <c r="E28" s="43"/>
      <c r="H28" s="210"/>
    </row>
    <row r="29" spans="1:12" s="18" customFormat="1" ht="18" customHeight="1">
      <c r="A29" s="86" t="s">
        <v>33</v>
      </c>
      <c r="B29" s="50" t="s">
        <v>154</v>
      </c>
      <c r="C29" s="89">
        <v>0</v>
      </c>
      <c r="E29" s="43"/>
      <c r="H29" s="210"/>
    </row>
    <row r="30" spans="1:12" s="18" customFormat="1" ht="18" customHeight="1">
      <c r="A30" s="86" t="s">
        <v>100</v>
      </c>
      <c r="B30" s="50" t="s">
        <v>155</v>
      </c>
      <c r="C30" s="89">
        <v>0</v>
      </c>
      <c r="E30" s="43"/>
      <c r="H30" s="210"/>
    </row>
    <row r="31" spans="1:12">
      <c r="A31" s="86" t="s">
        <v>102</v>
      </c>
      <c r="B31" s="51" t="s">
        <v>143</v>
      </c>
      <c r="C31" s="89">
        <v>0</v>
      </c>
      <c r="E31" s="55"/>
    </row>
    <row r="32" spans="1:12" s="18" customFormat="1" ht="29.25" customHeight="1">
      <c r="A32" s="86" t="s">
        <v>104</v>
      </c>
      <c r="B32" s="50" t="s">
        <v>156</v>
      </c>
      <c r="C32" s="89">
        <v>0</v>
      </c>
      <c r="E32" s="43"/>
      <c r="H32" s="210"/>
    </row>
    <row r="33" spans="1:13" s="22" customFormat="1">
      <c r="A33" s="110" t="s">
        <v>44</v>
      </c>
      <c r="B33" s="44" t="s">
        <v>157</v>
      </c>
      <c r="C33" s="85">
        <f>+C27+C30+C31+C32</f>
        <v>175651</v>
      </c>
      <c r="D33" s="214"/>
      <c r="E33" s="215"/>
      <c r="H33" s="216"/>
    </row>
    <row r="34" spans="1:13" s="22" customFormat="1" ht="16.5" customHeight="1">
      <c r="A34" s="110" t="s">
        <v>46</v>
      </c>
      <c r="B34" s="37" t="s">
        <v>158</v>
      </c>
      <c r="C34" s="85">
        <f>+C25+C33</f>
        <v>5566847506</v>
      </c>
      <c r="E34" s="213">
        <f>+C44/2</f>
        <v>3134833254.5</v>
      </c>
      <c r="H34" s="216"/>
    </row>
    <row r="35" spans="1:13" s="24" customFormat="1" ht="13.5" customHeight="1">
      <c r="A35" s="111"/>
      <c r="B35" s="23" t="s">
        <v>159</v>
      </c>
      <c r="C35" s="85"/>
      <c r="E35" s="217"/>
      <c r="H35" s="218"/>
    </row>
    <row r="36" spans="1:13" s="18" customFormat="1" ht="18" customHeight="1">
      <c r="A36" s="86" t="s">
        <v>107</v>
      </c>
      <c r="B36" s="50" t="s">
        <v>160</v>
      </c>
      <c r="C36" s="89">
        <v>160802633</v>
      </c>
      <c r="E36" s="108"/>
      <c r="H36" s="210"/>
    </row>
    <row r="37" spans="1:13" s="18" customFormat="1" ht="30" customHeight="1">
      <c r="A37" s="86" t="s">
        <v>108</v>
      </c>
      <c r="B37" s="50" t="s">
        <v>161</v>
      </c>
      <c r="C37" s="90">
        <f>IF(F37&lt;(C45*1.25%),F37,(C45*1.25%))</f>
        <v>123374035</v>
      </c>
      <c r="E37" s="219" t="s">
        <v>124</v>
      </c>
      <c r="F37" s="112">
        <v>123374035</v>
      </c>
      <c r="H37" s="210"/>
    </row>
    <row r="38" spans="1:13" s="18" customFormat="1" ht="18" customHeight="1">
      <c r="A38" s="86" t="s">
        <v>109</v>
      </c>
      <c r="B38" s="50" t="s">
        <v>162</v>
      </c>
      <c r="C38" s="84">
        <v>0</v>
      </c>
      <c r="E38" s="108"/>
      <c r="F38" s="235">
        <f>+[7]Balance!$C$39+[7]Balance!$C$61</f>
        <v>123374035</v>
      </c>
      <c r="H38" s="210"/>
    </row>
    <row r="39" spans="1:13" s="18" customFormat="1" ht="18" customHeight="1">
      <c r="A39" s="86" t="s">
        <v>110</v>
      </c>
      <c r="B39" s="50" t="s">
        <v>163</v>
      </c>
      <c r="C39" s="84">
        <v>416540075</v>
      </c>
      <c r="D39" s="151"/>
      <c r="E39" s="152"/>
      <c r="F39" s="220">
        <f>+F37-F38</f>
        <v>0</v>
      </c>
      <c r="G39" s="151"/>
      <c r="H39" s="221"/>
      <c r="I39" s="151"/>
      <c r="J39" s="151"/>
      <c r="K39" s="151"/>
      <c r="L39" s="151"/>
      <c r="M39" s="151"/>
    </row>
    <row r="40" spans="1:13" s="18" customFormat="1" ht="18" customHeight="1">
      <c r="A40" s="86" t="s">
        <v>112</v>
      </c>
      <c r="B40" s="50" t="s">
        <v>164</v>
      </c>
      <c r="C40" s="89">
        <v>2102260</v>
      </c>
      <c r="D40" s="151"/>
      <c r="E40" s="152"/>
      <c r="F40" s="151"/>
      <c r="G40" s="151"/>
      <c r="H40" s="221"/>
      <c r="I40" s="151"/>
      <c r="J40" s="151"/>
      <c r="K40" s="151"/>
      <c r="L40" s="151"/>
      <c r="M40" s="151"/>
    </row>
    <row r="41" spans="1:13" s="18" customFormat="1" ht="18" customHeight="1">
      <c r="A41" s="86" t="s">
        <v>113</v>
      </c>
      <c r="B41" s="50" t="s">
        <v>165</v>
      </c>
      <c r="C41" s="90">
        <f>IF($C$34&gt;=SUM($C$36:$C$40),0,(SUM($C$36:$C$40)-$C$34))*-1</f>
        <v>0</v>
      </c>
      <c r="D41" s="151"/>
      <c r="E41" s="152"/>
      <c r="F41" s="151"/>
      <c r="G41" s="151"/>
      <c r="H41" s="221"/>
      <c r="I41" s="151"/>
      <c r="J41" s="151"/>
      <c r="K41" s="151"/>
      <c r="L41" s="151"/>
      <c r="M41" s="151"/>
    </row>
    <row r="42" spans="1:13" ht="18.75" customHeight="1">
      <c r="A42" s="88"/>
      <c r="B42" s="19" t="s">
        <v>166</v>
      </c>
      <c r="C42" s="85">
        <f>SUM(C36:C40)</f>
        <v>702819003</v>
      </c>
      <c r="D42" s="222"/>
      <c r="E42" s="153"/>
      <c r="F42" s="154"/>
      <c r="G42" s="154"/>
      <c r="H42" s="223"/>
      <c r="I42" s="154"/>
      <c r="J42" s="154"/>
      <c r="K42" s="154"/>
      <c r="L42" s="154"/>
      <c r="M42" s="154"/>
    </row>
    <row r="43" spans="1:13" s="81" customFormat="1" ht="22.5" customHeight="1">
      <c r="A43" s="111" t="s">
        <v>47</v>
      </c>
      <c r="B43" s="37" t="s">
        <v>167</v>
      </c>
      <c r="C43" s="91">
        <f>+C41+C42</f>
        <v>702819003</v>
      </c>
      <c r="D43" s="224"/>
      <c r="E43" s="155"/>
      <c r="F43" s="156"/>
      <c r="G43" s="156"/>
      <c r="H43" s="225"/>
      <c r="I43" s="156"/>
      <c r="J43" s="156"/>
      <c r="K43" s="156"/>
      <c r="L43" s="156"/>
      <c r="M43" s="156"/>
    </row>
    <row r="44" spans="1:13" s="81" customFormat="1" ht="15.75" customHeight="1">
      <c r="A44" s="111" t="s">
        <v>50</v>
      </c>
      <c r="B44" s="37" t="s">
        <v>168</v>
      </c>
      <c r="C44" s="92">
        <f>+C34+C41+C42</f>
        <v>6269666509</v>
      </c>
      <c r="D44" s="224"/>
      <c r="E44" s="155"/>
      <c r="F44" s="156"/>
      <c r="G44" s="156"/>
      <c r="H44" s="225"/>
      <c r="I44" s="156"/>
      <c r="J44" s="156"/>
      <c r="K44" s="156"/>
      <c r="L44" s="156"/>
      <c r="M44" s="156"/>
    </row>
    <row r="45" spans="1:13" s="81" customFormat="1" ht="21.75" customHeight="1">
      <c r="A45" s="111" t="s">
        <v>9</v>
      </c>
      <c r="B45" s="37" t="s">
        <v>169</v>
      </c>
      <c r="C45" s="92">
        <f>+C46+C47+C48</f>
        <v>33966335392.417309</v>
      </c>
      <c r="D45" s="156"/>
      <c r="E45" s="155"/>
      <c r="F45" s="156"/>
      <c r="G45" s="156"/>
      <c r="H45" s="225"/>
      <c r="I45" s="156"/>
      <c r="J45" s="156"/>
      <c r="K45" s="156"/>
      <c r="L45" s="156"/>
      <c r="M45" s="156"/>
    </row>
    <row r="46" spans="1:13" s="18" customFormat="1" ht="18" customHeight="1">
      <c r="A46" s="86" t="s">
        <v>37</v>
      </c>
      <c r="B46" s="50" t="s">
        <v>170</v>
      </c>
      <c r="C46" s="90">
        <f>+'Calculation of Risk Weighted As'!L92</f>
        <v>32468650529.725002</v>
      </c>
      <c r="D46" s="151"/>
      <c r="E46" s="152"/>
      <c r="F46" s="151"/>
      <c r="G46" s="151"/>
      <c r="H46" s="221"/>
      <c r="I46" s="151"/>
      <c r="J46" s="151"/>
      <c r="K46" s="151"/>
      <c r="L46" s="151"/>
      <c r="M46" s="151"/>
    </row>
    <row r="47" spans="1:13" s="18" customFormat="1" ht="18" customHeight="1">
      <c r="A47" s="86" t="s">
        <v>33</v>
      </c>
      <c r="B47" s="50" t="s">
        <v>171</v>
      </c>
      <c r="C47" s="90">
        <f>+'Calculation of Risk'!C21</f>
        <v>1490633099.6153846</v>
      </c>
      <c r="D47" s="151"/>
      <c r="E47" s="152"/>
      <c r="F47" s="151"/>
      <c r="G47" s="151"/>
      <c r="H47" s="221"/>
      <c r="I47" s="151"/>
      <c r="J47" s="151"/>
      <c r="K47" s="151"/>
      <c r="L47" s="151"/>
      <c r="M47" s="151"/>
    </row>
    <row r="48" spans="1:13" s="18" customFormat="1" ht="18" customHeight="1">
      <c r="A48" s="86" t="s">
        <v>35</v>
      </c>
      <c r="B48" s="50" t="s">
        <v>172</v>
      </c>
      <c r="C48" s="90">
        <f>+'Calculation of Risk'!C27</f>
        <v>7051763.0769230779</v>
      </c>
      <c r="D48" s="151"/>
      <c r="E48" s="152"/>
      <c r="F48" s="151"/>
      <c r="G48" s="151"/>
      <c r="H48" s="221"/>
      <c r="I48" s="151"/>
      <c r="J48" s="151"/>
      <c r="K48" s="151"/>
      <c r="L48" s="151"/>
      <c r="M48" s="151"/>
    </row>
    <row r="49" spans="1:13" s="24" customFormat="1" ht="21.75" customHeight="1">
      <c r="A49" s="111" t="s">
        <v>10</v>
      </c>
      <c r="B49" s="37" t="s">
        <v>173</v>
      </c>
      <c r="C49" s="93">
        <f>IFERROR((+C25/C45),0)</f>
        <v>0.16388791403863695</v>
      </c>
      <c r="D49" s="157"/>
      <c r="E49" s="158"/>
      <c r="F49" s="157"/>
      <c r="G49" s="157"/>
      <c r="H49" s="226"/>
      <c r="I49" s="157"/>
      <c r="J49" s="157"/>
      <c r="K49" s="157"/>
      <c r="L49" s="157"/>
      <c r="M49" s="157"/>
    </row>
    <row r="50" spans="1:13" s="24" customFormat="1" ht="21.75" customHeight="1">
      <c r="A50" s="111" t="s">
        <v>51</v>
      </c>
      <c r="B50" s="37" t="s">
        <v>174</v>
      </c>
      <c r="C50" s="93">
        <f>IFERROR((+C34/C45),0)</f>
        <v>0.16389308536483305</v>
      </c>
      <c r="D50" s="157"/>
      <c r="E50" s="158"/>
      <c r="F50" s="157"/>
      <c r="G50" s="157"/>
      <c r="H50" s="226"/>
      <c r="I50" s="157"/>
      <c r="J50" s="157"/>
      <c r="K50" s="157"/>
      <c r="L50" s="157"/>
      <c r="M50" s="157"/>
    </row>
    <row r="51" spans="1:13" s="24" customFormat="1" ht="21.75" customHeight="1">
      <c r="A51" s="111" t="s">
        <v>20</v>
      </c>
      <c r="B51" s="37" t="s">
        <v>175</v>
      </c>
      <c r="C51" s="93">
        <f>IFERROR((+C44/C45),0)</f>
        <v>0.18458472003428575</v>
      </c>
      <c r="D51" s="157"/>
      <c r="E51" s="158"/>
      <c r="F51" s="157"/>
      <c r="G51" s="157"/>
      <c r="H51" s="226"/>
      <c r="I51" s="157"/>
      <c r="J51" s="157"/>
      <c r="K51" s="157"/>
      <c r="L51" s="157"/>
      <c r="M51" s="157"/>
    </row>
    <row r="52" spans="1:13" s="81" customFormat="1" ht="21.75" customHeight="1">
      <c r="A52" s="111" t="s">
        <v>21</v>
      </c>
      <c r="B52" s="37" t="s">
        <v>176</v>
      </c>
      <c r="C52" s="91">
        <f>SUM(C53:C55)-C56</f>
        <v>33103414867</v>
      </c>
      <c r="D52" s="156"/>
      <c r="E52" s="159"/>
      <c r="F52" s="224"/>
      <c r="G52" s="156"/>
      <c r="H52" s="225"/>
      <c r="I52" s="156"/>
      <c r="J52" s="156"/>
      <c r="K52" s="156"/>
      <c r="L52" s="156"/>
      <c r="M52" s="156"/>
    </row>
    <row r="53" spans="1:13" s="29" customFormat="1" ht="21.75" customHeight="1">
      <c r="A53" s="86" t="s">
        <v>37</v>
      </c>
      <c r="B53" s="27" t="s">
        <v>177</v>
      </c>
      <c r="C53" s="150">
        <f>+[7]Balance!$C$47</f>
        <v>30728787180</v>
      </c>
      <c r="D53" s="71"/>
      <c r="E53" s="160"/>
      <c r="F53" s="227"/>
      <c r="G53" s="71"/>
      <c r="H53" s="228"/>
      <c r="I53" s="71"/>
      <c r="J53" s="71"/>
      <c r="K53" s="71"/>
      <c r="L53" s="71"/>
      <c r="M53" s="71"/>
    </row>
    <row r="54" spans="1:13" s="29" customFormat="1" ht="21.75" customHeight="1">
      <c r="A54" s="86" t="s">
        <v>33</v>
      </c>
      <c r="B54" s="27" t="s">
        <v>178</v>
      </c>
      <c r="C54" s="150">
        <f>SUM('Calculation of Risk Weighted As'!D71:L79)</f>
        <v>2381516806</v>
      </c>
      <c r="D54" s="71"/>
      <c r="E54" s="227"/>
      <c r="F54" s="227"/>
      <c r="G54" s="71"/>
      <c r="H54" s="228"/>
      <c r="I54" s="71"/>
      <c r="J54" s="71"/>
      <c r="K54" s="71"/>
      <c r="L54" s="71"/>
      <c r="M54" s="71"/>
    </row>
    <row r="55" spans="1:13" s="29" customFormat="1" ht="21.75" customHeight="1">
      <c r="A55" s="86" t="s">
        <v>35</v>
      </c>
      <c r="B55" s="27" t="s">
        <v>179</v>
      </c>
      <c r="C55" s="150">
        <f>+('Calculation of Risk Weighted As'!D82*'Calculation of Risk Weighted As'!$C$82*'Calculation of Risk Weighted As'!$D$3)+('Calculation of Risk Weighted As'!D83*'Calculation of Risk Weighted As'!$C$83*'Calculation of Risk Weighted As'!$D$3)+('Calculation of Risk Weighted As'!D84*'Calculation of Risk Weighted As'!$C$84*'Calculation of Risk Weighted As'!$D$3)+('Calculation of Risk Weighted As'!D86*'Calculation of Risk Weighted As'!$C$86*'Calculation of Risk Weighted As'!$D$3)+('Calculation of Risk Weighted As'!D87*'Calculation of Risk Weighted As'!$C$87*'Calculation of Risk Weighted As'!$D$3)+('Calculation of Risk Weighted As'!D88*'Calculation of Risk Weighted As'!$C$88*'Calculation of Risk Weighted As'!$D$3)+('Calculation of Risk Weighted As'!E82*'Calculation of Risk Weighted As'!$C$82*'Calculation of Risk Weighted As'!$E$3)+('Calculation of Risk Weighted As'!E83*'Calculation of Risk Weighted As'!$C$83*'Calculation of Risk Weighted As'!$E$3)+('Calculation of Risk Weighted As'!E84*'Calculation of Risk Weighted As'!$C$84*'Calculation of Risk Weighted As'!$E$3)+('Calculation of Risk Weighted As'!E86*'Calculation of Risk Weighted As'!$C$86*'Calculation of Risk Weighted As'!$E$3)+('Calculation of Risk Weighted As'!E87*'Calculation of Risk Weighted As'!$C$87*'Calculation of Risk Weighted As'!$E$3)+('Calculation of Risk Weighted As'!E88*'Calculation of Risk Weighted As'!$C$88*'Calculation of Risk Weighted As'!$E$3)+('Calculation of Risk Weighted As'!F82*'Calculation of Risk Weighted As'!$C$82*'Calculation of Risk Weighted As'!$F$3)+('Calculation of Risk Weighted As'!F83*$C$66*$F$3)+('Calculation of Risk Weighted As'!F84*$C$67*$F$3)+('Calculation of Risk Weighted As'!F86*$C$69*$F$3)+('Calculation of Risk Weighted As'!F87*$C$70*$F$3)+('Calculation of Risk Weighted As'!F88*$C$71*$F$3)+('Calculation of Risk Weighted As'!G82*'Calculation of Risk Weighted As'!$C$82*'Calculation of Risk Weighted As'!$G$3)+('Calculation of Risk Weighted As'!G83*'Calculation of Risk Weighted As'!$C$83*'Calculation of Risk Weighted As'!$G$3)+('Calculation of Risk Weighted As'!G84*'Calculation of Risk Weighted As'!$C$84*'Calculation of Risk Weighted As'!$G$3)+('Calculation of Risk Weighted As'!G86*'Calculation of Risk Weighted As'!$C$86*'Calculation of Risk Weighted As'!$G$3)+('Calculation of Risk Weighted As'!G87*'Calculation of Risk Weighted As'!$C$87*'Calculation of Risk Weighted As'!$G$3)+('Calculation of Risk Weighted As'!G88*'Calculation of Risk Weighted As'!$C$88*'Calculation of Risk Weighted As'!$G$3)+('Calculation of Risk Weighted As'!I82*'Calculation of Risk Weighted As'!$C$82*'Calculation of Risk Weighted As'!$I$3)+('Calculation of Risk Weighted As'!I83*'Calculation of Risk Weighted As'!$C$83*'Calculation of Risk Weighted As'!$I$3)+('Calculation of Risk Weighted As'!I84*'Calculation of Risk Weighted As'!$C$84*'Calculation of Risk Weighted As'!$I$3)+('Calculation of Risk Weighted As'!I86*'Calculation of Risk Weighted As'!$C$86*'Calculation of Risk Weighted As'!$I$3)+('Calculation of Risk Weighted As'!I87*'Calculation of Risk Weighted As'!$C$87*'Calculation of Risk Weighted As'!$I$3)+('Calculation of Risk Weighted As'!I88*'Calculation of Risk Weighted As'!$C$88*'Calculation of Risk Weighted As'!$I$3)+('Calculation of Risk Weighted As'!J82*'Calculation of Risk Weighted As'!$C$82*'Calculation of Risk Weighted As'!$J$3)+('Calculation of Risk Weighted As'!J83*'Calculation of Risk Weighted As'!$C$83*'Calculation of Risk Weighted As'!$J$3)+('Calculation of Risk Weighted As'!J84*'Calculation of Risk Weighted As'!$C$84*'Calculation of Risk Weighted As'!$J$3)+('Calculation of Risk Weighted As'!J86*'Calculation of Risk Weighted As'!$C$86*'Calculation of Risk Weighted As'!$J$3)+('Calculation of Risk Weighted As'!J87*'Calculation of Risk Weighted As'!$C$87*'Calculation of Risk Weighted As'!$J$3)+('Calculation of Risk Weighted As'!J88*'Calculation of Risk Weighted As'!$C$88*'Calculation of Risk Weighted As'!$J$3)+('Calculation of Risk Weighted As'!L82*'Calculation of Risk Weighted As'!$C$82*'Calculation of Risk Weighted As'!$L$3)+('Calculation of Risk Weighted As'!L83*'Calculation of Risk Weighted As'!$C$83*'Calculation of Risk Weighted As'!$L$3)+('Calculation of Risk Weighted As'!L84*'Calculation of Risk Weighted As'!$C$84*'Calculation of Risk Weighted As'!$L$3)+('Calculation of Risk Weighted As'!L86*'Calculation of Risk Weighted As'!$C$86*'Calculation of Risk Weighted As'!$L$3)+('Calculation of Risk Weighted As'!L87*'Calculation of Risk Weighted As'!$C$87*'Calculation of Risk Weighted As'!$L$3)+('Calculation of Risk Weighted As'!L88*'Calculation of Risk Weighted As'!$C$88*'Calculation of Risk Weighted As'!$L$3)</f>
        <v>0</v>
      </c>
      <c r="D55" s="71"/>
      <c r="E55" s="73"/>
      <c r="F55" s="71"/>
      <c r="G55" s="71"/>
      <c r="H55" s="228"/>
      <c r="I55" s="71"/>
      <c r="J55" s="71"/>
      <c r="K55" s="71"/>
      <c r="L55" s="71"/>
      <c r="M55" s="71"/>
    </row>
    <row r="56" spans="1:13" s="29" customFormat="1" ht="21.75" customHeight="1">
      <c r="A56" s="86" t="s">
        <v>42</v>
      </c>
      <c r="B56" s="27" t="s">
        <v>270</v>
      </c>
      <c r="C56" s="150">
        <f>+C19</f>
        <v>6889119</v>
      </c>
      <c r="D56" s="71"/>
      <c r="E56" s="73"/>
      <c r="F56" s="71"/>
      <c r="G56" s="71"/>
      <c r="H56" s="228"/>
      <c r="I56" s="71"/>
      <c r="J56" s="71"/>
      <c r="K56" s="71"/>
      <c r="L56" s="71"/>
      <c r="M56" s="71"/>
    </row>
    <row r="57" spans="1:13" s="24" customFormat="1" ht="21.75" customHeight="1" thickBot="1">
      <c r="A57" s="114" t="s">
        <v>22</v>
      </c>
      <c r="B57" s="115" t="s">
        <v>180</v>
      </c>
      <c r="C57" s="94">
        <f>IFERROR((+C34/C52),0)</f>
        <v>0.16816535479393871</v>
      </c>
      <c r="D57" s="157"/>
      <c r="E57" s="158"/>
      <c r="F57" s="157"/>
      <c r="G57" s="157"/>
      <c r="H57" s="226"/>
      <c r="I57" s="157"/>
      <c r="J57" s="157"/>
      <c r="K57" s="157"/>
      <c r="L57" s="157"/>
      <c r="M57" s="157"/>
    </row>
    <row r="58" spans="1:13">
      <c r="B58" s="30"/>
      <c r="D58" s="154"/>
      <c r="E58" s="153"/>
      <c r="F58" s="154"/>
      <c r="G58" s="154"/>
      <c r="H58" s="223"/>
      <c r="I58" s="154"/>
      <c r="J58" s="154"/>
      <c r="K58" s="154"/>
      <c r="L58" s="154"/>
      <c r="M58" s="154"/>
    </row>
    <row r="59" spans="1:13" s="144" customFormat="1" ht="18" customHeight="1">
      <c r="B59" s="130" t="s">
        <v>257</v>
      </c>
      <c r="D59" s="229"/>
      <c r="E59" s="229"/>
      <c r="F59" s="161"/>
      <c r="G59" s="161"/>
      <c r="H59" s="230"/>
      <c r="I59" s="161"/>
      <c r="J59" s="161"/>
      <c r="K59" s="161"/>
      <c r="L59" s="161"/>
      <c r="M59" s="161"/>
    </row>
    <row r="60" spans="1:13" s="144" customFormat="1" ht="14.25" customHeight="1">
      <c r="B60" s="130"/>
      <c r="D60" s="229"/>
      <c r="E60" s="229"/>
      <c r="F60" s="161"/>
      <c r="G60" s="161"/>
      <c r="H60" s="230"/>
      <c r="I60" s="161"/>
      <c r="J60" s="161"/>
      <c r="K60" s="161"/>
      <c r="L60" s="161"/>
      <c r="M60" s="161"/>
    </row>
    <row r="61" spans="1:13" s="144" customFormat="1" ht="18" customHeight="1">
      <c r="B61" s="130" t="s">
        <v>258</v>
      </c>
      <c r="D61" s="229"/>
      <c r="E61" s="229"/>
      <c r="F61" s="161"/>
      <c r="G61" s="161"/>
      <c r="H61" s="230"/>
      <c r="I61" s="161"/>
      <c r="J61" s="161"/>
      <c r="K61" s="161"/>
      <c r="L61" s="161"/>
      <c r="M61" s="161"/>
    </row>
    <row r="62" spans="1:13">
      <c r="B62" s="32"/>
      <c r="D62" s="154"/>
      <c r="E62" s="153"/>
      <c r="F62" s="154"/>
      <c r="G62" s="154"/>
      <c r="H62" s="223"/>
      <c r="I62" s="154"/>
      <c r="J62" s="154"/>
      <c r="K62" s="154"/>
      <c r="L62" s="154"/>
      <c r="M62" s="154"/>
    </row>
  </sheetData>
  <sheetProtection algorithmName="SHA-512" hashValue="+EnkZOjyTph81AKGfDLUCbFb4xT5G4JXpfQaqkd//eiIDP0al/C9FU1DLgtXLtfFHcPn3EJ0oSoB6eokln4vgw==" saltValue="IKap6jp5v0K30DMpp3K3yg==" spinCount="100000" sheet="1" objects="1" scenarios="1"/>
  <mergeCells count="1">
    <mergeCell ref="A1:B1"/>
  </mergeCells>
  <conditionalFormatting sqref="C34">
    <cfRule type="cellIs" dxfId="70" priority="1" operator="lessThan">
      <formula>$E$34</formula>
    </cfRule>
    <cfRule type="cellIs" dxfId="69" priority="2" operator="greaterThan">
      <formula>$C$34&lt;($C$44/2)</formula>
    </cfRule>
  </conditionalFormatting>
  <conditionalFormatting sqref="C39">
    <cfRule type="expression" dxfId="68" priority="3">
      <formula>$C$39&gt;$C$34</formula>
    </cfRule>
  </conditionalFormatting>
  <dataValidations count="1">
    <dataValidation type="date" operator="greaterThan" allowBlank="1" showInputMessage="1" showErrorMessage="1" prompt="Введите дату в формате ЧЧ.ММ.ГГГГ" sqref="C3" xr:uid="{00000000-0002-0000-0000-000000000000}">
      <formula1>DATE(96,1,1)</formula1>
    </dataValidation>
  </dataValidations>
  <printOptions horizontalCentered="1"/>
  <pageMargins left="0.19685039370078741" right="0.19685039370078741" top="0.39370078740157483" bottom="0.39370078740157483" header="0.15748031496062992" footer="0.51181102362204722"/>
  <pageSetup paperSize="9" scale="74" orientation="portrait" r:id="rId1"/>
  <headerFooter alignWithMargins="0"/>
  <ignoredErrors>
    <ignoredError sqref="C25:C26 C54:C56" unlockedFormula="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Лист25">
    <tabColor rgb="FFFFFF00"/>
    <pageSetUpPr fitToPage="1"/>
  </sheetPr>
  <dimension ref="A1:H60"/>
  <sheetViews>
    <sheetView view="pageBreakPreview" zoomScaleNormal="130" zoomScaleSheetLayoutView="100" workbookViewId="0">
      <pane xSplit="2" ySplit="4" topLeftCell="C5" activePane="bottomRight" state="frozen"/>
      <selection activeCell="B3" sqref="B3"/>
      <selection pane="topRight" activeCell="B3" sqref="B3"/>
      <selection pane="bottomLeft" activeCell="B3" sqref="B3"/>
      <selection pane="bottomRight" activeCell="C5" sqref="C5"/>
    </sheetView>
  </sheetViews>
  <sheetFormatPr defaultRowHeight="12.75"/>
  <cols>
    <col min="1" max="1" width="6" style="6" customWidth="1"/>
    <col min="2" max="2" width="105.140625" style="6" customWidth="1"/>
    <col min="3" max="3" width="19.7109375" style="31" customWidth="1"/>
    <col min="4" max="4" width="10.28515625" style="54" bestFit="1" customWidth="1"/>
    <col min="5" max="5" width="19.42578125" style="55" bestFit="1" customWidth="1"/>
    <col min="6" max="6" width="9.28515625" style="54" bestFit="1" customWidth="1"/>
    <col min="7" max="7" width="9.140625" style="54"/>
    <col min="8" max="8" width="17.42578125" style="54" bestFit="1" customWidth="1"/>
    <col min="9" max="16384" width="9.140625" style="6"/>
  </cols>
  <sheetData>
    <row r="1" spans="1:8" ht="23.25" customHeight="1">
      <c r="A1" s="240" t="s">
        <v>126</v>
      </c>
      <c r="B1" s="241"/>
      <c r="C1" s="5" t="s">
        <v>125</v>
      </c>
    </row>
    <row r="2" spans="1:8">
      <c r="A2" s="33"/>
      <c r="B2" s="33"/>
      <c r="C2" s="33"/>
    </row>
    <row r="3" spans="1:8" ht="15.75">
      <c r="A3" s="7"/>
      <c r="B3" s="47" t="e">
        <f>#REF!</f>
        <v>#REF!</v>
      </c>
      <c r="C3" s="46" t="e">
        <f>+#REF!</f>
        <v>#REF!</v>
      </c>
    </row>
    <row r="4" spans="1:8" s="8" customFormat="1" ht="43.5" customHeight="1">
      <c r="A4" s="53" t="s">
        <v>52</v>
      </c>
      <c r="B4" s="53" t="s">
        <v>25</v>
      </c>
      <c r="C4" s="53" t="s">
        <v>2</v>
      </c>
      <c r="D4" s="56"/>
      <c r="E4" s="57"/>
      <c r="F4" s="56"/>
      <c r="G4" s="56"/>
      <c r="H4" s="56"/>
    </row>
    <row r="5" spans="1:8" ht="12.75" customHeight="1">
      <c r="A5" s="21" t="s">
        <v>30</v>
      </c>
      <c r="B5" s="10" t="s">
        <v>82</v>
      </c>
      <c r="C5" s="11"/>
    </row>
    <row r="6" spans="1:8" ht="12.75" customHeight="1">
      <c r="A6" s="9">
        <v>1</v>
      </c>
      <c r="B6" s="10" t="s">
        <v>83</v>
      </c>
      <c r="C6" s="12"/>
    </row>
    <row r="7" spans="1:8" s="18" customFormat="1" ht="18" customHeight="1">
      <c r="A7" s="15" t="s">
        <v>86</v>
      </c>
      <c r="B7" s="16" t="s">
        <v>84</v>
      </c>
      <c r="C7" s="38" t="s">
        <v>81</v>
      </c>
      <c r="D7" s="58"/>
      <c r="E7" s="43"/>
      <c r="F7" s="58"/>
      <c r="G7" s="58"/>
      <c r="H7" s="58"/>
    </row>
    <row r="8" spans="1:8" s="8" customFormat="1" ht="18" customHeight="1">
      <c r="A8" s="20" t="s">
        <v>31</v>
      </c>
      <c r="B8" s="52" t="s">
        <v>32</v>
      </c>
      <c r="C8" s="34"/>
      <c r="D8" s="56"/>
      <c r="E8" s="57"/>
      <c r="F8" s="56"/>
      <c r="G8" s="56"/>
      <c r="H8" s="56"/>
    </row>
    <row r="9" spans="1:8" s="8" customFormat="1" ht="18" customHeight="1">
      <c r="A9" s="20" t="s">
        <v>33</v>
      </c>
      <c r="B9" s="52" t="s">
        <v>34</v>
      </c>
      <c r="C9" s="35"/>
      <c r="D9" s="56"/>
      <c r="E9" s="57"/>
      <c r="F9" s="56"/>
      <c r="G9" s="56"/>
      <c r="H9" s="56"/>
    </row>
    <row r="10" spans="1:8" s="18" customFormat="1" ht="18" customHeight="1">
      <c r="A10" s="15" t="s">
        <v>87</v>
      </c>
      <c r="B10" s="16" t="s">
        <v>85</v>
      </c>
      <c r="C10" s="40">
        <v>0</v>
      </c>
      <c r="D10" s="58"/>
      <c r="E10" s="43"/>
      <c r="F10" s="58"/>
      <c r="G10" s="58"/>
      <c r="H10" s="58"/>
    </row>
    <row r="11" spans="1:8" s="8" customFormat="1" ht="18" customHeight="1">
      <c r="A11" s="20" t="s">
        <v>88</v>
      </c>
      <c r="B11" s="52" t="s">
        <v>89</v>
      </c>
      <c r="C11" s="38" t="s">
        <v>81</v>
      </c>
      <c r="D11" s="56"/>
      <c r="E11" s="57"/>
      <c r="F11" s="56"/>
      <c r="G11" s="56"/>
      <c r="H11" s="56"/>
    </row>
    <row r="12" spans="1:8" s="8" customFormat="1" ht="18" customHeight="1">
      <c r="A12" s="20" t="s">
        <v>37</v>
      </c>
      <c r="B12" s="52" t="s">
        <v>40</v>
      </c>
      <c r="C12" s="42"/>
      <c r="D12" s="56"/>
      <c r="E12" s="57"/>
      <c r="F12" s="56"/>
      <c r="G12" s="56"/>
      <c r="H12" s="56"/>
    </row>
    <row r="13" spans="1:8" s="8" customFormat="1" ht="18" customHeight="1">
      <c r="A13" s="20" t="s">
        <v>33</v>
      </c>
      <c r="B13" s="52" t="s">
        <v>41</v>
      </c>
      <c r="C13" s="42"/>
      <c r="D13" s="56"/>
      <c r="E13" s="57"/>
      <c r="F13" s="56"/>
      <c r="G13" s="56"/>
      <c r="H13" s="56"/>
    </row>
    <row r="14" spans="1:8" s="18" customFormat="1" ht="18" customHeight="1">
      <c r="A14" s="26" t="s">
        <v>35</v>
      </c>
      <c r="B14" s="50" t="s">
        <v>90</v>
      </c>
      <c r="C14" s="39"/>
      <c r="D14" s="58"/>
      <c r="E14" s="43"/>
      <c r="F14" s="58"/>
      <c r="G14" s="58"/>
      <c r="H14" s="58"/>
    </row>
    <row r="15" spans="1:8" s="18" customFormat="1" ht="18" customHeight="1">
      <c r="A15" s="26" t="s">
        <v>42</v>
      </c>
      <c r="B15" s="50" t="s">
        <v>91</v>
      </c>
      <c r="C15" s="39"/>
      <c r="D15" s="58"/>
      <c r="E15" s="43"/>
      <c r="F15" s="58"/>
      <c r="G15" s="58"/>
      <c r="H15" s="58"/>
    </row>
    <row r="16" spans="1:8" s="8" customFormat="1" ht="18" customHeight="1">
      <c r="A16" s="20" t="s">
        <v>92</v>
      </c>
      <c r="B16" s="52" t="s">
        <v>43</v>
      </c>
      <c r="C16" s="40"/>
      <c r="D16" s="56"/>
      <c r="E16" s="57"/>
      <c r="F16" s="56"/>
      <c r="G16" s="56"/>
      <c r="H16" s="56"/>
    </row>
    <row r="17" spans="1:8" s="8" customFormat="1" ht="18" customHeight="1">
      <c r="A17" s="20" t="s">
        <v>93</v>
      </c>
      <c r="B17" s="52" t="s">
        <v>3</v>
      </c>
      <c r="C17" s="40"/>
      <c r="D17" s="56"/>
      <c r="E17" s="57"/>
      <c r="F17" s="56"/>
      <c r="G17" s="56"/>
      <c r="H17" s="56"/>
    </row>
    <row r="18" spans="1:8" s="8" customFormat="1" ht="18" customHeight="1">
      <c r="A18" s="20"/>
      <c r="B18" s="52" t="s">
        <v>94</v>
      </c>
      <c r="C18" s="38" t="s">
        <v>81</v>
      </c>
      <c r="D18" s="56"/>
      <c r="E18" s="57"/>
      <c r="F18" s="56"/>
      <c r="G18" s="56"/>
      <c r="H18" s="56"/>
    </row>
    <row r="19" spans="1:8" s="8" customFormat="1" ht="18" customHeight="1">
      <c r="A19" s="20" t="s">
        <v>122</v>
      </c>
      <c r="B19" s="52" t="s">
        <v>95</v>
      </c>
      <c r="C19" s="38" t="s">
        <v>81</v>
      </c>
      <c r="D19" s="56"/>
      <c r="E19" s="57"/>
      <c r="F19" s="56"/>
      <c r="G19" s="56"/>
      <c r="H19" s="56"/>
    </row>
    <row r="20" spans="1:8" s="18" customFormat="1" ht="18" customHeight="1">
      <c r="A20" s="48" t="s">
        <v>37</v>
      </c>
      <c r="B20" s="77" t="s">
        <v>45</v>
      </c>
      <c r="C20" s="39"/>
      <c r="D20" s="58"/>
      <c r="E20" s="43"/>
      <c r="F20" s="58"/>
      <c r="G20" s="58"/>
      <c r="H20" s="58"/>
    </row>
    <row r="21" spans="1:8" s="17" customFormat="1" ht="25.5">
      <c r="A21" s="48" t="s">
        <v>33</v>
      </c>
      <c r="B21" s="50" t="s">
        <v>12</v>
      </c>
      <c r="C21" s="39"/>
      <c r="D21" s="58"/>
      <c r="E21" s="43"/>
      <c r="F21" s="58"/>
      <c r="G21" s="58"/>
      <c r="H21" s="58"/>
    </row>
    <row r="22" spans="1:8" s="18" customFormat="1" ht="18" customHeight="1">
      <c r="A22" s="48" t="s">
        <v>35</v>
      </c>
      <c r="B22" s="50" t="s">
        <v>4</v>
      </c>
      <c r="C22" s="39"/>
      <c r="D22" s="58"/>
      <c r="E22" s="43"/>
      <c r="F22" s="58"/>
      <c r="G22" s="58"/>
      <c r="H22" s="58"/>
    </row>
    <row r="23" spans="1:8" s="18" customFormat="1" ht="15" customHeight="1">
      <c r="A23" s="15" t="s">
        <v>96</v>
      </c>
      <c r="B23" s="16" t="s">
        <v>97</v>
      </c>
      <c r="C23" s="38" t="s">
        <v>81</v>
      </c>
      <c r="D23" s="58"/>
      <c r="E23" s="43"/>
      <c r="F23" s="58"/>
      <c r="G23" s="58"/>
      <c r="H23" s="58"/>
    </row>
    <row r="24" spans="1:8" ht="16.5" customHeight="1">
      <c r="A24" s="9">
        <v>2</v>
      </c>
      <c r="B24" s="19" t="s">
        <v>98</v>
      </c>
      <c r="C24" s="13"/>
    </row>
    <row r="25" spans="1:8" s="18" customFormat="1" ht="18" customHeight="1">
      <c r="A25" s="26" t="s">
        <v>99</v>
      </c>
      <c r="B25" s="50" t="s">
        <v>36</v>
      </c>
      <c r="C25" s="49">
        <f>+C26+C27</f>
        <v>0</v>
      </c>
      <c r="D25" s="58"/>
      <c r="E25" s="43"/>
      <c r="F25" s="58"/>
      <c r="G25" s="58"/>
      <c r="H25" s="58"/>
    </row>
    <row r="26" spans="1:8" s="18" customFormat="1" ht="18" customHeight="1">
      <c r="A26" s="26" t="s">
        <v>37</v>
      </c>
      <c r="B26" s="50" t="s">
        <v>38</v>
      </c>
      <c r="C26" s="39"/>
      <c r="D26" s="58"/>
      <c r="E26" s="43"/>
      <c r="F26" s="58"/>
      <c r="G26" s="58"/>
      <c r="H26" s="58"/>
    </row>
    <row r="27" spans="1:8" s="18" customFormat="1" ht="18" customHeight="1">
      <c r="A27" s="26" t="s">
        <v>33</v>
      </c>
      <c r="B27" s="50" t="s">
        <v>39</v>
      </c>
      <c r="C27" s="39"/>
      <c r="D27" s="58"/>
      <c r="E27" s="43"/>
      <c r="F27" s="58"/>
      <c r="G27" s="58"/>
      <c r="H27" s="58"/>
    </row>
    <row r="28" spans="1:8" s="18" customFormat="1" ht="18" customHeight="1">
      <c r="A28" s="26" t="s">
        <v>100</v>
      </c>
      <c r="B28" s="50" t="s">
        <v>101</v>
      </c>
      <c r="C28" s="39">
        <v>0</v>
      </c>
      <c r="D28" s="58"/>
      <c r="E28" s="43"/>
      <c r="F28" s="58"/>
      <c r="G28" s="58"/>
      <c r="H28" s="58"/>
    </row>
    <row r="29" spans="1:8">
      <c r="A29" s="20" t="s">
        <v>102</v>
      </c>
      <c r="B29" s="51" t="s">
        <v>103</v>
      </c>
      <c r="C29" s="36">
        <v>0</v>
      </c>
    </row>
    <row r="30" spans="1:8" s="18" customFormat="1" ht="29.25" customHeight="1">
      <c r="A30" s="26" t="s">
        <v>104</v>
      </c>
      <c r="B30" s="50" t="s">
        <v>11</v>
      </c>
      <c r="C30" s="39">
        <v>0</v>
      </c>
      <c r="D30" s="58"/>
      <c r="E30" s="43"/>
      <c r="F30" s="58"/>
      <c r="G30" s="58"/>
      <c r="H30" s="58"/>
    </row>
    <row r="31" spans="1:8" s="22" customFormat="1">
      <c r="A31" s="21" t="s">
        <v>44</v>
      </c>
      <c r="B31" s="44" t="s">
        <v>105</v>
      </c>
      <c r="C31" s="41">
        <f>+C25+C28+C29+C30</f>
        <v>0</v>
      </c>
      <c r="D31" s="59"/>
      <c r="E31" s="60"/>
      <c r="F31" s="61"/>
      <c r="G31" s="61"/>
      <c r="H31" s="61"/>
    </row>
    <row r="32" spans="1:8" s="22" customFormat="1" ht="16.5" customHeight="1">
      <c r="A32" s="21" t="s">
        <v>46</v>
      </c>
      <c r="B32" s="37" t="s">
        <v>106</v>
      </c>
      <c r="C32" s="38" t="s">
        <v>81</v>
      </c>
      <c r="D32" s="61"/>
      <c r="E32" s="60"/>
      <c r="F32" s="61"/>
      <c r="G32" s="61"/>
      <c r="H32" s="61"/>
    </row>
    <row r="33" spans="1:8" s="24" customFormat="1" ht="13.5" customHeight="1">
      <c r="A33" s="23"/>
      <c r="B33" s="23" t="s">
        <v>48</v>
      </c>
      <c r="C33" s="14"/>
      <c r="D33" s="62"/>
      <c r="E33" s="63"/>
      <c r="F33" s="62"/>
      <c r="G33" s="62"/>
      <c r="H33" s="64"/>
    </row>
    <row r="34" spans="1:8" s="18" customFormat="1" ht="18" customHeight="1">
      <c r="A34" s="26" t="s">
        <v>107</v>
      </c>
      <c r="B34" s="76" t="s">
        <v>127</v>
      </c>
      <c r="C34" s="39"/>
      <c r="D34" s="58"/>
      <c r="E34" s="43"/>
      <c r="F34" s="58"/>
      <c r="G34" s="58"/>
      <c r="H34" s="58"/>
    </row>
    <row r="35" spans="1:8" s="18" customFormat="1" ht="25.5">
      <c r="A35" s="26" t="s">
        <v>108</v>
      </c>
      <c r="B35" s="50" t="s">
        <v>13</v>
      </c>
      <c r="C35" s="75" t="e">
        <f>IF(#REF!&lt;(C43*1.25%),#REF!,(C43*1.25%))</f>
        <v>#REF!</v>
      </c>
      <c r="D35" s="58"/>
      <c r="E35" s="43"/>
      <c r="F35" s="58"/>
      <c r="G35" s="58"/>
      <c r="H35" s="58"/>
    </row>
    <row r="36" spans="1:8" s="18" customFormat="1" ht="18" customHeight="1">
      <c r="A36" s="26" t="s">
        <v>109</v>
      </c>
      <c r="B36" s="50" t="s">
        <v>5</v>
      </c>
      <c r="C36" s="39"/>
      <c r="D36" s="58"/>
      <c r="E36" s="43"/>
      <c r="F36" s="58"/>
      <c r="G36" s="58"/>
      <c r="H36" s="58"/>
    </row>
    <row r="37" spans="1:8" s="18" customFormat="1" ht="18" customHeight="1">
      <c r="A37" s="26" t="s">
        <v>110</v>
      </c>
      <c r="B37" s="50" t="s">
        <v>111</v>
      </c>
      <c r="C37" s="39"/>
      <c r="D37" s="58"/>
      <c r="E37" s="43"/>
      <c r="F37" s="58"/>
      <c r="G37" s="58"/>
      <c r="H37" s="58"/>
    </row>
    <row r="38" spans="1:8" s="18" customFormat="1" ht="18" customHeight="1">
      <c r="A38" s="26" t="s">
        <v>112</v>
      </c>
      <c r="B38" s="50" t="s">
        <v>6</v>
      </c>
      <c r="C38" s="39"/>
      <c r="D38" s="58"/>
      <c r="E38" s="43"/>
      <c r="F38" s="58"/>
      <c r="G38" s="58"/>
      <c r="H38" s="58"/>
    </row>
    <row r="39" spans="1:8" s="18" customFormat="1" ht="18" customHeight="1">
      <c r="A39" s="26" t="s">
        <v>113</v>
      </c>
      <c r="B39" s="50" t="s">
        <v>49</v>
      </c>
      <c r="C39" s="38" t="s">
        <v>81</v>
      </c>
      <c r="D39" s="58"/>
      <c r="E39" s="43"/>
      <c r="F39" s="58"/>
      <c r="G39" s="58"/>
      <c r="H39" s="58"/>
    </row>
    <row r="40" spans="1:8" ht="18.75" customHeight="1">
      <c r="A40" s="20"/>
      <c r="B40" s="19" t="s">
        <v>18</v>
      </c>
      <c r="C40" s="14" t="e">
        <f>SUM(C34:C38)</f>
        <v>#REF!</v>
      </c>
      <c r="D40" s="59"/>
    </row>
    <row r="41" spans="1:8" s="8" customFormat="1" ht="22.5" customHeight="1">
      <c r="A41" s="23" t="s">
        <v>47</v>
      </c>
      <c r="B41" s="16" t="s">
        <v>19</v>
      </c>
      <c r="C41" s="38" t="s">
        <v>81</v>
      </c>
      <c r="D41" s="65"/>
      <c r="E41" s="57"/>
      <c r="F41" s="56"/>
      <c r="G41" s="56"/>
      <c r="H41" s="56"/>
    </row>
    <row r="42" spans="1:8" s="8" customFormat="1" ht="15.75" customHeight="1">
      <c r="A42" s="23" t="s">
        <v>50</v>
      </c>
      <c r="B42" s="16" t="s">
        <v>114</v>
      </c>
      <c r="C42" s="38" t="s">
        <v>81</v>
      </c>
      <c r="D42" s="65"/>
      <c r="E42" s="57"/>
      <c r="F42" s="56"/>
      <c r="G42" s="56"/>
      <c r="H42" s="56"/>
    </row>
    <row r="43" spans="1:8" s="8" customFormat="1" ht="21.75" customHeight="1">
      <c r="A43" s="23" t="s">
        <v>9</v>
      </c>
      <c r="B43" s="16" t="s">
        <v>115</v>
      </c>
      <c r="C43" s="25" t="e">
        <f>+C44+C45+C46</f>
        <v>#REF!</v>
      </c>
      <c r="D43" s="56"/>
      <c r="E43" s="57"/>
      <c r="F43" s="56"/>
      <c r="G43" s="56"/>
      <c r="H43" s="56"/>
    </row>
    <row r="44" spans="1:8" s="18" customFormat="1" ht="18" customHeight="1">
      <c r="A44" s="26" t="s">
        <v>37</v>
      </c>
      <c r="B44" s="50" t="s">
        <v>14</v>
      </c>
      <c r="C44" s="49" t="e">
        <f>+'Calculation of Risk Weighted As'!#REF!</f>
        <v>#REF!</v>
      </c>
      <c r="D44" s="58"/>
      <c r="E44" s="43"/>
      <c r="F44" s="58"/>
      <c r="G44" s="58"/>
      <c r="H44" s="58"/>
    </row>
    <row r="45" spans="1:8" s="18" customFormat="1" ht="18" customHeight="1">
      <c r="A45" s="26" t="s">
        <v>33</v>
      </c>
      <c r="B45" s="50" t="s">
        <v>7</v>
      </c>
      <c r="C45" s="49">
        <f>+'Calculation of Risk'!C21</f>
        <v>1490633099.6153846</v>
      </c>
      <c r="D45" s="58"/>
      <c r="E45" s="43"/>
      <c r="F45" s="58"/>
      <c r="G45" s="58"/>
      <c r="H45" s="58"/>
    </row>
    <row r="46" spans="1:8" s="18" customFormat="1" ht="18" customHeight="1">
      <c r="A46" s="26" t="s">
        <v>35</v>
      </c>
      <c r="B46" s="50" t="s">
        <v>8</v>
      </c>
      <c r="C46" s="49">
        <f>+'Calculation of Risk'!C27</f>
        <v>7051763.0769230779</v>
      </c>
      <c r="D46" s="58"/>
      <c r="E46" s="43">
        <f>+'Calculation of Risk'!G12</f>
        <v>0</v>
      </c>
      <c r="F46" s="58"/>
      <c r="G46" s="58"/>
      <c r="H46" s="58"/>
    </row>
    <row r="47" spans="1:8" s="24" customFormat="1" ht="21.75" customHeight="1">
      <c r="A47" s="23" t="s">
        <v>10</v>
      </c>
      <c r="B47" s="37" t="s">
        <v>116</v>
      </c>
      <c r="C47" s="38" t="s">
        <v>81</v>
      </c>
      <c r="D47" s="62"/>
      <c r="E47" s="63"/>
      <c r="F47" s="62"/>
      <c r="G47" s="62"/>
      <c r="H47" s="62"/>
    </row>
    <row r="48" spans="1:8" s="24" customFormat="1" ht="21.75" customHeight="1">
      <c r="A48" s="23" t="s">
        <v>51</v>
      </c>
      <c r="B48" s="37" t="s">
        <v>117</v>
      </c>
      <c r="C48" s="38" t="s">
        <v>81</v>
      </c>
      <c r="D48" s="62"/>
      <c r="E48" s="63"/>
      <c r="F48" s="62"/>
      <c r="G48" s="62"/>
      <c r="H48" s="62"/>
    </row>
    <row r="49" spans="1:8" s="24" customFormat="1" ht="21.75" customHeight="1">
      <c r="A49" s="23" t="s">
        <v>20</v>
      </c>
      <c r="B49" s="37" t="s">
        <v>118</v>
      </c>
      <c r="C49" s="38" t="s">
        <v>81</v>
      </c>
      <c r="D49" s="62"/>
      <c r="E49" s="63"/>
      <c r="F49" s="62"/>
      <c r="G49" s="62"/>
      <c r="H49" s="62"/>
    </row>
    <row r="50" spans="1:8" s="8" customFormat="1" ht="21.75" customHeight="1">
      <c r="A50" s="23" t="s">
        <v>21</v>
      </c>
      <c r="B50" s="16" t="s">
        <v>17</v>
      </c>
      <c r="C50" s="38" t="s">
        <v>81</v>
      </c>
      <c r="D50" s="56"/>
      <c r="E50" s="66"/>
      <c r="F50" s="65"/>
      <c r="G50" s="56"/>
      <c r="H50" s="56"/>
    </row>
    <row r="51" spans="1:8" s="29" customFormat="1" ht="21.75" customHeight="1">
      <c r="A51" s="26" t="s">
        <v>37</v>
      </c>
      <c r="B51" s="27" t="s">
        <v>23</v>
      </c>
      <c r="C51" s="28" t="e">
        <f>+#REF!</f>
        <v>#REF!</v>
      </c>
      <c r="D51" s="67"/>
      <c r="E51" s="68"/>
      <c r="F51" s="69"/>
      <c r="G51" s="67"/>
      <c r="H51" s="67"/>
    </row>
    <row r="52" spans="1:8" s="29" customFormat="1" ht="21.75" customHeight="1">
      <c r="A52" s="26" t="s">
        <v>33</v>
      </c>
      <c r="B52" s="27" t="s">
        <v>119</v>
      </c>
      <c r="C52" s="72">
        <f>SUM('Calculation of Risk Weighted As'!D71:G79)</f>
        <v>483914187</v>
      </c>
      <c r="D52" s="69" t="e">
        <f>+'Calculation of Risk Weighted As'!#REF!</f>
        <v>#REF!</v>
      </c>
      <c r="E52" s="68"/>
      <c r="F52" s="69"/>
      <c r="G52" s="67"/>
      <c r="H52" s="67"/>
    </row>
    <row r="53" spans="1:8" s="29" customFormat="1" ht="21.75" customHeight="1">
      <c r="A53" s="26" t="s">
        <v>35</v>
      </c>
      <c r="B53" s="27" t="s">
        <v>120</v>
      </c>
      <c r="C53" s="74" t="e">
        <f>SUM('Calculation of Risk Weighted As'!#REF!)</f>
        <v>#REF!</v>
      </c>
      <c r="D53" s="71"/>
      <c r="E53" s="73"/>
      <c r="F53" s="67"/>
      <c r="G53" s="67"/>
      <c r="H53" s="67"/>
    </row>
    <row r="54" spans="1:8" s="29" customFormat="1" ht="21.75" customHeight="1">
      <c r="A54" s="26" t="s">
        <v>42</v>
      </c>
      <c r="B54" s="27" t="s">
        <v>121</v>
      </c>
      <c r="C54" s="45" t="str">
        <f>+C19</f>
        <v>Формула</v>
      </c>
      <c r="D54" s="67"/>
      <c r="E54" s="70"/>
      <c r="F54" s="67"/>
      <c r="G54" s="67"/>
      <c r="H54" s="67"/>
    </row>
    <row r="55" spans="1:8" s="24" customFormat="1" ht="21.75" customHeight="1">
      <c r="A55" s="23" t="s">
        <v>22</v>
      </c>
      <c r="B55" s="37" t="s">
        <v>24</v>
      </c>
      <c r="C55" s="38" t="s">
        <v>81</v>
      </c>
      <c r="D55" s="62"/>
      <c r="E55" s="63"/>
      <c r="F55" s="62"/>
      <c r="G55" s="62"/>
      <c r="H55" s="62"/>
    </row>
    <row r="56" spans="1:8">
      <c r="B56" s="30"/>
    </row>
    <row r="57" spans="1:8" s="1" customFormat="1">
      <c r="A57" s="3"/>
      <c r="B57" s="2" t="s">
        <v>0</v>
      </c>
      <c r="D57" s="4"/>
      <c r="E57" s="4"/>
      <c r="F57" s="4"/>
      <c r="G57" s="4"/>
      <c r="H57" s="4"/>
    </row>
    <row r="58" spans="1:8" s="1" customFormat="1">
      <c r="A58" s="3"/>
      <c r="B58" s="2"/>
      <c r="D58" s="4"/>
      <c r="E58" s="4"/>
      <c r="F58" s="4"/>
      <c r="G58" s="4"/>
      <c r="H58" s="4"/>
    </row>
    <row r="59" spans="1:8" s="1" customFormat="1">
      <c r="A59" s="3"/>
      <c r="B59" s="2" t="s">
        <v>1</v>
      </c>
      <c r="D59" s="4"/>
      <c r="E59" s="4"/>
      <c r="F59" s="4"/>
      <c r="G59" s="4"/>
      <c r="H59" s="4"/>
    </row>
    <row r="60" spans="1:8">
      <c r="B60" s="32"/>
    </row>
  </sheetData>
  <mergeCells count="1">
    <mergeCell ref="A1:B1"/>
  </mergeCells>
  <printOptions horizontalCentered="1"/>
  <pageMargins left="0.19685039370078741" right="0.19685039370078741" top="0.39370078740157483" bottom="0.39370078740157483" header="0.15748031496062992" footer="0.51181102362204722"/>
  <pageSetup paperSize="9" scale="76"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Лист5">
    <pageSetUpPr fitToPage="1"/>
  </sheetPr>
  <dimension ref="A1:P97"/>
  <sheetViews>
    <sheetView tabSelected="1" view="pageBreakPreview" zoomScale="85" zoomScaleNormal="90" zoomScaleSheetLayoutView="85" workbookViewId="0">
      <pane xSplit="3" ySplit="7" topLeftCell="D44" activePane="bottomRight" state="frozen"/>
      <selection sqref="A1:B1"/>
      <selection pane="topRight" sqref="A1:B1"/>
      <selection pane="bottomLeft" sqref="A1:B1"/>
      <selection pane="bottomRight" activeCell="N64" sqref="N64"/>
    </sheetView>
  </sheetViews>
  <sheetFormatPr defaultRowHeight="12.75"/>
  <cols>
    <col min="1" max="1" width="5.42578125" style="167" customWidth="1"/>
    <col min="2" max="2" width="67" style="166" customWidth="1"/>
    <col min="3" max="3" width="13" style="166" customWidth="1"/>
    <col min="4" max="10" width="14.5703125" style="166" customWidth="1"/>
    <col min="11" max="12" width="14.5703125" style="170" customWidth="1"/>
    <col min="13" max="17" width="23.7109375" style="166" customWidth="1"/>
    <col min="18" max="18" width="10.28515625" style="166" customWidth="1"/>
    <col min="19" max="16384" width="9.140625" style="166"/>
  </cols>
  <sheetData>
    <row r="1" spans="1:14" ht="26.25" customHeight="1">
      <c r="A1" s="244" t="s">
        <v>182</v>
      </c>
      <c r="B1" s="244"/>
      <c r="C1" s="244"/>
      <c r="D1" s="244"/>
      <c r="E1" s="244"/>
      <c r="F1" s="244"/>
      <c r="G1" s="244"/>
      <c r="H1" s="244"/>
      <c r="I1" s="244"/>
      <c r="J1" s="244"/>
      <c r="K1" s="165"/>
      <c r="L1" s="165" t="s">
        <v>181</v>
      </c>
      <c r="M1" s="234" t="s">
        <v>310</v>
      </c>
    </row>
    <row r="2" spans="1:14" ht="25.5" customHeight="1">
      <c r="B2" s="168" t="str">
        <f>+'Bank Capital Calc'!B3</f>
        <v>MKBANK</v>
      </c>
      <c r="C2" s="168"/>
      <c r="E2" s="169"/>
      <c r="F2" s="169"/>
      <c r="J2" s="246">
        <f>+'Bank Capital Calc'!C3</f>
        <v>46021</v>
      </c>
      <c r="K2" s="246"/>
      <c r="L2" s="231" t="s">
        <v>255</v>
      </c>
      <c r="M2" s="170"/>
    </row>
    <row r="3" spans="1:14">
      <c r="A3" s="245" t="s">
        <v>52</v>
      </c>
      <c r="B3" s="247" t="s">
        <v>131</v>
      </c>
      <c r="C3" s="248"/>
      <c r="D3" s="171">
        <v>0</v>
      </c>
      <c r="E3" s="171">
        <v>0.2</v>
      </c>
      <c r="F3" s="171">
        <v>0.35</v>
      </c>
      <c r="G3" s="171">
        <v>0.5</v>
      </c>
      <c r="H3" s="171">
        <v>0.75</v>
      </c>
      <c r="I3" s="171">
        <v>1</v>
      </c>
      <c r="J3" s="171">
        <v>1.5</v>
      </c>
      <c r="K3" s="171">
        <v>2</v>
      </c>
      <c r="L3" s="171">
        <v>2.5</v>
      </c>
      <c r="M3" s="172"/>
      <c r="N3" s="170"/>
    </row>
    <row r="4" spans="1:14" ht="20.25" customHeight="1">
      <c r="A4" s="245"/>
      <c r="B4" s="249"/>
      <c r="C4" s="250"/>
      <c r="D4" s="205" t="s">
        <v>183</v>
      </c>
      <c r="E4" s="205" t="s">
        <v>183</v>
      </c>
      <c r="F4" s="205" t="s">
        <v>183</v>
      </c>
      <c r="G4" s="205" t="s">
        <v>183</v>
      </c>
      <c r="H4" s="205" t="s">
        <v>183</v>
      </c>
      <c r="I4" s="205" t="s">
        <v>183</v>
      </c>
      <c r="J4" s="205" t="s">
        <v>183</v>
      </c>
      <c r="K4" s="205" t="s">
        <v>183</v>
      </c>
      <c r="L4" s="205" t="s">
        <v>183</v>
      </c>
      <c r="N4" s="170"/>
    </row>
    <row r="5" spans="1:14" ht="20.25" customHeight="1">
      <c r="A5" s="245"/>
      <c r="B5" s="251"/>
      <c r="C5" s="252"/>
      <c r="D5" s="205" t="s">
        <v>184</v>
      </c>
      <c r="E5" s="205" t="s">
        <v>185</v>
      </c>
      <c r="F5" s="205" t="s">
        <v>186</v>
      </c>
      <c r="G5" s="205" t="s">
        <v>187</v>
      </c>
      <c r="H5" s="205" t="s">
        <v>188</v>
      </c>
      <c r="I5" s="205" t="s">
        <v>189</v>
      </c>
      <c r="J5" s="205" t="s">
        <v>190</v>
      </c>
      <c r="K5" s="205" t="s">
        <v>276</v>
      </c>
      <c r="L5" s="205" t="s">
        <v>317</v>
      </c>
      <c r="N5" s="170"/>
    </row>
    <row r="6" spans="1:14">
      <c r="A6" s="205"/>
      <c r="B6" s="253" t="s">
        <v>26</v>
      </c>
      <c r="C6" s="254"/>
      <c r="D6" s="173" t="s">
        <v>27</v>
      </c>
      <c r="E6" s="173" t="s">
        <v>28</v>
      </c>
      <c r="F6" s="173" t="s">
        <v>29</v>
      </c>
      <c r="G6" s="173" t="s">
        <v>53</v>
      </c>
      <c r="H6" s="173" t="s">
        <v>54</v>
      </c>
      <c r="I6" s="173" t="s">
        <v>57</v>
      </c>
      <c r="J6" s="173" t="s">
        <v>64</v>
      </c>
      <c r="K6" s="173" t="s">
        <v>277</v>
      </c>
      <c r="L6" s="173" t="s">
        <v>318</v>
      </c>
      <c r="N6" s="170"/>
    </row>
    <row r="7" spans="1:14">
      <c r="A7" s="205"/>
      <c r="B7" s="255" t="s">
        <v>191</v>
      </c>
      <c r="C7" s="256"/>
      <c r="D7" s="174"/>
      <c r="E7" s="174"/>
      <c r="F7" s="174"/>
      <c r="G7" s="174"/>
      <c r="H7" s="174"/>
      <c r="I7" s="174"/>
      <c r="J7" s="174"/>
      <c r="K7" s="174"/>
      <c r="L7" s="174"/>
      <c r="N7" s="170"/>
    </row>
    <row r="8" spans="1:14" s="179" customFormat="1" ht="21" customHeight="1">
      <c r="A8" s="205" t="s">
        <v>55</v>
      </c>
      <c r="B8" s="242" t="s">
        <v>192</v>
      </c>
      <c r="C8" s="243"/>
      <c r="D8" s="204">
        <v>416486264</v>
      </c>
      <c r="E8" s="176"/>
      <c r="F8" s="176"/>
      <c r="G8" s="176"/>
      <c r="H8" s="176"/>
      <c r="I8" s="176"/>
      <c r="J8" s="176"/>
      <c r="K8" s="176"/>
      <c r="L8" s="176"/>
      <c r="M8" s="177"/>
      <c r="N8" s="178"/>
    </row>
    <row r="9" spans="1:14" s="179" customFormat="1" ht="21" customHeight="1">
      <c r="A9" s="205" t="s">
        <v>65</v>
      </c>
      <c r="B9" s="242" t="s">
        <v>193</v>
      </c>
      <c r="C9" s="243"/>
      <c r="D9" s="176"/>
      <c r="E9" s="204">
        <v>287064457</v>
      </c>
      <c r="F9" s="176"/>
      <c r="G9" s="176"/>
      <c r="H9" s="176"/>
      <c r="I9" s="176"/>
      <c r="J9" s="176"/>
      <c r="K9" s="176"/>
      <c r="L9" s="176"/>
      <c r="M9" s="177"/>
      <c r="N9" s="178"/>
    </row>
    <row r="10" spans="1:14" s="179" customFormat="1" ht="21" customHeight="1">
      <c r="A10" s="205" t="s">
        <v>66</v>
      </c>
      <c r="B10" s="242" t="s">
        <v>194</v>
      </c>
      <c r="C10" s="243"/>
      <c r="D10" s="204">
        <v>584034134</v>
      </c>
      <c r="E10" s="204">
        <v>0</v>
      </c>
      <c r="F10" s="176"/>
      <c r="G10" s="176"/>
      <c r="H10" s="176"/>
      <c r="I10" s="176"/>
      <c r="J10" s="176"/>
      <c r="K10" s="176"/>
      <c r="L10" s="176"/>
      <c r="M10" s="177"/>
      <c r="N10" s="178"/>
    </row>
    <row r="11" spans="1:14" s="179" customFormat="1" ht="27.75" customHeight="1">
      <c r="A11" s="205" t="s">
        <v>67</v>
      </c>
      <c r="B11" s="242" t="s">
        <v>261</v>
      </c>
      <c r="C11" s="243"/>
      <c r="D11" s="176"/>
      <c r="E11" s="204">
        <v>2002567177</v>
      </c>
      <c r="F11" s="176"/>
      <c r="G11" s="204">
        <v>709223347</v>
      </c>
      <c r="H11" s="176"/>
      <c r="I11" s="204">
        <v>50382898</v>
      </c>
      <c r="J11" s="204">
        <v>704707635</v>
      </c>
      <c r="K11" s="176"/>
      <c r="L11" s="176"/>
      <c r="M11" s="177"/>
      <c r="N11" s="178"/>
    </row>
    <row r="12" spans="1:14" s="179" customFormat="1" ht="21" customHeight="1">
      <c r="A12" s="205" t="s">
        <v>68</v>
      </c>
      <c r="B12" s="242" t="s">
        <v>195</v>
      </c>
      <c r="C12" s="243"/>
      <c r="D12" s="176"/>
      <c r="E12" s="176"/>
      <c r="F12" s="176"/>
      <c r="G12" s="176"/>
      <c r="H12" s="176"/>
      <c r="I12" s="176"/>
      <c r="J12" s="176"/>
      <c r="K12" s="176"/>
      <c r="L12" s="176"/>
      <c r="M12" s="177"/>
      <c r="N12" s="178"/>
    </row>
    <row r="13" spans="1:14" s="179" customFormat="1" ht="27.75" customHeight="1">
      <c r="A13" s="205" t="s">
        <v>37</v>
      </c>
      <c r="B13" s="242" t="s">
        <v>196</v>
      </c>
      <c r="C13" s="243"/>
      <c r="D13" s="204">
        <v>508169320</v>
      </c>
      <c r="E13" s="204">
        <v>0</v>
      </c>
      <c r="F13" s="176"/>
      <c r="G13" s="176"/>
      <c r="H13" s="176"/>
      <c r="I13" s="176"/>
      <c r="J13" s="176"/>
      <c r="K13" s="176"/>
      <c r="L13" s="176"/>
      <c r="M13" s="177"/>
      <c r="N13" s="178"/>
    </row>
    <row r="14" spans="1:14" s="179" customFormat="1" ht="21" customHeight="1">
      <c r="A14" s="205" t="s">
        <v>33</v>
      </c>
      <c r="B14" s="242" t="s">
        <v>262</v>
      </c>
      <c r="C14" s="243"/>
      <c r="D14" s="204">
        <v>0</v>
      </c>
      <c r="E14" s="204">
        <v>10000000</v>
      </c>
      <c r="F14" s="176"/>
      <c r="G14" s="176"/>
      <c r="H14" s="176"/>
      <c r="I14" s="176"/>
      <c r="J14" s="176"/>
      <c r="K14" s="176"/>
      <c r="L14" s="176"/>
      <c r="M14" s="177"/>
      <c r="N14" s="178"/>
    </row>
    <row r="15" spans="1:14" s="179" customFormat="1" ht="38.25" customHeight="1">
      <c r="A15" s="205" t="s">
        <v>35</v>
      </c>
      <c r="B15" s="242" t="s">
        <v>197</v>
      </c>
      <c r="C15" s="243"/>
      <c r="D15" s="204">
        <v>0</v>
      </c>
      <c r="E15" s="204">
        <v>0</v>
      </c>
      <c r="F15" s="176"/>
      <c r="G15" s="204"/>
      <c r="H15" s="176"/>
      <c r="I15" s="204"/>
      <c r="J15" s="204"/>
      <c r="K15" s="176"/>
      <c r="L15" s="176"/>
      <c r="M15" s="177"/>
      <c r="N15" s="178"/>
    </row>
    <row r="16" spans="1:14" s="179" customFormat="1" ht="21" customHeight="1">
      <c r="A16" s="205" t="s">
        <v>42</v>
      </c>
      <c r="B16" s="242" t="s">
        <v>198</v>
      </c>
      <c r="C16" s="243"/>
      <c r="D16" s="204">
        <v>0</v>
      </c>
      <c r="E16" s="204">
        <v>0</v>
      </c>
      <c r="F16" s="176"/>
      <c r="G16" s="204"/>
      <c r="H16" s="176"/>
      <c r="I16" s="204"/>
      <c r="J16" s="204"/>
      <c r="K16" s="176"/>
      <c r="L16" s="176"/>
      <c r="M16" s="177"/>
      <c r="N16" s="178"/>
    </row>
    <row r="17" spans="1:14" s="179" customFormat="1" ht="21" customHeight="1">
      <c r="A17" s="205" t="s">
        <v>128</v>
      </c>
      <c r="B17" s="242" t="s">
        <v>274</v>
      </c>
      <c r="C17" s="243"/>
      <c r="D17" s="204">
        <v>0</v>
      </c>
      <c r="E17" s="204">
        <v>0</v>
      </c>
      <c r="F17" s="176"/>
      <c r="G17" s="204"/>
      <c r="H17" s="176"/>
      <c r="I17" s="204"/>
      <c r="J17" s="204"/>
      <c r="K17" s="176"/>
      <c r="L17" s="176"/>
      <c r="M17" s="177"/>
      <c r="N17" s="178"/>
    </row>
    <row r="18" spans="1:14" s="179" customFormat="1" ht="21" customHeight="1">
      <c r="A18" s="205" t="s">
        <v>204</v>
      </c>
      <c r="B18" s="242" t="s">
        <v>286</v>
      </c>
      <c r="C18" s="243"/>
      <c r="D18" s="204">
        <v>0</v>
      </c>
      <c r="E18" s="204">
        <v>0</v>
      </c>
      <c r="F18" s="176"/>
      <c r="G18" s="204"/>
      <c r="H18" s="176"/>
      <c r="I18" s="204"/>
      <c r="J18" s="204"/>
      <c r="K18" s="176"/>
      <c r="L18" s="176"/>
      <c r="M18" s="177"/>
      <c r="N18" s="178"/>
    </row>
    <row r="19" spans="1:14" s="179" customFormat="1" ht="27.75" customHeight="1">
      <c r="A19" s="205" t="s">
        <v>69</v>
      </c>
      <c r="B19" s="242" t="s">
        <v>199</v>
      </c>
      <c r="C19" s="243"/>
      <c r="D19" s="176"/>
      <c r="E19" s="176"/>
      <c r="F19" s="176"/>
      <c r="G19" s="176"/>
      <c r="H19" s="176"/>
      <c r="I19" s="204"/>
      <c r="J19" s="176"/>
      <c r="K19" s="176"/>
      <c r="L19" s="176"/>
      <c r="M19" s="177"/>
      <c r="N19" s="178"/>
    </row>
    <row r="20" spans="1:14" s="179" customFormat="1" ht="54.75" customHeight="1">
      <c r="A20" s="205" t="s">
        <v>70</v>
      </c>
      <c r="B20" s="242" t="s">
        <v>200</v>
      </c>
      <c r="C20" s="243"/>
      <c r="D20" s="204">
        <v>0</v>
      </c>
      <c r="E20" s="204">
        <v>0</v>
      </c>
      <c r="F20" s="176"/>
      <c r="G20" s="204"/>
      <c r="H20" s="176"/>
      <c r="I20" s="204"/>
      <c r="J20" s="204"/>
      <c r="K20" s="176"/>
      <c r="L20" s="176"/>
      <c r="M20" s="177"/>
      <c r="N20" s="178"/>
    </row>
    <row r="21" spans="1:14" s="179" customFormat="1" ht="21" customHeight="1">
      <c r="A21" s="205" t="s">
        <v>71</v>
      </c>
      <c r="B21" s="242" t="s">
        <v>201</v>
      </c>
      <c r="C21" s="243"/>
      <c r="D21" s="180"/>
      <c r="E21" s="180"/>
      <c r="F21" s="180"/>
      <c r="G21" s="180"/>
      <c r="H21" s="180"/>
      <c r="I21" s="180"/>
      <c r="J21" s="180"/>
      <c r="K21" s="180"/>
      <c r="L21" s="180"/>
      <c r="M21" s="177"/>
      <c r="N21" s="178"/>
    </row>
    <row r="22" spans="1:14" s="179" customFormat="1" ht="21" customHeight="1">
      <c r="A22" s="205" t="s">
        <v>289</v>
      </c>
      <c r="B22" s="242" t="s">
        <v>305</v>
      </c>
      <c r="C22" s="243"/>
      <c r="D22" s="180"/>
      <c r="E22" s="180"/>
      <c r="F22" s="180"/>
      <c r="G22" s="180"/>
      <c r="H22" s="180"/>
      <c r="I22" s="180"/>
      <c r="J22" s="180"/>
      <c r="K22" s="180"/>
      <c r="L22" s="180"/>
      <c r="M22" s="177"/>
      <c r="N22" s="178"/>
    </row>
    <row r="23" spans="1:14" s="179" customFormat="1" ht="28.5" customHeight="1">
      <c r="A23" s="205" t="s">
        <v>37</v>
      </c>
      <c r="B23" s="242" t="s">
        <v>202</v>
      </c>
      <c r="C23" s="243"/>
      <c r="D23" s="204">
        <v>0</v>
      </c>
      <c r="E23" s="176"/>
      <c r="F23" s="176"/>
      <c r="G23" s="176"/>
      <c r="H23" s="176"/>
      <c r="I23" s="176"/>
      <c r="J23" s="176"/>
      <c r="K23" s="176"/>
      <c r="L23" s="176"/>
      <c r="M23" s="177"/>
      <c r="N23" s="178"/>
    </row>
    <row r="24" spans="1:14" s="179" customFormat="1" ht="28.5" customHeight="1">
      <c r="A24" s="205" t="s">
        <v>33</v>
      </c>
      <c r="B24" s="242" t="s">
        <v>298</v>
      </c>
      <c r="C24" s="243"/>
      <c r="D24" s="204">
        <v>0</v>
      </c>
      <c r="E24" s="176"/>
      <c r="F24" s="176"/>
      <c r="G24" s="176"/>
      <c r="H24" s="176"/>
      <c r="I24" s="176"/>
      <c r="J24" s="176"/>
      <c r="K24" s="176"/>
      <c r="L24" s="176"/>
      <c r="M24" s="177"/>
      <c r="N24" s="178"/>
    </row>
    <row r="25" spans="1:14" s="179" customFormat="1" ht="21" customHeight="1">
      <c r="A25" s="205" t="s">
        <v>35</v>
      </c>
      <c r="B25" s="242" t="s">
        <v>275</v>
      </c>
      <c r="C25" s="243"/>
      <c r="D25" s="204">
        <v>0</v>
      </c>
      <c r="E25" s="204">
        <v>0</v>
      </c>
      <c r="F25" s="176"/>
      <c r="G25" s="176"/>
      <c r="H25" s="176"/>
      <c r="I25" s="176"/>
      <c r="J25" s="176"/>
      <c r="K25" s="176"/>
      <c r="L25" s="176"/>
      <c r="M25" s="177"/>
      <c r="N25" s="178"/>
    </row>
    <row r="26" spans="1:14" s="179" customFormat="1" ht="43.5" customHeight="1">
      <c r="A26" s="205" t="s">
        <v>42</v>
      </c>
      <c r="B26" s="242" t="s">
        <v>278</v>
      </c>
      <c r="C26" s="243"/>
      <c r="D26" s="204">
        <v>0</v>
      </c>
      <c r="E26" s="176"/>
      <c r="F26" s="176"/>
      <c r="G26" s="176"/>
      <c r="H26" s="176"/>
      <c r="I26" s="176"/>
      <c r="J26" s="176"/>
      <c r="K26" s="176"/>
      <c r="L26" s="176"/>
      <c r="M26" s="177"/>
      <c r="N26" s="178"/>
    </row>
    <row r="27" spans="1:14" s="179" customFormat="1" ht="21" customHeight="1">
      <c r="A27" s="205" t="s">
        <v>128</v>
      </c>
      <c r="B27" s="242" t="s">
        <v>203</v>
      </c>
      <c r="C27" s="243"/>
      <c r="D27" s="176"/>
      <c r="E27" s="176"/>
      <c r="F27" s="176"/>
      <c r="G27" s="176"/>
      <c r="H27" s="176"/>
      <c r="I27" s="204">
        <v>0</v>
      </c>
      <c r="J27" s="176"/>
      <c r="K27" s="176"/>
      <c r="L27" s="176"/>
      <c r="M27" s="177"/>
      <c r="N27" s="178"/>
    </row>
    <row r="28" spans="1:14" s="179" customFormat="1" ht="21" customHeight="1">
      <c r="A28" s="205" t="s">
        <v>204</v>
      </c>
      <c r="B28" s="242" t="s">
        <v>290</v>
      </c>
      <c r="C28" s="243"/>
      <c r="D28" s="204">
        <v>25146470</v>
      </c>
      <c r="E28" s="176"/>
      <c r="F28" s="176"/>
      <c r="G28" s="176"/>
      <c r="H28" s="176"/>
      <c r="I28" s="204">
        <v>13589939</v>
      </c>
      <c r="J28" s="204">
        <v>0</v>
      </c>
      <c r="K28" s="204">
        <v>0</v>
      </c>
      <c r="L28" s="176"/>
      <c r="M28" s="177"/>
      <c r="N28" s="178"/>
    </row>
    <row r="29" spans="1:14" s="179" customFormat="1" ht="63.75" customHeight="1">
      <c r="A29" s="205" t="s">
        <v>205</v>
      </c>
      <c r="B29" s="242" t="s">
        <v>321</v>
      </c>
      <c r="C29" s="243"/>
      <c r="D29" s="176"/>
      <c r="E29" s="176"/>
      <c r="F29" s="176"/>
      <c r="G29" s="176"/>
      <c r="H29" s="204">
        <v>0</v>
      </c>
      <c r="I29" s="176"/>
      <c r="J29" s="176"/>
      <c r="K29" s="176"/>
      <c r="L29" s="176"/>
      <c r="M29" s="177"/>
      <c r="N29" s="178"/>
    </row>
    <row r="30" spans="1:14" s="179" customFormat="1" ht="30" customHeight="1">
      <c r="A30" s="205" t="s">
        <v>206</v>
      </c>
      <c r="B30" s="242" t="s">
        <v>322</v>
      </c>
      <c r="C30" s="243"/>
      <c r="D30" s="176"/>
      <c r="E30" s="176"/>
      <c r="F30" s="176"/>
      <c r="G30" s="176"/>
      <c r="H30" s="204">
        <v>0</v>
      </c>
      <c r="I30" s="176"/>
      <c r="J30" s="176"/>
      <c r="K30" s="176"/>
      <c r="L30" s="176"/>
      <c r="M30" s="177"/>
      <c r="N30" s="178"/>
    </row>
    <row r="31" spans="1:14" s="179" customFormat="1" ht="52.5" customHeight="1">
      <c r="A31" s="205" t="s">
        <v>207</v>
      </c>
      <c r="B31" s="242" t="s">
        <v>323</v>
      </c>
      <c r="C31" s="243"/>
      <c r="D31" s="176"/>
      <c r="E31" s="176"/>
      <c r="F31" s="176"/>
      <c r="G31" s="176"/>
      <c r="H31" s="204">
        <v>882500809</v>
      </c>
      <c r="I31" s="176"/>
      <c r="J31" s="176"/>
      <c r="K31" s="176"/>
      <c r="L31" s="176"/>
      <c r="M31" s="177"/>
      <c r="N31" s="178"/>
    </row>
    <row r="32" spans="1:14" s="179" customFormat="1" ht="28.5" customHeight="1">
      <c r="A32" s="205" t="s">
        <v>265</v>
      </c>
      <c r="B32" s="242" t="s">
        <v>279</v>
      </c>
      <c r="C32" s="243"/>
      <c r="D32" s="176"/>
      <c r="E32" s="176"/>
      <c r="F32" s="176"/>
      <c r="G32" s="176"/>
      <c r="H32" s="176"/>
      <c r="I32" s="204">
        <v>8986784184</v>
      </c>
      <c r="J32" s="204">
        <v>906804172</v>
      </c>
      <c r="K32" s="204">
        <v>541134414</v>
      </c>
      <c r="L32" s="176"/>
      <c r="M32" s="177"/>
      <c r="N32" s="178"/>
    </row>
    <row r="33" spans="1:14" s="179" customFormat="1" ht="21" customHeight="1">
      <c r="A33" s="205" t="s">
        <v>266</v>
      </c>
      <c r="B33" s="242" t="s">
        <v>299</v>
      </c>
      <c r="C33" s="243"/>
      <c r="D33" s="176"/>
      <c r="E33" s="176"/>
      <c r="F33" s="176"/>
      <c r="G33" s="176"/>
      <c r="H33" s="176"/>
      <c r="I33" s="176"/>
      <c r="J33" s="176"/>
      <c r="K33" s="204">
        <v>384144464</v>
      </c>
      <c r="L33" s="176"/>
      <c r="M33" s="177"/>
      <c r="N33" s="178"/>
    </row>
    <row r="34" spans="1:14" s="179" customFormat="1" ht="21" customHeight="1">
      <c r="A34" s="205" t="s">
        <v>291</v>
      </c>
      <c r="B34" s="242" t="s">
        <v>292</v>
      </c>
      <c r="C34" s="243"/>
      <c r="D34" s="180"/>
      <c r="E34" s="180"/>
      <c r="F34" s="180"/>
      <c r="G34" s="180"/>
      <c r="H34" s="180"/>
      <c r="I34" s="180"/>
      <c r="J34" s="180"/>
      <c r="K34" s="180"/>
      <c r="L34" s="176"/>
      <c r="M34" s="177"/>
      <c r="N34" s="178"/>
    </row>
    <row r="35" spans="1:14" s="179" customFormat="1" ht="21" customHeight="1">
      <c r="A35" s="205" t="s">
        <v>37</v>
      </c>
      <c r="B35" s="242" t="s">
        <v>203</v>
      </c>
      <c r="C35" s="243"/>
      <c r="D35" s="176"/>
      <c r="E35" s="176"/>
      <c r="F35" s="176"/>
      <c r="G35" s="176"/>
      <c r="H35" s="176"/>
      <c r="I35" s="204"/>
      <c r="J35" s="176"/>
      <c r="K35" s="176"/>
      <c r="L35" s="176"/>
      <c r="M35" s="177"/>
      <c r="N35" s="178"/>
    </row>
    <row r="36" spans="1:14" s="179" customFormat="1" ht="23.25" customHeight="1">
      <c r="A36" s="205" t="s">
        <v>33</v>
      </c>
      <c r="B36" s="242" t="s">
        <v>296</v>
      </c>
      <c r="C36" s="243"/>
      <c r="D36" s="204"/>
      <c r="E36" s="204"/>
      <c r="F36" s="176"/>
      <c r="G36" s="176"/>
      <c r="H36" s="176"/>
      <c r="I36" s="176"/>
      <c r="J36" s="176"/>
      <c r="K36" s="176"/>
      <c r="L36" s="176"/>
      <c r="M36" s="177"/>
      <c r="N36" s="178"/>
    </row>
    <row r="37" spans="1:14" s="179" customFormat="1" ht="23.25" customHeight="1">
      <c r="A37" s="205" t="s">
        <v>35</v>
      </c>
      <c r="B37" s="242" t="s">
        <v>293</v>
      </c>
      <c r="C37" s="243"/>
      <c r="D37" s="176"/>
      <c r="E37" s="176"/>
      <c r="F37" s="204">
        <v>41905153</v>
      </c>
      <c r="G37" s="204">
        <v>194137077</v>
      </c>
      <c r="H37" s="176"/>
      <c r="I37" s="204">
        <v>505205459</v>
      </c>
      <c r="J37" s="204">
        <v>10438662</v>
      </c>
      <c r="K37" s="176"/>
      <c r="L37" s="176"/>
      <c r="M37" s="177"/>
      <c r="N37" s="178"/>
    </row>
    <row r="38" spans="1:14" s="179" customFormat="1" ht="23.25" customHeight="1">
      <c r="A38" s="205" t="s">
        <v>42</v>
      </c>
      <c r="B38" s="242" t="s">
        <v>294</v>
      </c>
      <c r="C38" s="243"/>
      <c r="D38" s="176"/>
      <c r="E38" s="176"/>
      <c r="F38" s="204">
        <v>4046099</v>
      </c>
      <c r="G38" s="204">
        <v>21718576</v>
      </c>
      <c r="H38" s="176"/>
      <c r="I38" s="204">
        <v>276640869</v>
      </c>
      <c r="J38" s="204">
        <v>417098745</v>
      </c>
      <c r="K38" s="176"/>
      <c r="L38" s="176"/>
      <c r="M38" s="177"/>
      <c r="N38" s="178"/>
    </row>
    <row r="39" spans="1:14" s="179" customFormat="1" ht="21" customHeight="1">
      <c r="A39" s="205" t="s">
        <v>128</v>
      </c>
      <c r="B39" s="242" t="s">
        <v>295</v>
      </c>
      <c r="C39" s="243"/>
      <c r="D39" s="176"/>
      <c r="E39" s="176"/>
      <c r="F39" s="176"/>
      <c r="G39" s="176"/>
      <c r="H39" s="176"/>
      <c r="I39" s="204">
        <v>20449913</v>
      </c>
      <c r="J39" s="204">
        <v>26624915</v>
      </c>
      <c r="K39" s="204">
        <v>3883155</v>
      </c>
      <c r="L39" s="176"/>
      <c r="M39" s="177"/>
      <c r="N39" s="178"/>
    </row>
    <row r="40" spans="1:14" s="179" customFormat="1" ht="28.5" customHeight="1">
      <c r="A40" s="205" t="s">
        <v>204</v>
      </c>
      <c r="B40" s="242" t="s">
        <v>306</v>
      </c>
      <c r="C40" s="243"/>
      <c r="D40" s="176"/>
      <c r="E40" s="176"/>
      <c r="F40" s="176"/>
      <c r="G40" s="176"/>
      <c r="H40" s="176"/>
      <c r="I40" s="204">
        <v>146576121</v>
      </c>
      <c r="J40" s="204">
        <v>139324014</v>
      </c>
      <c r="K40" s="204">
        <v>11962343</v>
      </c>
      <c r="L40" s="176"/>
      <c r="M40" s="177"/>
      <c r="N40" s="178"/>
    </row>
    <row r="41" spans="1:14" s="179" customFormat="1" ht="23.25" customHeight="1">
      <c r="A41" s="205" t="s">
        <v>205</v>
      </c>
      <c r="B41" s="242" t="s">
        <v>307</v>
      </c>
      <c r="C41" s="243"/>
      <c r="D41" s="176"/>
      <c r="E41" s="176"/>
      <c r="F41" s="176"/>
      <c r="G41" s="176"/>
      <c r="H41" s="176"/>
      <c r="I41" s="204">
        <v>12042338</v>
      </c>
      <c r="J41" s="204">
        <v>130625841</v>
      </c>
      <c r="K41" s="204">
        <v>148569577</v>
      </c>
      <c r="L41" s="176"/>
      <c r="M41" s="177"/>
      <c r="N41" s="178"/>
    </row>
    <row r="42" spans="1:14" s="179" customFormat="1" ht="40.5" customHeight="1">
      <c r="A42" s="205" t="s">
        <v>206</v>
      </c>
      <c r="B42" s="242" t="s">
        <v>308</v>
      </c>
      <c r="C42" s="243"/>
      <c r="D42" s="176"/>
      <c r="E42" s="176"/>
      <c r="F42" s="176"/>
      <c r="G42" s="176"/>
      <c r="H42" s="176"/>
      <c r="I42" s="204">
        <v>67137973</v>
      </c>
      <c r="J42" s="176"/>
      <c r="K42" s="176"/>
      <c r="L42" s="176"/>
      <c r="M42" s="177"/>
      <c r="N42" s="178"/>
    </row>
    <row r="43" spans="1:14" s="179" customFormat="1" ht="51" customHeight="1">
      <c r="A43" s="205" t="s">
        <v>207</v>
      </c>
      <c r="B43" s="242" t="s">
        <v>309</v>
      </c>
      <c r="C43" s="243"/>
      <c r="D43" s="176"/>
      <c r="E43" s="176"/>
      <c r="F43" s="176"/>
      <c r="G43" s="176"/>
      <c r="H43" s="176"/>
      <c r="I43" s="176"/>
      <c r="J43" s="204">
        <v>85604940</v>
      </c>
      <c r="K43" s="176"/>
      <c r="L43" s="176"/>
      <c r="M43" s="177"/>
      <c r="N43" s="178"/>
    </row>
    <row r="44" spans="1:14" s="179" customFormat="1" ht="40.5" customHeight="1">
      <c r="A44" s="205" t="s">
        <v>265</v>
      </c>
      <c r="B44" s="242" t="s">
        <v>302</v>
      </c>
      <c r="C44" s="243"/>
      <c r="D44" s="176"/>
      <c r="E44" s="176"/>
      <c r="F44" s="176"/>
      <c r="G44" s="176"/>
      <c r="H44" s="176"/>
      <c r="I44" s="204">
        <v>183881829</v>
      </c>
      <c r="J44" s="176"/>
      <c r="K44" s="176"/>
      <c r="L44" s="176"/>
      <c r="M44" s="177"/>
      <c r="N44" s="178"/>
    </row>
    <row r="45" spans="1:14" s="179" customFormat="1" ht="40.5" customHeight="1">
      <c r="A45" s="205" t="s">
        <v>266</v>
      </c>
      <c r="B45" s="242" t="s">
        <v>303</v>
      </c>
      <c r="C45" s="243"/>
      <c r="D45" s="176"/>
      <c r="E45" s="176"/>
      <c r="F45" s="176"/>
      <c r="G45" s="176"/>
      <c r="H45" s="176"/>
      <c r="I45" s="176"/>
      <c r="J45" s="204">
        <v>1402448735</v>
      </c>
      <c r="K45" s="176"/>
      <c r="L45" s="176"/>
      <c r="M45" s="177"/>
      <c r="N45" s="178"/>
    </row>
    <row r="46" spans="1:14" s="179" customFormat="1" ht="23.25" customHeight="1">
      <c r="A46" s="205" t="s">
        <v>267</v>
      </c>
      <c r="B46" s="242" t="s">
        <v>290</v>
      </c>
      <c r="C46" s="243"/>
      <c r="D46" s="204">
        <v>36460134</v>
      </c>
      <c r="E46" s="176"/>
      <c r="F46" s="176"/>
      <c r="G46" s="176"/>
      <c r="H46" s="176"/>
      <c r="I46" s="204">
        <v>36649817</v>
      </c>
      <c r="J46" s="204">
        <v>3897599</v>
      </c>
      <c r="K46" s="204">
        <v>0</v>
      </c>
      <c r="L46" s="176"/>
      <c r="M46" s="177"/>
      <c r="N46" s="178"/>
    </row>
    <row r="47" spans="1:14" s="179" customFormat="1" ht="70.5" customHeight="1">
      <c r="A47" s="205" t="s">
        <v>273</v>
      </c>
      <c r="B47" s="242" t="s">
        <v>324</v>
      </c>
      <c r="C47" s="243"/>
      <c r="D47" s="176"/>
      <c r="E47" s="176"/>
      <c r="F47" s="176"/>
      <c r="G47" s="176"/>
      <c r="H47" s="204">
        <v>0</v>
      </c>
      <c r="I47" s="176"/>
      <c r="J47" s="176"/>
      <c r="K47" s="176"/>
      <c r="L47" s="176"/>
      <c r="M47" s="177"/>
      <c r="N47" s="178"/>
    </row>
    <row r="48" spans="1:14" s="179" customFormat="1" ht="43.5" customHeight="1">
      <c r="A48" s="205" t="s">
        <v>329</v>
      </c>
      <c r="B48" s="242" t="s">
        <v>325</v>
      </c>
      <c r="C48" s="243"/>
      <c r="D48" s="176"/>
      <c r="E48" s="176"/>
      <c r="F48" s="176"/>
      <c r="G48" s="176"/>
      <c r="H48" s="204">
        <v>0</v>
      </c>
      <c r="I48" s="204">
        <v>0</v>
      </c>
      <c r="J48" s="204">
        <v>0</v>
      </c>
      <c r="K48" s="204">
        <v>0</v>
      </c>
      <c r="L48" s="176"/>
      <c r="M48" s="177"/>
      <c r="N48" s="178"/>
    </row>
    <row r="49" spans="1:16" s="179" customFormat="1" ht="52.5" customHeight="1">
      <c r="A49" s="205" t="s">
        <v>301</v>
      </c>
      <c r="B49" s="242" t="s">
        <v>328</v>
      </c>
      <c r="C49" s="243"/>
      <c r="D49" s="176"/>
      <c r="E49" s="176"/>
      <c r="F49" s="176"/>
      <c r="G49" s="176"/>
      <c r="H49" s="176"/>
      <c r="I49" s="176"/>
      <c r="J49" s="204">
        <v>0</v>
      </c>
      <c r="K49" s="204">
        <v>0</v>
      </c>
      <c r="L49" s="176"/>
      <c r="M49" s="177"/>
      <c r="N49" s="178"/>
    </row>
    <row r="50" spans="1:16" s="179" customFormat="1" ht="26.25" customHeight="1">
      <c r="A50" s="205" t="s">
        <v>326</v>
      </c>
      <c r="B50" s="242" t="s">
        <v>297</v>
      </c>
      <c r="C50" s="243"/>
      <c r="D50" s="176"/>
      <c r="E50" s="176"/>
      <c r="F50" s="176"/>
      <c r="G50" s="176"/>
      <c r="H50" s="176"/>
      <c r="I50" s="204">
        <v>3990266686</v>
      </c>
      <c r="J50" s="204">
        <v>9448406</v>
      </c>
      <c r="K50" s="204">
        <v>79269994</v>
      </c>
      <c r="L50" s="176"/>
      <c r="M50" s="177"/>
      <c r="N50" s="178"/>
    </row>
    <row r="51" spans="1:16" s="179" customFormat="1" ht="21" customHeight="1">
      <c r="A51" s="205" t="s">
        <v>327</v>
      </c>
      <c r="B51" s="242" t="s">
        <v>300</v>
      </c>
      <c r="C51" s="243"/>
      <c r="D51" s="176"/>
      <c r="E51" s="176"/>
      <c r="F51" s="176"/>
      <c r="G51" s="176"/>
      <c r="H51" s="176"/>
      <c r="I51" s="176"/>
      <c r="J51" s="176"/>
      <c r="K51" s="204">
        <v>403775311</v>
      </c>
      <c r="L51" s="176"/>
      <c r="M51" s="177"/>
      <c r="N51" s="177"/>
      <c r="O51" s="177"/>
    </row>
    <row r="52" spans="1:16" s="179" customFormat="1" ht="21" customHeight="1">
      <c r="A52" s="205" t="s">
        <v>72</v>
      </c>
      <c r="B52" s="242" t="s">
        <v>208</v>
      </c>
      <c r="C52" s="243"/>
      <c r="D52" s="176"/>
      <c r="E52" s="176"/>
      <c r="F52" s="176"/>
      <c r="G52" s="176"/>
      <c r="H52" s="176"/>
      <c r="I52" s="176"/>
      <c r="J52" s="176"/>
      <c r="K52" s="176"/>
      <c r="L52" s="176"/>
      <c r="M52" s="177"/>
      <c r="N52" s="178"/>
    </row>
    <row r="53" spans="1:16" s="179" customFormat="1" ht="21" customHeight="1">
      <c r="A53" s="205" t="s">
        <v>37</v>
      </c>
      <c r="B53" s="242" t="s">
        <v>209</v>
      </c>
      <c r="C53" s="243"/>
      <c r="D53" s="176"/>
      <c r="E53" s="176"/>
      <c r="F53" s="176"/>
      <c r="G53" s="176"/>
      <c r="H53" s="176"/>
      <c r="I53" s="204">
        <v>888291934</v>
      </c>
      <c r="J53" s="176"/>
      <c r="K53" s="176"/>
      <c r="L53" s="176"/>
      <c r="M53" s="177"/>
      <c r="N53" s="178"/>
    </row>
    <row r="54" spans="1:16" s="179" customFormat="1" ht="21" customHeight="1">
      <c r="A54" s="205" t="s">
        <v>33</v>
      </c>
      <c r="B54" s="242" t="s">
        <v>210</v>
      </c>
      <c r="C54" s="243"/>
      <c r="D54" s="176"/>
      <c r="E54" s="176"/>
      <c r="F54" s="176"/>
      <c r="G54" s="176"/>
      <c r="H54" s="176"/>
      <c r="I54" s="204">
        <v>0</v>
      </c>
      <c r="J54" s="176"/>
      <c r="K54" s="176"/>
      <c r="L54" s="176"/>
      <c r="M54" s="177"/>
      <c r="N54" s="178"/>
    </row>
    <row r="55" spans="1:16" s="179" customFormat="1" ht="31.5" customHeight="1">
      <c r="A55" s="205" t="s">
        <v>35</v>
      </c>
      <c r="B55" s="242" t="s">
        <v>211</v>
      </c>
      <c r="C55" s="243"/>
      <c r="D55" s="176"/>
      <c r="E55" s="176"/>
      <c r="F55" s="176"/>
      <c r="G55" s="176"/>
      <c r="H55" s="176"/>
      <c r="I55" s="176"/>
      <c r="J55" s="204">
        <v>621395723</v>
      </c>
      <c r="K55" s="204">
        <v>169098240</v>
      </c>
      <c r="L55" s="176"/>
      <c r="M55" s="177"/>
      <c r="N55" s="178"/>
    </row>
    <row r="56" spans="1:16" s="179" customFormat="1" ht="21" customHeight="1">
      <c r="A56" s="205" t="s">
        <v>42</v>
      </c>
      <c r="B56" s="242" t="s">
        <v>212</v>
      </c>
      <c r="C56" s="243"/>
      <c r="D56" s="176"/>
      <c r="E56" s="176"/>
      <c r="F56" s="176"/>
      <c r="G56" s="176"/>
      <c r="H56" s="176"/>
      <c r="I56" s="176"/>
      <c r="J56" s="204">
        <v>0</v>
      </c>
      <c r="K56" s="204">
        <v>0</v>
      </c>
      <c r="L56" s="176"/>
      <c r="M56" s="177"/>
      <c r="N56" s="178"/>
    </row>
    <row r="57" spans="1:16" s="179" customFormat="1" ht="28.5" customHeight="1">
      <c r="A57" s="205" t="s">
        <v>79</v>
      </c>
      <c r="B57" s="242" t="s">
        <v>280</v>
      </c>
      <c r="C57" s="243"/>
      <c r="D57" s="204">
        <v>0</v>
      </c>
      <c r="E57" s="176"/>
      <c r="F57" s="176"/>
      <c r="G57" s="176"/>
      <c r="H57" s="176"/>
      <c r="I57" s="176"/>
      <c r="J57" s="204">
        <v>52178810</v>
      </c>
      <c r="K57" s="204">
        <v>0</v>
      </c>
      <c r="L57" s="204">
        <v>28452400</v>
      </c>
      <c r="M57" s="177"/>
      <c r="N57" s="178"/>
    </row>
    <row r="58" spans="1:16" s="179" customFormat="1" ht="27.75" customHeight="1">
      <c r="A58" s="205" t="s">
        <v>80</v>
      </c>
      <c r="B58" s="242" t="s">
        <v>281</v>
      </c>
      <c r="C58" s="243"/>
      <c r="D58" s="204">
        <v>789839000</v>
      </c>
      <c r="E58" s="176"/>
      <c r="F58" s="176"/>
      <c r="G58" s="176"/>
      <c r="H58" s="176"/>
      <c r="I58" s="176"/>
      <c r="J58" s="204">
        <v>54532563</v>
      </c>
      <c r="K58" s="204">
        <v>0</v>
      </c>
      <c r="L58" s="176"/>
      <c r="M58" s="177"/>
      <c r="N58" s="178"/>
    </row>
    <row r="59" spans="1:16" s="179" customFormat="1" ht="21" customHeight="1">
      <c r="A59" s="205" t="s">
        <v>73</v>
      </c>
      <c r="B59" s="242" t="s">
        <v>213</v>
      </c>
      <c r="C59" s="243"/>
      <c r="D59" s="175">
        <f>+'Bank Capital Calc'!C20</f>
        <v>6889119</v>
      </c>
      <c r="E59" s="181"/>
      <c r="F59" s="176"/>
      <c r="G59" s="176"/>
      <c r="H59" s="176"/>
      <c r="I59" s="204">
        <v>8818599</v>
      </c>
      <c r="J59" s="176"/>
      <c r="K59" s="176"/>
      <c r="L59" s="176"/>
      <c r="M59" s="177"/>
      <c r="N59" s="178"/>
    </row>
    <row r="60" spans="1:16" s="179" customFormat="1" ht="21" customHeight="1">
      <c r="A60" s="205" t="s">
        <v>74</v>
      </c>
      <c r="B60" s="242" t="s">
        <v>264</v>
      </c>
      <c r="C60" s="243"/>
      <c r="D60" s="204">
        <v>0</v>
      </c>
      <c r="E60" s="204">
        <v>0</v>
      </c>
      <c r="F60" s="176"/>
      <c r="G60" s="176"/>
      <c r="H60" s="176"/>
      <c r="I60" s="204">
        <v>38191497</v>
      </c>
      <c r="J60" s="176"/>
      <c r="K60" s="204">
        <v>0</v>
      </c>
      <c r="L60" s="176"/>
      <c r="M60" s="177"/>
      <c r="N60" s="178"/>
    </row>
    <row r="61" spans="1:16" s="179" customFormat="1" ht="21" customHeight="1">
      <c r="A61" s="205" t="s">
        <v>75</v>
      </c>
      <c r="B61" s="242" t="s">
        <v>282</v>
      </c>
      <c r="C61" s="243"/>
      <c r="D61" s="176"/>
      <c r="E61" s="176"/>
      <c r="F61" s="176"/>
      <c r="G61" s="176"/>
      <c r="H61" s="176"/>
      <c r="I61" s="176"/>
      <c r="J61" s="176"/>
      <c r="K61" s="204">
        <v>1479249</v>
      </c>
      <c r="L61" s="176"/>
      <c r="M61" s="177"/>
      <c r="N61" s="178"/>
    </row>
    <row r="62" spans="1:16" s="179" customFormat="1" ht="21" customHeight="1">
      <c r="A62" s="205" t="s">
        <v>76</v>
      </c>
      <c r="B62" s="242" t="s">
        <v>268</v>
      </c>
      <c r="C62" s="243"/>
      <c r="D62" s="239">
        <f>+[7]Balance!$C$39</f>
        <v>123374035</v>
      </c>
      <c r="E62" s="176"/>
      <c r="F62" s="176"/>
      <c r="G62" s="176"/>
      <c r="H62" s="176"/>
      <c r="I62" s="176"/>
      <c r="J62" s="176"/>
      <c r="K62" s="176"/>
      <c r="L62" s="176"/>
      <c r="M62" s="206">
        <f>+D62</f>
        <v>123374035</v>
      </c>
      <c r="N62" s="236">
        <f>+[7]Balance!$C$39</f>
        <v>123374035</v>
      </c>
      <c r="O62" s="236">
        <f>+M62-N62</f>
        <v>0</v>
      </c>
    </row>
    <row r="63" spans="1:16" s="179" customFormat="1" ht="21" customHeight="1">
      <c r="A63" s="205" t="s">
        <v>77</v>
      </c>
      <c r="B63" s="242" t="s">
        <v>214</v>
      </c>
      <c r="C63" s="243"/>
      <c r="D63" s="204">
        <v>1893420</v>
      </c>
      <c r="E63" s="204"/>
      <c r="F63" s="204">
        <v>1335429</v>
      </c>
      <c r="G63" s="204">
        <v>5070712</v>
      </c>
      <c r="H63" s="204">
        <v>20265015</v>
      </c>
      <c r="I63" s="204">
        <v>1752221194</v>
      </c>
      <c r="J63" s="204">
        <v>113263493</v>
      </c>
      <c r="K63" s="204">
        <v>876114853</v>
      </c>
      <c r="L63" s="204"/>
      <c r="M63" s="236"/>
      <c r="N63" s="178"/>
      <c r="O63" s="237"/>
    </row>
    <row r="64" spans="1:16" s="179" customFormat="1" ht="21" customHeight="1">
      <c r="A64" s="205" t="s">
        <v>78</v>
      </c>
      <c r="B64" s="242" t="s">
        <v>215</v>
      </c>
      <c r="C64" s="243"/>
      <c r="D64" s="182">
        <f t="shared" ref="D64:L64" si="0">SUM(D8:D61)+D63-D62</f>
        <v>2245543826</v>
      </c>
      <c r="E64" s="182">
        <f t="shared" si="0"/>
        <v>2299631634</v>
      </c>
      <c r="F64" s="182">
        <f t="shared" si="0"/>
        <v>47286681</v>
      </c>
      <c r="G64" s="182">
        <f t="shared" si="0"/>
        <v>930149712</v>
      </c>
      <c r="H64" s="182">
        <f t="shared" si="0"/>
        <v>902765824</v>
      </c>
      <c r="I64" s="182">
        <f t="shared" si="0"/>
        <v>16977131250</v>
      </c>
      <c r="J64" s="182">
        <f t="shared" si="0"/>
        <v>4678394253</v>
      </c>
      <c r="K64" s="182">
        <f t="shared" si="0"/>
        <v>2619431600</v>
      </c>
      <c r="L64" s="182">
        <f t="shared" si="0"/>
        <v>28452400</v>
      </c>
      <c r="M64" s="236">
        <f>SUM(D64:L64)</f>
        <v>30728787180</v>
      </c>
      <c r="N64" s="178">
        <f>+[7]Balance!$C$47</f>
        <v>30728787180</v>
      </c>
      <c r="O64" s="236">
        <f>+M64-N64</f>
        <v>0</v>
      </c>
      <c r="P64" s="206"/>
    </row>
    <row r="65" spans="1:16" s="179" customFormat="1" ht="26.25" customHeight="1">
      <c r="A65" s="205" t="s">
        <v>263</v>
      </c>
      <c r="B65" s="242" t="s">
        <v>216</v>
      </c>
      <c r="C65" s="243"/>
      <c r="D65" s="176"/>
      <c r="E65" s="182">
        <f t="shared" ref="E65:L65" si="1">E64*E3</f>
        <v>459926326.80000001</v>
      </c>
      <c r="F65" s="182">
        <f t="shared" si="1"/>
        <v>16550338.35</v>
      </c>
      <c r="G65" s="182">
        <f t="shared" si="1"/>
        <v>465074856</v>
      </c>
      <c r="H65" s="182">
        <f t="shared" si="1"/>
        <v>677074368</v>
      </c>
      <c r="I65" s="182">
        <f t="shared" si="1"/>
        <v>16977131250</v>
      </c>
      <c r="J65" s="182">
        <f t="shared" si="1"/>
        <v>7017591379.5</v>
      </c>
      <c r="K65" s="182">
        <f t="shared" si="1"/>
        <v>5238863200</v>
      </c>
      <c r="L65" s="182">
        <f t="shared" si="1"/>
        <v>71131000</v>
      </c>
      <c r="M65" s="178"/>
      <c r="N65" s="178"/>
      <c r="O65" s="237"/>
      <c r="P65" s="206"/>
    </row>
    <row r="66" spans="1:16" s="179" customFormat="1" ht="21" customHeight="1">
      <c r="A66" s="205" t="s">
        <v>269</v>
      </c>
      <c r="B66" s="242" t="s">
        <v>283</v>
      </c>
      <c r="C66" s="243"/>
      <c r="D66" s="176"/>
      <c r="E66" s="176"/>
      <c r="F66" s="176"/>
      <c r="G66" s="176"/>
      <c r="H66" s="176"/>
      <c r="I66" s="176"/>
      <c r="J66" s="176"/>
      <c r="K66" s="176"/>
      <c r="L66" s="232">
        <f>SUM(D65:L65)</f>
        <v>30923342718.650002</v>
      </c>
      <c r="M66" s="236"/>
      <c r="N66" s="237"/>
      <c r="O66" s="237"/>
      <c r="P66" s="206"/>
    </row>
    <row r="67" spans="1:16" s="179" customFormat="1">
      <c r="A67" s="167"/>
      <c r="B67" s="183"/>
      <c r="C67" s="183"/>
      <c r="K67" s="178"/>
      <c r="L67" s="178"/>
      <c r="M67" s="237"/>
      <c r="N67" s="237"/>
      <c r="O67" s="237"/>
      <c r="P67" s="206"/>
    </row>
    <row r="68" spans="1:16" s="179" customFormat="1">
      <c r="A68" s="167"/>
      <c r="B68" s="184"/>
      <c r="C68" s="184"/>
      <c r="D68" s="184"/>
      <c r="E68" s="184"/>
      <c r="F68" s="184"/>
      <c r="G68" s="184"/>
      <c r="H68" s="184"/>
      <c r="I68" s="184"/>
      <c r="J68" s="184"/>
      <c r="M68" s="237"/>
      <c r="N68" s="237"/>
      <c r="O68" s="237"/>
      <c r="P68" s="206"/>
    </row>
    <row r="69" spans="1:16" s="179" customFormat="1" ht="48.75" customHeight="1">
      <c r="A69" s="185" t="s">
        <v>52</v>
      </c>
      <c r="B69" s="205" t="s">
        <v>219</v>
      </c>
      <c r="C69" s="186" t="s">
        <v>217</v>
      </c>
      <c r="D69" s="171">
        <v>0</v>
      </c>
      <c r="E69" s="171">
        <v>0.2</v>
      </c>
      <c r="F69" s="171">
        <v>0.35</v>
      </c>
      <c r="G69" s="171">
        <v>0.5</v>
      </c>
      <c r="H69" s="187">
        <v>0.75</v>
      </c>
      <c r="I69" s="171">
        <v>1</v>
      </c>
      <c r="J69" s="171">
        <v>1.5</v>
      </c>
      <c r="K69" s="171">
        <v>2</v>
      </c>
      <c r="L69" s="171">
        <v>2.5</v>
      </c>
      <c r="M69" s="237"/>
      <c r="N69" s="237"/>
      <c r="O69" s="237"/>
      <c r="P69" s="206"/>
    </row>
    <row r="70" spans="1:16" s="179" customFormat="1">
      <c r="A70" s="185">
        <v>1</v>
      </c>
      <c r="B70" s="188" t="s">
        <v>220</v>
      </c>
      <c r="C70" s="176"/>
      <c r="D70" s="176"/>
      <c r="E70" s="176"/>
      <c r="F70" s="176"/>
      <c r="G70" s="176"/>
      <c r="H70" s="176"/>
      <c r="I70" s="176"/>
      <c r="J70" s="176"/>
      <c r="K70" s="176"/>
      <c r="L70" s="176"/>
      <c r="M70" s="237"/>
      <c r="N70" s="237"/>
      <c r="O70" s="237"/>
      <c r="P70" s="206"/>
    </row>
    <row r="71" spans="1:16" s="179" customFormat="1" ht="12.75" customHeight="1">
      <c r="A71" s="185" t="s">
        <v>31</v>
      </c>
      <c r="B71" s="189" t="s">
        <v>221</v>
      </c>
      <c r="C71" s="190">
        <v>0.5</v>
      </c>
      <c r="D71" s="204">
        <v>761000</v>
      </c>
      <c r="E71" s="204"/>
      <c r="F71" s="204">
        <v>5610973</v>
      </c>
      <c r="G71" s="204">
        <v>2909476</v>
      </c>
      <c r="H71" s="204">
        <v>12142161</v>
      </c>
      <c r="I71" s="204">
        <v>482689091</v>
      </c>
      <c r="J71" s="204">
        <v>169143381</v>
      </c>
      <c r="K71" s="204">
        <v>8869562</v>
      </c>
      <c r="L71" s="176"/>
      <c r="M71" s="237"/>
      <c r="N71" s="237"/>
      <c r="O71" s="237"/>
      <c r="P71" s="206"/>
    </row>
    <row r="72" spans="1:16" s="179" customFormat="1">
      <c r="A72" s="185" t="s">
        <v>33</v>
      </c>
      <c r="B72" s="189" t="s">
        <v>222</v>
      </c>
      <c r="C72" s="190">
        <v>0.2</v>
      </c>
      <c r="D72" s="204">
        <v>25002</v>
      </c>
      <c r="E72" s="204"/>
      <c r="F72" s="204">
        <v>3155</v>
      </c>
      <c r="G72" s="204">
        <v>0</v>
      </c>
      <c r="H72" s="204">
        <v>58338746</v>
      </c>
      <c r="I72" s="204">
        <v>137399217</v>
      </c>
      <c r="J72" s="204">
        <v>25857714</v>
      </c>
      <c r="K72" s="204">
        <v>3222395</v>
      </c>
      <c r="L72" s="176"/>
      <c r="M72" s="206">
        <f>SUM(D71:L72)</f>
        <v>906971873</v>
      </c>
      <c r="N72" s="206">
        <f>+[7]Commitments!$C$4</f>
        <v>906971873</v>
      </c>
      <c r="O72" s="192">
        <f>+M72-N72</f>
        <v>0</v>
      </c>
      <c r="P72" s="206"/>
    </row>
    <row r="73" spans="1:16" s="179" customFormat="1" ht="26.25" customHeight="1">
      <c r="A73" s="185">
        <v>2</v>
      </c>
      <c r="B73" s="188" t="s">
        <v>284</v>
      </c>
      <c r="C73" s="190">
        <v>1</v>
      </c>
      <c r="D73" s="204"/>
      <c r="E73" s="204"/>
      <c r="F73" s="176"/>
      <c r="G73" s="204"/>
      <c r="H73" s="176"/>
      <c r="I73" s="204">
        <v>0</v>
      </c>
      <c r="J73" s="176"/>
      <c r="K73" s="176"/>
      <c r="L73" s="176"/>
      <c r="M73" s="206"/>
      <c r="N73" s="206"/>
      <c r="O73" s="192"/>
      <c r="P73" s="206"/>
    </row>
    <row r="74" spans="1:16" s="179" customFormat="1">
      <c r="A74" s="185">
        <v>3</v>
      </c>
      <c r="B74" s="188" t="s">
        <v>223</v>
      </c>
      <c r="C74" s="190">
        <v>1</v>
      </c>
      <c r="D74" s="204"/>
      <c r="E74" s="204"/>
      <c r="F74" s="176"/>
      <c r="G74" s="204"/>
      <c r="H74" s="176"/>
      <c r="I74" s="204">
        <v>445106241</v>
      </c>
      <c r="J74" s="204">
        <v>0</v>
      </c>
      <c r="K74" s="204">
        <v>0</v>
      </c>
      <c r="L74" s="176"/>
      <c r="M74" s="206">
        <f>SUM(D74:L74)</f>
        <v>445106241</v>
      </c>
      <c r="N74" s="206">
        <f>+[7]Commitments!$C$7</f>
        <v>445106241</v>
      </c>
      <c r="O74" s="192">
        <f>+M74-N74</f>
        <v>0</v>
      </c>
      <c r="P74" s="206"/>
    </row>
    <row r="75" spans="1:16" s="179" customFormat="1">
      <c r="A75" s="185">
        <v>4</v>
      </c>
      <c r="B75" s="188" t="s">
        <v>285</v>
      </c>
      <c r="C75" s="193"/>
      <c r="D75" s="176"/>
      <c r="E75" s="176"/>
      <c r="F75" s="176"/>
      <c r="G75" s="176"/>
      <c r="H75" s="176"/>
      <c r="I75" s="176"/>
      <c r="J75" s="176"/>
      <c r="K75" s="176"/>
      <c r="L75" s="176"/>
      <c r="M75" s="206"/>
      <c r="N75" s="206"/>
      <c r="O75" s="192"/>
      <c r="P75" s="206"/>
    </row>
    <row r="76" spans="1:16" s="179" customFormat="1">
      <c r="A76" s="185" t="s">
        <v>31</v>
      </c>
      <c r="B76" s="189" t="s">
        <v>224</v>
      </c>
      <c r="C76" s="190">
        <v>1</v>
      </c>
      <c r="D76" s="204"/>
      <c r="E76" s="204"/>
      <c r="F76" s="176"/>
      <c r="G76" s="204">
        <v>0</v>
      </c>
      <c r="H76" s="176"/>
      <c r="I76" s="204">
        <v>0</v>
      </c>
      <c r="J76" s="176"/>
      <c r="K76" s="204">
        <v>0</v>
      </c>
      <c r="L76" s="176"/>
      <c r="M76" s="206"/>
      <c r="N76" s="206"/>
      <c r="O76" s="192"/>
      <c r="P76" s="206"/>
    </row>
    <row r="77" spans="1:16" s="179" customFormat="1">
      <c r="A77" s="185" t="s">
        <v>33</v>
      </c>
      <c r="B77" s="189" t="s">
        <v>225</v>
      </c>
      <c r="C77" s="190">
        <v>0.5</v>
      </c>
      <c r="D77" s="204"/>
      <c r="E77" s="204"/>
      <c r="F77" s="176"/>
      <c r="G77" s="204">
        <v>474604581</v>
      </c>
      <c r="H77" s="176"/>
      <c r="I77" s="204">
        <v>0</v>
      </c>
      <c r="J77" s="176"/>
      <c r="K77" s="204">
        <v>0</v>
      </c>
      <c r="L77" s="176"/>
      <c r="M77" s="206"/>
      <c r="N77" s="206"/>
      <c r="O77" s="192"/>
      <c r="P77" s="206"/>
    </row>
    <row r="78" spans="1:16" s="179" customFormat="1" ht="12.75" customHeight="1">
      <c r="A78" s="185" t="s">
        <v>35</v>
      </c>
      <c r="B78" s="189" t="s">
        <v>226</v>
      </c>
      <c r="C78" s="190">
        <v>0.2</v>
      </c>
      <c r="D78" s="204"/>
      <c r="E78" s="204"/>
      <c r="F78" s="176"/>
      <c r="G78" s="204">
        <v>0</v>
      </c>
      <c r="H78" s="176"/>
      <c r="I78" s="204">
        <v>0</v>
      </c>
      <c r="J78" s="176"/>
      <c r="K78" s="204">
        <v>0</v>
      </c>
      <c r="L78" s="176"/>
      <c r="M78" s="206"/>
      <c r="N78" s="206"/>
      <c r="O78" s="192"/>
      <c r="P78" s="206"/>
    </row>
    <row r="79" spans="1:16" s="179" customFormat="1">
      <c r="A79" s="185" t="s">
        <v>42</v>
      </c>
      <c r="B79" s="189" t="s">
        <v>227</v>
      </c>
      <c r="C79" s="190">
        <v>1</v>
      </c>
      <c r="D79" s="204"/>
      <c r="E79" s="204"/>
      <c r="F79" s="176"/>
      <c r="G79" s="204">
        <v>0</v>
      </c>
      <c r="H79" s="176"/>
      <c r="I79" s="204">
        <v>554834111</v>
      </c>
      <c r="J79" s="176"/>
      <c r="K79" s="204">
        <v>0</v>
      </c>
      <c r="L79" s="176"/>
      <c r="M79" s="206">
        <f>SUM(D76:L79)</f>
        <v>1029438692</v>
      </c>
      <c r="N79" s="206">
        <f>+[7]Commitments!$C$10</f>
        <v>1029438692</v>
      </c>
      <c r="O79" s="192">
        <f>+M79-N79</f>
        <v>0</v>
      </c>
      <c r="P79" s="206"/>
    </row>
    <row r="80" spans="1:16" s="179" customFormat="1" ht="26.25" customHeight="1">
      <c r="A80" s="185">
        <v>5</v>
      </c>
      <c r="B80" s="188" t="s">
        <v>256</v>
      </c>
      <c r="C80" s="193"/>
      <c r="D80" s="176"/>
      <c r="E80" s="176"/>
      <c r="F80" s="176"/>
      <c r="G80" s="176"/>
      <c r="H80" s="176"/>
      <c r="I80" s="176"/>
      <c r="J80" s="176"/>
      <c r="K80" s="176"/>
      <c r="L80" s="176"/>
      <c r="M80" s="237"/>
      <c r="N80" s="237"/>
      <c r="O80" s="192"/>
      <c r="P80" s="206"/>
    </row>
    <row r="81" spans="1:15" s="179" customFormat="1">
      <c r="A81" s="185" t="s">
        <v>31</v>
      </c>
      <c r="B81" s="189" t="s">
        <v>228</v>
      </c>
      <c r="C81" s="193"/>
      <c r="D81" s="176"/>
      <c r="E81" s="176"/>
      <c r="F81" s="176"/>
      <c r="G81" s="176"/>
      <c r="H81" s="176"/>
      <c r="I81" s="176"/>
      <c r="J81" s="176"/>
      <c r="K81" s="176"/>
      <c r="L81" s="176"/>
      <c r="M81" s="206"/>
      <c r="N81" s="206"/>
      <c r="O81" s="206"/>
    </row>
    <row r="82" spans="1:15" s="179" customFormat="1">
      <c r="A82" s="185" t="s">
        <v>58</v>
      </c>
      <c r="B82" s="194" t="s">
        <v>229</v>
      </c>
      <c r="C82" s="195">
        <v>5.0000000000000001E-3</v>
      </c>
      <c r="D82" s="204"/>
      <c r="E82" s="204"/>
      <c r="F82" s="176"/>
      <c r="G82" s="204"/>
      <c r="H82" s="176"/>
      <c r="I82" s="204">
        <v>0</v>
      </c>
      <c r="J82" s="176"/>
      <c r="K82" s="176"/>
      <c r="L82" s="176"/>
      <c r="M82" s="206"/>
      <c r="N82" s="206"/>
      <c r="O82" s="206"/>
    </row>
    <row r="83" spans="1:15" s="179" customFormat="1">
      <c r="A83" s="185" t="s">
        <v>59</v>
      </c>
      <c r="B83" s="194" t="s">
        <v>230</v>
      </c>
      <c r="C83" s="190">
        <v>0.01</v>
      </c>
      <c r="D83" s="204"/>
      <c r="E83" s="204"/>
      <c r="F83" s="176"/>
      <c r="G83" s="204"/>
      <c r="H83" s="176"/>
      <c r="I83" s="204">
        <v>0</v>
      </c>
      <c r="J83" s="176"/>
      <c r="K83" s="176"/>
      <c r="L83" s="176"/>
      <c r="M83" s="206"/>
      <c r="N83" s="206"/>
      <c r="O83" s="206"/>
    </row>
    <row r="84" spans="1:15" s="179" customFormat="1">
      <c r="A84" s="185" t="s">
        <v>60</v>
      </c>
      <c r="B84" s="194" t="s">
        <v>231</v>
      </c>
      <c r="C84" s="190">
        <v>0.02</v>
      </c>
      <c r="D84" s="204"/>
      <c r="E84" s="204"/>
      <c r="F84" s="176"/>
      <c r="G84" s="204"/>
      <c r="H84" s="176"/>
      <c r="I84" s="204">
        <v>0</v>
      </c>
      <c r="J84" s="176"/>
      <c r="K84" s="176"/>
      <c r="L84" s="176"/>
      <c r="M84" s="206"/>
      <c r="N84" s="206"/>
      <c r="O84" s="206"/>
    </row>
    <row r="85" spans="1:15" s="179" customFormat="1">
      <c r="A85" s="185" t="s">
        <v>33</v>
      </c>
      <c r="B85" s="189" t="s">
        <v>232</v>
      </c>
      <c r="C85" s="193"/>
      <c r="D85" s="176"/>
      <c r="E85" s="176"/>
      <c r="F85" s="176"/>
      <c r="G85" s="176"/>
      <c r="H85" s="176"/>
      <c r="I85" s="176"/>
      <c r="J85" s="176"/>
      <c r="K85" s="176"/>
      <c r="L85" s="176"/>
      <c r="M85" s="206"/>
      <c r="N85" s="206"/>
      <c r="O85" s="206"/>
    </row>
    <row r="86" spans="1:15" s="179" customFormat="1">
      <c r="A86" s="185" t="s">
        <v>61</v>
      </c>
      <c r="B86" s="194" t="s">
        <v>233</v>
      </c>
      <c r="C86" s="190">
        <v>0.02</v>
      </c>
      <c r="D86" s="204"/>
      <c r="E86" s="204"/>
      <c r="F86" s="176"/>
      <c r="G86" s="204"/>
      <c r="H86" s="176"/>
      <c r="I86" s="204">
        <v>0</v>
      </c>
      <c r="J86" s="176"/>
      <c r="K86" s="176"/>
      <c r="L86" s="176"/>
      <c r="M86" s="206"/>
      <c r="N86" s="206"/>
      <c r="O86" s="206"/>
    </row>
    <row r="87" spans="1:15" s="179" customFormat="1">
      <c r="A87" s="185" t="s">
        <v>62</v>
      </c>
      <c r="B87" s="194" t="s">
        <v>234</v>
      </c>
      <c r="C87" s="190">
        <v>0.05</v>
      </c>
      <c r="D87" s="204"/>
      <c r="E87" s="204"/>
      <c r="F87" s="176"/>
      <c r="G87" s="204"/>
      <c r="H87" s="176"/>
      <c r="I87" s="204">
        <v>0</v>
      </c>
      <c r="J87" s="176"/>
      <c r="K87" s="176"/>
      <c r="L87" s="176"/>
      <c r="M87" s="206"/>
      <c r="N87" s="206"/>
      <c r="O87" s="206"/>
    </row>
    <row r="88" spans="1:15" s="179" customFormat="1">
      <c r="A88" s="185" t="s">
        <v>63</v>
      </c>
      <c r="B88" s="194" t="s">
        <v>235</v>
      </c>
      <c r="C88" s="190">
        <v>0.08</v>
      </c>
      <c r="D88" s="204"/>
      <c r="E88" s="204"/>
      <c r="F88" s="176"/>
      <c r="G88" s="204"/>
      <c r="H88" s="176"/>
      <c r="I88" s="204">
        <v>0</v>
      </c>
      <c r="J88" s="176"/>
      <c r="K88" s="176"/>
      <c r="L88" s="176"/>
      <c r="M88" s="206"/>
      <c r="N88" s="206"/>
      <c r="O88" s="206"/>
    </row>
    <row r="89" spans="1:15" s="179" customFormat="1">
      <c r="A89" s="185">
        <v>6</v>
      </c>
      <c r="B89" s="197" t="s">
        <v>236</v>
      </c>
      <c r="C89" s="193"/>
      <c r="D89" s="182">
        <f t="shared" ref="D89:G89" si="2">SUM(D71:D88)</f>
        <v>786002</v>
      </c>
      <c r="E89" s="182">
        <f t="shared" si="2"/>
        <v>0</v>
      </c>
      <c r="F89" s="182">
        <f t="shared" si="2"/>
        <v>5614128</v>
      </c>
      <c r="G89" s="182">
        <f t="shared" si="2"/>
        <v>477514057</v>
      </c>
      <c r="H89" s="182">
        <f t="shared" ref="H89" si="3">SUM(H71:H88)</f>
        <v>70480907</v>
      </c>
      <c r="I89" s="182">
        <f>SUM(I71:I88)</f>
        <v>1620028660</v>
      </c>
      <c r="J89" s="182">
        <f>SUM(J71:J88)</f>
        <v>195001095</v>
      </c>
      <c r="K89" s="182">
        <f>SUM(K71:K88)</f>
        <v>12091957</v>
      </c>
      <c r="L89" s="176"/>
      <c r="M89" s="206"/>
      <c r="N89" s="206"/>
      <c r="O89" s="206"/>
    </row>
    <row r="90" spans="1:15" s="179" customFormat="1">
      <c r="A90" s="185">
        <v>7</v>
      </c>
      <c r="B90" s="197" t="s">
        <v>218</v>
      </c>
      <c r="C90" s="193"/>
      <c r="D90" s="182">
        <f>+(D71*$C$71*$D$3)+(D72*$C$72*$D$3)+(D73*$C$73*$D$3)+(D74*$C$74*$D$3)+(D76*$C$76*$D$3)+(D77*$C$77*$D$3)+(D78*$C$78*$D$3)+(D79*$C$79*$D$3)+(D82*$C$82*$D$3)+(D83*$C$83*$D$3)+(D84*$C$84*$D$3)+(D86*$C$86*$D$3)+(D87*$C$87*$D$3)+(D88*$C$88*$D$3)</f>
        <v>0</v>
      </c>
      <c r="E90" s="182">
        <f>+(E71*$C$71*$E$3)+(E72*$C$72*$E$3)+(E73*$C$73*$E$3)+(E74*$C$74*$E$3)+(E76*$C$76*$E$3)+(E77*$C$77*$E$3)+(E78*$C$78*$E$3)+(E79*$C$79*$E$3)+(E82*$C$82*$E$3)+(E83*$C$83*$E$3)+(E84*$C$84*$E$3)+(E86*$C$86*$E$3)+(E87*$C$87*$E$3)+(E88*$C$88*$E$3)</f>
        <v>0</v>
      </c>
      <c r="F90" s="182">
        <f>+(F71*$C$71*$F$3)+(F72*$C$72*$F$3)+(F73*$C$73*$F$3)+(F74*$C$74*$F$3)+(F76*$C$76*$F$3)+(F77*$C$77*$F$3)+(F78*$C$78*$F$3)+(F79*$C$79*$F$3)+(F82*$C$82*$F$3)+(F83*$C$83*$F$3)+(F84*$C$84*$F$3)+(F86*$C$86*$F$3)+(F87*$C$87*$F$3)+(F88*$C$88*$F$3)</f>
        <v>982141.12499999988</v>
      </c>
      <c r="G90" s="182">
        <f>+(G71*$C$71*$G$3)+(G72*$C$72*$G$3)+(G73*$C$73*$G$3)+(G74*$C$74*$G$3)+(G76*$C$76*$G$3)+(G77*$C$77*$G$3)+(G78*$C$78*$G$3)+(G79*$C$79*$G$3)+(G82*$C$82*$G$3)+(G83*$C$83*$G$3)+(G84*$C$84*$G$3)+(G86*$C$86*$G$3)+(G87*$C$87*$G$3)+(G88*$C$88*$G$3)</f>
        <v>119378514.25</v>
      </c>
      <c r="H90" s="182">
        <f>+(H71*$C$71*$G$3)+(H72*$C$72*$G$3)+(H73*$C$73*$G$3)+(H74*$C$74*$G$3)+(H76*$C$76*$G$3)+(H77*$C$77*$G$3)+(H78*$C$78*$G$3)+(H79*$C$79*$G$3)+(H82*$C$82*$G$3)+(H83*$C$83*$G$3)+(H84*$C$84*$G$3)+(H86*$C$86*$G$3)+(H87*$C$87*$G$3)+(H88*$C$88*$G$3)</f>
        <v>8869414.8500000015</v>
      </c>
      <c r="I90" s="182">
        <f>+(I71*$C$71*$I$3)+(I72*$C$72*$I$3)+(I73*$C$73*$I$3)+(I74*$C$74*$I$3)+(I76*$C$76*$I$3)+(I77*$C$77*$I$3)+(I78*$C$78*$I$3)+(I79*$C$79*$I$3)+(I82*$C$82*$I$3)+(I83*$C$83*$I$3)+(I84*$C$84*$I$3)+(I86*$C$86*$I$3)+(I87*$C$87*$I$3)+(I88*$C$88*$I$3)</f>
        <v>1268764740.9000001</v>
      </c>
      <c r="J90" s="182">
        <f>+(J71*$C$71*$J$3)+(J72*$C$72*$J$3)+(J73*$C$73*$J$3)+(J74*$C$74*$J$3)+(J76*$C$76*$J$3)+(J77*$C$77*$J$3)+(J78*$C$78*$J$3)+(J79*$C$79*$J$3)+(J82*$C$82*$J$3)+(J83*$C$83*$J$3)+(J84*$C$84*$J$3)+(J86*$C$86*$J$3)+(J87*$C$87*$J$3)+(J88*$C$88*$J$3)</f>
        <v>134614849.94999999</v>
      </c>
      <c r="K90" s="182">
        <f>+(K71*$C$71*$L$3)+(K72*$C$72*$L$3)+(K73*$C$73*$L$3)+(K74*$C$74*$L$3)+(K76*$C$76*$L$3)+(K77*$C$77*$L$3)+(K78*$C$78*$L$3)+(K79*$C$79*$L$3)+(K82*$C$82*$L$3)+(K83*$C$83*$L$3)+(K84*$C$84*$L$3)+(K86*$C$86*$L$3)+(K87*$C$87*$L$3)+(K88*$C$88*$L$3)</f>
        <v>12698150</v>
      </c>
      <c r="L90" s="176"/>
      <c r="M90" s="192"/>
    </row>
    <row r="91" spans="1:15" s="179" customFormat="1">
      <c r="A91" s="185">
        <v>8</v>
      </c>
      <c r="B91" s="197" t="s">
        <v>237</v>
      </c>
      <c r="C91" s="193"/>
      <c r="D91" s="176"/>
      <c r="E91" s="176"/>
      <c r="F91" s="176"/>
      <c r="G91" s="176"/>
      <c r="H91" s="176"/>
      <c r="I91" s="176"/>
      <c r="J91" s="176"/>
      <c r="K91" s="176"/>
      <c r="L91" s="182">
        <f>SUM(D90:L90)</f>
        <v>1545307811.075</v>
      </c>
    </row>
    <row r="92" spans="1:15" s="179" customFormat="1">
      <c r="A92" s="185">
        <v>9</v>
      </c>
      <c r="B92" s="197" t="s">
        <v>238</v>
      </c>
      <c r="C92" s="193"/>
      <c r="D92" s="176"/>
      <c r="E92" s="176"/>
      <c r="F92" s="176"/>
      <c r="G92" s="176"/>
      <c r="H92" s="176"/>
      <c r="I92" s="176"/>
      <c r="J92" s="176"/>
      <c r="K92" s="176"/>
      <c r="L92" s="232">
        <f>SUM(L91+L66)</f>
        <v>32468650529.725002</v>
      </c>
    </row>
    <row r="93" spans="1:15">
      <c r="I93" s="170"/>
      <c r="K93" s="166"/>
      <c r="L93" s="166"/>
    </row>
    <row r="94" spans="1:15" s="199" customFormat="1" ht="15" customHeight="1">
      <c r="B94" s="200" t="s">
        <v>257</v>
      </c>
      <c r="D94" s="201"/>
      <c r="E94" s="202"/>
      <c r="F94" s="202"/>
      <c r="G94" s="202"/>
      <c r="H94" s="202"/>
      <c r="I94" s="202"/>
      <c r="J94" s="202"/>
      <c r="K94" s="202"/>
      <c r="L94" s="202"/>
      <c r="M94" s="203"/>
    </row>
    <row r="95" spans="1:15" s="199" customFormat="1" ht="11.25" customHeight="1">
      <c r="B95" s="200"/>
      <c r="E95" s="203"/>
      <c r="F95" s="203"/>
      <c r="G95" s="203"/>
      <c r="H95" s="203"/>
      <c r="I95" s="203"/>
      <c r="J95" s="203"/>
      <c r="K95" s="203"/>
      <c r="L95" s="203"/>
      <c r="M95" s="203"/>
    </row>
    <row r="96" spans="1:15" s="199" customFormat="1" ht="15" customHeight="1">
      <c r="B96" s="200" t="s">
        <v>258</v>
      </c>
      <c r="C96" s="200"/>
      <c r="K96" s="201"/>
      <c r="L96" s="201"/>
      <c r="M96" s="203"/>
      <c r="N96" s="203"/>
      <c r="O96" s="203"/>
    </row>
    <row r="97" spans="10:10">
      <c r="J97" s="201"/>
    </row>
  </sheetData>
  <sheetProtection algorithmName="SHA-512" hashValue="T1whmjkKTjQ3VO8Q1jDKc+MOqncBSEXRuIWngmevCiIc3sbp2j8NYyJy+zTutF1WdbdopjphPRgjomb2ijJDXw==" saltValue="ZcC5vHFYMnph8ivOjYqHVw==" spinCount="100000" sheet="1" objects="1" scenarios="1"/>
  <mergeCells count="65">
    <mergeCell ref="B12:C12"/>
    <mergeCell ref="B13:C13"/>
    <mergeCell ref="B14:C14"/>
    <mergeCell ref="B15:C15"/>
    <mergeCell ref="B7:C7"/>
    <mergeCell ref="B11:C11"/>
    <mergeCell ref="B10:C10"/>
    <mergeCell ref="B9:C9"/>
    <mergeCell ref="B8:C8"/>
    <mergeCell ref="A1:J1"/>
    <mergeCell ref="A3:A5"/>
    <mergeCell ref="J2:K2"/>
    <mergeCell ref="B3:C5"/>
    <mergeCell ref="B6:C6"/>
    <mergeCell ref="B16:C16"/>
    <mergeCell ref="B17:C17"/>
    <mergeCell ref="B18:C18"/>
    <mergeCell ref="B19:C19"/>
    <mergeCell ref="B20:C20"/>
    <mergeCell ref="B22:C22"/>
    <mergeCell ref="B34:C34"/>
    <mergeCell ref="B35:C35"/>
    <mergeCell ref="B36:C36"/>
    <mergeCell ref="B37:C37"/>
    <mergeCell ref="B23:C23"/>
    <mergeCell ref="B24:C24"/>
    <mergeCell ref="B26:C26"/>
    <mergeCell ref="B27:C27"/>
    <mergeCell ref="B28:C28"/>
    <mergeCell ref="B29:C29"/>
    <mergeCell ref="B32:C32"/>
    <mergeCell ref="B25:C25"/>
    <mergeCell ref="B30:C30"/>
    <mergeCell ref="B31:C31"/>
    <mergeCell ref="B33:C33"/>
    <mergeCell ref="B53:C53"/>
    <mergeCell ref="B54:C54"/>
    <mergeCell ref="B38:C38"/>
    <mergeCell ref="B39:C39"/>
    <mergeCell ref="B40:C40"/>
    <mergeCell ref="B42:C42"/>
    <mergeCell ref="B43:C43"/>
    <mergeCell ref="B41:C41"/>
    <mergeCell ref="B46:C46"/>
    <mergeCell ref="B47:C47"/>
    <mergeCell ref="B44:C44"/>
    <mergeCell ref="B45:C45"/>
    <mergeCell ref="B50:C50"/>
    <mergeCell ref="B51:C51"/>
    <mergeCell ref="B64:C64"/>
    <mergeCell ref="B65:C65"/>
    <mergeCell ref="B66:C66"/>
    <mergeCell ref="B21:C21"/>
    <mergeCell ref="B59:C59"/>
    <mergeCell ref="B60:C60"/>
    <mergeCell ref="B61:C61"/>
    <mergeCell ref="B62:C62"/>
    <mergeCell ref="B63:C63"/>
    <mergeCell ref="B55:C55"/>
    <mergeCell ref="B56:C56"/>
    <mergeCell ref="B57:C57"/>
    <mergeCell ref="B58:C58"/>
    <mergeCell ref="B48:C48"/>
    <mergeCell ref="B49:C49"/>
    <mergeCell ref="B52:C52"/>
  </mergeCells>
  <phoneticPr fontId="9" type="noConversion"/>
  <conditionalFormatting sqref="D36:E38">
    <cfRule type="cellIs" dxfId="67" priority="169" operator="lessThan">
      <formula>0</formula>
    </cfRule>
  </conditionalFormatting>
  <conditionalFormatting sqref="D47:G51">
    <cfRule type="cellIs" dxfId="66" priority="16" operator="lessThan">
      <formula>0</formula>
    </cfRule>
  </conditionalFormatting>
  <conditionalFormatting sqref="D39:H42">
    <cfRule type="cellIs" dxfId="65" priority="137" operator="lessThan">
      <formula>0</formula>
    </cfRule>
  </conditionalFormatting>
  <conditionalFormatting sqref="D43:I46">
    <cfRule type="cellIs" dxfId="64" priority="129" operator="lessThan">
      <formula>0</formula>
    </cfRule>
  </conditionalFormatting>
  <conditionalFormatting sqref="D8:J35">
    <cfRule type="cellIs" dxfId="63" priority="76" operator="lessThan">
      <formula>0</formula>
    </cfRule>
  </conditionalFormatting>
  <conditionalFormatting sqref="D52:J56">
    <cfRule type="cellIs" dxfId="62" priority="182" operator="lessThan">
      <formula>0</formula>
    </cfRule>
  </conditionalFormatting>
  <conditionalFormatting sqref="D57:K66">
    <cfRule type="cellIs" dxfId="61" priority="1" operator="lessThan">
      <formula>0</formula>
    </cfRule>
  </conditionalFormatting>
  <conditionalFormatting sqref="D71:K92">
    <cfRule type="cellIs" dxfId="60" priority="89" operator="lessThan">
      <formula>0</formula>
    </cfRule>
  </conditionalFormatting>
  <conditionalFormatting sqref="F37:H38">
    <cfRule type="cellIs" dxfId="59" priority="168" operator="lessThan">
      <formula>0</formula>
    </cfRule>
  </conditionalFormatting>
  <conditionalFormatting sqref="F36:J36">
    <cfRule type="cellIs" dxfId="58" priority="181" operator="lessThan">
      <formula>0</formula>
    </cfRule>
  </conditionalFormatting>
  <conditionalFormatting sqref="H47:H50">
    <cfRule type="cellIs" dxfId="57" priority="8" operator="lessThan">
      <formula>0</formula>
    </cfRule>
  </conditionalFormatting>
  <conditionalFormatting sqref="H51:J51">
    <cfRule type="cellIs" dxfId="56" priority="13" operator="lessThan">
      <formula>0</formula>
    </cfRule>
  </conditionalFormatting>
  <conditionalFormatting sqref="H48:K48">
    <cfRule type="cellIs" dxfId="55" priority="7" operator="lessThan">
      <formula>0</formula>
    </cfRule>
  </conditionalFormatting>
  <conditionalFormatting sqref="I42">
    <cfRule type="cellIs" dxfId="54" priority="166" operator="lessThan">
      <formula>0</formula>
    </cfRule>
  </conditionalFormatting>
  <conditionalFormatting sqref="I37:J41">
    <cfRule type="cellIs" dxfId="53" priority="136" operator="lessThan">
      <formula>0</formula>
    </cfRule>
  </conditionalFormatting>
  <conditionalFormatting sqref="I47:J47">
    <cfRule type="cellIs" dxfId="52" priority="11" operator="lessThan">
      <formula>0</formula>
    </cfRule>
  </conditionalFormatting>
  <conditionalFormatting sqref="I49:K50">
    <cfRule type="cellIs" dxfId="51" priority="5" operator="lessThan">
      <formula>0</formula>
    </cfRule>
  </conditionalFormatting>
  <conditionalFormatting sqref="J42:J46">
    <cfRule type="cellIs" dxfId="50" priority="128" operator="lessThan">
      <formula>0</formula>
    </cfRule>
  </conditionalFormatting>
  <conditionalFormatting sqref="K8:K47">
    <cfRule type="cellIs" dxfId="49" priority="10" operator="lessThan">
      <formula>0</formula>
    </cfRule>
  </conditionalFormatting>
  <conditionalFormatting sqref="K51:K56">
    <cfRule type="cellIs" dxfId="48" priority="4" operator="lessThan">
      <formula>0</formula>
    </cfRule>
  </conditionalFormatting>
  <conditionalFormatting sqref="L8:L66">
    <cfRule type="cellIs" dxfId="47" priority="18" operator="lessThan">
      <formula>0</formula>
    </cfRule>
  </conditionalFormatting>
  <conditionalFormatting sqref="L70:L92">
    <cfRule type="cellIs" dxfId="46" priority="101" operator="lessThan">
      <formula>0</formula>
    </cfRule>
  </conditionalFormatting>
  <conditionalFormatting sqref="M64">
    <cfRule type="cellIs" dxfId="45" priority="2" operator="notEqual">
      <formula>N64</formula>
    </cfRule>
  </conditionalFormatting>
  <dataValidations count="2">
    <dataValidation type="whole" allowBlank="1" showInputMessage="1" showErrorMessage="1" error="                Ай Яй Яй !!!_x000a_Ну что же вы не читаете инструкцию_x000a_по заполнению формы отчетности._x000a__x000a_Попробуйте ввести целое число._x000a_" promptTitle="Введите целое число" sqref="I82:I84 I59:I60 E9 D8 I11:J11 G11 I15:I19 I52:I56 D10:E10 D60:E60 G15:G18 D57:D59 K60:K61 G71:G74 G20 I86:I88 G76:G79 D76:E79 G82:G84 I72:I73 G86:G88 K51 D28 K76:K79 D13:E18 D71:E74 D82:E84 I76:I79 E11 D46 I41:I42 D36:E36 K39:K40 H71:K71 I27:J28 D20:E20 J15:J18 D26 D25:E25 D23:D24 D86:E88 F71:F72 I37:J40 H72 J43 F37:G38 J45 I44 J41:K41 I32:J32 J58:K58 E63:L63 I74:K74 J55:K56 I35:K35 J72:K72 I20:J20 J57:L57 K28 H29:H31 K32:K33 I46:K46 J49:K49 I50:K50 H47 H48:K48 D62:D63" xr:uid="{00000000-0002-0000-0200-000000000000}">
      <formula1>-1E+22</formula1>
      <formula2>1E+22</formula2>
    </dataValidation>
    <dataValidation type="whole" operator="greaterThanOrEqual" allowBlank="1" showInputMessage="1" showErrorMessage="1" sqref="F76:F79 F82:F84 F86:F88 H86:H88 J76:J79 D80:G81 F73:F74 H73:H74 H76:H84 D85:L85 D75:L75 J73:L73 J86:L88 J82:K84 I80:K81 L70:L72 L74 L76:L84 L89:L90" xr:uid="{00000000-0002-0000-0200-000001000000}">
      <formula1>0</formula1>
    </dataValidation>
  </dataValidations>
  <printOptions horizontalCentered="1" verticalCentered="1"/>
  <pageMargins left="0.23622047244094491" right="0.23622047244094491" top="0.19685039370078741" bottom="0.31496062992125984" header="0.51181102362204722" footer="0.51181102362204722"/>
  <pageSetup paperSize="9" scale="37" orientation="portrait" r:id="rId1"/>
  <headerFooter alignWithMargins="0"/>
  <ignoredErrors>
    <ignoredError sqref="D59" unlocked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Лист26">
    <pageSetUpPr fitToPage="1"/>
  </sheetPr>
  <dimension ref="A1:P97"/>
  <sheetViews>
    <sheetView view="pageBreakPreview" zoomScale="70" zoomScaleNormal="85" zoomScaleSheetLayoutView="70" workbookViewId="0">
      <pane xSplit="3" ySplit="7" topLeftCell="D37" activePane="bottomRight" state="frozen"/>
      <selection sqref="A1:B1"/>
      <selection pane="topRight" sqref="A1:B1"/>
      <selection pane="bottomLeft" sqref="A1:B1"/>
      <selection pane="bottomRight" activeCell="J58" sqref="J58"/>
    </sheetView>
  </sheetViews>
  <sheetFormatPr defaultRowHeight="12.75"/>
  <cols>
    <col min="1" max="1" width="5.42578125" style="167" customWidth="1"/>
    <col min="2" max="2" width="67" style="166" customWidth="1"/>
    <col min="3" max="3" width="13" style="166" customWidth="1"/>
    <col min="4" max="10" width="14.5703125" style="166" customWidth="1"/>
    <col min="11" max="12" width="14.5703125" style="170" customWidth="1"/>
    <col min="13" max="17" width="23.7109375" style="166" customWidth="1"/>
    <col min="18" max="18" width="10.28515625" style="166" customWidth="1"/>
    <col min="19" max="16384" width="9.140625" style="166"/>
  </cols>
  <sheetData>
    <row r="1" spans="1:14" ht="26.25" customHeight="1">
      <c r="A1" s="244" t="s">
        <v>319</v>
      </c>
      <c r="B1" s="244"/>
      <c r="C1" s="244"/>
      <c r="D1" s="244"/>
      <c r="E1" s="244"/>
      <c r="F1" s="244"/>
      <c r="G1" s="244"/>
      <c r="H1" s="244"/>
      <c r="I1" s="244"/>
      <c r="J1" s="244"/>
      <c r="K1" s="165"/>
      <c r="L1" s="165" t="s">
        <v>240</v>
      </c>
    </row>
    <row r="2" spans="1:14" ht="25.5" customHeight="1">
      <c r="B2" s="168" t="str">
        <f>+'Bank Capital Calc'!B3</f>
        <v>MKBANK</v>
      </c>
      <c r="C2" s="168"/>
      <c r="E2" s="169"/>
      <c r="F2" s="169"/>
      <c r="J2" s="246">
        <f>+'Bank Capital Calc'!C3</f>
        <v>46021</v>
      </c>
      <c r="K2" s="246"/>
      <c r="L2" s="231" t="s">
        <v>255</v>
      </c>
      <c r="M2" s="170"/>
    </row>
    <row r="3" spans="1:14">
      <c r="A3" s="245" t="s">
        <v>52</v>
      </c>
      <c r="B3" s="247" t="s">
        <v>131</v>
      </c>
      <c r="C3" s="248"/>
      <c r="D3" s="171">
        <v>0</v>
      </c>
      <c r="E3" s="171">
        <v>0.2</v>
      </c>
      <c r="F3" s="171">
        <v>0.35</v>
      </c>
      <c r="G3" s="171">
        <v>0.5</v>
      </c>
      <c r="H3" s="171">
        <v>0.75</v>
      </c>
      <c r="I3" s="171">
        <v>1</v>
      </c>
      <c r="J3" s="171">
        <v>1.5</v>
      </c>
      <c r="K3" s="171">
        <v>2</v>
      </c>
      <c r="L3" s="171">
        <v>2.5</v>
      </c>
      <c r="M3" s="172"/>
      <c r="N3" s="170"/>
    </row>
    <row r="4" spans="1:14" ht="20.25" customHeight="1">
      <c r="A4" s="245"/>
      <c r="B4" s="249"/>
      <c r="C4" s="250"/>
      <c r="D4" s="205" t="s">
        <v>183</v>
      </c>
      <c r="E4" s="205" t="s">
        <v>183</v>
      </c>
      <c r="F4" s="205" t="s">
        <v>183</v>
      </c>
      <c r="G4" s="205" t="s">
        <v>183</v>
      </c>
      <c r="H4" s="205" t="s">
        <v>183</v>
      </c>
      <c r="I4" s="205" t="s">
        <v>183</v>
      </c>
      <c r="J4" s="205" t="s">
        <v>183</v>
      </c>
      <c r="K4" s="205" t="s">
        <v>183</v>
      </c>
      <c r="L4" s="205" t="s">
        <v>183</v>
      </c>
      <c r="N4" s="170"/>
    </row>
    <row r="5" spans="1:14" ht="20.25" customHeight="1">
      <c r="A5" s="245"/>
      <c r="B5" s="251"/>
      <c r="C5" s="252"/>
      <c r="D5" s="205" t="s">
        <v>184</v>
      </c>
      <c r="E5" s="205" t="s">
        <v>185</v>
      </c>
      <c r="F5" s="205" t="s">
        <v>186</v>
      </c>
      <c r="G5" s="205" t="s">
        <v>187</v>
      </c>
      <c r="H5" s="205" t="s">
        <v>188</v>
      </c>
      <c r="I5" s="205" t="s">
        <v>189</v>
      </c>
      <c r="J5" s="205" t="s">
        <v>190</v>
      </c>
      <c r="K5" s="205" t="s">
        <v>276</v>
      </c>
      <c r="L5" s="205" t="s">
        <v>317</v>
      </c>
      <c r="N5" s="170"/>
    </row>
    <row r="6" spans="1:14">
      <c r="A6" s="205"/>
      <c r="B6" s="253" t="s">
        <v>26</v>
      </c>
      <c r="C6" s="254"/>
      <c r="D6" s="173" t="s">
        <v>27</v>
      </c>
      <c r="E6" s="173" t="s">
        <v>28</v>
      </c>
      <c r="F6" s="173" t="s">
        <v>29</v>
      </c>
      <c r="G6" s="173" t="s">
        <v>53</v>
      </c>
      <c r="H6" s="173" t="s">
        <v>54</v>
      </c>
      <c r="I6" s="173" t="s">
        <v>57</v>
      </c>
      <c r="J6" s="173" t="s">
        <v>64</v>
      </c>
      <c r="K6" s="173" t="s">
        <v>277</v>
      </c>
      <c r="L6" s="173" t="s">
        <v>318</v>
      </c>
      <c r="N6" s="170"/>
    </row>
    <row r="7" spans="1:14">
      <c r="A7" s="205"/>
      <c r="B7" s="255" t="s">
        <v>191</v>
      </c>
      <c r="C7" s="256"/>
      <c r="D7" s="174"/>
      <c r="E7" s="174"/>
      <c r="F7" s="174"/>
      <c r="G7" s="174"/>
      <c r="H7" s="174"/>
      <c r="I7" s="174"/>
      <c r="J7" s="174"/>
      <c r="K7" s="174"/>
      <c r="L7" s="174"/>
      <c r="N7" s="170"/>
    </row>
    <row r="8" spans="1:14" s="179" customFormat="1" ht="21" customHeight="1">
      <c r="A8" s="205" t="s">
        <v>55</v>
      </c>
      <c r="B8" s="242" t="s">
        <v>192</v>
      </c>
      <c r="C8" s="243"/>
      <c r="D8" s="204">
        <v>350206926</v>
      </c>
      <c r="E8" s="176"/>
      <c r="F8" s="176"/>
      <c r="G8" s="176"/>
      <c r="H8" s="176"/>
      <c r="I8" s="176"/>
      <c r="J8" s="176"/>
      <c r="K8" s="176"/>
      <c r="L8" s="176"/>
      <c r="M8" s="177"/>
      <c r="N8" s="178"/>
    </row>
    <row r="9" spans="1:14" s="179" customFormat="1" ht="21" customHeight="1">
      <c r="A9" s="205" t="s">
        <v>65</v>
      </c>
      <c r="B9" s="242" t="s">
        <v>193</v>
      </c>
      <c r="C9" s="243"/>
      <c r="D9" s="176"/>
      <c r="E9" s="204">
        <v>188784749</v>
      </c>
      <c r="F9" s="176"/>
      <c r="G9" s="176"/>
      <c r="H9" s="176"/>
      <c r="I9" s="176"/>
      <c r="J9" s="176"/>
      <c r="K9" s="176"/>
      <c r="L9" s="176"/>
      <c r="M9" s="177"/>
      <c r="N9" s="178"/>
    </row>
    <row r="10" spans="1:14" s="179" customFormat="1" ht="21" customHeight="1">
      <c r="A10" s="205" t="s">
        <v>66</v>
      </c>
      <c r="B10" s="242" t="s">
        <v>194</v>
      </c>
      <c r="C10" s="243"/>
      <c r="D10" s="204">
        <v>584034134</v>
      </c>
      <c r="E10" s="204">
        <v>0</v>
      </c>
      <c r="F10" s="176"/>
      <c r="G10" s="176"/>
      <c r="H10" s="176"/>
      <c r="I10" s="176"/>
      <c r="J10" s="176"/>
      <c r="K10" s="176"/>
      <c r="L10" s="176"/>
      <c r="M10" s="177"/>
      <c r="N10" s="178"/>
    </row>
    <row r="11" spans="1:14" s="179" customFormat="1" ht="27.75" customHeight="1">
      <c r="A11" s="205" t="s">
        <v>67</v>
      </c>
      <c r="B11" s="242" t="s">
        <v>261</v>
      </c>
      <c r="C11" s="243"/>
      <c r="D11" s="176"/>
      <c r="E11" s="204">
        <v>0</v>
      </c>
      <c r="F11" s="176"/>
      <c r="G11" s="204">
        <v>11133345</v>
      </c>
      <c r="H11" s="176"/>
      <c r="I11" s="204">
        <v>50382898</v>
      </c>
      <c r="J11" s="204">
        <v>0</v>
      </c>
      <c r="K11" s="176"/>
      <c r="L11" s="176"/>
      <c r="M11" s="177"/>
      <c r="N11" s="178"/>
    </row>
    <row r="12" spans="1:14" s="179" customFormat="1" ht="21" customHeight="1">
      <c r="A12" s="205" t="s">
        <v>68</v>
      </c>
      <c r="B12" s="242" t="s">
        <v>195</v>
      </c>
      <c r="C12" s="243"/>
      <c r="D12" s="176"/>
      <c r="E12" s="176"/>
      <c r="F12" s="176"/>
      <c r="G12" s="176"/>
      <c r="H12" s="176"/>
      <c r="I12" s="176"/>
      <c r="J12" s="176"/>
      <c r="K12" s="176"/>
      <c r="L12" s="176"/>
      <c r="M12" s="177"/>
      <c r="N12" s="178"/>
    </row>
    <row r="13" spans="1:14" s="179" customFormat="1" ht="27.75" customHeight="1">
      <c r="A13" s="205" t="s">
        <v>37</v>
      </c>
      <c r="B13" s="242" t="s">
        <v>196</v>
      </c>
      <c r="C13" s="243"/>
      <c r="D13" s="204">
        <v>508169320</v>
      </c>
      <c r="E13" s="204">
        <v>0</v>
      </c>
      <c r="F13" s="176"/>
      <c r="G13" s="176"/>
      <c r="H13" s="176"/>
      <c r="I13" s="176"/>
      <c r="J13" s="176"/>
      <c r="K13" s="176"/>
      <c r="L13" s="176"/>
      <c r="M13" s="177"/>
      <c r="N13" s="178"/>
    </row>
    <row r="14" spans="1:14" s="179" customFormat="1" ht="21" customHeight="1">
      <c r="A14" s="205" t="s">
        <v>33</v>
      </c>
      <c r="B14" s="242" t="s">
        <v>262</v>
      </c>
      <c r="C14" s="243"/>
      <c r="D14" s="204">
        <v>0</v>
      </c>
      <c r="E14" s="204">
        <v>10000000</v>
      </c>
      <c r="F14" s="176"/>
      <c r="G14" s="176"/>
      <c r="H14" s="176"/>
      <c r="I14" s="176"/>
      <c r="J14" s="176"/>
      <c r="K14" s="176"/>
      <c r="L14" s="176"/>
      <c r="M14" s="177"/>
      <c r="N14" s="178"/>
    </row>
    <row r="15" spans="1:14" s="179" customFormat="1" ht="38.25" customHeight="1">
      <c r="A15" s="205" t="s">
        <v>35</v>
      </c>
      <c r="B15" s="242" t="s">
        <v>197</v>
      </c>
      <c r="C15" s="243"/>
      <c r="D15" s="204">
        <v>0</v>
      </c>
      <c r="E15" s="204">
        <v>0</v>
      </c>
      <c r="F15" s="176"/>
      <c r="G15" s="204">
        <v>0</v>
      </c>
      <c r="H15" s="176"/>
      <c r="I15" s="204">
        <v>0</v>
      </c>
      <c r="J15" s="204">
        <v>0</v>
      </c>
      <c r="K15" s="176"/>
      <c r="L15" s="176"/>
      <c r="M15" s="177"/>
      <c r="N15" s="178"/>
    </row>
    <row r="16" spans="1:14" s="179" customFormat="1" ht="21" customHeight="1">
      <c r="A16" s="205" t="s">
        <v>42</v>
      </c>
      <c r="B16" s="242" t="s">
        <v>198</v>
      </c>
      <c r="C16" s="243"/>
      <c r="D16" s="204">
        <v>0</v>
      </c>
      <c r="E16" s="204">
        <v>0</v>
      </c>
      <c r="F16" s="176"/>
      <c r="G16" s="204">
        <v>0</v>
      </c>
      <c r="H16" s="176"/>
      <c r="I16" s="204">
        <v>0</v>
      </c>
      <c r="J16" s="204">
        <v>0</v>
      </c>
      <c r="K16" s="176"/>
      <c r="L16" s="176"/>
      <c r="M16" s="177"/>
      <c r="N16" s="178"/>
    </row>
    <row r="17" spans="1:14" s="179" customFormat="1" ht="21" customHeight="1">
      <c r="A17" s="205" t="s">
        <v>128</v>
      </c>
      <c r="B17" s="242" t="s">
        <v>274</v>
      </c>
      <c r="C17" s="243"/>
      <c r="D17" s="204">
        <v>0</v>
      </c>
      <c r="E17" s="204">
        <v>0</v>
      </c>
      <c r="F17" s="176"/>
      <c r="G17" s="204">
        <v>0</v>
      </c>
      <c r="H17" s="176"/>
      <c r="I17" s="204">
        <v>0</v>
      </c>
      <c r="J17" s="204">
        <v>0</v>
      </c>
      <c r="K17" s="176"/>
      <c r="L17" s="176"/>
      <c r="M17" s="177"/>
      <c r="N17" s="178"/>
    </row>
    <row r="18" spans="1:14" s="179" customFormat="1" ht="21" customHeight="1">
      <c r="A18" s="205" t="s">
        <v>204</v>
      </c>
      <c r="B18" s="242" t="s">
        <v>286</v>
      </c>
      <c r="C18" s="243"/>
      <c r="D18" s="204">
        <v>0</v>
      </c>
      <c r="E18" s="204">
        <v>0</v>
      </c>
      <c r="F18" s="176"/>
      <c r="G18" s="204">
        <v>0</v>
      </c>
      <c r="H18" s="176"/>
      <c r="I18" s="204">
        <v>0</v>
      </c>
      <c r="J18" s="204">
        <v>0</v>
      </c>
      <c r="K18" s="176"/>
      <c r="L18" s="176"/>
      <c r="M18" s="177"/>
      <c r="N18" s="178"/>
    </row>
    <row r="19" spans="1:14" s="179" customFormat="1" ht="27.75" customHeight="1">
      <c r="A19" s="205" t="s">
        <v>69</v>
      </c>
      <c r="B19" s="242" t="s">
        <v>199</v>
      </c>
      <c r="C19" s="243"/>
      <c r="D19" s="176"/>
      <c r="E19" s="176"/>
      <c r="F19" s="176"/>
      <c r="G19" s="176"/>
      <c r="H19" s="176"/>
      <c r="I19" s="204">
        <v>0</v>
      </c>
      <c r="J19" s="176"/>
      <c r="K19" s="176"/>
      <c r="L19" s="176"/>
      <c r="M19" s="177"/>
      <c r="N19" s="178"/>
    </row>
    <row r="20" spans="1:14" s="179" customFormat="1" ht="54.75" customHeight="1">
      <c r="A20" s="205" t="s">
        <v>70</v>
      </c>
      <c r="B20" s="242" t="s">
        <v>200</v>
      </c>
      <c r="C20" s="243"/>
      <c r="D20" s="204">
        <v>0</v>
      </c>
      <c r="E20" s="204">
        <v>0</v>
      </c>
      <c r="F20" s="176"/>
      <c r="G20" s="204">
        <v>0</v>
      </c>
      <c r="H20" s="176"/>
      <c r="I20" s="204">
        <v>0</v>
      </c>
      <c r="J20" s="204">
        <v>0</v>
      </c>
      <c r="K20" s="176"/>
      <c r="L20" s="176"/>
      <c r="M20" s="177"/>
      <c r="N20" s="178"/>
    </row>
    <row r="21" spans="1:14" s="179" customFormat="1" ht="21" customHeight="1">
      <c r="A21" s="205" t="s">
        <v>71</v>
      </c>
      <c r="B21" s="242" t="s">
        <v>201</v>
      </c>
      <c r="C21" s="243"/>
      <c r="D21" s="180"/>
      <c r="E21" s="180"/>
      <c r="F21" s="180"/>
      <c r="G21" s="180"/>
      <c r="H21" s="180"/>
      <c r="I21" s="180"/>
      <c r="J21" s="180"/>
      <c r="K21" s="180"/>
      <c r="L21" s="180"/>
      <c r="M21" s="177"/>
      <c r="N21" s="178"/>
    </row>
    <row r="22" spans="1:14" s="179" customFormat="1" ht="21" customHeight="1">
      <c r="A22" s="205" t="s">
        <v>289</v>
      </c>
      <c r="B22" s="242" t="s">
        <v>305</v>
      </c>
      <c r="C22" s="243"/>
      <c r="D22" s="180"/>
      <c r="E22" s="180"/>
      <c r="F22" s="180"/>
      <c r="G22" s="180"/>
      <c r="H22" s="180"/>
      <c r="I22" s="180"/>
      <c r="J22" s="180"/>
      <c r="K22" s="180"/>
      <c r="L22" s="180"/>
      <c r="M22" s="177"/>
      <c r="N22" s="178"/>
    </row>
    <row r="23" spans="1:14" s="179" customFormat="1" ht="28.5" customHeight="1">
      <c r="A23" s="205" t="s">
        <v>37</v>
      </c>
      <c r="B23" s="242" t="s">
        <v>202</v>
      </c>
      <c r="C23" s="243"/>
      <c r="D23" s="204">
        <v>0</v>
      </c>
      <c r="E23" s="176"/>
      <c r="F23" s="176"/>
      <c r="G23" s="176"/>
      <c r="H23" s="176"/>
      <c r="I23" s="176"/>
      <c r="J23" s="176"/>
      <c r="K23" s="176"/>
      <c r="L23" s="176"/>
      <c r="M23" s="177"/>
      <c r="N23" s="178"/>
    </row>
    <row r="24" spans="1:14" s="179" customFormat="1" ht="28.5" customHeight="1">
      <c r="A24" s="205" t="s">
        <v>33</v>
      </c>
      <c r="B24" s="242" t="s">
        <v>298</v>
      </c>
      <c r="C24" s="243"/>
      <c r="D24" s="204">
        <v>0</v>
      </c>
      <c r="E24" s="176"/>
      <c r="F24" s="176"/>
      <c r="G24" s="176"/>
      <c r="H24" s="176"/>
      <c r="I24" s="176"/>
      <c r="J24" s="176"/>
      <c r="K24" s="176"/>
      <c r="L24" s="176"/>
      <c r="M24" s="177"/>
      <c r="N24" s="178"/>
    </row>
    <row r="25" spans="1:14" s="179" customFormat="1" ht="21" customHeight="1">
      <c r="A25" s="205" t="s">
        <v>35</v>
      </c>
      <c r="B25" s="242" t="s">
        <v>275</v>
      </c>
      <c r="C25" s="243"/>
      <c r="D25" s="204">
        <v>0</v>
      </c>
      <c r="E25" s="204">
        <v>0</v>
      </c>
      <c r="F25" s="176"/>
      <c r="G25" s="176"/>
      <c r="H25" s="176"/>
      <c r="I25" s="176"/>
      <c r="J25" s="176"/>
      <c r="K25" s="176"/>
      <c r="L25" s="176"/>
      <c r="M25" s="177"/>
      <c r="N25" s="178"/>
    </row>
    <row r="26" spans="1:14" s="179" customFormat="1" ht="43.5" customHeight="1">
      <c r="A26" s="205" t="s">
        <v>42</v>
      </c>
      <c r="B26" s="242" t="s">
        <v>278</v>
      </c>
      <c r="C26" s="243"/>
      <c r="D26" s="204">
        <v>0</v>
      </c>
      <c r="E26" s="176"/>
      <c r="F26" s="176"/>
      <c r="G26" s="176"/>
      <c r="H26" s="176"/>
      <c r="I26" s="176"/>
      <c r="J26" s="176"/>
      <c r="K26" s="176"/>
      <c r="L26" s="176"/>
      <c r="M26" s="177"/>
      <c r="N26" s="178"/>
    </row>
    <row r="27" spans="1:14" s="179" customFormat="1" ht="21" customHeight="1">
      <c r="A27" s="205" t="s">
        <v>128</v>
      </c>
      <c r="B27" s="242" t="s">
        <v>203</v>
      </c>
      <c r="C27" s="243"/>
      <c r="D27" s="176"/>
      <c r="E27" s="176"/>
      <c r="F27" s="176"/>
      <c r="G27" s="176"/>
      <c r="H27" s="176"/>
      <c r="I27" s="204">
        <v>0</v>
      </c>
      <c r="J27" s="176"/>
      <c r="K27" s="176"/>
      <c r="L27" s="176"/>
      <c r="M27" s="177"/>
      <c r="N27" s="178"/>
    </row>
    <row r="28" spans="1:14" s="179" customFormat="1" ht="21" customHeight="1">
      <c r="A28" s="205" t="s">
        <v>204</v>
      </c>
      <c r="B28" s="242" t="s">
        <v>290</v>
      </c>
      <c r="C28" s="243"/>
      <c r="D28" s="204">
        <v>25146470</v>
      </c>
      <c r="E28" s="176"/>
      <c r="F28" s="176"/>
      <c r="G28" s="176"/>
      <c r="H28" s="176"/>
      <c r="I28" s="204">
        <v>13589939</v>
      </c>
      <c r="J28" s="204">
        <v>0</v>
      </c>
      <c r="K28" s="204">
        <v>0</v>
      </c>
      <c r="L28" s="176"/>
      <c r="M28" s="177"/>
      <c r="N28" s="178"/>
    </row>
    <row r="29" spans="1:14" s="179" customFormat="1" ht="63.75" customHeight="1">
      <c r="A29" s="205" t="s">
        <v>205</v>
      </c>
      <c r="B29" s="242" t="s">
        <v>321</v>
      </c>
      <c r="C29" s="243"/>
      <c r="D29" s="176"/>
      <c r="E29" s="176"/>
      <c r="F29" s="176"/>
      <c r="G29" s="176"/>
      <c r="H29" s="204">
        <v>0</v>
      </c>
      <c r="I29" s="176"/>
      <c r="J29" s="176"/>
      <c r="K29" s="176"/>
      <c r="L29" s="176"/>
      <c r="M29" s="177"/>
      <c r="N29" s="178"/>
    </row>
    <row r="30" spans="1:14" s="179" customFormat="1" ht="30" customHeight="1">
      <c r="A30" s="205" t="s">
        <v>206</v>
      </c>
      <c r="B30" s="242" t="s">
        <v>322</v>
      </c>
      <c r="C30" s="243"/>
      <c r="D30" s="176"/>
      <c r="E30" s="176"/>
      <c r="F30" s="176"/>
      <c r="G30" s="176"/>
      <c r="H30" s="204">
        <v>0</v>
      </c>
      <c r="I30" s="176"/>
      <c r="J30" s="176"/>
      <c r="K30" s="176"/>
      <c r="L30" s="176"/>
      <c r="M30" s="177"/>
      <c r="N30" s="178"/>
    </row>
    <row r="31" spans="1:14" s="179" customFormat="1" ht="52.5" customHeight="1">
      <c r="A31" s="205" t="s">
        <v>207</v>
      </c>
      <c r="B31" s="242" t="s">
        <v>323</v>
      </c>
      <c r="C31" s="243"/>
      <c r="D31" s="176"/>
      <c r="E31" s="176"/>
      <c r="F31" s="176"/>
      <c r="G31" s="176"/>
      <c r="H31" s="204">
        <v>870639551</v>
      </c>
      <c r="I31" s="176"/>
      <c r="J31" s="176"/>
      <c r="K31" s="176"/>
      <c r="L31" s="176"/>
      <c r="M31" s="177"/>
      <c r="N31" s="178"/>
    </row>
    <row r="32" spans="1:14" s="179" customFormat="1" ht="28.5" customHeight="1">
      <c r="A32" s="205" t="s">
        <v>265</v>
      </c>
      <c r="B32" s="242" t="s">
        <v>279</v>
      </c>
      <c r="C32" s="243"/>
      <c r="D32" s="176"/>
      <c r="E32" s="176"/>
      <c r="F32" s="176"/>
      <c r="G32" s="176"/>
      <c r="H32" s="176"/>
      <c r="I32" s="204">
        <v>6061797156</v>
      </c>
      <c r="J32" s="204">
        <v>466859789</v>
      </c>
      <c r="K32" s="204">
        <v>287232270</v>
      </c>
      <c r="L32" s="176"/>
      <c r="M32" s="177"/>
      <c r="N32" s="178"/>
    </row>
    <row r="33" spans="1:14" s="179" customFormat="1" ht="21" customHeight="1">
      <c r="A33" s="205" t="s">
        <v>266</v>
      </c>
      <c r="B33" s="242" t="s">
        <v>299</v>
      </c>
      <c r="C33" s="243"/>
      <c r="D33" s="176"/>
      <c r="E33" s="176"/>
      <c r="F33" s="176"/>
      <c r="G33" s="176"/>
      <c r="H33" s="176"/>
      <c r="I33" s="176"/>
      <c r="J33" s="176"/>
      <c r="K33" s="204">
        <v>300550490</v>
      </c>
      <c r="L33" s="176"/>
      <c r="M33" s="177"/>
      <c r="N33" s="178"/>
    </row>
    <row r="34" spans="1:14" s="179" customFormat="1" ht="21" customHeight="1">
      <c r="A34" s="205" t="s">
        <v>291</v>
      </c>
      <c r="B34" s="242" t="s">
        <v>292</v>
      </c>
      <c r="C34" s="243"/>
      <c r="D34" s="180"/>
      <c r="E34" s="180"/>
      <c r="F34" s="180"/>
      <c r="G34" s="180"/>
      <c r="H34" s="180"/>
      <c r="I34" s="180"/>
      <c r="J34" s="180"/>
      <c r="K34" s="180"/>
      <c r="L34" s="176"/>
      <c r="M34" s="177"/>
      <c r="N34" s="178"/>
    </row>
    <row r="35" spans="1:14" s="179" customFormat="1" ht="21" customHeight="1">
      <c r="A35" s="205" t="s">
        <v>37</v>
      </c>
      <c r="B35" s="242" t="s">
        <v>203</v>
      </c>
      <c r="C35" s="243"/>
      <c r="D35" s="176"/>
      <c r="E35" s="176"/>
      <c r="F35" s="176"/>
      <c r="G35" s="176"/>
      <c r="H35" s="176"/>
      <c r="I35" s="204">
        <v>0</v>
      </c>
      <c r="J35" s="176"/>
      <c r="K35" s="176"/>
      <c r="L35" s="176"/>
      <c r="M35" s="177"/>
      <c r="N35" s="178"/>
    </row>
    <row r="36" spans="1:14" s="179" customFormat="1" ht="23.25" customHeight="1">
      <c r="A36" s="205" t="s">
        <v>33</v>
      </c>
      <c r="B36" s="242" t="s">
        <v>296</v>
      </c>
      <c r="C36" s="243"/>
      <c r="D36" s="204">
        <v>0</v>
      </c>
      <c r="E36" s="204">
        <v>0</v>
      </c>
      <c r="F36" s="176"/>
      <c r="G36" s="176"/>
      <c r="H36" s="176"/>
      <c r="I36" s="176"/>
      <c r="J36" s="176"/>
      <c r="K36" s="176"/>
      <c r="L36" s="176"/>
      <c r="M36" s="177"/>
      <c r="N36" s="178"/>
    </row>
    <row r="37" spans="1:14" s="179" customFormat="1" ht="23.25" customHeight="1">
      <c r="A37" s="205" t="s">
        <v>35</v>
      </c>
      <c r="B37" s="242" t="s">
        <v>293</v>
      </c>
      <c r="C37" s="243"/>
      <c r="D37" s="176"/>
      <c r="E37" s="176"/>
      <c r="F37" s="204">
        <v>41905153</v>
      </c>
      <c r="G37" s="204">
        <v>194137077</v>
      </c>
      <c r="H37" s="176"/>
      <c r="I37" s="204">
        <v>505205459</v>
      </c>
      <c r="J37" s="204">
        <v>10438662</v>
      </c>
      <c r="K37" s="176"/>
      <c r="L37" s="176"/>
      <c r="M37" s="177"/>
      <c r="N37" s="178"/>
    </row>
    <row r="38" spans="1:14" s="179" customFormat="1" ht="23.25" customHeight="1">
      <c r="A38" s="205" t="s">
        <v>42</v>
      </c>
      <c r="B38" s="242" t="s">
        <v>294</v>
      </c>
      <c r="C38" s="243"/>
      <c r="D38" s="176"/>
      <c r="E38" s="176"/>
      <c r="F38" s="204">
        <v>4046099</v>
      </c>
      <c r="G38" s="204">
        <v>21718576</v>
      </c>
      <c r="H38" s="176"/>
      <c r="I38" s="204">
        <v>276640869</v>
      </c>
      <c r="J38" s="204">
        <v>417098745</v>
      </c>
      <c r="K38" s="176"/>
      <c r="L38" s="176"/>
      <c r="M38" s="177"/>
      <c r="N38" s="178"/>
    </row>
    <row r="39" spans="1:14" s="179" customFormat="1" ht="21" customHeight="1">
      <c r="A39" s="205" t="s">
        <v>128</v>
      </c>
      <c r="B39" s="242" t="s">
        <v>295</v>
      </c>
      <c r="C39" s="243"/>
      <c r="D39" s="176"/>
      <c r="E39" s="176"/>
      <c r="F39" s="176"/>
      <c r="G39" s="176"/>
      <c r="H39" s="176"/>
      <c r="I39" s="204">
        <v>20449913</v>
      </c>
      <c r="J39" s="204">
        <v>26624915</v>
      </c>
      <c r="K39" s="204">
        <v>3883155</v>
      </c>
      <c r="L39" s="176"/>
      <c r="M39" s="177"/>
      <c r="N39" s="178"/>
    </row>
    <row r="40" spans="1:14" s="179" customFormat="1" ht="28.5" customHeight="1">
      <c r="A40" s="205" t="s">
        <v>204</v>
      </c>
      <c r="B40" s="242" t="s">
        <v>306</v>
      </c>
      <c r="C40" s="243"/>
      <c r="D40" s="176"/>
      <c r="E40" s="176"/>
      <c r="F40" s="176"/>
      <c r="G40" s="176"/>
      <c r="H40" s="176"/>
      <c r="I40" s="204">
        <v>146576121</v>
      </c>
      <c r="J40" s="204">
        <v>139324014</v>
      </c>
      <c r="K40" s="204">
        <v>11962343</v>
      </c>
      <c r="L40" s="176"/>
      <c r="M40" s="177"/>
      <c r="N40" s="178"/>
    </row>
    <row r="41" spans="1:14" s="179" customFormat="1" ht="23.25" customHeight="1">
      <c r="A41" s="205" t="s">
        <v>205</v>
      </c>
      <c r="B41" s="242" t="s">
        <v>307</v>
      </c>
      <c r="C41" s="243"/>
      <c r="D41" s="176"/>
      <c r="E41" s="176"/>
      <c r="F41" s="176"/>
      <c r="G41" s="176"/>
      <c r="H41" s="176"/>
      <c r="I41" s="204">
        <v>12042338</v>
      </c>
      <c r="J41" s="204">
        <v>130625841</v>
      </c>
      <c r="K41" s="204">
        <v>148569577</v>
      </c>
      <c r="L41" s="176"/>
      <c r="M41" s="177"/>
      <c r="N41" s="178"/>
    </row>
    <row r="42" spans="1:14" s="179" customFormat="1" ht="43.5" customHeight="1">
      <c r="A42" s="205" t="s">
        <v>206</v>
      </c>
      <c r="B42" s="242" t="s">
        <v>308</v>
      </c>
      <c r="C42" s="243"/>
      <c r="D42" s="176"/>
      <c r="E42" s="176"/>
      <c r="F42" s="176"/>
      <c r="G42" s="176"/>
      <c r="H42" s="176"/>
      <c r="I42" s="204">
        <v>67137973</v>
      </c>
      <c r="J42" s="176"/>
      <c r="K42" s="176"/>
      <c r="L42" s="176"/>
      <c r="M42" s="177"/>
      <c r="N42" s="178"/>
    </row>
    <row r="43" spans="1:14" s="179" customFormat="1" ht="55.5" customHeight="1">
      <c r="A43" s="205" t="s">
        <v>207</v>
      </c>
      <c r="B43" s="242" t="s">
        <v>309</v>
      </c>
      <c r="C43" s="243"/>
      <c r="D43" s="176"/>
      <c r="E43" s="176"/>
      <c r="F43" s="176"/>
      <c r="G43" s="176"/>
      <c r="H43" s="176"/>
      <c r="I43" s="176"/>
      <c r="J43" s="204">
        <v>85604940</v>
      </c>
      <c r="K43" s="176"/>
      <c r="L43" s="176"/>
      <c r="M43" s="177"/>
      <c r="N43" s="178"/>
    </row>
    <row r="44" spans="1:14" s="179" customFormat="1" ht="42.75" customHeight="1">
      <c r="A44" s="205" t="s">
        <v>265</v>
      </c>
      <c r="B44" s="242" t="s">
        <v>302</v>
      </c>
      <c r="C44" s="243"/>
      <c r="D44" s="176"/>
      <c r="E44" s="176"/>
      <c r="F44" s="176"/>
      <c r="G44" s="176"/>
      <c r="H44" s="176"/>
      <c r="I44" s="204">
        <v>183881829</v>
      </c>
      <c r="J44" s="176"/>
      <c r="K44" s="176"/>
      <c r="L44" s="176"/>
      <c r="M44" s="177"/>
      <c r="N44" s="178"/>
    </row>
    <row r="45" spans="1:14" s="179" customFormat="1" ht="42.75" customHeight="1">
      <c r="A45" s="205" t="s">
        <v>266</v>
      </c>
      <c r="B45" s="242" t="s">
        <v>303</v>
      </c>
      <c r="C45" s="243"/>
      <c r="D45" s="176"/>
      <c r="E45" s="176"/>
      <c r="F45" s="176"/>
      <c r="G45" s="176"/>
      <c r="H45" s="176"/>
      <c r="I45" s="176"/>
      <c r="J45" s="204">
        <v>1402448735</v>
      </c>
      <c r="K45" s="176"/>
      <c r="L45" s="176"/>
      <c r="M45" s="177"/>
      <c r="N45" s="178"/>
    </row>
    <row r="46" spans="1:14" s="179" customFormat="1" ht="23.25" customHeight="1">
      <c r="A46" s="205" t="s">
        <v>267</v>
      </c>
      <c r="B46" s="242" t="s">
        <v>290</v>
      </c>
      <c r="C46" s="243"/>
      <c r="D46" s="204">
        <v>36460134</v>
      </c>
      <c r="E46" s="176"/>
      <c r="F46" s="176"/>
      <c r="G46" s="176"/>
      <c r="H46" s="176"/>
      <c r="I46" s="204">
        <v>36649817</v>
      </c>
      <c r="J46" s="204">
        <v>3897599</v>
      </c>
      <c r="K46" s="204">
        <v>0</v>
      </c>
      <c r="L46" s="176"/>
      <c r="M46" s="177"/>
      <c r="N46" s="178"/>
    </row>
    <row r="47" spans="1:14" s="179" customFormat="1" ht="70.5" customHeight="1">
      <c r="A47" s="205" t="s">
        <v>273</v>
      </c>
      <c r="B47" s="242" t="s">
        <v>324</v>
      </c>
      <c r="C47" s="243"/>
      <c r="D47" s="176"/>
      <c r="E47" s="176"/>
      <c r="F47" s="176"/>
      <c r="G47" s="176"/>
      <c r="H47" s="204">
        <v>0</v>
      </c>
      <c r="I47" s="176"/>
      <c r="J47" s="176"/>
      <c r="K47" s="176"/>
      <c r="L47" s="176"/>
      <c r="M47" s="177"/>
      <c r="N47" s="178"/>
    </row>
    <row r="48" spans="1:14" s="179" customFormat="1" ht="43.5" customHeight="1">
      <c r="A48" s="205" t="s">
        <v>329</v>
      </c>
      <c r="B48" s="242" t="s">
        <v>325</v>
      </c>
      <c r="C48" s="243"/>
      <c r="D48" s="176"/>
      <c r="E48" s="176"/>
      <c r="F48" s="176"/>
      <c r="G48" s="176"/>
      <c r="H48" s="204">
        <v>0</v>
      </c>
      <c r="I48" s="204">
        <v>0</v>
      </c>
      <c r="J48" s="204">
        <v>0</v>
      </c>
      <c r="K48" s="204">
        <v>0</v>
      </c>
      <c r="L48" s="176"/>
      <c r="M48" s="177"/>
      <c r="N48" s="178"/>
    </row>
    <row r="49" spans="1:16" s="179" customFormat="1" ht="52.5" customHeight="1">
      <c r="A49" s="205" t="s">
        <v>301</v>
      </c>
      <c r="B49" s="242" t="s">
        <v>328</v>
      </c>
      <c r="C49" s="243"/>
      <c r="D49" s="176"/>
      <c r="E49" s="176"/>
      <c r="F49" s="176"/>
      <c r="G49" s="176"/>
      <c r="H49" s="176"/>
      <c r="I49" s="176"/>
      <c r="J49" s="204">
        <v>0</v>
      </c>
      <c r="K49" s="204">
        <v>0</v>
      </c>
      <c r="L49" s="176"/>
      <c r="M49" s="177"/>
      <c r="N49" s="178"/>
    </row>
    <row r="50" spans="1:16" s="179" customFormat="1" ht="26.25" customHeight="1">
      <c r="A50" s="205" t="s">
        <v>326</v>
      </c>
      <c r="B50" s="242" t="s">
        <v>297</v>
      </c>
      <c r="C50" s="243"/>
      <c r="D50" s="176"/>
      <c r="E50" s="176"/>
      <c r="F50" s="176"/>
      <c r="G50" s="176"/>
      <c r="H50" s="176"/>
      <c r="I50" s="204">
        <v>3990266686</v>
      </c>
      <c r="J50" s="204">
        <v>9448406</v>
      </c>
      <c r="K50" s="204">
        <v>79269994</v>
      </c>
      <c r="L50" s="176"/>
      <c r="M50" s="177"/>
      <c r="N50" s="178"/>
    </row>
    <row r="51" spans="1:16" s="179" customFormat="1" ht="21" customHeight="1">
      <c r="A51" s="205" t="s">
        <v>327</v>
      </c>
      <c r="B51" s="242" t="s">
        <v>300</v>
      </c>
      <c r="C51" s="243"/>
      <c r="D51" s="176"/>
      <c r="E51" s="176"/>
      <c r="F51" s="176"/>
      <c r="G51" s="176"/>
      <c r="H51" s="176"/>
      <c r="I51" s="176"/>
      <c r="J51" s="176"/>
      <c r="K51" s="204">
        <v>403775311</v>
      </c>
      <c r="L51" s="176"/>
      <c r="M51" s="177"/>
      <c r="N51" s="177"/>
      <c r="O51" s="177"/>
    </row>
    <row r="52" spans="1:16" s="179" customFormat="1" ht="21" customHeight="1">
      <c r="A52" s="205" t="s">
        <v>72</v>
      </c>
      <c r="B52" s="242" t="s">
        <v>208</v>
      </c>
      <c r="C52" s="243"/>
      <c r="D52" s="176"/>
      <c r="E52" s="176"/>
      <c r="F52" s="176"/>
      <c r="G52" s="176"/>
      <c r="H52" s="176"/>
      <c r="I52" s="176"/>
      <c r="J52" s="176"/>
      <c r="K52" s="176"/>
      <c r="L52" s="176"/>
      <c r="M52" s="177"/>
      <c r="N52" s="178"/>
    </row>
    <row r="53" spans="1:16" s="179" customFormat="1" ht="21" customHeight="1">
      <c r="A53" s="205" t="s">
        <v>37</v>
      </c>
      <c r="B53" s="242" t="s">
        <v>209</v>
      </c>
      <c r="C53" s="243"/>
      <c r="D53" s="176"/>
      <c r="E53" s="176"/>
      <c r="F53" s="176"/>
      <c r="G53" s="176"/>
      <c r="H53" s="176"/>
      <c r="I53" s="204">
        <v>888291934</v>
      </c>
      <c r="J53" s="176"/>
      <c r="K53" s="176"/>
      <c r="L53" s="176"/>
      <c r="M53" s="177"/>
      <c r="N53" s="178"/>
    </row>
    <row r="54" spans="1:16" s="179" customFormat="1" ht="21" customHeight="1">
      <c r="A54" s="205" t="s">
        <v>33</v>
      </c>
      <c r="B54" s="242" t="s">
        <v>210</v>
      </c>
      <c r="C54" s="243"/>
      <c r="D54" s="176"/>
      <c r="E54" s="176"/>
      <c r="F54" s="176"/>
      <c r="G54" s="176"/>
      <c r="H54" s="176"/>
      <c r="I54" s="204">
        <v>0</v>
      </c>
      <c r="J54" s="176"/>
      <c r="K54" s="176"/>
      <c r="L54" s="176"/>
      <c r="M54" s="177"/>
      <c r="N54" s="178"/>
    </row>
    <row r="55" spans="1:16" s="179" customFormat="1" ht="31.5" customHeight="1">
      <c r="A55" s="205" t="s">
        <v>35</v>
      </c>
      <c r="B55" s="242" t="s">
        <v>211</v>
      </c>
      <c r="C55" s="243"/>
      <c r="D55" s="176"/>
      <c r="E55" s="176"/>
      <c r="F55" s="176"/>
      <c r="G55" s="176"/>
      <c r="H55" s="176"/>
      <c r="I55" s="176"/>
      <c r="J55" s="204">
        <v>621395723</v>
      </c>
      <c r="K55" s="204">
        <v>169098240</v>
      </c>
      <c r="L55" s="176"/>
      <c r="M55" s="177"/>
      <c r="N55" s="178"/>
    </row>
    <row r="56" spans="1:16" s="179" customFormat="1" ht="21" customHeight="1">
      <c r="A56" s="205" t="s">
        <v>42</v>
      </c>
      <c r="B56" s="242" t="s">
        <v>212</v>
      </c>
      <c r="C56" s="243"/>
      <c r="D56" s="176"/>
      <c r="E56" s="176"/>
      <c r="F56" s="176"/>
      <c r="G56" s="176"/>
      <c r="H56" s="176"/>
      <c r="I56" s="176"/>
      <c r="J56" s="204">
        <v>0</v>
      </c>
      <c r="K56" s="204">
        <v>0</v>
      </c>
      <c r="L56" s="176"/>
      <c r="M56" s="177"/>
      <c r="N56" s="178"/>
    </row>
    <row r="57" spans="1:16" s="179" customFormat="1" ht="28.5" customHeight="1">
      <c r="A57" s="205" t="s">
        <v>79</v>
      </c>
      <c r="B57" s="242" t="s">
        <v>280</v>
      </c>
      <c r="C57" s="243"/>
      <c r="D57" s="204">
        <v>0</v>
      </c>
      <c r="E57" s="176"/>
      <c r="F57" s="176"/>
      <c r="G57" s="176"/>
      <c r="H57" s="176"/>
      <c r="I57" s="176"/>
      <c r="J57" s="204">
        <v>52178810</v>
      </c>
      <c r="K57" s="204">
        <v>0</v>
      </c>
      <c r="L57" s="204">
        <v>28452400</v>
      </c>
      <c r="M57" s="177"/>
      <c r="N57" s="178"/>
    </row>
    <row r="58" spans="1:16" s="179" customFormat="1" ht="27.75" customHeight="1">
      <c r="A58" s="205" t="s">
        <v>80</v>
      </c>
      <c r="B58" s="242" t="s">
        <v>281</v>
      </c>
      <c r="C58" s="243"/>
      <c r="D58" s="204">
        <v>789839000</v>
      </c>
      <c r="E58" s="176"/>
      <c r="F58" s="176"/>
      <c r="G58" s="176"/>
      <c r="H58" s="176"/>
      <c r="I58" s="176"/>
      <c r="J58" s="204">
        <v>54532563</v>
      </c>
      <c r="K58" s="204">
        <v>0</v>
      </c>
      <c r="L58" s="176"/>
      <c r="M58" s="177"/>
      <c r="N58" s="178"/>
    </row>
    <row r="59" spans="1:16" s="179" customFormat="1" ht="21" customHeight="1">
      <c r="A59" s="205" t="s">
        <v>73</v>
      </c>
      <c r="B59" s="242" t="s">
        <v>213</v>
      </c>
      <c r="C59" s="243"/>
      <c r="D59" s="175">
        <f>+'Bank Capital Calc'!C20</f>
        <v>6889119</v>
      </c>
      <c r="E59" s="181"/>
      <c r="F59" s="176"/>
      <c r="G59" s="176"/>
      <c r="H59" s="176"/>
      <c r="I59" s="204">
        <v>8818599</v>
      </c>
      <c r="J59" s="176"/>
      <c r="K59" s="176"/>
      <c r="L59" s="176"/>
      <c r="M59" s="177"/>
      <c r="N59" s="178"/>
    </row>
    <row r="60" spans="1:16" s="179" customFormat="1" ht="21" customHeight="1">
      <c r="A60" s="205" t="s">
        <v>74</v>
      </c>
      <c r="B60" s="242" t="s">
        <v>264</v>
      </c>
      <c r="C60" s="243"/>
      <c r="D60" s="204">
        <v>0</v>
      </c>
      <c r="E60" s="204">
        <v>0</v>
      </c>
      <c r="F60" s="176"/>
      <c r="G60" s="176"/>
      <c r="H60" s="176"/>
      <c r="I60" s="204">
        <v>1400024</v>
      </c>
      <c r="J60" s="176"/>
      <c r="K60" s="204">
        <v>0</v>
      </c>
      <c r="L60" s="176"/>
      <c r="M60" s="177"/>
      <c r="N60" s="178"/>
    </row>
    <row r="61" spans="1:16" s="179" customFormat="1" ht="21" customHeight="1">
      <c r="A61" s="205" t="s">
        <v>75</v>
      </c>
      <c r="B61" s="242" t="s">
        <v>282</v>
      </c>
      <c r="C61" s="243"/>
      <c r="D61" s="176"/>
      <c r="E61" s="176"/>
      <c r="F61" s="176"/>
      <c r="G61" s="176"/>
      <c r="H61" s="176"/>
      <c r="I61" s="176"/>
      <c r="J61" s="176"/>
      <c r="K61" s="204">
        <v>1479249</v>
      </c>
      <c r="L61" s="176"/>
      <c r="M61" s="177"/>
      <c r="N61" s="178"/>
    </row>
    <row r="62" spans="1:16" s="179" customFormat="1" ht="21" customHeight="1">
      <c r="A62" s="205" t="s">
        <v>76</v>
      </c>
      <c r="B62" s="242" t="s">
        <v>268</v>
      </c>
      <c r="C62" s="243"/>
      <c r="D62" s="239">
        <f>+[7]Balance!$D$39</f>
        <v>123374035</v>
      </c>
      <c r="E62" s="176"/>
      <c r="F62" s="176"/>
      <c r="G62" s="176"/>
      <c r="H62" s="176"/>
      <c r="I62" s="176"/>
      <c r="J62" s="176"/>
      <c r="K62" s="176"/>
      <c r="L62" s="176"/>
      <c r="M62" s="206">
        <f>+D62</f>
        <v>123374035</v>
      </c>
      <c r="N62" s="206">
        <f>+[7]Balance!$D$39</f>
        <v>123374035</v>
      </c>
      <c r="O62" s="206">
        <f>+M62-N62</f>
        <v>0</v>
      </c>
    </row>
    <row r="63" spans="1:16" s="179" customFormat="1" ht="21" customHeight="1">
      <c r="A63" s="205" t="s">
        <v>77</v>
      </c>
      <c r="B63" s="242" t="s">
        <v>214</v>
      </c>
      <c r="C63" s="243"/>
      <c r="D63" s="204">
        <v>1893420</v>
      </c>
      <c r="E63" s="204"/>
      <c r="F63" s="204">
        <v>1335429</v>
      </c>
      <c r="G63" s="204">
        <v>5070712</v>
      </c>
      <c r="H63" s="204">
        <v>20140782</v>
      </c>
      <c r="I63" s="204">
        <v>1301003018</v>
      </c>
      <c r="J63" s="204">
        <v>85543630</v>
      </c>
      <c r="K63" s="204">
        <v>817135817</v>
      </c>
      <c r="L63" s="204"/>
      <c r="M63" s="206"/>
      <c r="N63" s="206"/>
      <c r="O63" s="206"/>
    </row>
    <row r="64" spans="1:16" s="179" customFormat="1" ht="21" customHeight="1">
      <c r="A64" s="205" t="s">
        <v>78</v>
      </c>
      <c r="B64" s="242" t="s">
        <v>215</v>
      </c>
      <c r="C64" s="243"/>
      <c r="D64" s="182">
        <f t="shared" ref="D64:L64" si="0">SUM(D8:D61)+D63-D62</f>
        <v>2179264488</v>
      </c>
      <c r="E64" s="182">
        <f t="shared" si="0"/>
        <v>198784749</v>
      </c>
      <c r="F64" s="182">
        <f t="shared" si="0"/>
        <v>47286681</v>
      </c>
      <c r="G64" s="182">
        <f t="shared" si="0"/>
        <v>232059710</v>
      </c>
      <c r="H64" s="182">
        <f t="shared" si="0"/>
        <v>890780333</v>
      </c>
      <c r="I64" s="182">
        <f t="shared" si="0"/>
        <v>13564134573</v>
      </c>
      <c r="J64" s="182">
        <f t="shared" si="0"/>
        <v>3506022372</v>
      </c>
      <c r="K64" s="182">
        <f t="shared" si="0"/>
        <v>2222956446</v>
      </c>
      <c r="L64" s="182">
        <f t="shared" si="0"/>
        <v>28452400</v>
      </c>
      <c r="M64" s="206">
        <f>SUM(D64:L64)</f>
        <v>22869741752</v>
      </c>
      <c r="N64" s="206">
        <f>+[7]Balance!$D$47</f>
        <v>22869741752</v>
      </c>
      <c r="O64" s="206">
        <f>+M64-N64</f>
        <v>0</v>
      </c>
      <c r="P64" s="206"/>
    </row>
    <row r="65" spans="1:16" s="179" customFormat="1" ht="26.25" customHeight="1">
      <c r="A65" s="205" t="s">
        <v>263</v>
      </c>
      <c r="B65" s="242" t="s">
        <v>216</v>
      </c>
      <c r="C65" s="243"/>
      <c r="D65" s="176"/>
      <c r="E65" s="182">
        <f t="shared" ref="E65:L65" si="1">E64*E3</f>
        <v>39756949.800000004</v>
      </c>
      <c r="F65" s="182">
        <f t="shared" si="1"/>
        <v>16550338.35</v>
      </c>
      <c r="G65" s="182">
        <f t="shared" si="1"/>
        <v>116029855</v>
      </c>
      <c r="H65" s="182">
        <f t="shared" si="1"/>
        <v>668085249.75</v>
      </c>
      <c r="I65" s="182">
        <f t="shared" si="1"/>
        <v>13564134573</v>
      </c>
      <c r="J65" s="182">
        <f t="shared" si="1"/>
        <v>5259033558</v>
      </c>
      <c r="K65" s="182">
        <f t="shared" si="1"/>
        <v>4445912892</v>
      </c>
      <c r="L65" s="182">
        <f t="shared" si="1"/>
        <v>71131000</v>
      </c>
      <c r="M65" s="206"/>
      <c r="N65" s="206"/>
      <c r="O65" s="206"/>
      <c r="P65" s="206"/>
    </row>
    <row r="66" spans="1:16" s="179" customFormat="1" ht="21" customHeight="1">
      <c r="A66" s="205" t="s">
        <v>269</v>
      </c>
      <c r="B66" s="242" t="s">
        <v>283</v>
      </c>
      <c r="C66" s="243"/>
      <c r="D66" s="176"/>
      <c r="E66" s="176"/>
      <c r="F66" s="176"/>
      <c r="G66" s="176"/>
      <c r="H66" s="176"/>
      <c r="I66" s="176"/>
      <c r="J66" s="176"/>
      <c r="K66" s="176"/>
      <c r="L66" s="232">
        <f>SUM(D65:L65)</f>
        <v>24180634415.900002</v>
      </c>
      <c r="M66" s="206"/>
      <c r="N66" s="206"/>
      <c r="O66" s="206"/>
      <c r="P66" s="206"/>
    </row>
    <row r="67" spans="1:16" s="179" customFormat="1">
      <c r="A67" s="167"/>
      <c r="B67" s="183"/>
      <c r="C67" s="183"/>
      <c r="K67" s="178"/>
      <c r="L67" s="178"/>
      <c r="M67" s="206"/>
      <c r="N67" s="206"/>
      <c r="O67" s="206"/>
      <c r="P67" s="206"/>
    </row>
    <row r="68" spans="1:16" s="179" customFormat="1">
      <c r="A68" s="167"/>
      <c r="B68" s="184"/>
      <c r="C68" s="184"/>
      <c r="D68" s="184"/>
      <c r="E68" s="184"/>
      <c r="F68" s="184"/>
      <c r="G68" s="184"/>
      <c r="H68" s="184"/>
      <c r="I68" s="184"/>
      <c r="J68" s="184"/>
      <c r="M68" s="206"/>
      <c r="N68" s="206"/>
      <c r="O68" s="206"/>
      <c r="P68" s="206"/>
    </row>
    <row r="69" spans="1:16" s="179" customFormat="1" ht="48.75" customHeight="1">
      <c r="A69" s="185" t="s">
        <v>52</v>
      </c>
      <c r="B69" s="205" t="s">
        <v>219</v>
      </c>
      <c r="C69" s="186" t="s">
        <v>217</v>
      </c>
      <c r="D69" s="171">
        <v>0</v>
      </c>
      <c r="E69" s="171">
        <v>0.2</v>
      </c>
      <c r="F69" s="171">
        <v>0.35</v>
      </c>
      <c r="G69" s="171">
        <v>0.5</v>
      </c>
      <c r="H69" s="187">
        <v>0.75</v>
      </c>
      <c r="I69" s="171">
        <v>1</v>
      </c>
      <c r="J69" s="171">
        <v>1.5</v>
      </c>
      <c r="K69" s="171">
        <v>2</v>
      </c>
      <c r="L69" s="171">
        <v>2.5</v>
      </c>
      <c r="M69" s="206"/>
      <c r="N69" s="206"/>
      <c r="O69" s="206"/>
      <c r="P69" s="206"/>
    </row>
    <row r="70" spans="1:16" s="179" customFormat="1">
      <c r="A70" s="185">
        <v>1</v>
      </c>
      <c r="B70" s="188" t="s">
        <v>220</v>
      </c>
      <c r="C70" s="176"/>
      <c r="D70" s="176"/>
      <c r="E70" s="176"/>
      <c r="F70" s="176"/>
      <c r="G70" s="176"/>
      <c r="H70" s="176"/>
      <c r="I70" s="176"/>
      <c r="J70" s="176"/>
      <c r="K70" s="176"/>
      <c r="L70" s="176"/>
      <c r="M70" s="206"/>
      <c r="N70" s="206"/>
      <c r="O70" s="206"/>
      <c r="P70" s="206"/>
    </row>
    <row r="71" spans="1:16" s="179" customFormat="1" ht="12.75" customHeight="1">
      <c r="A71" s="185" t="s">
        <v>31</v>
      </c>
      <c r="B71" s="189" t="s">
        <v>221</v>
      </c>
      <c r="C71" s="190">
        <v>0.5</v>
      </c>
      <c r="D71" s="204">
        <v>761000</v>
      </c>
      <c r="E71" s="204"/>
      <c r="F71" s="204">
        <v>5610973</v>
      </c>
      <c r="G71" s="204">
        <v>2909476</v>
      </c>
      <c r="H71" s="204">
        <v>12112098</v>
      </c>
      <c r="I71" s="204">
        <v>269745448</v>
      </c>
      <c r="J71" s="204">
        <v>80343895</v>
      </c>
      <c r="K71" s="204">
        <v>8466348</v>
      </c>
      <c r="L71" s="176"/>
      <c r="M71" s="206"/>
      <c r="N71" s="206"/>
      <c r="O71" s="206"/>
      <c r="P71" s="206"/>
    </row>
    <row r="72" spans="1:16" s="179" customFormat="1">
      <c r="A72" s="185" t="s">
        <v>33</v>
      </c>
      <c r="B72" s="189" t="s">
        <v>222</v>
      </c>
      <c r="C72" s="190">
        <v>0.2</v>
      </c>
      <c r="D72" s="204">
        <v>25002</v>
      </c>
      <c r="E72" s="204"/>
      <c r="F72" s="204">
        <v>3155</v>
      </c>
      <c r="G72" s="204">
        <v>0</v>
      </c>
      <c r="H72" s="204">
        <v>58338746</v>
      </c>
      <c r="I72" s="204">
        <v>137371078</v>
      </c>
      <c r="J72" s="204">
        <v>5605243</v>
      </c>
      <c r="K72" s="204">
        <v>3132392</v>
      </c>
      <c r="L72" s="176"/>
      <c r="M72" s="206">
        <f>SUM(D71:L72)</f>
        <v>584424854</v>
      </c>
      <c r="N72" s="206">
        <f>+[7]Commitments!$D$4</f>
        <v>584424854</v>
      </c>
      <c r="O72" s="206">
        <f>+M72-N72</f>
        <v>0</v>
      </c>
      <c r="P72" s="206"/>
    </row>
    <row r="73" spans="1:16" s="179" customFormat="1" ht="26.25" customHeight="1">
      <c r="A73" s="185">
        <v>2</v>
      </c>
      <c r="B73" s="188" t="s">
        <v>284</v>
      </c>
      <c r="C73" s="190">
        <v>1</v>
      </c>
      <c r="D73" s="204"/>
      <c r="E73" s="204"/>
      <c r="F73" s="176"/>
      <c r="G73" s="204"/>
      <c r="H73" s="176"/>
      <c r="I73" s="204">
        <v>0</v>
      </c>
      <c r="J73" s="176"/>
      <c r="K73" s="176"/>
      <c r="L73" s="176"/>
      <c r="M73" s="206"/>
      <c r="N73" s="206"/>
      <c r="O73" s="206"/>
      <c r="P73" s="206"/>
    </row>
    <row r="74" spans="1:16" s="179" customFormat="1">
      <c r="A74" s="185">
        <v>3</v>
      </c>
      <c r="B74" s="188" t="s">
        <v>223</v>
      </c>
      <c r="C74" s="190">
        <v>1</v>
      </c>
      <c r="D74" s="204"/>
      <c r="E74" s="204"/>
      <c r="F74" s="176"/>
      <c r="G74" s="204"/>
      <c r="H74" s="176"/>
      <c r="I74" s="204">
        <v>3000000</v>
      </c>
      <c r="J74" s="204"/>
      <c r="K74" s="204"/>
      <c r="L74" s="176"/>
      <c r="M74" s="206">
        <f>SUM(D74:L74)</f>
        <v>3000000</v>
      </c>
      <c r="N74" s="206">
        <f>+[7]Commitments!$D$7</f>
        <v>3000000</v>
      </c>
      <c r="O74" s="206">
        <f>+M74-N74</f>
        <v>0</v>
      </c>
      <c r="P74" s="206"/>
    </row>
    <row r="75" spans="1:16" s="179" customFormat="1">
      <c r="A75" s="185">
        <v>4</v>
      </c>
      <c r="B75" s="188" t="s">
        <v>285</v>
      </c>
      <c r="C75" s="193"/>
      <c r="D75" s="176"/>
      <c r="E75" s="176"/>
      <c r="F75" s="176"/>
      <c r="G75" s="176"/>
      <c r="H75" s="176"/>
      <c r="I75" s="176"/>
      <c r="J75" s="176"/>
      <c r="K75" s="176"/>
      <c r="L75" s="176"/>
      <c r="M75" s="206"/>
      <c r="N75" s="206"/>
      <c r="O75" s="206"/>
      <c r="P75" s="206"/>
    </row>
    <row r="76" spans="1:16" s="179" customFormat="1">
      <c r="A76" s="185" t="s">
        <v>31</v>
      </c>
      <c r="B76" s="189" t="s">
        <v>224</v>
      </c>
      <c r="C76" s="190">
        <v>1</v>
      </c>
      <c r="D76" s="204"/>
      <c r="E76" s="204"/>
      <c r="F76" s="176"/>
      <c r="G76" s="204"/>
      <c r="H76" s="176"/>
      <c r="I76" s="204">
        <v>0</v>
      </c>
      <c r="J76" s="176"/>
      <c r="K76" s="204"/>
      <c r="L76" s="176"/>
      <c r="M76" s="206"/>
      <c r="N76" s="206"/>
      <c r="O76" s="206"/>
      <c r="P76" s="206"/>
    </row>
    <row r="77" spans="1:16" s="179" customFormat="1">
      <c r="A77" s="185" t="s">
        <v>33</v>
      </c>
      <c r="B77" s="189" t="s">
        <v>225</v>
      </c>
      <c r="C77" s="190">
        <v>0.5</v>
      </c>
      <c r="D77" s="204"/>
      <c r="E77" s="204"/>
      <c r="F77" s="176"/>
      <c r="G77" s="204">
        <v>0</v>
      </c>
      <c r="H77" s="176"/>
      <c r="I77" s="204">
        <v>0</v>
      </c>
      <c r="J77" s="176"/>
      <c r="K77" s="204"/>
      <c r="L77" s="176"/>
      <c r="M77" s="206"/>
      <c r="N77" s="206"/>
      <c r="O77" s="206"/>
      <c r="P77" s="206"/>
    </row>
    <row r="78" spans="1:16" s="179" customFormat="1" ht="12.75" customHeight="1">
      <c r="A78" s="185" t="s">
        <v>35</v>
      </c>
      <c r="B78" s="189" t="s">
        <v>226</v>
      </c>
      <c r="C78" s="190">
        <v>0.2</v>
      </c>
      <c r="D78" s="204"/>
      <c r="E78" s="204"/>
      <c r="F78" s="176"/>
      <c r="G78" s="204"/>
      <c r="H78" s="176"/>
      <c r="I78" s="204">
        <v>0</v>
      </c>
      <c r="J78" s="176"/>
      <c r="K78" s="204"/>
      <c r="L78" s="176"/>
      <c r="M78" s="206"/>
      <c r="N78" s="206"/>
      <c r="O78" s="206"/>
      <c r="P78" s="206"/>
    </row>
    <row r="79" spans="1:16" s="179" customFormat="1">
      <c r="A79" s="185" t="s">
        <v>42</v>
      </c>
      <c r="B79" s="189" t="s">
        <v>227</v>
      </c>
      <c r="C79" s="190">
        <v>1</v>
      </c>
      <c r="D79" s="204"/>
      <c r="E79" s="204"/>
      <c r="F79" s="176"/>
      <c r="G79" s="204"/>
      <c r="H79" s="176"/>
      <c r="I79" s="204">
        <v>0</v>
      </c>
      <c r="J79" s="176"/>
      <c r="K79" s="204"/>
      <c r="L79" s="176"/>
      <c r="M79" s="206">
        <f>SUM(D76:L79)</f>
        <v>0</v>
      </c>
      <c r="N79" s="206">
        <f>+[7]Commitments!$D$10</f>
        <v>0</v>
      </c>
      <c r="O79" s="206">
        <f>+M79-N79</f>
        <v>0</v>
      </c>
      <c r="P79" s="206"/>
    </row>
    <row r="80" spans="1:16" s="179" customFormat="1" ht="26.25" customHeight="1">
      <c r="A80" s="185">
        <v>5</v>
      </c>
      <c r="B80" s="188" t="s">
        <v>256</v>
      </c>
      <c r="C80" s="193"/>
      <c r="D80" s="176"/>
      <c r="E80" s="176"/>
      <c r="F80" s="176"/>
      <c r="G80" s="176"/>
      <c r="H80" s="176"/>
      <c r="I80" s="176"/>
      <c r="J80" s="176"/>
      <c r="K80" s="176"/>
      <c r="L80" s="176"/>
      <c r="M80" s="206"/>
      <c r="N80" s="206"/>
      <c r="O80" s="206"/>
      <c r="P80" s="206"/>
    </row>
    <row r="81" spans="1:15" s="179" customFormat="1">
      <c r="A81" s="185" t="s">
        <v>31</v>
      </c>
      <c r="B81" s="189" t="s">
        <v>228</v>
      </c>
      <c r="C81" s="193"/>
      <c r="D81" s="176"/>
      <c r="E81" s="176"/>
      <c r="F81" s="176"/>
      <c r="G81" s="176"/>
      <c r="H81" s="176"/>
      <c r="I81" s="176"/>
      <c r="J81" s="176"/>
      <c r="K81" s="176"/>
      <c r="L81" s="176"/>
      <c r="M81" s="206"/>
      <c r="N81" s="206"/>
      <c r="O81" s="206"/>
    </row>
    <row r="82" spans="1:15" s="179" customFormat="1">
      <c r="A82" s="185" t="s">
        <v>58</v>
      </c>
      <c r="B82" s="194" t="s">
        <v>229</v>
      </c>
      <c r="C82" s="195">
        <v>5.0000000000000001E-3</v>
      </c>
      <c r="D82" s="204"/>
      <c r="E82" s="204"/>
      <c r="F82" s="176"/>
      <c r="G82" s="204"/>
      <c r="H82" s="176"/>
      <c r="I82" s="204"/>
      <c r="J82" s="176"/>
      <c r="K82" s="176"/>
      <c r="L82" s="176"/>
      <c r="O82" s="192"/>
    </row>
    <row r="83" spans="1:15" s="179" customFormat="1">
      <c r="A83" s="185" t="s">
        <v>59</v>
      </c>
      <c r="B83" s="194" t="s">
        <v>230</v>
      </c>
      <c r="C83" s="190">
        <v>0.01</v>
      </c>
      <c r="D83" s="204"/>
      <c r="E83" s="204"/>
      <c r="F83" s="176"/>
      <c r="G83" s="204"/>
      <c r="H83" s="176"/>
      <c r="I83" s="204"/>
      <c r="J83" s="176"/>
      <c r="K83" s="176"/>
      <c r="L83" s="176"/>
      <c r="O83" s="192"/>
    </row>
    <row r="84" spans="1:15" s="179" customFormat="1">
      <c r="A84" s="185" t="s">
        <v>60</v>
      </c>
      <c r="B84" s="194" t="s">
        <v>231</v>
      </c>
      <c r="C84" s="190">
        <v>0.02</v>
      </c>
      <c r="D84" s="204"/>
      <c r="E84" s="204"/>
      <c r="F84" s="176"/>
      <c r="G84" s="204"/>
      <c r="H84" s="176"/>
      <c r="I84" s="204"/>
      <c r="J84" s="176"/>
      <c r="K84" s="176"/>
      <c r="L84" s="176"/>
      <c r="O84" s="192"/>
    </row>
    <row r="85" spans="1:15" s="179" customFormat="1">
      <c r="A85" s="185" t="s">
        <v>33</v>
      </c>
      <c r="B85" s="189" t="s">
        <v>232</v>
      </c>
      <c r="C85" s="193"/>
      <c r="D85" s="176"/>
      <c r="E85" s="176"/>
      <c r="F85" s="176"/>
      <c r="G85" s="176"/>
      <c r="H85" s="176"/>
      <c r="I85" s="176"/>
      <c r="J85" s="176"/>
      <c r="K85" s="176"/>
      <c r="L85" s="176"/>
      <c r="O85" s="192"/>
    </row>
    <row r="86" spans="1:15" s="179" customFormat="1">
      <c r="A86" s="185" t="s">
        <v>61</v>
      </c>
      <c r="B86" s="194" t="s">
        <v>233</v>
      </c>
      <c r="C86" s="190">
        <v>0.02</v>
      </c>
      <c r="D86" s="204"/>
      <c r="E86" s="204"/>
      <c r="F86" s="176"/>
      <c r="G86" s="204"/>
      <c r="H86" s="176"/>
      <c r="I86" s="204"/>
      <c r="J86" s="176"/>
      <c r="K86" s="176"/>
      <c r="L86" s="176"/>
      <c r="O86" s="178"/>
    </row>
    <row r="87" spans="1:15" s="179" customFormat="1">
      <c r="A87" s="185" t="s">
        <v>62</v>
      </c>
      <c r="B87" s="194" t="s">
        <v>234</v>
      </c>
      <c r="C87" s="190">
        <v>0.05</v>
      </c>
      <c r="D87" s="204"/>
      <c r="E87" s="204"/>
      <c r="F87" s="176"/>
      <c r="G87" s="204"/>
      <c r="H87" s="176"/>
      <c r="I87" s="204"/>
      <c r="J87" s="176"/>
      <c r="K87" s="176"/>
      <c r="L87" s="176"/>
    </row>
    <row r="88" spans="1:15" s="179" customFormat="1">
      <c r="A88" s="185" t="s">
        <v>63</v>
      </c>
      <c r="B88" s="194" t="s">
        <v>235</v>
      </c>
      <c r="C88" s="190">
        <v>0.08</v>
      </c>
      <c r="D88" s="204"/>
      <c r="E88" s="204"/>
      <c r="F88" s="176"/>
      <c r="G88" s="204"/>
      <c r="H88" s="176"/>
      <c r="I88" s="204"/>
      <c r="J88" s="176"/>
      <c r="K88" s="176"/>
      <c r="L88" s="176"/>
    </row>
    <row r="89" spans="1:15" s="179" customFormat="1">
      <c r="A89" s="185">
        <v>6</v>
      </c>
      <c r="B89" s="197" t="s">
        <v>236</v>
      </c>
      <c r="C89" s="193"/>
      <c r="D89" s="182">
        <f t="shared" ref="D89:H89" si="2">SUM(D71:D88)</f>
        <v>786002</v>
      </c>
      <c r="E89" s="182">
        <f t="shared" si="2"/>
        <v>0</v>
      </c>
      <c r="F89" s="182">
        <f t="shared" si="2"/>
        <v>5614128</v>
      </c>
      <c r="G89" s="182">
        <f t="shared" si="2"/>
        <v>2909476</v>
      </c>
      <c r="H89" s="182">
        <f t="shared" si="2"/>
        <v>70450844</v>
      </c>
      <c r="I89" s="182">
        <f>SUM(I71:I88)</f>
        <v>410116526</v>
      </c>
      <c r="J89" s="182">
        <f>SUM(J71:J88)</f>
        <v>85949138</v>
      </c>
      <c r="K89" s="182">
        <f>SUM(K71:K88)</f>
        <v>11598740</v>
      </c>
      <c r="L89" s="176"/>
      <c r="M89" s="191"/>
      <c r="N89" s="191"/>
      <c r="O89" s="198"/>
    </row>
    <row r="90" spans="1:15" s="179" customFormat="1">
      <c r="A90" s="185">
        <v>7</v>
      </c>
      <c r="B90" s="197" t="s">
        <v>218</v>
      </c>
      <c r="C90" s="193"/>
      <c r="D90" s="182">
        <f>+(D71*$C$71*$D$3)+(D72*$C$72*$D$3)+(D73*$C$73*$D$3)+(D74*$C$74*$D$3)+(D76*$C$76*$D$3)+(D77*$C$77*$D$3)+(D78*$C$78*$D$3)+(D79*$C$79*$D$3)+(D82*$C$82*$D$3)+(D83*$C$83*$D$3)+(D84*$C$84*$D$3)+(D86*$C$86*$D$3)+(D87*$C$87*$D$3)+(D88*$C$88*$D$3)</f>
        <v>0</v>
      </c>
      <c r="E90" s="182">
        <f>+(E71*$C$71*$E$3)+(E72*$C$72*$E$3)+(E73*$C$73*$E$3)+(E74*$C$74*$E$3)+(E76*$C$76*$E$3)+(E77*$C$77*$E$3)+(E78*$C$78*$E$3)+(E79*$C$79*$E$3)+(E82*$C$82*$E$3)+(E83*$C$83*$E$3)+(E84*$C$84*$E$3)+(E86*$C$86*$E$3)+(E87*$C$87*$E$3)+(E88*$C$88*$E$3)</f>
        <v>0</v>
      </c>
      <c r="F90" s="182">
        <f>+(F71*$C$71*$F$3)+(F72*$C$72*$F$3)+(F73*$C$73*$F$3)+(F74*$C$74*$F$3)+(F76*$C$76*$F$3)+(F77*$C$77*$F$3)+(F78*$C$78*$F$3)+(F79*$C$79*$F$3)+(F82*$C$82*$F$3)+(F83*$C$83*$F$3)+(F84*$C$84*$F$3)+(F86*$C$86*$F$3)+(F87*$C$87*$F$3)+(F88*$C$88*$F$3)</f>
        <v>982141.12499999988</v>
      </c>
      <c r="G90" s="182">
        <f>+(G71*$C$71*$G$3)+(G72*$C$72*$G$3)+(G73*$C$73*$G$3)+(G74*$C$74*$G$3)+(G76*$C$76*$G$3)+(G77*$C$77*$G$3)+(G78*$C$78*$G$3)+(G79*$C$79*$G$3)+(G82*$C$82*$G$3)+(G83*$C$83*$G$3)+(G84*$C$84*$G$3)+(G86*$C$86*$G$3)+(G87*$C$87*$G$3)+(G88*$C$88*$G$3)</f>
        <v>727369</v>
      </c>
      <c r="H90" s="182">
        <f>+(H71*$C$71*$G$3)+(H72*$C$72*$G$3)+(H73*$C$73*$G$3)+(H74*$C$74*$G$3)+(H76*$C$76*$G$3)+(H77*$C$77*$G$3)+(H78*$C$78*$G$3)+(H79*$C$79*$G$3)+(H82*$C$82*$G$3)+(H83*$C$83*$G$3)+(H84*$C$84*$G$3)+(H86*$C$86*$G$3)+(H87*$C$87*$G$3)+(H88*$C$88*$G$3)</f>
        <v>8861899.1000000015</v>
      </c>
      <c r="I90" s="182">
        <f>+(I71*$C$71*$I$3)+(I72*$C$72*$I$3)+(I73*$C$73*$I$3)+(I74*$C$74*$I$3)+(I76*$C$76*$I$3)+(I77*$C$77*$I$3)+(I78*$C$78*$I$3)+(I79*$C$79*$I$3)+(I82*$C$82*$I$3)+(I83*$C$83*$I$3)+(I84*$C$84*$I$3)+(I86*$C$86*$I$3)+(I87*$C$87*$I$3)+(I88*$C$88*$I$3)</f>
        <v>165346939.59999999</v>
      </c>
      <c r="J90" s="182">
        <f>+(J71*$C$71*$J$3)+(J72*$C$72*$J$3)+(J73*$C$73*$J$3)+(J74*$C$74*$J$3)+(J76*$C$76*$J$3)+(J77*$C$77*$J$3)+(J78*$C$78*$J$3)+(J79*$C$79*$J$3)+(J82*$C$82*$J$3)+(J83*$C$83*$J$3)+(J84*$C$84*$J$3)+(J86*$C$86*$J$3)+(J87*$C$87*$J$3)+(J88*$C$88*$J$3)</f>
        <v>61939494.149999999</v>
      </c>
      <c r="K90" s="182">
        <f>+(K71*$C$71*$L$3)+(K72*$C$72*$L$3)+(K73*$C$73*$L$3)+(K74*$C$74*$L$3)+(K76*$C$76*$L$3)+(K77*$C$77*$L$3)+(K78*$C$78*$L$3)+(K79*$C$79*$L$3)+(K82*$C$82*$L$3)+(K83*$C$83*$L$3)+(K84*$C$84*$L$3)+(K86*$C$86*$L$3)+(K87*$C$87*$L$3)+(K88*$C$88*$L$3)</f>
        <v>12149131</v>
      </c>
      <c r="L90" s="176"/>
      <c r="M90" s="192"/>
    </row>
    <row r="91" spans="1:15" s="179" customFormat="1">
      <c r="A91" s="185">
        <v>8</v>
      </c>
      <c r="B91" s="197" t="s">
        <v>237</v>
      </c>
      <c r="C91" s="193"/>
      <c r="D91" s="176"/>
      <c r="E91" s="176"/>
      <c r="F91" s="176"/>
      <c r="G91" s="176"/>
      <c r="H91" s="176"/>
      <c r="I91" s="176"/>
      <c r="J91" s="176"/>
      <c r="K91" s="176"/>
      <c r="L91" s="182">
        <f>SUM(D90:L90)</f>
        <v>250006973.97499999</v>
      </c>
    </row>
    <row r="92" spans="1:15" s="179" customFormat="1">
      <c r="A92" s="185">
        <v>9</v>
      </c>
      <c r="B92" s="197" t="s">
        <v>238</v>
      </c>
      <c r="C92" s="193"/>
      <c r="D92" s="176"/>
      <c r="E92" s="176"/>
      <c r="F92" s="176"/>
      <c r="G92" s="176"/>
      <c r="H92" s="176"/>
      <c r="I92" s="176"/>
      <c r="J92" s="176"/>
      <c r="K92" s="176"/>
      <c r="L92" s="232">
        <f>SUM(L91+L66)</f>
        <v>24430641389.875</v>
      </c>
    </row>
    <row r="93" spans="1:15">
      <c r="I93" s="170"/>
      <c r="K93" s="166"/>
      <c r="L93" s="166"/>
    </row>
    <row r="94" spans="1:15" s="199" customFormat="1" ht="15" customHeight="1">
      <c r="B94" s="200" t="s">
        <v>257</v>
      </c>
      <c r="D94" s="201"/>
      <c r="E94" s="202"/>
      <c r="F94" s="202"/>
      <c r="G94" s="202"/>
      <c r="H94" s="202"/>
      <c r="I94" s="202"/>
      <c r="J94" s="202"/>
      <c r="K94" s="202"/>
      <c r="L94" s="202"/>
      <c r="M94" s="203"/>
    </row>
    <row r="95" spans="1:15" s="199" customFormat="1" ht="11.25" customHeight="1">
      <c r="B95" s="200"/>
      <c r="E95" s="203"/>
      <c r="F95" s="203"/>
      <c r="G95" s="203"/>
      <c r="H95" s="203"/>
      <c r="I95" s="203"/>
      <c r="J95" s="203"/>
      <c r="K95" s="203"/>
      <c r="L95" s="203"/>
      <c r="M95" s="203"/>
    </row>
    <row r="96" spans="1:15" s="199" customFormat="1" ht="15" customHeight="1">
      <c r="B96" s="200" t="s">
        <v>258</v>
      </c>
      <c r="C96" s="200"/>
      <c r="K96" s="201"/>
      <c r="L96" s="201"/>
      <c r="M96" s="203"/>
      <c r="N96" s="203"/>
      <c r="O96" s="203"/>
    </row>
    <row r="97" spans="10:10">
      <c r="J97" s="201"/>
    </row>
  </sheetData>
  <sheetProtection algorithmName="SHA-512" hashValue="QlgJETrA776pJxmc/MuiJLNVHSDtmySmQvdtbXeVGrf5nQ64zvc0fBSxqpIgnnn219Aq51aorPr6irnn86RUyA==" saltValue="424ptIBfGXLUfU9p8+qkPQ==" spinCount="100000" sheet="1" objects="1" scenarios="1"/>
  <mergeCells count="65">
    <mergeCell ref="B43:C43"/>
    <mergeCell ref="B46:C46"/>
    <mergeCell ref="B44:C44"/>
    <mergeCell ref="B45:C45"/>
    <mergeCell ref="B64:C64"/>
    <mergeCell ref="B50:C50"/>
    <mergeCell ref="B51:C51"/>
    <mergeCell ref="B48:C48"/>
    <mergeCell ref="B49:C49"/>
    <mergeCell ref="B52:C52"/>
    <mergeCell ref="B53:C53"/>
    <mergeCell ref="B54:C54"/>
    <mergeCell ref="B55:C55"/>
    <mergeCell ref="B60:C60"/>
    <mergeCell ref="B61:C61"/>
    <mergeCell ref="B62:C62"/>
    <mergeCell ref="B65:C65"/>
    <mergeCell ref="B66:C66"/>
    <mergeCell ref="B12:C12"/>
    <mergeCell ref="B13:C13"/>
    <mergeCell ref="B14:C14"/>
    <mergeCell ref="B15:C15"/>
    <mergeCell ref="B16:C16"/>
    <mergeCell ref="B17:C17"/>
    <mergeCell ref="B18:C18"/>
    <mergeCell ref="B19:C19"/>
    <mergeCell ref="B20:C20"/>
    <mergeCell ref="B21:C21"/>
    <mergeCell ref="B22:C22"/>
    <mergeCell ref="B34:C34"/>
    <mergeCell ref="B35:C35"/>
    <mergeCell ref="B47:C47"/>
    <mergeCell ref="A1:J1"/>
    <mergeCell ref="J2:K2"/>
    <mergeCell ref="B7:C7"/>
    <mergeCell ref="B8:C8"/>
    <mergeCell ref="B9:C9"/>
    <mergeCell ref="A3:A5"/>
    <mergeCell ref="B3:C5"/>
    <mergeCell ref="B6:C6"/>
    <mergeCell ref="B10:C10"/>
    <mergeCell ref="B11:C11"/>
    <mergeCell ref="B33:C33"/>
    <mergeCell ref="B36:C36"/>
    <mergeCell ref="B37:C37"/>
    <mergeCell ref="B23:C23"/>
    <mergeCell ref="B24:C24"/>
    <mergeCell ref="B26:C26"/>
    <mergeCell ref="B27:C27"/>
    <mergeCell ref="B28:C28"/>
    <mergeCell ref="B29:C29"/>
    <mergeCell ref="B30:C30"/>
    <mergeCell ref="B31:C31"/>
    <mergeCell ref="B32:C32"/>
    <mergeCell ref="B25:C25"/>
    <mergeCell ref="B38:C38"/>
    <mergeCell ref="B39:C39"/>
    <mergeCell ref="B40:C40"/>
    <mergeCell ref="B41:C41"/>
    <mergeCell ref="B42:C42"/>
    <mergeCell ref="B63:C63"/>
    <mergeCell ref="B56:C56"/>
    <mergeCell ref="B57:C57"/>
    <mergeCell ref="B58:C58"/>
    <mergeCell ref="B59:C59"/>
  </mergeCells>
  <conditionalFormatting sqref="D36:E38">
    <cfRule type="cellIs" dxfId="44" priority="176" operator="lessThan">
      <formula>0</formula>
    </cfRule>
  </conditionalFormatting>
  <conditionalFormatting sqref="D47:G51">
    <cfRule type="cellIs" dxfId="43" priority="16" operator="lessThan">
      <formula>0</formula>
    </cfRule>
  </conditionalFormatting>
  <conditionalFormatting sqref="D39:H42">
    <cfRule type="cellIs" dxfId="42" priority="144" operator="lessThan">
      <formula>0</formula>
    </cfRule>
  </conditionalFormatting>
  <conditionalFormatting sqref="D43:I46">
    <cfRule type="cellIs" dxfId="41" priority="138" operator="lessThan">
      <formula>0</formula>
    </cfRule>
  </conditionalFormatting>
  <conditionalFormatting sqref="D57:I58">
    <cfRule type="cellIs" dxfId="40" priority="93" operator="lessThan">
      <formula>0</formula>
    </cfRule>
  </conditionalFormatting>
  <conditionalFormatting sqref="D8:J35">
    <cfRule type="cellIs" dxfId="39" priority="76" operator="lessThan">
      <formula>0</formula>
    </cfRule>
  </conditionalFormatting>
  <conditionalFormatting sqref="D52:J56">
    <cfRule type="cellIs" dxfId="38" priority="189" operator="lessThan">
      <formula>0</formula>
    </cfRule>
  </conditionalFormatting>
  <conditionalFormatting sqref="D59:J66">
    <cfRule type="cellIs" dxfId="37" priority="1" operator="lessThan">
      <formula>0</formula>
    </cfRule>
  </conditionalFormatting>
  <conditionalFormatting sqref="D71:K92">
    <cfRule type="cellIs" dxfId="36" priority="88" operator="lessThan">
      <formula>0</formula>
    </cfRule>
  </conditionalFormatting>
  <conditionalFormatting sqref="F37:H38">
    <cfRule type="cellIs" dxfId="35" priority="175" operator="lessThan">
      <formula>0</formula>
    </cfRule>
  </conditionalFormatting>
  <conditionalFormatting sqref="F36:J36">
    <cfRule type="cellIs" dxfId="34" priority="188" operator="lessThan">
      <formula>0</formula>
    </cfRule>
  </conditionalFormatting>
  <conditionalFormatting sqref="H47:H50">
    <cfRule type="cellIs" dxfId="33" priority="8" operator="lessThan">
      <formula>0</formula>
    </cfRule>
  </conditionalFormatting>
  <conditionalFormatting sqref="H51:J51">
    <cfRule type="cellIs" dxfId="32" priority="13" operator="lessThan">
      <formula>0</formula>
    </cfRule>
  </conditionalFormatting>
  <conditionalFormatting sqref="H48:K48">
    <cfRule type="cellIs" dxfId="31" priority="7" operator="lessThan">
      <formula>0</formula>
    </cfRule>
  </conditionalFormatting>
  <conditionalFormatting sqref="I42">
    <cfRule type="cellIs" dxfId="30" priority="173" operator="lessThan">
      <formula>0</formula>
    </cfRule>
  </conditionalFormatting>
  <conditionalFormatting sqref="I37:J41">
    <cfRule type="cellIs" dxfId="29" priority="143" operator="lessThan">
      <formula>0</formula>
    </cfRule>
  </conditionalFormatting>
  <conditionalFormatting sqref="I47:J47">
    <cfRule type="cellIs" dxfId="28" priority="11" operator="lessThan">
      <formula>0</formula>
    </cfRule>
  </conditionalFormatting>
  <conditionalFormatting sqref="I49:K50">
    <cfRule type="cellIs" dxfId="27" priority="5" operator="lessThan">
      <formula>0</formula>
    </cfRule>
  </conditionalFormatting>
  <conditionalFormatting sqref="J42:J46">
    <cfRule type="cellIs" dxfId="26" priority="137" operator="lessThan">
      <formula>0</formula>
    </cfRule>
  </conditionalFormatting>
  <conditionalFormatting sqref="J58">
    <cfRule type="cellIs" dxfId="25" priority="90" operator="lessThan">
      <formula>0</formula>
    </cfRule>
  </conditionalFormatting>
  <conditionalFormatting sqref="J57:K57">
    <cfRule type="cellIs" dxfId="24" priority="92" operator="lessThan">
      <formula>0</formula>
    </cfRule>
  </conditionalFormatting>
  <conditionalFormatting sqref="K8:K47">
    <cfRule type="cellIs" dxfId="23" priority="10" operator="lessThan">
      <formula>0</formula>
    </cfRule>
  </conditionalFormatting>
  <conditionalFormatting sqref="K51:K56">
    <cfRule type="cellIs" dxfId="22" priority="4" operator="lessThan">
      <formula>0</formula>
    </cfRule>
  </conditionalFormatting>
  <conditionalFormatting sqref="K58:K66">
    <cfRule type="cellIs" dxfId="21" priority="89" operator="lessThan">
      <formula>0</formula>
    </cfRule>
  </conditionalFormatting>
  <conditionalFormatting sqref="L8:L66">
    <cfRule type="cellIs" dxfId="20" priority="18" operator="lessThan">
      <formula>0</formula>
    </cfRule>
  </conditionalFormatting>
  <conditionalFormatting sqref="L70:L92">
    <cfRule type="cellIs" dxfId="19" priority="107" operator="lessThan">
      <formula>0</formula>
    </cfRule>
  </conditionalFormatting>
  <conditionalFormatting sqref="M64">
    <cfRule type="cellIs" dxfId="18" priority="2" operator="notEqual">
      <formula>N64</formula>
    </cfRule>
  </conditionalFormatting>
  <dataValidations count="2">
    <dataValidation type="whole" allowBlank="1" showInputMessage="1" showErrorMessage="1" error="                Ай Яй Яй !!!_x000a_Ну что же вы не читаете инструкцию_x000a_по заполнению формы отчетности._x000a__x000a_Попробуйте ввести целое число._x000a_" promptTitle="Введите целое число" sqref="I59:I60 G86:G88 D60:E60 E9 H72 G76:G79 E11 I15:I19 I35:K35 D10:E10 K28 I82:I84 D76:E79 K76:K79 G11 G20 D82:E84 D71:E74 I76:I79 G82:G84 G72:G74 K60:K61 D86:E88 G15:G18 K51 I11:J11 I20:J20 D8 D13:E18 I46 I52:I56 J45:J46 F37:G38 D36:E36 K39:K41 D28 F71:F72 D25:E25 D20:E20 G71:K71 J15:J18 D26 J58:K58 I86:I88 D23:D24 K46 J37:J41 I72:I74 I37:I42 J43 I32:J32 I44 E63:L63 J72:K72 J74:K74 J55:K56 D57:D59 J57:L57 I27:J28 H29:H31 K32:K33 D46 J49:K49 I50:K50 H47 H48:K48 D62:D63" xr:uid="{00000000-0002-0000-0300-000000000000}">
      <formula1>-1E+22</formula1>
      <formula2>1E+22</formula2>
    </dataValidation>
    <dataValidation type="whole" operator="greaterThanOrEqual" allowBlank="1" showInputMessage="1" showErrorMessage="1" sqref="F76:F79 F82:F84 F86:F88 H86:H88 J76:J79 D80:G81 F73:F74 H73:H74 H76:H84 D85:L85 D75:L75 J73:L73 J86:L88 J82:K84 I80:K81 L70:L72 L74 L76:L84 L89:L90" xr:uid="{00000000-0002-0000-0300-000001000000}">
      <formula1>0</formula1>
    </dataValidation>
  </dataValidations>
  <printOptions horizontalCentered="1" verticalCentered="1"/>
  <pageMargins left="0.23622047244094491" right="0.23622047244094491" top="0.19685039370078741" bottom="0.31496062992125984" header="0.51181102362204722" footer="0.51181102362204722"/>
  <pageSetup paperSize="9" scale="37"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Лист27">
    <pageSetUpPr fitToPage="1"/>
  </sheetPr>
  <dimension ref="A1:P97"/>
  <sheetViews>
    <sheetView view="pageBreakPreview" zoomScale="85" zoomScaleNormal="75" zoomScaleSheetLayoutView="85" workbookViewId="0">
      <pane xSplit="3" ySplit="7" topLeftCell="D50" activePane="bottomRight" state="frozen"/>
      <selection sqref="A1:B1"/>
      <selection pane="topRight" sqref="A1:B1"/>
      <selection pane="bottomLeft" sqref="A1:B1"/>
      <selection pane="bottomRight" activeCell="D8" sqref="D8"/>
    </sheetView>
  </sheetViews>
  <sheetFormatPr defaultRowHeight="12.75"/>
  <cols>
    <col min="1" max="1" width="5.42578125" style="167" customWidth="1"/>
    <col min="2" max="2" width="67" style="166" customWidth="1"/>
    <col min="3" max="3" width="13" style="166" customWidth="1"/>
    <col min="4" max="10" width="14.5703125" style="166" customWidth="1"/>
    <col min="11" max="12" width="14.5703125" style="170" customWidth="1"/>
    <col min="13" max="17" width="23.7109375" style="166" customWidth="1"/>
    <col min="18" max="18" width="10.28515625" style="166" customWidth="1"/>
    <col min="19" max="16384" width="9.140625" style="166"/>
  </cols>
  <sheetData>
    <row r="1" spans="1:14" ht="26.25" customHeight="1">
      <c r="A1" s="244" t="s">
        <v>320</v>
      </c>
      <c r="B1" s="244"/>
      <c r="C1" s="244"/>
      <c r="D1" s="244"/>
      <c r="E1" s="244"/>
      <c r="F1" s="244"/>
      <c r="G1" s="244"/>
      <c r="H1" s="244"/>
      <c r="I1" s="244"/>
      <c r="J1" s="244"/>
      <c r="K1" s="165"/>
      <c r="L1" s="165" t="s">
        <v>239</v>
      </c>
    </row>
    <row r="2" spans="1:14" ht="25.5" customHeight="1">
      <c r="B2" s="168" t="str">
        <f>+'Bank Capital Calc'!B3</f>
        <v>MKBANK</v>
      </c>
      <c r="C2" s="168"/>
      <c r="E2" s="169"/>
      <c r="F2" s="169"/>
      <c r="J2" s="246">
        <f>+'Bank Capital Calc'!C3</f>
        <v>46021</v>
      </c>
      <c r="K2" s="246"/>
      <c r="L2" s="231" t="s">
        <v>255</v>
      </c>
      <c r="M2" s="170"/>
    </row>
    <row r="3" spans="1:14">
      <c r="A3" s="245" t="s">
        <v>52</v>
      </c>
      <c r="B3" s="247" t="s">
        <v>131</v>
      </c>
      <c r="C3" s="248"/>
      <c r="D3" s="171">
        <v>0</v>
      </c>
      <c r="E3" s="171">
        <v>0.2</v>
      </c>
      <c r="F3" s="171">
        <v>0.35</v>
      </c>
      <c r="G3" s="171">
        <v>0.5</v>
      </c>
      <c r="H3" s="171">
        <v>0.75</v>
      </c>
      <c r="I3" s="171">
        <v>1</v>
      </c>
      <c r="J3" s="171">
        <v>1.5</v>
      </c>
      <c r="K3" s="171">
        <v>2</v>
      </c>
      <c r="L3" s="171">
        <v>2.5</v>
      </c>
      <c r="M3" s="172"/>
      <c r="N3" s="170"/>
    </row>
    <row r="4" spans="1:14" ht="20.25" customHeight="1">
      <c r="A4" s="245"/>
      <c r="B4" s="249"/>
      <c r="C4" s="250"/>
      <c r="D4" s="205" t="s">
        <v>183</v>
      </c>
      <c r="E4" s="205" t="s">
        <v>183</v>
      </c>
      <c r="F4" s="205" t="s">
        <v>183</v>
      </c>
      <c r="G4" s="205" t="s">
        <v>183</v>
      </c>
      <c r="H4" s="205" t="s">
        <v>183</v>
      </c>
      <c r="I4" s="205" t="s">
        <v>183</v>
      </c>
      <c r="J4" s="205" t="s">
        <v>183</v>
      </c>
      <c r="K4" s="205" t="s">
        <v>183</v>
      </c>
      <c r="L4" s="205" t="s">
        <v>183</v>
      </c>
      <c r="N4" s="170"/>
    </row>
    <row r="5" spans="1:14" ht="20.25" customHeight="1">
      <c r="A5" s="245"/>
      <c r="B5" s="251"/>
      <c r="C5" s="252"/>
      <c r="D5" s="205" t="s">
        <v>184</v>
      </c>
      <c r="E5" s="205" t="s">
        <v>185</v>
      </c>
      <c r="F5" s="205" t="s">
        <v>186</v>
      </c>
      <c r="G5" s="205" t="s">
        <v>187</v>
      </c>
      <c r="H5" s="205" t="s">
        <v>188</v>
      </c>
      <c r="I5" s="205" t="s">
        <v>189</v>
      </c>
      <c r="J5" s="205" t="s">
        <v>190</v>
      </c>
      <c r="K5" s="205" t="s">
        <v>276</v>
      </c>
      <c r="L5" s="205" t="s">
        <v>317</v>
      </c>
      <c r="N5" s="170"/>
    </row>
    <row r="6" spans="1:14">
      <c r="A6" s="205"/>
      <c r="B6" s="253" t="s">
        <v>26</v>
      </c>
      <c r="C6" s="254"/>
      <c r="D6" s="173" t="s">
        <v>27</v>
      </c>
      <c r="E6" s="173" t="s">
        <v>28</v>
      </c>
      <c r="F6" s="173" t="s">
        <v>29</v>
      </c>
      <c r="G6" s="173" t="s">
        <v>53</v>
      </c>
      <c r="H6" s="173" t="s">
        <v>54</v>
      </c>
      <c r="I6" s="173" t="s">
        <v>57</v>
      </c>
      <c r="J6" s="173" t="s">
        <v>64</v>
      </c>
      <c r="K6" s="173" t="s">
        <v>277</v>
      </c>
      <c r="L6" s="173" t="s">
        <v>318</v>
      </c>
      <c r="N6" s="170"/>
    </row>
    <row r="7" spans="1:14">
      <c r="A7" s="205"/>
      <c r="B7" s="255" t="s">
        <v>191</v>
      </c>
      <c r="C7" s="256"/>
      <c r="D7" s="174"/>
      <c r="E7" s="174"/>
      <c r="F7" s="174"/>
      <c r="G7" s="174"/>
      <c r="H7" s="174"/>
      <c r="I7" s="174"/>
      <c r="J7" s="174"/>
      <c r="K7" s="174"/>
      <c r="L7" s="174"/>
      <c r="N7" s="170"/>
    </row>
    <row r="8" spans="1:14" s="179" customFormat="1" ht="21" customHeight="1">
      <c r="A8" s="205" t="s">
        <v>55</v>
      </c>
      <c r="B8" s="242" t="s">
        <v>192</v>
      </c>
      <c r="C8" s="243"/>
      <c r="D8" s="175">
        <f>+'Calculation of Risk Weighted As'!D8-'Calculation of Risk Weighte нац'!D8</f>
        <v>66279338</v>
      </c>
      <c r="E8" s="176"/>
      <c r="F8" s="176"/>
      <c r="G8" s="176"/>
      <c r="H8" s="176"/>
      <c r="I8" s="176"/>
      <c r="J8" s="176"/>
      <c r="K8" s="176"/>
      <c r="L8" s="176"/>
      <c r="M8" s="177"/>
      <c r="N8" s="178"/>
    </row>
    <row r="9" spans="1:14" s="179" customFormat="1" ht="21" customHeight="1">
      <c r="A9" s="205" t="s">
        <v>65</v>
      </c>
      <c r="B9" s="242" t="s">
        <v>193</v>
      </c>
      <c r="C9" s="243"/>
      <c r="D9" s="176"/>
      <c r="E9" s="175">
        <f>+'Calculation of Risk Weighted As'!E9-'Calculation of Risk Weighte нац'!E9</f>
        <v>98279708</v>
      </c>
      <c r="F9" s="176"/>
      <c r="G9" s="176"/>
      <c r="H9" s="176"/>
      <c r="I9" s="176"/>
      <c r="J9" s="176"/>
      <c r="K9" s="176"/>
      <c r="L9" s="176"/>
      <c r="M9" s="177"/>
      <c r="N9" s="178"/>
    </row>
    <row r="10" spans="1:14" s="179" customFormat="1" ht="21" customHeight="1">
      <c r="A10" s="205" t="s">
        <v>66</v>
      </c>
      <c r="B10" s="242" t="s">
        <v>194</v>
      </c>
      <c r="C10" s="243"/>
      <c r="D10" s="175">
        <f>+'Calculation of Risk Weighted As'!D10-'Calculation of Risk Weighte нац'!D10</f>
        <v>0</v>
      </c>
      <c r="E10" s="175">
        <f>+'Calculation of Risk Weighted As'!E10-'Calculation of Risk Weighte нац'!E10</f>
        <v>0</v>
      </c>
      <c r="F10" s="176"/>
      <c r="G10" s="176"/>
      <c r="H10" s="176"/>
      <c r="I10" s="176"/>
      <c r="J10" s="176"/>
      <c r="K10" s="176"/>
      <c r="L10" s="176"/>
      <c r="M10" s="177"/>
      <c r="N10" s="178"/>
    </row>
    <row r="11" spans="1:14" s="179" customFormat="1" ht="27.75" customHeight="1">
      <c r="A11" s="205" t="s">
        <v>67</v>
      </c>
      <c r="B11" s="242" t="s">
        <v>261</v>
      </c>
      <c r="C11" s="243"/>
      <c r="D11" s="176"/>
      <c r="E11" s="175">
        <f>+'Calculation of Risk Weighted As'!E11-'Calculation of Risk Weighte нац'!E11</f>
        <v>2002567177</v>
      </c>
      <c r="F11" s="176"/>
      <c r="G11" s="175">
        <f>+'Calculation of Risk Weighted As'!G11-'Calculation of Risk Weighte нац'!G11</f>
        <v>698090002</v>
      </c>
      <c r="H11" s="176"/>
      <c r="I11" s="175">
        <f>+'Calculation of Risk Weighted As'!I11-'Calculation of Risk Weighte нац'!I11</f>
        <v>0</v>
      </c>
      <c r="J11" s="175">
        <f>+'Calculation of Risk Weighted As'!J11-'Calculation of Risk Weighte нац'!J11</f>
        <v>704707635</v>
      </c>
      <c r="K11" s="176"/>
      <c r="L11" s="176"/>
      <c r="M11" s="177"/>
      <c r="N11" s="178"/>
    </row>
    <row r="12" spans="1:14" s="179" customFormat="1" ht="21" customHeight="1">
      <c r="A12" s="205" t="s">
        <v>68</v>
      </c>
      <c r="B12" s="242" t="s">
        <v>195</v>
      </c>
      <c r="C12" s="243"/>
      <c r="D12" s="176"/>
      <c r="E12" s="176"/>
      <c r="F12" s="176"/>
      <c r="G12" s="176"/>
      <c r="H12" s="176"/>
      <c r="I12" s="176"/>
      <c r="J12" s="176"/>
      <c r="K12" s="176"/>
      <c r="L12" s="176"/>
      <c r="M12" s="177"/>
      <c r="N12" s="178"/>
    </row>
    <row r="13" spans="1:14" s="179" customFormat="1" ht="27.75" customHeight="1">
      <c r="A13" s="205" t="s">
        <v>37</v>
      </c>
      <c r="B13" s="242" t="s">
        <v>196</v>
      </c>
      <c r="C13" s="243"/>
      <c r="D13" s="175">
        <f>+'Calculation of Risk Weighted As'!D13-'Calculation of Risk Weighte нац'!D13</f>
        <v>0</v>
      </c>
      <c r="E13" s="175">
        <f>+'Calculation of Risk Weighted As'!E13-'Calculation of Risk Weighte нац'!E13</f>
        <v>0</v>
      </c>
      <c r="F13" s="176"/>
      <c r="G13" s="176"/>
      <c r="H13" s="176"/>
      <c r="I13" s="176"/>
      <c r="J13" s="176"/>
      <c r="K13" s="176"/>
      <c r="L13" s="176"/>
      <c r="M13" s="177"/>
      <c r="N13" s="178"/>
    </row>
    <row r="14" spans="1:14" s="179" customFormat="1" ht="21" customHeight="1">
      <c r="A14" s="205" t="s">
        <v>33</v>
      </c>
      <c r="B14" s="242" t="s">
        <v>262</v>
      </c>
      <c r="C14" s="243"/>
      <c r="D14" s="175">
        <f>+'Calculation of Risk Weighted As'!D14-'Calculation of Risk Weighte нац'!D14</f>
        <v>0</v>
      </c>
      <c r="E14" s="175">
        <f>+'Calculation of Risk Weighted As'!E14-'Calculation of Risk Weighte нац'!E14</f>
        <v>0</v>
      </c>
      <c r="F14" s="176"/>
      <c r="G14" s="176"/>
      <c r="H14" s="176"/>
      <c r="I14" s="176"/>
      <c r="J14" s="176"/>
      <c r="K14" s="176"/>
      <c r="L14" s="176"/>
      <c r="M14" s="177"/>
      <c r="N14" s="178"/>
    </row>
    <row r="15" spans="1:14" s="179" customFormat="1" ht="38.25" customHeight="1">
      <c r="A15" s="205" t="s">
        <v>35</v>
      </c>
      <c r="B15" s="242" t="s">
        <v>197</v>
      </c>
      <c r="C15" s="243"/>
      <c r="D15" s="175">
        <f>+'Calculation of Risk Weighted As'!D15-'Calculation of Risk Weighte нац'!D15</f>
        <v>0</v>
      </c>
      <c r="E15" s="175">
        <f>+'Calculation of Risk Weighted As'!E15-'Calculation of Risk Weighte нац'!E15</f>
        <v>0</v>
      </c>
      <c r="F15" s="176"/>
      <c r="G15" s="175">
        <f>+'Calculation of Risk Weighted As'!G15-'Calculation of Risk Weighte нац'!G15</f>
        <v>0</v>
      </c>
      <c r="H15" s="176"/>
      <c r="I15" s="175">
        <f>+'Calculation of Risk Weighted As'!I15-'Calculation of Risk Weighte нац'!I15</f>
        <v>0</v>
      </c>
      <c r="J15" s="175">
        <f>+'Calculation of Risk Weighted As'!J15-'Calculation of Risk Weighte нац'!J15</f>
        <v>0</v>
      </c>
      <c r="K15" s="176"/>
      <c r="L15" s="176"/>
      <c r="M15" s="177"/>
      <c r="N15" s="178"/>
    </row>
    <row r="16" spans="1:14" s="179" customFormat="1" ht="21" customHeight="1">
      <c r="A16" s="205" t="s">
        <v>42</v>
      </c>
      <c r="B16" s="242" t="s">
        <v>198</v>
      </c>
      <c r="C16" s="243"/>
      <c r="D16" s="175">
        <f>+'Calculation of Risk Weighted As'!D16-'Calculation of Risk Weighte нац'!D16</f>
        <v>0</v>
      </c>
      <c r="E16" s="175">
        <f>+'Calculation of Risk Weighted As'!E16-'Calculation of Risk Weighte нац'!E16</f>
        <v>0</v>
      </c>
      <c r="F16" s="176"/>
      <c r="G16" s="175">
        <f>+'Calculation of Risk Weighted As'!G16-'Calculation of Risk Weighte нац'!G16</f>
        <v>0</v>
      </c>
      <c r="H16" s="176"/>
      <c r="I16" s="175">
        <f>+'Calculation of Risk Weighted As'!I16-'Calculation of Risk Weighte нац'!I16</f>
        <v>0</v>
      </c>
      <c r="J16" s="175">
        <f>+'Calculation of Risk Weighted As'!J16-'Calculation of Risk Weighte нац'!J16</f>
        <v>0</v>
      </c>
      <c r="K16" s="176"/>
      <c r="L16" s="176"/>
      <c r="M16" s="177"/>
      <c r="N16" s="178"/>
    </row>
    <row r="17" spans="1:14" s="179" customFormat="1" ht="21" customHeight="1">
      <c r="A17" s="205" t="s">
        <v>128</v>
      </c>
      <c r="B17" s="242" t="s">
        <v>274</v>
      </c>
      <c r="C17" s="243"/>
      <c r="D17" s="175">
        <f>+'Calculation of Risk Weighted As'!D17-'Calculation of Risk Weighte нац'!D17</f>
        <v>0</v>
      </c>
      <c r="E17" s="175">
        <f>+'Calculation of Risk Weighted As'!E17-'Calculation of Risk Weighte нац'!E17</f>
        <v>0</v>
      </c>
      <c r="F17" s="176"/>
      <c r="G17" s="175">
        <f>+'Calculation of Risk Weighted As'!G17-'Calculation of Risk Weighte нац'!G17</f>
        <v>0</v>
      </c>
      <c r="H17" s="176"/>
      <c r="I17" s="175">
        <f>+'Calculation of Risk Weighted As'!I17-'Calculation of Risk Weighte нац'!I17</f>
        <v>0</v>
      </c>
      <c r="J17" s="175">
        <f>+'Calculation of Risk Weighted As'!J17-'Calculation of Risk Weighte нац'!J17</f>
        <v>0</v>
      </c>
      <c r="K17" s="176"/>
      <c r="L17" s="176"/>
      <c r="M17" s="177"/>
      <c r="N17" s="178"/>
    </row>
    <row r="18" spans="1:14" s="179" customFormat="1" ht="21" customHeight="1">
      <c r="A18" s="205" t="s">
        <v>204</v>
      </c>
      <c r="B18" s="242" t="s">
        <v>286</v>
      </c>
      <c r="C18" s="243"/>
      <c r="D18" s="175">
        <f>+'Calculation of Risk Weighted As'!D18-'Calculation of Risk Weighte нац'!D18</f>
        <v>0</v>
      </c>
      <c r="E18" s="175">
        <f>+'Calculation of Risk Weighted As'!E18-'Calculation of Risk Weighte нац'!E18</f>
        <v>0</v>
      </c>
      <c r="F18" s="176"/>
      <c r="G18" s="175">
        <f>+'Calculation of Risk Weighted As'!G18-'Calculation of Risk Weighte нац'!G18</f>
        <v>0</v>
      </c>
      <c r="H18" s="176"/>
      <c r="I18" s="175">
        <f>+'Calculation of Risk Weighted As'!I18-'Calculation of Risk Weighte нац'!I18</f>
        <v>0</v>
      </c>
      <c r="J18" s="175">
        <f>+'Calculation of Risk Weighted As'!J18-'Calculation of Risk Weighte нац'!J18</f>
        <v>0</v>
      </c>
      <c r="K18" s="176"/>
      <c r="L18" s="176"/>
      <c r="M18" s="177"/>
      <c r="N18" s="178"/>
    </row>
    <row r="19" spans="1:14" s="179" customFormat="1" ht="27.75" customHeight="1">
      <c r="A19" s="205" t="s">
        <v>69</v>
      </c>
      <c r="B19" s="242" t="s">
        <v>199</v>
      </c>
      <c r="C19" s="243"/>
      <c r="D19" s="176"/>
      <c r="E19" s="176"/>
      <c r="F19" s="176"/>
      <c r="G19" s="176"/>
      <c r="H19" s="176"/>
      <c r="I19" s="175">
        <f>+'Calculation of Risk Weighted As'!I19-'Calculation of Risk Weighte нац'!I19</f>
        <v>0</v>
      </c>
      <c r="J19" s="176"/>
      <c r="K19" s="176"/>
      <c r="L19" s="176"/>
      <c r="M19" s="177"/>
      <c r="N19" s="178"/>
    </row>
    <row r="20" spans="1:14" s="179" customFormat="1" ht="54.75" customHeight="1">
      <c r="A20" s="205" t="s">
        <v>70</v>
      </c>
      <c r="B20" s="242" t="s">
        <v>200</v>
      </c>
      <c r="C20" s="243"/>
      <c r="D20" s="175">
        <f>+'Calculation of Risk Weighted As'!D20-'Calculation of Risk Weighte нац'!D20</f>
        <v>0</v>
      </c>
      <c r="E20" s="175">
        <f>+'Calculation of Risk Weighted As'!E20-'Calculation of Risk Weighte нац'!E20</f>
        <v>0</v>
      </c>
      <c r="F20" s="176"/>
      <c r="G20" s="175">
        <f>+'Calculation of Risk Weighted As'!G20-'Calculation of Risk Weighte нац'!G20</f>
        <v>0</v>
      </c>
      <c r="H20" s="176"/>
      <c r="I20" s="175">
        <f>+'Calculation of Risk Weighted As'!I20-'Calculation of Risk Weighte нац'!I20</f>
        <v>0</v>
      </c>
      <c r="J20" s="175">
        <f>+'Calculation of Risk Weighted As'!J20-'Calculation of Risk Weighte нац'!J20</f>
        <v>0</v>
      </c>
      <c r="K20" s="176"/>
      <c r="L20" s="176"/>
      <c r="M20" s="177"/>
      <c r="N20" s="178"/>
    </row>
    <row r="21" spans="1:14" s="179" customFormat="1" ht="21" customHeight="1">
      <c r="A21" s="205" t="s">
        <v>71</v>
      </c>
      <c r="B21" s="242" t="s">
        <v>201</v>
      </c>
      <c r="C21" s="243"/>
      <c r="D21" s="180"/>
      <c r="E21" s="180"/>
      <c r="F21" s="180"/>
      <c r="G21" s="180"/>
      <c r="H21" s="180"/>
      <c r="I21" s="180"/>
      <c r="J21" s="180"/>
      <c r="K21" s="180"/>
      <c r="L21" s="180"/>
      <c r="M21" s="177"/>
      <c r="N21" s="178"/>
    </row>
    <row r="22" spans="1:14" s="179" customFormat="1" ht="21" customHeight="1">
      <c r="A22" s="205" t="s">
        <v>289</v>
      </c>
      <c r="B22" s="242" t="s">
        <v>305</v>
      </c>
      <c r="C22" s="243"/>
      <c r="D22" s="180"/>
      <c r="E22" s="180"/>
      <c r="F22" s="180"/>
      <c r="G22" s="180"/>
      <c r="H22" s="180"/>
      <c r="I22" s="180"/>
      <c r="J22" s="180"/>
      <c r="K22" s="180"/>
      <c r="L22" s="180"/>
      <c r="M22" s="177"/>
      <c r="N22" s="178"/>
    </row>
    <row r="23" spans="1:14" s="179" customFormat="1" ht="30" customHeight="1">
      <c r="A23" s="205" t="s">
        <v>37</v>
      </c>
      <c r="B23" s="242" t="s">
        <v>202</v>
      </c>
      <c r="C23" s="243"/>
      <c r="D23" s="175">
        <f>+'Calculation of Risk Weighted As'!D23-'Calculation of Risk Weighte нац'!D23</f>
        <v>0</v>
      </c>
      <c r="E23" s="176"/>
      <c r="F23" s="176"/>
      <c r="G23" s="176"/>
      <c r="H23" s="176"/>
      <c r="I23" s="176"/>
      <c r="J23" s="176"/>
      <c r="K23" s="176"/>
      <c r="L23" s="176"/>
      <c r="M23" s="177"/>
      <c r="N23" s="178"/>
    </row>
    <row r="24" spans="1:14" s="179" customFormat="1" ht="30" customHeight="1">
      <c r="A24" s="205" t="s">
        <v>33</v>
      </c>
      <c r="B24" s="242" t="s">
        <v>298</v>
      </c>
      <c r="C24" s="243"/>
      <c r="D24" s="175">
        <f>+'Calculation of Risk Weighted As'!D24-'Calculation of Risk Weighte нац'!D24</f>
        <v>0</v>
      </c>
      <c r="E24" s="176"/>
      <c r="F24" s="176"/>
      <c r="G24" s="176"/>
      <c r="H24" s="176"/>
      <c r="I24" s="176"/>
      <c r="J24" s="176"/>
      <c r="K24" s="176"/>
      <c r="L24" s="176"/>
      <c r="M24" s="177"/>
      <c r="N24" s="178"/>
    </row>
    <row r="25" spans="1:14" s="179" customFormat="1" ht="21" customHeight="1">
      <c r="A25" s="205" t="s">
        <v>35</v>
      </c>
      <c r="B25" s="242" t="s">
        <v>275</v>
      </c>
      <c r="C25" s="243"/>
      <c r="D25" s="175">
        <f>+'Calculation of Risk Weighted As'!D25-'Calculation of Risk Weighte нац'!D25</f>
        <v>0</v>
      </c>
      <c r="E25" s="175">
        <f>+'Calculation of Risk Weighted As'!E25-'Calculation of Risk Weighte нац'!E25</f>
        <v>0</v>
      </c>
      <c r="F25" s="176"/>
      <c r="G25" s="176"/>
      <c r="H25" s="176"/>
      <c r="I25" s="176"/>
      <c r="J25" s="176"/>
      <c r="K25" s="176"/>
      <c r="L25" s="176"/>
      <c r="M25" s="177"/>
      <c r="N25" s="178"/>
    </row>
    <row r="26" spans="1:14" s="179" customFormat="1" ht="43.5" customHeight="1">
      <c r="A26" s="205" t="s">
        <v>42</v>
      </c>
      <c r="B26" s="242" t="s">
        <v>278</v>
      </c>
      <c r="C26" s="243"/>
      <c r="D26" s="175">
        <f>+'Calculation of Risk Weighted As'!D26-'Calculation of Risk Weighte нац'!D26</f>
        <v>0</v>
      </c>
      <c r="E26" s="176"/>
      <c r="F26" s="176"/>
      <c r="G26" s="176"/>
      <c r="H26" s="176"/>
      <c r="I26" s="176"/>
      <c r="J26" s="176"/>
      <c r="K26" s="176"/>
      <c r="L26" s="176"/>
      <c r="M26" s="177"/>
      <c r="N26" s="178"/>
    </row>
    <row r="27" spans="1:14" s="179" customFormat="1" ht="21" customHeight="1">
      <c r="A27" s="205" t="s">
        <v>128</v>
      </c>
      <c r="B27" s="242" t="s">
        <v>203</v>
      </c>
      <c r="C27" s="243"/>
      <c r="D27" s="176"/>
      <c r="E27" s="176"/>
      <c r="F27" s="176"/>
      <c r="G27" s="176"/>
      <c r="H27" s="176"/>
      <c r="I27" s="175">
        <f>+'Calculation of Risk Weighted As'!I27-'Calculation of Risk Weighte нац'!I27</f>
        <v>0</v>
      </c>
      <c r="J27" s="176"/>
      <c r="K27" s="176"/>
      <c r="L27" s="176"/>
      <c r="M27" s="177"/>
      <c r="N27" s="178"/>
    </row>
    <row r="28" spans="1:14" s="179" customFormat="1" ht="21" customHeight="1">
      <c r="A28" s="205" t="s">
        <v>204</v>
      </c>
      <c r="B28" s="242" t="s">
        <v>290</v>
      </c>
      <c r="C28" s="243"/>
      <c r="D28" s="175">
        <f>+'Calculation of Risk Weighted As'!D28-'Calculation of Risk Weighte нац'!D28</f>
        <v>0</v>
      </c>
      <c r="E28" s="176"/>
      <c r="F28" s="176"/>
      <c r="G28" s="176"/>
      <c r="H28" s="176"/>
      <c r="I28" s="175">
        <f>+'Calculation of Risk Weighted As'!I28-'Calculation of Risk Weighte нац'!I28</f>
        <v>0</v>
      </c>
      <c r="J28" s="175">
        <f>+'Calculation of Risk Weighted As'!J28-'Calculation of Risk Weighte нац'!J28</f>
        <v>0</v>
      </c>
      <c r="K28" s="175">
        <f>+'Calculation of Risk Weighted As'!K28-'Calculation of Risk Weighte нац'!K28</f>
        <v>0</v>
      </c>
      <c r="L28" s="176"/>
      <c r="M28" s="177"/>
      <c r="N28" s="178"/>
    </row>
    <row r="29" spans="1:14" s="179" customFormat="1" ht="63.75" customHeight="1">
      <c r="A29" s="205" t="s">
        <v>205</v>
      </c>
      <c r="B29" s="242" t="s">
        <v>321</v>
      </c>
      <c r="C29" s="243"/>
      <c r="D29" s="176"/>
      <c r="E29" s="176"/>
      <c r="F29" s="176"/>
      <c r="G29" s="176"/>
      <c r="H29" s="175">
        <f>+'Calculation of Risk Weighted As'!H29-'Calculation of Risk Weighte нац'!H29</f>
        <v>0</v>
      </c>
      <c r="I29" s="176"/>
      <c r="J29" s="176"/>
      <c r="K29" s="176"/>
      <c r="L29" s="176"/>
      <c r="M29" s="177"/>
      <c r="N29" s="178"/>
    </row>
    <row r="30" spans="1:14" s="179" customFormat="1" ht="30" customHeight="1">
      <c r="A30" s="205" t="s">
        <v>206</v>
      </c>
      <c r="B30" s="242" t="s">
        <v>322</v>
      </c>
      <c r="C30" s="243"/>
      <c r="D30" s="176"/>
      <c r="E30" s="176"/>
      <c r="F30" s="176"/>
      <c r="G30" s="176"/>
      <c r="H30" s="175">
        <f>+'Calculation of Risk Weighted As'!H30-'Calculation of Risk Weighte нац'!H30</f>
        <v>0</v>
      </c>
      <c r="I30" s="176"/>
      <c r="J30" s="176"/>
      <c r="K30" s="176"/>
      <c r="L30" s="176"/>
      <c r="M30" s="177"/>
      <c r="N30" s="178"/>
    </row>
    <row r="31" spans="1:14" s="179" customFormat="1" ht="52.5" customHeight="1">
      <c r="A31" s="205" t="s">
        <v>207</v>
      </c>
      <c r="B31" s="242" t="s">
        <v>323</v>
      </c>
      <c r="C31" s="243"/>
      <c r="D31" s="176"/>
      <c r="E31" s="176"/>
      <c r="F31" s="176"/>
      <c r="G31" s="176"/>
      <c r="H31" s="175">
        <f>+'Calculation of Risk Weighted As'!H31-'Calculation of Risk Weighte нац'!H31</f>
        <v>11861258</v>
      </c>
      <c r="I31" s="176"/>
      <c r="J31" s="176"/>
      <c r="K31" s="176"/>
      <c r="L31" s="176"/>
      <c r="M31" s="177"/>
      <c r="N31" s="178"/>
    </row>
    <row r="32" spans="1:14" s="179" customFormat="1" ht="28.5" customHeight="1">
      <c r="A32" s="205" t="s">
        <v>265</v>
      </c>
      <c r="B32" s="242" t="s">
        <v>279</v>
      </c>
      <c r="C32" s="243"/>
      <c r="D32" s="176"/>
      <c r="E32" s="176"/>
      <c r="F32" s="176"/>
      <c r="G32" s="176"/>
      <c r="H32" s="176"/>
      <c r="I32" s="175">
        <f>+'Calculation of Risk Weighted As'!I32-'Calculation of Risk Weighte нац'!I32</f>
        <v>2924987028</v>
      </c>
      <c r="J32" s="175">
        <f>+'Calculation of Risk Weighted As'!J32-'Calculation of Risk Weighte нац'!J32</f>
        <v>439944383</v>
      </c>
      <c r="K32" s="175">
        <f>+'Calculation of Risk Weighted As'!K32-'Calculation of Risk Weighte нац'!K32</f>
        <v>253902144</v>
      </c>
      <c r="L32" s="176"/>
      <c r="M32" s="177"/>
      <c r="N32" s="178"/>
    </row>
    <row r="33" spans="1:14" s="179" customFormat="1" ht="21" customHeight="1">
      <c r="A33" s="205" t="s">
        <v>266</v>
      </c>
      <c r="B33" s="242" t="s">
        <v>299</v>
      </c>
      <c r="C33" s="243"/>
      <c r="D33" s="176"/>
      <c r="E33" s="176"/>
      <c r="F33" s="176"/>
      <c r="G33" s="176"/>
      <c r="H33" s="176"/>
      <c r="I33" s="176"/>
      <c r="J33" s="176"/>
      <c r="K33" s="175">
        <f>+'Calculation of Risk Weighted As'!K33-'Calculation of Risk Weighte нац'!K33</f>
        <v>83593974</v>
      </c>
      <c r="L33" s="176"/>
      <c r="M33" s="177"/>
      <c r="N33" s="178"/>
    </row>
    <row r="34" spans="1:14" s="179" customFormat="1" ht="21" customHeight="1">
      <c r="A34" s="205" t="s">
        <v>291</v>
      </c>
      <c r="B34" s="242" t="s">
        <v>292</v>
      </c>
      <c r="C34" s="243"/>
      <c r="D34" s="180"/>
      <c r="E34" s="180"/>
      <c r="F34" s="180"/>
      <c r="G34" s="180"/>
      <c r="H34" s="180"/>
      <c r="I34" s="180"/>
      <c r="J34" s="180"/>
      <c r="K34" s="180"/>
      <c r="L34" s="180"/>
      <c r="M34" s="177"/>
      <c r="N34" s="178"/>
    </row>
    <row r="35" spans="1:14" s="179" customFormat="1" ht="21" customHeight="1">
      <c r="A35" s="205" t="s">
        <v>37</v>
      </c>
      <c r="B35" s="242" t="s">
        <v>203</v>
      </c>
      <c r="C35" s="243"/>
      <c r="D35" s="176"/>
      <c r="E35" s="176"/>
      <c r="F35" s="176"/>
      <c r="G35" s="176"/>
      <c r="H35" s="176"/>
      <c r="I35" s="175">
        <f>+'Calculation of Risk Weighted As'!I35-'Calculation of Risk Weighte нац'!I35</f>
        <v>0</v>
      </c>
      <c r="J35" s="176"/>
      <c r="K35" s="176"/>
      <c r="L35" s="176"/>
      <c r="M35" s="177"/>
      <c r="N35" s="178"/>
    </row>
    <row r="36" spans="1:14" s="179" customFormat="1" ht="22.5" customHeight="1">
      <c r="A36" s="205" t="s">
        <v>33</v>
      </c>
      <c r="B36" s="242" t="s">
        <v>296</v>
      </c>
      <c r="C36" s="243"/>
      <c r="D36" s="175">
        <f>+'Calculation of Risk Weighted As'!D36-'Calculation of Risk Weighte нац'!D36</f>
        <v>0</v>
      </c>
      <c r="E36" s="175">
        <f>+'Calculation of Risk Weighted As'!E36-'Calculation of Risk Weighte нац'!E36</f>
        <v>0</v>
      </c>
      <c r="F36" s="176"/>
      <c r="G36" s="176"/>
      <c r="H36" s="176"/>
      <c r="I36" s="176"/>
      <c r="J36" s="176"/>
      <c r="K36" s="176"/>
      <c r="L36" s="176"/>
      <c r="M36" s="177"/>
      <c r="N36" s="178"/>
    </row>
    <row r="37" spans="1:14" s="179" customFormat="1" ht="22.5" customHeight="1">
      <c r="A37" s="205" t="s">
        <v>35</v>
      </c>
      <c r="B37" s="242" t="s">
        <v>293</v>
      </c>
      <c r="C37" s="243"/>
      <c r="D37" s="176"/>
      <c r="E37" s="176"/>
      <c r="F37" s="175">
        <f>+'Calculation of Risk Weighted As'!F37-'Calculation of Risk Weighte нац'!F37</f>
        <v>0</v>
      </c>
      <c r="G37" s="175">
        <f>+'Calculation of Risk Weighted As'!G37-'Calculation of Risk Weighte нац'!G37</f>
        <v>0</v>
      </c>
      <c r="H37" s="176"/>
      <c r="I37" s="175">
        <f>+'Calculation of Risk Weighted As'!I37-'Calculation of Risk Weighte нац'!I37</f>
        <v>0</v>
      </c>
      <c r="J37" s="175">
        <f>+'Calculation of Risk Weighted As'!J37-'Calculation of Risk Weighte нац'!J37</f>
        <v>0</v>
      </c>
      <c r="K37" s="176"/>
      <c r="L37" s="176"/>
      <c r="M37" s="177"/>
      <c r="N37" s="178"/>
    </row>
    <row r="38" spans="1:14" s="179" customFormat="1" ht="22.5" customHeight="1">
      <c r="A38" s="205" t="s">
        <v>42</v>
      </c>
      <c r="B38" s="242" t="s">
        <v>294</v>
      </c>
      <c r="C38" s="243"/>
      <c r="D38" s="176"/>
      <c r="E38" s="176"/>
      <c r="F38" s="175">
        <f>+'Calculation of Risk Weighted As'!F38-'Calculation of Risk Weighte нац'!F38</f>
        <v>0</v>
      </c>
      <c r="G38" s="175">
        <f>+'Calculation of Risk Weighted As'!G38-'Calculation of Risk Weighte нац'!G38</f>
        <v>0</v>
      </c>
      <c r="H38" s="176"/>
      <c r="I38" s="175">
        <f>+'Calculation of Risk Weighted As'!I38-'Calculation of Risk Weighte нац'!I38</f>
        <v>0</v>
      </c>
      <c r="J38" s="175">
        <f>+'Calculation of Risk Weighted As'!J38-'Calculation of Risk Weighte нац'!J38</f>
        <v>0</v>
      </c>
      <c r="K38" s="176"/>
      <c r="L38" s="176"/>
      <c r="M38" s="177"/>
      <c r="N38" s="178"/>
    </row>
    <row r="39" spans="1:14" s="179" customFormat="1" ht="22.5" customHeight="1">
      <c r="A39" s="205" t="s">
        <v>128</v>
      </c>
      <c r="B39" s="242" t="s">
        <v>295</v>
      </c>
      <c r="C39" s="243"/>
      <c r="D39" s="176"/>
      <c r="E39" s="176"/>
      <c r="F39" s="176"/>
      <c r="G39" s="176"/>
      <c r="H39" s="176"/>
      <c r="I39" s="175">
        <f>+'Calculation of Risk Weighted As'!I39-'Calculation of Risk Weighte нац'!I39</f>
        <v>0</v>
      </c>
      <c r="J39" s="175">
        <f>+'Calculation of Risk Weighted As'!J39-'Calculation of Risk Weighte нац'!J39</f>
        <v>0</v>
      </c>
      <c r="K39" s="175">
        <f>+'Calculation of Risk Weighted As'!K39-'Calculation of Risk Weighte нац'!K39</f>
        <v>0</v>
      </c>
      <c r="L39" s="176"/>
      <c r="M39" s="177"/>
      <c r="N39" s="178"/>
    </row>
    <row r="40" spans="1:14" s="179" customFormat="1" ht="28.5" customHeight="1">
      <c r="A40" s="205" t="s">
        <v>204</v>
      </c>
      <c r="B40" s="242" t="s">
        <v>306</v>
      </c>
      <c r="C40" s="243"/>
      <c r="D40" s="176"/>
      <c r="E40" s="176"/>
      <c r="F40" s="176"/>
      <c r="G40" s="176"/>
      <c r="H40" s="176"/>
      <c r="I40" s="175">
        <f>+'Calculation of Risk Weighted As'!I40-'Calculation of Risk Weighte нац'!I40</f>
        <v>0</v>
      </c>
      <c r="J40" s="175">
        <f>+'Calculation of Risk Weighted As'!J40-'Calculation of Risk Weighte нац'!J40</f>
        <v>0</v>
      </c>
      <c r="K40" s="175">
        <f>+'Calculation of Risk Weighted As'!K40-'Calculation of Risk Weighte нац'!K40</f>
        <v>0</v>
      </c>
      <c r="L40" s="176"/>
      <c r="M40" s="177"/>
      <c r="N40" s="178"/>
    </row>
    <row r="41" spans="1:14" s="179" customFormat="1" ht="23.25" customHeight="1">
      <c r="A41" s="205" t="s">
        <v>205</v>
      </c>
      <c r="B41" s="242" t="s">
        <v>307</v>
      </c>
      <c r="C41" s="243"/>
      <c r="D41" s="176"/>
      <c r="E41" s="176"/>
      <c r="F41" s="176"/>
      <c r="G41" s="176"/>
      <c r="H41" s="176"/>
      <c r="I41" s="175">
        <f>+'Calculation of Risk Weighted As'!I41-'Calculation of Risk Weighte нац'!I41</f>
        <v>0</v>
      </c>
      <c r="J41" s="175">
        <f>+'Calculation of Risk Weighted As'!J41-'Calculation of Risk Weighte нац'!J41</f>
        <v>0</v>
      </c>
      <c r="K41" s="175">
        <f>+'Calculation of Risk Weighted As'!K41-'Calculation of Risk Weighte нац'!K41</f>
        <v>0</v>
      </c>
      <c r="L41" s="176"/>
      <c r="M41" s="177"/>
      <c r="N41" s="178"/>
    </row>
    <row r="42" spans="1:14" s="179" customFormat="1" ht="43.5" customHeight="1">
      <c r="A42" s="205" t="s">
        <v>206</v>
      </c>
      <c r="B42" s="242" t="s">
        <v>308</v>
      </c>
      <c r="C42" s="243"/>
      <c r="D42" s="176"/>
      <c r="E42" s="176"/>
      <c r="F42" s="176"/>
      <c r="G42" s="176"/>
      <c r="H42" s="176"/>
      <c r="I42" s="175">
        <f>+'Calculation of Risk Weighted As'!I42-'Calculation of Risk Weighte нац'!I42</f>
        <v>0</v>
      </c>
      <c r="J42" s="176"/>
      <c r="K42" s="176"/>
      <c r="L42" s="176"/>
      <c r="M42" s="177"/>
      <c r="N42" s="178"/>
    </row>
    <row r="43" spans="1:14" s="179" customFormat="1" ht="55.5" customHeight="1">
      <c r="A43" s="205" t="s">
        <v>207</v>
      </c>
      <c r="B43" s="242" t="s">
        <v>309</v>
      </c>
      <c r="C43" s="243"/>
      <c r="D43" s="176"/>
      <c r="E43" s="176"/>
      <c r="F43" s="176"/>
      <c r="G43" s="176"/>
      <c r="H43" s="176"/>
      <c r="I43" s="176"/>
      <c r="J43" s="175">
        <f>+'Calculation of Risk Weighted As'!J43-'Calculation of Risk Weighte нац'!J43</f>
        <v>0</v>
      </c>
      <c r="K43" s="176"/>
      <c r="L43" s="176"/>
      <c r="M43" s="177"/>
      <c r="N43" s="178"/>
    </row>
    <row r="44" spans="1:14" s="179" customFormat="1" ht="42.75" customHeight="1">
      <c r="A44" s="205" t="s">
        <v>265</v>
      </c>
      <c r="B44" s="242" t="s">
        <v>302</v>
      </c>
      <c r="C44" s="243"/>
      <c r="D44" s="176"/>
      <c r="E44" s="176"/>
      <c r="F44" s="176"/>
      <c r="G44" s="176"/>
      <c r="H44" s="176"/>
      <c r="I44" s="175">
        <f>+'Calculation of Risk Weighted As'!I44-'Calculation of Risk Weighte нац'!I44</f>
        <v>0</v>
      </c>
      <c r="J44" s="176"/>
      <c r="K44" s="176"/>
      <c r="L44" s="176"/>
      <c r="M44" s="177"/>
      <c r="N44" s="178"/>
    </row>
    <row r="45" spans="1:14" s="179" customFormat="1" ht="42.75" customHeight="1">
      <c r="A45" s="205" t="s">
        <v>266</v>
      </c>
      <c r="B45" s="242" t="s">
        <v>303</v>
      </c>
      <c r="C45" s="243"/>
      <c r="D45" s="176"/>
      <c r="E45" s="176"/>
      <c r="F45" s="176"/>
      <c r="G45" s="176"/>
      <c r="H45" s="176"/>
      <c r="I45" s="176"/>
      <c r="J45" s="175">
        <f>+'Calculation of Risk Weighted As'!J45-'Calculation of Risk Weighte нац'!J45</f>
        <v>0</v>
      </c>
      <c r="K45" s="176"/>
      <c r="L45" s="176"/>
      <c r="M45" s="177"/>
      <c r="N45" s="178"/>
    </row>
    <row r="46" spans="1:14" s="179" customFormat="1" ht="26.25" customHeight="1">
      <c r="A46" s="205" t="s">
        <v>267</v>
      </c>
      <c r="B46" s="242" t="s">
        <v>290</v>
      </c>
      <c r="C46" s="243"/>
      <c r="D46" s="175">
        <f>+'Calculation of Risk Weighted As'!D46-'Calculation of Risk Weighte нац'!D46</f>
        <v>0</v>
      </c>
      <c r="E46" s="176"/>
      <c r="F46" s="176"/>
      <c r="G46" s="176"/>
      <c r="H46" s="176"/>
      <c r="I46" s="175">
        <f>+'Calculation of Risk Weighted As'!I46-'Calculation of Risk Weighte нац'!I46</f>
        <v>0</v>
      </c>
      <c r="J46" s="175">
        <f>+'Calculation of Risk Weighted As'!J46-'Calculation of Risk Weighte нац'!J46</f>
        <v>0</v>
      </c>
      <c r="K46" s="175">
        <f>+'Calculation of Risk Weighted As'!K46-'Calculation of Risk Weighte нац'!K46</f>
        <v>0</v>
      </c>
      <c r="L46" s="176"/>
      <c r="M46" s="177"/>
      <c r="N46" s="178"/>
    </row>
    <row r="47" spans="1:14" s="179" customFormat="1" ht="70.5" customHeight="1">
      <c r="A47" s="205" t="s">
        <v>273</v>
      </c>
      <c r="B47" s="242" t="s">
        <v>324</v>
      </c>
      <c r="C47" s="243"/>
      <c r="D47" s="176"/>
      <c r="E47" s="176"/>
      <c r="F47" s="176"/>
      <c r="G47" s="176"/>
      <c r="H47" s="175">
        <f>+'Calculation of Risk Weighted As'!H47-'Calculation of Risk Weighte нац'!H47</f>
        <v>0</v>
      </c>
      <c r="I47" s="176"/>
      <c r="J47" s="176"/>
      <c r="K47" s="176"/>
      <c r="L47" s="176"/>
      <c r="M47" s="177"/>
      <c r="N47" s="178"/>
    </row>
    <row r="48" spans="1:14" s="179" customFormat="1" ht="43.5" customHeight="1">
      <c r="A48" s="205" t="s">
        <v>329</v>
      </c>
      <c r="B48" s="242" t="s">
        <v>325</v>
      </c>
      <c r="C48" s="243"/>
      <c r="D48" s="176"/>
      <c r="E48" s="176"/>
      <c r="F48" s="176"/>
      <c r="G48" s="176"/>
      <c r="H48" s="175">
        <f>+'Calculation of Risk Weighted As'!H48-'Calculation of Risk Weighte нац'!H48</f>
        <v>0</v>
      </c>
      <c r="I48" s="175">
        <f>+'Calculation of Risk Weighted As'!I48-'Calculation of Risk Weighte нац'!I48</f>
        <v>0</v>
      </c>
      <c r="J48" s="175">
        <f>+'Calculation of Risk Weighted As'!J48-'Calculation of Risk Weighte нац'!J48</f>
        <v>0</v>
      </c>
      <c r="K48" s="175">
        <f>+'Calculation of Risk Weighted As'!K48-'Calculation of Risk Weighte нац'!K48</f>
        <v>0</v>
      </c>
      <c r="L48" s="176"/>
      <c r="M48" s="177"/>
      <c r="N48" s="178"/>
    </row>
    <row r="49" spans="1:16" s="179" customFormat="1" ht="52.5" customHeight="1">
      <c r="A49" s="205" t="s">
        <v>301</v>
      </c>
      <c r="B49" s="242" t="s">
        <v>328</v>
      </c>
      <c r="C49" s="243"/>
      <c r="D49" s="176"/>
      <c r="E49" s="176"/>
      <c r="F49" s="176"/>
      <c r="G49" s="176"/>
      <c r="H49" s="176"/>
      <c r="I49" s="176"/>
      <c r="J49" s="175">
        <f>+'Calculation of Risk Weighted As'!J49-'Calculation of Risk Weighte нац'!J49</f>
        <v>0</v>
      </c>
      <c r="K49" s="175">
        <f>+'Calculation of Risk Weighted As'!K49-'Calculation of Risk Weighte нац'!K49</f>
        <v>0</v>
      </c>
      <c r="L49" s="176"/>
      <c r="M49" s="177"/>
      <c r="N49" s="178"/>
    </row>
    <row r="50" spans="1:16" s="179" customFormat="1" ht="26.25" customHeight="1">
      <c r="A50" s="205" t="s">
        <v>326</v>
      </c>
      <c r="B50" s="242" t="s">
        <v>297</v>
      </c>
      <c r="C50" s="243"/>
      <c r="D50" s="176"/>
      <c r="E50" s="176"/>
      <c r="F50" s="176"/>
      <c r="G50" s="176"/>
      <c r="H50" s="176"/>
      <c r="I50" s="175">
        <f>+'Calculation of Risk Weighted As'!I50-'Calculation of Risk Weighte нац'!I50</f>
        <v>0</v>
      </c>
      <c r="J50" s="175">
        <f>+'Calculation of Risk Weighted As'!J50-'Calculation of Risk Weighte нац'!J50</f>
        <v>0</v>
      </c>
      <c r="K50" s="175">
        <f>+'Calculation of Risk Weighted As'!K50-'Calculation of Risk Weighte нац'!K50</f>
        <v>0</v>
      </c>
      <c r="L50" s="176"/>
      <c r="M50" s="177"/>
      <c r="N50" s="178"/>
    </row>
    <row r="51" spans="1:16" s="179" customFormat="1" ht="21" customHeight="1">
      <c r="A51" s="205" t="s">
        <v>327</v>
      </c>
      <c r="B51" s="242" t="s">
        <v>300</v>
      </c>
      <c r="C51" s="243"/>
      <c r="D51" s="176"/>
      <c r="E51" s="176"/>
      <c r="F51" s="176"/>
      <c r="G51" s="176"/>
      <c r="H51" s="176"/>
      <c r="I51" s="176"/>
      <c r="J51" s="176"/>
      <c r="K51" s="175">
        <f>+'Calculation of Risk Weighted As'!K51-'Calculation of Risk Weighte нац'!K51</f>
        <v>0</v>
      </c>
      <c r="L51" s="176"/>
      <c r="M51" s="177"/>
      <c r="N51" s="177"/>
      <c r="O51" s="177"/>
    </row>
    <row r="52" spans="1:16" s="179" customFormat="1" ht="21" customHeight="1">
      <c r="A52" s="205" t="s">
        <v>72</v>
      </c>
      <c r="B52" s="242" t="s">
        <v>208</v>
      </c>
      <c r="C52" s="243"/>
      <c r="D52" s="176"/>
      <c r="E52" s="176"/>
      <c r="F52" s="176"/>
      <c r="G52" s="176"/>
      <c r="H52" s="176"/>
      <c r="I52" s="176"/>
      <c r="J52" s="176"/>
      <c r="K52" s="176"/>
      <c r="L52" s="176"/>
      <c r="M52" s="177"/>
      <c r="N52" s="178"/>
    </row>
    <row r="53" spans="1:16" s="179" customFormat="1" ht="21" customHeight="1">
      <c r="A53" s="205" t="s">
        <v>37</v>
      </c>
      <c r="B53" s="242" t="s">
        <v>209</v>
      </c>
      <c r="C53" s="243"/>
      <c r="D53" s="176"/>
      <c r="E53" s="176"/>
      <c r="F53" s="176"/>
      <c r="G53" s="176"/>
      <c r="H53" s="176"/>
      <c r="I53" s="175">
        <f>+'Calculation of Risk Weighted As'!I53-'Calculation of Risk Weighte нац'!I53</f>
        <v>0</v>
      </c>
      <c r="J53" s="176"/>
      <c r="K53" s="176"/>
      <c r="L53" s="176"/>
      <c r="M53" s="177"/>
      <c r="N53" s="178"/>
    </row>
    <row r="54" spans="1:16" s="179" customFormat="1" ht="21" customHeight="1">
      <c r="A54" s="205" t="s">
        <v>33</v>
      </c>
      <c r="B54" s="242" t="s">
        <v>210</v>
      </c>
      <c r="C54" s="243"/>
      <c r="D54" s="176"/>
      <c r="E54" s="176"/>
      <c r="F54" s="176"/>
      <c r="G54" s="176"/>
      <c r="H54" s="176"/>
      <c r="I54" s="175">
        <f>+'Calculation of Risk Weighted As'!I54-'Calculation of Risk Weighte нац'!I54</f>
        <v>0</v>
      </c>
      <c r="J54" s="176"/>
      <c r="K54" s="176"/>
      <c r="L54" s="176"/>
      <c r="M54" s="177"/>
      <c r="N54" s="178"/>
    </row>
    <row r="55" spans="1:16" s="179" customFormat="1" ht="29.25" customHeight="1">
      <c r="A55" s="205" t="s">
        <v>35</v>
      </c>
      <c r="B55" s="242" t="s">
        <v>211</v>
      </c>
      <c r="C55" s="243"/>
      <c r="D55" s="176"/>
      <c r="E55" s="176"/>
      <c r="F55" s="176"/>
      <c r="G55" s="176"/>
      <c r="H55" s="176"/>
      <c r="I55" s="176"/>
      <c r="J55" s="175">
        <f>+'Calculation of Risk Weighted As'!J55-'Calculation of Risk Weighte нац'!J55</f>
        <v>0</v>
      </c>
      <c r="K55" s="175">
        <f>+'Calculation of Risk Weighted As'!K55-'Calculation of Risk Weighte нац'!K55</f>
        <v>0</v>
      </c>
      <c r="L55" s="176"/>
      <c r="M55" s="177"/>
      <c r="N55" s="178"/>
    </row>
    <row r="56" spans="1:16" s="179" customFormat="1" ht="21" customHeight="1">
      <c r="A56" s="205" t="s">
        <v>42</v>
      </c>
      <c r="B56" s="242" t="s">
        <v>212</v>
      </c>
      <c r="C56" s="243"/>
      <c r="D56" s="176"/>
      <c r="E56" s="176"/>
      <c r="F56" s="176"/>
      <c r="G56" s="176"/>
      <c r="H56" s="176"/>
      <c r="I56" s="176"/>
      <c r="J56" s="175">
        <f>+'Calculation of Risk Weighted As'!J56-'Calculation of Risk Weighte нац'!J56</f>
        <v>0</v>
      </c>
      <c r="K56" s="175">
        <f>+'Calculation of Risk Weighted As'!K56-'Calculation of Risk Weighte нац'!K56</f>
        <v>0</v>
      </c>
      <c r="L56" s="176"/>
      <c r="M56" s="177"/>
      <c r="N56" s="178"/>
    </row>
    <row r="57" spans="1:16" s="179" customFormat="1" ht="28.5" customHeight="1">
      <c r="A57" s="205" t="s">
        <v>79</v>
      </c>
      <c r="B57" s="242" t="s">
        <v>280</v>
      </c>
      <c r="C57" s="243"/>
      <c r="D57" s="175">
        <f>+'Calculation of Risk Weighted As'!D57-'Calculation of Risk Weighte нац'!D57</f>
        <v>0</v>
      </c>
      <c r="E57" s="176"/>
      <c r="F57" s="176"/>
      <c r="G57" s="176"/>
      <c r="H57" s="176"/>
      <c r="I57" s="176"/>
      <c r="J57" s="175">
        <f>+'Calculation of Risk Weighted As'!J57-'Calculation of Risk Weighte нац'!J57</f>
        <v>0</v>
      </c>
      <c r="K57" s="175">
        <f>+'Calculation of Risk Weighted As'!K57-'Calculation of Risk Weighte нац'!K57</f>
        <v>0</v>
      </c>
      <c r="L57" s="175">
        <f>+'Calculation of Risk Weighted As'!L57-'Calculation of Risk Weighte нац'!L57</f>
        <v>0</v>
      </c>
      <c r="M57" s="177"/>
      <c r="N57" s="178"/>
    </row>
    <row r="58" spans="1:16" s="179" customFormat="1" ht="27.75" customHeight="1">
      <c r="A58" s="205" t="s">
        <v>80</v>
      </c>
      <c r="B58" s="242" t="s">
        <v>281</v>
      </c>
      <c r="C58" s="243"/>
      <c r="D58" s="175">
        <f>+'Calculation of Risk Weighted As'!D58-'Calculation of Risk Weighte нац'!D58</f>
        <v>0</v>
      </c>
      <c r="E58" s="176"/>
      <c r="F58" s="176"/>
      <c r="G58" s="176"/>
      <c r="H58" s="176"/>
      <c r="I58" s="176"/>
      <c r="J58" s="175">
        <f>+'Calculation of Risk Weighted As'!J58-'Calculation of Risk Weighte нац'!J58</f>
        <v>0</v>
      </c>
      <c r="K58" s="175">
        <f>+'Calculation of Risk Weighted As'!K58-'Calculation of Risk Weighte нац'!K58</f>
        <v>0</v>
      </c>
      <c r="L58" s="176"/>
      <c r="M58" s="177"/>
      <c r="N58" s="178"/>
    </row>
    <row r="59" spans="1:16" s="179" customFormat="1" ht="21" customHeight="1">
      <c r="A59" s="205" t="s">
        <v>73</v>
      </c>
      <c r="B59" s="242" t="s">
        <v>213</v>
      </c>
      <c r="C59" s="243"/>
      <c r="D59" s="175">
        <f>+'Calculation of Risk Weighted As'!D59-'Calculation of Risk Weighte нац'!D59</f>
        <v>0</v>
      </c>
      <c r="E59" s="181"/>
      <c r="F59" s="176"/>
      <c r="G59" s="176"/>
      <c r="H59" s="176"/>
      <c r="I59" s="175">
        <f>+'Calculation of Risk Weighted As'!I59-'Calculation of Risk Weighte нац'!I59</f>
        <v>0</v>
      </c>
      <c r="J59" s="176"/>
      <c r="K59" s="176"/>
      <c r="L59" s="176"/>
      <c r="M59" s="177"/>
      <c r="N59" s="178"/>
    </row>
    <row r="60" spans="1:16" s="179" customFormat="1" ht="21" customHeight="1">
      <c r="A60" s="205" t="s">
        <v>74</v>
      </c>
      <c r="B60" s="242" t="s">
        <v>264</v>
      </c>
      <c r="C60" s="243"/>
      <c r="D60" s="175">
        <f>+'Calculation of Risk Weighted As'!D60-'Calculation of Risk Weighte нац'!D60</f>
        <v>0</v>
      </c>
      <c r="E60" s="175">
        <f>+'Calculation of Risk Weighted As'!E60-'Calculation of Risk Weighte нац'!E60</f>
        <v>0</v>
      </c>
      <c r="F60" s="176"/>
      <c r="G60" s="176"/>
      <c r="H60" s="176"/>
      <c r="I60" s="175">
        <f>+'Calculation of Risk Weighted As'!I60-'Calculation of Risk Weighte нац'!I60</f>
        <v>36791473</v>
      </c>
      <c r="J60" s="176"/>
      <c r="K60" s="175">
        <f>+'Calculation of Risk Weighted As'!K60-'Calculation of Risk Weighte нац'!K60</f>
        <v>0</v>
      </c>
      <c r="L60" s="176"/>
      <c r="M60" s="177"/>
      <c r="N60" s="178"/>
    </row>
    <row r="61" spans="1:16" s="179" customFormat="1" ht="21" customHeight="1">
      <c r="A61" s="205" t="s">
        <v>75</v>
      </c>
      <c r="B61" s="242" t="s">
        <v>282</v>
      </c>
      <c r="C61" s="243"/>
      <c r="D61" s="176"/>
      <c r="E61" s="176"/>
      <c r="F61" s="176"/>
      <c r="G61" s="176"/>
      <c r="H61" s="176"/>
      <c r="I61" s="176"/>
      <c r="J61" s="176"/>
      <c r="K61" s="175">
        <f>+'Calculation of Risk Weighted As'!K61-'Calculation of Risk Weighte нац'!K61</f>
        <v>0</v>
      </c>
      <c r="L61" s="176"/>
      <c r="M61" s="177"/>
      <c r="N61" s="178"/>
    </row>
    <row r="62" spans="1:16" s="179" customFormat="1" ht="21" customHeight="1">
      <c r="A62" s="205" t="s">
        <v>76</v>
      </c>
      <c r="B62" s="242" t="s">
        <v>268</v>
      </c>
      <c r="C62" s="243"/>
      <c r="D62" s="175">
        <f>+'Calculation of Risk Weighted As'!D62-'Calculation of Risk Weighte нац'!D62</f>
        <v>0</v>
      </c>
      <c r="E62" s="176"/>
      <c r="F62" s="176"/>
      <c r="G62" s="176"/>
      <c r="H62" s="176"/>
      <c r="I62" s="176"/>
      <c r="J62" s="176"/>
      <c r="K62" s="176"/>
      <c r="L62" s="176"/>
      <c r="M62" s="177"/>
      <c r="N62" s="178"/>
    </row>
    <row r="63" spans="1:16" s="179" customFormat="1" ht="21" customHeight="1">
      <c r="A63" s="205" t="s">
        <v>77</v>
      </c>
      <c r="B63" s="242" t="s">
        <v>214</v>
      </c>
      <c r="C63" s="243"/>
      <c r="D63" s="175">
        <f>+'Calculation of Risk Weighted As'!D63-'Calculation of Risk Weighte нац'!D63</f>
        <v>0</v>
      </c>
      <c r="E63" s="175">
        <f>+'Calculation of Risk Weighted As'!E63-'Calculation of Risk Weighte нац'!E63</f>
        <v>0</v>
      </c>
      <c r="F63" s="175">
        <f>+'Calculation of Risk Weighted As'!F63-'Calculation of Risk Weighte нац'!F63</f>
        <v>0</v>
      </c>
      <c r="G63" s="175">
        <f>+'Calculation of Risk Weighted As'!G63-'Calculation of Risk Weighte нац'!G63</f>
        <v>0</v>
      </c>
      <c r="H63" s="175">
        <f>+'Calculation of Risk Weighted As'!H63-'Calculation of Risk Weighte нац'!H63</f>
        <v>124233</v>
      </c>
      <c r="I63" s="175">
        <f>+'Calculation of Risk Weighted As'!I63-'Calculation of Risk Weighte нац'!I63</f>
        <v>451218176</v>
      </c>
      <c r="J63" s="175">
        <f>+'Calculation of Risk Weighted As'!J63-'Calculation of Risk Weighte нац'!J63</f>
        <v>27719863</v>
      </c>
      <c r="K63" s="175">
        <f>+'Calculation of Risk Weighted As'!K63-'Calculation of Risk Weighte нац'!K63</f>
        <v>58979036</v>
      </c>
      <c r="L63" s="175">
        <f>+'Calculation of Risk Weighted As'!L63-'Calculation of Risk Weighte нац'!L63</f>
        <v>0</v>
      </c>
      <c r="M63" s="177"/>
      <c r="N63" s="178"/>
    </row>
    <row r="64" spans="1:16" s="179" customFormat="1" ht="21" customHeight="1">
      <c r="A64" s="205" t="s">
        <v>78</v>
      </c>
      <c r="B64" s="242" t="s">
        <v>215</v>
      </c>
      <c r="C64" s="243"/>
      <c r="D64" s="182">
        <f t="shared" ref="D64:L64" si="0">SUM(D8:D61)+D63-D62</f>
        <v>66279338</v>
      </c>
      <c r="E64" s="182">
        <f t="shared" si="0"/>
        <v>2100846885</v>
      </c>
      <c r="F64" s="182">
        <f t="shared" si="0"/>
        <v>0</v>
      </c>
      <c r="G64" s="182">
        <f t="shared" si="0"/>
        <v>698090002</v>
      </c>
      <c r="H64" s="182">
        <f t="shared" si="0"/>
        <v>11985491</v>
      </c>
      <c r="I64" s="182">
        <f t="shared" si="0"/>
        <v>3412996677</v>
      </c>
      <c r="J64" s="182">
        <f t="shared" si="0"/>
        <v>1172371881</v>
      </c>
      <c r="K64" s="182">
        <f t="shared" si="0"/>
        <v>396475154</v>
      </c>
      <c r="L64" s="182">
        <f t="shared" si="0"/>
        <v>0</v>
      </c>
      <c r="M64" s="236">
        <f>SUM(D64:L64)</f>
        <v>7859045428</v>
      </c>
      <c r="N64" s="178">
        <f>+[7]Balance!$E$47</f>
        <v>7859045428</v>
      </c>
      <c r="O64" s="236">
        <f>+M64-N64</f>
        <v>0</v>
      </c>
      <c r="P64" s="206"/>
    </row>
    <row r="65" spans="1:16" s="179" customFormat="1" ht="26.25" customHeight="1">
      <c r="A65" s="205" t="s">
        <v>263</v>
      </c>
      <c r="B65" s="242" t="s">
        <v>216</v>
      </c>
      <c r="C65" s="243"/>
      <c r="D65" s="176"/>
      <c r="E65" s="182">
        <f t="shared" ref="E65:L65" si="1">E64*E3</f>
        <v>420169377</v>
      </c>
      <c r="F65" s="182">
        <f t="shared" si="1"/>
        <v>0</v>
      </c>
      <c r="G65" s="182">
        <f t="shared" si="1"/>
        <v>349045001</v>
      </c>
      <c r="H65" s="182">
        <f t="shared" si="1"/>
        <v>8989118.25</v>
      </c>
      <c r="I65" s="182">
        <f t="shared" si="1"/>
        <v>3412996677</v>
      </c>
      <c r="J65" s="182">
        <f t="shared" si="1"/>
        <v>1758557821.5</v>
      </c>
      <c r="K65" s="182">
        <f t="shared" si="1"/>
        <v>792950308</v>
      </c>
      <c r="L65" s="182">
        <f t="shared" si="1"/>
        <v>0</v>
      </c>
      <c r="M65" s="178"/>
      <c r="N65" s="178"/>
      <c r="O65" s="237"/>
      <c r="P65" s="206"/>
    </row>
    <row r="66" spans="1:16" s="179" customFormat="1" ht="21" customHeight="1">
      <c r="A66" s="205" t="s">
        <v>269</v>
      </c>
      <c r="B66" s="242" t="s">
        <v>283</v>
      </c>
      <c r="C66" s="243"/>
      <c r="D66" s="176"/>
      <c r="E66" s="176"/>
      <c r="F66" s="176"/>
      <c r="G66" s="176"/>
      <c r="H66" s="176"/>
      <c r="I66" s="176"/>
      <c r="J66" s="176"/>
      <c r="K66" s="176"/>
      <c r="L66" s="232">
        <f>SUM(D65:L65)</f>
        <v>6742708302.75</v>
      </c>
      <c r="M66" s="236"/>
      <c r="N66" s="237"/>
      <c r="O66" s="237"/>
      <c r="P66" s="206"/>
    </row>
    <row r="67" spans="1:16" s="179" customFormat="1">
      <c r="A67" s="167"/>
      <c r="B67" s="183"/>
      <c r="C67" s="183"/>
      <c r="K67" s="178"/>
      <c r="L67" s="178"/>
      <c r="M67" s="237"/>
      <c r="N67" s="237"/>
      <c r="O67" s="237"/>
      <c r="P67" s="206"/>
    </row>
    <row r="68" spans="1:16" s="179" customFormat="1">
      <c r="A68" s="167"/>
      <c r="B68" s="184"/>
      <c r="C68" s="184"/>
      <c r="D68" s="184"/>
      <c r="E68" s="184"/>
      <c r="F68" s="184"/>
      <c r="G68" s="184"/>
      <c r="H68" s="184"/>
      <c r="I68" s="184"/>
      <c r="J68" s="184"/>
      <c r="M68" s="237"/>
      <c r="N68" s="237"/>
      <c r="O68" s="237"/>
      <c r="P68" s="206"/>
    </row>
    <row r="69" spans="1:16" s="179" customFormat="1" ht="48.75" customHeight="1">
      <c r="A69" s="185" t="s">
        <v>52</v>
      </c>
      <c r="B69" s="205" t="s">
        <v>219</v>
      </c>
      <c r="C69" s="186" t="s">
        <v>217</v>
      </c>
      <c r="D69" s="171">
        <v>0</v>
      </c>
      <c r="E69" s="171">
        <v>0.2</v>
      </c>
      <c r="F69" s="171">
        <v>0.35</v>
      </c>
      <c r="G69" s="171">
        <v>0.5</v>
      </c>
      <c r="H69" s="187">
        <v>0.75</v>
      </c>
      <c r="I69" s="171">
        <v>1</v>
      </c>
      <c r="J69" s="171">
        <v>1.5</v>
      </c>
      <c r="K69" s="171">
        <v>2</v>
      </c>
      <c r="L69" s="171">
        <v>2.5</v>
      </c>
      <c r="M69" s="237"/>
      <c r="N69" s="237"/>
      <c r="O69" s="237"/>
      <c r="P69" s="206"/>
    </row>
    <row r="70" spans="1:16" s="179" customFormat="1">
      <c r="A70" s="185">
        <v>1</v>
      </c>
      <c r="B70" s="188" t="s">
        <v>220</v>
      </c>
      <c r="C70" s="176"/>
      <c r="D70" s="176"/>
      <c r="E70" s="176"/>
      <c r="F70" s="176"/>
      <c r="G70" s="176"/>
      <c r="H70" s="176"/>
      <c r="I70" s="176"/>
      <c r="J70" s="176"/>
      <c r="K70" s="176"/>
      <c r="L70" s="176"/>
      <c r="M70" s="237"/>
      <c r="N70" s="237"/>
      <c r="O70" s="237"/>
      <c r="P70" s="206"/>
    </row>
    <row r="71" spans="1:16" s="179" customFormat="1" ht="12.75" customHeight="1">
      <c r="A71" s="185" t="s">
        <v>31</v>
      </c>
      <c r="B71" s="189" t="s">
        <v>221</v>
      </c>
      <c r="C71" s="190">
        <v>0.5</v>
      </c>
      <c r="D71" s="175">
        <f>+'Calculation of Risk Weighted As'!D71-'Calculation of Risk Weighte нац'!D71</f>
        <v>0</v>
      </c>
      <c r="E71" s="175">
        <f>+'Calculation of Risk Weighted As'!E71-'Calculation of Risk Weighte нац'!E71</f>
        <v>0</v>
      </c>
      <c r="F71" s="175">
        <f>+'Calculation of Risk Weighted As'!F71-'Calculation of Risk Weighte нац'!F71</f>
        <v>0</v>
      </c>
      <c r="G71" s="175">
        <f>+'Calculation of Risk Weighted As'!G71-'Calculation of Risk Weighte нац'!G71</f>
        <v>0</v>
      </c>
      <c r="H71" s="175">
        <f>+'Calculation of Risk Weighted As'!H71-'Calculation of Risk Weighte нац'!H71</f>
        <v>30063</v>
      </c>
      <c r="I71" s="175">
        <f>+'Calculation of Risk Weighted As'!I71-'Calculation of Risk Weighte нац'!I71</f>
        <v>212943643</v>
      </c>
      <c r="J71" s="175">
        <f>+'Calculation of Risk Weighted As'!J71-'Calculation of Risk Weighte нац'!J71</f>
        <v>88799486</v>
      </c>
      <c r="K71" s="175">
        <f>+'Calculation of Risk Weighted As'!K71-'Calculation of Risk Weighte нац'!K71</f>
        <v>403214</v>
      </c>
      <c r="L71" s="176"/>
      <c r="M71" s="237"/>
      <c r="N71" s="237"/>
      <c r="O71" s="237"/>
      <c r="P71" s="206"/>
    </row>
    <row r="72" spans="1:16" s="179" customFormat="1">
      <c r="A72" s="185" t="s">
        <v>33</v>
      </c>
      <c r="B72" s="189" t="s">
        <v>222</v>
      </c>
      <c r="C72" s="190">
        <v>0.2</v>
      </c>
      <c r="D72" s="175">
        <f>+'Calculation of Risk Weighted As'!D72-'Calculation of Risk Weighte нац'!D72</f>
        <v>0</v>
      </c>
      <c r="E72" s="175">
        <f>+'Calculation of Risk Weighted As'!E72-'Calculation of Risk Weighte нац'!E72</f>
        <v>0</v>
      </c>
      <c r="F72" s="175">
        <f>+'Calculation of Risk Weighted As'!F72-'Calculation of Risk Weighte нац'!F72</f>
        <v>0</v>
      </c>
      <c r="G72" s="175">
        <f>+'Calculation of Risk Weighted As'!G72-'Calculation of Risk Weighte нац'!G72</f>
        <v>0</v>
      </c>
      <c r="H72" s="175">
        <f>+'Calculation of Risk Weighted As'!H72-'Calculation of Risk Weighte нац'!H72</f>
        <v>0</v>
      </c>
      <c r="I72" s="175">
        <f>+'Calculation of Risk Weighted As'!I72-'Calculation of Risk Weighte нац'!I72</f>
        <v>28139</v>
      </c>
      <c r="J72" s="175">
        <f>+'Calculation of Risk Weighted As'!J72-'Calculation of Risk Weighte нац'!J72</f>
        <v>20252471</v>
      </c>
      <c r="K72" s="175">
        <f>+'Calculation of Risk Weighted As'!K72-'Calculation of Risk Weighte нац'!K72</f>
        <v>90003</v>
      </c>
      <c r="L72" s="176"/>
      <c r="M72" s="238">
        <f>SUM(D71:L72)</f>
        <v>322547019</v>
      </c>
      <c r="N72" s="238">
        <f>+[7]Commitments!$E$4</f>
        <v>322547019</v>
      </c>
      <c r="O72" s="192">
        <f>+M72-N72</f>
        <v>0</v>
      </c>
      <c r="P72" s="206"/>
    </row>
    <row r="73" spans="1:16" s="179" customFormat="1" ht="26.25" customHeight="1">
      <c r="A73" s="185">
        <v>2</v>
      </c>
      <c r="B73" s="188" t="s">
        <v>284</v>
      </c>
      <c r="C73" s="190">
        <v>1</v>
      </c>
      <c r="D73" s="175">
        <f>+'Calculation of Risk Weighted As'!D73-'Calculation of Risk Weighte нац'!D73</f>
        <v>0</v>
      </c>
      <c r="E73" s="175">
        <f>+'Calculation of Risk Weighted As'!E73-'Calculation of Risk Weighte нац'!E73</f>
        <v>0</v>
      </c>
      <c r="F73" s="176"/>
      <c r="G73" s="175">
        <f>+'Calculation of Risk Weighted As'!G73-'Calculation of Risk Weighte нац'!G73</f>
        <v>0</v>
      </c>
      <c r="H73" s="176"/>
      <c r="I73" s="175">
        <f>+'Calculation of Risk Weighted As'!I73-'Calculation of Risk Weighte нац'!I73</f>
        <v>0</v>
      </c>
      <c r="J73" s="176"/>
      <c r="K73" s="176"/>
      <c r="L73" s="176"/>
      <c r="M73" s="237"/>
      <c r="N73" s="237"/>
      <c r="O73" s="192"/>
      <c r="P73" s="206"/>
    </row>
    <row r="74" spans="1:16" s="179" customFormat="1">
      <c r="A74" s="185">
        <v>3</v>
      </c>
      <c r="B74" s="188" t="s">
        <v>223</v>
      </c>
      <c r="C74" s="190">
        <v>1</v>
      </c>
      <c r="D74" s="175">
        <f>+'Calculation of Risk Weighted As'!D74-'Calculation of Risk Weighte нац'!D74</f>
        <v>0</v>
      </c>
      <c r="E74" s="175">
        <f>+'Calculation of Risk Weighted As'!E74-'Calculation of Risk Weighte нац'!E74</f>
        <v>0</v>
      </c>
      <c r="F74" s="176"/>
      <c r="G74" s="175">
        <f>+'Calculation of Risk Weighted As'!G74-'Calculation of Risk Weighte нац'!G74</f>
        <v>0</v>
      </c>
      <c r="H74" s="176"/>
      <c r="I74" s="175">
        <f>+'Calculation of Risk Weighted As'!I74-'Calculation of Risk Weighte нац'!I74</f>
        <v>442106241</v>
      </c>
      <c r="J74" s="175">
        <f>+'Calculation of Risk Weighted As'!J74-'Calculation of Risk Weighte нац'!J74</f>
        <v>0</v>
      </c>
      <c r="K74" s="175">
        <f>+'Calculation of Risk Weighted As'!J74-'Calculation of Risk Weighte нац'!J74</f>
        <v>0</v>
      </c>
      <c r="L74" s="176"/>
      <c r="M74" s="238">
        <f>SUM(D74:L74)</f>
        <v>442106241</v>
      </c>
      <c r="N74" s="238">
        <f>+[7]Commitments!$E$7</f>
        <v>442106241</v>
      </c>
      <c r="O74" s="192">
        <f>+M74-N74</f>
        <v>0</v>
      </c>
      <c r="P74" s="206"/>
    </row>
    <row r="75" spans="1:16" s="179" customFormat="1">
      <c r="A75" s="185">
        <v>4</v>
      </c>
      <c r="B75" s="188" t="s">
        <v>285</v>
      </c>
      <c r="C75" s="193"/>
      <c r="D75" s="176"/>
      <c r="E75" s="176"/>
      <c r="F75" s="176"/>
      <c r="G75" s="176"/>
      <c r="H75" s="176"/>
      <c r="I75" s="176"/>
      <c r="J75" s="176"/>
      <c r="K75" s="176"/>
      <c r="L75" s="176"/>
      <c r="M75" s="237"/>
      <c r="N75" s="237"/>
      <c r="O75" s="192"/>
      <c r="P75" s="206"/>
    </row>
    <row r="76" spans="1:16" s="179" customFormat="1">
      <c r="A76" s="185" t="s">
        <v>31</v>
      </c>
      <c r="B76" s="189" t="s">
        <v>224</v>
      </c>
      <c r="C76" s="190">
        <v>1</v>
      </c>
      <c r="D76" s="175">
        <f>+'Calculation of Risk Weighted As'!D76-'Calculation of Risk Weighte нац'!D76</f>
        <v>0</v>
      </c>
      <c r="E76" s="175">
        <f>+'Calculation of Risk Weighted As'!E76-'Calculation of Risk Weighte нац'!E76</f>
        <v>0</v>
      </c>
      <c r="F76" s="176"/>
      <c r="G76" s="175">
        <f>+'Calculation of Risk Weighted As'!G76-'Calculation of Risk Weighte нац'!G76</f>
        <v>0</v>
      </c>
      <c r="H76" s="176"/>
      <c r="I76" s="175">
        <f>+'Calculation of Risk Weighted As'!I76-'Calculation of Risk Weighte нац'!I76</f>
        <v>0</v>
      </c>
      <c r="J76" s="176"/>
      <c r="K76" s="175">
        <f>+'Calculation of Risk Weighted As'!J76-'Calculation of Risk Weighte нац'!J76</f>
        <v>0</v>
      </c>
      <c r="L76" s="176"/>
      <c r="M76" s="237"/>
      <c r="N76" s="237"/>
      <c r="O76" s="192"/>
      <c r="P76" s="206"/>
    </row>
    <row r="77" spans="1:16" s="179" customFormat="1">
      <c r="A77" s="185" t="s">
        <v>33</v>
      </c>
      <c r="B77" s="189" t="s">
        <v>225</v>
      </c>
      <c r="C77" s="190">
        <v>0.5</v>
      </c>
      <c r="D77" s="175">
        <f>+'Calculation of Risk Weighted As'!D77-'Calculation of Risk Weighte нац'!D77</f>
        <v>0</v>
      </c>
      <c r="E77" s="175">
        <f>+'Calculation of Risk Weighted As'!E77-'Calculation of Risk Weighte нац'!E77</f>
        <v>0</v>
      </c>
      <c r="F77" s="176"/>
      <c r="G77" s="175">
        <f>+'Calculation of Risk Weighted As'!G77-'Calculation of Risk Weighte нац'!G77</f>
        <v>474604581</v>
      </c>
      <c r="H77" s="176"/>
      <c r="I77" s="175">
        <f>+'Calculation of Risk Weighted As'!I77-'Calculation of Risk Weighte нац'!I77</f>
        <v>0</v>
      </c>
      <c r="J77" s="176"/>
      <c r="K77" s="175">
        <f>+'Calculation of Risk Weighted As'!J77-'Calculation of Risk Weighte нац'!J77</f>
        <v>0</v>
      </c>
      <c r="L77" s="176"/>
      <c r="M77" s="237"/>
      <c r="N77" s="237"/>
      <c r="O77" s="192"/>
      <c r="P77" s="206"/>
    </row>
    <row r="78" spans="1:16" s="179" customFormat="1" ht="12.75" customHeight="1">
      <c r="A78" s="185" t="s">
        <v>35</v>
      </c>
      <c r="B78" s="189" t="s">
        <v>226</v>
      </c>
      <c r="C78" s="190">
        <v>0.2</v>
      </c>
      <c r="D78" s="175">
        <f>+'Calculation of Risk Weighted As'!D78-'Calculation of Risk Weighte нац'!D78</f>
        <v>0</v>
      </c>
      <c r="E78" s="175">
        <f>+'Calculation of Risk Weighted As'!E78-'Calculation of Risk Weighte нац'!E78</f>
        <v>0</v>
      </c>
      <c r="F78" s="176"/>
      <c r="G78" s="175">
        <f>+'Calculation of Risk Weighted As'!G78-'Calculation of Risk Weighte нац'!G78</f>
        <v>0</v>
      </c>
      <c r="H78" s="176"/>
      <c r="I78" s="175">
        <f>+'Calculation of Risk Weighted As'!I78-'Calculation of Risk Weighte нац'!I78</f>
        <v>0</v>
      </c>
      <c r="J78" s="176"/>
      <c r="K78" s="175">
        <f>+'Calculation of Risk Weighted As'!J78-'Calculation of Risk Weighte нац'!J78</f>
        <v>0</v>
      </c>
      <c r="L78" s="176"/>
      <c r="M78" s="237"/>
      <c r="N78" s="237"/>
      <c r="O78" s="192"/>
      <c r="P78" s="206"/>
    </row>
    <row r="79" spans="1:16" s="179" customFormat="1">
      <c r="A79" s="185" t="s">
        <v>42</v>
      </c>
      <c r="B79" s="189" t="s">
        <v>227</v>
      </c>
      <c r="C79" s="190">
        <v>1</v>
      </c>
      <c r="D79" s="175">
        <f>+'Calculation of Risk Weighted As'!D79-'Calculation of Risk Weighte нац'!D79</f>
        <v>0</v>
      </c>
      <c r="E79" s="175">
        <f>+'Calculation of Risk Weighted As'!E79-'Calculation of Risk Weighte нац'!E79</f>
        <v>0</v>
      </c>
      <c r="F79" s="176"/>
      <c r="G79" s="175">
        <f>+'Calculation of Risk Weighted As'!G79-'Calculation of Risk Weighte нац'!G79</f>
        <v>0</v>
      </c>
      <c r="H79" s="176"/>
      <c r="I79" s="175">
        <f>+'Calculation of Risk Weighted As'!I79-'Calculation of Risk Weighte нац'!I79</f>
        <v>554834111</v>
      </c>
      <c r="J79" s="176"/>
      <c r="K79" s="175">
        <f>+'Calculation of Risk Weighted As'!J79-'Calculation of Risk Weighte нац'!J79</f>
        <v>0</v>
      </c>
      <c r="L79" s="176"/>
      <c r="M79" s="238">
        <f>SUM(D76:L79)</f>
        <v>1029438692</v>
      </c>
      <c r="N79" s="238">
        <f>+[7]Commitments!$E$10</f>
        <v>1029438692</v>
      </c>
      <c r="O79" s="192">
        <f>+M79-N79</f>
        <v>0</v>
      </c>
      <c r="P79" s="206"/>
    </row>
    <row r="80" spans="1:16" s="179" customFormat="1" ht="26.25" customHeight="1">
      <c r="A80" s="185">
        <v>5</v>
      </c>
      <c r="B80" s="188" t="s">
        <v>256</v>
      </c>
      <c r="C80" s="193"/>
      <c r="D80" s="176"/>
      <c r="E80" s="176"/>
      <c r="F80" s="176"/>
      <c r="G80" s="176"/>
      <c r="H80" s="176"/>
      <c r="I80" s="176"/>
      <c r="J80" s="176"/>
      <c r="K80" s="176"/>
      <c r="L80" s="176"/>
      <c r="M80" s="237"/>
      <c r="N80" s="237"/>
      <c r="O80" s="192"/>
      <c r="P80" s="206"/>
    </row>
    <row r="81" spans="1:15" s="179" customFormat="1">
      <c r="A81" s="185" t="s">
        <v>31</v>
      </c>
      <c r="B81" s="189" t="s">
        <v>228</v>
      </c>
      <c r="C81" s="193"/>
      <c r="D81" s="176"/>
      <c r="E81" s="176"/>
      <c r="F81" s="176"/>
      <c r="G81" s="176"/>
      <c r="H81" s="176"/>
      <c r="I81" s="176"/>
      <c r="J81" s="176"/>
      <c r="K81" s="176"/>
      <c r="L81" s="176"/>
      <c r="M81" s="237"/>
      <c r="N81" s="237"/>
      <c r="O81" s="192"/>
    </row>
    <row r="82" spans="1:15" s="179" customFormat="1">
      <c r="A82" s="185" t="s">
        <v>58</v>
      </c>
      <c r="B82" s="194" t="s">
        <v>229</v>
      </c>
      <c r="C82" s="195">
        <v>5.0000000000000001E-3</v>
      </c>
      <c r="D82" s="175">
        <f>+'Calculation of Risk Weighted As'!D82-'Calculation of Risk Weighte нац'!D82</f>
        <v>0</v>
      </c>
      <c r="E82" s="175">
        <f>+'Calculation of Risk Weighted As'!E82-'Calculation of Risk Weighte нац'!E82</f>
        <v>0</v>
      </c>
      <c r="F82" s="176"/>
      <c r="G82" s="175">
        <f>+'Calculation of Risk Weighted As'!G82-'Calculation of Risk Weighte нац'!G82</f>
        <v>0</v>
      </c>
      <c r="H82" s="176"/>
      <c r="I82" s="175">
        <f>+'Calculation of Risk Weighted As'!I82-'Calculation of Risk Weighte нац'!I82</f>
        <v>0</v>
      </c>
      <c r="J82" s="176"/>
      <c r="K82" s="176"/>
      <c r="L82" s="176"/>
      <c r="M82" s="237"/>
      <c r="N82" s="237"/>
      <c r="O82" s="192"/>
    </row>
    <row r="83" spans="1:15" s="179" customFormat="1">
      <c r="A83" s="185" t="s">
        <v>59</v>
      </c>
      <c r="B83" s="194" t="s">
        <v>230</v>
      </c>
      <c r="C83" s="190">
        <v>0.01</v>
      </c>
      <c r="D83" s="175">
        <f>+'Calculation of Risk Weighted As'!D83-'Calculation of Risk Weighte нац'!D83</f>
        <v>0</v>
      </c>
      <c r="E83" s="175">
        <f>+'Calculation of Risk Weighted As'!E83-'Calculation of Risk Weighte нац'!E83</f>
        <v>0</v>
      </c>
      <c r="F83" s="176"/>
      <c r="G83" s="175">
        <f>+'Calculation of Risk Weighted As'!G83-'Calculation of Risk Weighte нац'!G83</f>
        <v>0</v>
      </c>
      <c r="H83" s="176"/>
      <c r="I83" s="175">
        <f>+'Calculation of Risk Weighted As'!I83-'Calculation of Risk Weighte нац'!I83</f>
        <v>0</v>
      </c>
      <c r="J83" s="176"/>
      <c r="K83" s="176"/>
      <c r="L83" s="176"/>
      <c r="M83" s="237"/>
      <c r="N83" s="237"/>
      <c r="O83" s="192"/>
    </row>
    <row r="84" spans="1:15" s="179" customFormat="1">
      <c r="A84" s="185" t="s">
        <v>60</v>
      </c>
      <c r="B84" s="194" t="s">
        <v>231</v>
      </c>
      <c r="C84" s="190">
        <v>0.02</v>
      </c>
      <c r="D84" s="175">
        <f>+'Calculation of Risk Weighted As'!D84-'Calculation of Risk Weighte нац'!D84</f>
        <v>0</v>
      </c>
      <c r="E84" s="175">
        <f>+'Calculation of Risk Weighted As'!E84-'Calculation of Risk Weighte нац'!E84</f>
        <v>0</v>
      </c>
      <c r="F84" s="176"/>
      <c r="G84" s="175">
        <f>+'Calculation of Risk Weighted As'!G84-'Calculation of Risk Weighte нац'!G84</f>
        <v>0</v>
      </c>
      <c r="H84" s="176"/>
      <c r="I84" s="175">
        <f>+'Calculation of Risk Weighted As'!I84-'Calculation of Risk Weighte нац'!I84</f>
        <v>0</v>
      </c>
      <c r="J84" s="176"/>
      <c r="K84" s="176"/>
      <c r="L84" s="176"/>
      <c r="M84" s="237"/>
      <c r="N84" s="237"/>
      <c r="O84" s="192"/>
    </row>
    <row r="85" spans="1:15" s="179" customFormat="1">
      <c r="A85" s="185" t="s">
        <v>33</v>
      </c>
      <c r="B85" s="189" t="s">
        <v>232</v>
      </c>
      <c r="C85" s="193"/>
      <c r="D85" s="176"/>
      <c r="E85" s="176"/>
      <c r="F85" s="176"/>
      <c r="G85" s="176"/>
      <c r="H85" s="176"/>
      <c r="I85" s="176"/>
      <c r="J85" s="176"/>
      <c r="K85" s="176"/>
      <c r="L85" s="176"/>
      <c r="M85" s="237"/>
      <c r="N85" s="237"/>
      <c r="O85" s="192"/>
    </row>
    <row r="86" spans="1:15" s="179" customFormat="1">
      <c r="A86" s="185" t="s">
        <v>61</v>
      </c>
      <c r="B86" s="194" t="s">
        <v>233</v>
      </c>
      <c r="C86" s="190">
        <v>0.02</v>
      </c>
      <c r="D86" s="196">
        <f>+'Calculation of Risk Weighted As'!D86-'Calculation of Risk Weighte нац'!D86</f>
        <v>0</v>
      </c>
      <c r="E86" s="196">
        <f>+'Calculation of Risk Weighted As'!E86-'Calculation of Risk Weighte нац'!E86</f>
        <v>0</v>
      </c>
      <c r="F86" s="176"/>
      <c r="G86" s="175">
        <f>+'Calculation of Risk Weighted As'!G86-'Calculation of Risk Weighte нац'!G86</f>
        <v>0</v>
      </c>
      <c r="H86" s="176"/>
      <c r="I86" s="175">
        <f>+'Calculation of Risk Weighted As'!I86-'Calculation of Risk Weighte нац'!I86</f>
        <v>0</v>
      </c>
      <c r="J86" s="176"/>
      <c r="K86" s="176"/>
      <c r="L86" s="176"/>
      <c r="O86" s="178"/>
    </row>
    <row r="87" spans="1:15" s="179" customFormat="1">
      <c r="A87" s="185" t="s">
        <v>62</v>
      </c>
      <c r="B87" s="194" t="s">
        <v>234</v>
      </c>
      <c r="C87" s="190">
        <v>0.05</v>
      </c>
      <c r="D87" s="196">
        <f>+'Calculation of Risk Weighted As'!D87-'Calculation of Risk Weighte нац'!D87</f>
        <v>0</v>
      </c>
      <c r="E87" s="196">
        <f>+'Calculation of Risk Weighted As'!E87-'Calculation of Risk Weighte нац'!E87</f>
        <v>0</v>
      </c>
      <c r="F87" s="176"/>
      <c r="G87" s="175">
        <f>+'Calculation of Risk Weighted As'!G87-'Calculation of Risk Weighte нац'!G87</f>
        <v>0</v>
      </c>
      <c r="H87" s="176"/>
      <c r="I87" s="175">
        <f>+'Calculation of Risk Weighted As'!I87-'Calculation of Risk Weighte нац'!I87</f>
        <v>0</v>
      </c>
      <c r="J87" s="176"/>
      <c r="K87" s="176"/>
      <c r="L87" s="176"/>
    </row>
    <row r="88" spans="1:15" s="179" customFormat="1">
      <c r="A88" s="185" t="s">
        <v>63</v>
      </c>
      <c r="B88" s="194" t="s">
        <v>235</v>
      </c>
      <c r="C88" s="190">
        <v>0.08</v>
      </c>
      <c r="D88" s="196">
        <f>+'Calculation of Risk Weighted As'!D88-'Calculation of Risk Weighte нац'!D88</f>
        <v>0</v>
      </c>
      <c r="E88" s="196">
        <f>+'Calculation of Risk Weighted As'!E88-'Calculation of Risk Weighte нац'!E88</f>
        <v>0</v>
      </c>
      <c r="F88" s="176"/>
      <c r="G88" s="175">
        <f>+'Calculation of Risk Weighted As'!G88-'Calculation of Risk Weighte нац'!G88</f>
        <v>0</v>
      </c>
      <c r="H88" s="176"/>
      <c r="I88" s="175">
        <f>+'Calculation of Risk Weighted As'!I88-'Calculation of Risk Weighte нац'!I88</f>
        <v>0</v>
      </c>
      <c r="J88" s="176"/>
      <c r="K88" s="176"/>
      <c r="L88" s="176"/>
    </row>
    <row r="89" spans="1:15" s="179" customFormat="1">
      <c r="A89" s="185">
        <v>6</v>
      </c>
      <c r="B89" s="197" t="s">
        <v>236</v>
      </c>
      <c r="C89" s="193"/>
      <c r="D89" s="182">
        <f t="shared" ref="D89:G89" si="2">SUM(D71:D88)</f>
        <v>0</v>
      </c>
      <c r="E89" s="182">
        <f t="shared" si="2"/>
        <v>0</v>
      </c>
      <c r="F89" s="182">
        <f t="shared" si="2"/>
        <v>0</v>
      </c>
      <c r="G89" s="182">
        <f t="shared" si="2"/>
        <v>474604581</v>
      </c>
      <c r="H89" s="182">
        <f t="shared" ref="H89" si="3">SUM(H71:H88)</f>
        <v>30063</v>
      </c>
      <c r="I89" s="182">
        <f>SUM(I71:I88)</f>
        <v>1209912134</v>
      </c>
      <c r="J89" s="182">
        <f>SUM(J71:J88)</f>
        <v>109051957</v>
      </c>
      <c r="K89" s="182">
        <f>SUM(K71:K88)</f>
        <v>493217</v>
      </c>
      <c r="L89" s="176"/>
      <c r="M89" s="191"/>
      <c r="N89" s="191"/>
      <c r="O89" s="198"/>
    </row>
    <row r="90" spans="1:15" s="179" customFormat="1">
      <c r="A90" s="185">
        <v>7</v>
      </c>
      <c r="B90" s="197" t="s">
        <v>218</v>
      </c>
      <c r="C90" s="193"/>
      <c r="D90" s="182">
        <f>+(D71*$C$71*$D$3)+(D72*$C$72*$D$3)+(D73*$C$73*$D$3)+(D74*$C$74*$D$3)+(D76*$C$76*$D$3)+(D77*$C$77*$D$3)+(D78*$C$78*$D$3)+(D79*$C$79*$D$3)+(D82*$C$82*$D$3)+(D83*$C$83*$D$3)+(D84*$C$84*$D$3)+(D86*$C$86*$D$3)+(D87*$C$87*$D$3)+(D88*$C$88*$D$3)</f>
        <v>0</v>
      </c>
      <c r="E90" s="182">
        <f>+(E71*$C$71*$E$3)+(E72*$C$72*$E$3)+(E73*$C$73*$E$3)+(E74*$C$74*$E$3)+(E76*$C$76*$E$3)+(E77*$C$77*$E$3)+(E78*$C$78*$E$3)+(E79*$C$79*$E$3)+(E82*$C$82*$E$3)+(E83*$C$83*$E$3)+(E84*$C$84*$E$3)+(E86*$C$86*$E$3)+(E87*$C$87*$E$3)+(E88*$C$88*$E$3)</f>
        <v>0</v>
      </c>
      <c r="F90" s="182">
        <f>+(F71*$C$71*$F$3)+(F72*$C$72*$F$3)+(F73*$C$73*$F$3)+(F74*$C$74*$F$3)+(F76*$C$76*$F$3)+(F77*$C$77*$F$3)+(F78*$C$78*$F$3)+(F79*$C$79*$F$3)+(F82*$C$82*$F$3)+(F83*$C$83*$F$3)+(F84*$C$84*$F$3)+(F86*$C$86*$F$3)+(F87*$C$87*$F$3)+(F88*$C$88*$F$3)</f>
        <v>0</v>
      </c>
      <c r="G90" s="182">
        <f>+(G71*$C$71*$G$3)+(G72*$C$72*$G$3)+(G73*$C$73*$G$3)+(G74*$C$74*$G$3)+(G76*$C$76*$G$3)+(G77*$C$77*$G$3)+(G78*$C$78*$G$3)+(G79*$C$79*$G$3)+(G82*$C$82*$G$3)+(G83*$C$83*$G$3)+(G84*$C$84*$G$3)+(G86*$C$86*$G$3)+(G87*$C$87*$G$3)+(G88*$C$88*$G$3)</f>
        <v>118651145.25</v>
      </c>
      <c r="H90" s="182">
        <f>+(H71*$C$71*$G$3)+(H72*$C$72*$G$3)+(H73*$C$73*$G$3)+(H74*$C$74*$G$3)+(H76*$C$76*$G$3)+(H77*$C$77*$G$3)+(H78*$C$78*$G$3)+(H79*$C$79*$G$3)+(H82*$C$82*$G$3)+(H83*$C$83*$G$3)+(H84*$C$84*$G$3)+(H86*$C$86*$G$3)+(H87*$C$87*$G$3)+(H88*$C$88*$G$3)</f>
        <v>7515.75</v>
      </c>
      <c r="I90" s="182">
        <f>+(I71*$C$71*$I$3)+(I72*$C$72*$I$3)+(I73*$C$73*$I$3)+(I74*$C$74*$I$3)+(I76*$C$76*$I$3)+(I77*$C$77*$I$3)+(I78*$C$78*$I$3)+(I79*$C$79*$I$3)+(I82*$C$82*$I$3)+(I83*$C$83*$I$3)+(I84*$C$84*$I$3)+(I86*$C$86*$I$3)+(I87*$C$87*$I$3)+(I88*$C$88*$I$3)</f>
        <v>1103417801.3</v>
      </c>
      <c r="J90" s="182">
        <f>+(J71*$C$71*$J$3)+(J72*$C$72*$J$3)+(J73*$C$73*$J$3)+(J74*$C$74*$J$3)+(J76*$C$76*$J$3)+(J77*$C$77*$J$3)+(J78*$C$78*$J$3)+(J79*$C$79*$J$3)+(J82*$C$82*$J$3)+(J83*$C$83*$J$3)+(J84*$C$84*$J$3)+(J86*$C$86*$J$3)+(J87*$C$87*$J$3)+(J88*$C$88*$J$3)</f>
        <v>72675355.799999997</v>
      </c>
      <c r="K90" s="182">
        <f>+(K71*$C$71*$L$3)+(K72*$C$72*$L$3)+(K73*$C$73*$L$3)+(K74*$C$74*$L$3)+(K76*$C$76*$L$3)+(K77*$C$77*$L$3)+(K78*$C$78*$L$3)+(K79*$C$79*$L$3)+(K82*$C$82*$L$3)+(K83*$C$83*$L$3)+(K84*$C$84*$L$3)+(K86*$C$86*$L$3)+(K87*$C$87*$L$3)+(K88*$C$88*$L$3)</f>
        <v>549019</v>
      </c>
      <c r="L90" s="176"/>
      <c r="M90" s="192"/>
    </row>
    <row r="91" spans="1:15" s="179" customFormat="1">
      <c r="A91" s="185">
        <v>8</v>
      </c>
      <c r="B91" s="197" t="s">
        <v>237</v>
      </c>
      <c r="C91" s="193"/>
      <c r="D91" s="176"/>
      <c r="E91" s="176"/>
      <c r="F91" s="176"/>
      <c r="G91" s="176"/>
      <c r="H91" s="176"/>
      <c r="I91" s="176"/>
      <c r="J91" s="176"/>
      <c r="K91" s="176"/>
      <c r="L91" s="182">
        <f>SUM(D90:L90)</f>
        <v>1295300837.0999999</v>
      </c>
    </row>
    <row r="92" spans="1:15" s="179" customFormat="1">
      <c r="A92" s="185">
        <v>9</v>
      </c>
      <c r="B92" s="197" t="s">
        <v>238</v>
      </c>
      <c r="C92" s="193"/>
      <c r="D92" s="176"/>
      <c r="E92" s="176"/>
      <c r="F92" s="176"/>
      <c r="G92" s="176"/>
      <c r="H92" s="176"/>
      <c r="I92" s="176"/>
      <c r="J92" s="176"/>
      <c r="K92" s="176"/>
      <c r="L92" s="232">
        <f>SUM(L91+L66)</f>
        <v>8038009139.8500004</v>
      </c>
    </row>
    <row r="93" spans="1:15">
      <c r="I93" s="170"/>
      <c r="K93" s="166"/>
      <c r="L93" s="166"/>
    </row>
    <row r="94" spans="1:15" s="199" customFormat="1" ht="15" customHeight="1">
      <c r="B94" s="200" t="s">
        <v>257</v>
      </c>
      <c r="D94" s="201"/>
      <c r="E94" s="202"/>
      <c r="F94" s="202"/>
      <c r="G94" s="202"/>
      <c r="H94" s="202"/>
      <c r="I94" s="202"/>
      <c r="J94" s="202"/>
      <c r="K94" s="202"/>
      <c r="L94" s="202"/>
      <c r="M94" s="203"/>
    </row>
    <row r="95" spans="1:15" s="199" customFormat="1" ht="11.25" customHeight="1">
      <c r="B95" s="200"/>
      <c r="E95" s="203"/>
      <c r="F95" s="203"/>
      <c r="G95" s="203"/>
      <c r="H95" s="203"/>
      <c r="I95" s="203"/>
      <c r="J95" s="203"/>
      <c r="K95" s="203"/>
      <c r="L95" s="203"/>
      <c r="M95" s="203"/>
    </row>
    <row r="96" spans="1:15" s="199" customFormat="1" ht="15" customHeight="1">
      <c r="B96" s="200" t="s">
        <v>258</v>
      </c>
      <c r="C96" s="200"/>
      <c r="K96" s="201"/>
      <c r="L96" s="201"/>
      <c r="M96" s="203"/>
      <c r="N96" s="203"/>
      <c r="O96" s="203"/>
    </row>
    <row r="97" spans="10:10">
      <c r="J97" s="201"/>
    </row>
  </sheetData>
  <sheetProtection algorithmName="SHA-512" hashValue="F0XpUNYZv74DMsLGb1a/xbfUhxZlztfBIDHAueN8YxM47uwGu/dGXAoJwMqjOUVeIbFNQLJF/sxF6uXS23ENJg==" saltValue="dfbu3dl3IeXkmNuriHtfbg==" spinCount="100000" sheet="1" objects="1" scenarios="1"/>
  <mergeCells count="65">
    <mergeCell ref="B43:C43"/>
    <mergeCell ref="B46:C46"/>
    <mergeCell ref="B44:C44"/>
    <mergeCell ref="B45:C45"/>
    <mergeCell ref="B64:C64"/>
    <mergeCell ref="B50:C50"/>
    <mergeCell ref="B51:C51"/>
    <mergeCell ref="B48:C48"/>
    <mergeCell ref="B49:C49"/>
    <mergeCell ref="B52:C52"/>
    <mergeCell ref="B53:C53"/>
    <mergeCell ref="B54:C54"/>
    <mergeCell ref="B55:C55"/>
    <mergeCell ref="B60:C60"/>
    <mergeCell ref="B61:C61"/>
    <mergeCell ref="B62:C62"/>
    <mergeCell ref="B65:C65"/>
    <mergeCell ref="B66:C66"/>
    <mergeCell ref="B12:C12"/>
    <mergeCell ref="B13:C13"/>
    <mergeCell ref="B14:C14"/>
    <mergeCell ref="B15:C15"/>
    <mergeCell ref="B16:C16"/>
    <mergeCell ref="B17:C17"/>
    <mergeCell ref="B18:C18"/>
    <mergeCell ref="B19:C19"/>
    <mergeCell ref="B20:C20"/>
    <mergeCell ref="B21:C21"/>
    <mergeCell ref="B22:C22"/>
    <mergeCell ref="B34:C34"/>
    <mergeCell ref="B35:C35"/>
    <mergeCell ref="B47:C47"/>
    <mergeCell ref="A1:J1"/>
    <mergeCell ref="J2:K2"/>
    <mergeCell ref="B7:C7"/>
    <mergeCell ref="B8:C8"/>
    <mergeCell ref="B9:C9"/>
    <mergeCell ref="A3:A5"/>
    <mergeCell ref="B3:C5"/>
    <mergeCell ref="B6:C6"/>
    <mergeCell ref="B10:C10"/>
    <mergeCell ref="B11:C11"/>
    <mergeCell ref="B33:C33"/>
    <mergeCell ref="B36:C36"/>
    <mergeCell ref="B37:C37"/>
    <mergeCell ref="B23:C23"/>
    <mergeCell ref="B24:C24"/>
    <mergeCell ref="B26:C26"/>
    <mergeCell ref="B27:C27"/>
    <mergeCell ref="B28:C28"/>
    <mergeCell ref="B29:C29"/>
    <mergeCell ref="B30:C30"/>
    <mergeCell ref="B31:C31"/>
    <mergeCell ref="B32:C32"/>
    <mergeCell ref="B25:C25"/>
    <mergeCell ref="B38:C38"/>
    <mergeCell ref="B39:C39"/>
    <mergeCell ref="B40:C40"/>
    <mergeCell ref="B41:C41"/>
    <mergeCell ref="B42:C42"/>
    <mergeCell ref="B63:C63"/>
    <mergeCell ref="B56:C56"/>
    <mergeCell ref="B57:C57"/>
    <mergeCell ref="B58:C58"/>
    <mergeCell ref="B59:C59"/>
  </mergeCells>
  <conditionalFormatting sqref="D36:E38">
    <cfRule type="cellIs" dxfId="17" priority="187" operator="lessThan">
      <formula>0</formula>
    </cfRule>
  </conditionalFormatting>
  <conditionalFormatting sqref="D39:H42">
    <cfRule type="cellIs" dxfId="16" priority="157" operator="lessThan">
      <formula>0</formula>
    </cfRule>
  </conditionalFormatting>
  <conditionalFormatting sqref="D47:H50">
    <cfRule type="cellIs" dxfId="15" priority="7" operator="lessThan">
      <formula>0</formula>
    </cfRule>
  </conditionalFormatting>
  <conditionalFormatting sqref="D43:I46">
    <cfRule type="cellIs" dxfId="14" priority="45" operator="lessThan">
      <formula>0</formula>
    </cfRule>
  </conditionalFormatting>
  <conditionalFormatting sqref="D8:J35">
    <cfRule type="cellIs" dxfId="13" priority="49" operator="lessThan">
      <formula>0</formula>
    </cfRule>
  </conditionalFormatting>
  <conditionalFormatting sqref="D51:K66">
    <cfRule type="cellIs" dxfId="12" priority="4" operator="lessThan">
      <formula>0</formula>
    </cfRule>
  </conditionalFormatting>
  <conditionalFormatting sqref="D71:K92">
    <cfRule type="cellIs" dxfId="11" priority="86" operator="lessThan">
      <formula>0</formula>
    </cfRule>
  </conditionalFormatting>
  <conditionalFormatting sqref="F37:H38">
    <cfRule type="cellIs" dxfId="10" priority="186" operator="lessThan">
      <formula>0</formula>
    </cfRule>
  </conditionalFormatting>
  <conditionalFormatting sqref="F36:J36">
    <cfRule type="cellIs" dxfId="9" priority="197" operator="lessThan">
      <formula>0</formula>
    </cfRule>
  </conditionalFormatting>
  <conditionalFormatting sqref="I42">
    <cfRule type="cellIs" dxfId="8" priority="182" operator="lessThan">
      <formula>0</formula>
    </cfRule>
  </conditionalFormatting>
  <conditionalFormatting sqref="I37:J41">
    <cfRule type="cellIs" dxfId="7" priority="156" operator="lessThan">
      <formula>0</formula>
    </cfRule>
  </conditionalFormatting>
  <conditionalFormatting sqref="I47:J47">
    <cfRule type="cellIs" dxfId="6" priority="14" operator="lessThan">
      <formula>0</formula>
    </cfRule>
  </conditionalFormatting>
  <conditionalFormatting sqref="I48:K50">
    <cfRule type="cellIs" dxfId="5" priority="3" operator="lessThan">
      <formula>0</formula>
    </cfRule>
  </conditionalFormatting>
  <conditionalFormatting sqref="J42:J46">
    <cfRule type="cellIs" dxfId="4" priority="44" operator="lessThan">
      <formula>0</formula>
    </cfRule>
  </conditionalFormatting>
  <conditionalFormatting sqref="K8:K47">
    <cfRule type="cellIs" dxfId="3" priority="13" operator="lessThan">
      <formula>0</formula>
    </cfRule>
  </conditionalFormatting>
  <conditionalFormatting sqref="L8:L66">
    <cfRule type="cellIs" dxfId="2" priority="12" operator="lessThan">
      <formula>0</formula>
    </cfRule>
  </conditionalFormatting>
  <conditionalFormatting sqref="L70:L92">
    <cfRule type="cellIs" dxfId="1" priority="115" operator="lessThan">
      <formula>0</formula>
    </cfRule>
  </conditionalFormatting>
  <conditionalFormatting sqref="M64">
    <cfRule type="cellIs" dxfId="0" priority="1" operator="notEqual">
      <formula>N64</formula>
    </cfRule>
  </conditionalFormatting>
  <dataValidations count="2">
    <dataValidation type="whole" allowBlank="1" showInputMessage="1" showErrorMessage="1" error="                Ай Яй Яй !!!_x000a_Ну что же вы не читаете инструкцию_x000a_по заполнению формы отчетности._x000a__x000a_Попробуйте ввести целое число._x000a_" promptTitle="Введите целое число" sqref="I72:I74 K60:K61 D8 D86:E88 E11 E9 D28 G15:G18 I20:J20 D10:E10 D62:D63 G86:G88 G11 K58 I46 K76:K79 G82:G84 I86:I88 G76:G79 D76:E79 G71:G74 I76:I79 G20 D13:E18 I59:I60 D82:E84 I11:J11 I18:I19 D71:E74 I52:I56 D36:E36 K39:K40 I82:I84 I41:I42 F71:F72 D20:E20 H71:K71 K28 J18 D26 D25:E25 I15:J17 D23:D24 K46 J45:J46 I37:J40 H72 J43 F37:G38 J41:K41 D60:E60 K33 I35:L35 I50:J50 J57:J58 J74:K74 E63:L63 D57:D59 K57:L57 J55:K56 I27:J28 I32:K32 H29:H31 I44 D46 J49:K49 H48:K48 H47 K50:K51 J72:K72" xr:uid="{00000000-0002-0000-0400-000000000000}">
      <formula1>-1E+22</formula1>
      <formula2>1E+22</formula2>
    </dataValidation>
    <dataValidation type="whole" operator="greaterThanOrEqual" allowBlank="1" showInputMessage="1" showErrorMessage="1" sqref="F76:F79 F82:F84 F86:F88 H86:H88 J76:J79 D80:G81 F73:F74 H73:H74 H76:H84 D85:L85 D75:L75 J73:L73 J86:L88 J82:K84 I80:K81 L70:L72 L74 L76:L84 L89:L90" xr:uid="{00000000-0002-0000-0400-000001000000}">
      <formula1>0</formula1>
    </dataValidation>
  </dataValidations>
  <printOptions horizontalCentered="1" verticalCentered="1"/>
  <pageMargins left="0.23622047244094491" right="0.23622047244094491" top="0.19685039370078741" bottom="0.31496062992125984" header="0.51181102362204722" footer="0.51181102362204722"/>
  <pageSetup paperSize="9" scale="37" orientation="portrait" r:id="rId1"/>
  <headerFooter alignWithMargins="0"/>
  <ignoredErrors>
    <ignoredError sqref="D8 M46 M63 M62 F60:H60 F73:F74 M21:M22 D11 F11 H11 M9:M13 F15:F18 H15:H18 D19:H19 J19 M20 H20 F20 E53:H54 M53:M54 E55:I56 M55:M56 E59:H59 M60:M61 M59 D61:J61 D64 H73:H74 F76:F79 J76:J79 H76:H79 D85:E98 F82:F84 H82:H84 M95 M14:M19 M34:M43 J82:J84 F85:J95 D80:J81 J73 J59:J60 J53:J54 F13:J14 F9:J10 D12:J12 D75:J75 E62:J62 E64:J68 E70:J70 E69:I69 M52" unlocked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Лист8">
    <pageSetUpPr fitToPage="1"/>
  </sheetPr>
  <dimension ref="A1:P32"/>
  <sheetViews>
    <sheetView view="pageBreakPreview" zoomScaleNormal="75" zoomScaleSheetLayoutView="100" workbookViewId="0">
      <selection activeCell="C23" sqref="C23"/>
    </sheetView>
  </sheetViews>
  <sheetFormatPr defaultRowHeight="12.75"/>
  <cols>
    <col min="1" max="1" width="8.85546875" style="79" customWidth="1"/>
    <col min="2" max="2" width="58.42578125" style="79" bestFit="1" customWidth="1"/>
    <col min="3" max="3" width="21.28515625" style="118" customWidth="1"/>
    <col min="4" max="4" width="42.42578125" style="133" bestFit="1" customWidth="1"/>
    <col min="5" max="5" width="42.28515625" style="133" bestFit="1" customWidth="1"/>
    <col min="6" max="6" width="9.140625" style="133"/>
    <col min="7" max="7" width="10.5703125" style="133" bestFit="1" customWidth="1"/>
    <col min="8" max="8" width="9.140625" style="135"/>
    <col min="9" max="13" width="15.7109375" style="135" customWidth="1"/>
    <col min="14" max="14" width="9.140625" style="133"/>
    <col min="15" max="16384" width="9.140625" style="79"/>
  </cols>
  <sheetData>
    <row r="1" spans="1:15" s="78" customFormat="1" ht="48.75" customHeight="1">
      <c r="A1" s="257" t="s">
        <v>242</v>
      </c>
      <c r="B1" s="257"/>
      <c r="C1" s="117" t="s">
        <v>241</v>
      </c>
      <c r="D1" s="132"/>
      <c r="E1" s="138"/>
      <c r="F1" s="138"/>
      <c r="G1" s="138"/>
      <c r="H1" s="139"/>
      <c r="I1" s="140"/>
      <c r="J1" s="140"/>
      <c r="K1" s="140"/>
      <c r="L1" s="140"/>
      <c r="M1" s="140"/>
      <c r="N1" s="141"/>
      <c r="O1" s="138"/>
    </row>
    <row r="2" spans="1:15" ht="7.5" customHeight="1">
      <c r="B2" s="80" t="str">
        <f>IF(C3&gt;0," "&amp;TEXT(C3,"гггг"),"Число,Месяц,Год")</f>
        <v xml:space="preserve"> 2025</v>
      </c>
      <c r="E2" s="142"/>
      <c r="F2" s="142"/>
      <c r="G2" s="142"/>
      <c r="H2" s="143"/>
      <c r="I2" s="143"/>
      <c r="J2" s="143"/>
      <c r="K2" s="143"/>
      <c r="L2" s="143"/>
      <c r="M2" s="143"/>
      <c r="N2" s="142"/>
      <c r="O2" s="142"/>
    </row>
    <row r="3" spans="1:15" ht="15.75" customHeight="1">
      <c r="B3" s="119" t="str">
        <f>+'Bank Capital Calc'!B3</f>
        <v>MKBANK</v>
      </c>
      <c r="C3" s="149">
        <f>+'Bank Capital Calc'!C3</f>
        <v>46021</v>
      </c>
      <c r="E3" s="142"/>
      <c r="F3" s="142"/>
      <c r="G3" s="142"/>
      <c r="H3" s="143"/>
      <c r="I3" s="143"/>
      <c r="J3" s="143"/>
      <c r="K3" s="143"/>
      <c r="L3" s="143"/>
      <c r="M3" s="143"/>
      <c r="N3" s="142"/>
      <c r="O3" s="142"/>
    </row>
    <row r="4" spans="1:15" ht="43.5" customHeight="1">
      <c r="A4" s="53" t="s">
        <v>52</v>
      </c>
      <c r="B4" s="53" t="s">
        <v>243</v>
      </c>
      <c r="C4" s="53" t="s">
        <v>255</v>
      </c>
      <c r="E4" s="142"/>
      <c r="G4" s="142"/>
      <c r="H4" s="143"/>
      <c r="I4" s="143"/>
      <c r="J4" s="143"/>
      <c r="K4" s="143"/>
      <c r="L4" s="143"/>
      <c r="M4" s="143"/>
      <c r="N4" s="142"/>
      <c r="O4" s="142"/>
    </row>
    <row r="5" spans="1:15" ht="21.75" customHeight="1">
      <c r="A5" s="120" t="s">
        <v>55</v>
      </c>
      <c r="B5" s="121" t="str">
        <f>+""&amp;(D$6-3)&amp;" йилдаги банкнинг ялпи  даромади"</f>
        <v>2022 йилдаги банкнинг ялпи  даромади</v>
      </c>
      <c r="C5" s="122">
        <f>+C6+C8-C7-C9</f>
        <v>1287894464</v>
      </c>
      <c r="E5" s="142"/>
      <c r="G5" s="142"/>
      <c r="H5" s="143"/>
      <c r="I5" s="143"/>
      <c r="J5" s="143"/>
      <c r="K5" s="143"/>
      <c r="L5" s="143"/>
      <c r="M5" s="143"/>
      <c r="N5" s="142"/>
      <c r="O5" s="142"/>
    </row>
    <row r="6" spans="1:15" ht="21.75" customHeight="1">
      <c r="A6" s="120" t="s">
        <v>56</v>
      </c>
      <c r="B6" s="123" t="s">
        <v>244</v>
      </c>
      <c r="C6" s="124">
        <v>2589031954</v>
      </c>
      <c r="D6" s="143" t="str">
        <f>+B2</f>
        <v xml:space="preserve"> 2025</v>
      </c>
      <c r="E6" s="143">
        <v>13</v>
      </c>
      <c r="G6" s="142"/>
      <c r="J6" s="143"/>
      <c r="K6" s="143"/>
      <c r="L6" s="143"/>
      <c r="M6" s="143"/>
      <c r="N6" s="142"/>
      <c r="O6" s="142"/>
    </row>
    <row r="7" spans="1:15" ht="21.75" customHeight="1">
      <c r="A7" s="120" t="s">
        <v>15</v>
      </c>
      <c r="B7" s="123" t="s">
        <v>245</v>
      </c>
      <c r="C7" s="124">
        <v>1758289358</v>
      </c>
      <c r="E7" s="142"/>
      <c r="F7" s="142"/>
      <c r="G7" s="142"/>
      <c r="H7" s="143"/>
      <c r="I7" s="143"/>
      <c r="J7" s="143"/>
      <c r="K7" s="143"/>
      <c r="L7" s="143"/>
      <c r="M7" s="143"/>
      <c r="N7" s="142"/>
      <c r="O7" s="142"/>
    </row>
    <row r="8" spans="1:15" ht="21.75" customHeight="1">
      <c r="A8" s="120" t="s">
        <v>16</v>
      </c>
      <c r="B8" s="123" t="s">
        <v>246</v>
      </c>
      <c r="C8" s="124">
        <v>886968966</v>
      </c>
      <c r="J8" s="143"/>
      <c r="K8" s="143"/>
      <c r="L8" s="143"/>
      <c r="M8" s="143"/>
      <c r="N8" s="142"/>
      <c r="O8" s="142"/>
    </row>
    <row r="9" spans="1:15" ht="21.75" customHeight="1">
      <c r="A9" s="120" t="s">
        <v>123</v>
      </c>
      <c r="B9" s="123" t="s">
        <v>247</v>
      </c>
      <c r="C9" s="124">
        <v>429817098</v>
      </c>
      <c r="J9" s="143"/>
      <c r="K9" s="143"/>
      <c r="L9" s="143"/>
      <c r="M9" s="143"/>
      <c r="N9" s="142"/>
      <c r="O9" s="142"/>
    </row>
    <row r="10" spans="1:15" ht="21.75" customHeight="1">
      <c r="A10" s="120" t="s">
        <v>65</v>
      </c>
      <c r="B10" s="121" t="str">
        <f>+""&amp;(D$6-2)&amp;" йилдаги банкнинг ялпи  даромади"</f>
        <v>2023 йилдаги банкнинг ялпи  даромади</v>
      </c>
      <c r="C10" s="122">
        <f>+C11+C13-C12-C14</f>
        <v>1322545992</v>
      </c>
      <c r="J10" s="143"/>
      <c r="K10" s="143"/>
      <c r="L10" s="143"/>
      <c r="M10" s="143"/>
      <c r="N10" s="142"/>
      <c r="O10" s="142"/>
    </row>
    <row r="11" spans="1:15" ht="21.75" customHeight="1">
      <c r="A11" s="120" t="s">
        <v>56</v>
      </c>
      <c r="B11" s="123" t="s">
        <v>248</v>
      </c>
      <c r="C11" s="124">
        <v>3219716484</v>
      </c>
      <c r="E11" s="142"/>
      <c r="J11" s="143"/>
      <c r="K11" s="143"/>
      <c r="L11" s="143"/>
      <c r="M11" s="143"/>
      <c r="N11" s="142"/>
      <c r="O11" s="142"/>
    </row>
    <row r="12" spans="1:15" ht="21.75" customHeight="1">
      <c r="A12" s="120" t="s">
        <v>15</v>
      </c>
      <c r="B12" s="123" t="s">
        <v>245</v>
      </c>
      <c r="C12" s="124">
        <v>2475830862</v>
      </c>
      <c r="E12" s="142"/>
      <c r="F12" s="142"/>
      <c r="G12" s="142"/>
      <c r="H12" s="143"/>
      <c r="I12" s="143"/>
      <c r="J12" s="143"/>
      <c r="K12" s="143"/>
      <c r="L12" s="143"/>
      <c r="M12" s="143"/>
      <c r="N12" s="142"/>
      <c r="O12" s="142"/>
    </row>
    <row r="13" spans="1:15" ht="21.75" customHeight="1">
      <c r="A13" s="120" t="s">
        <v>16</v>
      </c>
      <c r="B13" s="123" t="s">
        <v>246</v>
      </c>
      <c r="C13" s="124">
        <v>1479529469</v>
      </c>
      <c r="E13" s="142"/>
      <c r="F13" s="142"/>
      <c r="G13" s="142"/>
      <c r="H13" s="143"/>
      <c r="I13" s="143"/>
      <c r="J13" s="143"/>
      <c r="K13" s="143"/>
      <c r="L13" s="143"/>
      <c r="M13" s="143"/>
      <c r="N13" s="142"/>
      <c r="O13" s="142"/>
    </row>
    <row r="14" spans="1:15" ht="21.75" customHeight="1">
      <c r="A14" s="120" t="s">
        <v>123</v>
      </c>
      <c r="B14" s="123" t="s">
        <v>247</v>
      </c>
      <c r="C14" s="124">
        <v>900869099</v>
      </c>
      <c r="E14" s="142"/>
      <c r="F14" s="142"/>
      <c r="G14" s="142"/>
      <c r="H14" s="143"/>
      <c r="I14" s="143"/>
      <c r="J14" s="143"/>
      <c r="K14" s="143"/>
      <c r="L14" s="143"/>
      <c r="M14" s="143"/>
      <c r="N14" s="142"/>
      <c r="O14" s="142"/>
    </row>
    <row r="15" spans="1:15" ht="21.75" customHeight="1">
      <c r="A15" s="120" t="s">
        <v>66</v>
      </c>
      <c r="B15" s="121" t="str">
        <f>+""&amp;(D$6-1)&amp;" йилдаги банкнинг ялпи  даромади"</f>
        <v>2024 йилдаги банкнинг ялпи  даромади</v>
      </c>
      <c r="C15" s="122">
        <f>+C16+C18-C17-C19</f>
        <v>1265205603</v>
      </c>
      <c r="E15" s="142"/>
      <c r="F15" s="142"/>
      <c r="G15" s="142"/>
      <c r="H15" s="143"/>
      <c r="I15" s="143"/>
      <c r="J15" s="143"/>
      <c r="K15" s="143"/>
      <c r="L15" s="143"/>
      <c r="M15" s="143"/>
      <c r="N15" s="142"/>
      <c r="O15" s="142"/>
    </row>
    <row r="16" spans="1:15" ht="21.75" customHeight="1">
      <c r="A16" s="120" t="s">
        <v>56</v>
      </c>
      <c r="B16" s="123" t="s">
        <v>248</v>
      </c>
      <c r="C16" s="124">
        <v>4027791395</v>
      </c>
    </row>
    <row r="17" spans="1:16" ht="21.75" customHeight="1">
      <c r="A17" s="120" t="s">
        <v>15</v>
      </c>
      <c r="B17" s="123" t="s">
        <v>245</v>
      </c>
      <c r="C17" s="124">
        <v>3239799931</v>
      </c>
    </row>
    <row r="18" spans="1:16" ht="21.75" customHeight="1">
      <c r="A18" s="120" t="s">
        <v>16</v>
      </c>
      <c r="B18" s="123" t="s">
        <v>246</v>
      </c>
      <c r="C18" s="124">
        <v>1228713951</v>
      </c>
    </row>
    <row r="19" spans="1:16" ht="21.75" customHeight="1">
      <c r="A19" s="120" t="s">
        <v>123</v>
      </c>
      <c r="B19" s="123" t="s">
        <v>247</v>
      </c>
      <c r="C19" s="124">
        <v>751499812</v>
      </c>
    </row>
    <row r="20" spans="1:16" ht="31.5" customHeight="1">
      <c r="A20" s="120" t="s">
        <v>67</v>
      </c>
      <c r="B20" s="125" t="s">
        <v>249</v>
      </c>
      <c r="C20" s="122">
        <f>(C5+C10+C15)/3</f>
        <v>1291882019.6666667</v>
      </c>
    </row>
    <row r="21" spans="1:16" ht="22.5" customHeight="1">
      <c r="A21" s="120" t="s">
        <v>68</v>
      </c>
      <c r="B21" s="125" t="s">
        <v>250</v>
      </c>
      <c r="C21" s="126">
        <f>+(100/C28)*C20*15%</f>
        <v>1490633099.6153846</v>
      </c>
    </row>
    <row r="22" spans="1:16" ht="13.5" customHeight="1">
      <c r="A22" s="53"/>
      <c r="B22" s="53"/>
      <c r="C22" s="53"/>
    </row>
    <row r="23" spans="1:16" ht="21.75" customHeight="1">
      <c r="A23" s="120" t="s">
        <v>69</v>
      </c>
      <c r="B23" s="123" t="s">
        <v>251</v>
      </c>
      <c r="C23" s="124">
        <v>9167292</v>
      </c>
      <c r="D23" s="147"/>
      <c r="E23" s="147" t="s">
        <v>271</v>
      </c>
    </row>
    <row r="24" spans="1:16" ht="21.75" customHeight="1">
      <c r="A24" s="120" t="s">
        <v>70</v>
      </c>
      <c r="B24" s="123" t="s">
        <v>259</v>
      </c>
      <c r="C24" s="124">
        <v>0</v>
      </c>
      <c r="D24" s="147" t="s">
        <v>287</v>
      </c>
      <c r="E24" s="147" t="s">
        <v>272</v>
      </c>
    </row>
    <row r="25" spans="1:16" ht="22.5" customHeight="1">
      <c r="A25" s="120" t="s">
        <v>71</v>
      </c>
      <c r="B25" s="123" t="s">
        <v>260</v>
      </c>
      <c r="C25" s="124">
        <v>0</v>
      </c>
      <c r="D25" s="147" t="s">
        <v>288</v>
      </c>
      <c r="E25" s="147" t="s">
        <v>272</v>
      </c>
    </row>
    <row r="26" spans="1:16" ht="22.5" customHeight="1">
      <c r="A26" s="120" t="s">
        <v>72</v>
      </c>
      <c r="B26" s="127" t="s">
        <v>252</v>
      </c>
      <c r="C26" s="122">
        <f>ABS(C23+(C24-C25))</f>
        <v>9167292</v>
      </c>
      <c r="D26" s="164">
        <f>+C26*0.1</f>
        <v>916729.20000000007</v>
      </c>
      <c r="E26" s="134"/>
      <c r="F26" s="134"/>
      <c r="G26" s="134"/>
      <c r="H26" s="136"/>
      <c r="I26" s="136"/>
      <c r="J26" s="136"/>
      <c r="K26" s="136"/>
      <c r="L26" s="136"/>
      <c r="M26" s="136"/>
      <c r="N26" s="134"/>
      <c r="O26" s="128"/>
      <c r="P26" s="128"/>
    </row>
    <row r="27" spans="1:16" ht="22.5" customHeight="1">
      <c r="A27" s="120" t="s">
        <v>79</v>
      </c>
      <c r="B27" s="129" t="s">
        <v>253</v>
      </c>
      <c r="C27" s="122">
        <f>+(100/C28)*(C26*10%)</f>
        <v>7051763.0769230779</v>
      </c>
      <c r="D27" s="162"/>
    </row>
    <row r="28" spans="1:16" ht="14.25">
      <c r="A28" s="120" t="s">
        <v>80</v>
      </c>
      <c r="B28" s="123" t="s">
        <v>254</v>
      </c>
      <c r="C28" s="137">
        <f>VLOOKUP($D$6,$D$6:$E$6,2,0)</f>
        <v>13</v>
      </c>
    </row>
    <row r="29" spans="1:16" ht="17.25" customHeight="1"/>
    <row r="30" spans="1:16" s="144" customFormat="1" ht="15" customHeight="1">
      <c r="B30" s="146" t="s">
        <v>257</v>
      </c>
      <c r="F30" s="145"/>
      <c r="G30" s="145"/>
      <c r="H30" s="145"/>
      <c r="I30" s="145"/>
      <c r="J30" s="145"/>
      <c r="K30" s="145"/>
      <c r="L30" s="145"/>
      <c r="M30" s="145"/>
    </row>
    <row r="31" spans="1:16" s="144" customFormat="1" ht="11.25" customHeight="1">
      <c r="B31" s="146"/>
      <c r="F31" s="145"/>
      <c r="G31" s="145"/>
      <c r="H31" s="145"/>
      <c r="I31" s="145"/>
      <c r="J31" s="145"/>
      <c r="K31" s="145"/>
      <c r="L31" s="145"/>
      <c r="M31" s="145"/>
    </row>
    <row r="32" spans="1:16" s="144" customFormat="1" ht="15" customHeight="1">
      <c r="B32" s="146" t="s">
        <v>258</v>
      </c>
      <c r="F32" s="145"/>
      <c r="G32" s="145"/>
      <c r="H32" s="145"/>
      <c r="I32" s="145"/>
      <c r="J32" s="145"/>
      <c r="K32" s="145"/>
      <c r="L32" s="145"/>
      <c r="M32" s="145"/>
    </row>
  </sheetData>
  <sheetProtection password="CACA" sheet="1" objects="1" scenarios="1"/>
  <mergeCells count="1">
    <mergeCell ref="A1:B1"/>
  </mergeCells>
  <phoneticPr fontId="17" type="noConversion"/>
  <printOptions horizontalCentered="1"/>
  <pageMargins left="0.19685039370078741" right="0.19685039370078741" top="0.33" bottom="0.19685039370078741" header="0.32" footer="0.31496062992125984"/>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6</vt:i4>
      </vt:variant>
      <vt:variant>
        <vt:lpstr>Именованные диапазоны</vt:lpstr>
      </vt:variant>
      <vt:variant>
        <vt:i4>6</vt:i4>
      </vt:variant>
    </vt:vector>
  </HeadingPairs>
  <TitlesOfParts>
    <vt:vector size="12" baseType="lpstr">
      <vt:lpstr>Bank Capital Calc</vt:lpstr>
      <vt:lpstr>Bank Capital Calc (2)</vt:lpstr>
      <vt:lpstr>Calculation of Risk Weighted As</vt:lpstr>
      <vt:lpstr>Calculation of Risk Weighte нац</vt:lpstr>
      <vt:lpstr>Calculation of Risk Weighte ин</vt:lpstr>
      <vt:lpstr>Calculation of Risk</vt:lpstr>
      <vt:lpstr>'Bank Capital Calc'!Область_печати</vt:lpstr>
      <vt:lpstr>'Bank Capital Calc (2)'!Область_печати</vt:lpstr>
      <vt:lpstr>'Calculation of Risk'!Область_печати</vt:lpstr>
      <vt:lpstr>'Calculation of Risk Weighte ин'!Область_печати</vt:lpstr>
      <vt:lpstr>'Calculation of Risk Weighte нац'!Область_печати</vt:lpstr>
      <vt:lpstr>'Calculation of Risk Weighted As'!Область_печати</vt:lpstr>
    </vt:vector>
  </TitlesOfParts>
  <Company>CBU</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Iskandarov_U</dc:creator>
  <cp:lastModifiedBy>Boburjon Sanayev Sobirjon oʻgʻli</cp:lastModifiedBy>
  <cp:lastPrinted>2024-09-26T05:44:11Z</cp:lastPrinted>
  <dcterms:created xsi:type="dcterms:W3CDTF">2014-01-27T05:06:32Z</dcterms:created>
  <dcterms:modified xsi:type="dcterms:W3CDTF">2026-01-19T07:08:26Z</dcterms:modified>
</cp:coreProperties>
</file>