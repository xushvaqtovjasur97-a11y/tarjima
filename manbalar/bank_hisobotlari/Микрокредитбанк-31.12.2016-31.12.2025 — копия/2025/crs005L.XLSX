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01) BOBURJON\01. Нормативка (т)\01) 01,01,2026\"/>
    </mc:Choice>
  </mc:AlternateContent>
  <xr:revisionPtr revIDLastSave="0" documentId="13_ncr:1_{B8CAA384-4EFC-4D79-9D8A-8BA9CE0E0EF5}" xr6:coauthVersionLast="47" xr6:coauthVersionMax="47" xr10:uidLastSave="{00000000-0000-0000-0000-000000000000}"/>
  <bookViews>
    <workbookView xWindow="-120" yWindow="-120" windowWidth="38640" windowHeight="21120" tabRatio="922" xr2:uid="{00000000-000D-0000-FFFF-FFFF00000000}"/>
  </bookViews>
  <sheets>
    <sheet name="Balance" sheetId="1" r:id="rId1"/>
    <sheet name="Liquidity Analysis" sheetId="16" r:id="rId2"/>
    <sheet name="Bank Assets Analysis" sheetId="17" r:id="rId3"/>
    <sheet name="Bank Assets Analysis (нац)" sheetId="36" r:id="rId4"/>
    <sheet name="Bank Liabilities Analysis" sheetId="18" r:id="rId5"/>
    <sheet name="Bank Liabilities Analysis (нац)" sheetId="37" r:id="rId6"/>
    <sheet name="Commitments" sheetId="19" r:id="rId7"/>
    <sheet name="Deposits by Client" sheetId="14" r:id="rId8"/>
    <sheet name="Investment Securities" sheetId="15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OLE_LINK19" localSheetId="0">Balance!$D$32</definedName>
    <definedName name="_xlnm.Print_Area" localSheetId="0">Balance!$A$1:$E$82</definedName>
    <definedName name="_xlnm.Print_Area" localSheetId="2">'Bank Assets Analysis'!$A$1:$Z$59</definedName>
    <definedName name="_xlnm.Print_Area" localSheetId="3">'Bank Assets Analysis (нац)'!$A$1:$N$54</definedName>
    <definedName name="_xlnm.Print_Area" localSheetId="4">'Bank Liabilities Analysis'!$A$1:$X$64</definedName>
    <definedName name="_xlnm.Print_Area" localSheetId="5">'Bank Liabilities Analysis (нац)'!$A$1:$M$59</definedName>
    <definedName name="_xlnm.Print_Area" localSheetId="6">Commitments!$A$1:$E$30</definedName>
    <definedName name="_xlnm.Print_Area" localSheetId="7">'Deposits by Client'!$A$1:$D$26</definedName>
    <definedName name="_xlnm.Print_Area" localSheetId="8">'Investment Securities'!$A$1:$E$44</definedName>
    <definedName name="_xlnm.Print_Area" localSheetId="1">'Liquidity Analysis'!$A$1:$E$41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5" l="1"/>
  <c r="E59" i="16" l="1"/>
  <c r="C59" i="16"/>
  <c r="B59" i="16"/>
  <c r="E58" i="16"/>
  <c r="C58" i="16"/>
  <c r="D58" i="16" s="1"/>
  <c r="B58" i="16"/>
  <c r="E55" i="16"/>
  <c r="C55" i="16"/>
  <c r="D59" i="16"/>
  <c r="D55" i="16" l="1"/>
  <c r="E37" i="16"/>
  <c r="C37" i="16"/>
  <c r="D37" i="16" l="1"/>
  <c r="U40" i="18"/>
  <c r="S40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U44" i="17"/>
  <c r="S44" i="17"/>
  <c r="U43" i="17"/>
  <c r="S43" i="17"/>
  <c r="T44" i="17" l="1"/>
  <c r="T43" i="17"/>
  <c r="T40" i="18"/>
  <c r="E9" i="15" l="1"/>
  <c r="E21" i="15" l="1"/>
  <c r="E24" i="15"/>
  <c r="E20" i="15"/>
  <c r="C9" i="17" l="1"/>
  <c r="W39" i="18" l="1"/>
  <c r="X39" i="18"/>
  <c r="W40" i="18"/>
  <c r="X40" i="18"/>
  <c r="J44" i="36"/>
  <c r="I44" i="36"/>
  <c r="H44" i="36"/>
  <c r="G44" i="36"/>
  <c r="F44" i="36"/>
  <c r="E44" i="36"/>
  <c r="D44" i="36"/>
  <c r="C44" i="36"/>
  <c r="J41" i="37"/>
  <c r="I41" i="37"/>
  <c r="H41" i="37"/>
  <c r="G41" i="37"/>
  <c r="F41" i="37"/>
  <c r="E41" i="37"/>
  <c r="D41" i="37"/>
  <c r="C41" i="37"/>
  <c r="W44" i="17"/>
  <c r="X44" i="17" s="1"/>
  <c r="W43" i="17"/>
  <c r="X43" i="17" s="1"/>
  <c r="Y44" i="17"/>
  <c r="Z44" i="17" s="1"/>
  <c r="M44" i="36" l="1"/>
  <c r="N44" i="36" s="1"/>
  <c r="K44" i="36"/>
  <c r="K41" i="37"/>
  <c r="M41" i="37"/>
  <c r="W38" i="18"/>
  <c r="X38" i="18"/>
  <c r="Y43" i="17" l="1"/>
  <c r="Z43" i="17" s="1"/>
  <c r="J40" i="37" l="1"/>
  <c r="I40" i="37"/>
  <c r="H40" i="37"/>
  <c r="G40" i="37"/>
  <c r="F40" i="37"/>
  <c r="E40" i="37"/>
  <c r="D40" i="37"/>
  <c r="C40" i="37"/>
  <c r="U39" i="18"/>
  <c r="S39" i="18"/>
  <c r="J43" i="36"/>
  <c r="I43" i="36"/>
  <c r="H43" i="36"/>
  <c r="G43" i="36"/>
  <c r="F43" i="36"/>
  <c r="E43" i="36"/>
  <c r="D43" i="36"/>
  <c r="C43" i="36"/>
  <c r="M43" i="36" l="1"/>
  <c r="N43" i="36" s="1"/>
  <c r="M40" i="37"/>
  <c r="K43" i="36"/>
  <c r="T39" i="18"/>
  <c r="K40" i="37"/>
  <c r="G54" i="16" l="1"/>
  <c r="H54" i="16"/>
  <c r="R34" i="17" l="1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E36" i="15" l="1"/>
  <c r="E35" i="15"/>
  <c r="E34" i="15"/>
  <c r="J23" i="36" l="1"/>
  <c r="I23" i="36"/>
  <c r="H23" i="36"/>
  <c r="G23" i="36"/>
  <c r="F23" i="36"/>
  <c r="E23" i="36"/>
  <c r="D23" i="36"/>
  <c r="C23" i="36"/>
  <c r="U23" i="17"/>
  <c r="S23" i="17"/>
  <c r="M23" i="36" l="1"/>
  <c r="N23" i="36" s="1"/>
  <c r="Y23" i="17"/>
  <c r="Z23" i="17" s="1"/>
  <c r="W23" i="17"/>
  <c r="X23" i="17" s="1"/>
  <c r="K23" i="36"/>
  <c r="T23" i="17"/>
  <c r="E71" i="1" l="1"/>
  <c r="D71" i="1"/>
  <c r="S50" i="17" l="1"/>
  <c r="F5" i="19" s="1"/>
  <c r="AC52" i="17"/>
  <c r="AB52" i="17"/>
  <c r="AC50" i="17"/>
  <c r="AB50" i="17"/>
  <c r="D49" i="36"/>
  <c r="D46" i="36"/>
  <c r="H47" i="37"/>
  <c r="H35" i="37"/>
  <c r="AB49" i="17"/>
  <c r="AC49" i="17"/>
  <c r="X41" i="18" l="1"/>
  <c r="W41" i="18"/>
  <c r="Y46" i="17" l="1"/>
  <c r="W46" i="17"/>
  <c r="Y14" i="17"/>
  <c r="W14" i="17"/>
  <c r="W13" i="17" l="1"/>
  <c r="W25" i="17" l="1"/>
  <c r="X25" i="17" s="1"/>
  <c r="Y25" i="17"/>
  <c r="Z25" i="17" s="1"/>
  <c r="J26" i="37" l="1"/>
  <c r="I26" i="37"/>
  <c r="H26" i="37"/>
  <c r="G26" i="37"/>
  <c r="F26" i="37"/>
  <c r="E26" i="37"/>
  <c r="D26" i="37"/>
  <c r="C26" i="37"/>
  <c r="U25" i="18"/>
  <c r="S25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W26" i="18"/>
  <c r="X25" i="18" l="1"/>
  <c r="W25" i="18"/>
  <c r="T25" i="18"/>
  <c r="K26" i="37"/>
  <c r="C2" i="15"/>
  <c r="C2" i="14"/>
  <c r="C2" i="19"/>
  <c r="K3" i="37"/>
  <c r="V2" i="18"/>
  <c r="K3" i="36"/>
  <c r="I33" i="18" l="1"/>
  <c r="J33" i="18"/>
  <c r="K33" i="18"/>
  <c r="L33" i="18"/>
  <c r="M33" i="18"/>
  <c r="N33" i="18"/>
  <c r="O33" i="18"/>
  <c r="P33" i="18"/>
  <c r="Q33" i="18"/>
  <c r="R33" i="18"/>
  <c r="H33" i="18" l="1"/>
  <c r="G33" i="18"/>
  <c r="F33" i="18"/>
  <c r="E33" i="18"/>
  <c r="D33" i="18"/>
  <c r="C33" i="18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I17" i="36" l="1"/>
  <c r="E17" i="36"/>
  <c r="H17" i="36"/>
  <c r="F17" i="36"/>
  <c r="G17" i="36"/>
  <c r="J17" i="36"/>
  <c r="D17" i="36"/>
  <c r="C17" i="36"/>
  <c r="C35" i="37"/>
  <c r="D35" i="37"/>
  <c r="E35" i="37"/>
  <c r="F35" i="37"/>
  <c r="G35" i="37"/>
  <c r="I35" i="37"/>
  <c r="J35" i="37"/>
  <c r="C36" i="37"/>
  <c r="D36" i="37"/>
  <c r="E36" i="37"/>
  <c r="F36" i="37"/>
  <c r="G36" i="37"/>
  <c r="H36" i="37"/>
  <c r="I36" i="37"/>
  <c r="J36" i="37"/>
  <c r="X34" i="18"/>
  <c r="W34" i="18"/>
  <c r="U34" i="18"/>
  <c r="S34" i="18"/>
  <c r="X35" i="18"/>
  <c r="W35" i="18"/>
  <c r="U35" i="18"/>
  <c r="S35" i="18"/>
  <c r="T35" i="18" l="1"/>
  <c r="T34" i="18"/>
  <c r="M35" i="37"/>
  <c r="K36" i="37"/>
  <c r="K35" i="37"/>
  <c r="M36" i="37"/>
  <c r="X21" i="18" l="1"/>
  <c r="W21" i="18"/>
  <c r="U22" i="18" l="1"/>
  <c r="S22" i="18"/>
  <c r="J23" i="37"/>
  <c r="I23" i="37"/>
  <c r="H23" i="37"/>
  <c r="G23" i="37"/>
  <c r="F23" i="37"/>
  <c r="E23" i="37"/>
  <c r="D23" i="37"/>
  <c r="C23" i="37"/>
  <c r="T22" i="18" l="1"/>
  <c r="K23" i="37"/>
  <c r="X2" i="17" l="1"/>
  <c r="D2" i="16"/>
  <c r="AB51" i="17" l="1"/>
  <c r="AC51" i="17"/>
  <c r="C32" i="1" l="1"/>
  <c r="E19" i="1" l="1"/>
  <c r="D19" i="1"/>
  <c r="F54" i="16"/>
  <c r="C19" i="1" l="1"/>
  <c r="J19" i="1" s="1"/>
  <c r="Y33" i="17" l="1"/>
  <c r="Z33" i="17" s="1"/>
  <c r="W33" i="17"/>
  <c r="X33" i="17" s="1"/>
  <c r="Y32" i="17"/>
  <c r="Z32" i="17" s="1"/>
  <c r="W32" i="17"/>
  <c r="X32" i="17" s="1"/>
  <c r="D67" i="1" l="1"/>
  <c r="E67" i="1"/>
  <c r="E77" i="1" l="1"/>
  <c r="D77" i="1"/>
  <c r="C12" i="15" l="1"/>
  <c r="C15" i="15" s="1"/>
  <c r="E18" i="19"/>
  <c r="E10" i="19"/>
  <c r="C24" i="19"/>
  <c r="C23" i="19"/>
  <c r="C22" i="19"/>
  <c r="C21" i="19"/>
  <c r="C20" i="19"/>
  <c r="C19" i="19"/>
  <c r="C16" i="19"/>
  <c r="C14" i="19"/>
  <c r="C13" i="19"/>
  <c r="C12" i="19"/>
  <c r="C11" i="19"/>
  <c r="C8" i="19"/>
  <c r="AA52" i="17" s="1"/>
  <c r="C7" i="19"/>
  <c r="C5" i="19"/>
  <c r="AA50" i="17" s="1"/>
  <c r="C4" i="19"/>
  <c r="AA51" i="17" l="1"/>
  <c r="AA49" i="17"/>
  <c r="AC53" i="17"/>
  <c r="E26" i="19"/>
  <c r="B13" i="15"/>
  <c r="C61" i="1" l="1"/>
  <c r="J61" i="1" s="1"/>
  <c r="J24" i="36" l="1"/>
  <c r="I24" i="36"/>
  <c r="H24" i="36"/>
  <c r="G24" i="36"/>
  <c r="F24" i="36"/>
  <c r="E24" i="36"/>
  <c r="D24" i="36"/>
  <c r="C24" i="36"/>
  <c r="U24" i="17"/>
  <c r="S24" i="17"/>
  <c r="W24" i="17" l="1"/>
  <c r="X24" i="17" s="1"/>
  <c r="C13" i="16"/>
  <c r="Y24" i="17"/>
  <c r="Z24" i="17" s="1"/>
  <c r="E13" i="16"/>
  <c r="M24" i="36"/>
  <c r="N24" i="36" s="1"/>
  <c r="K24" i="36"/>
  <c r="T24" i="17"/>
  <c r="D13" i="16" s="1"/>
  <c r="C12" i="16"/>
  <c r="E39" i="1"/>
  <c r="D39" i="1"/>
  <c r="D43" i="1" s="1"/>
  <c r="C41" i="1"/>
  <c r="J41" i="1" s="1"/>
  <c r="D18" i="19" l="1"/>
  <c r="C18" i="19" s="1"/>
  <c r="U46" i="17" l="1"/>
  <c r="Z46" i="17" s="1"/>
  <c r="S46" i="17"/>
  <c r="T46" i="17" l="1"/>
  <c r="X46" i="17"/>
  <c r="B36" i="15"/>
  <c r="B35" i="15"/>
  <c r="B34" i="15"/>
  <c r="B28" i="15"/>
  <c r="B27" i="15"/>
  <c r="E27" i="15" s="1"/>
  <c r="B25" i="15"/>
  <c r="B24" i="15"/>
  <c r="B23" i="15"/>
  <c r="B22" i="15"/>
  <c r="B21" i="15"/>
  <c r="B20" i="15"/>
  <c r="B19" i="15"/>
  <c r="B11" i="15"/>
  <c r="B10" i="15"/>
  <c r="B9" i="15"/>
  <c r="B8" i="15"/>
  <c r="B7" i="15"/>
  <c r="J49" i="36"/>
  <c r="I49" i="36"/>
  <c r="H49" i="36"/>
  <c r="G49" i="36"/>
  <c r="F49" i="36"/>
  <c r="E49" i="36"/>
  <c r="C49" i="36"/>
  <c r="J50" i="36"/>
  <c r="I50" i="36"/>
  <c r="H50" i="36"/>
  <c r="G50" i="36"/>
  <c r="F50" i="36"/>
  <c r="E50" i="36"/>
  <c r="D50" i="36"/>
  <c r="C50" i="36"/>
  <c r="J51" i="36"/>
  <c r="I51" i="36"/>
  <c r="H51" i="36"/>
  <c r="G51" i="36"/>
  <c r="F51" i="36"/>
  <c r="E51" i="36"/>
  <c r="D51" i="36"/>
  <c r="C51" i="36"/>
  <c r="K51" i="36" l="1"/>
  <c r="K50" i="36"/>
  <c r="K49" i="36"/>
  <c r="J46" i="36" l="1"/>
  <c r="I46" i="36"/>
  <c r="H46" i="36"/>
  <c r="G46" i="36"/>
  <c r="F46" i="36"/>
  <c r="E46" i="36"/>
  <c r="C46" i="36"/>
  <c r="U54" i="17"/>
  <c r="S54" i="17"/>
  <c r="U53" i="17"/>
  <c r="AF53" i="17" s="1"/>
  <c r="S53" i="17"/>
  <c r="U52" i="17"/>
  <c r="H8" i="19" s="1"/>
  <c r="S52" i="17"/>
  <c r="F8" i="19" s="1"/>
  <c r="U51" i="17"/>
  <c r="S51" i="17"/>
  <c r="U50" i="17"/>
  <c r="H5" i="19" s="1"/>
  <c r="M46" i="36" l="1"/>
  <c r="AD51" i="17"/>
  <c r="F7" i="19"/>
  <c r="AF51" i="17"/>
  <c r="H7" i="19"/>
  <c r="T50" i="17"/>
  <c r="G5" i="19" s="1"/>
  <c r="T54" i="17"/>
  <c r="T53" i="17"/>
  <c r="T51" i="17"/>
  <c r="T52" i="17"/>
  <c r="G8" i="19" s="1"/>
  <c r="K46" i="36"/>
  <c r="N46" i="36" l="1"/>
  <c r="AE51" i="17"/>
  <c r="G7" i="19"/>
  <c r="J54" i="36"/>
  <c r="I54" i="36"/>
  <c r="H54" i="36"/>
  <c r="G54" i="36"/>
  <c r="F54" i="36"/>
  <c r="E54" i="36"/>
  <c r="D54" i="36"/>
  <c r="C54" i="36"/>
  <c r="J53" i="36"/>
  <c r="I53" i="36"/>
  <c r="H53" i="36"/>
  <c r="G53" i="36"/>
  <c r="F53" i="36"/>
  <c r="E53" i="36"/>
  <c r="D53" i="36"/>
  <c r="C53" i="36"/>
  <c r="J52" i="36"/>
  <c r="I52" i="36"/>
  <c r="H52" i="36"/>
  <c r="G52" i="36"/>
  <c r="F52" i="36"/>
  <c r="E52" i="36"/>
  <c r="D52" i="36"/>
  <c r="C52" i="36"/>
  <c r="E13" i="1"/>
  <c r="E12" i="1"/>
  <c r="D13" i="1"/>
  <c r="D12" i="1"/>
  <c r="C12" i="1" l="1"/>
  <c r="J12" i="1" s="1"/>
  <c r="C13" i="1"/>
  <c r="K54" i="36"/>
  <c r="K53" i="36"/>
  <c r="K52" i="36"/>
  <c r="J31" i="36"/>
  <c r="I31" i="36"/>
  <c r="H31" i="36"/>
  <c r="G31" i="36"/>
  <c r="F31" i="36"/>
  <c r="E31" i="36"/>
  <c r="D31" i="36"/>
  <c r="C31" i="36"/>
  <c r="J18" i="36"/>
  <c r="I18" i="36"/>
  <c r="H18" i="36"/>
  <c r="G18" i="36"/>
  <c r="F18" i="36"/>
  <c r="E18" i="36"/>
  <c r="D18" i="36"/>
  <c r="C18" i="36"/>
  <c r="U49" i="17"/>
  <c r="S49" i="17"/>
  <c r="Y31" i="17"/>
  <c r="Z31" i="17" s="1"/>
  <c r="W31" i="17"/>
  <c r="X31" i="17" s="1"/>
  <c r="U31" i="17"/>
  <c r="S31" i="17"/>
  <c r="Y18" i="17"/>
  <c r="Z18" i="17" s="1"/>
  <c r="W18" i="17"/>
  <c r="X18" i="17" s="1"/>
  <c r="U18" i="17"/>
  <c r="E15" i="16" s="1"/>
  <c r="S18" i="17"/>
  <c r="C15" i="16" s="1"/>
  <c r="AF49" i="17" l="1"/>
  <c r="H4" i="19"/>
  <c r="AD49" i="17"/>
  <c r="F4" i="19"/>
  <c r="M31" i="36"/>
  <c r="N31" i="36" s="1"/>
  <c r="T49" i="17"/>
  <c r="T31" i="17"/>
  <c r="T18" i="17"/>
  <c r="D15" i="16" s="1"/>
  <c r="K31" i="36"/>
  <c r="M18" i="36"/>
  <c r="K18" i="36"/>
  <c r="N18" i="36" l="1"/>
  <c r="AE49" i="17"/>
  <c r="G4" i="19"/>
  <c r="C53" i="16"/>
  <c r="C39" i="16" l="1"/>
  <c r="C73" i="1"/>
  <c r="C70" i="1"/>
  <c r="C69" i="1"/>
  <c r="C68" i="1"/>
  <c r="C26" i="1"/>
  <c r="E53" i="16"/>
  <c r="C54" i="16"/>
  <c r="D54" i="16"/>
  <c r="E54" i="16"/>
  <c r="C67" i="1" l="1"/>
  <c r="D53" i="16"/>
  <c r="Y42" i="17" l="1"/>
  <c r="W42" i="17"/>
  <c r="X42" i="17" s="1"/>
  <c r="Z42" i="17" l="1"/>
  <c r="Y30" i="17"/>
  <c r="Z30" i="17" s="1"/>
  <c r="W30" i="17"/>
  <c r="X30" i="17" s="1"/>
  <c r="Y29" i="17"/>
  <c r="Z29" i="17" s="1"/>
  <c r="W29" i="17"/>
  <c r="X29" i="17" s="1"/>
  <c r="Y28" i="17"/>
  <c r="Z28" i="17" s="1"/>
  <c r="W28" i="17"/>
  <c r="X28" i="17" s="1"/>
  <c r="Y27" i="17"/>
  <c r="Z27" i="17" s="1"/>
  <c r="W27" i="17"/>
  <c r="X27" i="17" s="1"/>
  <c r="Y26" i="17"/>
  <c r="Z26" i="17" s="1"/>
  <c r="W26" i="17"/>
  <c r="X26" i="17" s="1"/>
  <c r="Y16" i="17"/>
  <c r="Z16" i="17" s="1"/>
  <c r="W16" i="17"/>
  <c r="X16" i="17" s="1"/>
  <c r="Y15" i="17"/>
  <c r="Z15" i="17" s="1"/>
  <c r="W15" i="17"/>
  <c r="X15" i="17" s="1"/>
  <c r="Z14" i="17"/>
  <c r="X14" i="17"/>
  <c r="Y13" i="17"/>
  <c r="Z13" i="17" s="1"/>
  <c r="X13" i="17"/>
  <c r="Y12" i="17"/>
  <c r="Z12" i="17" s="1"/>
  <c r="W12" i="17"/>
  <c r="X12" i="17" s="1"/>
  <c r="Y11" i="17"/>
  <c r="Z11" i="17" s="1"/>
  <c r="W11" i="17"/>
  <c r="X11" i="17" s="1"/>
  <c r="Y10" i="17"/>
  <c r="Z10" i="17" s="1"/>
  <c r="W10" i="17"/>
  <c r="X10" i="17" s="1"/>
  <c r="Z47" i="17" l="1"/>
  <c r="Z63" i="17" s="1"/>
  <c r="X47" i="17"/>
  <c r="J25" i="37"/>
  <c r="I25" i="37"/>
  <c r="H25" i="37"/>
  <c r="G25" i="37"/>
  <c r="F25" i="37"/>
  <c r="E25" i="37"/>
  <c r="D25" i="37"/>
  <c r="C25" i="37"/>
  <c r="M25" i="37" l="1"/>
  <c r="N36" i="36"/>
  <c r="N37" i="36"/>
  <c r="N38" i="36"/>
  <c r="N39" i="36"/>
  <c r="N40" i="36"/>
  <c r="N41" i="36"/>
  <c r="N45" i="36"/>
  <c r="E8" i="16" l="1"/>
  <c r="E9" i="16"/>
  <c r="X32" i="18" l="1"/>
  <c r="X31" i="18"/>
  <c r="X29" i="18"/>
  <c r="X28" i="18"/>
  <c r="X27" i="18"/>
  <c r="X26" i="18"/>
  <c r="R9" i="17" l="1"/>
  <c r="R47" i="17" s="1"/>
  <c r="R60" i="18" s="1"/>
  <c r="Q9" i="17"/>
  <c r="Q47" i="17" s="1"/>
  <c r="Q60" i="18" s="1"/>
  <c r="P9" i="17"/>
  <c r="P47" i="17" s="1"/>
  <c r="P60" i="18" s="1"/>
  <c r="O9" i="17"/>
  <c r="O47" i="17" s="1"/>
  <c r="O60" i="18" s="1"/>
  <c r="N9" i="17"/>
  <c r="N47" i="17" s="1"/>
  <c r="N60" i="18" s="1"/>
  <c r="M9" i="17"/>
  <c r="M47" i="17" s="1"/>
  <c r="M60" i="18" s="1"/>
  <c r="L9" i="17"/>
  <c r="L47" i="17" s="1"/>
  <c r="L60" i="18" s="1"/>
  <c r="K9" i="17"/>
  <c r="K47" i="17" s="1"/>
  <c r="K60" i="18" s="1"/>
  <c r="J9" i="17"/>
  <c r="J47" i="17" s="1"/>
  <c r="J60" i="18" s="1"/>
  <c r="I9" i="17"/>
  <c r="I47" i="17" s="1"/>
  <c r="I60" i="18" s="1"/>
  <c r="H9" i="17"/>
  <c r="H47" i="17" s="1"/>
  <c r="H60" i="18" s="1"/>
  <c r="G9" i="17"/>
  <c r="G47" i="17" s="1"/>
  <c r="G60" i="18" s="1"/>
  <c r="F9" i="17"/>
  <c r="F47" i="17" s="1"/>
  <c r="F60" i="18" s="1"/>
  <c r="E9" i="17"/>
  <c r="E47" i="17" s="1"/>
  <c r="E60" i="18" s="1"/>
  <c r="D9" i="17"/>
  <c r="D47" i="17" s="1"/>
  <c r="D60" i="18" s="1"/>
  <c r="C47" i="17"/>
  <c r="C60" i="18" s="1"/>
  <c r="U24" i="18" l="1"/>
  <c r="X24" i="18" s="1"/>
  <c r="W24" i="18" s="1"/>
  <c r="S24" i="18"/>
  <c r="W32" i="18" l="1"/>
  <c r="W31" i="18"/>
  <c r="W29" i="18"/>
  <c r="W28" i="18"/>
  <c r="W27" i="18"/>
  <c r="N3" i="36"/>
  <c r="N17" i="36"/>
  <c r="N9" i="36"/>
  <c r="U11" i="17" l="1"/>
  <c r="S11" i="17"/>
  <c r="T24" i="18" l="1"/>
  <c r="C9" i="16"/>
  <c r="U21" i="17" l="1"/>
  <c r="S21" i="17"/>
  <c r="U13" i="17"/>
  <c r="S13" i="17"/>
  <c r="U12" i="17"/>
  <c r="S12" i="17"/>
  <c r="J21" i="36"/>
  <c r="I21" i="36"/>
  <c r="H21" i="36"/>
  <c r="G21" i="36"/>
  <c r="F21" i="36"/>
  <c r="E21" i="36"/>
  <c r="D21" i="36"/>
  <c r="C21" i="36"/>
  <c r="T12" i="17" l="1"/>
  <c r="W21" i="17"/>
  <c r="X21" i="17" s="1"/>
  <c r="Y21" i="17"/>
  <c r="Z21" i="17" s="1"/>
  <c r="T21" i="17"/>
  <c r="C8" i="16"/>
  <c r="K21" i="36"/>
  <c r="M21" i="36" l="1"/>
  <c r="N21" i="36" s="1"/>
  <c r="E10" i="16"/>
  <c r="D10" i="16"/>
  <c r="C10" i="16"/>
  <c r="T13" i="17" l="1"/>
  <c r="T11" i="17"/>
  <c r="J13" i="36"/>
  <c r="I13" i="36"/>
  <c r="H13" i="36"/>
  <c r="G13" i="36"/>
  <c r="F13" i="36"/>
  <c r="E13" i="36"/>
  <c r="D13" i="36"/>
  <c r="M13" i="36" s="1"/>
  <c r="N13" i="36" s="1"/>
  <c r="C13" i="36"/>
  <c r="J12" i="36"/>
  <c r="I12" i="36"/>
  <c r="H12" i="36"/>
  <c r="G12" i="36"/>
  <c r="F12" i="36"/>
  <c r="E12" i="36"/>
  <c r="D12" i="36"/>
  <c r="C12" i="36"/>
  <c r="J11" i="36"/>
  <c r="I11" i="36"/>
  <c r="H11" i="36"/>
  <c r="G11" i="36"/>
  <c r="F11" i="36"/>
  <c r="E11" i="36"/>
  <c r="D11" i="36"/>
  <c r="C11" i="36"/>
  <c r="M12" i="36" l="1"/>
  <c r="N12" i="36" s="1"/>
  <c r="M11" i="36"/>
  <c r="N11" i="36" s="1"/>
  <c r="K11" i="36"/>
  <c r="K12" i="36"/>
  <c r="K13" i="36"/>
  <c r="C38" i="16" l="1"/>
  <c r="E38" i="16"/>
  <c r="E43" i="1" l="1"/>
  <c r="J46" i="1"/>
  <c r="J59" i="37" l="1"/>
  <c r="I59" i="37"/>
  <c r="H59" i="37"/>
  <c r="G59" i="37"/>
  <c r="F59" i="37"/>
  <c r="E59" i="37"/>
  <c r="D59" i="37"/>
  <c r="C59" i="37"/>
  <c r="J58" i="37"/>
  <c r="I58" i="37"/>
  <c r="H58" i="37"/>
  <c r="G58" i="37"/>
  <c r="F58" i="37"/>
  <c r="E58" i="37"/>
  <c r="D58" i="37"/>
  <c r="C58" i="37"/>
  <c r="J56" i="37"/>
  <c r="I56" i="37"/>
  <c r="H56" i="37"/>
  <c r="G56" i="37"/>
  <c r="F56" i="37"/>
  <c r="E56" i="37"/>
  <c r="D56" i="37"/>
  <c r="C56" i="37"/>
  <c r="J55" i="37"/>
  <c r="I55" i="37"/>
  <c r="H55" i="37"/>
  <c r="G55" i="37"/>
  <c r="F55" i="37"/>
  <c r="E55" i="37"/>
  <c r="D55" i="37"/>
  <c r="C55" i="37"/>
  <c r="J53" i="37"/>
  <c r="I53" i="37"/>
  <c r="H53" i="37"/>
  <c r="G53" i="37"/>
  <c r="F53" i="37"/>
  <c r="E53" i="37"/>
  <c r="D53" i="37"/>
  <c r="C53" i="37"/>
  <c r="J52" i="37"/>
  <c r="I52" i="37"/>
  <c r="H52" i="37"/>
  <c r="G52" i="37"/>
  <c r="F52" i="37"/>
  <c r="E52" i="37"/>
  <c r="D52" i="37"/>
  <c r="C52" i="37"/>
  <c r="J50" i="37"/>
  <c r="I50" i="37"/>
  <c r="H50" i="37"/>
  <c r="G50" i="37"/>
  <c r="F50" i="37"/>
  <c r="E50" i="37"/>
  <c r="D50" i="37"/>
  <c r="C50" i="37"/>
  <c r="J49" i="37"/>
  <c r="I49" i="37"/>
  <c r="H49" i="37"/>
  <c r="H48" i="37" s="1"/>
  <c r="G49" i="37"/>
  <c r="F49" i="37"/>
  <c r="E49" i="37"/>
  <c r="D49" i="37"/>
  <c r="C49" i="37"/>
  <c r="J47" i="37"/>
  <c r="I47" i="37"/>
  <c r="G47" i="37"/>
  <c r="F47" i="37"/>
  <c r="E47" i="37"/>
  <c r="D47" i="37"/>
  <c r="C47" i="37"/>
  <c r="J46" i="37"/>
  <c r="I46" i="37"/>
  <c r="H46" i="37"/>
  <c r="H45" i="37" s="1"/>
  <c r="G46" i="37"/>
  <c r="F46" i="37"/>
  <c r="E46" i="37"/>
  <c r="D46" i="37"/>
  <c r="J42" i="37"/>
  <c r="I42" i="37"/>
  <c r="H42" i="37"/>
  <c r="G42" i="37"/>
  <c r="F42" i="37"/>
  <c r="E42" i="37"/>
  <c r="D42" i="37"/>
  <c r="C42" i="37"/>
  <c r="J39" i="37"/>
  <c r="I39" i="37"/>
  <c r="H39" i="37"/>
  <c r="G39" i="37"/>
  <c r="F39" i="37"/>
  <c r="E39" i="37"/>
  <c r="D39" i="37"/>
  <c r="C39" i="37"/>
  <c r="J38" i="37"/>
  <c r="I38" i="37"/>
  <c r="H38" i="37"/>
  <c r="G38" i="37"/>
  <c r="F38" i="37"/>
  <c r="E38" i="37"/>
  <c r="D38" i="37"/>
  <c r="C38" i="37"/>
  <c r="J37" i="37"/>
  <c r="I37" i="37"/>
  <c r="H37" i="37"/>
  <c r="G37" i="37"/>
  <c r="F37" i="37"/>
  <c r="E37" i="37"/>
  <c r="D37" i="37"/>
  <c r="C37" i="37"/>
  <c r="J34" i="37"/>
  <c r="I34" i="37"/>
  <c r="H34" i="37"/>
  <c r="G34" i="37"/>
  <c r="F34" i="37"/>
  <c r="E34" i="37"/>
  <c r="D34" i="37"/>
  <c r="C34" i="37"/>
  <c r="J33" i="37"/>
  <c r="I33" i="37"/>
  <c r="H33" i="37"/>
  <c r="G33" i="37"/>
  <c r="F33" i="37"/>
  <c r="E33" i="37"/>
  <c r="D33" i="37"/>
  <c r="C33" i="37"/>
  <c r="J32" i="37"/>
  <c r="I32" i="37"/>
  <c r="H32" i="37"/>
  <c r="G32" i="37"/>
  <c r="F32" i="37"/>
  <c r="E32" i="37"/>
  <c r="D32" i="37"/>
  <c r="C32" i="37"/>
  <c r="J31" i="37"/>
  <c r="I31" i="37"/>
  <c r="H31" i="37"/>
  <c r="G31" i="37"/>
  <c r="F31" i="37"/>
  <c r="E31" i="37"/>
  <c r="D31" i="37"/>
  <c r="C31" i="37"/>
  <c r="J30" i="37"/>
  <c r="I30" i="37"/>
  <c r="H30" i="37"/>
  <c r="G30" i="37"/>
  <c r="F30" i="37"/>
  <c r="E30" i="37"/>
  <c r="D30" i="37"/>
  <c r="C30" i="37"/>
  <c r="J29" i="37"/>
  <c r="I29" i="37"/>
  <c r="H29" i="37"/>
  <c r="G29" i="37"/>
  <c r="F29" i="37"/>
  <c r="E29" i="37"/>
  <c r="D29" i="37"/>
  <c r="C29" i="37"/>
  <c r="J28" i="37"/>
  <c r="I28" i="37"/>
  <c r="H28" i="37"/>
  <c r="G28" i="37"/>
  <c r="F28" i="37"/>
  <c r="E28" i="37"/>
  <c r="D28" i="37"/>
  <c r="C28" i="37"/>
  <c r="K25" i="37" s="1"/>
  <c r="J27" i="37"/>
  <c r="I27" i="37"/>
  <c r="H27" i="37"/>
  <c r="G27" i="37"/>
  <c r="F27" i="37"/>
  <c r="E27" i="37"/>
  <c r="D27" i="37"/>
  <c r="C27" i="37"/>
  <c r="J22" i="37"/>
  <c r="I22" i="37"/>
  <c r="H22" i="37"/>
  <c r="G22" i="37"/>
  <c r="F22" i="37"/>
  <c r="E22" i="37"/>
  <c r="D22" i="37"/>
  <c r="C22" i="37"/>
  <c r="J20" i="37"/>
  <c r="I20" i="37"/>
  <c r="H20" i="37"/>
  <c r="G20" i="37"/>
  <c r="F20" i="37"/>
  <c r="E20" i="37"/>
  <c r="D20" i="37"/>
  <c r="C20" i="37"/>
  <c r="J19" i="37"/>
  <c r="I19" i="37"/>
  <c r="H19" i="37"/>
  <c r="G19" i="37"/>
  <c r="F19" i="37"/>
  <c r="E19" i="37"/>
  <c r="D19" i="37"/>
  <c r="C19" i="37"/>
  <c r="J18" i="37"/>
  <c r="I18" i="37"/>
  <c r="H18" i="37"/>
  <c r="G18" i="37"/>
  <c r="F18" i="37"/>
  <c r="E18" i="37"/>
  <c r="D18" i="37"/>
  <c r="C18" i="37"/>
  <c r="J17" i="37"/>
  <c r="I17" i="37"/>
  <c r="H17" i="37"/>
  <c r="G17" i="37"/>
  <c r="F17" i="37"/>
  <c r="E17" i="37"/>
  <c r="D17" i="37"/>
  <c r="C17" i="37"/>
  <c r="J15" i="37"/>
  <c r="I15" i="37"/>
  <c r="H15" i="37"/>
  <c r="G15" i="37"/>
  <c r="F15" i="37"/>
  <c r="E15" i="37"/>
  <c r="D15" i="37"/>
  <c r="C15" i="37"/>
  <c r="J14" i="37"/>
  <c r="I14" i="37"/>
  <c r="H14" i="37"/>
  <c r="G14" i="37"/>
  <c r="F14" i="37"/>
  <c r="E14" i="37"/>
  <c r="D14" i="37"/>
  <c r="C14" i="37"/>
  <c r="J13" i="37"/>
  <c r="I13" i="37"/>
  <c r="H13" i="37"/>
  <c r="G13" i="37"/>
  <c r="F13" i="37"/>
  <c r="E13" i="37"/>
  <c r="D13" i="37"/>
  <c r="C13" i="37"/>
  <c r="J12" i="37"/>
  <c r="I12" i="37"/>
  <c r="H12" i="37"/>
  <c r="G12" i="37"/>
  <c r="F12" i="37"/>
  <c r="E12" i="37"/>
  <c r="D12" i="37"/>
  <c r="C12" i="37"/>
  <c r="J11" i="37"/>
  <c r="I11" i="37"/>
  <c r="H11" i="37"/>
  <c r="G11" i="37"/>
  <c r="F11" i="37"/>
  <c r="E11" i="37"/>
  <c r="D11" i="37"/>
  <c r="C11" i="37"/>
  <c r="J10" i="37"/>
  <c r="I10" i="37"/>
  <c r="H10" i="37"/>
  <c r="G10" i="37"/>
  <c r="F10" i="37"/>
  <c r="E10" i="37"/>
  <c r="D10" i="37"/>
  <c r="C10" i="37"/>
  <c r="J9" i="37"/>
  <c r="I9" i="37"/>
  <c r="H9" i="37"/>
  <c r="G9" i="37"/>
  <c r="F9" i="37"/>
  <c r="E9" i="37"/>
  <c r="D9" i="37"/>
  <c r="C9" i="37"/>
  <c r="J45" i="36"/>
  <c r="I45" i="36"/>
  <c r="H45" i="36"/>
  <c r="G45" i="36"/>
  <c r="F45" i="36"/>
  <c r="E45" i="36"/>
  <c r="D45" i="36"/>
  <c r="C45" i="36"/>
  <c r="J42" i="36"/>
  <c r="I42" i="36"/>
  <c r="H42" i="36"/>
  <c r="G42" i="36"/>
  <c r="F42" i="36"/>
  <c r="E42" i="36"/>
  <c r="D42" i="36"/>
  <c r="C42" i="36"/>
  <c r="J41" i="36"/>
  <c r="I41" i="36"/>
  <c r="H41" i="36"/>
  <c r="G41" i="36"/>
  <c r="F41" i="36"/>
  <c r="E41" i="36"/>
  <c r="D41" i="36"/>
  <c r="C41" i="36"/>
  <c r="J39" i="36"/>
  <c r="I39" i="36"/>
  <c r="H39" i="36"/>
  <c r="G39" i="36"/>
  <c r="F39" i="36"/>
  <c r="E39" i="36"/>
  <c r="D39" i="36"/>
  <c r="C39" i="36"/>
  <c r="J38" i="36"/>
  <c r="I38" i="36"/>
  <c r="H38" i="36"/>
  <c r="G38" i="36"/>
  <c r="F38" i="36"/>
  <c r="E38" i="36"/>
  <c r="D38" i="36"/>
  <c r="C38" i="36"/>
  <c r="J37" i="36"/>
  <c r="I37" i="36"/>
  <c r="H37" i="36"/>
  <c r="G37" i="36"/>
  <c r="F37" i="36"/>
  <c r="E37" i="36"/>
  <c r="D37" i="36"/>
  <c r="C37" i="36"/>
  <c r="J36" i="36"/>
  <c r="I36" i="36"/>
  <c r="H36" i="36"/>
  <c r="G36" i="36"/>
  <c r="F36" i="36"/>
  <c r="E36" i="36"/>
  <c r="D36" i="36"/>
  <c r="C36" i="36"/>
  <c r="J35" i="36"/>
  <c r="I35" i="36"/>
  <c r="H35" i="36"/>
  <c r="G35" i="36"/>
  <c r="F35" i="36"/>
  <c r="E35" i="36"/>
  <c r="D35" i="36"/>
  <c r="C35" i="36"/>
  <c r="J33" i="36"/>
  <c r="I33" i="36"/>
  <c r="H33" i="36"/>
  <c r="G33" i="36"/>
  <c r="F33" i="36"/>
  <c r="E33" i="36"/>
  <c r="D33" i="36"/>
  <c r="C33" i="36"/>
  <c r="J32" i="36"/>
  <c r="I32" i="36"/>
  <c r="H32" i="36"/>
  <c r="G32" i="36"/>
  <c r="F32" i="36"/>
  <c r="E32" i="36"/>
  <c r="D32" i="36"/>
  <c r="C32" i="36"/>
  <c r="J30" i="36"/>
  <c r="I30" i="36"/>
  <c r="H30" i="36"/>
  <c r="G30" i="36"/>
  <c r="F30" i="36"/>
  <c r="E30" i="36"/>
  <c r="D30" i="36"/>
  <c r="C30" i="36"/>
  <c r="J29" i="36"/>
  <c r="I29" i="36"/>
  <c r="H29" i="36"/>
  <c r="G29" i="36"/>
  <c r="F29" i="36"/>
  <c r="E29" i="36"/>
  <c r="D29" i="36"/>
  <c r="C29" i="36"/>
  <c r="J28" i="36"/>
  <c r="I28" i="36"/>
  <c r="H28" i="36"/>
  <c r="G28" i="36"/>
  <c r="F28" i="36"/>
  <c r="E28" i="36"/>
  <c r="D28" i="36"/>
  <c r="C28" i="36"/>
  <c r="J27" i="36"/>
  <c r="I27" i="36"/>
  <c r="H27" i="36"/>
  <c r="G27" i="36"/>
  <c r="F27" i="36"/>
  <c r="E27" i="36"/>
  <c r="D27" i="36"/>
  <c r="C27" i="36"/>
  <c r="J26" i="36"/>
  <c r="I26" i="36"/>
  <c r="H26" i="36"/>
  <c r="G26" i="36"/>
  <c r="F26" i="36"/>
  <c r="E26" i="36"/>
  <c r="D26" i="36"/>
  <c r="C26" i="36"/>
  <c r="J25" i="36"/>
  <c r="I25" i="36"/>
  <c r="H25" i="36"/>
  <c r="G25" i="36"/>
  <c r="F25" i="36"/>
  <c r="E25" i="36"/>
  <c r="D25" i="36"/>
  <c r="C25" i="36"/>
  <c r="J22" i="36"/>
  <c r="I22" i="36"/>
  <c r="H22" i="36"/>
  <c r="G22" i="36"/>
  <c r="F22" i="36"/>
  <c r="E22" i="36"/>
  <c r="D22" i="36"/>
  <c r="C22" i="36"/>
  <c r="J20" i="36"/>
  <c r="I20" i="36"/>
  <c r="H20" i="36"/>
  <c r="G20" i="36"/>
  <c r="F20" i="36"/>
  <c r="E20" i="36"/>
  <c r="D20" i="36"/>
  <c r="C20" i="36"/>
  <c r="J19" i="36"/>
  <c r="I19" i="36"/>
  <c r="H19" i="36"/>
  <c r="G19" i="36"/>
  <c r="F19" i="36"/>
  <c r="E19" i="36"/>
  <c r="D19" i="36"/>
  <c r="C19" i="36"/>
  <c r="J16" i="36"/>
  <c r="I16" i="36"/>
  <c r="H16" i="36"/>
  <c r="G16" i="36"/>
  <c r="F16" i="36"/>
  <c r="E16" i="36"/>
  <c r="D16" i="36"/>
  <c r="C16" i="36"/>
  <c r="J15" i="36"/>
  <c r="I15" i="36"/>
  <c r="H15" i="36"/>
  <c r="G15" i="36"/>
  <c r="F15" i="36"/>
  <c r="E15" i="36"/>
  <c r="D15" i="36"/>
  <c r="C15" i="36"/>
  <c r="J14" i="36"/>
  <c r="I14" i="36"/>
  <c r="H14" i="36"/>
  <c r="G14" i="36"/>
  <c r="F14" i="36"/>
  <c r="E14" i="36"/>
  <c r="D14" i="36"/>
  <c r="C14" i="36"/>
  <c r="J10" i="36"/>
  <c r="I10" i="36"/>
  <c r="H10" i="36"/>
  <c r="G10" i="36"/>
  <c r="F10" i="36"/>
  <c r="E10" i="36"/>
  <c r="D10" i="36"/>
  <c r="C10" i="36"/>
  <c r="J8" i="36"/>
  <c r="I8" i="36"/>
  <c r="H8" i="36"/>
  <c r="G8" i="36"/>
  <c r="F8" i="36"/>
  <c r="N8" i="36" s="1"/>
  <c r="E8" i="36"/>
  <c r="D8" i="36"/>
  <c r="C8" i="36"/>
  <c r="J7" i="36"/>
  <c r="I7" i="36"/>
  <c r="H7" i="36"/>
  <c r="G7" i="36"/>
  <c r="F7" i="36"/>
  <c r="C7" i="36"/>
  <c r="J6" i="36"/>
  <c r="I6" i="36"/>
  <c r="H6" i="36"/>
  <c r="G6" i="36"/>
  <c r="F6" i="36"/>
  <c r="E6" i="36"/>
  <c r="D6" i="36"/>
  <c r="C6" i="36"/>
  <c r="K44" i="37"/>
  <c r="M3" i="37"/>
  <c r="B3" i="37"/>
  <c r="B3" i="36"/>
  <c r="S19" i="17"/>
  <c r="W19" i="17" s="1"/>
  <c r="D16" i="1"/>
  <c r="C34" i="36" l="1"/>
  <c r="D34" i="36"/>
  <c r="J48" i="37"/>
  <c r="C57" i="37"/>
  <c r="M42" i="36"/>
  <c r="N42" i="36" s="1"/>
  <c r="M39" i="37"/>
  <c r="D54" i="37"/>
  <c r="E54" i="37"/>
  <c r="D45" i="37"/>
  <c r="D24" i="37"/>
  <c r="H24" i="37"/>
  <c r="I24" i="37"/>
  <c r="D51" i="37"/>
  <c r="H54" i="37"/>
  <c r="F51" i="37"/>
  <c r="J54" i="37"/>
  <c r="C51" i="37"/>
  <c r="C48" i="37"/>
  <c r="D48" i="37"/>
  <c r="E48" i="37"/>
  <c r="I51" i="37"/>
  <c r="F48" i="37"/>
  <c r="J51" i="37"/>
  <c r="F24" i="37"/>
  <c r="G24" i="37"/>
  <c r="J45" i="37"/>
  <c r="I45" i="37"/>
  <c r="F45" i="37"/>
  <c r="C54" i="37"/>
  <c r="M22" i="37"/>
  <c r="J24" i="37"/>
  <c r="C24" i="37"/>
  <c r="M14" i="36"/>
  <c r="N14" i="36" s="1"/>
  <c r="M42" i="37"/>
  <c r="M25" i="36"/>
  <c r="N25" i="36" s="1"/>
  <c r="E24" i="37"/>
  <c r="H34" i="36"/>
  <c r="I54" i="37"/>
  <c r="C7" i="16"/>
  <c r="M32" i="36"/>
  <c r="N32" i="36" s="1"/>
  <c r="M33" i="36"/>
  <c r="N33" i="36" s="1"/>
  <c r="E8" i="37"/>
  <c r="I8" i="37"/>
  <c r="G45" i="37"/>
  <c r="G48" i="37"/>
  <c r="G51" i="37"/>
  <c r="G54" i="37"/>
  <c r="F9" i="36"/>
  <c r="I16" i="37"/>
  <c r="G16" i="37"/>
  <c r="E9" i="36"/>
  <c r="F54" i="37"/>
  <c r="G8" i="37"/>
  <c r="X19" i="17"/>
  <c r="G9" i="36"/>
  <c r="I9" i="36"/>
  <c r="J9" i="36"/>
  <c r="H57" i="37"/>
  <c r="H9" i="36"/>
  <c r="D9" i="36"/>
  <c r="M10" i="36"/>
  <c r="N10" i="36" s="1"/>
  <c r="C9" i="36"/>
  <c r="C47" i="36" s="1"/>
  <c r="C8" i="37"/>
  <c r="M27" i="36"/>
  <c r="N27" i="36" s="1"/>
  <c r="M22" i="36"/>
  <c r="N22" i="36" s="1"/>
  <c r="M26" i="36"/>
  <c r="N26" i="36" s="1"/>
  <c r="M29" i="36"/>
  <c r="N29" i="36" s="1"/>
  <c r="M30" i="36"/>
  <c r="N30" i="36" s="1"/>
  <c r="H51" i="37"/>
  <c r="D57" i="37"/>
  <c r="M27" i="37"/>
  <c r="M28" i="37"/>
  <c r="M29" i="37"/>
  <c r="M30" i="37"/>
  <c r="M32" i="37"/>
  <c r="M33" i="37"/>
  <c r="F57" i="37"/>
  <c r="C16" i="37"/>
  <c r="M15" i="36"/>
  <c r="N15" i="36" s="1"/>
  <c r="D38" i="16"/>
  <c r="M28" i="36"/>
  <c r="N28" i="36" s="1"/>
  <c r="M16" i="36"/>
  <c r="N16" i="36" s="1"/>
  <c r="I48" i="37"/>
  <c r="G57" i="37"/>
  <c r="E51" i="37"/>
  <c r="I57" i="37"/>
  <c r="J57" i="37"/>
  <c r="K10" i="37"/>
  <c r="K14" i="37"/>
  <c r="K17" i="37"/>
  <c r="K30" i="37"/>
  <c r="K32" i="37"/>
  <c r="K37" i="37"/>
  <c r="M37" i="37" s="1"/>
  <c r="K39" i="37"/>
  <c r="K47" i="37"/>
  <c r="K58" i="37"/>
  <c r="E45" i="37"/>
  <c r="K59" i="37"/>
  <c r="E57" i="37"/>
  <c r="K28" i="37"/>
  <c r="K52" i="37"/>
  <c r="K29" i="37"/>
  <c r="K31" i="37"/>
  <c r="M31" i="37" s="1"/>
  <c r="K33" i="37"/>
  <c r="K38" i="37"/>
  <c r="M38" i="37" s="1"/>
  <c r="E34" i="36"/>
  <c r="M34" i="36" s="1"/>
  <c r="K55" i="37"/>
  <c r="K34" i="37"/>
  <c r="K40" i="36"/>
  <c r="K22" i="37"/>
  <c r="K18" i="37"/>
  <c r="K19" i="37"/>
  <c r="K42" i="36"/>
  <c r="K35" i="36"/>
  <c r="E16" i="37"/>
  <c r="K20" i="37"/>
  <c r="K12" i="37"/>
  <c r="K13" i="37"/>
  <c r="K11" i="37"/>
  <c r="K9" i="37"/>
  <c r="K26" i="36"/>
  <c r="K50" i="37"/>
  <c r="K53" i="37"/>
  <c r="K56" i="37"/>
  <c r="K33" i="36"/>
  <c r="K6" i="36"/>
  <c r="M6" i="36" s="1"/>
  <c r="K25" i="36"/>
  <c r="K20" i="36"/>
  <c r="K22" i="36"/>
  <c r="K36" i="36"/>
  <c r="K38" i="36"/>
  <c r="K41" i="36"/>
  <c r="K32" i="36"/>
  <c r="K37" i="36"/>
  <c r="K39" i="36"/>
  <c r="K19" i="36"/>
  <c r="M19" i="36" s="1"/>
  <c r="K10" i="36"/>
  <c r="G34" i="36"/>
  <c r="K45" i="36"/>
  <c r="K28" i="36"/>
  <c r="K29" i="36"/>
  <c r="K30" i="36"/>
  <c r="K16" i="36"/>
  <c r="K8" i="36"/>
  <c r="K14" i="36"/>
  <c r="K15" i="36"/>
  <c r="K27" i="36"/>
  <c r="F34" i="36"/>
  <c r="J34" i="36"/>
  <c r="I34" i="36"/>
  <c r="K27" i="37"/>
  <c r="F16" i="37"/>
  <c r="H16" i="37"/>
  <c r="J16" i="37"/>
  <c r="K49" i="37"/>
  <c r="K15" i="37"/>
  <c r="D16" i="37"/>
  <c r="K42" i="37"/>
  <c r="F8" i="37"/>
  <c r="H8" i="37"/>
  <c r="J8" i="37"/>
  <c r="D8" i="37"/>
  <c r="C53" i="18"/>
  <c r="J47" i="36" l="1"/>
  <c r="G47" i="36"/>
  <c r="N47" i="36"/>
  <c r="P59" i="36" s="1"/>
  <c r="I47" i="36"/>
  <c r="F47" i="36"/>
  <c r="H47" i="36"/>
  <c r="I21" i="37"/>
  <c r="I43" i="37" s="1"/>
  <c r="N34" i="36"/>
  <c r="K48" i="37"/>
  <c r="E21" i="37"/>
  <c r="E43" i="37" s="1"/>
  <c r="K54" i="37"/>
  <c r="K51" i="37"/>
  <c r="G21" i="37"/>
  <c r="G43" i="37" s="1"/>
  <c r="N19" i="36"/>
  <c r="C21" i="37"/>
  <c r="C43" i="37" s="1"/>
  <c r="N6" i="36"/>
  <c r="M20" i="36"/>
  <c r="N20" i="36" s="1"/>
  <c r="M35" i="36"/>
  <c r="N35" i="36" s="1"/>
  <c r="K57" i="37"/>
  <c r="K24" i="37"/>
  <c r="K17" i="36"/>
  <c r="K16" i="37"/>
  <c r="K34" i="36"/>
  <c r="K9" i="36"/>
  <c r="J21" i="37"/>
  <c r="J43" i="37" s="1"/>
  <c r="F21" i="37"/>
  <c r="F43" i="37" s="1"/>
  <c r="H21" i="37"/>
  <c r="H43" i="37" s="1"/>
  <c r="D21" i="37"/>
  <c r="D43" i="37" s="1"/>
  <c r="K8" i="37"/>
  <c r="U58" i="18"/>
  <c r="S58" i="18"/>
  <c r="U57" i="18"/>
  <c r="S57" i="18"/>
  <c r="U55" i="18"/>
  <c r="S55" i="18"/>
  <c r="U54" i="18"/>
  <c r="S54" i="18"/>
  <c r="U52" i="18"/>
  <c r="S52" i="18"/>
  <c r="U51" i="18"/>
  <c r="S51" i="18"/>
  <c r="U49" i="18"/>
  <c r="S49" i="18"/>
  <c r="U48" i="18"/>
  <c r="S48" i="18"/>
  <c r="U46" i="18"/>
  <c r="S46" i="18"/>
  <c r="U43" i="18"/>
  <c r="S43" i="18"/>
  <c r="U41" i="18"/>
  <c r="S41" i="18"/>
  <c r="U38" i="18"/>
  <c r="S38" i="18"/>
  <c r="U37" i="18"/>
  <c r="X37" i="18" s="1"/>
  <c r="S37" i="18"/>
  <c r="W37" i="18" s="1"/>
  <c r="U36" i="18"/>
  <c r="X36" i="18" s="1"/>
  <c r="S36" i="18"/>
  <c r="W36" i="18" s="1"/>
  <c r="U33" i="18"/>
  <c r="S33" i="18"/>
  <c r="U32" i="18"/>
  <c r="S32" i="18"/>
  <c r="U31" i="18"/>
  <c r="S31" i="18"/>
  <c r="U30" i="18"/>
  <c r="X30" i="18" s="1"/>
  <c r="W30" i="18" s="1"/>
  <c r="S30" i="18"/>
  <c r="U29" i="18"/>
  <c r="S29" i="18"/>
  <c r="U28" i="18"/>
  <c r="S28" i="18"/>
  <c r="U27" i="18"/>
  <c r="S27" i="18"/>
  <c r="U26" i="18"/>
  <c r="S26" i="18"/>
  <c r="U21" i="18"/>
  <c r="S21" i="18"/>
  <c r="U19" i="18"/>
  <c r="S19" i="18"/>
  <c r="U18" i="18"/>
  <c r="S18" i="18"/>
  <c r="U17" i="18"/>
  <c r="S17" i="18"/>
  <c r="U16" i="18"/>
  <c r="S16" i="18"/>
  <c r="U14" i="18"/>
  <c r="S14" i="18"/>
  <c r="U13" i="18"/>
  <c r="S13" i="18"/>
  <c r="U12" i="18"/>
  <c r="G20" i="14" s="1"/>
  <c r="S12" i="18"/>
  <c r="U11" i="18"/>
  <c r="S11" i="18"/>
  <c r="U10" i="18"/>
  <c r="S10" i="18"/>
  <c r="U9" i="18"/>
  <c r="S9" i="18"/>
  <c r="U8" i="18"/>
  <c r="S8" i="18"/>
  <c r="U45" i="17"/>
  <c r="S45" i="17"/>
  <c r="U42" i="17"/>
  <c r="S42" i="17"/>
  <c r="U41" i="17"/>
  <c r="S41" i="17"/>
  <c r="U40" i="17"/>
  <c r="S40" i="17"/>
  <c r="U39" i="17"/>
  <c r="S39" i="17"/>
  <c r="U38" i="17"/>
  <c r="S38" i="17"/>
  <c r="U37" i="17"/>
  <c r="S37" i="17"/>
  <c r="U36" i="17"/>
  <c r="S36" i="17"/>
  <c r="U35" i="17"/>
  <c r="E14" i="16" s="1"/>
  <c r="S35" i="17"/>
  <c r="C14" i="16" s="1"/>
  <c r="U33" i="17"/>
  <c r="S33" i="17"/>
  <c r="U32" i="17"/>
  <c r="S32" i="17"/>
  <c r="U30" i="17"/>
  <c r="S30" i="17"/>
  <c r="U29" i="17"/>
  <c r="S29" i="17"/>
  <c r="U28" i="17"/>
  <c r="S28" i="17"/>
  <c r="U27" i="17"/>
  <c r="S27" i="17"/>
  <c r="U26" i="17"/>
  <c r="S26" i="17"/>
  <c r="U25" i="17"/>
  <c r="S25" i="17"/>
  <c r="U22" i="17"/>
  <c r="S22" i="17"/>
  <c r="U20" i="17"/>
  <c r="S20" i="17"/>
  <c r="U19" i="17"/>
  <c r="Y19" i="17" s="1"/>
  <c r="U16" i="17"/>
  <c r="S16" i="17"/>
  <c r="U15" i="17"/>
  <c r="S15" i="17"/>
  <c r="U14" i="17"/>
  <c r="S14" i="17"/>
  <c r="U10" i="17"/>
  <c r="S10" i="17"/>
  <c r="U8" i="17"/>
  <c r="S8" i="17"/>
  <c r="U6" i="17"/>
  <c r="S6" i="17"/>
  <c r="E58" i="1" l="1"/>
  <c r="C58" i="1"/>
  <c r="E20" i="14"/>
  <c r="E7" i="16"/>
  <c r="D32" i="16"/>
  <c r="C27" i="1"/>
  <c r="E27" i="1"/>
  <c r="W6" i="17"/>
  <c r="X6" i="17" s="1"/>
  <c r="C5" i="16"/>
  <c r="E5" i="16"/>
  <c r="Y6" i="17"/>
  <c r="Z6" i="17" s="1"/>
  <c r="Z19" i="17"/>
  <c r="Y20" i="17"/>
  <c r="Z20" i="17" s="1"/>
  <c r="W20" i="17"/>
  <c r="X20" i="17" s="1"/>
  <c r="Y22" i="17"/>
  <c r="Z22" i="17" s="1"/>
  <c r="Y35" i="17"/>
  <c r="Z35" i="17" s="1"/>
  <c r="W22" i="17"/>
  <c r="X22" i="17" s="1"/>
  <c r="W35" i="17"/>
  <c r="X35" i="17" s="1"/>
  <c r="T19" i="17"/>
  <c r="D7" i="16" s="1"/>
  <c r="C11" i="16"/>
  <c r="E11" i="16"/>
  <c r="T54" i="18"/>
  <c r="T49" i="18"/>
  <c r="T51" i="18"/>
  <c r="T57" i="18"/>
  <c r="T48" i="18"/>
  <c r="T43" i="18"/>
  <c r="T46" i="18"/>
  <c r="D33" i="16"/>
  <c r="T45" i="17"/>
  <c r="T14" i="18"/>
  <c r="T21" i="18"/>
  <c r="T16" i="18"/>
  <c r="T18" i="18"/>
  <c r="T26" i="18"/>
  <c r="T28" i="18"/>
  <c r="T29" i="18"/>
  <c r="T31" i="18"/>
  <c r="T33" i="18"/>
  <c r="T37" i="18"/>
  <c r="T27" i="18"/>
  <c r="T30" i="18"/>
  <c r="T36" i="18"/>
  <c r="T38" i="18"/>
  <c r="T8" i="17"/>
  <c r="T36" i="17"/>
  <c r="T38" i="17"/>
  <c r="T40" i="17"/>
  <c r="T42" i="17"/>
  <c r="T20" i="17"/>
  <c r="D11" i="16" s="1"/>
  <c r="T25" i="17"/>
  <c r="T29" i="17"/>
  <c r="T16" i="17"/>
  <c r="T19" i="18"/>
  <c r="T11" i="18"/>
  <c r="T13" i="18"/>
  <c r="T41" i="18"/>
  <c r="D34" i="16"/>
  <c r="K21" i="37"/>
  <c r="K43" i="37" s="1"/>
  <c r="T55" i="18"/>
  <c r="T22" i="17"/>
  <c r="T27" i="17"/>
  <c r="T28" i="17"/>
  <c r="T12" i="18"/>
  <c r="D51" i="1" s="1"/>
  <c r="T10" i="18"/>
  <c r="T8" i="18"/>
  <c r="T39" i="17"/>
  <c r="T9" i="18"/>
  <c r="T17" i="18"/>
  <c r="T14" i="17"/>
  <c r="T35" i="17"/>
  <c r="D14" i="16" s="1"/>
  <c r="T32" i="18"/>
  <c r="T52" i="18"/>
  <c r="T58" i="18"/>
  <c r="T15" i="17"/>
  <c r="T26" i="17"/>
  <c r="T30" i="17"/>
  <c r="T32" i="17"/>
  <c r="T33" i="17"/>
  <c r="T37" i="17"/>
  <c r="T41" i="17"/>
  <c r="T10" i="17"/>
  <c r="F56" i="18"/>
  <c r="E56" i="18"/>
  <c r="F53" i="18"/>
  <c r="E53" i="18"/>
  <c r="F50" i="18"/>
  <c r="E50" i="18"/>
  <c r="F47" i="18"/>
  <c r="E47" i="18"/>
  <c r="F44" i="18"/>
  <c r="E44" i="18"/>
  <c r="F15" i="18"/>
  <c r="E15" i="18"/>
  <c r="F7" i="18"/>
  <c r="E7" i="18"/>
  <c r="D58" i="1" l="1"/>
  <c r="F20" i="14"/>
  <c r="M21" i="37"/>
  <c r="M43" i="37" s="1"/>
  <c r="D27" i="1"/>
  <c r="F20" i="18"/>
  <c r="F42" i="18" s="1"/>
  <c r="F62" i="18" s="1"/>
  <c r="F63" i="18" s="1"/>
  <c r="E20" i="18"/>
  <c r="E42" i="18" s="1"/>
  <c r="E62" i="18" s="1"/>
  <c r="E63" i="18" s="1"/>
  <c r="R44" i="18" l="1"/>
  <c r="Q44" i="18"/>
  <c r="P44" i="18"/>
  <c r="O44" i="18"/>
  <c r="N44" i="18"/>
  <c r="M44" i="18"/>
  <c r="L44" i="18"/>
  <c r="K44" i="18"/>
  <c r="J44" i="18"/>
  <c r="I44" i="18"/>
  <c r="H44" i="18"/>
  <c r="G44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D47" i="18"/>
  <c r="C47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D50" i="18"/>
  <c r="C50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D53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D56" i="18"/>
  <c r="C56" i="18"/>
  <c r="S53" i="18" l="1"/>
  <c r="U56" i="18"/>
  <c r="U50" i="18"/>
  <c r="S47" i="18"/>
  <c r="S56" i="18"/>
  <c r="S50" i="18"/>
  <c r="U53" i="18"/>
  <c r="U47" i="18"/>
  <c r="C56" i="1"/>
  <c r="T53" i="18" l="1"/>
  <c r="T56" i="18"/>
  <c r="T47" i="18"/>
  <c r="T50" i="18"/>
  <c r="E41" i="16"/>
  <c r="D10" i="19"/>
  <c r="AB53" i="17" l="1"/>
  <c r="AE53" i="17" s="1"/>
  <c r="D41" i="16"/>
  <c r="C10" i="19"/>
  <c r="D26" i="19"/>
  <c r="C41" i="16" l="1"/>
  <c r="C26" i="19"/>
  <c r="AA53" i="17"/>
  <c r="AD53" i="17" s="1"/>
  <c r="Y34" i="17"/>
  <c r="Z34" i="17" s="1"/>
  <c r="P64" i="36"/>
  <c r="P63" i="36" s="1"/>
  <c r="D27" i="16" s="1"/>
  <c r="J56" i="1" l="1"/>
  <c r="C8" i="1"/>
  <c r="J67" i="1"/>
  <c r="U23" i="18" l="1"/>
  <c r="S23" i="18"/>
  <c r="T23" i="18" l="1"/>
  <c r="W34" i="17"/>
  <c r="X34" i="17" s="1"/>
  <c r="E60" i="1" l="1"/>
  <c r="C60" i="1"/>
  <c r="C54" i="1"/>
  <c r="E53" i="1"/>
  <c r="C53" i="1"/>
  <c r="C52" i="1"/>
  <c r="C35" i="1"/>
  <c r="C30" i="1"/>
  <c r="E2" i="19"/>
  <c r="E2" i="15"/>
  <c r="E51" i="1" l="1"/>
  <c r="C24" i="1"/>
  <c r="D60" i="1"/>
  <c r="J60" i="1" s="1"/>
  <c r="J32" i="1"/>
  <c r="D53" i="1"/>
  <c r="B2" i="14"/>
  <c r="T6" i="17" l="1"/>
  <c r="D5" i="16" l="1"/>
  <c r="J73" i="1"/>
  <c r="J70" i="1"/>
  <c r="J69" i="1"/>
  <c r="E20" i="1"/>
  <c r="D20" i="1"/>
  <c r="E16" i="1"/>
  <c r="S9" i="17" l="1"/>
  <c r="U9" i="17"/>
  <c r="E35" i="1"/>
  <c r="E30" i="1"/>
  <c r="E54" i="1"/>
  <c r="D54" i="1"/>
  <c r="E52" i="1"/>
  <c r="D52" i="1"/>
  <c r="E7" i="36" l="1"/>
  <c r="E47" i="36" s="1"/>
  <c r="S7" i="17"/>
  <c r="D7" i="36"/>
  <c r="D47" i="36" s="1"/>
  <c r="U7" i="17"/>
  <c r="E7" i="1"/>
  <c r="T9" i="17"/>
  <c r="D7" i="1" s="1"/>
  <c r="J52" i="1"/>
  <c r="C7" i="1"/>
  <c r="J54" i="1"/>
  <c r="J53" i="1"/>
  <c r="J27" i="1"/>
  <c r="D35" i="1"/>
  <c r="J35" i="1" s="1"/>
  <c r="E24" i="1"/>
  <c r="D24" i="1"/>
  <c r="D30" i="1"/>
  <c r="J30" i="1" s="1"/>
  <c r="W7" i="17" l="1"/>
  <c r="X7" i="17" s="1"/>
  <c r="C52" i="16"/>
  <c r="C6" i="16"/>
  <c r="E6" i="16"/>
  <c r="T7" i="17"/>
  <c r="E52" i="16"/>
  <c r="Y7" i="17"/>
  <c r="Z7" i="17" s="1"/>
  <c r="Z64" i="17" s="1"/>
  <c r="E6" i="1"/>
  <c r="K7" i="36"/>
  <c r="M7" i="36" s="1"/>
  <c r="M47" i="36" s="1"/>
  <c r="K47" i="36"/>
  <c r="J24" i="1"/>
  <c r="B38" i="15"/>
  <c r="B14" i="15"/>
  <c r="R15" i="18"/>
  <c r="Q15" i="18"/>
  <c r="P15" i="18"/>
  <c r="O15" i="18"/>
  <c r="N15" i="18"/>
  <c r="M15" i="18"/>
  <c r="L15" i="18"/>
  <c r="K15" i="18"/>
  <c r="J15" i="18"/>
  <c r="I15" i="18"/>
  <c r="H15" i="18"/>
  <c r="G15" i="18"/>
  <c r="D15" i="18"/>
  <c r="C15" i="18"/>
  <c r="C62" i="1"/>
  <c r="J62" i="1" s="1"/>
  <c r="C76" i="1"/>
  <c r="C16" i="16" l="1"/>
  <c r="C25" i="16" s="1"/>
  <c r="E16" i="16"/>
  <c r="E19" i="16" s="1"/>
  <c r="C36" i="16"/>
  <c r="E36" i="16"/>
  <c r="N7" i="36"/>
  <c r="P60" i="36" s="1"/>
  <c r="D52" i="16"/>
  <c r="D6" i="16"/>
  <c r="D6" i="1"/>
  <c r="J76" i="1"/>
  <c r="S47" i="17"/>
  <c r="Z68" i="17"/>
  <c r="U15" i="18"/>
  <c r="S15" i="18"/>
  <c r="U17" i="17"/>
  <c r="S34" i="17"/>
  <c r="U34" i="17"/>
  <c r="E21" i="1" s="1"/>
  <c r="C22" i="16" l="1"/>
  <c r="C19" i="16"/>
  <c r="D16" i="16"/>
  <c r="D25" i="16" s="1"/>
  <c r="E22" i="16"/>
  <c r="E25" i="16"/>
  <c r="D36" i="16"/>
  <c r="T15" i="18"/>
  <c r="T34" i="17"/>
  <c r="U47" i="17"/>
  <c r="C37" i="15"/>
  <c r="B6" i="15"/>
  <c r="B5" i="15"/>
  <c r="C26" i="15"/>
  <c r="C29" i="15" s="1"/>
  <c r="D10" i="1" s="1"/>
  <c r="D19" i="16" l="1"/>
  <c r="D22" i="16"/>
  <c r="H47" i="1"/>
  <c r="C39" i="15"/>
  <c r="D51" i="16" s="1"/>
  <c r="D18" i="1"/>
  <c r="D11" i="1"/>
  <c r="D17" i="1"/>
  <c r="D15" i="1"/>
  <c r="D60" i="16" l="1"/>
  <c r="D14" i="1"/>
  <c r="D31" i="16" l="1"/>
  <c r="E31" i="16" l="1"/>
  <c r="J68" i="1"/>
  <c r="C59" i="1"/>
  <c r="J59" i="1" s="1"/>
  <c r="C44" i="1"/>
  <c r="J44" i="1" s="1"/>
  <c r="C34" i="1"/>
  <c r="J34" i="1" s="1"/>
  <c r="C33" i="1"/>
  <c r="J33" i="1" s="1"/>
  <c r="C38" i="1"/>
  <c r="J38" i="1" s="1"/>
  <c r="C37" i="1"/>
  <c r="J37" i="1" s="1"/>
  <c r="C36" i="1"/>
  <c r="J36" i="1" s="1"/>
  <c r="E31" i="1"/>
  <c r="C29" i="1"/>
  <c r="J29" i="1" s="1"/>
  <c r="C23" i="1"/>
  <c r="J23" i="1" s="1"/>
  <c r="C22" i="1"/>
  <c r="J22" i="1" s="1"/>
  <c r="C25" i="1"/>
  <c r="J8" i="1"/>
  <c r="J13" i="1"/>
  <c r="J25" i="1" l="1"/>
  <c r="D31" i="1"/>
  <c r="D11" i="14" l="1"/>
  <c r="D20" i="14"/>
  <c r="G21" i="14" s="1"/>
  <c r="D37" i="15"/>
  <c r="D26" i="15"/>
  <c r="D12" i="15"/>
  <c r="P7" i="18"/>
  <c r="P20" i="18" s="1"/>
  <c r="P42" i="18" s="1"/>
  <c r="P62" i="18" s="1"/>
  <c r="P63" i="18" s="1"/>
  <c r="O7" i="18"/>
  <c r="O20" i="18" s="1"/>
  <c r="O42" i="18" s="1"/>
  <c r="O62" i="18" s="1"/>
  <c r="O63" i="18" s="1"/>
  <c r="J7" i="18"/>
  <c r="J20" i="18" s="1"/>
  <c r="J42" i="18" s="1"/>
  <c r="J62" i="18" s="1"/>
  <c r="J63" i="18" s="1"/>
  <c r="I7" i="18"/>
  <c r="I20" i="18" s="1"/>
  <c r="I42" i="18" s="1"/>
  <c r="I62" i="18" s="1"/>
  <c r="I63" i="18" s="1"/>
  <c r="E15" i="1" l="1"/>
  <c r="D39" i="15"/>
  <c r="B39" i="15" s="1"/>
  <c r="B37" i="15"/>
  <c r="E18" i="1"/>
  <c r="D15" i="15"/>
  <c r="B15" i="15" s="1"/>
  <c r="D29" i="15"/>
  <c r="E11" i="1"/>
  <c r="C11" i="1" s="1"/>
  <c r="J11" i="1" s="1"/>
  <c r="E5" i="1"/>
  <c r="B12" i="15"/>
  <c r="D5" i="1"/>
  <c r="B26" i="15"/>
  <c r="D22" i="14"/>
  <c r="R7" i="18"/>
  <c r="R20" i="18" s="1"/>
  <c r="R42" i="18" s="1"/>
  <c r="R62" i="18" s="1"/>
  <c r="R63" i="18" s="1"/>
  <c r="Q7" i="18"/>
  <c r="Q20" i="18" s="1"/>
  <c r="Q42" i="18" s="1"/>
  <c r="Q62" i="18" s="1"/>
  <c r="Q63" i="18" s="1"/>
  <c r="N7" i="18"/>
  <c r="N20" i="18" s="1"/>
  <c r="N42" i="18" s="1"/>
  <c r="N62" i="18" s="1"/>
  <c r="N63" i="18" s="1"/>
  <c r="M7" i="18"/>
  <c r="L7" i="18"/>
  <c r="K7" i="18"/>
  <c r="K20" i="18" s="1"/>
  <c r="K42" i="18" s="1"/>
  <c r="K62" i="18" s="1"/>
  <c r="K63" i="18" s="1"/>
  <c r="H7" i="18"/>
  <c r="H20" i="18" s="1"/>
  <c r="H42" i="18" s="1"/>
  <c r="H62" i="18" s="1"/>
  <c r="H63" i="18" s="1"/>
  <c r="G7" i="18"/>
  <c r="D7" i="18"/>
  <c r="E51" i="16" l="1"/>
  <c r="AA20" i="18"/>
  <c r="E10" i="1"/>
  <c r="B29" i="15"/>
  <c r="E32" i="16"/>
  <c r="C32" i="16"/>
  <c r="E17" i="1"/>
  <c r="U7" i="18"/>
  <c r="G11" i="14" s="1"/>
  <c r="G13" i="14" s="1"/>
  <c r="D20" i="18"/>
  <c r="D42" i="18" s="1"/>
  <c r="D62" i="18" s="1"/>
  <c r="D63" i="18" s="1"/>
  <c r="D64" i="18" s="1"/>
  <c r="F64" i="18" s="1"/>
  <c r="H64" i="18" s="1"/>
  <c r="J64" i="18" s="1"/>
  <c r="C51" i="16"/>
  <c r="E14" i="1"/>
  <c r="L20" i="18"/>
  <c r="L42" i="18" s="1"/>
  <c r="L62" i="18" s="1"/>
  <c r="L63" i="18" s="1"/>
  <c r="G20" i="18"/>
  <c r="G42" i="18" s="1"/>
  <c r="G62" i="18" s="1"/>
  <c r="G63" i="18" s="1"/>
  <c r="M20" i="18"/>
  <c r="M42" i="18" s="1"/>
  <c r="M62" i="18" s="1"/>
  <c r="M63" i="18" s="1"/>
  <c r="L64" i="18" l="1"/>
  <c r="N64" i="18" s="1"/>
  <c r="P64" i="18" s="1"/>
  <c r="R64" i="18" s="1"/>
  <c r="E60" i="16"/>
  <c r="E23" i="16"/>
  <c r="E47" i="1"/>
  <c r="C10" i="1"/>
  <c r="J10" i="1" s="1"/>
  <c r="C60" i="16"/>
  <c r="C17" i="1"/>
  <c r="J17" i="1" s="1"/>
  <c r="E34" i="16"/>
  <c r="U20" i="18"/>
  <c r="E50" i="1"/>
  <c r="E63" i="1" s="1"/>
  <c r="C75" i="1"/>
  <c r="J75" i="1" s="1"/>
  <c r="C74" i="1"/>
  <c r="J74" i="1" s="1"/>
  <c r="C72" i="1"/>
  <c r="C57" i="1"/>
  <c r="J57" i="1" s="1"/>
  <c r="C55" i="1"/>
  <c r="J55" i="1" s="1"/>
  <c r="C45" i="1"/>
  <c r="C43" i="1" s="1"/>
  <c r="C31" i="1"/>
  <c r="J31" i="1" s="1"/>
  <c r="C42" i="1"/>
  <c r="J42" i="1" s="1"/>
  <c r="X20" i="18" l="1"/>
  <c r="W20" i="18" s="1"/>
  <c r="W42" i="18" s="1"/>
  <c r="U42" i="18"/>
  <c r="H63" i="1" s="1"/>
  <c r="C40" i="16"/>
  <c r="E40" i="16"/>
  <c r="E35" i="16" s="1"/>
  <c r="E21" i="16"/>
  <c r="C71" i="1"/>
  <c r="E20" i="16"/>
  <c r="AC47" i="17"/>
  <c r="AC48" i="17" s="1"/>
  <c r="G22" i="14"/>
  <c r="G23" i="14" s="1"/>
  <c r="AA21" i="18"/>
  <c r="E78" i="1"/>
  <c r="AA42" i="18"/>
  <c r="J72" i="1"/>
  <c r="C34" i="16"/>
  <c r="Y61" i="17"/>
  <c r="E33" i="16"/>
  <c r="J43" i="1"/>
  <c r="J45" i="1"/>
  <c r="X42" i="18" l="1"/>
  <c r="Z67" i="17" s="1"/>
  <c r="E27" i="16" s="1"/>
  <c r="D40" i="16"/>
  <c r="E30" i="16"/>
  <c r="E29" i="16" s="1"/>
  <c r="E18" i="16"/>
  <c r="AA43" i="18"/>
  <c r="C77" i="1"/>
  <c r="J71" i="1"/>
  <c r="B2" i="1"/>
  <c r="S17" i="17"/>
  <c r="T17" i="17" s="1"/>
  <c r="A2" i="15"/>
  <c r="C7" i="18"/>
  <c r="E37" i="15"/>
  <c r="E26" i="15"/>
  <c r="C9" i="1"/>
  <c r="E12" i="15"/>
  <c r="C20" i="14"/>
  <c r="C11" i="14"/>
  <c r="J58" i="1"/>
  <c r="B2" i="19"/>
  <c r="B2" i="18"/>
  <c r="C40" i="1"/>
  <c r="J40" i="1" s="1"/>
  <c r="C18" i="1"/>
  <c r="J18" i="1" s="1"/>
  <c r="B2" i="17"/>
  <c r="B2" i="16"/>
  <c r="C16" i="1"/>
  <c r="J16" i="1" s="1"/>
  <c r="C27" i="16" l="1"/>
  <c r="J77" i="1"/>
  <c r="C51" i="1"/>
  <c r="J51" i="1" s="1"/>
  <c r="E21" i="14"/>
  <c r="C50" i="1"/>
  <c r="Z70" i="17"/>
  <c r="S7" i="18"/>
  <c r="J7" i="1"/>
  <c r="J9" i="1"/>
  <c r="D21" i="1"/>
  <c r="D47" i="1" s="1"/>
  <c r="C21" i="1"/>
  <c r="C22" i="14"/>
  <c r="C5" i="1"/>
  <c r="J5" i="1" s="1"/>
  <c r="C28" i="1"/>
  <c r="J28" i="1" s="1"/>
  <c r="C39" i="1"/>
  <c r="C20" i="1"/>
  <c r="J20" i="1" s="1"/>
  <c r="C15" i="1"/>
  <c r="D20" i="16" l="1"/>
  <c r="T7" i="18"/>
  <c r="D50" i="1" s="1"/>
  <c r="E11" i="14"/>
  <c r="E13" i="14" s="1"/>
  <c r="O47" i="36"/>
  <c r="R47" i="36" s="1"/>
  <c r="S47" i="36" s="1"/>
  <c r="AB47" i="17"/>
  <c r="Y20" i="18"/>
  <c r="J39" i="1"/>
  <c r="C47" i="1"/>
  <c r="Z65" i="17"/>
  <c r="E26" i="16" s="1"/>
  <c r="E28" i="16"/>
  <c r="F47" i="1"/>
  <c r="J21" i="1"/>
  <c r="C14" i="1"/>
  <c r="J14" i="1" s="1"/>
  <c r="J15" i="1"/>
  <c r="J26" i="1"/>
  <c r="E24" i="16" l="1"/>
  <c r="D18" i="16"/>
  <c r="F11" i="14"/>
  <c r="D63" i="1"/>
  <c r="N43" i="37" s="1"/>
  <c r="N44" i="37" s="1"/>
  <c r="C20" i="16"/>
  <c r="AA47" i="17"/>
  <c r="AA48" i="17" s="1"/>
  <c r="Z20" i="18"/>
  <c r="C31" i="16"/>
  <c r="T47" i="17"/>
  <c r="G47" i="1" s="1"/>
  <c r="C6" i="1"/>
  <c r="J6" i="1" s="1"/>
  <c r="J50" i="1" l="1"/>
  <c r="AB48" i="17"/>
  <c r="D78" i="1"/>
  <c r="C78" i="1" s="1"/>
  <c r="J78" i="1" s="1"/>
  <c r="Z42" i="18"/>
  <c r="P47" i="36"/>
  <c r="C35" i="16"/>
  <c r="D35" i="16"/>
  <c r="C63" i="1"/>
  <c r="Y42" i="18" s="1"/>
  <c r="C86" i="1" l="1"/>
  <c r="C18" i="16"/>
  <c r="P65" i="36"/>
  <c r="J63" i="1"/>
  <c r="J47" i="1"/>
  <c r="D28" i="16" l="1"/>
  <c r="P61" i="36"/>
  <c r="C20" i="18"/>
  <c r="C42" i="18" s="1"/>
  <c r="C62" i="18" s="1"/>
  <c r="C63" i="18" s="1"/>
  <c r="C64" i="18" s="1"/>
  <c r="E64" i="18" s="1"/>
  <c r="G64" i="18" s="1"/>
  <c r="I64" i="18" s="1"/>
  <c r="K64" i="18" s="1"/>
  <c r="M64" i="18" s="1"/>
  <c r="O64" i="18" s="1"/>
  <c r="Q64" i="18" s="1"/>
  <c r="C28" i="16" l="1"/>
  <c r="D26" i="16"/>
  <c r="S20" i="18"/>
  <c r="S42" i="18" s="1"/>
  <c r="C26" i="16" l="1"/>
  <c r="C23" i="16"/>
  <c r="E22" i="14"/>
  <c r="E23" i="14" s="1"/>
  <c r="Y21" i="18"/>
  <c r="T20" i="18"/>
  <c r="T42" i="18" s="1"/>
  <c r="C33" i="16"/>
  <c r="G63" i="1" l="1"/>
  <c r="F22" i="14"/>
  <c r="Z21" i="18"/>
  <c r="F63" i="1"/>
  <c r="Y43" i="18"/>
  <c r="D23" i="16"/>
  <c r="C21" i="16"/>
  <c r="C30" i="16"/>
  <c r="D30" i="16"/>
  <c r="D21" i="16" l="1"/>
  <c r="Z43" i="18"/>
  <c r="C29" i="16"/>
  <c r="D29" i="16"/>
  <c r="D24" i="16"/>
  <c r="C24" i="16" l="1"/>
  <c r="U45" i="18"/>
  <c r="D44" i="18"/>
  <c r="U44" i="18" s="1"/>
  <c r="S45" i="18"/>
  <c r="C44" i="18"/>
  <c r="S44" i="18" s="1"/>
  <c r="C46" i="37"/>
  <c r="C45" i="37" s="1"/>
  <c r="K45" i="37" s="1"/>
  <c r="T45" i="18" l="1"/>
  <c r="T44" i="18"/>
  <c r="K46" i="37"/>
</calcChain>
</file>

<file path=xl/sharedStrings.xml><?xml version="1.0" encoding="utf-8"?>
<sst xmlns="http://schemas.openxmlformats.org/spreadsheetml/2006/main" count="894" uniqueCount="490">
  <si>
    <t>3.3</t>
  </si>
  <si>
    <t>13.1</t>
  </si>
  <si>
    <t>отток</t>
  </si>
  <si>
    <t xml:space="preserve">Высоко-ликвидные активы </t>
  </si>
  <si>
    <t>4.2</t>
  </si>
  <si>
    <t>4.3</t>
  </si>
  <si>
    <t>Коэффициент</t>
  </si>
  <si>
    <t>4.4</t>
  </si>
  <si>
    <t>№</t>
  </si>
  <si>
    <t>1.</t>
  </si>
  <si>
    <t>Всего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</si>
  <si>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</si>
  <si>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</si>
  <si>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</si>
  <si>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</si>
  <si>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</si>
  <si>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</si>
  <si>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</si>
  <si>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</si>
  <si>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</si>
  <si>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1.1</t>
  </si>
  <si>
    <t>1.2</t>
  </si>
  <si>
    <t>1.3</t>
  </si>
  <si>
    <t>1.4</t>
  </si>
  <si>
    <t>10.</t>
  </si>
  <si>
    <t>11.</t>
  </si>
  <si>
    <t>2.1</t>
  </si>
  <si>
    <t>3.1</t>
  </si>
  <si>
    <t>3.2</t>
  </si>
  <si>
    <t>4.1</t>
  </si>
  <si>
    <t>2.1.</t>
  </si>
  <si>
    <t xml:space="preserve">1. </t>
  </si>
  <si>
    <t xml:space="preserve">2. 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</si>
  <si>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</si>
  <si>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</si>
  <si>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</si>
  <si>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</si>
  <si>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</si>
  <si>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</si>
  <si>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</si>
  <si>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</si>
  <si>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7. </t>
  </si>
  <si>
    <t xml:space="preserve">3. </t>
  </si>
  <si>
    <t xml:space="preserve">6. </t>
  </si>
  <si>
    <t xml:space="preserve">3.1. </t>
  </si>
  <si>
    <t xml:space="preserve">3.2. </t>
  </si>
  <si>
    <t xml:space="preserve">3.3. </t>
  </si>
  <si>
    <t xml:space="preserve">3.4. </t>
  </si>
  <si>
    <t xml:space="preserve">5.1. </t>
  </si>
  <si>
    <t xml:space="preserve">5.2. </t>
  </si>
  <si>
    <t xml:space="preserve">5.3. </t>
  </si>
  <si>
    <t xml:space="preserve">5.4. </t>
  </si>
  <si>
    <t xml:space="preserve">5.5. </t>
  </si>
  <si>
    <t>Сумма</t>
  </si>
  <si>
    <t>1.1.1</t>
  </si>
  <si>
    <t>1.1.2</t>
  </si>
  <si>
    <t>1.1.3</t>
  </si>
  <si>
    <t>1.1.4</t>
  </si>
  <si>
    <t>1.3.1</t>
  </si>
  <si>
    <t>1.3.2</t>
  </si>
  <si>
    <t>1.3.3</t>
  </si>
  <si>
    <t>1.3.4</t>
  </si>
  <si>
    <t>3.4</t>
  </si>
  <si>
    <t xml:space="preserve">2.1. </t>
  </si>
  <si>
    <t xml:space="preserve">     ж. </t>
  </si>
  <si>
    <t>1.2.1</t>
  </si>
  <si>
    <t>1.2.2</t>
  </si>
  <si>
    <t>Ликвидные активы</t>
  </si>
  <si>
    <t>Чистый отток за 30 дней</t>
  </si>
  <si>
    <t>Отток</t>
  </si>
  <si>
    <t>Приток по положению</t>
  </si>
  <si>
    <t xml:space="preserve">1.1. </t>
  </si>
  <si>
    <t>3.5</t>
  </si>
  <si>
    <t>3.6</t>
  </si>
  <si>
    <t>4.5</t>
  </si>
  <si>
    <t>3.3.1.</t>
  </si>
  <si>
    <t>Приток</t>
  </si>
  <si>
    <t>Ин вал</t>
  </si>
  <si>
    <t>По новым расчетам</t>
  </si>
  <si>
    <t>Всего отток</t>
  </si>
  <si>
    <t>в том числе отток по внебалансу</t>
  </si>
  <si>
    <t>всего отток</t>
  </si>
  <si>
    <t>13.2</t>
  </si>
  <si>
    <t>1-жадвал</t>
  </si>
  <si>
    <t>минг сўмда</t>
  </si>
  <si>
    <t>АКТИВЛАР</t>
  </si>
  <si>
    <t>Жами</t>
  </si>
  <si>
    <t>Миллий валютада</t>
  </si>
  <si>
    <t>Хорижий валютада
(сўм экв.)</t>
  </si>
  <si>
    <t>Банкнинг Марказий банкдаги маблағлар</t>
  </si>
  <si>
    <t>Бошқа банклар ва молиявий ташкилотлардан олиниши лозим бўлган маблағлар, соф</t>
  </si>
  <si>
    <t>Бошқа банклар ва молиявий ташкилотлардан олиниши лозим бўлган маблағлар, брутто</t>
  </si>
  <si>
    <t>Минус: Кўрилиши мумкин бўлган зарарларни қоплаш захираси</t>
  </si>
  <si>
    <t>Қимматли қоғозлар ва уларга қилинган  инвестициялар, соф</t>
  </si>
  <si>
    <t>Қимматли қоғозлар ва уларга қилинган  инвестициялар, брутто</t>
  </si>
  <si>
    <t xml:space="preserve">Минус: Кўрилиши мумкин бўлган зарарларни қоплаш захираси </t>
  </si>
  <si>
    <t>Қимматбаҳо металлар, тошлар ва тангалар, соф</t>
  </si>
  <si>
    <t>5.1</t>
  </si>
  <si>
    <t xml:space="preserve">Қимматбаҳо металлар, тошлар ва тангалар, брутто </t>
  </si>
  <si>
    <t>5.2</t>
  </si>
  <si>
    <t>Инвестициялар, соф</t>
  </si>
  <si>
    <t>6.1</t>
  </si>
  <si>
    <t>Инвестициялар, брутто</t>
  </si>
  <si>
    <t>6.2</t>
  </si>
  <si>
    <t>РЕПО битимлари бўйича сотиб олинган қимматли қоғозлар, соф</t>
  </si>
  <si>
    <t>7.1</t>
  </si>
  <si>
    <t>РЕПО битимлари бўйича сотиб олинган қимматли қоғозлар, брутто</t>
  </si>
  <si>
    <t>7.2</t>
  </si>
  <si>
    <t>Кредит ва лизинг операциялари, соф</t>
  </si>
  <si>
    <t>8.1</t>
  </si>
  <si>
    <t>Кредит ва лизинг операциялари, брутто</t>
  </si>
  <si>
    <t>8.2</t>
  </si>
  <si>
    <t>Молиявий инструментлар бўйича мижозларнинг мажбуриятлари, соф</t>
  </si>
  <si>
    <t>9.1</t>
  </si>
  <si>
    <t>Молиявий инструментлар бўйича мижозларнинг мажбуриятлари, брутто</t>
  </si>
  <si>
    <t>9.2</t>
  </si>
  <si>
    <t>Асосий воситалар, соф</t>
  </si>
  <si>
    <t>Жами ҳисобланган фоизли ва фоизсиз даромадлар, соф</t>
  </si>
  <si>
    <t>11.1</t>
  </si>
  <si>
    <t>Ҳисобланган фоизли даромадлар, брутто</t>
  </si>
  <si>
    <t>11.2</t>
  </si>
  <si>
    <t>Ҳисобланган фоизсиз даромадлар, брутто</t>
  </si>
  <si>
    <t>11.2.1</t>
  </si>
  <si>
    <t>Банкнинг бошқа хусусий мулклари, соф</t>
  </si>
  <si>
    <t>12.1</t>
  </si>
  <si>
    <t>Кредит ва лизинг бўйича гаров ҳисобидан ундирилган бошқа мулклар, брутто</t>
  </si>
  <si>
    <t>12.2</t>
  </si>
  <si>
    <t>Банкнинг бошқа хусусий мулклари, брутто</t>
  </si>
  <si>
    <t>12.3</t>
  </si>
  <si>
    <t>13.3</t>
  </si>
  <si>
    <t>Бошқа активлар, соф</t>
  </si>
  <si>
    <t>14.1</t>
  </si>
  <si>
    <t>Бошқа активлар, брутто</t>
  </si>
  <si>
    <t>14.2</t>
  </si>
  <si>
    <t>14.3</t>
  </si>
  <si>
    <t>Валюталар савдоси ва валюта позициялари</t>
  </si>
  <si>
    <t>15</t>
  </si>
  <si>
    <t>Жами активлар</t>
  </si>
  <si>
    <t>МАЖБУРИЯТЛАР</t>
  </si>
  <si>
    <t>16</t>
  </si>
  <si>
    <t>Талаб қилиб олингунча сақланадиган депозитлар</t>
  </si>
  <si>
    <t>17</t>
  </si>
  <si>
    <t>Муддатли депозитлар</t>
  </si>
  <si>
    <t>18</t>
  </si>
  <si>
    <t>Марказий банкка тўланиши лозим бўлган маблағлар</t>
  </si>
  <si>
    <t>19</t>
  </si>
  <si>
    <t>Бошқа банклар ва молиявий ташкилотларнинг ҳисобварақлари</t>
  </si>
  <si>
    <t>20</t>
  </si>
  <si>
    <t>РЕПО битимлари бўйича сотилган қимматли қоғозлар</t>
  </si>
  <si>
    <t>21</t>
  </si>
  <si>
    <t>Кредит ва лизинг операциялари бўйича мажбуриятлар</t>
  </si>
  <si>
    <t>22</t>
  </si>
  <si>
    <t>Банк томонидан чиқарилган қимматли қоғозлар</t>
  </si>
  <si>
    <t>23</t>
  </si>
  <si>
    <t>Субординар қарз мажбуриятлари</t>
  </si>
  <si>
    <t>24</t>
  </si>
  <si>
    <t>Тўланиши лозим бўлган ҳисобланган фоизлар</t>
  </si>
  <si>
    <t>25</t>
  </si>
  <si>
    <t>Ҳисобланган солиқлар бўйича мажбуриятлар</t>
  </si>
  <si>
    <t>26</t>
  </si>
  <si>
    <t>Клиринг транзакциялари</t>
  </si>
  <si>
    <t>27</t>
  </si>
  <si>
    <t>Стандарт деб таснифланган балансдан ташқари моддаларга яратилган захиралар</t>
  </si>
  <si>
    <t>28</t>
  </si>
  <si>
    <t>Бошқа мажбуриятлар</t>
  </si>
  <si>
    <t>29</t>
  </si>
  <si>
    <t>Жами мажбуриятлар</t>
  </si>
  <si>
    <t>ХУСУСИЙ КАПИТАЛ</t>
  </si>
  <si>
    <t>30</t>
  </si>
  <si>
    <t>Устав капитали</t>
  </si>
  <si>
    <t>30.1</t>
  </si>
  <si>
    <t>Aкциялар – оддий</t>
  </si>
  <si>
    <t>30.2</t>
  </si>
  <si>
    <t>Aкциялар – имтиёзли</t>
  </si>
  <si>
    <t>31</t>
  </si>
  <si>
    <t>32</t>
  </si>
  <si>
    <t>Захира капитали</t>
  </si>
  <si>
    <t>32.1</t>
  </si>
  <si>
    <t>Умумий захира фонди</t>
  </si>
  <si>
    <t>32.2</t>
  </si>
  <si>
    <t>32.3</t>
  </si>
  <si>
    <t>Девальвация учун захира</t>
  </si>
  <si>
    <t>33</t>
  </si>
  <si>
    <t>Тақсимланмаган фойда</t>
  </si>
  <si>
    <t>33.1</t>
  </si>
  <si>
    <t>34</t>
  </si>
  <si>
    <t>Жами хусусий капитал</t>
  </si>
  <si>
    <t>35</t>
  </si>
  <si>
    <t>Жами мажбуриятлар ва хусусий капитал</t>
  </si>
  <si>
    <t>ЛИКВИДЛИЛИК ТАҲЛИЛИ</t>
  </si>
  <si>
    <t>16-жадвал</t>
  </si>
  <si>
    <t>Ликвид активлар</t>
  </si>
  <si>
    <t>Хорижий валютада</t>
  </si>
  <si>
    <t>1-қисм. Юқори ликвидли активлар</t>
  </si>
  <si>
    <t>фоизда</t>
  </si>
  <si>
    <t>Кассадаги нақд пул ва бошқа тўлов ҳужжатлари</t>
  </si>
  <si>
    <t>Банкнинг Марказий банкдаги маблағлар (мажбурий захираларсиз)</t>
  </si>
  <si>
    <t>Инвестиция даражасидан паст бўлмаган рейтингга эга хорижий банкларда ва кредит рейтингига эга маҳаллий банкларда очилган вакиллик ҳисобварақларидаги маблағлар</t>
  </si>
  <si>
    <t>Инвестиция даражасидан паст бўлмаган рейтингга эга бўлган мамлакатлардаги банкларда чет-эл валютасида овернайт шарти асосида жойлаштирилган депозитлар</t>
  </si>
  <si>
    <t>1.7</t>
  </si>
  <si>
    <t>Қайтариб олинмайдиган кредит линиялари (ўзлаштирилмаган қисми)</t>
  </si>
  <si>
    <t>1.10</t>
  </si>
  <si>
    <t>Гаровга қўйилган юқори ликвидли активлар</t>
  </si>
  <si>
    <t>1.11</t>
  </si>
  <si>
    <t>Жами юқори ликвидли активлар</t>
  </si>
  <si>
    <t>2-қисм. Иқтисодий меъёрлар - Ликвидлилик</t>
  </si>
  <si>
    <t>Юқори ликвидли активларнинг жами активларга нисбати</t>
  </si>
  <si>
    <t>2.1.1</t>
  </si>
  <si>
    <t>Юқори ликвидли активлар</t>
  </si>
  <si>
    <t>2.1.2</t>
  </si>
  <si>
    <t>2.2</t>
  </si>
  <si>
    <t>Юқори ликвидли активларнинг қисқа муддатли мажбуриятларга нисбати</t>
  </si>
  <si>
    <t>2.2.1</t>
  </si>
  <si>
    <t>2.2.2</t>
  </si>
  <si>
    <t xml:space="preserve">2.3 </t>
  </si>
  <si>
    <t>Ликвидлиликни қоплаш меъёри коэффициенти</t>
  </si>
  <si>
    <t>2.3.1</t>
  </si>
  <si>
    <t>2.3.2</t>
  </si>
  <si>
    <t>Кейинги 30 кун ичида соф чиқим</t>
  </si>
  <si>
    <t>30 кунлик чиқим суммаси</t>
  </si>
  <si>
    <t>30 кунлик кирим суммаси</t>
  </si>
  <si>
    <t>2.4</t>
  </si>
  <si>
    <t>Соф барқарор молиялаштириш меъёри</t>
  </si>
  <si>
    <t>2.5</t>
  </si>
  <si>
    <t>Барқарор молиялаштиришнинг мавжуд суммаси</t>
  </si>
  <si>
    <t>2.5.1</t>
  </si>
  <si>
    <t>Хусусий капитал</t>
  </si>
  <si>
    <t>2.5.2</t>
  </si>
  <si>
    <t>2.5.3</t>
  </si>
  <si>
    <t>Бошқа муддатсиз мажбуриятларнинг 30 фоизи</t>
  </si>
  <si>
    <t>2.5.4</t>
  </si>
  <si>
    <t>2.6</t>
  </si>
  <si>
    <t>2.6.1</t>
  </si>
  <si>
    <t>Бир йилдан ортиқ муддатли активлар</t>
  </si>
  <si>
    <t>2.6.2</t>
  </si>
  <si>
    <t>2.6.3</t>
  </si>
  <si>
    <t>2.6.4</t>
  </si>
  <si>
    <t>Суд жараёнида бўлган ёки белгиланган тартибда ундирилмаган активлар, соф (2.6.3-қаторда кўрсатилмаган қисми)</t>
  </si>
  <si>
    <t>2.6.5</t>
  </si>
  <si>
    <t>Қайтариш муддати 1 йилдан кам бўлган бошқа активлар суммасининг 30 фоизи (қайтариш муддати 1 йилдан кам бўлган ёки муддатсиз ликвидли активлар бундан мустасно)</t>
  </si>
  <si>
    <t>2.6.6</t>
  </si>
  <si>
    <t>БАНК АКТИВЛАРИ ТАҲЛИЛИ</t>
  </si>
  <si>
    <t>17-жадвал</t>
  </si>
  <si>
    <t>Кўрсаткичлар</t>
  </si>
  <si>
    <t>Сўндириш муддати (кунларда)</t>
  </si>
  <si>
    <t>шундан,</t>
  </si>
  <si>
    <t>Ликвидлиликни қоплаш меёри ҳисоб китоби</t>
  </si>
  <si>
    <t>Муддатсиз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</si>
  <si>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</si>
  <si>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</si>
  <si>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</si>
  <si>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</si>
  <si>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</si>
  <si>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</si>
  <si>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2 йилдан ортиқ</t>
  </si>
  <si>
    <t>шундан, хорижий валютада 
(сўм экв.)</t>
  </si>
  <si>
    <t>миллий валютада</t>
  </si>
  <si>
    <t>хорижий валютада 
(сўм экв.)</t>
  </si>
  <si>
    <t>Активлар</t>
  </si>
  <si>
    <t>Юқори ликвидли активлар/кирим</t>
  </si>
  <si>
    <t>Активлар 
 (хорижий валютада)</t>
  </si>
  <si>
    <t>Юқори ликвидли активлар/кирим
(хорижий валютада)</t>
  </si>
  <si>
    <t>1</t>
  </si>
  <si>
    <t>2</t>
  </si>
  <si>
    <t>Банкнинг Марказий банкдаги мажбурий захира ҳисобварағидаги маблағлар</t>
  </si>
  <si>
    <t>3</t>
  </si>
  <si>
    <t>Таваккалчилик даражаси паст банклардаги вакиллик ҳисобварақлари (ностро)</t>
  </si>
  <si>
    <t>Маҳаллий банклардаги вакиллик ҳисобварақлари (ностро)</t>
  </si>
  <si>
    <t>Овернайт шарти билан жойлаштирилган депозитлар</t>
  </si>
  <si>
    <t>шундан, инвестицион даражадан паст бўлмаган рейтингга эга банкларга овернайт шарти билан жойлаштирилган хорижий валютадаги депозитлар</t>
  </si>
  <si>
    <t>Пластик карталардан амалга оширилган тўловлар бўйича бошқа банклардан олиниши лозим бўлган маблағлар</t>
  </si>
  <si>
    <t xml:space="preserve">Бошқа моддалар </t>
  </si>
  <si>
    <t>4</t>
  </si>
  <si>
    <t>Ўзбекистон Республикаси Ҳукумати ва Марказий банк томонидан чиқарилган қимматли қоғозлар (векселлар, облигациялар ва бошқа қарз қимматли қоғозлар)</t>
  </si>
  <si>
    <t>Таваккалчилик даражаси паст бўлган мамлакатларнинг қимматли қоғозлари</t>
  </si>
  <si>
    <t>ХВФ, Жаҳон банки гуруҳи, Осиё тараққиёт банки, Осиё инфраструктура инвестиция банки, ЕТТБ,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</si>
  <si>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Таваккалчилик даражаси паст бўлган мамлакатларнинг етакчи компаниялари қимматли қоғозлари</t>
  </si>
  <si>
    <t>4.6</t>
  </si>
  <si>
    <t>Бошқалар</t>
  </si>
  <si>
    <t>5</t>
  </si>
  <si>
    <t xml:space="preserve">Мижозларнинг аккредитив ва траст ҳужжатлари билан кафолатланган тратталари бўйича мажбуриятлари, соф </t>
  </si>
  <si>
    <t>6</t>
  </si>
  <si>
    <t>Мижозларнинг банк олдидаги тўланмаган акцептлари бўйича мажбуриятлари, соф</t>
  </si>
  <si>
    <t>7</t>
  </si>
  <si>
    <t>Марказий банкка берилган кредит ва лизинглар, соф</t>
  </si>
  <si>
    <t>8</t>
  </si>
  <si>
    <t>Бошқа банкларга берилган кредит ва лизинглар, соф</t>
  </si>
  <si>
    <t>9</t>
  </si>
  <si>
    <t>шу жумладан, жисмоний шахсларга берилган кредит ва лизинглар</t>
  </si>
  <si>
    <t>10</t>
  </si>
  <si>
    <t>Суд ёки ижро иши юритиш жараёнидаги кредитлар ва лизинг, соф</t>
  </si>
  <si>
    <t>12</t>
  </si>
  <si>
    <t>13</t>
  </si>
  <si>
    <t>Aсосий воситалар, соф</t>
  </si>
  <si>
    <t>14</t>
  </si>
  <si>
    <t>Ҳосилавий инструментларнинг ревальвацияси натижасида ўзлаштирилмаган фойда</t>
  </si>
  <si>
    <t>Валюта савдоси ва валюта позициялари</t>
  </si>
  <si>
    <t>Транзит ҳисобварақлари</t>
  </si>
  <si>
    <t>Олиниши лозим бўлган ҳисобланган фоизлар</t>
  </si>
  <si>
    <t>Бошқа активлар</t>
  </si>
  <si>
    <t>Гаровга қўйилган юқори ликвидли активлар, 4.1.1. бундан мустасно</t>
  </si>
  <si>
    <t>ЖAМИ АКТИВЛАР</t>
  </si>
  <si>
    <t>Балансдан ташқари мажбуриятлар</t>
  </si>
  <si>
    <t>Банкнинг кредит ва лизинг бериш бўйича мажбуриятлари (91809)</t>
  </si>
  <si>
    <t>шундан, ХМИ, Молия вазирлиги, фондлар ва бошқа ташкилотларнинг депозитлари билан таъминланган</t>
  </si>
  <si>
    <t>Кафолат ва кафилликлар (90993)</t>
  </si>
  <si>
    <t>- шундан, алоҳида блокланган ҳисобварақлардаги депозитлар билан таъминланган кафолат ва кафилликлар</t>
  </si>
  <si>
    <t>Аккредитивлар (90908-90958)</t>
  </si>
  <si>
    <t>- шундан, 22602 баланс ҳисобварағида депозит билан таъминланганлар кўрсатилади</t>
  </si>
  <si>
    <t xml:space="preserve">Активлар </t>
  </si>
  <si>
    <t>30 кунлик чиқим суммаси
(хорижий валютада)</t>
  </si>
  <si>
    <t>БАНК МАЖБУРИЯТЛАРИ ТАҲЛИЛИ</t>
  </si>
  <si>
    <t>18-жадвал</t>
  </si>
  <si>
    <t>ДЕПОЗИТЛАР</t>
  </si>
  <si>
    <t>Талаб қилиб олингунча депозитлар</t>
  </si>
  <si>
    <t>Aҳолининг талаб қилиб олингунча омонатлари</t>
  </si>
  <si>
    <t>Кредит таъминоти сифатида жалб этилган aҳоли омонатлари</t>
  </si>
  <si>
    <t>Кредит таъминоти сифатида жалб этилган бошқа депозитлар</t>
  </si>
  <si>
    <t>Талаб қилиб олингунча бошқа депозитлар</t>
  </si>
  <si>
    <t>Аҳоли омонатлари</t>
  </si>
  <si>
    <t>Чиқарилган депозит сертификатлари</t>
  </si>
  <si>
    <t>Мижозларнинг бошқа депозитлари</t>
  </si>
  <si>
    <t>Жисмоний шахсларнинг банк пластик карталаридаги маблағлари</t>
  </si>
  <si>
    <t>Бошқа мижозларнинг банк пластик карталаридаги маблағлари</t>
  </si>
  <si>
    <t>Мижозларнинг аккредитив бўйича депозитлари</t>
  </si>
  <si>
    <t>Жами депозитлар</t>
  </si>
  <si>
    <t>Бошқа банклар ва молиявий ташкилотларга тўланиши лозим бўлган маблағлар</t>
  </si>
  <si>
    <t>Бошқа банкларнинг вакиллик ҳисобварақларига тўланиши лозим бўлган маблағлар</t>
  </si>
  <si>
    <t>Бошқа банкларнинг ҳисобварақлари - Депозитлар</t>
  </si>
  <si>
    <t>Бошқа моддалар</t>
  </si>
  <si>
    <t>Банкнинг тўланмаган акцептлари</t>
  </si>
  <si>
    <t>Олинган кредит ва лизинглар (молиявий ижара) бўйича мажбуриятлар</t>
  </si>
  <si>
    <t>Ҳосилавий инструментлар бўйича ревальвация натижасида амалга ошмаган зарарлар ва бошқа муддати узайтирилган даромадлар</t>
  </si>
  <si>
    <t>ЖАМИ МАЖБУРИЯТЛАР</t>
  </si>
  <si>
    <t>Ўзбекистон Республикаси Молия вазирлиги маблағлари, шундан</t>
  </si>
  <si>
    <t>Кредит ва лизинглар</t>
  </si>
  <si>
    <t>Депозит маблағлар</t>
  </si>
  <si>
    <t>Ўзбекистон тикланиш ва тараққиёт фонди (ФРРУ), шундан</t>
  </si>
  <si>
    <t>Хорижий банклар, шундан</t>
  </si>
  <si>
    <t>Бошқа халқаро молия ташкилотлари маблағлари, шундан,</t>
  </si>
  <si>
    <t>МИЛЛИЙ ВАЛЮТАДА БАНК МАЖБУРИЯТЛАРИ ТАҲЛИЛИ</t>
  </si>
  <si>
    <t>19-жадвал</t>
  </si>
  <si>
    <t>Банкнинг кредит ва лизинг бериш бўйича мажбуриятлари</t>
  </si>
  <si>
    <t>шу жумладан, кредит линиялар маблағлари ҳисобидан (махсус шартлар билан)</t>
  </si>
  <si>
    <t>Кафолат ва кафилликлар</t>
  </si>
  <si>
    <t>шу жумладан депозитлар билан таъминланган</t>
  </si>
  <si>
    <t>Жами аккредитивлар</t>
  </si>
  <si>
    <t>Тақдим этувчига тратталарни тўлаган ҳолдаги импорт билан боғлиқ тўланмаган аккредитивлар</t>
  </si>
  <si>
    <t>Муддатли тратталарга қарши қўйилган, импорт билан боғлиқ тўланмаган аккредитивлар</t>
  </si>
  <si>
    <t>Бошқа аккредитивлар</t>
  </si>
  <si>
    <t>Факторинг, инкассо ва савдони молиялаштириш</t>
  </si>
  <si>
    <t>Фоиз свопларининг шартли қиймати</t>
  </si>
  <si>
    <t>Aйирбошлаш свопининг шартли қиймати (Валюта свопи)</t>
  </si>
  <si>
    <t>Фьючерс, форвард ва опцион шартномалари</t>
  </si>
  <si>
    <t>Кредитлар, қимматли қоғозлар ва бошқа активларни сотиб олиш бўйича мажбуриятлар</t>
  </si>
  <si>
    <t xml:space="preserve">МИЖОЗЛАР ТУРЛАРИГА КЎРА ДЕПОЗИТЛАР  </t>
  </si>
  <si>
    <t>14-жадвал</t>
  </si>
  <si>
    <t xml:space="preserve">Ҳукумат </t>
  </si>
  <si>
    <t xml:space="preserve">Жисмоний шахслар </t>
  </si>
  <si>
    <t xml:space="preserve">Давлат корхоналари </t>
  </si>
  <si>
    <t>Чет эл капитали иштирокидаги корхоналар</t>
  </si>
  <si>
    <t xml:space="preserve">Хусусий корхоналар </t>
  </si>
  <si>
    <t>Жами муддатли депозитлар</t>
  </si>
  <si>
    <t>шундан, 
хорижий валютада 
(сўм экв.)</t>
  </si>
  <si>
    <t>ҚИММАТЛИ ҚОҒОЗЛАР ВА УЛАРГА ҚИЛИНГАН ИНВЕСТИЦИЯЛАР ТЎҒРИСИДА ҲИСОБОТ</t>
  </si>
  <si>
    <t>15-жадвал</t>
  </si>
  <si>
    <t>Баланс қиймати</t>
  </si>
  <si>
    <t>Бозор қиймати</t>
  </si>
  <si>
    <t>1. Давлат қимматли қоғозлари</t>
  </si>
  <si>
    <t>2. Марказий банкнинг облигация ва бошқа қарз қимматли қоғозлари</t>
  </si>
  <si>
    <t>4. Еврооблигациялар</t>
  </si>
  <si>
    <t>7. Бошқа қимматли қоғозларга инвестициялар</t>
  </si>
  <si>
    <t>8. Жами инвестициялар</t>
  </si>
  <si>
    <t>2. Давлат облигациялари</t>
  </si>
  <si>
    <t>5. Еврооблигациялар</t>
  </si>
  <si>
    <t>7. Бошқа қимматли қоғозлар</t>
  </si>
  <si>
    <t>10. Минус: Эҳтимолий йўқотишларга қарши захиралар</t>
  </si>
  <si>
    <t>Қисм – 3. Олди-сотдига мўлжалланган қимматбаҳо металлар, тошлар ва тангалар</t>
  </si>
  <si>
    <t>1. Қимматбаҳо металлар</t>
  </si>
  <si>
    <t>2. Қимматбаҳо тошлар</t>
  </si>
  <si>
    <t>3. Қимматбаҳо тангалар</t>
  </si>
  <si>
    <t>4. Қимматбаҳо металлар, тошлар ва тангалар жами</t>
  </si>
  <si>
    <t>5. Минус: Эҳтимолий йўқотишларга қарши захиралар</t>
  </si>
  <si>
    <t>Қисм – 2. Қимматли қоғозлар ва уларга қилинган  инвестициялар</t>
  </si>
  <si>
    <t xml:space="preserve">5.6. </t>
  </si>
  <si>
    <t>Кассадаги нақд пул ва бошқа тўлов ҳужжатлари ва қимматбаҳо металлар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</si>
  <si>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</si>
  <si>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</si>
  <si>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</si>
  <si>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</si>
  <si>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</si>
  <si>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</si>
  <si>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Ликвидли активлар</t>
  </si>
  <si>
    <t>1.8</t>
  </si>
  <si>
    <t>8.  Жами қимматли қоғозлар ва уларга қилинган  инвестициялар</t>
  </si>
  <si>
    <t>Чет эл валюталари билан спот операциялари</t>
  </si>
  <si>
    <t>Жами балансдан ташқари ҳисобварақлар</t>
  </si>
  <si>
    <t>1.5</t>
  </si>
  <si>
    <t>1.6</t>
  </si>
  <si>
    <t>1.9</t>
  </si>
  <si>
    <t>Бир йилдан ортиқ муддатли мажбуриятлар</t>
  </si>
  <si>
    <t>Бир йилдан кам муддатли жами мажбуриятларнинг 30 фоизи</t>
  </si>
  <si>
    <t>Барқарор молиялаштиришнинг зарур суммаси</t>
  </si>
  <si>
    <t>Суд жараёнида бўлган ёки белгиланган тартибда ундирилмаган кредит ва лизинглар, соф</t>
  </si>
  <si>
    <t>Балансдан ташқари активларнинг 15 фоизи</t>
  </si>
  <si>
    <t>Банк карталаридан амалга оширилган тўловлар бўйича банкларга тўланиши лозим бўлган маблағлар</t>
  </si>
  <si>
    <t>Бюджетдан ташқари фондларнинг маблағлари, шундан</t>
  </si>
  <si>
    <t>БАЛАНСДАН ТАШҚАРИ ҲИСОБВАРАҚЛАР ТЎҒРИСИДА ҲИСОБОТ</t>
  </si>
  <si>
    <t>Тўловчи томонидан банкда очилган қопланган аккредитив</t>
  </si>
  <si>
    <t>Бошқа балансдан ташқари ҳисобварақлар</t>
  </si>
  <si>
    <t>Талаб қилиб олингунча сақланадиган ва бошқа депозитлар</t>
  </si>
  <si>
    <t xml:space="preserve">Жами талаб қилиб олингунча сақланадиган ва бошқа депозитлар </t>
  </si>
  <si>
    <t>Бошқа муддатли депозитлар</t>
  </si>
  <si>
    <t>11. Инвестицияларнинг соф баланс қиймати</t>
  </si>
  <si>
    <t>1. Давлат хазина векселлари</t>
  </si>
  <si>
    <t xml:space="preserve">3. Марказий банкнинг облигациялари ва бошқа қарз қимматли қоғозлари </t>
  </si>
  <si>
    <t>6. Олди-сотдига мўлжалланган қимматбаҳо металлар, тошлар ва тангаларнинг соф баланс қиймати</t>
  </si>
  <si>
    <t>Банкнинг Марказий банкдаги маблағлари</t>
  </si>
  <si>
    <t>БАНК БАЛАНСИ ТАРКИБИ</t>
  </si>
  <si>
    <t>9. Инвестициялар бўйича харажатлар, дисконт ва мукофот</t>
  </si>
  <si>
    <t>6.3</t>
  </si>
  <si>
    <t>Инвестициялар бўйича харажатлар, дисконт ва мукофот</t>
  </si>
  <si>
    <t>Қимматли қоғозлар бўйича харажатлар, дисконт, мукофот ва уларнинг ҳаққоний қийматининг ўзгариши</t>
  </si>
  <si>
    <t>Минус: Йиғилган эскириш суммаси ва кўрилиши мумкин бўлган зарарларни қоплаш захираси</t>
  </si>
  <si>
    <t xml:space="preserve">Субординар қарз </t>
  </si>
  <si>
    <t>Бошқа захира фондлари</t>
  </si>
  <si>
    <t>шундан, жорий йил соф фойдаси (зарари)</t>
  </si>
  <si>
    <t xml:space="preserve">Қўшилган капитал </t>
  </si>
  <si>
    <t>Банкнинг Марказий банкдаги маблағлари (мажбурий захирасиз)</t>
  </si>
  <si>
    <t>Стандарт деб таснифланган активлар бўйича яратилган захиралар</t>
  </si>
  <si>
    <t>Стандарт деб таснифланган кредитлар, лизинг ва факторинг бўйича захира</t>
  </si>
  <si>
    <t>Стандарт деб таснифланган бошқа активлар бўйича захира</t>
  </si>
  <si>
    <t xml:space="preserve">Стандарт деб таснифланган активлар бўйича фоизлар ва воситачилик ҳақларига оид захира </t>
  </si>
  <si>
    <t xml:space="preserve">Банкнинг бошқа банклар/молиявий ташкилотлардаги ҳисобварақлари </t>
  </si>
  <si>
    <t>Мижозларга берилган кредит ва лизинглар, соф</t>
  </si>
  <si>
    <t>Жами бошқа барча балансдан ташқари ҳисобварақлар</t>
  </si>
  <si>
    <t>Қисм 1 – Қарам хўжалик жамиятларига қилинган ҳамда амортизацияланган қиймати бўйича баҳоланадиган қарз қимматли қоғозларига қилинган инвестициялар</t>
  </si>
  <si>
    <t>3. Корхоналарнинг қарз қимматли қоғозлари</t>
  </si>
  <si>
    <t>5. Давлат улушига эга корхоналар акцияларига инвестициялар</t>
  </si>
  <si>
    <t>6. Хусусий корхоналар акцияларига инвестициялар</t>
  </si>
  <si>
    <t>4. Давлат улушига эга корхоналар қимматли қоғозлари</t>
  </si>
  <si>
    <t>6. Корхоналар қимматли қоғозлари</t>
  </si>
  <si>
    <r>
      <t xml:space="preserve">9. </t>
    </r>
    <r>
      <rPr>
        <sz val="10"/>
        <rFont val="Arial Cyr"/>
        <charset val="204"/>
      </rPr>
      <t>Қимматли қоғозлар бўйича харажатлар, дисконт, мукофот ва уларнинг ҳаққоний қийматининг ўзгариши</t>
    </r>
  </si>
  <si>
    <r>
      <t xml:space="preserve">11. </t>
    </r>
    <r>
      <rPr>
        <sz val="10"/>
        <rFont val="Arial Cyr"/>
        <charset val="204"/>
      </rPr>
      <t>Қимматли қоғозлар ва уларга қилинган  инвестициялар, соф баланс қиймати</t>
    </r>
  </si>
  <si>
    <t>Мазкур қатор ЎзР. Марказий банки билан тегишли кредит шартнома тузилганда тўлдириши керак. Ҳисобот даврига банкнинг нетто активларининг 2 % акс эттирилади.</t>
  </si>
  <si>
    <t>Бош бухгалтер имзоси:</t>
  </si>
  <si>
    <t>Бошқарув Раис имзоси:</t>
  </si>
  <si>
    <t>МИЛЛИЙ ВАЛЮТАДАГИ БАНК АКТИВЛАРИ ТАҲЛИЛИ</t>
  </si>
  <si>
    <t>РЕПО битимлари бўйича сотиб олинган бошқа қимматли қоғозлар</t>
  </si>
  <si>
    <t xml:space="preserve">РЕПО битимлари бўйича сотиб олинган юқори ликвидли қимматли қоғозлар </t>
  </si>
  <si>
    <t>шу жумладан, Марказий банкка тўланиши лозим бўлган маблағлар -Тезкор тўловлар ҳамда клиринг тизими</t>
  </si>
  <si>
    <t>шу жумладан, Марказий банкка тўланиши лозим бўлган маблағлар -Тезкор тўловлар ҳамда клиринг тизимлари</t>
  </si>
  <si>
    <t>1.12</t>
  </si>
  <si>
    <t>Жами активлар (РЕПО битимлари айрилган ҳолда)</t>
  </si>
  <si>
    <t>Қисқа муддатли мажбуриятлар (РЕПО битимлари айрилган ҳолда)</t>
  </si>
  <si>
    <t xml:space="preserve">РЕПО битимлари бўйича сотилган юқори ликвидли қимматли қоғозлар </t>
  </si>
  <si>
    <t>РЕПО битимлари бўйича сотилган бошқа қимматли қоғозлар</t>
  </si>
  <si>
    <t xml:space="preserve">РЕПО битимлари бўйича сотиб олинган қимматли қоғозлар </t>
  </si>
  <si>
    <t xml:space="preserve">шу жумладан, таъминот остидаги юқори ликвидли қимматли қоғозлар </t>
  </si>
  <si>
    <t>4a</t>
  </si>
  <si>
    <t>Гаровга қўйилган юқори ликвидли активлар, 4a бундан мустасно</t>
  </si>
  <si>
    <t>3.1.1</t>
  </si>
  <si>
    <t>шу жумладан, махаллий банкларнинг вакиллик ҳисобварақларига тўланиши лозим бўлган маблағлар</t>
  </si>
  <si>
    <t>18 А-жадвал</t>
  </si>
  <si>
    <t>17 А-жадвал</t>
  </si>
  <si>
    <t>Бошқа талаб қилиб олингунча депозитлар</t>
  </si>
  <si>
    <t>4.7</t>
  </si>
  <si>
    <t>Ипотекани қайта молиялаштириш ташкилотлари томонидан чиқарилган корпоратив облигациялар</t>
  </si>
  <si>
    <t>Ипотекани қайта молиялаштириш ташкилотлари томонидан чиқарилган таъминланган қарз муносабатларини тасдиқловчи бошқа қимматли қоғозлар</t>
  </si>
  <si>
    <t>Ипотекани қайта молиялаштириш ташкилотлари томонидан чиқарилган корпоратив облигациялар ва таъминланган қарз муносабатларини тасдиқловчи бошқа қимматли қоғозлар</t>
  </si>
  <si>
    <t>Ўзбекистон Республикаси Ҳукумати ва Марказий банки томонидан чиқарилган қимматли қоғозлар</t>
  </si>
  <si>
    <t>Таваккалчилик даражаси паст бўлган мамлакатлар ҳукуматлари ва Марказий банклари томонидан чиқарилган қимматли қоғозлар</t>
  </si>
  <si>
    <t>ХВФ, Жаҳон банки гуруҳи, Осиё тараққиёт банки, Осиё инфратузилма ва инвестиция банки, ЕТTБ, Европа инвестиция банки, Европа инвестиция жамғармаси, Ислом тараққиёт банки ва Европа Кенгашининг тараққиёт банки томонидан чиқарилган қимматли қоғозлар</t>
  </si>
  <si>
    <t>Қайтариш муддати бир йилдан ортиқ бўлган номолиявий активлар (ер участкалари, бинолар, мебель, компьютерлар ва автомашиналар)</t>
  </si>
  <si>
    <t>18.1</t>
  </si>
  <si>
    <t>Бошқа банклардан олиниши лозим бўлган ҳисобланган фоизлар</t>
  </si>
  <si>
    <t>18.2</t>
  </si>
  <si>
    <t>Бошқа банкларга тўланиши лозим бўлган ҳисобланган фоизлар</t>
  </si>
  <si>
    <t>Активы</t>
  </si>
  <si>
    <t>Внебаланс</t>
  </si>
  <si>
    <t>Мажбурият</t>
  </si>
  <si>
    <t>GAP</t>
  </si>
  <si>
    <t>кум Gap</t>
  </si>
  <si>
    <t>20202, 20402, 20602</t>
  </si>
  <si>
    <t>Активлар ва мажбуриятлар муддатлари мувофиқлиги таҳлили</t>
  </si>
  <si>
    <t>"MKBANK"</t>
  </si>
  <si>
    <t>Бош офис/филиалдан олиниши лозим бўлган ҳисобланган фоизлар</t>
  </si>
  <si>
    <t>Бош банк/филиалдан олинган ресурслар бўйича тўланиши лозим бўлган ҳисобланган фоизлар</t>
  </si>
  <si>
    <t>№2</t>
  </si>
  <si>
    <t xml:space="preserve">8.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</si>
</sst>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164" formatCode="#,##0&quot;р.&quot;;[Red]\-#,##0&quot;р.&quot;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  <numFmt numFmtId="169" formatCode="[$-F800]dddd\,\ mmmm\ dd\,\ yyyy"/>
    <numFmt numFmtId="170" formatCode="0.0%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  <numFmt numFmtId="192" formatCode="[$-843]dd\ mmmm\ yyyy\ \й\и\л;@"/>
    <numFmt numFmtId="193" formatCode="_-* #,##0.00000_р_._-;\-* #,##0.00000_р_._-;_-* &quot;-&quot;??_р_._-;_-@_-"/>
    <numFmt numFmtId="194" formatCode="#,##0_ ;[Red]\-#,##0\ "/>
  </numFmts>
  <fonts count="88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4"/>
      <name val="Times New Roman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b/>
      <sz val="12"/>
      <name val="Arial Cyr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20"/>
      <name val="Arial Cyr"/>
      <charset val="204"/>
    </font>
    <font>
      <sz val="8"/>
      <name val="Arial Cyr"/>
      <charset val="204"/>
    </font>
    <font>
      <sz val="9"/>
      <name val="Arial Cyr"/>
      <family val="2"/>
      <charset val="204"/>
    </font>
    <font>
      <sz val="12"/>
      <name val="Times New Roman"/>
      <family val="1"/>
      <charset val="204"/>
    </font>
    <font>
      <i/>
      <sz val="11"/>
      <name val="Arial Cyr"/>
      <family val="2"/>
      <charset val="204"/>
    </font>
    <font>
      <sz val="9"/>
      <name val="Times New Roman"/>
      <family val="1"/>
      <charset val="204"/>
    </font>
    <font>
      <i/>
      <sz val="10"/>
      <name val="Arial Cyr"/>
      <charset val="204"/>
    </font>
    <font>
      <sz val="11"/>
      <name val="Times New Roman"/>
      <family val="1"/>
      <charset val="204"/>
    </font>
    <font>
      <i/>
      <sz val="12"/>
      <name val="Arial Cyr"/>
      <family val="2"/>
      <charset val="204"/>
    </font>
    <font>
      <b/>
      <sz val="11"/>
      <name val="Arial Cyr"/>
      <charset val="204"/>
    </font>
    <font>
      <sz val="10"/>
      <color theme="0" tint="-0.499984740745262"/>
      <name val="Times New Roman"/>
      <family val="1"/>
      <charset val="204"/>
    </font>
    <font>
      <b/>
      <sz val="9"/>
      <color theme="0" tint="-0.499984740745262"/>
      <name val="Times New Roman"/>
      <family val="1"/>
      <charset val="204"/>
    </font>
    <font>
      <sz val="14"/>
      <color theme="0" tint="-0.499984740745262"/>
      <name val="Times New Roman"/>
      <family val="1"/>
      <charset val="204"/>
    </font>
    <font>
      <sz val="9"/>
      <color theme="0" tint="-0.499984740745262"/>
      <name val="Times New Roman"/>
      <family val="1"/>
      <charset val="204"/>
    </font>
    <font>
      <b/>
      <sz val="10"/>
      <color theme="0"/>
      <name val="Arial Cyr"/>
      <family val="2"/>
      <charset val="204"/>
    </font>
    <font>
      <sz val="12"/>
      <name val="Arial Cyr"/>
      <charset val="204"/>
    </font>
    <font>
      <sz val="11"/>
      <name val="Arial Cyr"/>
      <charset val="204"/>
    </font>
    <font>
      <sz val="10"/>
      <color theme="0" tint="-0.499984740745262"/>
      <name val="Arial Cyr"/>
      <family val="2"/>
      <charset val="204"/>
    </font>
    <font>
      <sz val="9"/>
      <color theme="0" tint="-0.249977111117893"/>
      <name val="Arial Cyr"/>
      <family val="2"/>
      <charset val="204"/>
    </font>
    <font>
      <sz val="8"/>
      <name val="Times New Roman"/>
      <family val="1"/>
      <charset val="204"/>
    </font>
    <font>
      <sz val="8"/>
      <color theme="0" tint="-0.499984740745262"/>
      <name val="Times New Roman"/>
      <family val="1"/>
      <charset val="204"/>
    </font>
    <font>
      <sz val="8"/>
      <color theme="0" tint="-0.499984740745262"/>
      <name val="Arial Cyr"/>
      <family val="2"/>
      <charset val="204"/>
    </font>
    <font>
      <b/>
      <sz val="16"/>
      <color rgb="FF7030A0"/>
      <name val="Times New Roman Cyr"/>
      <charset val="204"/>
    </font>
  </fonts>
  <fills count="4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indexed="3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gray125">
        <bgColor theme="9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289">
    <xf numFmtId="0" fontId="0" fillId="0" borderId="0"/>
    <xf numFmtId="165" fontId="2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7" fillId="0" borderId="0" applyNumberFormat="0" applyFont="0" applyFill="0" applyBorder="0" applyAlignment="0" applyProtection="0">
      <alignment vertical="top"/>
    </xf>
    <xf numFmtId="0" fontId="17" fillId="0" borderId="0" applyNumberFormat="0" applyFont="0" applyFill="0" applyBorder="0" applyAlignment="0" applyProtection="0">
      <alignment vertical="top"/>
    </xf>
    <xf numFmtId="0" fontId="17" fillId="0" borderId="0" applyNumberFormat="0" applyFont="0" applyFill="0" applyBorder="0" applyAlignment="0" applyProtection="0">
      <alignment vertical="top"/>
    </xf>
    <xf numFmtId="167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7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5" fillId="0" borderId="15">
      <protection locked="0"/>
    </xf>
    <xf numFmtId="172" fontId="27" fillId="0" borderId="0">
      <protection locked="0"/>
    </xf>
    <xf numFmtId="173" fontId="27" fillId="0" borderId="15">
      <protection locked="0"/>
    </xf>
    <xf numFmtId="174" fontId="27" fillId="0" borderId="0">
      <protection locked="0"/>
    </xf>
    <xf numFmtId="4" fontId="27" fillId="0" borderId="0">
      <protection locked="0"/>
    </xf>
    <xf numFmtId="175" fontId="27" fillId="0" borderId="0">
      <protection locked="0"/>
    </xf>
    <xf numFmtId="173" fontId="28" fillId="0" borderId="0">
      <protection locked="0"/>
    </xf>
    <xf numFmtId="173" fontId="29" fillId="0" borderId="0">
      <protection locked="0"/>
    </xf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0" fillId="0" borderId="5">
      <alignment horizontal="center"/>
    </xf>
    <xf numFmtId="166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31" fillId="0" borderId="0"/>
    <xf numFmtId="0" fontId="17" fillId="0" borderId="0"/>
    <xf numFmtId="9" fontId="19" fillId="0" borderId="0" applyFont="0" applyFill="0" applyBorder="0" applyAlignment="0" applyProtection="0"/>
    <xf numFmtId="0" fontId="32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7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33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2" fillId="0" borderId="0"/>
    <xf numFmtId="0" fontId="34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32" fillId="0" borderId="0"/>
    <xf numFmtId="0" fontId="35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33" fillId="0" borderId="0"/>
    <xf numFmtId="0" fontId="32" fillId="0" borderId="0"/>
    <xf numFmtId="0" fontId="1" fillId="0" borderId="0"/>
    <xf numFmtId="0" fontId="3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3" fillId="0" borderId="0"/>
    <xf numFmtId="0" fontId="17" fillId="0" borderId="0"/>
    <xf numFmtId="0" fontId="32" fillId="0" borderId="0"/>
    <xf numFmtId="0" fontId="17" fillId="0" borderId="0"/>
    <xf numFmtId="0" fontId="3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34" fillId="0" borderId="0"/>
    <xf numFmtId="0" fontId="1" fillId="0" borderId="0"/>
    <xf numFmtId="0" fontId="32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4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7" fillId="0" borderId="0"/>
    <xf numFmtId="0" fontId="19" fillId="0" borderId="0"/>
    <xf numFmtId="0" fontId="19" fillId="0" borderId="0"/>
    <xf numFmtId="0" fontId="19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7" fillId="0" borderId="0"/>
    <xf numFmtId="0" fontId="2" fillId="0" borderId="0"/>
    <xf numFmtId="0" fontId="19" fillId="0" borderId="0"/>
    <xf numFmtId="0" fontId="1" fillId="0" borderId="0"/>
    <xf numFmtId="0" fontId="19" fillId="0" borderId="0"/>
    <xf numFmtId="0" fontId="1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6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1" fillId="0" borderId="0"/>
    <xf numFmtId="0" fontId="34" fillId="0" borderId="0"/>
    <xf numFmtId="0" fontId="32" fillId="0" borderId="0"/>
    <xf numFmtId="0" fontId="37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9" fillId="0" borderId="0"/>
    <xf numFmtId="0" fontId="1" fillId="0" borderId="0"/>
    <xf numFmtId="0" fontId="1" fillId="0" borderId="0"/>
    <xf numFmtId="0" fontId="38" fillId="0" borderId="0"/>
    <xf numFmtId="0" fontId="17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39" fillId="0" borderId="0"/>
    <xf numFmtId="0" fontId="19" fillId="0" borderId="0"/>
    <xf numFmtId="0" fontId="34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9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32" fillId="0" borderId="0"/>
    <xf numFmtId="0" fontId="19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4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9" fillId="0" borderId="0"/>
    <xf numFmtId="0" fontId="17" fillId="0" borderId="0"/>
    <xf numFmtId="0" fontId="32" fillId="0" borderId="0"/>
    <xf numFmtId="0" fontId="32" fillId="0" borderId="0"/>
    <xf numFmtId="0" fontId="1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9" fillId="0" borderId="0"/>
    <xf numFmtId="0" fontId="32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3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9" fillId="0" borderId="0"/>
    <xf numFmtId="0" fontId="32" fillId="0" borderId="0"/>
    <xf numFmtId="0" fontId="32" fillId="0" borderId="0"/>
    <xf numFmtId="0" fontId="19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9" fillId="0" borderId="0"/>
    <xf numFmtId="0" fontId="1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9" fillId="0" borderId="0"/>
    <xf numFmtId="0" fontId="33" fillId="0" borderId="0"/>
    <xf numFmtId="0" fontId="33" fillId="0" borderId="0"/>
    <xf numFmtId="0" fontId="19" fillId="0" borderId="0"/>
    <xf numFmtId="0" fontId="33" fillId="0" borderId="0"/>
    <xf numFmtId="0" fontId="33" fillId="0" borderId="0"/>
    <xf numFmtId="0" fontId="19" fillId="0" borderId="0"/>
    <xf numFmtId="0" fontId="19" fillId="0" borderId="0"/>
    <xf numFmtId="0" fontId="18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0" fontId="36" fillId="6" borderId="14" applyNumberFormat="0" applyFont="0" applyAlignment="0" applyProtection="0"/>
    <xf numFmtId="9" fontId="3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41" fillId="0" borderId="0"/>
    <xf numFmtId="166" fontId="2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1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17" fillId="0" borderId="0" applyFont="0" applyFill="0" applyBorder="0" applyAlignment="0" applyProtection="0"/>
    <xf numFmtId="167" fontId="42" fillId="0" borderId="0" applyFont="0" applyFill="0" applyBorder="0" applyAlignment="0" applyProtection="0"/>
    <xf numFmtId="169" fontId="1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4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42" fillId="0" borderId="0" applyFont="0" applyFill="0" applyBorder="0" applyAlignment="0" applyProtection="0"/>
    <xf numFmtId="171" fontId="36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43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42" fillId="0" borderId="0" applyFont="0" applyFill="0" applyBorder="0" applyAlignment="0" applyProtection="0"/>
    <xf numFmtId="176" fontId="17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42" fillId="0" borderId="0" applyFont="0" applyFill="0" applyBorder="0" applyAlignment="0" applyProtection="0"/>
    <xf numFmtId="176" fontId="17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76" fontId="17" fillId="0" borderId="0" applyFont="0" applyFill="0" applyBorder="0" applyAlignment="0" applyProtection="0"/>
    <xf numFmtId="167" fontId="42" fillId="0" borderId="0" applyFont="0" applyFill="0" applyBorder="0" applyAlignment="0" applyProtection="0"/>
    <xf numFmtId="176" fontId="17" fillId="0" borderId="0" applyFont="0" applyFill="0" applyBorder="0" applyAlignment="0" applyProtection="0"/>
    <xf numFmtId="167" fontId="4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36" fillId="0" borderId="0" applyFont="0" applyFill="0" applyBorder="0" applyAlignment="0" applyProtection="0"/>
    <xf numFmtId="176" fontId="17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8" fontId="17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36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42" fillId="0" borderId="0" applyFont="0" applyFill="0" applyBorder="0" applyAlignment="0" applyProtection="0"/>
    <xf numFmtId="180" fontId="34" fillId="0" borderId="0" applyFont="0" applyFill="0" applyBorder="0" applyAlignment="0" applyProtection="0"/>
    <xf numFmtId="176" fontId="17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4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76" fontId="17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6" fontId="17" fillId="0" borderId="0" applyFont="0" applyFill="0" applyBorder="0" applyAlignment="0" applyProtection="0"/>
    <xf numFmtId="167" fontId="4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5" fillId="0" borderId="0">
      <protection locked="0"/>
    </xf>
    <xf numFmtId="0" fontId="5" fillId="0" borderId="0">
      <alignment vertical="top"/>
    </xf>
    <xf numFmtId="181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0" fontId="36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36" fillId="23" borderId="0" applyNumberFormat="0" applyBorder="0" applyAlignment="0" applyProtection="0"/>
    <xf numFmtId="0" fontId="36" fillId="24" borderId="0" applyNumberFormat="0" applyBorder="0" applyAlignment="0" applyProtection="0"/>
    <xf numFmtId="183" fontId="46" fillId="0" borderId="0" applyFont="0" applyFill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36" fillId="27" borderId="0" applyNumberFormat="0" applyBorder="0" applyAlignment="0" applyProtection="0"/>
    <xf numFmtId="0" fontId="36" fillId="22" borderId="0" applyNumberFormat="0" applyBorder="0" applyAlignment="0" applyProtection="0"/>
    <xf numFmtId="0" fontId="36" fillId="25" borderId="0" applyNumberFormat="0" applyBorder="0" applyAlignment="0" applyProtection="0"/>
    <xf numFmtId="0" fontId="36" fillId="28" borderId="0" applyNumberFormat="0" applyBorder="0" applyAlignment="0" applyProtection="0"/>
    <xf numFmtId="0" fontId="47" fillId="29" borderId="0" applyNumberFormat="0" applyBorder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47" fillId="32" borderId="0" applyNumberFormat="0" applyBorder="0" applyAlignment="0" applyProtection="0"/>
    <xf numFmtId="0" fontId="47" fillId="33" borderId="0" applyNumberFormat="0" applyBorder="0" applyAlignment="0" applyProtection="0"/>
    <xf numFmtId="0" fontId="47" fillId="34" borderId="0" applyNumberFormat="0" applyBorder="0" applyAlignment="0" applyProtection="0"/>
    <xf numFmtId="0" fontId="47" fillId="35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47" fillId="36" borderId="0" applyNumberFormat="0" applyBorder="0" applyAlignment="0" applyProtection="0"/>
    <xf numFmtId="0" fontId="48" fillId="20" borderId="0" applyNumberFormat="0" applyBorder="0" applyAlignment="0" applyProtection="0"/>
    <xf numFmtId="0" fontId="49" fillId="37" borderId="16" applyNumberFormat="0" applyAlignment="0" applyProtection="0"/>
    <xf numFmtId="0" fontId="50" fillId="38" borderId="17" applyNumberFormat="0" applyAlignment="0" applyProtection="0"/>
    <xf numFmtId="176" fontId="51" fillId="0" borderId="0" applyFont="0" applyFill="0" applyBorder="0" applyAlignment="0" applyProtection="0"/>
    <xf numFmtId="3" fontId="17" fillId="0" borderId="0" applyFont="0" applyFill="0" applyBorder="0" applyAlignment="0" applyProtection="0"/>
    <xf numFmtId="0" fontId="11" fillId="0" borderId="0" applyNumberFormat="0" applyFont="0" applyFill="0" applyBorder="0" applyAlignment="0"/>
    <xf numFmtId="184" fontId="17" fillId="0" borderId="0" applyFont="0" applyFill="0" applyBorder="0" applyAlignment="0" applyProtection="0"/>
    <xf numFmtId="185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6" fontId="14" fillId="0" borderId="0" applyFont="0" applyFill="0" applyBorder="0" applyAlignment="0" applyProtection="0"/>
    <xf numFmtId="187" fontId="52" fillId="0" borderId="0"/>
    <xf numFmtId="0" fontId="53" fillId="0" borderId="0" applyNumberFormat="0" applyFill="0" applyBorder="0" applyAlignment="0" applyProtection="0"/>
    <xf numFmtId="2" fontId="17" fillId="0" borderId="0" applyFont="0" applyFill="0" applyBorder="0" applyAlignment="0" applyProtection="0"/>
    <xf numFmtId="0" fontId="54" fillId="21" borderId="0" applyNumberFormat="0" applyBorder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18" applyNumberFormat="0" applyFill="0" applyAlignment="0" applyProtection="0"/>
    <xf numFmtId="0" fontId="57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0" fontId="58" fillId="24" borderId="16" applyNumberFormat="0" applyAlignment="0" applyProtection="0"/>
    <xf numFmtId="0" fontId="59" fillId="0" borderId="19" applyNumberFormat="0" applyFill="0" applyAlignment="0" applyProtection="0"/>
    <xf numFmtId="18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71" fontId="60" fillId="0" borderId="0" applyFill="0" applyBorder="0"/>
    <xf numFmtId="0" fontId="61" fillId="39" borderId="0" applyNumberFormat="0" applyBorder="0" applyAlignment="0" applyProtection="0"/>
    <xf numFmtId="0" fontId="60" fillId="0" borderId="0"/>
    <xf numFmtId="0" fontId="19" fillId="40" borderId="20" applyNumberFormat="0" applyFont="0" applyAlignment="0" applyProtection="0"/>
    <xf numFmtId="0" fontId="62" fillId="37" borderId="21" applyNumberFormat="0" applyAlignment="0" applyProtection="0"/>
    <xf numFmtId="9" fontId="17" fillId="0" borderId="0" applyFont="0" applyFill="0" applyBorder="0" applyAlignment="0" applyProtection="0"/>
    <xf numFmtId="191" fontId="46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17" fillId="0" borderId="22" applyNumberFormat="0" applyFont="0" applyFill="0" applyAlignment="0" applyProtection="0"/>
    <xf numFmtId="0" fontId="64" fillId="0" borderId="0" applyNumberFormat="0" applyFill="0" applyBorder="0" applyAlignment="0" applyProtection="0"/>
  </cellStyleXfs>
  <cellXfs count="372">
    <xf numFmtId="0" fontId="0" fillId="0" borderId="0" xfId="0"/>
    <xf numFmtId="3" fontId="5" fillId="0" borderId="3" xfId="0" applyNumberFormat="1" applyFont="1" applyBorder="1" applyAlignment="1" applyProtection="1">
      <alignment horizontal="right"/>
      <protection locked="0"/>
    </xf>
    <xf numFmtId="0" fontId="4" fillId="0" borderId="0" xfId="0" applyFont="1"/>
    <xf numFmtId="3" fontId="5" fillId="0" borderId="3" xfId="0" applyNumberFormat="1" applyFont="1" applyBorder="1" applyAlignment="1">
      <alignment horizontal="right"/>
    </xf>
    <xf numFmtId="3" fontId="5" fillId="2" borderId="3" xfId="0" applyNumberFormat="1" applyFont="1" applyFill="1" applyBorder="1" applyAlignment="1">
      <alignment horizontal="right"/>
    </xf>
    <xf numFmtId="3" fontId="2" fillId="0" borderId="1" xfId="0" applyNumberFormat="1" applyFont="1" applyBorder="1" applyAlignment="1" applyProtection="1">
      <alignment vertical="center"/>
      <protection locked="0"/>
    </xf>
    <xf numFmtId="0" fontId="2" fillId="0" borderId="2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 indent="2"/>
    </xf>
    <xf numFmtId="0" fontId="4" fillId="0" borderId="0" xfId="0" applyFont="1" applyAlignment="1">
      <alignment horizontal="center"/>
    </xf>
    <xf numFmtId="3" fontId="16" fillId="0" borderId="1" xfId="0" applyNumberFormat="1" applyFont="1" applyBorder="1" applyAlignment="1">
      <alignment vertical="center"/>
    </xf>
    <xf numFmtId="3" fontId="16" fillId="0" borderId="1" xfId="0" applyNumberFormat="1" applyFont="1" applyBorder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0" fontId="2" fillId="0" borderId="0" xfId="0" applyFont="1"/>
    <xf numFmtId="3" fontId="5" fillId="0" borderId="3" xfId="0" applyNumberFormat="1" applyFont="1" applyBorder="1"/>
    <xf numFmtId="3" fontId="5" fillId="0" borderId="1" xfId="0" applyNumberFormat="1" applyFont="1" applyBorder="1" applyAlignment="1">
      <alignment horizontal="right" wrapText="1"/>
    </xf>
    <xf numFmtId="3" fontId="13" fillId="0" borderId="1" xfId="0" applyNumberFormat="1" applyFont="1" applyBorder="1" applyAlignment="1">
      <alignment horizontal="right"/>
    </xf>
    <xf numFmtId="3" fontId="13" fillId="2" borderId="3" xfId="0" applyNumberFormat="1" applyFont="1" applyFill="1" applyBorder="1" applyAlignment="1">
      <alignment horizontal="right"/>
    </xf>
    <xf numFmtId="3" fontId="5" fillId="2" borderId="3" xfId="0" applyNumberFormat="1" applyFont="1" applyFill="1" applyBorder="1" applyAlignment="1" applyProtection="1">
      <alignment horizontal="right"/>
      <protection locked="0"/>
    </xf>
    <xf numFmtId="3" fontId="16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21" fillId="0" borderId="0" xfId="0" applyFont="1"/>
    <xf numFmtId="169" fontId="23" fillId="0" borderId="0" xfId="0" applyNumberFormat="1" applyFont="1" applyAlignment="1">
      <alignment horizontal="center"/>
    </xf>
    <xf numFmtId="0" fontId="21" fillId="0" borderId="0" xfId="0" applyFont="1" applyAlignment="1">
      <alignment vertical="center"/>
    </xf>
    <xf numFmtId="3" fontId="23" fillId="0" borderId="1" xfId="0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3" fontId="21" fillId="0" borderId="1" xfId="0" applyNumberFormat="1" applyFont="1" applyBorder="1" applyAlignment="1">
      <alignment vertical="center"/>
    </xf>
    <xf numFmtId="0" fontId="23" fillId="0" borderId="0" xfId="0" applyFont="1"/>
    <xf numFmtId="169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21" fillId="0" borderId="1" xfId="0" applyNumberFormat="1" applyFont="1" applyBorder="1" applyAlignment="1" applyProtection="1">
      <alignment vertical="center"/>
      <protection locked="0"/>
    </xf>
    <xf numFmtId="0" fontId="16" fillId="0" borderId="0" xfId="0" applyFont="1" applyAlignment="1">
      <alignment vertical="center"/>
    </xf>
    <xf numFmtId="170" fontId="4" fillId="0" borderId="3" xfId="3" applyNumberFormat="1" applyFont="1" applyBorder="1" applyProtection="1"/>
    <xf numFmtId="3" fontId="24" fillId="3" borderId="1" xfId="0" applyNumberFormat="1" applyFont="1" applyFill="1" applyBorder="1" applyAlignment="1">
      <alignment horizontal="center" vertical="center" wrapText="1"/>
    </xf>
    <xf numFmtId="3" fontId="16" fillId="3" borderId="1" xfId="0" applyNumberFormat="1" applyFont="1" applyFill="1" applyBorder="1" applyAlignment="1">
      <alignment horizontal="center" vertical="center" wrapText="1"/>
    </xf>
    <xf numFmtId="3" fontId="22" fillId="3" borderId="1" xfId="0" applyNumberFormat="1" applyFont="1" applyFill="1" applyBorder="1" applyAlignment="1">
      <alignment horizontal="center" vertical="center" wrapText="1"/>
    </xf>
    <xf numFmtId="3" fontId="16" fillId="0" borderId="3" xfId="0" applyNumberFormat="1" applyFont="1" applyBorder="1" applyAlignment="1" applyProtection="1">
      <alignment vertical="center"/>
      <protection locked="0"/>
    </xf>
    <xf numFmtId="49" fontId="9" fillId="0" borderId="0" xfId="0" applyNumberFormat="1" applyFont="1" applyAlignment="1">
      <alignment horizontal="centerContinuous" vertical="center"/>
    </xf>
    <xf numFmtId="3" fontId="20" fillId="0" borderId="0" xfId="0" applyNumberFormat="1" applyFont="1" applyAlignment="1">
      <alignment horizontal="centerContinuous" vertical="center"/>
    </xf>
    <xf numFmtId="3" fontId="9" fillId="0" borderId="0" xfId="0" applyNumberFormat="1" applyFont="1" applyAlignment="1">
      <alignment horizontal="centerContinuous" vertical="center"/>
    </xf>
    <xf numFmtId="3" fontId="20" fillId="0" borderId="0" xfId="0" applyNumberFormat="1" applyFont="1" applyAlignment="1">
      <alignment vertical="center"/>
    </xf>
    <xf numFmtId="3" fontId="10" fillId="0" borderId="1" xfId="0" applyNumberFormat="1" applyFont="1" applyBorder="1" applyAlignment="1">
      <alignment vertical="center"/>
    </xf>
    <xf numFmtId="9" fontId="10" fillId="0" borderId="1" xfId="3" applyFont="1" applyFill="1" applyBorder="1" applyAlignment="1" applyProtection="1">
      <alignment vertical="center"/>
    </xf>
    <xf numFmtId="3" fontId="10" fillId="0" borderId="1" xfId="3" applyNumberFormat="1" applyFont="1" applyBorder="1" applyAlignment="1" applyProtection="1">
      <alignment vertical="center"/>
    </xf>
    <xf numFmtId="3" fontId="10" fillId="5" borderId="1" xfId="0" applyNumberFormat="1" applyFont="1" applyFill="1" applyBorder="1" applyAlignment="1">
      <alignment vertical="center"/>
    </xf>
    <xf numFmtId="3" fontId="8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0" fontId="10" fillId="0" borderId="0" xfId="0" applyFont="1"/>
    <xf numFmtId="3" fontId="4" fillId="0" borderId="1" xfId="0" applyNumberFormat="1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9" fontId="6" fillId="0" borderId="1" xfId="3" applyFont="1" applyFill="1" applyBorder="1" applyAlignment="1" applyProtection="1">
      <alignment vertical="center"/>
    </xf>
    <xf numFmtId="3" fontId="6" fillId="0" borderId="1" xfId="3" applyNumberFormat="1" applyFont="1" applyBorder="1" applyAlignment="1" applyProtection="1">
      <alignment vertical="center"/>
    </xf>
    <xf numFmtId="3" fontId="3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3" fillId="0" borderId="1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/>
    <xf numFmtId="3" fontId="2" fillId="0" borderId="1" xfId="0" applyNumberFormat="1" applyFont="1" applyBorder="1" applyAlignment="1">
      <alignment vertical="center"/>
    </xf>
    <xf numFmtId="3" fontId="2" fillId="0" borderId="0" xfId="3" applyNumberFormat="1" applyFont="1"/>
    <xf numFmtId="9" fontId="2" fillId="0" borderId="0" xfId="3" applyFont="1"/>
    <xf numFmtId="3" fontId="2" fillId="0" borderId="1" xfId="3" applyNumberFormat="1" applyFont="1" applyBorder="1" applyAlignment="1" applyProtection="1">
      <alignment vertical="center"/>
    </xf>
    <xf numFmtId="3" fontId="2" fillId="0" borderId="1" xfId="3" applyNumberFormat="1" applyFont="1" applyFill="1" applyBorder="1" applyAlignment="1" applyProtection="1">
      <alignment vertical="center"/>
    </xf>
    <xf numFmtId="3" fontId="2" fillId="0" borderId="0" xfId="3" applyNumberFormat="1" applyFont="1" applyFill="1"/>
    <xf numFmtId="0" fontId="12" fillId="0" borderId="0" xfId="0" applyFont="1" applyAlignment="1" applyProtection="1">
      <alignment vertical="center"/>
      <protection hidden="1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2" fillId="0" borderId="0" xfId="0" applyFont="1"/>
    <xf numFmtId="3" fontId="16" fillId="0" borderId="3" xfId="0" applyNumberFormat="1" applyFont="1" applyBorder="1" applyAlignment="1">
      <alignment vertical="center"/>
    </xf>
    <xf numFmtId="3" fontId="10" fillId="0" borderId="1" xfId="3" applyNumberFormat="1" applyFont="1" applyFill="1" applyBorder="1" applyAlignment="1" applyProtection="1">
      <alignment vertical="center"/>
    </xf>
    <xf numFmtId="0" fontId="45" fillId="0" borderId="0" xfId="0" applyFont="1"/>
    <xf numFmtId="0" fontId="45" fillId="0" borderId="0" xfId="0" applyFont="1" applyAlignment="1">
      <alignment wrapText="1"/>
    </xf>
    <xf numFmtId="0" fontId="4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3" fontId="6" fillId="0" borderId="1" xfId="3" applyNumberFormat="1" applyFont="1" applyFill="1" applyBorder="1" applyAlignment="1" applyProtection="1">
      <alignment vertical="center"/>
    </xf>
    <xf numFmtId="0" fontId="16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4" fillId="0" borderId="1" xfId="3" applyNumberFormat="1" applyFont="1" applyFill="1" applyBorder="1" applyAlignment="1" applyProtection="1">
      <alignment vertical="center"/>
    </xf>
    <xf numFmtId="3" fontId="14" fillId="41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/>
    </xf>
    <xf numFmtId="169" fontId="4" fillId="0" borderId="0" xfId="0" applyNumberFormat="1" applyFont="1" applyAlignment="1">
      <alignment horizontal="centerContinuous"/>
    </xf>
    <xf numFmtId="49" fontId="2" fillId="0" borderId="0" xfId="0" applyNumberFormat="1" applyFont="1"/>
    <xf numFmtId="9" fontId="2" fillId="0" borderId="1" xfId="3" applyFont="1" applyFill="1" applyBorder="1" applyAlignment="1" applyProtection="1">
      <alignment vertical="center"/>
    </xf>
    <xf numFmtId="9" fontId="2" fillId="0" borderId="0" xfId="3" applyFont="1" applyFill="1" applyBorder="1" applyProtection="1">
      <protection hidden="1"/>
    </xf>
    <xf numFmtId="3" fontId="2" fillId="0" borderId="0" xfId="3" applyNumberFormat="1" applyFont="1" applyFill="1" applyBorder="1" applyProtection="1">
      <protection hidden="1"/>
    </xf>
    <xf numFmtId="3" fontId="2" fillId="0" borderId="0" xfId="0" applyNumberFormat="1" applyFont="1" applyProtection="1">
      <protection hidden="1"/>
    </xf>
    <xf numFmtId="3" fontId="2" fillId="0" borderId="0" xfId="3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9" fontId="2" fillId="0" borderId="0" xfId="3" applyFont="1" applyAlignment="1">
      <alignment wrapText="1"/>
    </xf>
    <xf numFmtId="3" fontId="10" fillId="0" borderId="0" xfId="0" applyNumberFormat="1" applyFont="1" applyAlignment="1">
      <alignment horizontal="center" vertical="center" wrapText="1"/>
    </xf>
    <xf numFmtId="3" fontId="4" fillId="0" borderId="1" xfId="0" applyNumberFormat="1" applyFont="1" applyBorder="1" applyAlignment="1">
      <alignment horizontal="center" wrapText="1"/>
    </xf>
    <xf numFmtId="3" fontId="4" fillId="0" borderId="1" xfId="3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wrapText="1"/>
    </xf>
    <xf numFmtId="9" fontId="2" fillId="0" borderId="1" xfId="9" applyFont="1" applyFill="1" applyBorder="1" applyAlignment="1" applyProtection="1">
      <alignment wrapText="1"/>
      <protection hidden="1"/>
    </xf>
    <xf numFmtId="3" fontId="2" fillId="0" borderId="1" xfId="0" applyNumberFormat="1" applyFont="1" applyBorder="1" applyAlignment="1">
      <alignment horizontal="center" wrapText="1"/>
    </xf>
    <xf numFmtId="9" fontId="2" fillId="0" borderId="0" xfId="9" applyFont="1" applyFill="1" applyBorder="1" applyAlignment="1" applyProtection="1">
      <alignment wrapText="1"/>
      <protection hidden="1"/>
    </xf>
    <xf numFmtId="3" fontId="2" fillId="0" borderId="0" xfId="0" applyNumberFormat="1" applyFont="1" applyAlignment="1">
      <alignment horizontal="center" wrapText="1"/>
    </xf>
    <xf numFmtId="3" fontId="2" fillId="0" borderId="1" xfId="0" applyNumberFormat="1" applyFont="1" applyBorder="1" applyAlignment="1">
      <alignment horizontal="left" wrapText="1"/>
    </xf>
    <xf numFmtId="3" fontId="2" fillId="0" borderId="0" xfId="0" applyNumberFormat="1" applyFont="1" applyAlignment="1">
      <alignment vertical="center"/>
    </xf>
    <xf numFmtId="167" fontId="2" fillId="0" borderId="0" xfId="4" applyFont="1" applyBorder="1" applyProtection="1"/>
    <xf numFmtId="3" fontId="5" fillId="0" borderId="1" xfId="0" applyNumberFormat="1" applyFont="1" applyBorder="1" applyAlignment="1" applyProtection="1">
      <alignment horizontal="right" wrapText="1"/>
      <protection locked="0"/>
    </xf>
    <xf numFmtId="3" fontId="2" fillId="0" borderId="3" xfId="0" applyNumberFormat="1" applyFont="1" applyBorder="1" applyAlignment="1" applyProtection="1">
      <alignment vertical="center"/>
      <protection locked="0"/>
    </xf>
    <xf numFmtId="0" fontId="3" fillId="0" borderId="0" xfId="0" applyFont="1" applyAlignment="1">
      <alignment horizontal="center" vertical="center" wrapText="1"/>
    </xf>
    <xf numFmtId="167" fontId="2" fillId="0" borderId="0" xfId="4" applyFont="1" applyFill="1" applyAlignment="1">
      <alignment vertical="center"/>
    </xf>
    <xf numFmtId="0" fontId="66" fillId="0" borderId="0" xfId="0" applyFont="1" applyAlignment="1">
      <alignment horizontal="center"/>
    </xf>
    <xf numFmtId="0" fontId="66" fillId="0" borderId="0" xfId="0" applyFont="1" applyAlignment="1" applyProtection="1">
      <alignment horizontal="center"/>
      <protection hidden="1"/>
    </xf>
    <xf numFmtId="3" fontId="65" fillId="0" borderId="0" xfId="0" applyNumberFormat="1" applyFont="1" applyAlignment="1">
      <alignment horizontal="center" vertical="center"/>
    </xf>
    <xf numFmtId="167" fontId="12" fillId="0" borderId="0" xfId="4" applyFont="1" applyBorder="1" applyProtection="1"/>
    <xf numFmtId="167" fontId="2" fillId="0" borderId="0" xfId="4" applyFont="1" applyProtection="1"/>
    <xf numFmtId="0" fontId="67" fillId="0" borderId="0" xfId="0" applyFont="1"/>
    <xf numFmtId="0" fontId="67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3" fontId="2" fillId="4" borderId="5" xfId="0" applyNumberFormat="1" applyFont="1" applyFill="1" applyBorder="1" applyAlignment="1">
      <alignment vertical="center"/>
    </xf>
    <xf numFmtId="3" fontId="2" fillId="4" borderId="3" xfId="0" applyNumberFormat="1" applyFont="1" applyFill="1" applyBorder="1" applyAlignment="1">
      <alignment vertical="center"/>
    </xf>
    <xf numFmtId="3" fontId="67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/>
    <xf numFmtId="0" fontId="16" fillId="0" borderId="0" xfId="0" applyFont="1" applyAlignment="1">
      <alignment horizontal="center"/>
    </xf>
    <xf numFmtId="192" fontId="13" fillId="0" borderId="9" xfId="5" applyNumberFormat="1" applyFont="1" applyFill="1" applyBorder="1" applyAlignment="1" applyProtection="1">
      <alignment wrapText="1"/>
      <protection locked="0"/>
    </xf>
    <xf numFmtId="3" fontId="0" fillId="0" borderId="0" xfId="0" applyNumberForma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left" vertical="center" indent="1"/>
    </xf>
    <xf numFmtId="0" fontId="24" fillId="0" borderId="0" xfId="0" applyFont="1" applyAlignment="1">
      <alignment horizontal="center" vertical="center" wrapText="1" shrinkToFit="1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indent="1"/>
    </xf>
    <xf numFmtId="4" fontId="0" fillId="0" borderId="0" xfId="0" applyNumberFormat="1" applyProtection="1">
      <protection locked="0"/>
    </xf>
    <xf numFmtId="170" fontId="16" fillId="0" borderId="1" xfId="3" applyNumberFormat="1" applyFont="1" applyFill="1" applyBorder="1" applyAlignment="1" applyProtection="1">
      <alignment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1"/>
    </xf>
    <xf numFmtId="3" fontId="0" fillId="0" borderId="1" xfId="0" applyNumberForma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170" fontId="16" fillId="0" borderId="3" xfId="3" applyNumberFormat="1" applyFont="1" applyBorder="1" applyProtection="1"/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horizontal="center" vertical="center" wrapText="1"/>
    </xf>
    <xf numFmtId="0" fontId="2" fillId="0" borderId="0" xfId="0" applyFont="1" applyProtection="1">
      <protection hidden="1"/>
    </xf>
    <xf numFmtId="3" fontId="68" fillId="3" borderId="5" xfId="0" applyNumberFormat="1" applyFont="1" applyFill="1" applyBorder="1" applyAlignment="1">
      <alignment horizontal="center" vertical="center" textRotation="90" wrapText="1"/>
    </xf>
    <xf numFmtId="49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 indent="1"/>
    </xf>
    <xf numFmtId="49" fontId="8" fillId="0" borderId="1" xfId="0" quotePrefix="1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horizontal="center" vertical="center"/>
    </xf>
    <xf numFmtId="3" fontId="69" fillId="0" borderId="1" xfId="0" quotePrefix="1" applyNumberFormat="1" applyFont="1" applyBorder="1" applyAlignment="1">
      <alignment horizontal="center" vertical="center" wrapText="1"/>
    </xf>
    <xf numFmtId="15" fontId="2" fillId="0" borderId="0" xfId="0" applyNumberFormat="1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1" fillId="0" borderId="0" xfId="0" applyFont="1" applyAlignment="1">
      <alignment horizontal="center"/>
    </xf>
    <xf numFmtId="0" fontId="70" fillId="0" borderId="0" xfId="0" applyFont="1"/>
    <xf numFmtId="0" fontId="68" fillId="0" borderId="0" xfId="0" quotePrefix="1" applyFont="1" applyAlignment="1">
      <alignment horizontal="left" indent="6"/>
    </xf>
    <xf numFmtId="0" fontId="70" fillId="0" borderId="0" xfId="0" applyFont="1" applyAlignment="1">
      <alignment vertical="center"/>
    </xf>
    <xf numFmtId="3" fontId="11" fillId="3" borderId="1" xfId="0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 indent="2"/>
    </xf>
    <xf numFmtId="0" fontId="16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4"/>
    </xf>
    <xf numFmtId="0" fontId="0" fillId="0" borderId="4" xfId="0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 indent="1"/>
    </xf>
    <xf numFmtId="49" fontId="3" fillId="0" borderId="1" xfId="0" quotePrefix="1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left" vertical="center" indent="1"/>
    </xf>
    <xf numFmtId="3" fontId="71" fillId="0" borderId="1" xfId="0" quotePrefix="1" applyNumberFormat="1" applyFont="1" applyBorder="1" applyAlignment="1">
      <alignment horizontal="center" vertical="center" wrapText="1"/>
    </xf>
    <xf numFmtId="3" fontId="0" fillId="0" borderId="1" xfId="0" quotePrefix="1" applyNumberFormat="1" applyBorder="1" applyAlignment="1">
      <alignment horizontal="left" vertical="center" wrapText="1" indent="2"/>
    </xf>
    <xf numFmtId="3" fontId="0" fillId="0" borderId="1" xfId="0" quotePrefix="1" applyNumberFormat="1" applyBorder="1" applyAlignment="1">
      <alignment horizontal="left" vertical="center" wrapText="1" indent="4"/>
    </xf>
    <xf numFmtId="49" fontId="4" fillId="0" borderId="1" xfId="0" applyNumberFormat="1" applyFont="1" applyBorder="1" applyAlignment="1">
      <alignment horizontal="left" vertical="center"/>
    </xf>
    <xf numFmtId="3" fontId="4" fillId="0" borderId="0" xfId="0" applyNumberFormat="1" applyFont="1" applyAlignment="1">
      <alignment horizontal="centerContinuous" vertical="center" wrapText="1"/>
    </xf>
    <xf numFmtId="3" fontId="4" fillId="0" borderId="0" xfId="0" applyNumberFormat="1" applyFont="1" applyAlignment="1">
      <alignment horizontal="centerContinuous" vertical="center"/>
    </xf>
    <xf numFmtId="3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3" fontId="3" fillId="0" borderId="0" xfId="0" applyNumberFormat="1" applyFont="1" applyAlignment="1">
      <alignment vertical="center" wrapText="1"/>
    </xf>
    <xf numFmtId="167" fontId="2" fillId="0" borderId="0" xfId="4" applyFont="1" applyAlignment="1">
      <alignment vertical="center"/>
    </xf>
    <xf numFmtId="3" fontId="4" fillId="0" borderId="1" xfId="0" applyNumberFormat="1" applyFont="1" applyBorder="1" applyAlignment="1">
      <alignment horizontal="left" vertical="center" wrapText="1" indent="2"/>
    </xf>
    <xf numFmtId="9" fontId="2" fillId="0" borderId="1" xfId="3" applyFont="1" applyBorder="1" applyAlignment="1" applyProtection="1">
      <alignment vertical="center"/>
    </xf>
    <xf numFmtId="3" fontId="2" fillId="0" borderId="1" xfId="0" applyNumberFormat="1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3"/>
    </xf>
    <xf numFmtId="3" fontId="4" fillId="0" borderId="1" xfId="0" applyNumberFormat="1" applyFont="1" applyBorder="1" applyAlignment="1">
      <alignment horizontal="left" vertical="center" wrapText="1" indent="1"/>
    </xf>
    <xf numFmtId="3" fontId="4" fillId="0" borderId="0" xfId="0" applyNumberFormat="1" applyFont="1" applyAlignment="1">
      <alignment vertical="center"/>
    </xf>
    <xf numFmtId="3" fontId="2" fillId="0" borderId="1" xfId="0" quotePrefix="1" applyNumberFormat="1" applyFont="1" applyBorder="1" applyAlignment="1">
      <alignment horizontal="left" vertical="center" wrapText="1" indent="2"/>
    </xf>
    <xf numFmtId="3" fontId="2" fillId="0" borderId="1" xfId="0" quotePrefix="1" applyNumberFormat="1" applyFont="1" applyBorder="1" applyAlignment="1">
      <alignment horizontal="left" vertical="center" wrapText="1" indent="4"/>
    </xf>
    <xf numFmtId="9" fontId="2" fillId="0" borderId="0" xfId="3" applyFont="1" applyFill="1"/>
    <xf numFmtId="167" fontId="2" fillId="0" borderId="0" xfId="4" applyFont="1" applyFill="1"/>
    <xf numFmtId="167" fontId="2" fillId="0" borderId="0" xfId="4" applyFont="1"/>
    <xf numFmtId="0" fontId="73" fillId="0" borderId="1" xfId="0" applyFont="1" applyBorder="1" applyAlignment="1">
      <alignment horizontal="center" vertical="center" wrapText="1"/>
    </xf>
    <xf numFmtId="0" fontId="45" fillId="0" borderId="0" xfId="0" applyFont="1" applyAlignment="1">
      <alignment horizontal="left"/>
    </xf>
    <xf numFmtId="0" fontId="12" fillId="0" borderId="0" xfId="0" applyFont="1" applyAlignment="1" applyProtection="1">
      <alignment horizontal="left"/>
      <protection hidden="1"/>
    </xf>
    <xf numFmtId="0" fontId="2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 indent="2"/>
    </xf>
    <xf numFmtId="0" fontId="4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/>
    </xf>
    <xf numFmtId="3" fontId="14" fillId="0" borderId="3" xfId="0" applyNumberFormat="1" applyFont="1" applyBorder="1" applyAlignment="1">
      <alignment horizontal="right"/>
    </xf>
    <xf numFmtId="0" fontId="16" fillId="0" borderId="23" xfId="0" applyFont="1" applyBorder="1" applyAlignment="1">
      <alignment horizontal="center" wrapText="1"/>
    </xf>
    <xf numFmtId="0" fontId="74" fillId="0" borderId="2" xfId="0" applyFont="1" applyBorder="1" applyAlignment="1">
      <alignment horizontal="center" vertical="center"/>
    </xf>
    <xf numFmtId="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2"/>
    </xf>
    <xf numFmtId="0" fontId="16" fillId="0" borderId="1" xfId="0" applyFont="1" applyBorder="1" applyAlignment="1">
      <alignment horizontal="left" vertical="center" wrapText="1" indent="2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indent="2"/>
    </xf>
    <xf numFmtId="0" fontId="2" fillId="0" borderId="2" xfId="0" applyFont="1" applyBorder="1" applyAlignment="1">
      <alignment horizontal="left" vertical="center" wrapText="1" indent="3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 vertical="center" indent="2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2" fillId="0" borderId="2" xfId="1" applyNumberFormat="1" applyFont="1" applyBorder="1" applyAlignment="1" applyProtection="1">
      <alignment horizontal="left" vertical="center" indent="1"/>
    </xf>
    <xf numFmtId="0" fontId="2" fillId="0" borderId="2" xfId="1" applyNumberFormat="1" applyFont="1" applyFill="1" applyBorder="1" applyAlignment="1" applyProtection="1">
      <alignment horizontal="center" vertical="center"/>
    </xf>
    <xf numFmtId="0" fontId="4" fillId="0" borderId="2" xfId="0" applyFont="1" applyBorder="1" applyAlignment="1">
      <alignment horizontal="left" vertical="center" indent="1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2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indent="1"/>
    </xf>
    <xf numFmtId="0" fontId="23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2"/>
    </xf>
    <xf numFmtId="0" fontId="23" fillId="0" borderId="1" xfId="0" applyFont="1" applyBorder="1" applyAlignment="1">
      <alignment horizontal="left" vertical="center" indent="2"/>
    </xf>
    <xf numFmtId="0" fontId="23" fillId="0" borderId="1" xfId="0" applyFont="1" applyBorder="1" applyAlignment="1">
      <alignment horizontal="left" vertical="center" wrapText="1" indent="2"/>
    </xf>
    <xf numFmtId="0" fontId="21" fillId="0" borderId="1" xfId="0" applyFont="1" applyBorder="1" applyAlignment="1">
      <alignment horizontal="left" vertical="center" wrapText="1" indent="2" shrinkToFit="1"/>
    </xf>
    <xf numFmtId="0" fontId="2" fillId="0" borderId="1" xfId="0" quotePrefix="1" applyFont="1" applyBorder="1" applyAlignment="1">
      <alignment horizontal="left" vertical="center" wrapText="1"/>
    </xf>
    <xf numFmtId="3" fontId="75" fillId="0" borderId="0" xfId="0" applyNumberFormat="1" applyFont="1" applyAlignment="1">
      <alignment vertical="center"/>
    </xf>
    <xf numFmtId="0" fontId="4" fillId="0" borderId="0" xfId="0" applyFont="1" applyAlignment="1">
      <alignment horizontal="left" indent="4"/>
    </xf>
    <xf numFmtId="0" fontId="8" fillId="0" borderId="0" xfId="0" applyFont="1"/>
    <xf numFmtId="0" fontId="9" fillId="0" borderId="0" xfId="0" applyFont="1"/>
    <xf numFmtId="167" fontId="70" fillId="0" borderId="0" xfId="4" applyFont="1" applyAlignment="1" applyProtection="1">
      <alignment vertical="center"/>
    </xf>
    <xf numFmtId="3" fontId="76" fillId="0" borderId="0" xfId="0" applyNumberFormat="1" applyFont="1" applyAlignment="1">
      <alignment vertical="center"/>
    </xf>
    <xf numFmtId="0" fontId="77" fillId="0" borderId="0" xfId="0" applyFont="1" applyAlignment="1">
      <alignment vertical="center"/>
    </xf>
    <xf numFmtId="167" fontId="78" fillId="0" borderId="0" xfId="4" applyFont="1" applyAlignment="1" applyProtection="1">
      <alignment vertical="center"/>
    </xf>
    <xf numFmtId="0" fontId="78" fillId="0" borderId="0" xfId="0" applyFont="1" applyAlignment="1">
      <alignment vertical="center"/>
    </xf>
    <xf numFmtId="192" fontId="13" fillId="0" borderId="9" xfId="5" applyNumberFormat="1" applyFont="1" applyFill="1" applyBorder="1" applyAlignment="1" applyProtection="1">
      <alignment wrapText="1"/>
    </xf>
    <xf numFmtId="192" fontId="13" fillId="0" borderId="9" xfId="5" applyNumberFormat="1" applyFont="1" applyFill="1" applyBorder="1" applyAlignment="1" applyProtection="1">
      <alignment horizontal="center" wrapText="1"/>
    </xf>
    <xf numFmtId="15" fontId="2" fillId="0" borderId="0" xfId="0" applyNumberFormat="1" applyFont="1"/>
    <xf numFmtId="192" fontId="14" fillId="0" borderId="9" xfId="5" applyNumberFormat="1" applyFont="1" applyFill="1" applyBorder="1" applyAlignment="1" applyProtection="1">
      <alignment horizontal="center" wrapText="1"/>
    </xf>
    <xf numFmtId="192" fontId="68" fillId="0" borderId="9" xfId="5" applyNumberFormat="1" applyFont="1" applyFill="1" applyBorder="1" applyAlignment="1" applyProtection="1">
      <alignment horizontal="center" wrapText="1"/>
    </xf>
    <xf numFmtId="0" fontId="79" fillId="0" borderId="0" xfId="0" quotePrefix="1" applyFont="1" applyAlignment="1">
      <alignment horizontal="left"/>
    </xf>
    <xf numFmtId="49" fontId="80" fillId="0" borderId="1" xfId="0" applyNumberFormat="1" applyFont="1" applyBorder="1" applyAlignment="1">
      <alignment horizontal="center" vertical="center"/>
    </xf>
    <xf numFmtId="49" fontId="81" fillId="0" borderId="1" xfId="0" applyNumberFormat="1" applyFont="1" applyBorder="1" applyAlignment="1">
      <alignment horizontal="center" vertical="center"/>
    </xf>
    <xf numFmtId="169" fontId="3" fillId="0" borderId="0" xfId="0" applyNumberFormat="1" applyFont="1" applyAlignment="1">
      <alignment horizontal="centerContinuous"/>
    </xf>
    <xf numFmtId="3" fontId="24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Continuous"/>
    </xf>
    <xf numFmtId="3" fontId="80" fillId="0" borderId="0" xfId="0" applyNumberFormat="1" applyFont="1" applyAlignment="1">
      <alignment horizontal="center"/>
    </xf>
    <xf numFmtId="3" fontId="6" fillId="0" borderId="0" xfId="0" applyNumberFormat="1" applyFont="1"/>
    <xf numFmtId="49" fontId="6" fillId="0" borderId="0" xfId="0" applyNumberFormat="1" applyFont="1"/>
    <xf numFmtId="9" fontId="6" fillId="0" borderId="0" xfId="3" applyFont="1" applyFill="1" applyBorder="1" applyProtection="1">
      <protection hidden="1"/>
    </xf>
    <xf numFmtId="3" fontId="6" fillId="0" borderId="0" xfId="3" applyNumberFormat="1" applyFont="1" applyFill="1" applyBorder="1" applyProtection="1">
      <protection hidden="1"/>
    </xf>
    <xf numFmtId="3" fontId="6" fillId="0" borderId="0" xfId="0" applyNumberFormat="1" applyFont="1" applyProtection="1">
      <protection hidden="1"/>
    </xf>
    <xf numFmtId="0" fontId="6" fillId="0" borderId="0" xfId="0" applyFont="1"/>
    <xf numFmtId="0" fontId="3" fillId="0" borderId="0" xfId="0" applyFont="1"/>
    <xf numFmtId="9" fontId="6" fillId="0" borderId="0" xfId="3" applyFont="1"/>
    <xf numFmtId="3" fontId="6" fillId="0" borderId="0" xfId="3" applyNumberFormat="1" applyFont="1"/>
    <xf numFmtId="3" fontId="6" fillId="0" borderId="1" xfId="0" applyNumberFormat="1" applyFont="1" applyBorder="1"/>
    <xf numFmtId="3" fontId="6" fillId="0" borderId="0" xfId="0" applyNumberFormat="1" applyFont="1" applyAlignment="1">
      <alignment wrapText="1"/>
    </xf>
    <xf numFmtId="3" fontId="9" fillId="0" borderId="0" xfId="0" applyNumberFormat="1" applyFont="1" applyAlignment="1">
      <alignment horizontal="center" vertical="center"/>
    </xf>
    <xf numFmtId="3" fontId="68" fillId="3" borderId="5" xfId="0" applyNumberFormat="1" applyFont="1" applyFill="1" applyBorder="1" applyAlignment="1">
      <alignment horizontal="center" vertical="center" wrapText="1"/>
    </xf>
    <xf numFmtId="3" fontId="72" fillId="3" borderId="5" xfId="0" applyNumberFormat="1" applyFont="1" applyFill="1" applyBorder="1" applyAlignment="1">
      <alignment horizontal="center" vertical="center" wrapText="1"/>
    </xf>
    <xf numFmtId="192" fontId="72" fillId="0" borderId="9" xfId="5" applyNumberFormat="1" applyFont="1" applyFill="1" applyBorder="1" applyAlignment="1" applyProtection="1">
      <alignment horizontal="center" wrapText="1"/>
    </xf>
    <xf numFmtId="3" fontId="2" fillId="0" borderId="1" xfId="0" quotePrefix="1" applyNumberFormat="1" applyFont="1" applyBorder="1" applyAlignment="1">
      <alignment horizontal="left" vertical="center" wrapText="1" indent="1"/>
    </xf>
    <xf numFmtId="3" fontId="2" fillId="0" borderId="1" xfId="0" quotePrefix="1" applyNumberFormat="1" applyFont="1" applyBorder="1" applyAlignment="1">
      <alignment horizontal="left" vertical="top" wrapText="1" indent="1"/>
    </xf>
    <xf numFmtId="4" fontId="0" fillId="0" borderId="24" xfId="0" applyNumberFormat="1" applyBorder="1" applyProtection="1">
      <protection locked="0"/>
    </xf>
    <xf numFmtId="0" fontId="3" fillId="0" borderId="0" xfId="0" quotePrefix="1" applyFont="1" applyAlignment="1" applyProtection="1">
      <alignment horizontal="center"/>
      <protection locked="0"/>
    </xf>
    <xf numFmtId="3" fontId="20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3" fontId="6" fillId="0" borderId="0" xfId="0" applyNumberFormat="1" applyFont="1" applyAlignment="1">
      <alignment vertical="center" wrapText="1"/>
    </xf>
    <xf numFmtId="167" fontId="6" fillId="0" borderId="0" xfId="4" applyFont="1" applyFill="1" applyAlignment="1" applyProtection="1">
      <alignment vertical="center" wrapText="1"/>
    </xf>
    <xf numFmtId="0" fontId="6" fillId="0" borderId="0" xfId="0" applyFont="1" applyAlignment="1">
      <alignment wrapText="1"/>
    </xf>
    <xf numFmtId="9" fontId="6" fillId="0" borderId="1" xfId="9" applyFont="1" applyFill="1" applyBorder="1" applyAlignment="1" applyProtection="1">
      <alignment vertical="center" wrapText="1"/>
      <protection hidden="1"/>
    </xf>
    <xf numFmtId="3" fontId="6" fillId="0" borderId="1" xfId="0" applyNumberFormat="1" applyFont="1" applyBorder="1" applyAlignment="1">
      <alignment vertical="center" wrapText="1"/>
    </xf>
    <xf numFmtId="193" fontId="2" fillId="0" borderId="0" xfId="4" applyNumberFormat="1" applyFont="1"/>
    <xf numFmtId="9" fontId="4" fillId="0" borderId="1" xfId="3" applyFont="1" applyFill="1" applyBorder="1" applyAlignment="1" applyProtection="1">
      <alignment horizontal="center" vertical="center"/>
    </xf>
    <xf numFmtId="194" fontId="6" fillId="0" borderId="1" xfId="0" applyNumberFormat="1" applyFont="1" applyBorder="1" applyAlignment="1">
      <alignment vertical="center"/>
    </xf>
    <xf numFmtId="194" fontId="2" fillId="0" borderId="1" xfId="0" applyNumberFormat="1" applyFont="1" applyBorder="1" applyAlignment="1">
      <alignment vertical="center"/>
    </xf>
    <xf numFmtId="3" fontId="82" fillId="0" borderId="0" xfId="0" applyNumberFormat="1" applyFont="1" applyAlignment="1">
      <alignment vertical="center"/>
    </xf>
    <xf numFmtId="0" fontId="82" fillId="0" borderId="0" xfId="0" applyFont="1" applyAlignment="1">
      <alignment vertical="center"/>
    </xf>
    <xf numFmtId="3" fontId="0" fillId="0" borderId="1" xfId="0" quotePrefix="1" applyNumberFormat="1" applyBorder="1" applyAlignment="1">
      <alignment vertical="center" wrapText="1"/>
    </xf>
    <xf numFmtId="192" fontId="13" fillId="0" borderId="9" xfId="5" applyNumberFormat="1" applyFont="1" applyFill="1" applyBorder="1" applyAlignment="1" applyProtection="1">
      <alignment horizontal="center" wrapText="1"/>
      <protection locked="0"/>
    </xf>
    <xf numFmtId="168" fontId="83" fillId="0" borderId="0" xfId="4" applyNumberFormat="1" applyFont="1" applyBorder="1" applyProtection="1"/>
    <xf numFmtId="0" fontId="10" fillId="0" borderId="0" xfId="0" applyFont="1" applyAlignment="1">
      <alignment vertical="center"/>
    </xf>
    <xf numFmtId="3" fontId="72" fillId="3" borderId="5" xfId="0" applyNumberFormat="1" applyFont="1" applyFill="1" applyBorder="1" applyAlignment="1">
      <alignment horizontal="center" vertical="center" textRotation="90" wrapText="1"/>
    </xf>
    <xf numFmtId="3" fontId="8" fillId="0" borderId="1" xfId="0" applyNumberFormat="1" applyFont="1" applyBorder="1" applyAlignment="1">
      <alignment vertical="center"/>
    </xf>
    <xf numFmtId="167" fontId="10" fillId="0" borderId="0" xfId="4" applyFont="1" applyFill="1" applyAlignment="1">
      <alignment vertical="center"/>
    </xf>
    <xf numFmtId="3" fontId="68" fillId="3" borderId="4" xfId="0" applyNumberFormat="1" applyFont="1" applyFill="1" applyBorder="1" applyAlignment="1">
      <alignment horizontal="center" vertical="center" wrapText="1"/>
    </xf>
    <xf numFmtId="3" fontId="74" fillId="0" borderId="0" xfId="0" applyNumberFormat="1" applyFont="1" applyAlignment="1">
      <alignment vertical="center"/>
    </xf>
    <xf numFmtId="167" fontId="81" fillId="0" borderId="0" xfId="4" applyFont="1" applyBorder="1" applyAlignment="1">
      <alignment vertical="center"/>
    </xf>
    <xf numFmtId="0" fontId="81" fillId="0" borderId="0" xfId="0" applyFont="1" applyAlignment="1">
      <alignment vertical="center"/>
    </xf>
    <xf numFmtId="168" fontId="81" fillId="0" borderId="0" xfId="4" applyNumberFormat="1" applyFont="1" applyFill="1" applyAlignment="1">
      <alignment vertical="center"/>
    </xf>
    <xf numFmtId="0" fontId="80" fillId="0" borderId="1" xfId="0" applyFont="1" applyBorder="1" applyAlignment="1">
      <alignment horizontal="left" vertical="center" wrapText="1" indent="1"/>
    </xf>
    <xf numFmtId="9" fontId="80" fillId="0" borderId="1" xfId="3" applyFont="1" applyFill="1" applyBorder="1" applyAlignment="1" applyProtection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84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168" fontId="12" fillId="0" borderId="0" xfId="4" applyNumberFormat="1" applyFont="1" applyAlignment="1" applyProtection="1">
      <alignment horizontal="center" vertical="center"/>
    </xf>
    <xf numFmtId="168" fontId="12" fillId="0" borderId="0" xfId="4" applyNumberFormat="1" applyFont="1" applyBorder="1" applyAlignment="1" applyProtection="1">
      <alignment horizontal="center" vertical="center"/>
    </xf>
    <xf numFmtId="168" fontId="12" fillId="0" borderId="0" xfId="4" applyNumberFormat="1" applyFont="1" applyFill="1" applyBorder="1" applyAlignment="1" applyProtection="1">
      <alignment horizontal="center" vertical="center"/>
    </xf>
    <xf numFmtId="168" fontId="12" fillId="0" borderId="0" xfId="4" applyNumberFormat="1" applyFont="1" applyFill="1" applyAlignment="1" applyProtection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3" fontId="4" fillId="0" borderId="1" xfId="3" applyNumberFormat="1" applyFont="1" applyFill="1" applyBorder="1" applyAlignment="1" applyProtection="1">
      <alignment vertical="center"/>
    </xf>
    <xf numFmtId="3" fontId="16" fillId="0" borderId="1" xfId="3" applyNumberFormat="1" applyFont="1" applyFill="1" applyBorder="1" applyAlignment="1" applyProtection="1">
      <alignment vertical="center"/>
    </xf>
    <xf numFmtId="0" fontId="4" fillId="0" borderId="1" xfId="0" applyFont="1" applyBorder="1" applyAlignment="1">
      <alignment vertical="center"/>
    </xf>
    <xf numFmtId="167" fontId="86" fillId="0" borderId="0" xfId="4" applyFont="1" applyFill="1" applyAlignment="1" applyProtection="1">
      <alignment horizontal="center" vertical="center"/>
    </xf>
    <xf numFmtId="194" fontId="3" fillId="0" borderId="1" xfId="0" applyNumberFormat="1" applyFont="1" applyBorder="1" applyAlignment="1">
      <alignment vertical="center"/>
    </xf>
    <xf numFmtId="194" fontId="2" fillId="0" borderId="0" xfId="0" applyNumberFormat="1" applyFont="1"/>
    <xf numFmtId="194" fontId="2" fillId="0" borderId="1" xfId="0" applyNumberFormat="1" applyFont="1" applyBorder="1" applyAlignment="1" applyProtection="1">
      <alignment vertical="center"/>
      <protection locked="0"/>
    </xf>
    <xf numFmtId="194" fontId="16" fillId="0" borderId="1" xfId="0" applyNumberFormat="1" applyFont="1" applyBorder="1" applyAlignment="1">
      <alignment vertical="center"/>
    </xf>
    <xf numFmtId="194" fontId="10" fillId="0" borderId="1" xfId="0" applyNumberFormat="1" applyFont="1" applyBorder="1" applyAlignment="1" applyProtection="1">
      <alignment vertical="center"/>
      <protection locked="0"/>
    </xf>
    <xf numFmtId="194" fontId="10" fillId="0" borderId="1" xfId="0" applyNumberFormat="1" applyFont="1" applyBorder="1" applyAlignment="1">
      <alignment vertical="center"/>
    </xf>
    <xf numFmtId="194" fontId="8" fillId="0" borderId="1" xfId="0" applyNumberFormat="1" applyFont="1" applyBorder="1" applyAlignment="1">
      <alignment vertical="center"/>
    </xf>
    <xf numFmtId="194" fontId="12" fillId="0" borderId="0" xfId="0" applyNumberFormat="1" applyFont="1"/>
    <xf numFmtId="194" fontId="80" fillId="0" borderId="1" xfId="0" applyNumberFormat="1" applyFont="1" applyBorder="1" applyAlignment="1">
      <alignment vertical="center"/>
    </xf>
    <xf numFmtId="194" fontId="6" fillId="0" borderId="1" xfId="3" applyNumberFormat="1" applyFont="1" applyBorder="1" applyAlignment="1" applyProtection="1">
      <alignment vertical="center"/>
    </xf>
    <xf numFmtId="194" fontId="6" fillId="5" borderId="1" xfId="0" applyNumberFormat="1" applyFont="1" applyFill="1" applyBorder="1" applyAlignment="1">
      <alignment vertical="center"/>
    </xf>
    <xf numFmtId="194" fontId="6" fillId="0" borderId="1" xfId="3" applyNumberFormat="1" applyFont="1" applyFill="1" applyBorder="1" applyAlignment="1" applyProtection="1">
      <alignment vertical="center"/>
    </xf>
    <xf numFmtId="194" fontId="2" fillId="0" borderId="1" xfId="3" applyNumberFormat="1" applyFont="1" applyFill="1" applyBorder="1" applyAlignment="1" applyProtection="1">
      <alignment vertical="center"/>
    </xf>
    <xf numFmtId="3" fontId="19" fillId="0" borderId="1" xfId="3" applyNumberFormat="1" applyFont="1" applyFill="1" applyBorder="1" applyAlignment="1" applyProtection="1">
      <alignment vertical="center"/>
    </xf>
    <xf numFmtId="3" fontId="19" fillId="0" borderId="1" xfId="0" applyNumberFormat="1" applyFont="1" applyBorder="1" applyAlignment="1">
      <alignment vertical="center"/>
    </xf>
    <xf numFmtId="3" fontId="19" fillId="0" borderId="3" xfId="0" applyNumberFormat="1" applyFont="1" applyBorder="1" applyAlignment="1">
      <alignment vertical="center"/>
    </xf>
    <xf numFmtId="3" fontId="19" fillId="0" borderId="3" xfId="0" applyNumberFormat="1" applyFont="1" applyBorder="1" applyAlignment="1" applyProtection="1">
      <alignment vertical="center"/>
      <protection locked="0"/>
    </xf>
    <xf numFmtId="3" fontId="16" fillId="0" borderId="1" xfId="0" quotePrefix="1" applyNumberFormat="1" applyFont="1" applyBorder="1" applyAlignment="1">
      <alignment horizontal="left" vertical="center" wrapText="1" indent="4"/>
    </xf>
    <xf numFmtId="168" fontId="81" fillId="0" borderId="0" xfId="4" applyNumberFormat="1" applyFont="1" applyBorder="1" applyAlignment="1">
      <alignment vertical="center"/>
    </xf>
    <xf numFmtId="194" fontId="24" fillId="0" borderId="1" xfId="0" applyNumberFormat="1" applyFont="1" applyBorder="1" applyAlignment="1">
      <alignment vertical="center"/>
    </xf>
    <xf numFmtId="194" fontId="4" fillId="0" borderId="1" xfId="0" applyNumberFormat="1" applyFont="1" applyBorder="1" applyAlignment="1">
      <alignment vertical="center"/>
    </xf>
    <xf numFmtId="0" fontId="21" fillId="0" borderId="0" xfId="0" applyFont="1" applyAlignment="1">
      <alignment horizontal="center" wrapText="1"/>
    </xf>
    <xf numFmtId="168" fontId="87" fillId="0" borderId="0" xfId="4" applyNumberFormat="1" applyFont="1" applyFill="1" applyAlignment="1" applyProtection="1">
      <alignment horizontal="center" vertical="center"/>
    </xf>
    <xf numFmtId="0" fontId="12" fillId="0" borderId="0" xfId="0" applyFont="1" applyProtection="1">
      <protection hidden="1"/>
    </xf>
    <xf numFmtId="0" fontId="66" fillId="0" borderId="0" xfId="0" applyFont="1" applyProtection="1">
      <protection hidden="1"/>
    </xf>
    <xf numFmtId="0" fontId="66" fillId="0" borderId="0" xfId="0" applyFont="1"/>
    <xf numFmtId="167" fontId="2" fillId="0" borderId="0" xfId="4" applyFont="1" applyFill="1" applyAlignment="1"/>
    <xf numFmtId="0" fontId="3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 shrinkToFit="1"/>
    </xf>
    <xf numFmtId="3" fontId="72" fillId="3" borderId="4" xfId="0" applyNumberFormat="1" applyFont="1" applyFill="1" applyBorder="1" applyAlignment="1">
      <alignment horizontal="center" vertical="center" wrapText="1"/>
    </xf>
    <xf numFmtId="3" fontId="72" fillId="3" borderId="6" xfId="0" applyNumberFormat="1" applyFont="1" applyFill="1" applyBorder="1" applyAlignment="1">
      <alignment horizontal="center" vertical="center" wrapText="1"/>
    </xf>
    <xf numFmtId="3" fontId="72" fillId="3" borderId="8" xfId="0" applyNumberFormat="1" applyFont="1" applyFill="1" applyBorder="1" applyAlignment="1">
      <alignment horizontal="center" vertical="center" wrapText="1"/>
    </xf>
    <xf numFmtId="3" fontId="72" fillId="3" borderId="5" xfId="0" applyNumberFormat="1" applyFont="1" applyFill="1" applyBorder="1" applyAlignment="1">
      <alignment horizontal="center" vertical="center" wrapText="1"/>
    </xf>
    <xf numFmtId="3" fontId="72" fillId="3" borderId="11" xfId="0" applyNumberFormat="1" applyFont="1" applyFill="1" applyBorder="1" applyAlignment="1">
      <alignment horizontal="center" vertical="center" wrapText="1"/>
    </xf>
    <xf numFmtId="3" fontId="4" fillId="0" borderId="0" xfId="3" applyNumberFormat="1" applyFont="1" applyAlignment="1">
      <alignment horizontal="center" wrapText="1"/>
    </xf>
    <xf numFmtId="3" fontId="72" fillId="3" borderId="7" xfId="0" applyNumberFormat="1" applyFont="1" applyFill="1" applyBorder="1" applyAlignment="1">
      <alignment horizontal="center" vertical="center" wrapText="1"/>
    </xf>
    <xf numFmtId="3" fontId="72" fillId="3" borderId="13" xfId="0" applyNumberFormat="1" applyFont="1" applyFill="1" applyBorder="1" applyAlignment="1">
      <alignment horizontal="center" vertical="center" wrapText="1"/>
    </xf>
    <xf numFmtId="3" fontId="72" fillId="3" borderId="2" xfId="0" applyNumberFormat="1" applyFont="1" applyFill="1" applyBorder="1" applyAlignment="1">
      <alignment horizontal="center" vertical="center" wrapText="1"/>
    </xf>
    <xf numFmtId="3" fontId="72" fillId="3" borderId="12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3" fontId="72" fillId="3" borderId="10" xfId="0" applyNumberFormat="1" applyFont="1" applyFill="1" applyBorder="1" applyAlignment="1">
      <alignment horizontal="center" vertical="center" wrapText="1"/>
    </xf>
    <xf numFmtId="3" fontId="72" fillId="3" borderId="9" xfId="0" applyNumberFormat="1" applyFont="1" applyFill="1" applyBorder="1" applyAlignment="1">
      <alignment horizontal="center" vertical="center" wrapText="1"/>
    </xf>
    <xf numFmtId="3" fontId="68" fillId="3" borderId="4" xfId="0" applyNumberFormat="1" applyFont="1" applyFill="1" applyBorder="1" applyAlignment="1">
      <alignment horizontal="center" vertical="center" wrapText="1"/>
    </xf>
    <xf numFmtId="3" fontId="68" fillId="3" borderId="8" xfId="0" applyNumberFormat="1" applyFont="1" applyFill="1" applyBorder="1" applyAlignment="1">
      <alignment horizontal="center" vertical="center" wrapText="1"/>
    </xf>
    <xf numFmtId="3" fontId="68" fillId="3" borderId="6" xfId="0" applyNumberFormat="1" applyFont="1" applyFill="1" applyBorder="1" applyAlignment="1">
      <alignment horizontal="center" vertical="center" wrapText="1"/>
    </xf>
    <xf numFmtId="3" fontId="68" fillId="3" borderId="5" xfId="0" applyNumberFormat="1" applyFont="1" applyFill="1" applyBorder="1" applyAlignment="1">
      <alignment horizontal="center" vertical="center" wrapText="1"/>
    </xf>
    <xf numFmtId="3" fontId="68" fillId="3" borderId="3" xfId="0" applyNumberFormat="1" applyFont="1" applyFill="1" applyBorder="1" applyAlignment="1">
      <alignment horizontal="center" vertical="center" wrapText="1"/>
    </xf>
    <xf numFmtId="192" fontId="68" fillId="0" borderId="9" xfId="5" applyNumberFormat="1" applyFont="1" applyFill="1" applyBorder="1" applyAlignment="1" applyProtection="1">
      <alignment horizontal="center" wrapText="1"/>
    </xf>
    <xf numFmtId="3" fontId="68" fillId="3" borderId="7" xfId="0" applyNumberFormat="1" applyFont="1" applyFill="1" applyBorder="1" applyAlignment="1">
      <alignment horizontal="center" vertical="center" wrapText="1"/>
    </xf>
    <xf numFmtId="3" fontId="68" fillId="3" borderId="13" xfId="0" applyNumberFormat="1" applyFont="1" applyFill="1" applyBorder="1" applyAlignment="1">
      <alignment horizontal="center" vertical="center" wrapText="1"/>
    </xf>
    <xf numFmtId="3" fontId="68" fillId="3" borderId="2" xfId="0" applyNumberFormat="1" applyFont="1" applyFill="1" applyBorder="1" applyAlignment="1">
      <alignment horizontal="center" vertical="center" wrapText="1"/>
    </xf>
    <xf numFmtId="3" fontId="68" fillId="3" borderId="12" xfId="0" applyNumberFormat="1" applyFont="1" applyFill="1" applyBorder="1" applyAlignment="1">
      <alignment horizontal="center" vertical="center" wrapText="1"/>
    </xf>
    <xf numFmtId="3" fontId="68" fillId="3" borderId="1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92" fontId="72" fillId="0" borderId="9" xfId="5" applyNumberFormat="1" applyFont="1" applyFill="1" applyBorder="1" applyAlignment="1" applyProtection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1289">
    <cellStyle name="”ќђќ‘ћ‚›‰" xfId="12" xr:uid="{00000000-0005-0000-0000-000000000000}"/>
    <cellStyle name="”љ‘ђћ‚ђќќ›‰" xfId="13" xr:uid="{00000000-0005-0000-0000-000001000000}"/>
    <cellStyle name="„…ќ…†ќ›‰" xfId="14" xr:uid="{00000000-0005-0000-0000-000002000000}"/>
    <cellStyle name="‡ђѓћ‹ћ‚ћљ1" xfId="15" xr:uid="{00000000-0005-0000-0000-000003000000}"/>
    <cellStyle name="‡ђѓћ‹ћ‚ћљ2" xfId="16" xr:uid="{00000000-0005-0000-0000-000004000000}"/>
    <cellStyle name="’ћѓћ‚›‰" xfId="17" xr:uid="{00000000-0005-0000-0000-000005000000}"/>
    <cellStyle name="" xfId="18" xr:uid="{00000000-0005-0000-0000-000006000000}"/>
    <cellStyle name="" xfId="19" xr:uid="{00000000-0005-0000-0000-000007000000}"/>
    <cellStyle name="" xfId="20" xr:uid="{00000000-0005-0000-0000-000008000000}"/>
    <cellStyle name="" xfId="21" xr:uid="{00000000-0005-0000-0000-000009000000}"/>
    <cellStyle name="" xfId="22" xr:uid="{00000000-0005-0000-0000-00000A000000}"/>
    <cellStyle name="1" xfId="23" xr:uid="{00000000-0005-0000-0000-00000B000000}"/>
    <cellStyle name="2" xfId="24" xr:uid="{00000000-0005-0000-0000-00000C000000}"/>
    <cellStyle name="1 indent" xfId="1227" xr:uid="{00000000-0005-0000-0000-00000D000000}"/>
    <cellStyle name="2 indents" xfId="1228" xr:uid="{00000000-0005-0000-0000-00000E000000}"/>
    <cellStyle name="20% - Accent1" xfId="1229" xr:uid="{00000000-0005-0000-0000-00000F000000}"/>
    <cellStyle name="20% - Accent2" xfId="1230" xr:uid="{00000000-0005-0000-0000-000010000000}"/>
    <cellStyle name="20% - Accent3" xfId="1231" xr:uid="{00000000-0005-0000-0000-000011000000}"/>
    <cellStyle name="20% - Accent4" xfId="1232" xr:uid="{00000000-0005-0000-0000-000012000000}"/>
    <cellStyle name="20% - Accent5" xfId="1233" xr:uid="{00000000-0005-0000-0000-000013000000}"/>
    <cellStyle name="20% - Accent6" xfId="1234" xr:uid="{00000000-0005-0000-0000-000014000000}"/>
    <cellStyle name="20% - Акцент1 10" xfId="25" xr:uid="{00000000-0005-0000-0000-000015000000}"/>
    <cellStyle name="20% - Акцент1 11" xfId="26" xr:uid="{00000000-0005-0000-0000-000016000000}"/>
    <cellStyle name="20% - Акцент1 12" xfId="27" xr:uid="{00000000-0005-0000-0000-000017000000}"/>
    <cellStyle name="20% - Акцент1 13" xfId="28" xr:uid="{00000000-0005-0000-0000-000018000000}"/>
    <cellStyle name="20% - Акцент1 14" xfId="29" xr:uid="{00000000-0005-0000-0000-000019000000}"/>
    <cellStyle name="20% - Акцент1 15" xfId="30" xr:uid="{00000000-0005-0000-0000-00001A000000}"/>
    <cellStyle name="20% - Акцент1 16" xfId="31" xr:uid="{00000000-0005-0000-0000-00001B000000}"/>
    <cellStyle name="20% - Акцент1 17" xfId="32" xr:uid="{00000000-0005-0000-0000-00001C000000}"/>
    <cellStyle name="20% - Акцент1 18" xfId="33" xr:uid="{00000000-0005-0000-0000-00001D000000}"/>
    <cellStyle name="20% - Акцент1 19" xfId="34" xr:uid="{00000000-0005-0000-0000-00001E000000}"/>
    <cellStyle name="20% - Акцент1 2" xfId="35" xr:uid="{00000000-0005-0000-0000-00001F000000}"/>
    <cellStyle name="20% - Акцент1 20" xfId="36" xr:uid="{00000000-0005-0000-0000-000020000000}"/>
    <cellStyle name="20% - Акцент1 21" xfId="37" xr:uid="{00000000-0005-0000-0000-000021000000}"/>
    <cellStyle name="20% - Акцент1 22" xfId="38" xr:uid="{00000000-0005-0000-0000-000022000000}"/>
    <cellStyle name="20% - Акцент1 23" xfId="39" xr:uid="{00000000-0005-0000-0000-000023000000}"/>
    <cellStyle name="20% - Акцент1 24" xfId="40" xr:uid="{00000000-0005-0000-0000-000024000000}"/>
    <cellStyle name="20% - Акцент1 25" xfId="41" xr:uid="{00000000-0005-0000-0000-000025000000}"/>
    <cellStyle name="20% - Акцент1 26" xfId="42" xr:uid="{00000000-0005-0000-0000-000026000000}"/>
    <cellStyle name="20% - Акцент1 3" xfId="43" xr:uid="{00000000-0005-0000-0000-000027000000}"/>
    <cellStyle name="20% - Акцент1 4" xfId="44" xr:uid="{00000000-0005-0000-0000-000028000000}"/>
    <cellStyle name="20% - Акцент1 5" xfId="45" xr:uid="{00000000-0005-0000-0000-000029000000}"/>
    <cellStyle name="20% - Акцент1 6" xfId="46" xr:uid="{00000000-0005-0000-0000-00002A000000}"/>
    <cellStyle name="20% - Акцент1 7" xfId="47" xr:uid="{00000000-0005-0000-0000-00002B000000}"/>
    <cellStyle name="20% - Акцент1 8" xfId="48" xr:uid="{00000000-0005-0000-0000-00002C000000}"/>
    <cellStyle name="20% - Акцент1 9" xfId="49" xr:uid="{00000000-0005-0000-0000-00002D000000}"/>
    <cellStyle name="20% - Акцент2 10" xfId="50" xr:uid="{00000000-0005-0000-0000-00002E000000}"/>
    <cellStyle name="20% - Акцент2 11" xfId="51" xr:uid="{00000000-0005-0000-0000-00002F000000}"/>
    <cellStyle name="20% - Акцент2 12" xfId="52" xr:uid="{00000000-0005-0000-0000-000030000000}"/>
    <cellStyle name="20% - Акцент2 13" xfId="53" xr:uid="{00000000-0005-0000-0000-000031000000}"/>
    <cellStyle name="20% - Акцент2 14" xfId="54" xr:uid="{00000000-0005-0000-0000-000032000000}"/>
    <cellStyle name="20% - Акцент2 15" xfId="55" xr:uid="{00000000-0005-0000-0000-000033000000}"/>
    <cellStyle name="20% - Акцент2 16" xfId="56" xr:uid="{00000000-0005-0000-0000-000034000000}"/>
    <cellStyle name="20% - Акцент2 17" xfId="57" xr:uid="{00000000-0005-0000-0000-000035000000}"/>
    <cellStyle name="20% - Акцент2 18" xfId="58" xr:uid="{00000000-0005-0000-0000-000036000000}"/>
    <cellStyle name="20% - Акцент2 19" xfId="59" xr:uid="{00000000-0005-0000-0000-000037000000}"/>
    <cellStyle name="20% - Акцент2 2" xfId="60" xr:uid="{00000000-0005-0000-0000-000038000000}"/>
    <cellStyle name="20% - Акцент2 20" xfId="61" xr:uid="{00000000-0005-0000-0000-000039000000}"/>
    <cellStyle name="20% - Акцент2 21" xfId="62" xr:uid="{00000000-0005-0000-0000-00003A000000}"/>
    <cellStyle name="20% - Акцент2 22" xfId="63" xr:uid="{00000000-0005-0000-0000-00003B000000}"/>
    <cellStyle name="20% - Акцент2 23" xfId="64" xr:uid="{00000000-0005-0000-0000-00003C000000}"/>
    <cellStyle name="20% - Акцент2 24" xfId="65" xr:uid="{00000000-0005-0000-0000-00003D000000}"/>
    <cellStyle name="20% - Акцент2 25" xfId="66" xr:uid="{00000000-0005-0000-0000-00003E000000}"/>
    <cellStyle name="20% - Акцент2 26" xfId="67" xr:uid="{00000000-0005-0000-0000-00003F000000}"/>
    <cellStyle name="20% - Акцент2 3" xfId="68" xr:uid="{00000000-0005-0000-0000-000040000000}"/>
    <cellStyle name="20% - Акцент2 4" xfId="69" xr:uid="{00000000-0005-0000-0000-000041000000}"/>
    <cellStyle name="20% - Акцент2 5" xfId="70" xr:uid="{00000000-0005-0000-0000-000042000000}"/>
    <cellStyle name="20% - Акцент2 6" xfId="71" xr:uid="{00000000-0005-0000-0000-000043000000}"/>
    <cellStyle name="20% - Акцент2 7" xfId="72" xr:uid="{00000000-0005-0000-0000-000044000000}"/>
    <cellStyle name="20% - Акцент2 8" xfId="73" xr:uid="{00000000-0005-0000-0000-000045000000}"/>
    <cellStyle name="20% - Акцент2 9" xfId="74" xr:uid="{00000000-0005-0000-0000-000046000000}"/>
    <cellStyle name="20% - Акцент3 10" xfId="75" xr:uid="{00000000-0005-0000-0000-000047000000}"/>
    <cellStyle name="20% - Акцент3 11" xfId="76" xr:uid="{00000000-0005-0000-0000-000048000000}"/>
    <cellStyle name="20% - Акцент3 12" xfId="77" xr:uid="{00000000-0005-0000-0000-000049000000}"/>
    <cellStyle name="20% - Акцент3 13" xfId="78" xr:uid="{00000000-0005-0000-0000-00004A000000}"/>
    <cellStyle name="20% - Акцент3 14" xfId="79" xr:uid="{00000000-0005-0000-0000-00004B000000}"/>
    <cellStyle name="20% - Акцент3 15" xfId="80" xr:uid="{00000000-0005-0000-0000-00004C000000}"/>
    <cellStyle name="20% - Акцент3 16" xfId="81" xr:uid="{00000000-0005-0000-0000-00004D000000}"/>
    <cellStyle name="20% - Акцент3 17" xfId="82" xr:uid="{00000000-0005-0000-0000-00004E000000}"/>
    <cellStyle name="20% - Акцент3 18" xfId="83" xr:uid="{00000000-0005-0000-0000-00004F000000}"/>
    <cellStyle name="20% - Акцент3 19" xfId="84" xr:uid="{00000000-0005-0000-0000-000050000000}"/>
    <cellStyle name="20% - Акцент3 2" xfId="85" xr:uid="{00000000-0005-0000-0000-000051000000}"/>
    <cellStyle name="20% - Акцент3 20" xfId="86" xr:uid="{00000000-0005-0000-0000-000052000000}"/>
    <cellStyle name="20% - Акцент3 21" xfId="87" xr:uid="{00000000-0005-0000-0000-000053000000}"/>
    <cellStyle name="20% - Акцент3 22" xfId="88" xr:uid="{00000000-0005-0000-0000-000054000000}"/>
    <cellStyle name="20% - Акцент3 23" xfId="89" xr:uid="{00000000-0005-0000-0000-000055000000}"/>
    <cellStyle name="20% - Акцент3 24" xfId="90" xr:uid="{00000000-0005-0000-0000-000056000000}"/>
    <cellStyle name="20% - Акцент3 25" xfId="91" xr:uid="{00000000-0005-0000-0000-000057000000}"/>
    <cellStyle name="20% - Акцент3 26" xfId="92" xr:uid="{00000000-0005-0000-0000-000058000000}"/>
    <cellStyle name="20% - Акцент3 3" xfId="93" xr:uid="{00000000-0005-0000-0000-000059000000}"/>
    <cellStyle name="20% - Акцент3 4" xfId="94" xr:uid="{00000000-0005-0000-0000-00005A000000}"/>
    <cellStyle name="20% - Акцент3 5" xfId="95" xr:uid="{00000000-0005-0000-0000-00005B000000}"/>
    <cellStyle name="20% - Акцент3 6" xfId="96" xr:uid="{00000000-0005-0000-0000-00005C000000}"/>
    <cellStyle name="20% - Акцент3 7" xfId="97" xr:uid="{00000000-0005-0000-0000-00005D000000}"/>
    <cellStyle name="20% - Акцент3 8" xfId="98" xr:uid="{00000000-0005-0000-0000-00005E000000}"/>
    <cellStyle name="20% - Акцент3 9" xfId="99" xr:uid="{00000000-0005-0000-0000-00005F000000}"/>
    <cellStyle name="20% - Акцент4 10" xfId="100" xr:uid="{00000000-0005-0000-0000-000060000000}"/>
    <cellStyle name="20% - Акцент4 11" xfId="101" xr:uid="{00000000-0005-0000-0000-000061000000}"/>
    <cellStyle name="20% - Акцент4 12" xfId="102" xr:uid="{00000000-0005-0000-0000-000062000000}"/>
    <cellStyle name="20% - Акцент4 13" xfId="103" xr:uid="{00000000-0005-0000-0000-000063000000}"/>
    <cellStyle name="20% - Акцент4 14" xfId="104" xr:uid="{00000000-0005-0000-0000-000064000000}"/>
    <cellStyle name="20% - Акцент4 15" xfId="105" xr:uid="{00000000-0005-0000-0000-000065000000}"/>
    <cellStyle name="20% - Акцент4 16" xfId="106" xr:uid="{00000000-0005-0000-0000-000066000000}"/>
    <cellStyle name="20% - Акцент4 17" xfId="107" xr:uid="{00000000-0005-0000-0000-000067000000}"/>
    <cellStyle name="20% - Акцент4 18" xfId="108" xr:uid="{00000000-0005-0000-0000-000068000000}"/>
    <cellStyle name="20% - Акцент4 19" xfId="109" xr:uid="{00000000-0005-0000-0000-000069000000}"/>
    <cellStyle name="20% - Акцент4 2" xfId="110" xr:uid="{00000000-0005-0000-0000-00006A000000}"/>
    <cellStyle name="20% - Акцент4 20" xfId="111" xr:uid="{00000000-0005-0000-0000-00006B000000}"/>
    <cellStyle name="20% - Акцент4 21" xfId="112" xr:uid="{00000000-0005-0000-0000-00006C000000}"/>
    <cellStyle name="20% - Акцент4 22" xfId="113" xr:uid="{00000000-0005-0000-0000-00006D000000}"/>
    <cellStyle name="20% - Акцент4 23" xfId="114" xr:uid="{00000000-0005-0000-0000-00006E000000}"/>
    <cellStyle name="20% - Акцент4 24" xfId="115" xr:uid="{00000000-0005-0000-0000-00006F000000}"/>
    <cellStyle name="20% - Акцент4 25" xfId="116" xr:uid="{00000000-0005-0000-0000-000070000000}"/>
    <cellStyle name="20% - Акцент4 26" xfId="117" xr:uid="{00000000-0005-0000-0000-000071000000}"/>
    <cellStyle name="20% - Акцент4 3" xfId="118" xr:uid="{00000000-0005-0000-0000-000072000000}"/>
    <cellStyle name="20% - Акцент4 4" xfId="119" xr:uid="{00000000-0005-0000-0000-000073000000}"/>
    <cellStyle name="20% - Акцент4 5" xfId="120" xr:uid="{00000000-0005-0000-0000-000074000000}"/>
    <cellStyle name="20% - Акцент4 6" xfId="121" xr:uid="{00000000-0005-0000-0000-000075000000}"/>
    <cellStyle name="20% - Акцент4 7" xfId="122" xr:uid="{00000000-0005-0000-0000-000076000000}"/>
    <cellStyle name="20% - Акцент4 8" xfId="123" xr:uid="{00000000-0005-0000-0000-000077000000}"/>
    <cellStyle name="20% - Акцент4 9" xfId="124" xr:uid="{00000000-0005-0000-0000-000078000000}"/>
    <cellStyle name="20% - Акцент5 10" xfId="125" xr:uid="{00000000-0005-0000-0000-000079000000}"/>
    <cellStyle name="20% - Акцент5 11" xfId="126" xr:uid="{00000000-0005-0000-0000-00007A000000}"/>
    <cellStyle name="20% - Акцент5 12" xfId="127" xr:uid="{00000000-0005-0000-0000-00007B000000}"/>
    <cellStyle name="20% - Акцент5 13" xfId="128" xr:uid="{00000000-0005-0000-0000-00007C000000}"/>
    <cellStyle name="20% - Акцент5 14" xfId="129" xr:uid="{00000000-0005-0000-0000-00007D000000}"/>
    <cellStyle name="20% - Акцент5 15" xfId="130" xr:uid="{00000000-0005-0000-0000-00007E000000}"/>
    <cellStyle name="20% - Акцент5 16" xfId="131" xr:uid="{00000000-0005-0000-0000-00007F000000}"/>
    <cellStyle name="20% - Акцент5 17" xfId="132" xr:uid="{00000000-0005-0000-0000-000080000000}"/>
    <cellStyle name="20% - Акцент5 18" xfId="133" xr:uid="{00000000-0005-0000-0000-000081000000}"/>
    <cellStyle name="20% - Акцент5 19" xfId="134" xr:uid="{00000000-0005-0000-0000-000082000000}"/>
    <cellStyle name="20% - Акцент5 2" xfId="135" xr:uid="{00000000-0005-0000-0000-000083000000}"/>
    <cellStyle name="20% - Акцент5 20" xfId="136" xr:uid="{00000000-0005-0000-0000-000084000000}"/>
    <cellStyle name="20% - Акцент5 21" xfId="137" xr:uid="{00000000-0005-0000-0000-000085000000}"/>
    <cellStyle name="20% - Акцент5 22" xfId="138" xr:uid="{00000000-0005-0000-0000-000086000000}"/>
    <cellStyle name="20% - Акцент5 23" xfId="139" xr:uid="{00000000-0005-0000-0000-000087000000}"/>
    <cellStyle name="20% - Акцент5 24" xfId="140" xr:uid="{00000000-0005-0000-0000-000088000000}"/>
    <cellStyle name="20% - Акцент5 25" xfId="141" xr:uid="{00000000-0005-0000-0000-000089000000}"/>
    <cellStyle name="20% - Акцент5 26" xfId="142" xr:uid="{00000000-0005-0000-0000-00008A000000}"/>
    <cellStyle name="20% - Акцент5 3" xfId="143" xr:uid="{00000000-0005-0000-0000-00008B000000}"/>
    <cellStyle name="20% - Акцент5 4" xfId="144" xr:uid="{00000000-0005-0000-0000-00008C000000}"/>
    <cellStyle name="20% - Акцент5 5" xfId="145" xr:uid="{00000000-0005-0000-0000-00008D000000}"/>
    <cellStyle name="20% - Акцент5 6" xfId="146" xr:uid="{00000000-0005-0000-0000-00008E000000}"/>
    <cellStyle name="20% - Акцент5 7" xfId="147" xr:uid="{00000000-0005-0000-0000-00008F000000}"/>
    <cellStyle name="20% - Акцент5 8" xfId="148" xr:uid="{00000000-0005-0000-0000-000090000000}"/>
    <cellStyle name="20% - Акцент5 9" xfId="149" xr:uid="{00000000-0005-0000-0000-000091000000}"/>
    <cellStyle name="20% - Акцент6 10" xfId="150" xr:uid="{00000000-0005-0000-0000-000092000000}"/>
    <cellStyle name="20% - Акцент6 11" xfId="151" xr:uid="{00000000-0005-0000-0000-000093000000}"/>
    <cellStyle name="20% - Акцент6 12" xfId="152" xr:uid="{00000000-0005-0000-0000-000094000000}"/>
    <cellStyle name="20% - Акцент6 13" xfId="153" xr:uid="{00000000-0005-0000-0000-000095000000}"/>
    <cellStyle name="20% - Акцент6 14" xfId="154" xr:uid="{00000000-0005-0000-0000-000096000000}"/>
    <cellStyle name="20% - Акцент6 15" xfId="155" xr:uid="{00000000-0005-0000-0000-000097000000}"/>
    <cellStyle name="20% - Акцент6 16" xfId="156" xr:uid="{00000000-0005-0000-0000-000098000000}"/>
    <cellStyle name="20% - Акцент6 17" xfId="157" xr:uid="{00000000-0005-0000-0000-000099000000}"/>
    <cellStyle name="20% - Акцент6 18" xfId="158" xr:uid="{00000000-0005-0000-0000-00009A000000}"/>
    <cellStyle name="20% - Акцент6 19" xfId="159" xr:uid="{00000000-0005-0000-0000-00009B000000}"/>
    <cellStyle name="20% - Акцент6 2" xfId="160" xr:uid="{00000000-0005-0000-0000-00009C000000}"/>
    <cellStyle name="20% - Акцент6 20" xfId="161" xr:uid="{00000000-0005-0000-0000-00009D000000}"/>
    <cellStyle name="20% - Акцент6 21" xfId="162" xr:uid="{00000000-0005-0000-0000-00009E000000}"/>
    <cellStyle name="20% - Акцент6 22" xfId="163" xr:uid="{00000000-0005-0000-0000-00009F000000}"/>
    <cellStyle name="20% - Акцент6 23" xfId="164" xr:uid="{00000000-0005-0000-0000-0000A0000000}"/>
    <cellStyle name="20% - Акцент6 24" xfId="165" xr:uid="{00000000-0005-0000-0000-0000A1000000}"/>
    <cellStyle name="20% - Акцент6 25" xfId="166" xr:uid="{00000000-0005-0000-0000-0000A2000000}"/>
    <cellStyle name="20% - Акцент6 26" xfId="167" xr:uid="{00000000-0005-0000-0000-0000A3000000}"/>
    <cellStyle name="20% - Акцент6 3" xfId="168" xr:uid="{00000000-0005-0000-0000-0000A4000000}"/>
    <cellStyle name="20% - Акцент6 4" xfId="169" xr:uid="{00000000-0005-0000-0000-0000A5000000}"/>
    <cellStyle name="20% - Акцент6 5" xfId="170" xr:uid="{00000000-0005-0000-0000-0000A6000000}"/>
    <cellStyle name="20% - Акцент6 6" xfId="171" xr:uid="{00000000-0005-0000-0000-0000A7000000}"/>
    <cellStyle name="20% - Акцент6 7" xfId="172" xr:uid="{00000000-0005-0000-0000-0000A8000000}"/>
    <cellStyle name="20% - Акцент6 8" xfId="173" xr:uid="{00000000-0005-0000-0000-0000A9000000}"/>
    <cellStyle name="20% - Акцент6 9" xfId="174" xr:uid="{00000000-0005-0000-0000-0000AA000000}"/>
    <cellStyle name="4 indents" xfId="1235" xr:uid="{00000000-0005-0000-0000-0000AB000000}"/>
    <cellStyle name="40% - Accent1" xfId="1236" xr:uid="{00000000-0005-0000-0000-0000AC000000}"/>
    <cellStyle name="40% - Accent2" xfId="1237" xr:uid="{00000000-0005-0000-0000-0000AD000000}"/>
    <cellStyle name="40% - Accent3" xfId="1238" xr:uid="{00000000-0005-0000-0000-0000AE000000}"/>
    <cellStyle name="40% - Accent4" xfId="1239" xr:uid="{00000000-0005-0000-0000-0000AF000000}"/>
    <cellStyle name="40% - Accent5" xfId="1240" xr:uid="{00000000-0005-0000-0000-0000B0000000}"/>
    <cellStyle name="40% - Accent6" xfId="1241" xr:uid="{00000000-0005-0000-0000-0000B1000000}"/>
    <cellStyle name="40% - Акцент1 10" xfId="175" xr:uid="{00000000-0005-0000-0000-0000B2000000}"/>
    <cellStyle name="40% - Акцент1 11" xfId="176" xr:uid="{00000000-0005-0000-0000-0000B3000000}"/>
    <cellStyle name="40% - Акцент1 12" xfId="177" xr:uid="{00000000-0005-0000-0000-0000B4000000}"/>
    <cellStyle name="40% - Акцент1 13" xfId="178" xr:uid="{00000000-0005-0000-0000-0000B5000000}"/>
    <cellStyle name="40% - Акцент1 14" xfId="179" xr:uid="{00000000-0005-0000-0000-0000B6000000}"/>
    <cellStyle name="40% - Акцент1 15" xfId="180" xr:uid="{00000000-0005-0000-0000-0000B7000000}"/>
    <cellStyle name="40% - Акцент1 16" xfId="181" xr:uid="{00000000-0005-0000-0000-0000B8000000}"/>
    <cellStyle name="40% - Акцент1 17" xfId="182" xr:uid="{00000000-0005-0000-0000-0000B9000000}"/>
    <cellStyle name="40% - Акцент1 18" xfId="183" xr:uid="{00000000-0005-0000-0000-0000BA000000}"/>
    <cellStyle name="40% - Акцент1 19" xfId="184" xr:uid="{00000000-0005-0000-0000-0000BB000000}"/>
    <cellStyle name="40% - Акцент1 2" xfId="185" xr:uid="{00000000-0005-0000-0000-0000BC000000}"/>
    <cellStyle name="40% - Акцент1 20" xfId="186" xr:uid="{00000000-0005-0000-0000-0000BD000000}"/>
    <cellStyle name="40% - Акцент1 21" xfId="187" xr:uid="{00000000-0005-0000-0000-0000BE000000}"/>
    <cellStyle name="40% - Акцент1 22" xfId="188" xr:uid="{00000000-0005-0000-0000-0000BF000000}"/>
    <cellStyle name="40% - Акцент1 23" xfId="189" xr:uid="{00000000-0005-0000-0000-0000C0000000}"/>
    <cellStyle name="40% - Акцент1 24" xfId="190" xr:uid="{00000000-0005-0000-0000-0000C1000000}"/>
    <cellStyle name="40% - Акцент1 25" xfId="191" xr:uid="{00000000-0005-0000-0000-0000C2000000}"/>
    <cellStyle name="40% - Акцент1 26" xfId="192" xr:uid="{00000000-0005-0000-0000-0000C3000000}"/>
    <cellStyle name="40% - Акцент1 3" xfId="193" xr:uid="{00000000-0005-0000-0000-0000C4000000}"/>
    <cellStyle name="40% - Акцент1 4" xfId="194" xr:uid="{00000000-0005-0000-0000-0000C5000000}"/>
    <cellStyle name="40% - Акцент1 5" xfId="195" xr:uid="{00000000-0005-0000-0000-0000C6000000}"/>
    <cellStyle name="40% - Акцент1 6" xfId="196" xr:uid="{00000000-0005-0000-0000-0000C7000000}"/>
    <cellStyle name="40% - Акцент1 7" xfId="197" xr:uid="{00000000-0005-0000-0000-0000C8000000}"/>
    <cellStyle name="40% - Акцент1 8" xfId="198" xr:uid="{00000000-0005-0000-0000-0000C9000000}"/>
    <cellStyle name="40% - Акцент1 9" xfId="199" xr:uid="{00000000-0005-0000-0000-0000CA000000}"/>
    <cellStyle name="40% - Акцент2 10" xfId="200" xr:uid="{00000000-0005-0000-0000-0000CB000000}"/>
    <cellStyle name="40% - Акцент2 11" xfId="201" xr:uid="{00000000-0005-0000-0000-0000CC000000}"/>
    <cellStyle name="40% - Акцент2 12" xfId="202" xr:uid="{00000000-0005-0000-0000-0000CD000000}"/>
    <cellStyle name="40% - Акцент2 13" xfId="203" xr:uid="{00000000-0005-0000-0000-0000CE000000}"/>
    <cellStyle name="40% - Акцент2 14" xfId="204" xr:uid="{00000000-0005-0000-0000-0000CF000000}"/>
    <cellStyle name="40% - Акцент2 15" xfId="205" xr:uid="{00000000-0005-0000-0000-0000D0000000}"/>
    <cellStyle name="40% - Акцент2 16" xfId="206" xr:uid="{00000000-0005-0000-0000-0000D1000000}"/>
    <cellStyle name="40% - Акцент2 17" xfId="207" xr:uid="{00000000-0005-0000-0000-0000D2000000}"/>
    <cellStyle name="40% - Акцент2 18" xfId="208" xr:uid="{00000000-0005-0000-0000-0000D3000000}"/>
    <cellStyle name="40% - Акцент2 19" xfId="209" xr:uid="{00000000-0005-0000-0000-0000D4000000}"/>
    <cellStyle name="40% - Акцент2 2" xfId="210" xr:uid="{00000000-0005-0000-0000-0000D5000000}"/>
    <cellStyle name="40% - Акцент2 20" xfId="211" xr:uid="{00000000-0005-0000-0000-0000D6000000}"/>
    <cellStyle name="40% - Акцент2 21" xfId="212" xr:uid="{00000000-0005-0000-0000-0000D7000000}"/>
    <cellStyle name="40% - Акцент2 22" xfId="213" xr:uid="{00000000-0005-0000-0000-0000D8000000}"/>
    <cellStyle name="40% - Акцент2 23" xfId="214" xr:uid="{00000000-0005-0000-0000-0000D9000000}"/>
    <cellStyle name="40% - Акцент2 24" xfId="215" xr:uid="{00000000-0005-0000-0000-0000DA000000}"/>
    <cellStyle name="40% - Акцент2 25" xfId="216" xr:uid="{00000000-0005-0000-0000-0000DB000000}"/>
    <cellStyle name="40% - Акцент2 26" xfId="217" xr:uid="{00000000-0005-0000-0000-0000DC000000}"/>
    <cellStyle name="40% - Акцент2 3" xfId="218" xr:uid="{00000000-0005-0000-0000-0000DD000000}"/>
    <cellStyle name="40% - Акцент2 4" xfId="219" xr:uid="{00000000-0005-0000-0000-0000DE000000}"/>
    <cellStyle name="40% - Акцент2 5" xfId="220" xr:uid="{00000000-0005-0000-0000-0000DF000000}"/>
    <cellStyle name="40% - Акцент2 6" xfId="221" xr:uid="{00000000-0005-0000-0000-0000E0000000}"/>
    <cellStyle name="40% - Акцент2 7" xfId="222" xr:uid="{00000000-0005-0000-0000-0000E1000000}"/>
    <cellStyle name="40% - Акцент2 8" xfId="223" xr:uid="{00000000-0005-0000-0000-0000E2000000}"/>
    <cellStyle name="40% - Акцент2 9" xfId="224" xr:uid="{00000000-0005-0000-0000-0000E3000000}"/>
    <cellStyle name="40% - Акцент3 10" xfId="225" xr:uid="{00000000-0005-0000-0000-0000E4000000}"/>
    <cellStyle name="40% - Акцент3 11" xfId="226" xr:uid="{00000000-0005-0000-0000-0000E5000000}"/>
    <cellStyle name="40% - Акцент3 12" xfId="227" xr:uid="{00000000-0005-0000-0000-0000E6000000}"/>
    <cellStyle name="40% - Акцент3 13" xfId="228" xr:uid="{00000000-0005-0000-0000-0000E7000000}"/>
    <cellStyle name="40% - Акцент3 14" xfId="229" xr:uid="{00000000-0005-0000-0000-0000E8000000}"/>
    <cellStyle name="40% - Акцент3 15" xfId="230" xr:uid="{00000000-0005-0000-0000-0000E9000000}"/>
    <cellStyle name="40% - Акцент3 16" xfId="231" xr:uid="{00000000-0005-0000-0000-0000EA000000}"/>
    <cellStyle name="40% - Акцент3 17" xfId="232" xr:uid="{00000000-0005-0000-0000-0000EB000000}"/>
    <cellStyle name="40% - Акцент3 18" xfId="233" xr:uid="{00000000-0005-0000-0000-0000EC000000}"/>
    <cellStyle name="40% - Акцент3 19" xfId="234" xr:uid="{00000000-0005-0000-0000-0000ED000000}"/>
    <cellStyle name="40% - Акцент3 2" xfId="235" xr:uid="{00000000-0005-0000-0000-0000EE000000}"/>
    <cellStyle name="40% - Акцент3 20" xfId="236" xr:uid="{00000000-0005-0000-0000-0000EF000000}"/>
    <cellStyle name="40% - Акцент3 21" xfId="237" xr:uid="{00000000-0005-0000-0000-0000F0000000}"/>
    <cellStyle name="40% - Акцент3 22" xfId="238" xr:uid="{00000000-0005-0000-0000-0000F1000000}"/>
    <cellStyle name="40% - Акцент3 23" xfId="239" xr:uid="{00000000-0005-0000-0000-0000F2000000}"/>
    <cellStyle name="40% - Акцент3 24" xfId="240" xr:uid="{00000000-0005-0000-0000-0000F3000000}"/>
    <cellStyle name="40% - Акцент3 25" xfId="241" xr:uid="{00000000-0005-0000-0000-0000F4000000}"/>
    <cellStyle name="40% - Акцент3 26" xfId="242" xr:uid="{00000000-0005-0000-0000-0000F5000000}"/>
    <cellStyle name="40% - Акцент3 3" xfId="243" xr:uid="{00000000-0005-0000-0000-0000F6000000}"/>
    <cellStyle name="40% - Акцент3 4" xfId="244" xr:uid="{00000000-0005-0000-0000-0000F7000000}"/>
    <cellStyle name="40% - Акцент3 5" xfId="245" xr:uid="{00000000-0005-0000-0000-0000F8000000}"/>
    <cellStyle name="40% - Акцент3 6" xfId="246" xr:uid="{00000000-0005-0000-0000-0000F9000000}"/>
    <cellStyle name="40% - Акцент3 7" xfId="247" xr:uid="{00000000-0005-0000-0000-0000FA000000}"/>
    <cellStyle name="40% - Акцент3 8" xfId="248" xr:uid="{00000000-0005-0000-0000-0000FB000000}"/>
    <cellStyle name="40% - Акцент3 9" xfId="249" xr:uid="{00000000-0005-0000-0000-0000FC000000}"/>
    <cellStyle name="40% - Акцент4 10" xfId="250" xr:uid="{00000000-0005-0000-0000-0000FD000000}"/>
    <cellStyle name="40% - Акцент4 11" xfId="251" xr:uid="{00000000-0005-0000-0000-0000FE000000}"/>
    <cellStyle name="40% - Акцент4 12" xfId="252" xr:uid="{00000000-0005-0000-0000-0000FF000000}"/>
    <cellStyle name="40% - Акцент4 13" xfId="253" xr:uid="{00000000-0005-0000-0000-000000010000}"/>
    <cellStyle name="40% - Акцент4 14" xfId="254" xr:uid="{00000000-0005-0000-0000-000001010000}"/>
    <cellStyle name="40% - Акцент4 15" xfId="255" xr:uid="{00000000-0005-0000-0000-000002010000}"/>
    <cellStyle name="40% - Акцент4 16" xfId="256" xr:uid="{00000000-0005-0000-0000-000003010000}"/>
    <cellStyle name="40% - Акцент4 17" xfId="257" xr:uid="{00000000-0005-0000-0000-000004010000}"/>
    <cellStyle name="40% - Акцент4 18" xfId="258" xr:uid="{00000000-0005-0000-0000-000005010000}"/>
    <cellStyle name="40% - Акцент4 19" xfId="259" xr:uid="{00000000-0005-0000-0000-000006010000}"/>
    <cellStyle name="40% - Акцент4 2" xfId="260" xr:uid="{00000000-0005-0000-0000-000007010000}"/>
    <cellStyle name="40% - Акцент4 20" xfId="261" xr:uid="{00000000-0005-0000-0000-000008010000}"/>
    <cellStyle name="40% - Акцент4 21" xfId="262" xr:uid="{00000000-0005-0000-0000-000009010000}"/>
    <cellStyle name="40% - Акцент4 22" xfId="263" xr:uid="{00000000-0005-0000-0000-00000A010000}"/>
    <cellStyle name="40% - Акцент4 23" xfId="264" xr:uid="{00000000-0005-0000-0000-00000B010000}"/>
    <cellStyle name="40% - Акцент4 24" xfId="265" xr:uid="{00000000-0005-0000-0000-00000C010000}"/>
    <cellStyle name="40% - Акцент4 25" xfId="266" xr:uid="{00000000-0005-0000-0000-00000D010000}"/>
    <cellStyle name="40% - Акцент4 26" xfId="267" xr:uid="{00000000-0005-0000-0000-00000E010000}"/>
    <cellStyle name="40% - Акцент4 3" xfId="268" xr:uid="{00000000-0005-0000-0000-00000F010000}"/>
    <cellStyle name="40% - Акцент4 4" xfId="269" xr:uid="{00000000-0005-0000-0000-000010010000}"/>
    <cellStyle name="40% - Акцент4 5" xfId="270" xr:uid="{00000000-0005-0000-0000-000011010000}"/>
    <cellStyle name="40% - Акцент4 6" xfId="271" xr:uid="{00000000-0005-0000-0000-000012010000}"/>
    <cellStyle name="40% - Акцент4 7" xfId="272" xr:uid="{00000000-0005-0000-0000-000013010000}"/>
    <cellStyle name="40% - Акцент4 8" xfId="273" xr:uid="{00000000-0005-0000-0000-000014010000}"/>
    <cellStyle name="40% - Акцент4 9" xfId="274" xr:uid="{00000000-0005-0000-0000-000015010000}"/>
    <cellStyle name="40% - Акцент5 10" xfId="275" xr:uid="{00000000-0005-0000-0000-000016010000}"/>
    <cellStyle name="40% - Акцент5 11" xfId="276" xr:uid="{00000000-0005-0000-0000-000017010000}"/>
    <cellStyle name="40% - Акцент5 12" xfId="277" xr:uid="{00000000-0005-0000-0000-000018010000}"/>
    <cellStyle name="40% - Акцент5 13" xfId="278" xr:uid="{00000000-0005-0000-0000-000019010000}"/>
    <cellStyle name="40% - Акцент5 14" xfId="279" xr:uid="{00000000-0005-0000-0000-00001A010000}"/>
    <cellStyle name="40% - Акцент5 15" xfId="280" xr:uid="{00000000-0005-0000-0000-00001B010000}"/>
    <cellStyle name="40% - Акцент5 16" xfId="281" xr:uid="{00000000-0005-0000-0000-00001C010000}"/>
    <cellStyle name="40% - Акцент5 17" xfId="282" xr:uid="{00000000-0005-0000-0000-00001D010000}"/>
    <cellStyle name="40% - Акцент5 18" xfId="283" xr:uid="{00000000-0005-0000-0000-00001E010000}"/>
    <cellStyle name="40% - Акцент5 19" xfId="284" xr:uid="{00000000-0005-0000-0000-00001F010000}"/>
    <cellStyle name="40% - Акцент5 2" xfId="285" xr:uid="{00000000-0005-0000-0000-000020010000}"/>
    <cellStyle name="40% - Акцент5 20" xfId="286" xr:uid="{00000000-0005-0000-0000-000021010000}"/>
    <cellStyle name="40% - Акцент5 21" xfId="287" xr:uid="{00000000-0005-0000-0000-000022010000}"/>
    <cellStyle name="40% - Акцент5 22" xfId="288" xr:uid="{00000000-0005-0000-0000-000023010000}"/>
    <cellStyle name="40% - Акцент5 23" xfId="289" xr:uid="{00000000-0005-0000-0000-000024010000}"/>
    <cellStyle name="40% - Акцент5 24" xfId="290" xr:uid="{00000000-0005-0000-0000-000025010000}"/>
    <cellStyle name="40% - Акцент5 25" xfId="291" xr:uid="{00000000-0005-0000-0000-000026010000}"/>
    <cellStyle name="40% - Акцент5 26" xfId="292" xr:uid="{00000000-0005-0000-0000-000027010000}"/>
    <cellStyle name="40% - Акцент5 3" xfId="293" xr:uid="{00000000-0005-0000-0000-000028010000}"/>
    <cellStyle name="40% - Акцент5 4" xfId="294" xr:uid="{00000000-0005-0000-0000-000029010000}"/>
    <cellStyle name="40% - Акцент5 5" xfId="295" xr:uid="{00000000-0005-0000-0000-00002A010000}"/>
    <cellStyle name="40% - Акцент5 6" xfId="296" xr:uid="{00000000-0005-0000-0000-00002B010000}"/>
    <cellStyle name="40% - Акцент5 7" xfId="297" xr:uid="{00000000-0005-0000-0000-00002C010000}"/>
    <cellStyle name="40% - Акцент5 8" xfId="298" xr:uid="{00000000-0005-0000-0000-00002D010000}"/>
    <cellStyle name="40% - Акцент5 9" xfId="299" xr:uid="{00000000-0005-0000-0000-00002E010000}"/>
    <cellStyle name="40% - Акцент6 10" xfId="300" xr:uid="{00000000-0005-0000-0000-00002F010000}"/>
    <cellStyle name="40% - Акцент6 11" xfId="301" xr:uid="{00000000-0005-0000-0000-000030010000}"/>
    <cellStyle name="40% - Акцент6 12" xfId="302" xr:uid="{00000000-0005-0000-0000-000031010000}"/>
    <cellStyle name="40% - Акцент6 13" xfId="303" xr:uid="{00000000-0005-0000-0000-000032010000}"/>
    <cellStyle name="40% - Акцент6 14" xfId="304" xr:uid="{00000000-0005-0000-0000-000033010000}"/>
    <cellStyle name="40% - Акцент6 15" xfId="305" xr:uid="{00000000-0005-0000-0000-000034010000}"/>
    <cellStyle name="40% - Акцент6 16" xfId="306" xr:uid="{00000000-0005-0000-0000-000035010000}"/>
    <cellStyle name="40% - Акцент6 17" xfId="307" xr:uid="{00000000-0005-0000-0000-000036010000}"/>
    <cellStyle name="40% - Акцент6 18" xfId="308" xr:uid="{00000000-0005-0000-0000-000037010000}"/>
    <cellStyle name="40% - Акцент6 19" xfId="309" xr:uid="{00000000-0005-0000-0000-000038010000}"/>
    <cellStyle name="40% - Акцент6 2" xfId="310" xr:uid="{00000000-0005-0000-0000-000039010000}"/>
    <cellStyle name="40% - Акцент6 20" xfId="311" xr:uid="{00000000-0005-0000-0000-00003A010000}"/>
    <cellStyle name="40% - Акцент6 21" xfId="312" xr:uid="{00000000-0005-0000-0000-00003B010000}"/>
    <cellStyle name="40% - Акцент6 22" xfId="313" xr:uid="{00000000-0005-0000-0000-00003C010000}"/>
    <cellStyle name="40% - Акцент6 23" xfId="314" xr:uid="{00000000-0005-0000-0000-00003D010000}"/>
    <cellStyle name="40% - Акцент6 24" xfId="315" xr:uid="{00000000-0005-0000-0000-00003E010000}"/>
    <cellStyle name="40% - Акцент6 25" xfId="316" xr:uid="{00000000-0005-0000-0000-00003F010000}"/>
    <cellStyle name="40% - Акцент6 26" xfId="317" xr:uid="{00000000-0005-0000-0000-000040010000}"/>
    <cellStyle name="40% - Акцент6 3" xfId="318" xr:uid="{00000000-0005-0000-0000-000041010000}"/>
    <cellStyle name="40% - Акцент6 4" xfId="319" xr:uid="{00000000-0005-0000-0000-000042010000}"/>
    <cellStyle name="40% - Акцент6 5" xfId="320" xr:uid="{00000000-0005-0000-0000-000043010000}"/>
    <cellStyle name="40% - Акцент6 6" xfId="321" xr:uid="{00000000-0005-0000-0000-000044010000}"/>
    <cellStyle name="40% - Акцент6 7" xfId="322" xr:uid="{00000000-0005-0000-0000-000045010000}"/>
    <cellStyle name="40% - Акцент6 8" xfId="323" xr:uid="{00000000-0005-0000-0000-000046010000}"/>
    <cellStyle name="40% - Акцент6 9" xfId="324" xr:uid="{00000000-0005-0000-0000-000047010000}"/>
    <cellStyle name="60% - Accent1" xfId="1242" xr:uid="{00000000-0005-0000-0000-000048010000}"/>
    <cellStyle name="60% - Accent2" xfId="1243" xr:uid="{00000000-0005-0000-0000-000049010000}"/>
    <cellStyle name="60% - Accent3" xfId="1244" xr:uid="{00000000-0005-0000-0000-00004A010000}"/>
    <cellStyle name="60% - Accent4" xfId="1245" xr:uid="{00000000-0005-0000-0000-00004B010000}"/>
    <cellStyle name="60% - Accent5" xfId="1246" xr:uid="{00000000-0005-0000-0000-00004C010000}"/>
    <cellStyle name="60% - Accent6" xfId="1247" xr:uid="{00000000-0005-0000-0000-00004D010000}"/>
    <cellStyle name="Accent1" xfId="1248" xr:uid="{00000000-0005-0000-0000-00004E010000}"/>
    <cellStyle name="Accent2" xfId="1249" xr:uid="{00000000-0005-0000-0000-00004F010000}"/>
    <cellStyle name="Accent3" xfId="1250" xr:uid="{00000000-0005-0000-0000-000050010000}"/>
    <cellStyle name="Accent4" xfId="1251" xr:uid="{00000000-0005-0000-0000-000051010000}"/>
    <cellStyle name="Accent5" xfId="1252" xr:uid="{00000000-0005-0000-0000-000052010000}"/>
    <cellStyle name="Accent6" xfId="1253" xr:uid="{00000000-0005-0000-0000-000053010000}"/>
    <cellStyle name="Bad" xfId="1254" xr:uid="{00000000-0005-0000-0000-000054010000}"/>
    <cellStyle name="Calculation" xfId="1255" xr:uid="{00000000-0005-0000-0000-000055010000}"/>
    <cellStyle name="Check Cell" xfId="1256" xr:uid="{00000000-0005-0000-0000-000056010000}"/>
    <cellStyle name="Column_Title" xfId="325" xr:uid="{00000000-0005-0000-0000-000057010000}"/>
    <cellStyle name="Comma [0]_1 MAIN" xfId="326" xr:uid="{00000000-0005-0000-0000-000058010000}"/>
    <cellStyle name="Comma 2" xfId="1257" xr:uid="{00000000-0005-0000-0000-000059010000}"/>
    <cellStyle name="Comma_1 MAIN" xfId="327" xr:uid="{00000000-0005-0000-0000-00005A010000}"/>
    <cellStyle name="Comma0" xfId="1258" xr:uid="{00000000-0005-0000-0000-00005B010000}"/>
    <cellStyle name="common" xfId="1259" xr:uid="{00000000-0005-0000-0000-00005C010000}"/>
    <cellStyle name="Currency_Copy of SEI1098d" xfId="1260" xr:uid="{00000000-0005-0000-0000-00005D010000}"/>
    <cellStyle name="Currency0" xfId="1261" xr:uid="{00000000-0005-0000-0000-00005E010000}"/>
    <cellStyle name="Date" xfId="1262" xr:uid="{00000000-0005-0000-0000-00005F010000}"/>
    <cellStyle name="Euro" xfId="1263" xr:uid="{00000000-0005-0000-0000-000060010000}"/>
    <cellStyle name="Excel.Chart" xfId="1264" xr:uid="{00000000-0005-0000-0000-000061010000}"/>
    <cellStyle name="Explanatory Text" xfId="1265" xr:uid="{00000000-0005-0000-0000-000062010000}"/>
    <cellStyle name="Fixed" xfId="1266" xr:uid="{00000000-0005-0000-0000-000063010000}"/>
    <cellStyle name="Good" xfId="1267" xr:uid="{00000000-0005-0000-0000-000064010000}"/>
    <cellStyle name="Heading 1" xfId="1268" xr:uid="{00000000-0005-0000-0000-000065010000}"/>
    <cellStyle name="Heading 2" xfId="1269" xr:uid="{00000000-0005-0000-0000-000066010000}"/>
    <cellStyle name="Heading 3" xfId="1270" xr:uid="{00000000-0005-0000-0000-000067010000}"/>
    <cellStyle name="Heading 4" xfId="1271" xr:uid="{00000000-0005-0000-0000-000068010000}"/>
    <cellStyle name="imf-one decimal" xfId="1272" xr:uid="{00000000-0005-0000-0000-000069010000}"/>
    <cellStyle name="Input" xfId="1273" xr:uid="{00000000-0005-0000-0000-00006A010000}"/>
    <cellStyle name="Linked Cell" xfId="1274" xr:uid="{00000000-0005-0000-0000-00006B010000}"/>
    <cellStyle name="Millares [0]_11.1.3. bis" xfId="1275" xr:uid="{00000000-0005-0000-0000-00006C010000}"/>
    <cellStyle name="Millares_11.1.3. bis" xfId="1276" xr:uid="{00000000-0005-0000-0000-00006D010000}"/>
    <cellStyle name="Moneda [0]_11.1.3. bis" xfId="1277" xr:uid="{00000000-0005-0000-0000-00006E010000}"/>
    <cellStyle name="Moneda_11.1.3. bis" xfId="1278" xr:uid="{00000000-0005-0000-0000-00006F010000}"/>
    <cellStyle name="mystyle" xfId="1279" xr:uid="{00000000-0005-0000-0000-000070010000}"/>
    <cellStyle name="Neutral" xfId="1280" xr:uid="{00000000-0005-0000-0000-000071010000}"/>
    <cellStyle name="Normal - Style1" xfId="1281" xr:uid="{00000000-0005-0000-0000-000072010000}"/>
    <cellStyle name="Normal 2" xfId="328" xr:uid="{00000000-0005-0000-0000-000073010000}"/>
    <cellStyle name="Normal 2 2" xfId="1226" xr:uid="{00000000-0005-0000-0000-000074010000}"/>
    <cellStyle name="Normal_1 MAIN" xfId="329" xr:uid="{00000000-0005-0000-0000-000075010000}"/>
    <cellStyle name="Note" xfId="1282" xr:uid="{00000000-0005-0000-0000-000076010000}"/>
    <cellStyle name="Output" xfId="1283" xr:uid="{00000000-0005-0000-0000-000077010000}"/>
    <cellStyle name="Percent 2" xfId="330" xr:uid="{00000000-0005-0000-0000-000078010000}"/>
    <cellStyle name="Percent_Copy of SEI1098d" xfId="1284" xr:uid="{00000000-0005-0000-0000-000079010000}"/>
    <cellStyle name="percentage difference" xfId="1285" xr:uid="{00000000-0005-0000-0000-00007A010000}"/>
    <cellStyle name="Title" xfId="1286" xr:uid="{00000000-0005-0000-0000-00007B010000}"/>
    <cellStyle name="Total" xfId="1287" xr:uid="{00000000-0005-0000-0000-00007C010000}"/>
    <cellStyle name="Warning Text" xfId="1288" xr:uid="{00000000-0005-0000-0000-00007D010000}"/>
    <cellStyle name="Денежный [0]" xfId="1" builtinId="7"/>
    <cellStyle name="Обычный" xfId="0" builtinId="0"/>
    <cellStyle name="Обычный 10" xfId="331" xr:uid="{00000000-0005-0000-0000-000080010000}"/>
    <cellStyle name="Обычный 10 10" xfId="332" xr:uid="{00000000-0005-0000-0000-000081010000}"/>
    <cellStyle name="Обычный 10 11" xfId="333" xr:uid="{00000000-0005-0000-0000-000082010000}"/>
    <cellStyle name="Обычный 10 2" xfId="334" xr:uid="{00000000-0005-0000-0000-000083010000}"/>
    <cellStyle name="Обычный 10 2 2" xfId="335" xr:uid="{00000000-0005-0000-0000-000084010000}"/>
    <cellStyle name="Обычный 10 2 2 2" xfId="336" xr:uid="{00000000-0005-0000-0000-000085010000}"/>
    <cellStyle name="Обычный 10 2 3" xfId="337" xr:uid="{00000000-0005-0000-0000-000086010000}"/>
    <cellStyle name="Обычный 10 3" xfId="338" xr:uid="{00000000-0005-0000-0000-000087010000}"/>
    <cellStyle name="Обычный 10 3 2" xfId="339" xr:uid="{00000000-0005-0000-0000-000088010000}"/>
    <cellStyle name="Обычный 10 3 3" xfId="340" xr:uid="{00000000-0005-0000-0000-000089010000}"/>
    <cellStyle name="Обычный 10 4" xfId="341" xr:uid="{00000000-0005-0000-0000-00008A010000}"/>
    <cellStyle name="Обычный 10 5" xfId="342" xr:uid="{00000000-0005-0000-0000-00008B010000}"/>
    <cellStyle name="Обычный 10 6" xfId="343" xr:uid="{00000000-0005-0000-0000-00008C010000}"/>
    <cellStyle name="Обычный 10 7" xfId="344" xr:uid="{00000000-0005-0000-0000-00008D010000}"/>
    <cellStyle name="Обычный 10 8" xfId="345" xr:uid="{00000000-0005-0000-0000-00008E010000}"/>
    <cellStyle name="Обычный 10 9" xfId="346" xr:uid="{00000000-0005-0000-0000-00008F010000}"/>
    <cellStyle name="Обычный 100" xfId="347" xr:uid="{00000000-0005-0000-0000-000090010000}"/>
    <cellStyle name="Обычный 100 2" xfId="348" xr:uid="{00000000-0005-0000-0000-000091010000}"/>
    <cellStyle name="Обычный 100 2 2" xfId="349" xr:uid="{00000000-0005-0000-0000-000092010000}"/>
    <cellStyle name="Обычный 101" xfId="350" xr:uid="{00000000-0005-0000-0000-000093010000}"/>
    <cellStyle name="Обычный 102" xfId="351" xr:uid="{00000000-0005-0000-0000-000094010000}"/>
    <cellStyle name="Обычный 103" xfId="352" xr:uid="{00000000-0005-0000-0000-000095010000}"/>
    <cellStyle name="Обычный 104" xfId="353" xr:uid="{00000000-0005-0000-0000-000096010000}"/>
    <cellStyle name="Обычный 106" xfId="354" xr:uid="{00000000-0005-0000-0000-000097010000}"/>
    <cellStyle name="Обычный 107" xfId="355" xr:uid="{00000000-0005-0000-0000-000098010000}"/>
    <cellStyle name="Обычный 109" xfId="356" xr:uid="{00000000-0005-0000-0000-000099010000}"/>
    <cellStyle name="Обычный 11" xfId="357" xr:uid="{00000000-0005-0000-0000-00009A010000}"/>
    <cellStyle name="Обычный 11 2" xfId="358" xr:uid="{00000000-0005-0000-0000-00009B010000}"/>
    <cellStyle name="Обычный 11 2 2" xfId="359" xr:uid="{00000000-0005-0000-0000-00009C010000}"/>
    <cellStyle name="Обычный 11 3" xfId="360" xr:uid="{00000000-0005-0000-0000-00009D010000}"/>
    <cellStyle name="Обычный 11 4" xfId="361" xr:uid="{00000000-0005-0000-0000-00009E010000}"/>
    <cellStyle name="Обычный 11 6" xfId="362" xr:uid="{00000000-0005-0000-0000-00009F010000}"/>
    <cellStyle name="Обычный 110" xfId="363" xr:uid="{00000000-0005-0000-0000-0000A0010000}"/>
    <cellStyle name="Обычный 112" xfId="364" xr:uid="{00000000-0005-0000-0000-0000A1010000}"/>
    <cellStyle name="Обычный 113" xfId="365" xr:uid="{00000000-0005-0000-0000-0000A2010000}"/>
    <cellStyle name="Обычный 115" xfId="366" xr:uid="{00000000-0005-0000-0000-0000A3010000}"/>
    <cellStyle name="Обычный 116" xfId="367" xr:uid="{00000000-0005-0000-0000-0000A4010000}"/>
    <cellStyle name="Обычный 118" xfId="368" xr:uid="{00000000-0005-0000-0000-0000A5010000}"/>
    <cellStyle name="Обычный 12" xfId="369" xr:uid="{00000000-0005-0000-0000-0000A6010000}"/>
    <cellStyle name="Обычный 12 2" xfId="370" xr:uid="{00000000-0005-0000-0000-0000A7010000}"/>
    <cellStyle name="Обычный 12 2 2" xfId="371" xr:uid="{00000000-0005-0000-0000-0000A8010000}"/>
    <cellStyle name="Обычный 12 3" xfId="372" xr:uid="{00000000-0005-0000-0000-0000A9010000}"/>
    <cellStyle name="Обычный 12 4" xfId="373" xr:uid="{00000000-0005-0000-0000-0000AA010000}"/>
    <cellStyle name="Обычный 12 5" xfId="374" xr:uid="{00000000-0005-0000-0000-0000AB010000}"/>
    <cellStyle name="Обычный 12 6" xfId="375" xr:uid="{00000000-0005-0000-0000-0000AC010000}"/>
    <cellStyle name="Обычный 12 7" xfId="376" xr:uid="{00000000-0005-0000-0000-0000AD010000}"/>
    <cellStyle name="Обычный 12 8" xfId="377" xr:uid="{00000000-0005-0000-0000-0000AE010000}"/>
    <cellStyle name="Обычный 120" xfId="378" xr:uid="{00000000-0005-0000-0000-0000AF010000}"/>
    <cellStyle name="Обычный 121" xfId="379" xr:uid="{00000000-0005-0000-0000-0000B0010000}"/>
    <cellStyle name="Обычный 122" xfId="380" xr:uid="{00000000-0005-0000-0000-0000B1010000}"/>
    <cellStyle name="Обычный 123" xfId="381" xr:uid="{00000000-0005-0000-0000-0000B2010000}"/>
    <cellStyle name="Обычный 13" xfId="382" xr:uid="{00000000-0005-0000-0000-0000B3010000}"/>
    <cellStyle name="Обычный 13 2" xfId="383" xr:uid="{00000000-0005-0000-0000-0000B4010000}"/>
    <cellStyle name="Обычный 13 2 2" xfId="384" xr:uid="{00000000-0005-0000-0000-0000B5010000}"/>
    <cellStyle name="Обычный 14" xfId="385" xr:uid="{00000000-0005-0000-0000-0000B6010000}"/>
    <cellStyle name="Обычный 14 2" xfId="386" xr:uid="{00000000-0005-0000-0000-0000B7010000}"/>
    <cellStyle name="Обычный 14 2 2" xfId="387" xr:uid="{00000000-0005-0000-0000-0000B8010000}"/>
    <cellStyle name="Обычный 14 3" xfId="388" xr:uid="{00000000-0005-0000-0000-0000B9010000}"/>
    <cellStyle name="Обычный 14 4" xfId="389" xr:uid="{00000000-0005-0000-0000-0000BA010000}"/>
    <cellStyle name="Обычный 14 5" xfId="390" xr:uid="{00000000-0005-0000-0000-0000BB010000}"/>
    <cellStyle name="Обычный 144" xfId="391" xr:uid="{00000000-0005-0000-0000-0000BC010000}"/>
    <cellStyle name="Обычный 147" xfId="392" xr:uid="{00000000-0005-0000-0000-0000BD010000}"/>
    <cellStyle name="Обычный 148" xfId="393" xr:uid="{00000000-0005-0000-0000-0000BE010000}"/>
    <cellStyle name="Обычный 15" xfId="394" xr:uid="{00000000-0005-0000-0000-0000BF010000}"/>
    <cellStyle name="Обычный 15 2" xfId="395" xr:uid="{00000000-0005-0000-0000-0000C0010000}"/>
    <cellStyle name="Обычный 15 2 2" xfId="396" xr:uid="{00000000-0005-0000-0000-0000C1010000}"/>
    <cellStyle name="Обычный 15 2 3" xfId="397" xr:uid="{00000000-0005-0000-0000-0000C2010000}"/>
    <cellStyle name="Обычный 15 2 4" xfId="398" xr:uid="{00000000-0005-0000-0000-0000C3010000}"/>
    <cellStyle name="Обычный 15 2 5" xfId="399" xr:uid="{00000000-0005-0000-0000-0000C4010000}"/>
    <cellStyle name="Обычный 15 2 6" xfId="400" xr:uid="{00000000-0005-0000-0000-0000C5010000}"/>
    <cellStyle name="Обычный 15 3" xfId="401" xr:uid="{00000000-0005-0000-0000-0000C6010000}"/>
    <cellStyle name="Обычный 15 4" xfId="402" xr:uid="{00000000-0005-0000-0000-0000C7010000}"/>
    <cellStyle name="Обычный 15 5" xfId="403" xr:uid="{00000000-0005-0000-0000-0000C8010000}"/>
    <cellStyle name="Обычный 16" xfId="404" xr:uid="{00000000-0005-0000-0000-0000C9010000}"/>
    <cellStyle name="Обычный 16 10" xfId="405" xr:uid="{00000000-0005-0000-0000-0000CA010000}"/>
    <cellStyle name="Обычный 16 11" xfId="406" xr:uid="{00000000-0005-0000-0000-0000CB010000}"/>
    <cellStyle name="Обычный 16 12" xfId="407" xr:uid="{00000000-0005-0000-0000-0000CC010000}"/>
    <cellStyle name="Обычный 16 13" xfId="408" xr:uid="{00000000-0005-0000-0000-0000CD010000}"/>
    <cellStyle name="Обычный 16 14" xfId="409" xr:uid="{00000000-0005-0000-0000-0000CE010000}"/>
    <cellStyle name="Обычный 16 2" xfId="410" xr:uid="{00000000-0005-0000-0000-0000CF010000}"/>
    <cellStyle name="Обычный 16 2 2" xfId="411" xr:uid="{00000000-0005-0000-0000-0000D0010000}"/>
    <cellStyle name="Обычный 16 3" xfId="412" xr:uid="{00000000-0005-0000-0000-0000D1010000}"/>
    <cellStyle name="Обычный 16 3 2" xfId="413" xr:uid="{00000000-0005-0000-0000-0000D2010000}"/>
    <cellStyle name="Обычный 16 4" xfId="414" xr:uid="{00000000-0005-0000-0000-0000D3010000}"/>
    <cellStyle name="Обычный 16 4 2" xfId="415" xr:uid="{00000000-0005-0000-0000-0000D4010000}"/>
    <cellStyle name="Обычный 16 5" xfId="416" xr:uid="{00000000-0005-0000-0000-0000D5010000}"/>
    <cellStyle name="Обычный 16 6" xfId="417" xr:uid="{00000000-0005-0000-0000-0000D6010000}"/>
    <cellStyle name="Обычный 16 7" xfId="418" xr:uid="{00000000-0005-0000-0000-0000D7010000}"/>
    <cellStyle name="Обычный 16 8" xfId="419" xr:uid="{00000000-0005-0000-0000-0000D8010000}"/>
    <cellStyle name="Обычный 16 9" xfId="420" xr:uid="{00000000-0005-0000-0000-0000D9010000}"/>
    <cellStyle name="Обычный 17" xfId="421" xr:uid="{00000000-0005-0000-0000-0000DA010000}"/>
    <cellStyle name="Обычный 17 2" xfId="422" xr:uid="{00000000-0005-0000-0000-0000DB010000}"/>
    <cellStyle name="Обычный 17 2 2" xfId="423" xr:uid="{00000000-0005-0000-0000-0000DC010000}"/>
    <cellStyle name="Обычный 17 3" xfId="424" xr:uid="{00000000-0005-0000-0000-0000DD010000}"/>
    <cellStyle name="Обычный 17 4" xfId="425" xr:uid="{00000000-0005-0000-0000-0000DE010000}"/>
    <cellStyle name="Обычный 18" xfId="426" xr:uid="{00000000-0005-0000-0000-0000DF010000}"/>
    <cellStyle name="Обычный 18 2" xfId="427" xr:uid="{00000000-0005-0000-0000-0000E0010000}"/>
    <cellStyle name="Обычный 18 2 2" xfId="428" xr:uid="{00000000-0005-0000-0000-0000E1010000}"/>
    <cellStyle name="Обычный 18 2 2 2" xfId="429" xr:uid="{00000000-0005-0000-0000-0000E2010000}"/>
    <cellStyle name="Обычный 18 2 3" xfId="430" xr:uid="{00000000-0005-0000-0000-0000E3010000}"/>
    <cellStyle name="Обычный 18 2 4" xfId="431" xr:uid="{00000000-0005-0000-0000-0000E4010000}"/>
    <cellStyle name="Обычный 18 3" xfId="432" xr:uid="{00000000-0005-0000-0000-0000E5010000}"/>
    <cellStyle name="Обычный 18 3 2" xfId="433" xr:uid="{00000000-0005-0000-0000-0000E6010000}"/>
    <cellStyle name="Обычный 18 4" xfId="434" xr:uid="{00000000-0005-0000-0000-0000E7010000}"/>
    <cellStyle name="Обычный 18 5" xfId="435" xr:uid="{00000000-0005-0000-0000-0000E8010000}"/>
    <cellStyle name="Обычный 18 6" xfId="436" xr:uid="{00000000-0005-0000-0000-0000E9010000}"/>
    <cellStyle name="Обычный 188" xfId="437" xr:uid="{00000000-0005-0000-0000-0000EA010000}"/>
    <cellStyle name="Обычный 19" xfId="438" xr:uid="{00000000-0005-0000-0000-0000EB010000}"/>
    <cellStyle name="Обычный 19 2" xfId="439" xr:uid="{00000000-0005-0000-0000-0000EC010000}"/>
    <cellStyle name="Обычный 19 2 2" xfId="440" xr:uid="{00000000-0005-0000-0000-0000ED010000}"/>
    <cellStyle name="Обычный 19 2 3" xfId="441" xr:uid="{00000000-0005-0000-0000-0000EE010000}"/>
    <cellStyle name="Обычный 19 3" xfId="442" xr:uid="{00000000-0005-0000-0000-0000EF010000}"/>
    <cellStyle name="Обычный 190" xfId="443" xr:uid="{00000000-0005-0000-0000-0000F0010000}"/>
    <cellStyle name="Обычный 2" xfId="2" xr:uid="{00000000-0005-0000-0000-0000F1010000}"/>
    <cellStyle name="Обычный 2 10" xfId="444" xr:uid="{00000000-0005-0000-0000-0000F2010000}"/>
    <cellStyle name="Обычный 2 11" xfId="445" xr:uid="{00000000-0005-0000-0000-0000F3010000}"/>
    <cellStyle name="Обычный 2 12" xfId="446" xr:uid="{00000000-0005-0000-0000-0000F4010000}"/>
    <cellStyle name="Обычный 2 13" xfId="447" xr:uid="{00000000-0005-0000-0000-0000F5010000}"/>
    <cellStyle name="Обычный 2 14" xfId="448" xr:uid="{00000000-0005-0000-0000-0000F6010000}"/>
    <cellStyle name="Обычный 2 15" xfId="449" xr:uid="{00000000-0005-0000-0000-0000F7010000}"/>
    <cellStyle name="Обычный 2 16" xfId="450" xr:uid="{00000000-0005-0000-0000-0000F8010000}"/>
    <cellStyle name="Обычный 2 17" xfId="451" xr:uid="{00000000-0005-0000-0000-0000F9010000}"/>
    <cellStyle name="Обычный 2 18" xfId="452" xr:uid="{00000000-0005-0000-0000-0000FA010000}"/>
    <cellStyle name="Обычный 2 19" xfId="453" xr:uid="{00000000-0005-0000-0000-0000FB010000}"/>
    <cellStyle name="Обычный 2 2" xfId="454" xr:uid="{00000000-0005-0000-0000-0000FC010000}"/>
    <cellStyle name="Обычный 2 2 10" xfId="455" xr:uid="{00000000-0005-0000-0000-0000FD010000}"/>
    <cellStyle name="Обычный 2 2 10 2" xfId="456" xr:uid="{00000000-0005-0000-0000-0000FE010000}"/>
    <cellStyle name="Обычный 2 2 11" xfId="457" xr:uid="{00000000-0005-0000-0000-0000FF010000}"/>
    <cellStyle name="Обычный 2 2 11 2" xfId="458" xr:uid="{00000000-0005-0000-0000-000000020000}"/>
    <cellStyle name="Обычный 2 2 12" xfId="459" xr:uid="{00000000-0005-0000-0000-000001020000}"/>
    <cellStyle name="Обычный 2 2 12 2" xfId="460" xr:uid="{00000000-0005-0000-0000-000002020000}"/>
    <cellStyle name="Обычный 2 2 13" xfId="461" xr:uid="{00000000-0005-0000-0000-000003020000}"/>
    <cellStyle name="Обычный 2 2 13 2" xfId="462" xr:uid="{00000000-0005-0000-0000-000004020000}"/>
    <cellStyle name="Обычный 2 2 14" xfId="463" xr:uid="{00000000-0005-0000-0000-000005020000}"/>
    <cellStyle name="Обычный 2 2 14 2" xfId="464" xr:uid="{00000000-0005-0000-0000-000006020000}"/>
    <cellStyle name="Обычный 2 2 15" xfId="465" xr:uid="{00000000-0005-0000-0000-000007020000}"/>
    <cellStyle name="Обычный 2 2 15 2" xfId="466" xr:uid="{00000000-0005-0000-0000-000008020000}"/>
    <cellStyle name="Обычный 2 2 16" xfId="467" xr:uid="{00000000-0005-0000-0000-000009020000}"/>
    <cellStyle name="Обычный 2 2 16 2" xfId="468" xr:uid="{00000000-0005-0000-0000-00000A020000}"/>
    <cellStyle name="Обычный 2 2 17" xfId="469" xr:uid="{00000000-0005-0000-0000-00000B020000}"/>
    <cellStyle name="Обычный 2 2 17 2" xfId="470" xr:uid="{00000000-0005-0000-0000-00000C020000}"/>
    <cellStyle name="Обычный 2 2 18" xfId="471" xr:uid="{00000000-0005-0000-0000-00000D020000}"/>
    <cellStyle name="Обычный 2 2 18 2" xfId="472" xr:uid="{00000000-0005-0000-0000-00000E020000}"/>
    <cellStyle name="Обычный 2 2 19" xfId="473" xr:uid="{00000000-0005-0000-0000-00000F020000}"/>
    <cellStyle name="Обычный 2 2 19 2" xfId="474" xr:uid="{00000000-0005-0000-0000-000010020000}"/>
    <cellStyle name="Обычный 2 2 2" xfId="475" xr:uid="{00000000-0005-0000-0000-000011020000}"/>
    <cellStyle name="Обычный 2 2 2 10" xfId="476" xr:uid="{00000000-0005-0000-0000-000012020000}"/>
    <cellStyle name="Обычный 2 2 2 11" xfId="477" xr:uid="{00000000-0005-0000-0000-000013020000}"/>
    <cellStyle name="Обычный 2 2 2 12" xfId="478" xr:uid="{00000000-0005-0000-0000-000014020000}"/>
    <cellStyle name="Обычный 2 2 2 13" xfId="479" xr:uid="{00000000-0005-0000-0000-000015020000}"/>
    <cellStyle name="Обычный 2 2 2 14" xfId="480" xr:uid="{00000000-0005-0000-0000-000016020000}"/>
    <cellStyle name="Обычный 2 2 2 15" xfId="481" xr:uid="{00000000-0005-0000-0000-000017020000}"/>
    <cellStyle name="Обычный 2 2 2 16" xfId="482" xr:uid="{00000000-0005-0000-0000-000018020000}"/>
    <cellStyle name="Обычный 2 2 2 17" xfId="483" xr:uid="{00000000-0005-0000-0000-000019020000}"/>
    <cellStyle name="Обычный 2 2 2 18" xfId="484" xr:uid="{00000000-0005-0000-0000-00001A020000}"/>
    <cellStyle name="Обычный 2 2 2 19" xfId="485" xr:uid="{00000000-0005-0000-0000-00001B020000}"/>
    <cellStyle name="Обычный 2 2 2 2" xfId="486" xr:uid="{00000000-0005-0000-0000-00001C020000}"/>
    <cellStyle name="Обычный 2 2 2 2 10" xfId="487" xr:uid="{00000000-0005-0000-0000-00001D020000}"/>
    <cellStyle name="Обычный 2 2 2 2 11" xfId="488" xr:uid="{00000000-0005-0000-0000-00001E020000}"/>
    <cellStyle name="Обычный 2 2 2 2 12" xfId="489" xr:uid="{00000000-0005-0000-0000-00001F020000}"/>
    <cellStyle name="Обычный 2 2 2 2 13" xfId="490" xr:uid="{00000000-0005-0000-0000-000020020000}"/>
    <cellStyle name="Обычный 2 2 2 2 14" xfId="491" xr:uid="{00000000-0005-0000-0000-000021020000}"/>
    <cellStyle name="Обычный 2 2 2 2 15" xfId="492" xr:uid="{00000000-0005-0000-0000-000022020000}"/>
    <cellStyle name="Обычный 2 2 2 2 16" xfId="493" xr:uid="{00000000-0005-0000-0000-000023020000}"/>
    <cellStyle name="Обычный 2 2 2 2 17" xfId="494" xr:uid="{00000000-0005-0000-0000-000024020000}"/>
    <cellStyle name="Обычный 2 2 2 2 18" xfId="495" xr:uid="{00000000-0005-0000-0000-000025020000}"/>
    <cellStyle name="Обычный 2 2 2 2 19" xfId="496" xr:uid="{00000000-0005-0000-0000-000026020000}"/>
    <cellStyle name="Обычный 2 2 2 2 2" xfId="497" xr:uid="{00000000-0005-0000-0000-000027020000}"/>
    <cellStyle name="Обычный 2 2 2 2 20" xfId="498" xr:uid="{00000000-0005-0000-0000-000028020000}"/>
    <cellStyle name="Обычный 2 2 2 2 21" xfId="499" xr:uid="{00000000-0005-0000-0000-000029020000}"/>
    <cellStyle name="Обычный 2 2 2 2 22" xfId="500" xr:uid="{00000000-0005-0000-0000-00002A020000}"/>
    <cellStyle name="Обычный 2 2 2 2 23" xfId="501" xr:uid="{00000000-0005-0000-0000-00002B020000}"/>
    <cellStyle name="Обычный 2 2 2 2 24" xfId="502" xr:uid="{00000000-0005-0000-0000-00002C020000}"/>
    <cellStyle name="Обычный 2 2 2 2 25" xfId="503" xr:uid="{00000000-0005-0000-0000-00002D020000}"/>
    <cellStyle name="Обычный 2 2 2 2 26" xfId="504" xr:uid="{00000000-0005-0000-0000-00002E020000}"/>
    <cellStyle name="Обычный 2 2 2 2 27" xfId="505" xr:uid="{00000000-0005-0000-0000-00002F020000}"/>
    <cellStyle name="Обычный 2 2 2 2 28" xfId="506" xr:uid="{00000000-0005-0000-0000-000030020000}"/>
    <cellStyle name="Обычный 2 2 2 2 29" xfId="507" xr:uid="{00000000-0005-0000-0000-000031020000}"/>
    <cellStyle name="Обычный 2 2 2 2 3" xfId="508" xr:uid="{00000000-0005-0000-0000-000032020000}"/>
    <cellStyle name="Обычный 2 2 2 2 30" xfId="509" xr:uid="{00000000-0005-0000-0000-000033020000}"/>
    <cellStyle name="Обычный 2 2 2 2 4" xfId="510" xr:uid="{00000000-0005-0000-0000-000034020000}"/>
    <cellStyle name="Обычный 2 2 2 2 5" xfId="511" xr:uid="{00000000-0005-0000-0000-000035020000}"/>
    <cellStyle name="Обычный 2 2 2 2 6" xfId="512" xr:uid="{00000000-0005-0000-0000-000036020000}"/>
    <cellStyle name="Обычный 2 2 2 2 7" xfId="513" xr:uid="{00000000-0005-0000-0000-000037020000}"/>
    <cellStyle name="Обычный 2 2 2 2 8" xfId="514" xr:uid="{00000000-0005-0000-0000-000038020000}"/>
    <cellStyle name="Обычный 2 2 2 2 9" xfId="515" xr:uid="{00000000-0005-0000-0000-000039020000}"/>
    <cellStyle name="Обычный 2 2 2 20" xfId="516" xr:uid="{00000000-0005-0000-0000-00003A020000}"/>
    <cellStyle name="Обычный 2 2 2 21" xfId="517" xr:uid="{00000000-0005-0000-0000-00003B020000}"/>
    <cellStyle name="Обычный 2 2 2 22" xfId="518" xr:uid="{00000000-0005-0000-0000-00003C020000}"/>
    <cellStyle name="Обычный 2 2 2 23" xfId="519" xr:uid="{00000000-0005-0000-0000-00003D020000}"/>
    <cellStyle name="Обычный 2 2 2 24" xfId="520" xr:uid="{00000000-0005-0000-0000-00003E020000}"/>
    <cellStyle name="Обычный 2 2 2 25" xfId="521" xr:uid="{00000000-0005-0000-0000-00003F020000}"/>
    <cellStyle name="Обычный 2 2 2 26" xfId="522" xr:uid="{00000000-0005-0000-0000-000040020000}"/>
    <cellStyle name="Обычный 2 2 2 27" xfId="523" xr:uid="{00000000-0005-0000-0000-000041020000}"/>
    <cellStyle name="Обычный 2 2 2 28" xfId="524" xr:uid="{00000000-0005-0000-0000-000042020000}"/>
    <cellStyle name="Обычный 2 2 2 29" xfId="525" xr:uid="{00000000-0005-0000-0000-000043020000}"/>
    <cellStyle name="Обычный 2 2 2 3" xfId="526" xr:uid="{00000000-0005-0000-0000-000044020000}"/>
    <cellStyle name="Обычный 2 2 2 30" xfId="527" xr:uid="{00000000-0005-0000-0000-000045020000}"/>
    <cellStyle name="Обычный 2 2 2 31" xfId="528" xr:uid="{00000000-0005-0000-0000-000046020000}"/>
    <cellStyle name="Обычный 2 2 2 4" xfId="529" xr:uid="{00000000-0005-0000-0000-000047020000}"/>
    <cellStyle name="Обычный 2 2 2 5" xfId="530" xr:uid="{00000000-0005-0000-0000-000048020000}"/>
    <cellStyle name="Обычный 2 2 2 6" xfId="531" xr:uid="{00000000-0005-0000-0000-000049020000}"/>
    <cellStyle name="Обычный 2 2 2 7" xfId="532" xr:uid="{00000000-0005-0000-0000-00004A020000}"/>
    <cellStyle name="Обычный 2 2 2 8" xfId="533" xr:uid="{00000000-0005-0000-0000-00004B020000}"/>
    <cellStyle name="Обычный 2 2 2 9" xfId="534" xr:uid="{00000000-0005-0000-0000-00004C020000}"/>
    <cellStyle name="Обычный 2 2 20" xfId="535" xr:uid="{00000000-0005-0000-0000-00004D020000}"/>
    <cellStyle name="Обычный 2 2 20 2" xfId="536" xr:uid="{00000000-0005-0000-0000-00004E020000}"/>
    <cellStyle name="Обычный 2 2 21" xfId="537" xr:uid="{00000000-0005-0000-0000-00004F020000}"/>
    <cellStyle name="Обычный 2 2 21 2" xfId="538" xr:uid="{00000000-0005-0000-0000-000050020000}"/>
    <cellStyle name="Обычный 2 2 22" xfId="539" xr:uid="{00000000-0005-0000-0000-000051020000}"/>
    <cellStyle name="Обычный 2 2 22 2" xfId="540" xr:uid="{00000000-0005-0000-0000-000052020000}"/>
    <cellStyle name="Обычный 2 2 23" xfId="541" xr:uid="{00000000-0005-0000-0000-000053020000}"/>
    <cellStyle name="Обычный 2 2 23 2" xfId="542" xr:uid="{00000000-0005-0000-0000-000054020000}"/>
    <cellStyle name="Обычный 2 2 24" xfId="543" xr:uid="{00000000-0005-0000-0000-000055020000}"/>
    <cellStyle name="Обычный 2 2 24 2" xfId="544" xr:uid="{00000000-0005-0000-0000-000056020000}"/>
    <cellStyle name="Обычный 2 2 25" xfId="545" xr:uid="{00000000-0005-0000-0000-000057020000}"/>
    <cellStyle name="Обычный 2 2 25 2" xfId="546" xr:uid="{00000000-0005-0000-0000-000058020000}"/>
    <cellStyle name="Обычный 2 2 26" xfId="547" xr:uid="{00000000-0005-0000-0000-000059020000}"/>
    <cellStyle name="Обычный 2 2 26 2" xfId="548" xr:uid="{00000000-0005-0000-0000-00005A020000}"/>
    <cellStyle name="Обычный 2 2 27" xfId="549" xr:uid="{00000000-0005-0000-0000-00005B020000}"/>
    <cellStyle name="Обычный 2 2 27 2" xfId="550" xr:uid="{00000000-0005-0000-0000-00005C020000}"/>
    <cellStyle name="Обычный 2 2 28" xfId="551" xr:uid="{00000000-0005-0000-0000-00005D020000}"/>
    <cellStyle name="Обычный 2 2 28 2" xfId="552" xr:uid="{00000000-0005-0000-0000-00005E020000}"/>
    <cellStyle name="Обычный 2 2 29" xfId="553" xr:uid="{00000000-0005-0000-0000-00005F020000}"/>
    <cellStyle name="Обычный 2 2 29 2" xfId="554" xr:uid="{00000000-0005-0000-0000-000060020000}"/>
    <cellStyle name="Обычный 2 2 3" xfId="555" xr:uid="{00000000-0005-0000-0000-000061020000}"/>
    <cellStyle name="Обычный 2 2 3 2" xfId="556" xr:uid="{00000000-0005-0000-0000-000062020000}"/>
    <cellStyle name="Обычный 2 2 30" xfId="557" xr:uid="{00000000-0005-0000-0000-000063020000}"/>
    <cellStyle name="Обычный 2 2 30 2" xfId="558" xr:uid="{00000000-0005-0000-0000-000064020000}"/>
    <cellStyle name="Обычный 2 2 31" xfId="559" xr:uid="{00000000-0005-0000-0000-000065020000}"/>
    <cellStyle name="Обычный 2 2 31 2" xfId="560" xr:uid="{00000000-0005-0000-0000-000066020000}"/>
    <cellStyle name="Обычный 2 2 32" xfId="561" xr:uid="{00000000-0005-0000-0000-000067020000}"/>
    <cellStyle name="Обычный 2 2 4" xfId="562" xr:uid="{00000000-0005-0000-0000-000068020000}"/>
    <cellStyle name="Обычный 2 2 4 2" xfId="563" xr:uid="{00000000-0005-0000-0000-000069020000}"/>
    <cellStyle name="Обычный 2 2 5" xfId="564" xr:uid="{00000000-0005-0000-0000-00006A020000}"/>
    <cellStyle name="Обычный 2 2 5 2" xfId="565" xr:uid="{00000000-0005-0000-0000-00006B020000}"/>
    <cellStyle name="Обычный 2 2 6" xfId="566" xr:uid="{00000000-0005-0000-0000-00006C020000}"/>
    <cellStyle name="Обычный 2 2 6 2" xfId="567" xr:uid="{00000000-0005-0000-0000-00006D020000}"/>
    <cellStyle name="Обычный 2 2 7" xfId="568" xr:uid="{00000000-0005-0000-0000-00006E020000}"/>
    <cellStyle name="Обычный 2 2 7 2" xfId="569" xr:uid="{00000000-0005-0000-0000-00006F020000}"/>
    <cellStyle name="Обычный 2 2 8" xfId="570" xr:uid="{00000000-0005-0000-0000-000070020000}"/>
    <cellStyle name="Обычный 2 2 8 2" xfId="571" xr:uid="{00000000-0005-0000-0000-000071020000}"/>
    <cellStyle name="Обычный 2 2 9" xfId="572" xr:uid="{00000000-0005-0000-0000-000072020000}"/>
    <cellStyle name="Обычный 2 2 9 2" xfId="573" xr:uid="{00000000-0005-0000-0000-000073020000}"/>
    <cellStyle name="Обычный 2 20" xfId="574" xr:uid="{00000000-0005-0000-0000-000074020000}"/>
    <cellStyle name="Обычный 2 21" xfId="575" xr:uid="{00000000-0005-0000-0000-000075020000}"/>
    <cellStyle name="Обычный 2 22" xfId="576" xr:uid="{00000000-0005-0000-0000-000076020000}"/>
    <cellStyle name="Обычный 2 23" xfId="577" xr:uid="{00000000-0005-0000-0000-000077020000}"/>
    <cellStyle name="Обычный 2 24" xfId="578" xr:uid="{00000000-0005-0000-0000-000078020000}"/>
    <cellStyle name="Обычный 2 25" xfId="579" xr:uid="{00000000-0005-0000-0000-000079020000}"/>
    <cellStyle name="Обычный 2 26" xfId="580" xr:uid="{00000000-0005-0000-0000-00007A020000}"/>
    <cellStyle name="Обычный 2 27" xfId="581" xr:uid="{00000000-0005-0000-0000-00007B020000}"/>
    <cellStyle name="Обычный 2 28" xfId="582" xr:uid="{00000000-0005-0000-0000-00007C020000}"/>
    <cellStyle name="Обычный 2 29" xfId="583" xr:uid="{00000000-0005-0000-0000-00007D020000}"/>
    <cellStyle name="Обычный 2 3" xfId="584" xr:uid="{00000000-0005-0000-0000-00007E020000}"/>
    <cellStyle name="Обычный 2 3 2" xfId="585" xr:uid="{00000000-0005-0000-0000-00007F020000}"/>
    <cellStyle name="Обычный 2 3 3" xfId="586" xr:uid="{00000000-0005-0000-0000-000080020000}"/>
    <cellStyle name="Обычный 2 30" xfId="587" xr:uid="{00000000-0005-0000-0000-000081020000}"/>
    <cellStyle name="Обычный 2 31" xfId="588" xr:uid="{00000000-0005-0000-0000-000082020000}"/>
    <cellStyle name="Обычный 2 32" xfId="589" xr:uid="{00000000-0005-0000-0000-000083020000}"/>
    <cellStyle name="Обычный 2 33" xfId="590" xr:uid="{00000000-0005-0000-0000-000084020000}"/>
    <cellStyle name="Обычный 2 34" xfId="591" xr:uid="{00000000-0005-0000-0000-000085020000}"/>
    <cellStyle name="Обычный 2 34 2" xfId="592" xr:uid="{00000000-0005-0000-0000-000086020000}"/>
    <cellStyle name="Обычный 2 35" xfId="593" xr:uid="{00000000-0005-0000-0000-000087020000}"/>
    <cellStyle name="Обычный 2 36" xfId="594" xr:uid="{00000000-0005-0000-0000-000088020000}"/>
    <cellStyle name="Обычный 2 4" xfId="595" xr:uid="{00000000-0005-0000-0000-000089020000}"/>
    <cellStyle name="Обычный 2 4 2" xfId="596" xr:uid="{00000000-0005-0000-0000-00008A020000}"/>
    <cellStyle name="Обычный 2 4 3" xfId="597" xr:uid="{00000000-0005-0000-0000-00008B020000}"/>
    <cellStyle name="Обычный 2 5" xfId="598" xr:uid="{00000000-0005-0000-0000-00008C020000}"/>
    <cellStyle name="Обычный 2 5 2" xfId="599" xr:uid="{00000000-0005-0000-0000-00008D020000}"/>
    <cellStyle name="Обычный 2 5 3" xfId="600" xr:uid="{00000000-0005-0000-0000-00008E020000}"/>
    <cellStyle name="Обычный 2 6" xfId="601" xr:uid="{00000000-0005-0000-0000-00008F020000}"/>
    <cellStyle name="Обычный 2 7" xfId="602" xr:uid="{00000000-0005-0000-0000-000090020000}"/>
    <cellStyle name="Обычный 2 8" xfId="603" xr:uid="{00000000-0005-0000-0000-000091020000}"/>
    <cellStyle name="Обычный 2 9" xfId="604" xr:uid="{00000000-0005-0000-0000-000092020000}"/>
    <cellStyle name="Обычный 20" xfId="605" xr:uid="{00000000-0005-0000-0000-000093020000}"/>
    <cellStyle name="Обычный 20 10" xfId="606" xr:uid="{00000000-0005-0000-0000-000094020000}"/>
    <cellStyle name="Обычный 20 11" xfId="607" xr:uid="{00000000-0005-0000-0000-000095020000}"/>
    <cellStyle name="Обычный 20 12" xfId="608" xr:uid="{00000000-0005-0000-0000-000096020000}"/>
    <cellStyle name="Обычный 20 13" xfId="609" xr:uid="{00000000-0005-0000-0000-000097020000}"/>
    <cellStyle name="Обычный 20 14" xfId="610" xr:uid="{00000000-0005-0000-0000-000098020000}"/>
    <cellStyle name="Обычный 20 15" xfId="611" xr:uid="{00000000-0005-0000-0000-000099020000}"/>
    <cellStyle name="Обычный 20 16" xfId="612" xr:uid="{00000000-0005-0000-0000-00009A020000}"/>
    <cellStyle name="Обычный 20 17" xfId="613" xr:uid="{00000000-0005-0000-0000-00009B020000}"/>
    <cellStyle name="Обычный 20 18" xfId="614" xr:uid="{00000000-0005-0000-0000-00009C020000}"/>
    <cellStyle name="Обычный 20 19" xfId="615" xr:uid="{00000000-0005-0000-0000-00009D020000}"/>
    <cellStyle name="Обычный 20 2" xfId="616" xr:uid="{00000000-0005-0000-0000-00009E020000}"/>
    <cellStyle name="Обычный 20 2 2" xfId="617" xr:uid="{00000000-0005-0000-0000-00009F020000}"/>
    <cellStyle name="Обычный 20 2 2 2" xfId="618" xr:uid="{00000000-0005-0000-0000-0000A0020000}"/>
    <cellStyle name="Обычный 20 2 3" xfId="619" xr:uid="{00000000-0005-0000-0000-0000A1020000}"/>
    <cellStyle name="Обычный 20 2 4" xfId="620" xr:uid="{00000000-0005-0000-0000-0000A2020000}"/>
    <cellStyle name="Обычный 20 20" xfId="621" xr:uid="{00000000-0005-0000-0000-0000A3020000}"/>
    <cellStyle name="Обычный 20 21" xfId="622" xr:uid="{00000000-0005-0000-0000-0000A4020000}"/>
    <cellStyle name="Обычный 20 22" xfId="623" xr:uid="{00000000-0005-0000-0000-0000A5020000}"/>
    <cellStyle name="Обычный 20 23" xfId="624" xr:uid="{00000000-0005-0000-0000-0000A6020000}"/>
    <cellStyle name="Обычный 20 24" xfId="625" xr:uid="{00000000-0005-0000-0000-0000A7020000}"/>
    <cellStyle name="Обычный 20 25" xfId="626" xr:uid="{00000000-0005-0000-0000-0000A8020000}"/>
    <cellStyle name="Обычный 20 26" xfId="627" xr:uid="{00000000-0005-0000-0000-0000A9020000}"/>
    <cellStyle name="Обычный 20 27" xfId="628" xr:uid="{00000000-0005-0000-0000-0000AA020000}"/>
    <cellStyle name="Обычный 20 28" xfId="629" xr:uid="{00000000-0005-0000-0000-0000AB020000}"/>
    <cellStyle name="Обычный 20 29" xfId="630" xr:uid="{00000000-0005-0000-0000-0000AC020000}"/>
    <cellStyle name="Обычный 20 3" xfId="631" xr:uid="{00000000-0005-0000-0000-0000AD020000}"/>
    <cellStyle name="Обычный 20 3 2" xfId="632" xr:uid="{00000000-0005-0000-0000-0000AE020000}"/>
    <cellStyle name="Обычный 20 30" xfId="633" xr:uid="{00000000-0005-0000-0000-0000AF020000}"/>
    <cellStyle name="Обычный 20 31" xfId="634" xr:uid="{00000000-0005-0000-0000-0000B0020000}"/>
    <cellStyle name="Обычный 20 32" xfId="635" xr:uid="{00000000-0005-0000-0000-0000B1020000}"/>
    <cellStyle name="Обычный 20 4" xfId="636" xr:uid="{00000000-0005-0000-0000-0000B2020000}"/>
    <cellStyle name="Обычный 20 5" xfId="637" xr:uid="{00000000-0005-0000-0000-0000B3020000}"/>
    <cellStyle name="Обычный 20 6" xfId="638" xr:uid="{00000000-0005-0000-0000-0000B4020000}"/>
    <cellStyle name="Обычный 20 7" xfId="639" xr:uid="{00000000-0005-0000-0000-0000B5020000}"/>
    <cellStyle name="Обычный 20 8" xfId="640" xr:uid="{00000000-0005-0000-0000-0000B6020000}"/>
    <cellStyle name="Обычный 20 9" xfId="641" xr:uid="{00000000-0005-0000-0000-0000B7020000}"/>
    <cellStyle name="Обычный 21" xfId="642" xr:uid="{00000000-0005-0000-0000-0000B8020000}"/>
    <cellStyle name="Обычный 21 2" xfId="643" xr:uid="{00000000-0005-0000-0000-0000B9020000}"/>
    <cellStyle name="Обычный 21 2 2" xfId="644" xr:uid="{00000000-0005-0000-0000-0000BA020000}"/>
    <cellStyle name="Обычный 21 2 3" xfId="645" xr:uid="{00000000-0005-0000-0000-0000BB020000}"/>
    <cellStyle name="Обычный 21 2 4" xfId="646" xr:uid="{00000000-0005-0000-0000-0000BC020000}"/>
    <cellStyle name="Обычный 22" xfId="647" xr:uid="{00000000-0005-0000-0000-0000BD020000}"/>
    <cellStyle name="Обычный 22 10" xfId="648" xr:uid="{00000000-0005-0000-0000-0000BE020000}"/>
    <cellStyle name="Обычный 22 11" xfId="649" xr:uid="{00000000-0005-0000-0000-0000BF020000}"/>
    <cellStyle name="Обычный 22 12" xfId="650" xr:uid="{00000000-0005-0000-0000-0000C0020000}"/>
    <cellStyle name="Обычный 22 13" xfId="651" xr:uid="{00000000-0005-0000-0000-0000C1020000}"/>
    <cellStyle name="Обычный 22 14" xfId="652" xr:uid="{00000000-0005-0000-0000-0000C2020000}"/>
    <cellStyle name="Обычный 22 15" xfId="653" xr:uid="{00000000-0005-0000-0000-0000C3020000}"/>
    <cellStyle name="Обычный 22 16" xfId="654" xr:uid="{00000000-0005-0000-0000-0000C4020000}"/>
    <cellStyle name="Обычный 22 17" xfId="655" xr:uid="{00000000-0005-0000-0000-0000C5020000}"/>
    <cellStyle name="Обычный 22 18" xfId="656" xr:uid="{00000000-0005-0000-0000-0000C6020000}"/>
    <cellStyle name="Обычный 22 19" xfId="657" xr:uid="{00000000-0005-0000-0000-0000C7020000}"/>
    <cellStyle name="Обычный 22 2" xfId="658" xr:uid="{00000000-0005-0000-0000-0000C8020000}"/>
    <cellStyle name="Обычный 22 2 2" xfId="659" xr:uid="{00000000-0005-0000-0000-0000C9020000}"/>
    <cellStyle name="Обычный 22 2 3" xfId="660" xr:uid="{00000000-0005-0000-0000-0000CA020000}"/>
    <cellStyle name="Обычный 22 20" xfId="661" xr:uid="{00000000-0005-0000-0000-0000CB020000}"/>
    <cellStyle name="Обычный 22 21" xfId="662" xr:uid="{00000000-0005-0000-0000-0000CC020000}"/>
    <cellStyle name="Обычный 22 22" xfId="663" xr:uid="{00000000-0005-0000-0000-0000CD020000}"/>
    <cellStyle name="Обычный 22 23" xfId="664" xr:uid="{00000000-0005-0000-0000-0000CE020000}"/>
    <cellStyle name="Обычный 22 24" xfId="665" xr:uid="{00000000-0005-0000-0000-0000CF020000}"/>
    <cellStyle name="Обычный 22 25" xfId="666" xr:uid="{00000000-0005-0000-0000-0000D0020000}"/>
    <cellStyle name="Обычный 22 26" xfId="667" xr:uid="{00000000-0005-0000-0000-0000D1020000}"/>
    <cellStyle name="Обычный 22 27" xfId="668" xr:uid="{00000000-0005-0000-0000-0000D2020000}"/>
    <cellStyle name="Обычный 22 28" xfId="669" xr:uid="{00000000-0005-0000-0000-0000D3020000}"/>
    <cellStyle name="Обычный 22 29" xfId="670" xr:uid="{00000000-0005-0000-0000-0000D4020000}"/>
    <cellStyle name="Обычный 22 3" xfId="671" xr:uid="{00000000-0005-0000-0000-0000D5020000}"/>
    <cellStyle name="Обычный 22 30" xfId="672" xr:uid="{00000000-0005-0000-0000-0000D6020000}"/>
    <cellStyle name="Обычный 22 31" xfId="673" xr:uid="{00000000-0005-0000-0000-0000D7020000}"/>
    <cellStyle name="Обычный 22 32" xfId="674" xr:uid="{00000000-0005-0000-0000-0000D8020000}"/>
    <cellStyle name="Обычный 22 4" xfId="675" xr:uid="{00000000-0005-0000-0000-0000D9020000}"/>
    <cellStyle name="Обычный 22 5" xfId="676" xr:uid="{00000000-0005-0000-0000-0000DA020000}"/>
    <cellStyle name="Обычный 22 6" xfId="677" xr:uid="{00000000-0005-0000-0000-0000DB020000}"/>
    <cellStyle name="Обычный 22 7" xfId="678" xr:uid="{00000000-0005-0000-0000-0000DC020000}"/>
    <cellStyle name="Обычный 22 8" xfId="679" xr:uid="{00000000-0005-0000-0000-0000DD020000}"/>
    <cellStyle name="Обычный 22 9" xfId="680" xr:uid="{00000000-0005-0000-0000-0000DE020000}"/>
    <cellStyle name="Обычный 23" xfId="681" xr:uid="{00000000-0005-0000-0000-0000DF020000}"/>
    <cellStyle name="Обычный 24" xfId="682" xr:uid="{00000000-0005-0000-0000-0000E0020000}"/>
    <cellStyle name="Обычный 24 2" xfId="683" xr:uid="{00000000-0005-0000-0000-0000E1020000}"/>
    <cellStyle name="Обычный 24 3" xfId="684" xr:uid="{00000000-0005-0000-0000-0000E2020000}"/>
    <cellStyle name="Обычный 24 4" xfId="685" xr:uid="{00000000-0005-0000-0000-0000E3020000}"/>
    <cellStyle name="Обычный 25" xfId="686" xr:uid="{00000000-0005-0000-0000-0000E4020000}"/>
    <cellStyle name="Обычный 25 2" xfId="687" xr:uid="{00000000-0005-0000-0000-0000E5020000}"/>
    <cellStyle name="Обычный 256" xfId="688" xr:uid="{00000000-0005-0000-0000-0000E6020000}"/>
    <cellStyle name="Обычный 256 2" xfId="689" xr:uid="{00000000-0005-0000-0000-0000E7020000}"/>
    <cellStyle name="Обычный 26" xfId="690" xr:uid="{00000000-0005-0000-0000-0000E8020000}"/>
    <cellStyle name="Обычный 26 10" xfId="691" xr:uid="{00000000-0005-0000-0000-0000E9020000}"/>
    <cellStyle name="Обычный 26 11" xfId="692" xr:uid="{00000000-0005-0000-0000-0000EA020000}"/>
    <cellStyle name="Обычный 26 12" xfId="693" xr:uid="{00000000-0005-0000-0000-0000EB020000}"/>
    <cellStyle name="Обычный 26 13" xfId="694" xr:uid="{00000000-0005-0000-0000-0000EC020000}"/>
    <cellStyle name="Обычный 26 14" xfId="695" xr:uid="{00000000-0005-0000-0000-0000ED020000}"/>
    <cellStyle name="Обычный 26 15" xfId="696" xr:uid="{00000000-0005-0000-0000-0000EE020000}"/>
    <cellStyle name="Обычный 26 16" xfId="697" xr:uid="{00000000-0005-0000-0000-0000EF020000}"/>
    <cellStyle name="Обычный 26 17" xfId="698" xr:uid="{00000000-0005-0000-0000-0000F0020000}"/>
    <cellStyle name="Обычный 26 18" xfId="699" xr:uid="{00000000-0005-0000-0000-0000F1020000}"/>
    <cellStyle name="Обычный 26 19" xfId="700" xr:uid="{00000000-0005-0000-0000-0000F2020000}"/>
    <cellStyle name="Обычный 26 2" xfId="701" xr:uid="{00000000-0005-0000-0000-0000F3020000}"/>
    <cellStyle name="Обычный 26 20" xfId="702" xr:uid="{00000000-0005-0000-0000-0000F4020000}"/>
    <cellStyle name="Обычный 26 21" xfId="703" xr:uid="{00000000-0005-0000-0000-0000F5020000}"/>
    <cellStyle name="Обычный 26 22" xfId="704" xr:uid="{00000000-0005-0000-0000-0000F6020000}"/>
    <cellStyle name="Обычный 26 23" xfId="705" xr:uid="{00000000-0005-0000-0000-0000F7020000}"/>
    <cellStyle name="Обычный 26 24" xfId="706" xr:uid="{00000000-0005-0000-0000-0000F8020000}"/>
    <cellStyle name="Обычный 26 25" xfId="707" xr:uid="{00000000-0005-0000-0000-0000F9020000}"/>
    <cellStyle name="Обычный 26 26" xfId="708" xr:uid="{00000000-0005-0000-0000-0000FA020000}"/>
    <cellStyle name="Обычный 26 27" xfId="709" xr:uid="{00000000-0005-0000-0000-0000FB020000}"/>
    <cellStyle name="Обычный 26 28" xfId="710" xr:uid="{00000000-0005-0000-0000-0000FC020000}"/>
    <cellStyle name="Обычный 26 29" xfId="711" xr:uid="{00000000-0005-0000-0000-0000FD020000}"/>
    <cellStyle name="Обычный 26 3" xfId="712" xr:uid="{00000000-0005-0000-0000-0000FE020000}"/>
    <cellStyle name="Обычный 26 3 2" xfId="713" xr:uid="{00000000-0005-0000-0000-0000FF020000}"/>
    <cellStyle name="Обычный 26 30" xfId="714" xr:uid="{00000000-0005-0000-0000-000000030000}"/>
    <cellStyle name="Обычный 26 31" xfId="715" xr:uid="{00000000-0005-0000-0000-000001030000}"/>
    <cellStyle name="Обычный 26 32" xfId="716" xr:uid="{00000000-0005-0000-0000-000002030000}"/>
    <cellStyle name="Обычный 26 4" xfId="717" xr:uid="{00000000-0005-0000-0000-000003030000}"/>
    <cellStyle name="Обычный 26 5" xfId="718" xr:uid="{00000000-0005-0000-0000-000004030000}"/>
    <cellStyle name="Обычный 26 6" xfId="719" xr:uid="{00000000-0005-0000-0000-000005030000}"/>
    <cellStyle name="Обычный 26 7" xfId="720" xr:uid="{00000000-0005-0000-0000-000006030000}"/>
    <cellStyle name="Обычный 26 8" xfId="721" xr:uid="{00000000-0005-0000-0000-000007030000}"/>
    <cellStyle name="Обычный 26 9" xfId="722" xr:uid="{00000000-0005-0000-0000-000008030000}"/>
    <cellStyle name="Обычный 27" xfId="723" xr:uid="{00000000-0005-0000-0000-000009030000}"/>
    <cellStyle name="Обычный 27 2" xfId="724" xr:uid="{00000000-0005-0000-0000-00000A030000}"/>
    <cellStyle name="Обычный 28" xfId="725" xr:uid="{00000000-0005-0000-0000-00000B030000}"/>
    <cellStyle name="Обычный 29" xfId="726" xr:uid="{00000000-0005-0000-0000-00000C030000}"/>
    <cellStyle name="Обычный 3" xfId="6" xr:uid="{00000000-0005-0000-0000-00000D030000}"/>
    <cellStyle name="Обычный 3 2" xfId="727" xr:uid="{00000000-0005-0000-0000-00000E030000}"/>
    <cellStyle name="Обычный 3 2 2" xfId="728" xr:uid="{00000000-0005-0000-0000-00000F030000}"/>
    <cellStyle name="Обычный 3 2 2 2" xfId="729" xr:uid="{00000000-0005-0000-0000-000010030000}"/>
    <cellStyle name="Обычный 3 2 3" xfId="730" xr:uid="{00000000-0005-0000-0000-000011030000}"/>
    <cellStyle name="Обычный 3 2 4" xfId="731" xr:uid="{00000000-0005-0000-0000-000012030000}"/>
    <cellStyle name="Обычный 3 3" xfId="732" xr:uid="{00000000-0005-0000-0000-000013030000}"/>
    <cellStyle name="Обычный 3 3 2" xfId="733" xr:uid="{00000000-0005-0000-0000-000014030000}"/>
    <cellStyle name="Обычный 3 3 2 2" xfId="734" xr:uid="{00000000-0005-0000-0000-000015030000}"/>
    <cellStyle name="Обычный 3 3 3" xfId="735" xr:uid="{00000000-0005-0000-0000-000016030000}"/>
    <cellStyle name="Обычный 3 4" xfId="736" xr:uid="{00000000-0005-0000-0000-000017030000}"/>
    <cellStyle name="Обычный 3 5" xfId="737" xr:uid="{00000000-0005-0000-0000-000018030000}"/>
    <cellStyle name="Обычный 3 5 2" xfId="738" xr:uid="{00000000-0005-0000-0000-000019030000}"/>
    <cellStyle name="Обычный 3 6" xfId="739" xr:uid="{00000000-0005-0000-0000-00001A030000}"/>
    <cellStyle name="Обычный 3 7" xfId="740" xr:uid="{00000000-0005-0000-0000-00001B030000}"/>
    <cellStyle name="Обычный 3 8" xfId="10" xr:uid="{00000000-0005-0000-0000-00001C030000}"/>
    <cellStyle name="Обычный 30" xfId="741" xr:uid="{00000000-0005-0000-0000-00001D030000}"/>
    <cellStyle name="Обычный 30 2" xfId="742" xr:uid="{00000000-0005-0000-0000-00001E030000}"/>
    <cellStyle name="Обычный 31" xfId="743" xr:uid="{00000000-0005-0000-0000-00001F030000}"/>
    <cellStyle name="Обычный 31 2" xfId="744" xr:uid="{00000000-0005-0000-0000-000020030000}"/>
    <cellStyle name="Обычный 32" xfId="745" xr:uid="{00000000-0005-0000-0000-000021030000}"/>
    <cellStyle name="Обычный 32 2" xfId="746" xr:uid="{00000000-0005-0000-0000-000022030000}"/>
    <cellStyle name="Обычный 33" xfId="747" xr:uid="{00000000-0005-0000-0000-000023030000}"/>
    <cellStyle name="Обычный 33 2" xfId="748" xr:uid="{00000000-0005-0000-0000-000024030000}"/>
    <cellStyle name="Обычный 34" xfId="749" xr:uid="{00000000-0005-0000-0000-000025030000}"/>
    <cellStyle name="Обычный 34 2" xfId="750" xr:uid="{00000000-0005-0000-0000-000026030000}"/>
    <cellStyle name="Обычный 35" xfId="751" xr:uid="{00000000-0005-0000-0000-000027030000}"/>
    <cellStyle name="Обычный 35 10" xfId="752" xr:uid="{00000000-0005-0000-0000-000028030000}"/>
    <cellStyle name="Обычный 35 11" xfId="753" xr:uid="{00000000-0005-0000-0000-000029030000}"/>
    <cellStyle name="Обычный 35 12" xfId="754" xr:uid="{00000000-0005-0000-0000-00002A030000}"/>
    <cellStyle name="Обычный 35 13" xfId="755" xr:uid="{00000000-0005-0000-0000-00002B030000}"/>
    <cellStyle name="Обычный 35 14" xfId="756" xr:uid="{00000000-0005-0000-0000-00002C030000}"/>
    <cellStyle name="Обычный 35 15" xfId="757" xr:uid="{00000000-0005-0000-0000-00002D030000}"/>
    <cellStyle name="Обычный 35 16" xfId="758" xr:uid="{00000000-0005-0000-0000-00002E030000}"/>
    <cellStyle name="Обычный 35 17" xfId="759" xr:uid="{00000000-0005-0000-0000-00002F030000}"/>
    <cellStyle name="Обычный 35 18" xfId="760" xr:uid="{00000000-0005-0000-0000-000030030000}"/>
    <cellStyle name="Обычный 35 19" xfId="761" xr:uid="{00000000-0005-0000-0000-000031030000}"/>
    <cellStyle name="Обычный 35 2" xfId="762" xr:uid="{00000000-0005-0000-0000-000032030000}"/>
    <cellStyle name="Обычный 35 2 2" xfId="763" xr:uid="{00000000-0005-0000-0000-000033030000}"/>
    <cellStyle name="Обычный 35 20" xfId="764" xr:uid="{00000000-0005-0000-0000-000034030000}"/>
    <cellStyle name="Обычный 35 21" xfId="765" xr:uid="{00000000-0005-0000-0000-000035030000}"/>
    <cellStyle name="Обычный 35 22" xfId="766" xr:uid="{00000000-0005-0000-0000-000036030000}"/>
    <cellStyle name="Обычный 35 23" xfId="767" xr:uid="{00000000-0005-0000-0000-000037030000}"/>
    <cellStyle name="Обычный 35 24" xfId="768" xr:uid="{00000000-0005-0000-0000-000038030000}"/>
    <cellStyle name="Обычный 35 25" xfId="769" xr:uid="{00000000-0005-0000-0000-000039030000}"/>
    <cellStyle name="Обычный 35 26" xfId="770" xr:uid="{00000000-0005-0000-0000-00003A030000}"/>
    <cellStyle name="Обычный 35 27" xfId="771" xr:uid="{00000000-0005-0000-0000-00003B030000}"/>
    <cellStyle name="Обычный 35 28" xfId="772" xr:uid="{00000000-0005-0000-0000-00003C030000}"/>
    <cellStyle name="Обычный 35 29" xfId="773" xr:uid="{00000000-0005-0000-0000-00003D030000}"/>
    <cellStyle name="Обычный 35 3" xfId="774" xr:uid="{00000000-0005-0000-0000-00003E030000}"/>
    <cellStyle name="Обычный 35 30" xfId="775" xr:uid="{00000000-0005-0000-0000-00003F030000}"/>
    <cellStyle name="Обычный 35 31" xfId="776" xr:uid="{00000000-0005-0000-0000-000040030000}"/>
    <cellStyle name="Обычный 35 4" xfId="777" xr:uid="{00000000-0005-0000-0000-000041030000}"/>
    <cellStyle name="Обычный 35 5" xfId="778" xr:uid="{00000000-0005-0000-0000-000042030000}"/>
    <cellStyle name="Обычный 35 6" xfId="779" xr:uid="{00000000-0005-0000-0000-000043030000}"/>
    <cellStyle name="Обычный 35 7" xfId="780" xr:uid="{00000000-0005-0000-0000-000044030000}"/>
    <cellStyle name="Обычный 35 8" xfId="781" xr:uid="{00000000-0005-0000-0000-000045030000}"/>
    <cellStyle name="Обычный 35 9" xfId="782" xr:uid="{00000000-0005-0000-0000-000046030000}"/>
    <cellStyle name="Обычный 36" xfId="783" xr:uid="{00000000-0005-0000-0000-000047030000}"/>
    <cellStyle name="Обычный 36 2" xfId="784" xr:uid="{00000000-0005-0000-0000-000048030000}"/>
    <cellStyle name="Обычный 37" xfId="785" xr:uid="{00000000-0005-0000-0000-000049030000}"/>
    <cellStyle name="Обычный 37 2" xfId="786" xr:uid="{00000000-0005-0000-0000-00004A030000}"/>
    <cellStyle name="Обычный 38" xfId="787" xr:uid="{00000000-0005-0000-0000-00004B030000}"/>
    <cellStyle name="Обычный 38 2" xfId="788" xr:uid="{00000000-0005-0000-0000-00004C030000}"/>
    <cellStyle name="Обычный 39" xfId="789" xr:uid="{00000000-0005-0000-0000-00004D030000}"/>
    <cellStyle name="Обычный 39 2" xfId="790" xr:uid="{00000000-0005-0000-0000-00004E030000}"/>
    <cellStyle name="Обычный 4" xfId="7" xr:uid="{00000000-0005-0000-0000-00004F030000}"/>
    <cellStyle name="Обычный 4 2" xfId="5" xr:uid="{00000000-0005-0000-0000-000050030000}"/>
    <cellStyle name="Обычный 4 2 2" xfId="791" xr:uid="{00000000-0005-0000-0000-000051030000}"/>
    <cellStyle name="Обычный 4 2 3" xfId="792" xr:uid="{00000000-0005-0000-0000-000052030000}"/>
    <cellStyle name="Обычный 4 3" xfId="793" xr:uid="{00000000-0005-0000-0000-000053030000}"/>
    <cellStyle name="Обычный 4 3 2" xfId="794" xr:uid="{00000000-0005-0000-0000-000054030000}"/>
    <cellStyle name="Обычный 4 4" xfId="795" xr:uid="{00000000-0005-0000-0000-000055030000}"/>
    <cellStyle name="Обычный 4 4 2" xfId="796" xr:uid="{00000000-0005-0000-0000-000056030000}"/>
    <cellStyle name="Обычный 4 5" xfId="797" xr:uid="{00000000-0005-0000-0000-000057030000}"/>
    <cellStyle name="Обычный 40" xfId="798" xr:uid="{00000000-0005-0000-0000-000058030000}"/>
    <cellStyle name="Обычный 40 10" xfId="799" xr:uid="{00000000-0005-0000-0000-000059030000}"/>
    <cellStyle name="Обычный 40 11" xfId="800" xr:uid="{00000000-0005-0000-0000-00005A030000}"/>
    <cellStyle name="Обычный 40 12" xfId="801" xr:uid="{00000000-0005-0000-0000-00005B030000}"/>
    <cellStyle name="Обычный 40 13" xfId="802" xr:uid="{00000000-0005-0000-0000-00005C030000}"/>
    <cellStyle name="Обычный 40 14" xfId="803" xr:uid="{00000000-0005-0000-0000-00005D030000}"/>
    <cellStyle name="Обычный 40 15" xfId="804" xr:uid="{00000000-0005-0000-0000-00005E030000}"/>
    <cellStyle name="Обычный 40 16" xfId="805" xr:uid="{00000000-0005-0000-0000-00005F030000}"/>
    <cellStyle name="Обычный 40 17" xfId="806" xr:uid="{00000000-0005-0000-0000-000060030000}"/>
    <cellStyle name="Обычный 40 18" xfId="807" xr:uid="{00000000-0005-0000-0000-000061030000}"/>
    <cellStyle name="Обычный 40 19" xfId="808" xr:uid="{00000000-0005-0000-0000-000062030000}"/>
    <cellStyle name="Обычный 40 2" xfId="809" xr:uid="{00000000-0005-0000-0000-000063030000}"/>
    <cellStyle name="Обычный 40 2 2" xfId="810" xr:uid="{00000000-0005-0000-0000-000064030000}"/>
    <cellStyle name="Обычный 40 20" xfId="811" xr:uid="{00000000-0005-0000-0000-000065030000}"/>
    <cellStyle name="Обычный 40 21" xfId="812" xr:uid="{00000000-0005-0000-0000-000066030000}"/>
    <cellStyle name="Обычный 40 22" xfId="813" xr:uid="{00000000-0005-0000-0000-000067030000}"/>
    <cellStyle name="Обычный 40 23" xfId="814" xr:uid="{00000000-0005-0000-0000-000068030000}"/>
    <cellStyle name="Обычный 40 24" xfId="815" xr:uid="{00000000-0005-0000-0000-000069030000}"/>
    <cellStyle name="Обычный 40 25" xfId="816" xr:uid="{00000000-0005-0000-0000-00006A030000}"/>
    <cellStyle name="Обычный 40 26" xfId="817" xr:uid="{00000000-0005-0000-0000-00006B030000}"/>
    <cellStyle name="Обычный 40 27" xfId="818" xr:uid="{00000000-0005-0000-0000-00006C030000}"/>
    <cellStyle name="Обычный 40 28" xfId="819" xr:uid="{00000000-0005-0000-0000-00006D030000}"/>
    <cellStyle name="Обычный 40 29" xfId="820" xr:uid="{00000000-0005-0000-0000-00006E030000}"/>
    <cellStyle name="Обычный 40 3" xfId="821" xr:uid="{00000000-0005-0000-0000-00006F030000}"/>
    <cellStyle name="Обычный 40 30" xfId="822" xr:uid="{00000000-0005-0000-0000-000070030000}"/>
    <cellStyle name="Обычный 40 31" xfId="823" xr:uid="{00000000-0005-0000-0000-000071030000}"/>
    <cellStyle name="Обычный 40 32" xfId="824" xr:uid="{00000000-0005-0000-0000-000072030000}"/>
    <cellStyle name="Обычный 40 4" xfId="825" xr:uid="{00000000-0005-0000-0000-000073030000}"/>
    <cellStyle name="Обычный 40 5" xfId="826" xr:uid="{00000000-0005-0000-0000-000074030000}"/>
    <cellStyle name="Обычный 40 6" xfId="827" xr:uid="{00000000-0005-0000-0000-000075030000}"/>
    <cellStyle name="Обычный 40 7" xfId="828" xr:uid="{00000000-0005-0000-0000-000076030000}"/>
    <cellStyle name="Обычный 40 8" xfId="829" xr:uid="{00000000-0005-0000-0000-000077030000}"/>
    <cellStyle name="Обычный 40 9" xfId="830" xr:uid="{00000000-0005-0000-0000-000078030000}"/>
    <cellStyle name="Обычный 41" xfId="831" xr:uid="{00000000-0005-0000-0000-000079030000}"/>
    <cellStyle name="Обычный 41 10" xfId="832" xr:uid="{00000000-0005-0000-0000-00007A030000}"/>
    <cellStyle name="Обычный 41 11" xfId="833" xr:uid="{00000000-0005-0000-0000-00007B030000}"/>
    <cellStyle name="Обычный 41 12" xfId="834" xr:uid="{00000000-0005-0000-0000-00007C030000}"/>
    <cellStyle name="Обычный 41 13" xfId="835" xr:uid="{00000000-0005-0000-0000-00007D030000}"/>
    <cellStyle name="Обычный 41 14" xfId="836" xr:uid="{00000000-0005-0000-0000-00007E030000}"/>
    <cellStyle name="Обычный 41 15" xfId="837" xr:uid="{00000000-0005-0000-0000-00007F030000}"/>
    <cellStyle name="Обычный 41 16" xfId="838" xr:uid="{00000000-0005-0000-0000-000080030000}"/>
    <cellStyle name="Обычный 41 17" xfId="839" xr:uid="{00000000-0005-0000-0000-000081030000}"/>
    <cellStyle name="Обычный 41 18" xfId="840" xr:uid="{00000000-0005-0000-0000-000082030000}"/>
    <cellStyle name="Обычный 41 19" xfId="841" xr:uid="{00000000-0005-0000-0000-000083030000}"/>
    <cellStyle name="Обычный 41 2" xfId="842" xr:uid="{00000000-0005-0000-0000-000084030000}"/>
    <cellStyle name="Обычный 41 2 2" xfId="843" xr:uid="{00000000-0005-0000-0000-000085030000}"/>
    <cellStyle name="Обычный 41 20" xfId="844" xr:uid="{00000000-0005-0000-0000-000086030000}"/>
    <cellStyle name="Обычный 41 21" xfId="845" xr:uid="{00000000-0005-0000-0000-000087030000}"/>
    <cellStyle name="Обычный 41 22" xfId="846" xr:uid="{00000000-0005-0000-0000-000088030000}"/>
    <cellStyle name="Обычный 41 23" xfId="847" xr:uid="{00000000-0005-0000-0000-000089030000}"/>
    <cellStyle name="Обычный 41 24" xfId="848" xr:uid="{00000000-0005-0000-0000-00008A030000}"/>
    <cellStyle name="Обычный 41 25" xfId="849" xr:uid="{00000000-0005-0000-0000-00008B030000}"/>
    <cellStyle name="Обычный 41 26" xfId="850" xr:uid="{00000000-0005-0000-0000-00008C030000}"/>
    <cellStyle name="Обычный 41 27" xfId="851" xr:uid="{00000000-0005-0000-0000-00008D030000}"/>
    <cellStyle name="Обычный 41 28" xfId="852" xr:uid="{00000000-0005-0000-0000-00008E030000}"/>
    <cellStyle name="Обычный 41 29" xfId="853" xr:uid="{00000000-0005-0000-0000-00008F030000}"/>
    <cellStyle name="Обычный 41 3" xfId="854" xr:uid="{00000000-0005-0000-0000-000090030000}"/>
    <cellStyle name="Обычный 41 30" xfId="855" xr:uid="{00000000-0005-0000-0000-000091030000}"/>
    <cellStyle name="Обычный 41 31" xfId="856" xr:uid="{00000000-0005-0000-0000-000092030000}"/>
    <cellStyle name="Обычный 41 32" xfId="857" xr:uid="{00000000-0005-0000-0000-000093030000}"/>
    <cellStyle name="Обычный 41 4" xfId="858" xr:uid="{00000000-0005-0000-0000-000094030000}"/>
    <cellStyle name="Обычный 41 5" xfId="859" xr:uid="{00000000-0005-0000-0000-000095030000}"/>
    <cellStyle name="Обычный 41 6" xfId="860" xr:uid="{00000000-0005-0000-0000-000096030000}"/>
    <cellStyle name="Обычный 41 7" xfId="861" xr:uid="{00000000-0005-0000-0000-000097030000}"/>
    <cellStyle name="Обычный 41 8" xfId="862" xr:uid="{00000000-0005-0000-0000-000098030000}"/>
    <cellStyle name="Обычный 41 9" xfId="863" xr:uid="{00000000-0005-0000-0000-000099030000}"/>
    <cellStyle name="Обычный 42" xfId="864" xr:uid="{00000000-0005-0000-0000-00009A030000}"/>
    <cellStyle name="Обычный 43" xfId="865" xr:uid="{00000000-0005-0000-0000-00009B030000}"/>
    <cellStyle name="Обычный 44" xfId="866" xr:uid="{00000000-0005-0000-0000-00009C030000}"/>
    <cellStyle name="Обычный 45" xfId="867" xr:uid="{00000000-0005-0000-0000-00009D030000}"/>
    <cellStyle name="Обычный 46" xfId="868" xr:uid="{00000000-0005-0000-0000-00009E030000}"/>
    <cellStyle name="Обычный 47" xfId="869" xr:uid="{00000000-0005-0000-0000-00009F030000}"/>
    <cellStyle name="Обычный 47 2" xfId="870" xr:uid="{00000000-0005-0000-0000-0000A0030000}"/>
    <cellStyle name="Обычный 47 3" xfId="871" xr:uid="{00000000-0005-0000-0000-0000A1030000}"/>
    <cellStyle name="Обычный 47 4" xfId="872" xr:uid="{00000000-0005-0000-0000-0000A2030000}"/>
    <cellStyle name="Обычный 47 5" xfId="873" xr:uid="{00000000-0005-0000-0000-0000A3030000}"/>
    <cellStyle name="Обычный 47 6" xfId="874" xr:uid="{00000000-0005-0000-0000-0000A4030000}"/>
    <cellStyle name="Обычный 47 7" xfId="875" xr:uid="{00000000-0005-0000-0000-0000A5030000}"/>
    <cellStyle name="Обычный 48" xfId="876" xr:uid="{00000000-0005-0000-0000-0000A6030000}"/>
    <cellStyle name="Обычный 48 2" xfId="877" xr:uid="{00000000-0005-0000-0000-0000A7030000}"/>
    <cellStyle name="Обычный 48 3" xfId="878" xr:uid="{00000000-0005-0000-0000-0000A8030000}"/>
    <cellStyle name="Обычный 49" xfId="879" xr:uid="{00000000-0005-0000-0000-0000A9030000}"/>
    <cellStyle name="Обычный 5" xfId="880" xr:uid="{00000000-0005-0000-0000-0000AA030000}"/>
    <cellStyle name="Обычный 5 2" xfId="881" xr:uid="{00000000-0005-0000-0000-0000AB030000}"/>
    <cellStyle name="Обычный 5 2 2" xfId="882" xr:uid="{00000000-0005-0000-0000-0000AC030000}"/>
    <cellStyle name="Обычный 5 2 2 2" xfId="883" xr:uid="{00000000-0005-0000-0000-0000AD030000}"/>
    <cellStyle name="Обычный 5 2 3" xfId="884" xr:uid="{00000000-0005-0000-0000-0000AE030000}"/>
    <cellStyle name="Обычный 5 3" xfId="885" xr:uid="{00000000-0005-0000-0000-0000AF030000}"/>
    <cellStyle name="Обычный 5 3 2" xfId="886" xr:uid="{00000000-0005-0000-0000-0000B0030000}"/>
    <cellStyle name="Обычный 5 3 2 2" xfId="887" xr:uid="{00000000-0005-0000-0000-0000B1030000}"/>
    <cellStyle name="Обычный 5 3 3" xfId="888" xr:uid="{00000000-0005-0000-0000-0000B2030000}"/>
    <cellStyle name="Обычный 5 3 4" xfId="889" xr:uid="{00000000-0005-0000-0000-0000B3030000}"/>
    <cellStyle name="Обычный 5 4" xfId="890" xr:uid="{00000000-0005-0000-0000-0000B4030000}"/>
    <cellStyle name="Обычный 5 4 2" xfId="891" xr:uid="{00000000-0005-0000-0000-0000B5030000}"/>
    <cellStyle name="Обычный 5 5" xfId="892" xr:uid="{00000000-0005-0000-0000-0000B6030000}"/>
    <cellStyle name="Обычный 5 5 2" xfId="893" xr:uid="{00000000-0005-0000-0000-0000B7030000}"/>
    <cellStyle name="Обычный 5 6" xfId="894" xr:uid="{00000000-0005-0000-0000-0000B8030000}"/>
    <cellStyle name="Обычный 5 6 2" xfId="895" xr:uid="{00000000-0005-0000-0000-0000B9030000}"/>
    <cellStyle name="Обычный 5 7" xfId="896" xr:uid="{00000000-0005-0000-0000-0000BA030000}"/>
    <cellStyle name="Обычный 5 7 2" xfId="897" xr:uid="{00000000-0005-0000-0000-0000BB030000}"/>
    <cellStyle name="Обычный 5 8" xfId="898" xr:uid="{00000000-0005-0000-0000-0000BC030000}"/>
    <cellStyle name="Обычный 5 8 2" xfId="899" xr:uid="{00000000-0005-0000-0000-0000BD030000}"/>
    <cellStyle name="Обычный 50" xfId="900" xr:uid="{00000000-0005-0000-0000-0000BE030000}"/>
    <cellStyle name="Обычный 51" xfId="901" xr:uid="{00000000-0005-0000-0000-0000BF030000}"/>
    <cellStyle name="Обычный 52" xfId="902" xr:uid="{00000000-0005-0000-0000-0000C0030000}"/>
    <cellStyle name="Обычный 53" xfId="903" xr:uid="{00000000-0005-0000-0000-0000C1030000}"/>
    <cellStyle name="Обычный 54" xfId="904" xr:uid="{00000000-0005-0000-0000-0000C2030000}"/>
    <cellStyle name="Обычный 55" xfId="905" xr:uid="{00000000-0005-0000-0000-0000C3030000}"/>
    <cellStyle name="Обычный 56" xfId="906" xr:uid="{00000000-0005-0000-0000-0000C4030000}"/>
    <cellStyle name="Обычный 57" xfId="907" xr:uid="{00000000-0005-0000-0000-0000C5030000}"/>
    <cellStyle name="Обычный 58" xfId="908" xr:uid="{00000000-0005-0000-0000-0000C6030000}"/>
    <cellStyle name="Обычный 59" xfId="909" xr:uid="{00000000-0005-0000-0000-0000C7030000}"/>
    <cellStyle name="Обычный 6" xfId="910" xr:uid="{00000000-0005-0000-0000-0000C8030000}"/>
    <cellStyle name="Обычный 6 2" xfId="911" xr:uid="{00000000-0005-0000-0000-0000C9030000}"/>
    <cellStyle name="Обычный 6 2 2" xfId="912" xr:uid="{00000000-0005-0000-0000-0000CA030000}"/>
    <cellStyle name="Обычный 6 2 3" xfId="913" xr:uid="{00000000-0005-0000-0000-0000CB030000}"/>
    <cellStyle name="Обычный 6 3" xfId="914" xr:uid="{00000000-0005-0000-0000-0000CC030000}"/>
    <cellStyle name="Обычный 6 3 2" xfId="915" xr:uid="{00000000-0005-0000-0000-0000CD030000}"/>
    <cellStyle name="Обычный 6 4" xfId="916" xr:uid="{00000000-0005-0000-0000-0000CE030000}"/>
    <cellStyle name="Обычный 6 5" xfId="917" xr:uid="{00000000-0005-0000-0000-0000CF030000}"/>
    <cellStyle name="Обычный 6 6" xfId="918" xr:uid="{00000000-0005-0000-0000-0000D0030000}"/>
    <cellStyle name="Обычный 60" xfId="919" xr:uid="{00000000-0005-0000-0000-0000D1030000}"/>
    <cellStyle name="Обычный 61" xfId="920" xr:uid="{00000000-0005-0000-0000-0000D2030000}"/>
    <cellStyle name="Обычный 62" xfId="921" xr:uid="{00000000-0005-0000-0000-0000D3030000}"/>
    <cellStyle name="Обычный 63" xfId="922" xr:uid="{00000000-0005-0000-0000-0000D4030000}"/>
    <cellStyle name="Обычный 64" xfId="923" xr:uid="{00000000-0005-0000-0000-0000D5030000}"/>
    <cellStyle name="Обычный 65" xfId="924" xr:uid="{00000000-0005-0000-0000-0000D6030000}"/>
    <cellStyle name="Обычный 65 2" xfId="925" xr:uid="{00000000-0005-0000-0000-0000D7030000}"/>
    <cellStyle name="Обычный 66" xfId="926" xr:uid="{00000000-0005-0000-0000-0000D8030000}"/>
    <cellStyle name="Обычный 66 2" xfId="927" xr:uid="{00000000-0005-0000-0000-0000D9030000}"/>
    <cellStyle name="Обычный 66 3" xfId="928" xr:uid="{00000000-0005-0000-0000-0000DA030000}"/>
    <cellStyle name="Обычный 67" xfId="929" xr:uid="{00000000-0005-0000-0000-0000DB030000}"/>
    <cellStyle name="Обычный 68" xfId="930" xr:uid="{00000000-0005-0000-0000-0000DC030000}"/>
    <cellStyle name="Обычный 69" xfId="931" xr:uid="{00000000-0005-0000-0000-0000DD030000}"/>
    <cellStyle name="Обычный 7" xfId="932" xr:uid="{00000000-0005-0000-0000-0000DE030000}"/>
    <cellStyle name="Обычный 7 2" xfId="933" xr:uid="{00000000-0005-0000-0000-0000DF030000}"/>
    <cellStyle name="Обычный 7 2 2" xfId="934" xr:uid="{00000000-0005-0000-0000-0000E0030000}"/>
    <cellStyle name="Обычный 7 2 3" xfId="935" xr:uid="{00000000-0005-0000-0000-0000E1030000}"/>
    <cellStyle name="Обычный 7 3" xfId="936" xr:uid="{00000000-0005-0000-0000-0000E2030000}"/>
    <cellStyle name="Обычный 7 3 2" xfId="937" xr:uid="{00000000-0005-0000-0000-0000E3030000}"/>
    <cellStyle name="Обычный 7 4" xfId="938" xr:uid="{00000000-0005-0000-0000-0000E4030000}"/>
    <cellStyle name="Обычный 7 4 2" xfId="939" xr:uid="{00000000-0005-0000-0000-0000E5030000}"/>
    <cellStyle name="Обычный 7 5" xfId="940" xr:uid="{00000000-0005-0000-0000-0000E6030000}"/>
    <cellStyle name="Обычный 70" xfId="941" xr:uid="{00000000-0005-0000-0000-0000E7030000}"/>
    <cellStyle name="Обычный 71" xfId="942" xr:uid="{00000000-0005-0000-0000-0000E8030000}"/>
    <cellStyle name="Обычный 72" xfId="943" xr:uid="{00000000-0005-0000-0000-0000E9030000}"/>
    <cellStyle name="Обычный 73" xfId="944" xr:uid="{00000000-0005-0000-0000-0000EA030000}"/>
    <cellStyle name="Обычный 73 2" xfId="945" xr:uid="{00000000-0005-0000-0000-0000EB030000}"/>
    <cellStyle name="Обычный 73 3" xfId="946" xr:uid="{00000000-0005-0000-0000-0000EC030000}"/>
    <cellStyle name="Обычный 73 4" xfId="947" xr:uid="{00000000-0005-0000-0000-0000ED030000}"/>
    <cellStyle name="Обычный 74" xfId="948" xr:uid="{00000000-0005-0000-0000-0000EE030000}"/>
    <cellStyle name="Обычный 75" xfId="949" xr:uid="{00000000-0005-0000-0000-0000EF030000}"/>
    <cellStyle name="Обычный 75 2" xfId="950" xr:uid="{00000000-0005-0000-0000-0000F0030000}"/>
    <cellStyle name="Обычный 76" xfId="951" xr:uid="{00000000-0005-0000-0000-0000F1030000}"/>
    <cellStyle name="Обычный 77" xfId="952" xr:uid="{00000000-0005-0000-0000-0000F2030000}"/>
    <cellStyle name="Обычный 78" xfId="953" xr:uid="{00000000-0005-0000-0000-0000F3030000}"/>
    <cellStyle name="Обычный 78 2" xfId="954" xr:uid="{00000000-0005-0000-0000-0000F4030000}"/>
    <cellStyle name="Обычный 78 3" xfId="955" xr:uid="{00000000-0005-0000-0000-0000F5030000}"/>
    <cellStyle name="Обычный 79" xfId="956" xr:uid="{00000000-0005-0000-0000-0000F6030000}"/>
    <cellStyle name="Обычный 8" xfId="957" xr:uid="{00000000-0005-0000-0000-0000F7030000}"/>
    <cellStyle name="Обычный 8 2" xfId="958" xr:uid="{00000000-0005-0000-0000-0000F8030000}"/>
    <cellStyle name="Обычный 8 2 2" xfId="959" xr:uid="{00000000-0005-0000-0000-0000F9030000}"/>
    <cellStyle name="Обычный 8 2 3" xfId="960" xr:uid="{00000000-0005-0000-0000-0000FA030000}"/>
    <cellStyle name="Обычный 8 3" xfId="961" xr:uid="{00000000-0005-0000-0000-0000FB030000}"/>
    <cellStyle name="Обычный 8 3 2" xfId="962" xr:uid="{00000000-0005-0000-0000-0000FC030000}"/>
    <cellStyle name="Обычный 8 4" xfId="963" xr:uid="{00000000-0005-0000-0000-0000FD030000}"/>
    <cellStyle name="Обычный 8 5" xfId="964" xr:uid="{00000000-0005-0000-0000-0000FE030000}"/>
    <cellStyle name="Обычный 8 6" xfId="965" xr:uid="{00000000-0005-0000-0000-0000FF030000}"/>
    <cellStyle name="Обычный 80" xfId="966" xr:uid="{00000000-0005-0000-0000-000000040000}"/>
    <cellStyle name="Обычный 81" xfId="967" xr:uid="{00000000-0005-0000-0000-000001040000}"/>
    <cellStyle name="Обычный 82" xfId="968" xr:uid="{00000000-0005-0000-0000-000002040000}"/>
    <cellStyle name="Обычный 83" xfId="969" xr:uid="{00000000-0005-0000-0000-000003040000}"/>
    <cellStyle name="Обычный 84" xfId="970" xr:uid="{00000000-0005-0000-0000-000004040000}"/>
    <cellStyle name="Обычный 85" xfId="971" xr:uid="{00000000-0005-0000-0000-000005040000}"/>
    <cellStyle name="Обычный 86" xfId="972" xr:uid="{00000000-0005-0000-0000-000006040000}"/>
    <cellStyle name="Обычный 87" xfId="973" xr:uid="{00000000-0005-0000-0000-000007040000}"/>
    <cellStyle name="Обычный 87 2" xfId="974" xr:uid="{00000000-0005-0000-0000-000008040000}"/>
    <cellStyle name="Обычный 87 3" xfId="975" xr:uid="{00000000-0005-0000-0000-000009040000}"/>
    <cellStyle name="Обычный 88" xfId="976" xr:uid="{00000000-0005-0000-0000-00000A040000}"/>
    <cellStyle name="Обычный 88 2" xfId="977" xr:uid="{00000000-0005-0000-0000-00000B040000}"/>
    <cellStyle name="Обычный 88 3" xfId="978" xr:uid="{00000000-0005-0000-0000-00000C040000}"/>
    <cellStyle name="Обычный 89" xfId="979" xr:uid="{00000000-0005-0000-0000-00000D040000}"/>
    <cellStyle name="Обычный 9" xfId="980" xr:uid="{00000000-0005-0000-0000-00000E040000}"/>
    <cellStyle name="Обычный 9 2" xfId="981" xr:uid="{00000000-0005-0000-0000-00000F040000}"/>
    <cellStyle name="Обычный 9 2 2" xfId="982" xr:uid="{00000000-0005-0000-0000-000010040000}"/>
    <cellStyle name="Обычный 9 2 3" xfId="983" xr:uid="{00000000-0005-0000-0000-000011040000}"/>
    <cellStyle name="Обычный 9 3" xfId="984" xr:uid="{00000000-0005-0000-0000-000012040000}"/>
    <cellStyle name="Обычный 9 3 2" xfId="985" xr:uid="{00000000-0005-0000-0000-000013040000}"/>
    <cellStyle name="Обычный 9 4" xfId="986" xr:uid="{00000000-0005-0000-0000-000014040000}"/>
    <cellStyle name="Обычный 90" xfId="987" xr:uid="{00000000-0005-0000-0000-000015040000}"/>
    <cellStyle name="Обычный 90 2" xfId="988" xr:uid="{00000000-0005-0000-0000-000016040000}"/>
    <cellStyle name="Обычный 91" xfId="989" xr:uid="{00000000-0005-0000-0000-000017040000}"/>
    <cellStyle name="Обычный 92" xfId="990" xr:uid="{00000000-0005-0000-0000-000018040000}"/>
    <cellStyle name="Обычный 92 2" xfId="991" xr:uid="{00000000-0005-0000-0000-000019040000}"/>
    <cellStyle name="Обычный 93" xfId="992" xr:uid="{00000000-0005-0000-0000-00001A040000}"/>
    <cellStyle name="Обычный 93 2" xfId="993" xr:uid="{00000000-0005-0000-0000-00001B040000}"/>
    <cellStyle name="Обычный 93 3" xfId="994" xr:uid="{00000000-0005-0000-0000-00001C040000}"/>
    <cellStyle name="Обычный 94" xfId="995" xr:uid="{00000000-0005-0000-0000-00001D040000}"/>
    <cellStyle name="Обычный 94 2" xfId="996" xr:uid="{00000000-0005-0000-0000-00001E040000}"/>
    <cellStyle name="Обычный 94 3" xfId="997" xr:uid="{00000000-0005-0000-0000-00001F040000}"/>
    <cellStyle name="Обычный 95" xfId="998" xr:uid="{00000000-0005-0000-0000-000020040000}"/>
    <cellStyle name="Обычный 95 2" xfId="999" xr:uid="{00000000-0005-0000-0000-000021040000}"/>
    <cellStyle name="Обычный 96" xfId="1000" xr:uid="{00000000-0005-0000-0000-000022040000}"/>
    <cellStyle name="Обычный 97" xfId="1001" xr:uid="{00000000-0005-0000-0000-000023040000}"/>
    <cellStyle name="Обычный 97 2" xfId="1002" xr:uid="{00000000-0005-0000-0000-000024040000}"/>
    <cellStyle name="Обычный 98" xfId="1003" xr:uid="{00000000-0005-0000-0000-000025040000}"/>
    <cellStyle name="Обычный 99" xfId="1004" xr:uid="{00000000-0005-0000-0000-000026040000}"/>
    <cellStyle name="Обычный 99 2" xfId="1005" xr:uid="{00000000-0005-0000-0000-000027040000}"/>
    <cellStyle name="Обычный 99 2 2" xfId="1006" xr:uid="{00000000-0005-0000-0000-000028040000}"/>
    <cellStyle name="Примечание 10" xfId="1007" xr:uid="{00000000-0005-0000-0000-000029040000}"/>
    <cellStyle name="Примечание 11" xfId="1008" xr:uid="{00000000-0005-0000-0000-00002A040000}"/>
    <cellStyle name="Примечание 12" xfId="1009" xr:uid="{00000000-0005-0000-0000-00002B040000}"/>
    <cellStyle name="Примечание 13" xfId="1010" xr:uid="{00000000-0005-0000-0000-00002C040000}"/>
    <cellStyle name="Примечание 14" xfId="1011" xr:uid="{00000000-0005-0000-0000-00002D040000}"/>
    <cellStyle name="Примечание 15" xfId="1012" xr:uid="{00000000-0005-0000-0000-00002E040000}"/>
    <cellStyle name="Примечание 16" xfId="1013" xr:uid="{00000000-0005-0000-0000-00002F040000}"/>
    <cellStyle name="Примечание 17" xfId="1014" xr:uid="{00000000-0005-0000-0000-000030040000}"/>
    <cellStyle name="Примечание 18" xfId="1015" xr:uid="{00000000-0005-0000-0000-000031040000}"/>
    <cellStyle name="Примечание 19" xfId="1016" xr:uid="{00000000-0005-0000-0000-000032040000}"/>
    <cellStyle name="Примечание 2" xfId="1017" xr:uid="{00000000-0005-0000-0000-000033040000}"/>
    <cellStyle name="Примечание 2 2" xfId="1018" xr:uid="{00000000-0005-0000-0000-000034040000}"/>
    <cellStyle name="Примечание 2 3" xfId="1019" xr:uid="{00000000-0005-0000-0000-000035040000}"/>
    <cellStyle name="Примечание 20" xfId="1020" xr:uid="{00000000-0005-0000-0000-000036040000}"/>
    <cellStyle name="Примечание 21" xfId="1021" xr:uid="{00000000-0005-0000-0000-000037040000}"/>
    <cellStyle name="Примечание 22" xfId="1022" xr:uid="{00000000-0005-0000-0000-000038040000}"/>
    <cellStyle name="Примечание 23" xfId="1023" xr:uid="{00000000-0005-0000-0000-000039040000}"/>
    <cellStyle name="Примечание 24" xfId="1024" xr:uid="{00000000-0005-0000-0000-00003A040000}"/>
    <cellStyle name="Примечание 25" xfId="1025" xr:uid="{00000000-0005-0000-0000-00003B040000}"/>
    <cellStyle name="Примечание 26" xfId="1026" xr:uid="{00000000-0005-0000-0000-00003C040000}"/>
    <cellStyle name="Примечание 27" xfId="1027" xr:uid="{00000000-0005-0000-0000-00003D040000}"/>
    <cellStyle name="Примечание 28" xfId="1028" xr:uid="{00000000-0005-0000-0000-00003E040000}"/>
    <cellStyle name="Примечание 29" xfId="1029" xr:uid="{00000000-0005-0000-0000-00003F040000}"/>
    <cellStyle name="Примечание 3" xfId="1030" xr:uid="{00000000-0005-0000-0000-000040040000}"/>
    <cellStyle name="Примечание 3 2" xfId="1031" xr:uid="{00000000-0005-0000-0000-000041040000}"/>
    <cellStyle name="Примечание 3 3" xfId="1032" xr:uid="{00000000-0005-0000-0000-000042040000}"/>
    <cellStyle name="Примечание 30" xfId="1033" xr:uid="{00000000-0005-0000-0000-000043040000}"/>
    <cellStyle name="Примечание 4" xfId="1034" xr:uid="{00000000-0005-0000-0000-000044040000}"/>
    <cellStyle name="Примечание 4 2" xfId="1035" xr:uid="{00000000-0005-0000-0000-000045040000}"/>
    <cellStyle name="Примечание 4 3" xfId="1036" xr:uid="{00000000-0005-0000-0000-000046040000}"/>
    <cellStyle name="Примечание 5" xfId="1037" xr:uid="{00000000-0005-0000-0000-000047040000}"/>
    <cellStyle name="Примечание 5 2" xfId="1038" xr:uid="{00000000-0005-0000-0000-000048040000}"/>
    <cellStyle name="Примечание 5 3" xfId="1039" xr:uid="{00000000-0005-0000-0000-000049040000}"/>
    <cellStyle name="Примечание 6" xfId="1040" xr:uid="{00000000-0005-0000-0000-00004A040000}"/>
    <cellStyle name="Примечание 6 2" xfId="1041" xr:uid="{00000000-0005-0000-0000-00004B040000}"/>
    <cellStyle name="Примечание 6 3" xfId="1042" xr:uid="{00000000-0005-0000-0000-00004C040000}"/>
    <cellStyle name="Примечание 7" xfId="1043" xr:uid="{00000000-0005-0000-0000-00004D040000}"/>
    <cellStyle name="Примечание 7 2" xfId="1044" xr:uid="{00000000-0005-0000-0000-00004E040000}"/>
    <cellStyle name="Примечание 7 3" xfId="1045" xr:uid="{00000000-0005-0000-0000-00004F040000}"/>
    <cellStyle name="Примечание 8" xfId="1046" xr:uid="{00000000-0005-0000-0000-000050040000}"/>
    <cellStyle name="Примечание 8 2" xfId="1047" xr:uid="{00000000-0005-0000-0000-000051040000}"/>
    <cellStyle name="Примечание 8 3" xfId="1048" xr:uid="{00000000-0005-0000-0000-000052040000}"/>
    <cellStyle name="Примечание 9" xfId="1049" xr:uid="{00000000-0005-0000-0000-000053040000}"/>
    <cellStyle name="Примечание 9 2" xfId="1050" xr:uid="{00000000-0005-0000-0000-000054040000}"/>
    <cellStyle name="Процентный" xfId="3" builtinId="5"/>
    <cellStyle name="Процентный 2" xfId="9" xr:uid="{00000000-0005-0000-0000-000056040000}"/>
    <cellStyle name="Процентный 2 2" xfId="1051" xr:uid="{00000000-0005-0000-0000-000057040000}"/>
    <cellStyle name="Процентный 2 2 2" xfId="11" xr:uid="{00000000-0005-0000-0000-000058040000}"/>
    <cellStyle name="Процентный 2 2 3" xfId="1052" xr:uid="{00000000-0005-0000-0000-000059040000}"/>
    <cellStyle name="Процентный 2 3" xfId="1053" xr:uid="{00000000-0005-0000-0000-00005A040000}"/>
    <cellStyle name="Процентный 2 4" xfId="1054" xr:uid="{00000000-0005-0000-0000-00005B040000}"/>
    <cellStyle name="Процентный 2 5" xfId="1055" xr:uid="{00000000-0005-0000-0000-00005C040000}"/>
    <cellStyle name="Процентный 2 6" xfId="1056" xr:uid="{00000000-0005-0000-0000-00005D040000}"/>
    <cellStyle name="Процентный 2 7" xfId="1057" xr:uid="{00000000-0005-0000-0000-00005E040000}"/>
    <cellStyle name="Процентный 3" xfId="1058" xr:uid="{00000000-0005-0000-0000-00005F040000}"/>
    <cellStyle name="Процентный 4" xfId="1059" xr:uid="{00000000-0005-0000-0000-000060040000}"/>
    <cellStyle name="Стиль 1" xfId="1060" xr:uid="{00000000-0005-0000-0000-000061040000}"/>
    <cellStyle name="Финансовый" xfId="4" builtinId="3"/>
    <cellStyle name="Финансовый [0] 2" xfId="1061" xr:uid="{00000000-0005-0000-0000-000063040000}"/>
    <cellStyle name="Финансовый [0] 2 2" xfId="1062" xr:uid="{00000000-0005-0000-0000-000064040000}"/>
    <cellStyle name="Финансовый [0] 67" xfId="1063" xr:uid="{00000000-0005-0000-0000-000065040000}"/>
    <cellStyle name="Финансовый 10" xfId="1064" xr:uid="{00000000-0005-0000-0000-000066040000}"/>
    <cellStyle name="Финансовый 10 2" xfId="1065" xr:uid="{00000000-0005-0000-0000-000067040000}"/>
    <cellStyle name="Финансовый 11" xfId="1066" xr:uid="{00000000-0005-0000-0000-000068040000}"/>
    <cellStyle name="Финансовый 11 2" xfId="1067" xr:uid="{00000000-0005-0000-0000-000069040000}"/>
    <cellStyle name="Финансовый 13" xfId="1068" xr:uid="{00000000-0005-0000-0000-00006A040000}"/>
    <cellStyle name="Финансовый 13 2" xfId="1069" xr:uid="{00000000-0005-0000-0000-00006B040000}"/>
    <cellStyle name="Финансовый 13 3" xfId="1070" xr:uid="{00000000-0005-0000-0000-00006C040000}"/>
    <cellStyle name="Финансовый 17" xfId="1071" xr:uid="{00000000-0005-0000-0000-00006D040000}"/>
    <cellStyle name="Финансовый 19" xfId="1072" xr:uid="{00000000-0005-0000-0000-00006E040000}"/>
    <cellStyle name="Финансовый 19 2" xfId="1073" xr:uid="{00000000-0005-0000-0000-00006F040000}"/>
    <cellStyle name="Финансовый 19 3" xfId="1074" xr:uid="{00000000-0005-0000-0000-000070040000}"/>
    <cellStyle name="Финансовый 2" xfId="8" xr:uid="{00000000-0005-0000-0000-000071040000}"/>
    <cellStyle name="Финансовый 2 10" xfId="1075" xr:uid="{00000000-0005-0000-0000-000072040000}"/>
    <cellStyle name="Финансовый 2 11" xfId="1076" xr:uid="{00000000-0005-0000-0000-000073040000}"/>
    <cellStyle name="Финансовый 2 12" xfId="1077" xr:uid="{00000000-0005-0000-0000-000074040000}"/>
    <cellStyle name="Финансовый 2 13" xfId="1078" xr:uid="{00000000-0005-0000-0000-000075040000}"/>
    <cellStyle name="Финансовый 2 14" xfId="1079" xr:uid="{00000000-0005-0000-0000-000076040000}"/>
    <cellStyle name="Финансовый 2 15" xfId="1080" xr:uid="{00000000-0005-0000-0000-000077040000}"/>
    <cellStyle name="Финансовый 2 16" xfId="1081" xr:uid="{00000000-0005-0000-0000-000078040000}"/>
    <cellStyle name="Финансовый 2 17" xfId="1082" xr:uid="{00000000-0005-0000-0000-000079040000}"/>
    <cellStyle name="Финансовый 2 18" xfId="1083" xr:uid="{00000000-0005-0000-0000-00007A040000}"/>
    <cellStyle name="Финансовый 2 19" xfId="1084" xr:uid="{00000000-0005-0000-0000-00007B040000}"/>
    <cellStyle name="Финансовый 2 2" xfId="1085" xr:uid="{00000000-0005-0000-0000-00007C040000}"/>
    <cellStyle name="Финансовый 2 2 2" xfId="1086" xr:uid="{00000000-0005-0000-0000-00007D040000}"/>
    <cellStyle name="Финансовый 2 2 2 2" xfId="1087" xr:uid="{00000000-0005-0000-0000-00007E040000}"/>
    <cellStyle name="Финансовый 2 2 2 3" xfId="1088" xr:uid="{00000000-0005-0000-0000-00007F040000}"/>
    <cellStyle name="Финансовый 2 2 3" xfId="1089" xr:uid="{00000000-0005-0000-0000-000080040000}"/>
    <cellStyle name="Финансовый 2 2 4" xfId="1090" xr:uid="{00000000-0005-0000-0000-000081040000}"/>
    <cellStyle name="Финансовый 2 20" xfId="1091" xr:uid="{00000000-0005-0000-0000-000082040000}"/>
    <cellStyle name="Финансовый 2 21" xfId="1092" xr:uid="{00000000-0005-0000-0000-000083040000}"/>
    <cellStyle name="Финансовый 2 22" xfId="1093" xr:uid="{00000000-0005-0000-0000-000084040000}"/>
    <cellStyle name="Финансовый 2 23" xfId="1094" xr:uid="{00000000-0005-0000-0000-000085040000}"/>
    <cellStyle name="Финансовый 2 24" xfId="1095" xr:uid="{00000000-0005-0000-0000-000086040000}"/>
    <cellStyle name="Финансовый 2 25" xfId="1096" xr:uid="{00000000-0005-0000-0000-000087040000}"/>
    <cellStyle name="Финансовый 2 26" xfId="1097" xr:uid="{00000000-0005-0000-0000-000088040000}"/>
    <cellStyle name="Финансовый 2 27" xfId="1098" xr:uid="{00000000-0005-0000-0000-000089040000}"/>
    <cellStyle name="Финансовый 2 28" xfId="1099" xr:uid="{00000000-0005-0000-0000-00008A040000}"/>
    <cellStyle name="Финансовый 2 29" xfId="1100" xr:uid="{00000000-0005-0000-0000-00008B040000}"/>
    <cellStyle name="Финансовый 2 3" xfId="1101" xr:uid="{00000000-0005-0000-0000-00008C040000}"/>
    <cellStyle name="Финансовый 2 3 2" xfId="1102" xr:uid="{00000000-0005-0000-0000-00008D040000}"/>
    <cellStyle name="Финансовый 2 3 3" xfId="1103" xr:uid="{00000000-0005-0000-0000-00008E040000}"/>
    <cellStyle name="Финансовый 2 3 4" xfId="1104" xr:uid="{00000000-0005-0000-0000-00008F040000}"/>
    <cellStyle name="Финансовый 2 30" xfId="1105" xr:uid="{00000000-0005-0000-0000-000090040000}"/>
    <cellStyle name="Финансовый 2 4" xfId="1106" xr:uid="{00000000-0005-0000-0000-000091040000}"/>
    <cellStyle name="Финансовый 2 4 2" xfId="1107" xr:uid="{00000000-0005-0000-0000-000092040000}"/>
    <cellStyle name="Финансовый 2 4 3" xfId="1108" xr:uid="{00000000-0005-0000-0000-000093040000}"/>
    <cellStyle name="Финансовый 2 4 4" xfId="1109" xr:uid="{00000000-0005-0000-0000-000094040000}"/>
    <cellStyle name="Финансовый 2 5" xfId="1110" xr:uid="{00000000-0005-0000-0000-000095040000}"/>
    <cellStyle name="Финансовый 2 5 2" xfId="1111" xr:uid="{00000000-0005-0000-0000-000096040000}"/>
    <cellStyle name="Финансовый 2 6" xfId="1112" xr:uid="{00000000-0005-0000-0000-000097040000}"/>
    <cellStyle name="Финансовый 2 6 2" xfId="1113" xr:uid="{00000000-0005-0000-0000-000098040000}"/>
    <cellStyle name="Финансовый 2 7" xfId="1114" xr:uid="{00000000-0005-0000-0000-000099040000}"/>
    <cellStyle name="Финансовый 2 8" xfId="1115" xr:uid="{00000000-0005-0000-0000-00009A040000}"/>
    <cellStyle name="Финансовый 2 9" xfId="1116" xr:uid="{00000000-0005-0000-0000-00009B040000}"/>
    <cellStyle name="Финансовый 20" xfId="1117" xr:uid="{00000000-0005-0000-0000-00009C040000}"/>
    <cellStyle name="Финансовый 21" xfId="1118" xr:uid="{00000000-0005-0000-0000-00009D040000}"/>
    <cellStyle name="Финансовый 23" xfId="1119" xr:uid="{00000000-0005-0000-0000-00009E040000}"/>
    <cellStyle name="Финансовый 24" xfId="1120" xr:uid="{00000000-0005-0000-0000-00009F040000}"/>
    <cellStyle name="Финансовый 25" xfId="1121" xr:uid="{00000000-0005-0000-0000-0000A0040000}"/>
    <cellStyle name="Финансовый 26" xfId="1122" xr:uid="{00000000-0005-0000-0000-0000A1040000}"/>
    <cellStyle name="Финансовый 27" xfId="1123" xr:uid="{00000000-0005-0000-0000-0000A2040000}"/>
    <cellStyle name="Финансовый 28" xfId="1124" xr:uid="{00000000-0005-0000-0000-0000A3040000}"/>
    <cellStyle name="Финансовый 3" xfId="1125" xr:uid="{00000000-0005-0000-0000-0000A4040000}"/>
    <cellStyle name="Финансовый 3 10" xfId="1126" xr:uid="{00000000-0005-0000-0000-0000A5040000}"/>
    <cellStyle name="Финансовый 3 11" xfId="1127" xr:uid="{00000000-0005-0000-0000-0000A6040000}"/>
    <cellStyle name="Финансовый 3 12" xfId="1128" xr:uid="{00000000-0005-0000-0000-0000A7040000}"/>
    <cellStyle name="Финансовый 3 13" xfId="1129" xr:uid="{00000000-0005-0000-0000-0000A8040000}"/>
    <cellStyle name="Финансовый 3 14" xfId="1130" xr:uid="{00000000-0005-0000-0000-0000A9040000}"/>
    <cellStyle name="Финансовый 3 15" xfId="1131" xr:uid="{00000000-0005-0000-0000-0000AA040000}"/>
    <cellStyle name="Финансовый 3 16" xfId="1132" xr:uid="{00000000-0005-0000-0000-0000AB040000}"/>
    <cellStyle name="Финансовый 3 17" xfId="1133" xr:uid="{00000000-0005-0000-0000-0000AC040000}"/>
    <cellStyle name="Финансовый 3 18" xfId="1134" xr:uid="{00000000-0005-0000-0000-0000AD040000}"/>
    <cellStyle name="Финансовый 3 19" xfId="1135" xr:uid="{00000000-0005-0000-0000-0000AE040000}"/>
    <cellStyle name="Финансовый 3 2" xfId="1136" xr:uid="{00000000-0005-0000-0000-0000AF040000}"/>
    <cellStyle name="Финансовый 3 2 2" xfId="1137" xr:uid="{00000000-0005-0000-0000-0000B0040000}"/>
    <cellStyle name="Финансовый 3 2 2 2" xfId="1138" xr:uid="{00000000-0005-0000-0000-0000B1040000}"/>
    <cellStyle name="Финансовый 3 2 2 3" xfId="1139" xr:uid="{00000000-0005-0000-0000-0000B2040000}"/>
    <cellStyle name="Финансовый 3 2 3" xfId="1140" xr:uid="{00000000-0005-0000-0000-0000B3040000}"/>
    <cellStyle name="Финансовый 3 2 3 2" xfId="1141" xr:uid="{00000000-0005-0000-0000-0000B4040000}"/>
    <cellStyle name="Финансовый 3 2 4" xfId="1142" xr:uid="{00000000-0005-0000-0000-0000B5040000}"/>
    <cellStyle name="Финансовый 3 2 5" xfId="1143" xr:uid="{00000000-0005-0000-0000-0000B6040000}"/>
    <cellStyle name="Финансовый 3 2 6" xfId="1144" xr:uid="{00000000-0005-0000-0000-0000B7040000}"/>
    <cellStyle name="Финансовый 3 20" xfId="1145" xr:uid="{00000000-0005-0000-0000-0000B8040000}"/>
    <cellStyle name="Финансовый 3 21" xfId="1146" xr:uid="{00000000-0005-0000-0000-0000B9040000}"/>
    <cellStyle name="Финансовый 3 22" xfId="1147" xr:uid="{00000000-0005-0000-0000-0000BA040000}"/>
    <cellStyle name="Финансовый 3 3" xfId="1148" xr:uid="{00000000-0005-0000-0000-0000BB040000}"/>
    <cellStyle name="Финансовый 3 3 2" xfId="1149" xr:uid="{00000000-0005-0000-0000-0000BC040000}"/>
    <cellStyle name="Финансовый 3 3 3" xfId="1150" xr:uid="{00000000-0005-0000-0000-0000BD040000}"/>
    <cellStyle name="Финансовый 3 4" xfId="1151" xr:uid="{00000000-0005-0000-0000-0000BE040000}"/>
    <cellStyle name="Финансовый 3 4 2" xfId="1152" xr:uid="{00000000-0005-0000-0000-0000BF040000}"/>
    <cellStyle name="Финансовый 3 4 3" xfId="1153" xr:uid="{00000000-0005-0000-0000-0000C0040000}"/>
    <cellStyle name="Финансовый 3 5" xfId="1154" xr:uid="{00000000-0005-0000-0000-0000C1040000}"/>
    <cellStyle name="Финансовый 3 5 2" xfId="1155" xr:uid="{00000000-0005-0000-0000-0000C2040000}"/>
    <cellStyle name="Финансовый 3 5 3" xfId="1156" xr:uid="{00000000-0005-0000-0000-0000C3040000}"/>
    <cellStyle name="Финансовый 3 5 4" xfId="1157" xr:uid="{00000000-0005-0000-0000-0000C4040000}"/>
    <cellStyle name="Финансовый 3 6" xfId="1158" xr:uid="{00000000-0005-0000-0000-0000C5040000}"/>
    <cellStyle name="Финансовый 3 6 2" xfId="1159" xr:uid="{00000000-0005-0000-0000-0000C6040000}"/>
    <cellStyle name="Финансовый 3 7" xfId="1160" xr:uid="{00000000-0005-0000-0000-0000C7040000}"/>
    <cellStyle name="Финансовый 3 7 2" xfId="1161" xr:uid="{00000000-0005-0000-0000-0000C8040000}"/>
    <cellStyle name="Финансовый 3 8" xfId="1162" xr:uid="{00000000-0005-0000-0000-0000C9040000}"/>
    <cellStyle name="Финансовый 3 9" xfId="1163" xr:uid="{00000000-0005-0000-0000-0000CA040000}"/>
    <cellStyle name="Финансовый 30" xfId="1164" xr:uid="{00000000-0005-0000-0000-0000CB040000}"/>
    <cellStyle name="Финансовый 31" xfId="1165" xr:uid="{00000000-0005-0000-0000-0000CC040000}"/>
    <cellStyle name="Финансовый 31 2" xfId="1166" xr:uid="{00000000-0005-0000-0000-0000CD040000}"/>
    <cellStyle name="Финансовый 32" xfId="1167" xr:uid="{00000000-0005-0000-0000-0000CE040000}"/>
    <cellStyle name="Финансовый 32 2" xfId="1168" xr:uid="{00000000-0005-0000-0000-0000CF040000}"/>
    <cellStyle name="Финансовый 33" xfId="1169" xr:uid="{00000000-0005-0000-0000-0000D0040000}"/>
    <cellStyle name="Финансовый 33 2" xfId="1170" xr:uid="{00000000-0005-0000-0000-0000D1040000}"/>
    <cellStyle name="Финансовый 34" xfId="1171" xr:uid="{00000000-0005-0000-0000-0000D2040000}"/>
    <cellStyle name="Финансовый 34 2" xfId="1172" xr:uid="{00000000-0005-0000-0000-0000D3040000}"/>
    <cellStyle name="Финансовый 35" xfId="1173" xr:uid="{00000000-0005-0000-0000-0000D4040000}"/>
    <cellStyle name="Финансовый 35 2" xfId="1174" xr:uid="{00000000-0005-0000-0000-0000D5040000}"/>
    <cellStyle name="Финансовый 36" xfId="1175" xr:uid="{00000000-0005-0000-0000-0000D6040000}"/>
    <cellStyle name="Финансовый 36 2" xfId="1176" xr:uid="{00000000-0005-0000-0000-0000D7040000}"/>
    <cellStyle name="Финансовый 37" xfId="1177" xr:uid="{00000000-0005-0000-0000-0000D8040000}"/>
    <cellStyle name="Финансовый 37 2" xfId="1178" xr:uid="{00000000-0005-0000-0000-0000D9040000}"/>
    <cellStyle name="Финансовый 38" xfId="1179" xr:uid="{00000000-0005-0000-0000-0000DA040000}"/>
    <cellStyle name="Финансовый 38 2" xfId="1180" xr:uid="{00000000-0005-0000-0000-0000DB040000}"/>
    <cellStyle name="Финансовый 39" xfId="1181" xr:uid="{00000000-0005-0000-0000-0000DC040000}"/>
    <cellStyle name="Финансовый 4" xfId="1182" xr:uid="{00000000-0005-0000-0000-0000DD040000}"/>
    <cellStyle name="Финансовый 4 2" xfId="1183" xr:uid="{00000000-0005-0000-0000-0000DE040000}"/>
    <cellStyle name="Финансовый 4 2 2" xfId="1184" xr:uid="{00000000-0005-0000-0000-0000DF040000}"/>
    <cellStyle name="Финансовый 4 2 2 2" xfId="1185" xr:uid="{00000000-0005-0000-0000-0000E0040000}"/>
    <cellStyle name="Финансовый 4 2 3" xfId="1186" xr:uid="{00000000-0005-0000-0000-0000E1040000}"/>
    <cellStyle name="Финансовый 4 3" xfId="1187" xr:uid="{00000000-0005-0000-0000-0000E2040000}"/>
    <cellStyle name="Финансовый 4 3 2" xfId="1188" xr:uid="{00000000-0005-0000-0000-0000E3040000}"/>
    <cellStyle name="Финансовый 4 4" xfId="1189" xr:uid="{00000000-0005-0000-0000-0000E4040000}"/>
    <cellStyle name="Финансовый 4 4 2" xfId="1190" xr:uid="{00000000-0005-0000-0000-0000E5040000}"/>
    <cellStyle name="Финансовый 4 5" xfId="1191" xr:uid="{00000000-0005-0000-0000-0000E6040000}"/>
    <cellStyle name="Финансовый 4 6" xfId="1192" xr:uid="{00000000-0005-0000-0000-0000E7040000}"/>
    <cellStyle name="Финансовый 4 7" xfId="1193" xr:uid="{00000000-0005-0000-0000-0000E8040000}"/>
    <cellStyle name="Финансовый 4 8" xfId="1194" xr:uid="{00000000-0005-0000-0000-0000E9040000}"/>
    <cellStyle name="Финансовый 4 9" xfId="1195" xr:uid="{00000000-0005-0000-0000-0000EA040000}"/>
    <cellStyle name="Финансовый 40" xfId="1196" xr:uid="{00000000-0005-0000-0000-0000EB040000}"/>
    <cellStyle name="Финансовый 41" xfId="1197" xr:uid="{00000000-0005-0000-0000-0000EC040000}"/>
    <cellStyle name="Финансовый 42" xfId="1198" xr:uid="{00000000-0005-0000-0000-0000ED040000}"/>
    <cellStyle name="Финансовый 42 2" xfId="1199" xr:uid="{00000000-0005-0000-0000-0000EE040000}"/>
    <cellStyle name="Финансовый 44" xfId="1200" xr:uid="{00000000-0005-0000-0000-0000EF040000}"/>
    <cellStyle name="Финансовый 46" xfId="1201" xr:uid="{00000000-0005-0000-0000-0000F0040000}"/>
    <cellStyle name="Финансовый 47" xfId="1202" xr:uid="{00000000-0005-0000-0000-0000F1040000}"/>
    <cellStyle name="Финансовый 5" xfId="1203" xr:uid="{00000000-0005-0000-0000-0000F2040000}"/>
    <cellStyle name="Финансовый 5 2" xfId="1204" xr:uid="{00000000-0005-0000-0000-0000F3040000}"/>
    <cellStyle name="Финансовый 5 2 2" xfId="1205" xr:uid="{00000000-0005-0000-0000-0000F4040000}"/>
    <cellStyle name="Финансовый 5 3" xfId="1206" xr:uid="{00000000-0005-0000-0000-0000F5040000}"/>
    <cellStyle name="Финансовый 5 3 2" xfId="1207" xr:uid="{00000000-0005-0000-0000-0000F6040000}"/>
    <cellStyle name="Финансовый 5 3 3" xfId="1208" xr:uid="{00000000-0005-0000-0000-0000F7040000}"/>
    <cellStyle name="Финансовый 5 4" xfId="1209" xr:uid="{00000000-0005-0000-0000-0000F8040000}"/>
    <cellStyle name="Финансовый 5 5" xfId="1210" xr:uid="{00000000-0005-0000-0000-0000F9040000}"/>
    <cellStyle name="Финансовый 6" xfId="1211" xr:uid="{00000000-0005-0000-0000-0000FA040000}"/>
    <cellStyle name="Финансовый 6 2" xfId="1212" xr:uid="{00000000-0005-0000-0000-0000FB040000}"/>
    <cellStyle name="Финансовый 6 2 2" xfId="1213" xr:uid="{00000000-0005-0000-0000-0000FC040000}"/>
    <cellStyle name="Финансовый 6 2 3" xfId="1214" xr:uid="{00000000-0005-0000-0000-0000FD040000}"/>
    <cellStyle name="Финансовый 6 3" xfId="1215" xr:uid="{00000000-0005-0000-0000-0000FE040000}"/>
    <cellStyle name="Финансовый 6 4" xfId="1216" xr:uid="{00000000-0005-0000-0000-0000FF040000}"/>
    <cellStyle name="Финансовый 7" xfId="1217" xr:uid="{00000000-0005-0000-0000-000000050000}"/>
    <cellStyle name="Финансовый 7 2" xfId="1218" xr:uid="{00000000-0005-0000-0000-000001050000}"/>
    <cellStyle name="Финансовый 7 2 2" xfId="1219" xr:uid="{00000000-0005-0000-0000-000002050000}"/>
    <cellStyle name="Финансовый 7 2 3" xfId="1220" xr:uid="{00000000-0005-0000-0000-000003050000}"/>
    <cellStyle name="Финансовый 7 3" xfId="1221" xr:uid="{00000000-0005-0000-0000-000004050000}"/>
    <cellStyle name="Финансовый 8" xfId="1222" xr:uid="{00000000-0005-0000-0000-000005050000}"/>
    <cellStyle name="Финансовый 8 2" xfId="1223" xr:uid="{00000000-0005-0000-0000-000006050000}"/>
    <cellStyle name="Финансовый 9" xfId="1224" xr:uid="{00000000-0005-0000-0000-000007050000}"/>
    <cellStyle name="Џђћ–…ќ’ќ›‰" xfId="1225" xr:uid="{00000000-0005-0000-0000-000008050000}"/>
  </cellStyles>
  <dxfs count="156"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00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1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CC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3EABAE"/>
      <color rgb="FF9933FF"/>
      <color rgb="FF749B51"/>
      <color rgb="FF9F9F4D"/>
      <color rgb="FF5F648D"/>
      <color rgb="FFFF00FF"/>
      <color rgb="FFB408B8"/>
      <color rgb="FFBA9806"/>
      <color rgb="FF6D7749"/>
      <color rgb="FF5058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Лист1"/>
      <sheetName val="Тегишилмасин"/>
      <sheetName val="тегилмасин"/>
      <sheetName val="Субстандарт "/>
      <sheetName val="Харакатсиз"/>
      <sheetName val="ЭСЛАТМА!!"/>
      <sheetName val="Sheet"/>
      <sheetName val="tab31_old"/>
      <sheetName val="Пост_по_регион_(2)"/>
      <sheetName val="Лист2"/>
      <sheetName val="Сабаб"/>
      <sheetName val="UZB redtab Jan 04"/>
      <sheetName val="жадвал"/>
      <sheetName val="Танишиб чиқиш учун"/>
      <sheetName val="tab 19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tegmang"/>
      <sheetName val="Лист4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1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monimp"/>
      <sheetName val="interv"/>
      <sheetName val="fiscout"/>
      <sheetName val="Base EEFF"/>
      <sheetName val="Sheet1"/>
      <sheetName val="Sheet2"/>
      <sheetName val="Base_EEFF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Анализ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er"/>
      <sheetName val="wb"/>
      <sheetName val="T17_T18_MSURC"/>
      <sheetName val="Tit"/>
      <sheetName val="Analysis of Interest"/>
      <sheetName val="Changes in Equity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5">
          <cell r="C5">
            <v>597958561</v>
          </cell>
        </row>
      </sheetData>
      <sheetData sheetId="35">
        <row r="5">
          <cell r="C5">
            <v>597958561</v>
          </cell>
        </row>
      </sheetData>
      <sheetData sheetId="36">
        <row r="5">
          <cell r="C5">
            <v>597958561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>
        <row r="5">
          <cell r="C5">
            <v>597958561</v>
          </cell>
        </row>
      </sheetData>
      <sheetData sheetId="68" refreshError="1"/>
      <sheetData sheetId="69" refreshError="1"/>
      <sheetData sheetId="70" refreshError="1"/>
      <sheetData sheetId="71"/>
      <sheetData sheetId="72">
        <row r="5">
          <cell r="C5">
            <v>597958561</v>
          </cell>
        </row>
      </sheetData>
      <sheetData sheetId="73">
        <row r="5">
          <cell r="C5">
            <v>597958561</v>
          </cell>
        </row>
      </sheetData>
      <sheetData sheetId="74">
        <row r="5">
          <cell r="C5">
            <v>597958561</v>
          </cell>
        </row>
      </sheetData>
      <sheetData sheetId="75">
        <row r="5">
          <cell r="C5">
            <v>597958561</v>
          </cell>
        </row>
      </sheetData>
      <sheetData sheetId="76">
        <row r="5">
          <cell r="C5">
            <v>597958561</v>
          </cell>
        </row>
      </sheetData>
      <sheetData sheetId="77">
        <row r="5">
          <cell r="C5">
            <v>597958561</v>
          </cell>
        </row>
      </sheetData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>
        <row r="5">
          <cell r="C5">
            <v>597958561</v>
          </cell>
        </row>
      </sheetData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>
        <row r="5">
          <cell r="C5">
            <v>597958561</v>
          </cell>
        </row>
      </sheetData>
      <sheetData sheetId="88">
        <row r="5">
          <cell r="C5">
            <v>597958561</v>
          </cell>
        </row>
      </sheetData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XEV91"/>
  <sheetViews>
    <sheetView tabSelected="1" view="pageBreakPreview" zoomScaleNormal="75" zoomScaleSheetLayoutView="100" workbookViewId="0">
      <pane xSplit="2" ySplit="4" topLeftCell="C39" activePane="bottomRight" state="frozen"/>
      <selection activeCell="B4" sqref="B4:B5"/>
      <selection pane="topRight" activeCell="B4" sqref="B4:B5"/>
      <selection pane="bottomLeft" activeCell="B4" sqref="B4:B5"/>
      <selection pane="bottomRight" activeCell="B39" sqref="B39"/>
    </sheetView>
  </sheetViews>
  <sheetFormatPr defaultRowHeight="15" customHeight="1"/>
  <cols>
    <col min="1" max="1" width="7" style="14" customWidth="1"/>
    <col min="2" max="2" width="85.42578125" style="14" customWidth="1"/>
    <col min="3" max="5" width="17.28515625" style="14" customWidth="1"/>
    <col min="6" max="8" width="16.42578125" style="299" customWidth="1"/>
    <col min="9" max="9" width="5.85546875" style="299" customWidth="1"/>
    <col min="10" max="10" width="13.28515625" style="299" customWidth="1"/>
    <col min="11" max="12" width="6.140625" style="70" customWidth="1"/>
    <col min="13" max="14" width="6.140625" style="14" customWidth="1"/>
    <col min="15" max="16384" width="9.140625" style="14"/>
  </cols>
  <sheetData>
    <row r="1" spans="1:10 16376:16376" ht="20.25">
      <c r="A1" s="336" t="s">
        <v>418</v>
      </c>
      <c r="B1" s="336"/>
      <c r="C1" s="336"/>
      <c r="D1" s="336"/>
      <c r="E1" s="123" t="s">
        <v>83</v>
      </c>
      <c r="G1" s="331" t="s">
        <v>488</v>
      </c>
    </row>
    <row r="2" spans="1:10 16376:16376" ht="15" customHeight="1">
      <c r="B2" s="241" t="str">
        <f>IF(D3&gt;0," "&amp;TEXT(D3,"д ММММ, гггг"),"Число,Месяц,Год")</f>
        <v xml:space="preserve"> 30 Декабрь, 2025</v>
      </c>
      <c r="C2" s="10"/>
      <c r="D2" s="109"/>
      <c r="E2" s="10"/>
    </row>
    <row r="3" spans="1:10 16376:16376" ht="15" customHeight="1">
      <c r="B3" s="266" t="s">
        <v>485</v>
      </c>
      <c r="D3" s="281">
        <v>46021</v>
      </c>
      <c r="E3" s="124" t="s">
        <v>84</v>
      </c>
    </row>
    <row r="4" spans="1:10 16376:16376" ht="43.5" customHeight="1">
      <c r="A4" s="38" t="s">
        <v>8</v>
      </c>
      <c r="B4" s="38" t="s">
        <v>85</v>
      </c>
      <c r="C4" s="38" t="s">
        <v>86</v>
      </c>
      <c r="D4" s="38" t="s">
        <v>87</v>
      </c>
      <c r="E4" s="38" t="s">
        <v>88</v>
      </c>
      <c r="F4" s="300"/>
      <c r="G4" s="300"/>
      <c r="H4" s="300"/>
      <c r="I4" s="300"/>
      <c r="J4" s="300"/>
    </row>
    <row r="5" spans="1:10 16376:16376" ht="15" customHeight="1">
      <c r="A5" s="7">
        <v>1</v>
      </c>
      <c r="B5" s="125" t="s">
        <v>195</v>
      </c>
      <c r="C5" s="3">
        <f>+D5+E5</f>
        <v>703550546</v>
      </c>
      <c r="D5" s="3">
        <f>+'Bank Assets Analysis'!T6</f>
        <v>538991500</v>
      </c>
      <c r="E5" s="3">
        <f>+'Bank Assets Analysis'!U6</f>
        <v>164559046</v>
      </c>
      <c r="F5" s="300"/>
      <c r="G5" s="300"/>
      <c r="I5" s="300"/>
      <c r="J5" s="300">
        <f t="shared" ref="J5:J47" si="0">+C5-D5-E5</f>
        <v>0</v>
      </c>
    </row>
    <row r="6" spans="1:10 16376:16376" ht="15" customHeight="1">
      <c r="A6" s="7">
        <v>2</v>
      </c>
      <c r="B6" s="125" t="s">
        <v>417</v>
      </c>
      <c r="C6" s="15">
        <f t="shared" ref="C6:C76" si="1">+D6+E6</f>
        <v>584034134</v>
      </c>
      <c r="D6" s="3">
        <f>+'Bank Assets Analysis'!T7+'Bank Assets Analysis'!T8</f>
        <v>584034134</v>
      </c>
      <c r="E6" s="3">
        <f>+'Bank Assets Analysis'!U7+'Bank Assets Analysis'!U8</f>
        <v>0</v>
      </c>
      <c r="F6" s="300"/>
      <c r="G6" s="300"/>
      <c r="I6" s="300"/>
      <c r="J6" s="300">
        <f t="shared" si="0"/>
        <v>0</v>
      </c>
    </row>
    <row r="7" spans="1:10 16376:16376" ht="15" customHeight="1">
      <c r="A7" s="7">
        <v>3</v>
      </c>
      <c r="B7" s="205" t="s">
        <v>90</v>
      </c>
      <c r="C7" s="3">
        <f>+'Bank Assets Analysis'!S9</f>
        <v>3466881057</v>
      </c>
      <c r="D7" s="3">
        <f>+'Bank Assets Analysis'!T9</f>
        <v>61516243</v>
      </c>
      <c r="E7" s="3">
        <f>+'Bank Assets Analysis'!U9</f>
        <v>3405364814</v>
      </c>
      <c r="F7" s="300"/>
      <c r="G7" s="300"/>
      <c r="I7" s="300"/>
      <c r="J7" s="300">
        <f t="shared" si="0"/>
        <v>0</v>
      </c>
    </row>
    <row r="8" spans="1:10 16376:16376" ht="15" customHeight="1">
      <c r="A8" s="7" t="s">
        <v>27</v>
      </c>
      <c r="B8" s="6" t="s">
        <v>91</v>
      </c>
      <c r="C8" s="3">
        <f t="shared" ref="C8" si="2">+D8+E8</f>
        <v>3466881057</v>
      </c>
      <c r="D8" s="1">
        <v>61516243</v>
      </c>
      <c r="E8" s="1">
        <v>3405364814</v>
      </c>
      <c r="F8" s="300"/>
      <c r="G8" s="300"/>
      <c r="I8" s="300"/>
      <c r="J8" s="300">
        <f t="shared" si="0"/>
        <v>0</v>
      </c>
    </row>
    <row r="9" spans="1:10 16376:16376" ht="15" customHeight="1">
      <c r="A9" s="7" t="s">
        <v>28</v>
      </c>
      <c r="B9" s="6" t="s">
        <v>92</v>
      </c>
      <c r="C9" s="3">
        <f t="shared" si="1"/>
        <v>0</v>
      </c>
      <c r="D9" s="1">
        <v>0</v>
      </c>
      <c r="E9" s="1">
        <v>0</v>
      </c>
      <c r="F9" s="300"/>
      <c r="G9" s="300"/>
      <c r="I9" s="300"/>
      <c r="J9" s="300">
        <f t="shared" si="0"/>
        <v>0</v>
      </c>
      <c r="XEV9" s="1"/>
    </row>
    <row r="10" spans="1:10 16376:16376" ht="15" customHeight="1">
      <c r="A10" s="7">
        <v>4</v>
      </c>
      <c r="B10" s="125" t="s">
        <v>93</v>
      </c>
      <c r="C10" s="3">
        <f>+D10+E10</f>
        <v>518169320</v>
      </c>
      <c r="D10" s="3">
        <f>+'Investment Securities'!C29</f>
        <v>518169320</v>
      </c>
      <c r="E10" s="3">
        <f>+'Investment Securities'!D29</f>
        <v>0</v>
      </c>
      <c r="F10" s="300"/>
      <c r="I10" s="300"/>
      <c r="J10" s="300">
        <f t="shared" si="0"/>
        <v>0</v>
      </c>
    </row>
    <row r="11" spans="1:10 16376:16376" ht="15" customHeight="1">
      <c r="A11" s="7" t="s">
        <v>29</v>
      </c>
      <c r="B11" s="206" t="s">
        <v>94</v>
      </c>
      <c r="C11" s="3">
        <f t="shared" ref="C11:C13" si="3">+D11+E11</f>
        <v>524100000</v>
      </c>
      <c r="D11" s="3">
        <f>+'Investment Securities'!C26</f>
        <v>524100000</v>
      </c>
      <c r="E11" s="3">
        <f>+'Investment Securities'!D26</f>
        <v>0</v>
      </c>
      <c r="F11" s="300"/>
      <c r="G11" s="300"/>
      <c r="I11" s="300"/>
      <c r="J11" s="300">
        <f t="shared" si="0"/>
        <v>0</v>
      </c>
    </row>
    <row r="12" spans="1:10 16376:16376" ht="25.5">
      <c r="A12" s="7" t="s">
        <v>4</v>
      </c>
      <c r="B12" s="6" t="s">
        <v>422</v>
      </c>
      <c r="C12" s="3">
        <f t="shared" si="3"/>
        <v>-5930680</v>
      </c>
      <c r="D12" s="3">
        <f>+'Investment Securities'!C27</f>
        <v>-5930680</v>
      </c>
      <c r="E12" s="3">
        <f>+'Investment Securities'!D27</f>
        <v>0</v>
      </c>
      <c r="F12" s="300"/>
      <c r="G12" s="300"/>
      <c r="I12" s="300"/>
      <c r="J12" s="300">
        <f t="shared" si="0"/>
        <v>0</v>
      </c>
    </row>
    <row r="13" spans="1:10 16376:16376" ht="15" customHeight="1">
      <c r="A13" s="7" t="s">
        <v>5</v>
      </c>
      <c r="B13" s="206" t="s">
        <v>95</v>
      </c>
      <c r="C13" s="3">
        <f t="shared" si="3"/>
        <v>0</v>
      </c>
      <c r="D13" s="3">
        <f>+'Investment Securities'!C28</f>
        <v>0</v>
      </c>
      <c r="E13" s="3">
        <f>+'Investment Securities'!D28</f>
        <v>0</v>
      </c>
      <c r="F13" s="300"/>
      <c r="G13" s="300"/>
      <c r="I13" s="300"/>
      <c r="J13" s="300">
        <f t="shared" si="0"/>
        <v>0</v>
      </c>
    </row>
    <row r="14" spans="1:10 16376:16376" ht="15" customHeight="1">
      <c r="A14" s="7">
        <v>5</v>
      </c>
      <c r="B14" s="125" t="s">
        <v>96</v>
      </c>
      <c r="C14" s="3">
        <f>+C15-C16</f>
        <v>175</v>
      </c>
      <c r="D14" s="3">
        <f>+'Investment Securities'!C39</f>
        <v>175</v>
      </c>
      <c r="E14" s="3">
        <f>+'Investment Securities'!D39</f>
        <v>0</v>
      </c>
      <c r="F14" s="300"/>
      <c r="G14" s="300"/>
      <c r="I14" s="300"/>
      <c r="J14" s="300">
        <f t="shared" si="0"/>
        <v>0</v>
      </c>
    </row>
    <row r="15" spans="1:10 16376:16376" ht="15" customHeight="1">
      <c r="A15" s="7" t="s">
        <v>97</v>
      </c>
      <c r="B15" s="206" t="s">
        <v>98</v>
      </c>
      <c r="C15" s="3">
        <f t="shared" si="1"/>
        <v>175</v>
      </c>
      <c r="D15" s="3">
        <f>+'Investment Securities'!C37</f>
        <v>175</v>
      </c>
      <c r="E15" s="3">
        <f>+'Investment Securities'!D37</f>
        <v>0</v>
      </c>
      <c r="F15" s="300"/>
      <c r="G15" s="300"/>
      <c r="I15" s="300"/>
      <c r="J15" s="300">
        <f t="shared" si="0"/>
        <v>0</v>
      </c>
    </row>
    <row r="16" spans="1:10 16376:16376" ht="15" customHeight="1">
      <c r="A16" s="7" t="s">
        <v>99</v>
      </c>
      <c r="B16" s="206" t="s">
        <v>95</v>
      </c>
      <c r="C16" s="3">
        <f t="shared" si="1"/>
        <v>0</v>
      </c>
      <c r="D16" s="3">
        <f>+'Investment Securities'!C38</f>
        <v>0</v>
      </c>
      <c r="E16" s="3">
        <f>+'Investment Securities'!D38</f>
        <v>0</v>
      </c>
      <c r="F16" s="300"/>
      <c r="G16" s="300"/>
      <c r="I16" s="300"/>
      <c r="J16" s="300">
        <f t="shared" si="0"/>
        <v>0</v>
      </c>
    </row>
    <row r="17" spans="1:10" ht="15" customHeight="1">
      <c r="A17" s="7">
        <v>6</v>
      </c>
      <c r="B17" s="125" t="s">
        <v>100</v>
      </c>
      <c r="C17" s="3">
        <f>+'Investment Securities'!B15</f>
        <v>925002773</v>
      </c>
      <c r="D17" s="3">
        <f>+'Investment Securities'!C15</f>
        <v>925002773</v>
      </c>
      <c r="E17" s="3">
        <f>+'Investment Securities'!D15</f>
        <v>0</v>
      </c>
      <c r="F17" s="300"/>
      <c r="G17" s="300"/>
      <c r="I17" s="300"/>
      <c r="J17" s="300">
        <f t="shared" si="0"/>
        <v>0</v>
      </c>
    </row>
    <row r="18" spans="1:10" ht="15" customHeight="1">
      <c r="A18" s="7" t="s">
        <v>101</v>
      </c>
      <c r="B18" s="206" t="s">
        <v>102</v>
      </c>
      <c r="C18" s="3">
        <f t="shared" si="1"/>
        <v>925002773</v>
      </c>
      <c r="D18" s="3">
        <f>+'Investment Securities'!C12</f>
        <v>925002773</v>
      </c>
      <c r="E18" s="3">
        <f>+'Investment Securities'!D12</f>
        <v>0</v>
      </c>
      <c r="F18" s="300"/>
      <c r="G18" s="300"/>
      <c r="I18" s="300"/>
      <c r="J18" s="300">
        <f t="shared" si="0"/>
        <v>0</v>
      </c>
    </row>
    <row r="19" spans="1:10" ht="15" customHeight="1">
      <c r="A19" s="7" t="s">
        <v>103</v>
      </c>
      <c r="B19" s="6" t="s">
        <v>421</v>
      </c>
      <c r="C19" s="3">
        <f t="shared" si="1"/>
        <v>0</v>
      </c>
      <c r="D19" s="3">
        <f>+'Investment Securities'!C13</f>
        <v>0</v>
      </c>
      <c r="E19" s="3">
        <f>+'Investment Securities'!D13</f>
        <v>0</v>
      </c>
      <c r="F19" s="300"/>
      <c r="G19" s="300"/>
      <c r="I19" s="300"/>
      <c r="J19" s="300">
        <f t="shared" si="0"/>
        <v>0</v>
      </c>
    </row>
    <row r="20" spans="1:10" ht="15" customHeight="1">
      <c r="A20" s="7" t="s">
        <v>420</v>
      </c>
      <c r="B20" s="206" t="s">
        <v>92</v>
      </c>
      <c r="C20" s="3">
        <f t="shared" si="1"/>
        <v>0</v>
      </c>
      <c r="D20" s="3">
        <f>+'Investment Securities'!C14</f>
        <v>0</v>
      </c>
      <c r="E20" s="3">
        <f>+'Investment Securities'!D14</f>
        <v>0</v>
      </c>
      <c r="F20" s="300"/>
      <c r="G20" s="300"/>
      <c r="I20" s="300"/>
      <c r="J20" s="300">
        <f t="shared" si="0"/>
        <v>0</v>
      </c>
    </row>
    <row r="21" spans="1:10" ht="15" customHeight="1">
      <c r="A21" s="7">
        <v>7</v>
      </c>
      <c r="B21" s="125" t="s">
        <v>104</v>
      </c>
      <c r="C21" s="3">
        <f>+'Bank Assets Analysis'!S34</f>
        <v>0</v>
      </c>
      <c r="D21" s="3">
        <f>+'Bank Assets Analysis'!T34</f>
        <v>0</v>
      </c>
      <c r="E21" s="3">
        <f>+'Bank Assets Analysis'!U34</f>
        <v>0</v>
      </c>
      <c r="F21" s="300"/>
      <c r="G21" s="300"/>
      <c r="I21" s="300"/>
      <c r="J21" s="300">
        <f t="shared" si="0"/>
        <v>0</v>
      </c>
    </row>
    <row r="22" spans="1:10" ht="15" customHeight="1">
      <c r="A22" s="7" t="s">
        <v>105</v>
      </c>
      <c r="B22" s="206" t="s">
        <v>106</v>
      </c>
      <c r="C22" s="3">
        <f t="shared" si="1"/>
        <v>0</v>
      </c>
      <c r="D22" s="1">
        <v>0</v>
      </c>
      <c r="E22" s="1">
        <v>0</v>
      </c>
      <c r="F22" s="300"/>
      <c r="G22" s="300"/>
      <c r="I22" s="300"/>
      <c r="J22" s="300">
        <f t="shared" si="0"/>
        <v>0</v>
      </c>
    </row>
    <row r="23" spans="1:10" ht="15" customHeight="1">
      <c r="A23" s="7" t="s">
        <v>107</v>
      </c>
      <c r="B23" s="206" t="s">
        <v>95</v>
      </c>
      <c r="C23" s="3">
        <f t="shared" si="1"/>
        <v>0</v>
      </c>
      <c r="D23" s="1">
        <v>0</v>
      </c>
      <c r="E23" s="1">
        <v>0</v>
      </c>
      <c r="F23" s="300"/>
      <c r="G23" s="300"/>
      <c r="I23" s="300"/>
      <c r="J23" s="300">
        <f t="shared" si="0"/>
        <v>0</v>
      </c>
    </row>
    <row r="24" spans="1:10" ht="15" customHeight="1">
      <c r="A24" s="7">
        <v>8</v>
      </c>
      <c r="B24" s="125" t="s">
        <v>108</v>
      </c>
      <c r="C24" s="3">
        <f>+'Bank Assets Analysis'!S29+'Bank Assets Analysis'!S30+'Bank Assets Analysis'!S32</f>
        <v>20150194733</v>
      </c>
      <c r="D24" s="3">
        <f>+'Bank Assets Analysis'!T29+'Bank Assets Analysis'!T30+'Bank Assets Analysis'!T32</f>
        <v>16435905946</v>
      </c>
      <c r="E24" s="3">
        <f>+'Bank Assets Analysis'!U29+'Bank Assets Analysis'!U30+'Bank Assets Analysis'!U32</f>
        <v>3714288787</v>
      </c>
      <c r="G24" s="300"/>
      <c r="I24" s="300"/>
      <c r="J24" s="300">
        <f t="shared" si="0"/>
        <v>0</v>
      </c>
    </row>
    <row r="25" spans="1:10" ht="12.75">
      <c r="A25" s="7" t="s">
        <v>109</v>
      </c>
      <c r="B25" s="206" t="s">
        <v>110</v>
      </c>
      <c r="C25" s="3">
        <f t="shared" ref="C25:C26" si="4">+D25+E25</f>
        <v>20277891345</v>
      </c>
      <c r="D25" s="1">
        <v>16539892398</v>
      </c>
      <c r="E25" s="1">
        <v>3737998947</v>
      </c>
      <c r="F25" s="300"/>
      <c r="G25" s="300"/>
      <c r="I25" s="300"/>
      <c r="J25" s="300">
        <f t="shared" si="0"/>
        <v>0</v>
      </c>
    </row>
    <row r="26" spans="1:10" ht="15" customHeight="1">
      <c r="A26" s="7" t="s">
        <v>111</v>
      </c>
      <c r="B26" s="206" t="s">
        <v>92</v>
      </c>
      <c r="C26" s="3">
        <f t="shared" si="4"/>
        <v>127696612</v>
      </c>
      <c r="D26" s="1">
        <v>103986452</v>
      </c>
      <c r="E26" s="1">
        <v>23710160</v>
      </c>
      <c r="F26" s="300"/>
      <c r="G26" s="300"/>
      <c r="I26" s="300"/>
      <c r="J26" s="300">
        <f t="shared" si="0"/>
        <v>0</v>
      </c>
    </row>
    <row r="27" spans="1:10" ht="15" customHeight="1">
      <c r="A27" s="7">
        <v>9</v>
      </c>
      <c r="B27" s="125" t="s">
        <v>112</v>
      </c>
      <c r="C27" s="3">
        <f>+'Bank Assets Analysis'!S26+'Bank Assets Analysis'!S27</f>
        <v>38191497</v>
      </c>
      <c r="D27" s="3">
        <f>+'Bank Assets Analysis'!T26+'Bank Assets Analysis'!T27</f>
        <v>1400024</v>
      </c>
      <c r="E27" s="3">
        <f>+'Bank Assets Analysis'!U26+'Bank Assets Analysis'!U27</f>
        <v>36791473</v>
      </c>
      <c r="F27" s="300"/>
      <c r="G27" s="300"/>
      <c r="I27" s="300"/>
      <c r="J27" s="300">
        <f t="shared" si="0"/>
        <v>0</v>
      </c>
    </row>
    <row r="28" spans="1:10" ht="15" customHeight="1">
      <c r="A28" s="7" t="s">
        <v>113</v>
      </c>
      <c r="B28" s="206" t="s">
        <v>114</v>
      </c>
      <c r="C28" s="3">
        <f t="shared" si="1"/>
        <v>38191497</v>
      </c>
      <c r="D28" s="1">
        <v>1400024</v>
      </c>
      <c r="E28" s="1">
        <v>36791473</v>
      </c>
      <c r="F28" s="300"/>
      <c r="G28" s="300"/>
      <c r="I28" s="300"/>
      <c r="J28" s="300">
        <f t="shared" si="0"/>
        <v>0</v>
      </c>
    </row>
    <row r="29" spans="1:10" ht="15" customHeight="1">
      <c r="A29" s="7" t="s">
        <v>115</v>
      </c>
      <c r="B29" s="206" t="s">
        <v>92</v>
      </c>
      <c r="C29" s="3">
        <f t="shared" si="1"/>
        <v>0</v>
      </c>
      <c r="D29" s="1">
        <v>0</v>
      </c>
      <c r="E29" s="1">
        <v>0</v>
      </c>
      <c r="F29" s="300"/>
      <c r="G29" s="300"/>
      <c r="I29" s="300"/>
      <c r="J29" s="300">
        <f t="shared" si="0"/>
        <v>0</v>
      </c>
    </row>
    <row r="30" spans="1:10" ht="15" customHeight="1">
      <c r="A30" s="7">
        <v>10</v>
      </c>
      <c r="B30" s="206" t="s">
        <v>116</v>
      </c>
      <c r="C30" s="3">
        <f>+'Bank Assets Analysis'!S37</f>
        <v>903999652</v>
      </c>
      <c r="D30" s="3">
        <f>+'Bank Assets Analysis'!T37</f>
        <v>903999652</v>
      </c>
      <c r="E30" s="3">
        <f>+'Bank Assets Analysis'!U37</f>
        <v>0</v>
      </c>
      <c r="F30" s="300"/>
      <c r="G30" s="300"/>
      <c r="I30" s="300"/>
      <c r="J30" s="300">
        <f t="shared" si="0"/>
        <v>0</v>
      </c>
    </row>
    <row r="31" spans="1:10" ht="15" customHeight="1">
      <c r="A31" s="7">
        <v>11</v>
      </c>
      <c r="B31" s="206" t="s">
        <v>117</v>
      </c>
      <c r="C31" s="3">
        <f>+C32+C33-C34</f>
        <v>1872921101</v>
      </c>
      <c r="D31" s="3">
        <f>+D32+D33-D34</f>
        <v>1365363123</v>
      </c>
      <c r="E31" s="3">
        <f>+E32+E33-E34</f>
        <v>507557978</v>
      </c>
      <c r="F31" s="300"/>
      <c r="G31" s="300"/>
      <c r="I31" s="300"/>
      <c r="J31" s="300">
        <f t="shared" si="0"/>
        <v>0</v>
      </c>
    </row>
    <row r="32" spans="1:10" ht="15" customHeight="1">
      <c r="A32" s="7" t="s">
        <v>118</v>
      </c>
      <c r="B32" s="206" t="s">
        <v>119</v>
      </c>
      <c r="C32" s="3">
        <f t="shared" ref="C32:C34" si="5">+D32+E32</f>
        <v>1877283913</v>
      </c>
      <c r="D32" s="1">
        <v>1369725935</v>
      </c>
      <c r="E32" s="1">
        <v>507557978</v>
      </c>
      <c r="F32" s="300"/>
      <c r="G32" s="300"/>
      <c r="I32" s="300"/>
      <c r="J32" s="300">
        <f t="shared" si="0"/>
        <v>0</v>
      </c>
    </row>
    <row r="33" spans="1:10" ht="18" customHeight="1">
      <c r="A33" s="7" t="s">
        <v>120</v>
      </c>
      <c r="B33" s="206" t="s">
        <v>121</v>
      </c>
      <c r="C33" s="3">
        <f t="shared" si="5"/>
        <v>2431865</v>
      </c>
      <c r="D33" s="1">
        <v>2431865</v>
      </c>
      <c r="E33" s="1">
        <v>0</v>
      </c>
      <c r="F33" s="300"/>
      <c r="G33" s="300"/>
      <c r="I33" s="300"/>
      <c r="J33" s="300">
        <f t="shared" si="0"/>
        <v>0</v>
      </c>
    </row>
    <row r="34" spans="1:10" ht="18" customHeight="1">
      <c r="A34" s="7" t="s">
        <v>122</v>
      </c>
      <c r="B34" s="206" t="s">
        <v>92</v>
      </c>
      <c r="C34" s="3">
        <f t="shared" si="5"/>
        <v>6794677</v>
      </c>
      <c r="D34" s="1">
        <v>6794677</v>
      </c>
      <c r="E34" s="1">
        <v>0</v>
      </c>
      <c r="F34" s="300"/>
      <c r="G34" s="300"/>
      <c r="I34" s="300"/>
      <c r="J34" s="300">
        <f t="shared" si="0"/>
        <v>0</v>
      </c>
    </row>
    <row r="35" spans="1:10" ht="18" customHeight="1">
      <c r="A35" s="7">
        <v>12</v>
      </c>
      <c r="B35" s="125" t="s">
        <v>123</v>
      </c>
      <c r="C35" s="3">
        <f>+'Bank Assets Analysis'!S38</f>
        <v>790493963</v>
      </c>
      <c r="D35" s="3">
        <f>+'Bank Assets Analysis'!T38</f>
        <v>790493963</v>
      </c>
      <c r="E35" s="3">
        <f>+'Bank Assets Analysis'!U38</f>
        <v>0</v>
      </c>
      <c r="F35" s="300"/>
      <c r="G35" s="300"/>
      <c r="I35" s="300"/>
      <c r="J35" s="300">
        <f t="shared" si="0"/>
        <v>0</v>
      </c>
    </row>
    <row r="36" spans="1:10" ht="18" customHeight="1">
      <c r="A36" s="7" t="s">
        <v>124</v>
      </c>
      <c r="B36" s="206" t="s">
        <v>125</v>
      </c>
      <c r="C36" s="3">
        <f t="shared" ref="C36:C38" si="6">+D36+E36</f>
        <v>795720074</v>
      </c>
      <c r="D36" s="1">
        <v>795720074</v>
      </c>
      <c r="E36" s="1">
        <v>0</v>
      </c>
      <c r="F36" s="300"/>
      <c r="G36" s="300"/>
      <c r="I36" s="300"/>
      <c r="J36" s="300">
        <f t="shared" si="0"/>
        <v>0</v>
      </c>
    </row>
    <row r="37" spans="1:10" ht="18" customHeight="1">
      <c r="A37" s="7" t="s">
        <v>126</v>
      </c>
      <c r="B37" s="206" t="s">
        <v>127</v>
      </c>
      <c r="C37" s="3">
        <f t="shared" si="6"/>
        <v>44817300</v>
      </c>
      <c r="D37" s="1">
        <v>44817300</v>
      </c>
      <c r="E37" s="1">
        <v>0</v>
      </c>
      <c r="F37" s="300"/>
      <c r="G37" s="300"/>
      <c r="I37" s="300"/>
      <c r="J37" s="300">
        <f t="shared" si="0"/>
        <v>0</v>
      </c>
    </row>
    <row r="38" spans="1:10" ht="25.5">
      <c r="A38" s="7" t="s">
        <v>128</v>
      </c>
      <c r="B38" s="207" t="s">
        <v>423</v>
      </c>
      <c r="C38" s="3">
        <f t="shared" si="6"/>
        <v>50043411</v>
      </c>
      <c r="D38" s="1">
        <v>50043411</v>
      </c>
      <c r="E38" s="1">
        <v>0</v>
      </c>
      <c r="F38" s="300"/>
      <c r="G38" s="300"/>
      <c r="I38" s="300"/>
      <c r="J38" s="300">
        <f t="shared" si="0"/>
        <v>0</v>
      </c>
    </row>
    <row r="39" spans="1:10" ht="15" customHeight="1">
      <c r="A39" s="7">
        <v>13</v>
      </c>
      <c r="B39" s="206" t="s">
        <v>429</v>
      </c>
      <c r="C39" s="3">
        <f>+D39+E39</f>
        <v>123374035</v>
      </c>
      <c r="D39" s="3">
        <f>+D40+D41+D42</f>
        <v>123374035</v>
      </c>
      <c r="E39" s="3">
        <f>+E40+E41+E42</f>
        <v>0</v>
      </c>
      <c r="F39" s="301"/>
      <c r="G39" s="301"/>
      <c r="H39" s="302"/>
      <c r="I39" s="301"/>
      <c r="J39" s="301">
        <f>+C39-D39-E39</f>
        <v>0</v>
      </c>
    </row>
    <row r="40" spans="1:10" ht="15" customHeight="1">
      <c r="A40" s="7" t="s">
        <v>1</v>
      </c>
      <c r="B40" s="206" t="s">
        <v>430</v>
      </c>
      <c r="C40" s="3">
        <f>+D40+E40</f>
        <v>123374035</v>
      </c>
      <c r="D40" s="1">
        <v>123374035</v>
      </c>
      <c r="E40" s="1">
        <v>0</v>
      </c>
      <c r="F40" s="301"/>
      <c r="G40" s="301"/>
      <c r="H40" s="302"/>
      <c r="I40" s="301"/>
      <c r="J40" s="301">
        <f>+C40-D40-E40</f>
        <v>0</v>
      </c>
    </row>
    <row r="41" spans="1:10" ht="15" customHeight="1">
      <c r="A41" s="7" t="s">
        <v>82</v>
      </c>
      <c r="B41" s="206" t="s">
        <v>431</v>
      </c>
      <c r="C41" s="3">
        <f>+D41+E41</f>
        <v>0</v>
      </c>
      <c r="D41" s="1">
        <v>0</v>
      </c>
      <c r="E41" s="1">
        <v>0</v>
      </c>
      <c r="F41" s="301"/>
      <c r="G41" s="301"/>
      <c r="H41" s="302"/>
      <c r="I41" s="301"/>
      <c r="J41" s="301">
        <f>+C41-D41-E41</f>
        <v>0</v>
      </c>
    </row>
    <row r="42" spans="1:10" ht="20.25" customHeight="1">
      <c r="A42" s="7" t="s">
        <v>129</v>
      </c>
      <c r="B42" s="206" t="s">
        <v>432</v>
      </c>
      <c r="C42" s="3">
        <f>+D42+E42</f>
        <v>0</v>
      </c>
      <c r="D42" s="1">
        <v>0</v>
      </c>
      <c r="E42" s="1">
        <v>0</v>
      </c>
      <c r="F42" s="301"/>
      <c r="G42" s="301"/>
      <c r="H42" s="302"/>
      <c r="I42" s="301"/>
      <c r="J42" s="301">
        <f>+C42-D42-E42</f>
        <v>0</v>
      </c>
    </row>
    <row r="43" spans="1:10" ht="18" customHeight="1">
      <c r="A43" s="7">
        <v>14</v>
      </c>
      <c r="B43" s="125" t="s">
        <v>130</v>
      </c>
      <c r="C43" s="3">
        <f>+C44-C45+C46</f>
        <v>898722264</v>
      </c>
      <c r="D43" s="3">
        <f>+D44-D45+D46</f>
        <v>868238934</v>
      </c>
      <c r="E43" s="3">
        <f>+E44-E45+E46</f>
        <v>30483330</v>
      </c>
      <c r="F43" s="300"/>
      <c r="G43" s="300"/>
      <c r="I43" s="300"/>
      <c r="J43" s="300">
        <f t="shared" si="0"/>
        <v>0</v>
      </c>
    </row>
    <row r="44" spans="1:10" ht="18" customHeight="1">
      <c r="A44" s="7" t="s">
        <v>131</v>
      </c>
      <c r="B44" s="206" t="s">
        <v>132</v>
      </c>
      <c r="C44" s="16">
        <f t="shared" si="1"/>
        <v>903094016</v>
      </c>
      <c r="D44" s="1">
        <v>872610686</v>
      </c>
      <c r="E44" s="1">
        <v>30483330</v>
      </c>
      <c r="F44" s="300"/>
      <c r="G44" s="300"/>
      <c r="H44" s="300"/>
      <c r="I44" s="300"/>
      <c r="J44" s="300">
        <f t="shared" si="0"/>
        <v>0</v>
      </c>
    </row>
    <row r="45" spans="1:10" ht="15" customHeight="1">
      <c r="A45" s="7" t="s">
        <v>133</v>
      </c>
      <c r="B45" s="206" t="s">
        <v>92</v>
      </c>
      <c r="C45" s="16">
        <f t="shared" si="1"/>
        <v>4371752</v>
      </c>
      <c r="D45" s="1">
        <v>4371752</v>
      </c>
      <c r="E45" s="1">
        <v>0</v>
      </c>
      <c r="F45" s="300"/>
      <c r="G45" s="300"/>
      <c r="H45" s="300"/>
      <c r="I45" s="300"/>
      <c r="J45" s="300">
        <f t="shared" si="0"/>
        <v>0</v>
      </c>
    </row>
    <row r="46" spans="1:10" ht="15" customHeight="1">
      <c r="A46" s="7" t="s">
        <v>134</v>
      </c>
      <c r="B46" s="206" t="s">
        <v>135</v>
      </c>
      <c r="C46" s="103">
        <v>0</v>
      </c>
      <c r="D46" s="3"/>
      <c r="E46" s="3"/>
      <c r="F46" s="300"/>
      <c r="G46" s="300"/>
      <c r="H46" s="300"/>
      <c r="I46" s="300"/>
      <c r="J46" s="300">
        <f>+C46-D46-E46</f>
        <v>0</v>
      </c>
    </row>
    <row r="47" spans="1:10" ht="15" customHeight="1">
      <c r="A47" s="208" t="s">
        <v>136</v>
      </c>
      <c r="B47" s="209" t="s">
        <v>137</v>
      </c>
      <c r="C47" s="17">
        <f>+D47+E47</f>
        <v>30728787180</v>
      </c>
      <c r="D47" s="17">
        <f>+D5+D6+D7+D10+D14+D17+D21+D24+D27+D30+D31+D35-D39+D43</f>
        <v>22869741752</v>
      </c>
      <c r="E47" s="17">
        <f>+E5+E6+E7+E10+E14+E17+E21+E24+E27+E30+E31+E35-E39+E43</f>
        <v>7859045428</v>
      </c>
      <c r="F47" s="300">
        <f>+'Bank Assets Analysis'!S47</f>
        <v>30728787180</v>
      </c>
      <c r="G47" s="300">
        <f>+'Bank Assets Analysis'!T47</f>
        <v>22869741752</v>
      </c>
      <c r="H47" s="300">
        <f>+'Bank Assets Analysis'!U47</f>
        <v>7859045428</v>
      </c>
      <c r="I47" s="300"/>
      <c r="J47" s="300">
        <f t="shared" si="0"/>
        <v>0</v>
      </c>
    </row>
    <row r="48" spans="1:10" ht="15" customHeight="1">
      <c r="A48" s="7"/>
      <c r="B48" s="210"/>
      <c r="C48" s="3"/>
      <c r="D48" s="3"/>
      <c r="E48" s="3"/>
      <c r="F48" s="300"/>
      <c r="G48" s="300"/>
      <c r="H48" s="300"/>
      <c r="I48" s="300"/>
      <c r="J48" s="300"/>
    </row>
    <row r="49" spans="1:10" ht="15" customHeight="1">
      <c r="A49" s="7"/>
      <c r="B49" s="211" t="s">
        <v>138</v>
      </c>
      <c r="C49" s="3"/>
      <c r="D49" s="3"/>
      <c r="E49" s="3"/>
      <c r="F49" s="300"/>
      <c r="G49" s="300"/>
      <c r="H49" s="300"/>
      <c r="I49" s="300"/>
      <c r="J49" s="300"/>
    </row>
    <row r="50" spans="1:10" ht="16.5" customHeight="1">
      <c r="A50" s="7" t="s">
        <v>139</v>
      </c>
      <c r="B50" s="125" t="s">
        <v>140</v>
      </c>
      <c r="C50" s="4">
        <f>+'Deposits by Client'!C11</f>
        <v>916450291</v>
      </c>
      <c r="D50" s="19">
        <f>+'Bank Liabilities Analysis'!T15+'Bank Liabilities Analysis'!T7</f>
        <v>849557398</v>
      </c>
      <c r="E50" s="4">
        <f>+'Bank Liabilities Analysis'!U15+'Bank Liabilities Analysis'!U7</f>
        <v>66892893</v>
      </c>
      <c r="F50" s="300"/>
      <c r="G50" s="300"/>
      <c r="H50" s="300"/>
      <c r="I50" s="300"/>
      <c r="J50" s="300">
        <f t="shared" ref="J50:J78" si="7">+C50-D50-E50</f>
        <v>0</v>
      </c>
    </row>
    <row r="51" spans="1:10" ht="16.5" customHeight="1">
      <c r="A51" s="7" t="s">
        <v>141</v>
      </c>
      <c r="B51" s="125" t="s">
        <v>142</v>
      </c>
      <c r="C51" s="4">
        <f>+'Deposits by Client'!C20</f>
        <v>8810218869</v>
      </c>
      <c r="D51" s="19">
        <f>+'Bank Liabilities Analysis'!T12</f>
        <v>8055102480</v>
      </c>
      <c r="E51" s="4">
        <f>+'Bank Liabilities Analysis'!U12</f>
        <v>755116389</v>
      </c>
      <c r="F51" s="300"/>
      <c r="G51" s="300"/>
      <c r="H51" s="300"/>
      <c r="I51" s="300"/>
      <c r="J51" s="300">
        <f t="shared" si="7"/>
        <v>0</v>
      </c>
    </row>
    <row r="52" spans="1:10" ht="16.5" customHeight="1">
      <c r="A52" s="7" t="s">
        <v>143</v>
      </c>
      <c r="B52" s="125" t="s">
        <v>144</v>
      </c>
      <c r="C52" s="4">
        <f>+'Bank Liabilities Analysis'!S21</f>
        <v>442535</v>
      </c>
      <c r="D52" s="3">
        <f>+'Bank Liabilities Analysis'!T21</f>
        <v>442535</v>
      </c>
      <c r="E52" s="3">
        <f>+'Bank Liabilities Analysis'!U21</f>
        <v>0</v>
      </c>
      <c r="F52" s="300"/>
      <c r="G52" s="300"/>
      <c r="H52" s="300"/>
      <c r="I52" s="300"/>
      <c r="J52" s="300">
        <f t="shared" si="7"/>
        <v>0</v>
      </c>
    </row>
    <row r="53" spans="1:10" ht="16.5" customHeight="1">
      <c r="A53" s="7" t="s">
        <v>145</v>
      </c>
      <c r="B53" s="125" t="s">
        <v>146</v>
      </c>
      <c r="C53" s="4">
        <f>+'Bank Liabilities Analysis'!S23</f>
        <v>2044939904</v>
      </c>
      <c r="D53" s="3">
        <f>+'Bank Liabilities Analysis'!T23</f>
        <v>1550743496</v>
      </c>
      <c r="E53" s="3">
        <f>+'Bank Liabilities Analysis'!U23</f>
        <v>494196408</v>
      </c>
      <c r="F53" s="300"/>
      <c r="G53" s="300"/>
      <c r="H53" s="300"/>
      <c r="I53" s="300"/>
      <c r="J53" s="300">
        <f t="shared" si="7"/>
        <v>0</v>
      </c>
    </row>
    <row r="54" spans="1:10" ht="16.5" customHeight="1">
      <c r="A54" s="7" t="s">
        <v>147</v>
      </c>
      <c r="B54" s="205" t="s">
        <v>148</v>
      </c>
      <c r="C54" s="4">
        <f>+'Bank Liabilities Analysis'!S33</f>
        <v>0</v>
      </c>
      <c r="D54" s="3">
        <f>+'Bank Liabilities Analysis'!T33</f>
        <v>0</v>
      </c>
      <c r="E54" s="3">
        <f>+'Bank Liabilities Analysis'!U33</f>
        <v>0</v>
      </c>
      <c r="F54" s="300"/>
      <c r="G54" s="300"/>
      <c r="H54" s="300"/>
      <c r="I54" s="300"/>
      <c r="J54" s="300">
        <f t="shared" si="7"/>
        <v>0</v>
      </c>
    </row>
    <row r="55" spans="1:10" ht="16.5" customHeight="1">
      <c r="A55" s="7" t="s">
        <v>149</v>
      </c>
      <c r="B55" s="125" t="s">
        <v>150</v>
      </c>
      <c r="C55" s="4">
        <f t="shared" si="1"/>
        <v>12083353501</v>
      </c>
      <c r="D55" s="1">
        <v>5672254099</v>
      </c>
      <c r="E55" s="1">
        <v>6411099402</v>
      </c>
      <c r="F55" s="300"/>
      <c r="G55" s="300"/>
      <c r="H55" s="300"/>
      <c r="I55" s="300"/>
      <c r="J55" s="300">
        <f t="shared" si="7"/>
        <v>0</v>
      </c>
    </row>
    <row r="56" spans="1:10" ht="16.5" customHeight="1">
      <c r="A56" s="7" t="s">
        <v>151</v>
      </c>
      <c r="B56" s="125" t="s">
        <v>152</v>
      </c>
      <c r="C56" s="4">
        <f t="shared" si="1"/>
        <v>0</v>
      </c>
      <c r="D56" s="1">
        <v>0</v>
      </c>
      <c r="E56" s="1">
        <v>0</v>
      </c>
      <c r="F56" s="300"/>
      <c r="G56" s="300"/>
      <c r="H56" s="300"/>
      <c r="I56" s="300"/>
      <c r="J56" s="300">
        <f t="shared" si="7"/>
        <v>0</v>
      </c>
    </row>
    <row r="57" spans="1:10" ht="16.5" customHeight="1">
      <c r="A57" s="7" t="s">
        <v>153</v>
      </c>
      <c r="B57" s="212" t="s">
        <v>424</v>
      </c>
      <c r="C57" s="4">
        <f t="shared" si="1"/>
        <v>703058234</v>
      </c>
      <c r="D57" s="1">
        <v>703058234</v>
      </c>
      <c r="E57" s="1">
        <v>0</v>
      </c>
      <c r="F57" s="300"/>
      <c r="G57" s="300"/>
      <c r="H57" s="300"/>
      <c r="I57" s="300"/>
      <c r="J57" s="300">
        <f t="shared" si="7"/>
        <v>0</v>
      </c>
    </row>
    <row r="58" spans="1:10" ht="16.5" customHeight="1">
      <c r="A58" s="7" t="s">
        <v>155</v>
      </c>
      <c r="B58" s="125" t="s">
        <v>156</v>
      </c>
      <c r="C58" s="4">
        <f>+'Bank Liabilities Analysis'!S38+'Bank Liabilities Analysis'!S39+'Bank Liabilities Analysis'!S40</f>
        <v>255861805</v>
      </c>
      <c r="D58" s="4">
        <f>+'Bank Liabilities Analysis'!T38+'Bank Liabilities Analysis'!T39+'Bank Liabilities Analysis'!T40</f>
        <v>162963281</v>
      </c>
      <c r="E58" s="4">
        <f>+'Bank Liabilities Analysis'!U38+'Bank Liabilities Analysis'!U39+'Bank Liabilities Analysis'!U40</f>
        <v>92898524</v>
      </c>
      <c r="F58" s="300"/>
      <c r="G58" s="300"/>
      <c r="H58" s="300"/>
      <c r="I58" s="300"/>
      <c r="J58" s="300">
        <f t="shared" si="7"/>
        <v>0</v>
      </c>
    </row>
    <row r="59" spans="1:10" ht="16.5" customHeight="1">
      <c r="A59" s="7" t="s">
        <v>157</v>
      </c>
      <c r="B59" s="125" t="s">
        <v>158</v>
      </c>
      <c r="C59" s="4">
        <f t="shared" si="1"/>
        <v>31523799</v>
      </c>
      <c r="D59" s="1">
        <v>31523799</v>
      </c>
      <c r="E59" s="1">
        <v>0</v>
      </c>
      <c r="F59" s="300"/>
      <c r="G59" s="300"/>
      <c r="H59" s="300"/>
      <c r="I59" s="300"/>
      <c r="J59" s="300">
        <f t="shared" si="7"/>
        <v>0</v>
      </c>
    </row>
    <row r="60" spans="1:10" ht="16.5" customHeight="1">
      <c r="A60" s="7" t="s">
        <v>159</v>
      </c>
      <c r="B60" s="125" t="s">
        <v>160</v>
      </c>
      <c r="C60" s="4">
        <f>+'Bank Liabilities Analysis'!S37</f>
        <v>12445613</v>
      </c>
      <c r="D60" s="3">
        <f>+'Bank Liabilities Analysis'!T37</f>
        <v>12445613</v>
      </c>
      <c r="E60" s="3">
        <f>+'Bank Liabilities Analysis'!U37</f>
        <v>0</v>
      </c>
      <c r="F60" s="300"/>
      <c r="G60" s="300"/>
      <c r="H60" s="300"/>
      <c r="I60" s="300"/>
      <c r="J60" s="300">
        <f t="shared" si="7"/>
        <v>0</v>
      </c>
    </row>
    <row r="61" spans="1:10" ht="17.25" customHeight="1">
      <c r="A61" s="7" t="s">
        <v>161</v>
      </c>
      <c r="B61" s="205" t="s">
        <v>162</v>
      </c>
      <c r="C61" s="4">
        <f t="shared" si="1"/>
        <v>0</v>
      </c>
      <c r="D61" s="1">
        <v>0</v>
      </c>
      <c r="E61" s="1">
        <v>0</v>
      </c>
      <c r="F61" s="300"/>
      <c r="G61" s="300"/>
      <c r="H61" s="300"/>
      <c r="I61" s="300"/>
      <c r="J61" s="300">
        <f t="shared" si="7"/>
        <v>0</v>
      </c>
    </row>
    <row r="62" spans="1:10" ht="16.5" customHeight="1">
      <c r="A62" s="7" t="s">
        <v>163</v>
      </c>
      <c r="B62" s="125" t="s">
        <v>164</v>
      </c>
      <c r="C62" s="4">
        <f t="shared" si="1"/>
        <v>131281683</v>
      </c>
      <c r="D62" s="1">
        <v>101607163</v>
      </c>
      <c r="E62" s="1">
        <v>29674520</v>
      </c>
      <c r="F62" s="300"/>
      <c r="G62" s="300"/>
      <c r="H62" s="300"/>
      <c r="I62" s="300"/>
      <c r="J62" s="300">
        <f t="shared" si="7"/>
        <v>0</v>
      </c>
    </row>
    <row r="63" spans="1:10" ht="16.5" customHeight="1">
      <c r="A63" s="213" t="s">
        <v>165</v>
      </c>
      <c r="B63" s="214" t="s">
        <v>166</v>
      </c>
      <c r="C63" s="18">
        <f t="shared" si="1"/>
        <v>24989576234</v>
      </c>
      <c r="D63" s="18">
        <f>SUM(D50:D62)</f>
        <v>17139698098</v>
      </c>
      <c r="E63" s="18">
        <f>SUM(E50:E62)</f>
        <v>7849878136</v>
      </c>
      <c r="F63" s="299">
        <f>+'Bank Liabilities Analysis'!S42</f>
        <v>24989576234</v>
      </c>
      <c r="G63" s="299">
        <f>+'Bank Liabilities Analysis'!T42</f>
        <v>17139698098</v>
      </c>
      <c r="H63" s="299">
        <f>+'Bank Liabilities Analysis'!U42</f>
        <v>7849878136</v>
      </c>
      <c r="I63" s="300"/>
      <c r="J63" s="300">
        <f t="shared" si="7"/>
        <v>0</v>
      </c>
    </row>
    <row r="64" spans="1:10" ht="6.75" customHeight="1">
      <c r="A64" s="7"/>
      <c r="B64" s="215"/>
      <c r="C64" s="4"/>
      <c r="D64" s="4"/>
      <c r="E64" s="4"/>
      <c r="F64" s="300"/>
      <c r="G64" s="300"/>
      <c r="H64" s="300"/>
      <c r="I64" s="300"/>
      <c r="J64" s="300"/>
    </row>
    <row r="65" spans="1:13" ht="15" customHeight="1">
      <c r="A65" s="216"/>
      <c r="B65" s="211" t="s">
        <v>167</v>
      </c>
      <c r="C65" s="3"/>
      <c r="D65" s="3"/>
      <c r="E65" s="3"/>
      <c r="F65" s="300"/>
      <c r="G65" s="300"/>
      <c r="H65" s="300"/>
      <c r="I65" s="300"/>
      <c r="J65" s="300"/>
    </row>
    <row r="66" spans="1:13" ht="6.75" customHeight="1">
      <c r="A66" s="7"/>
      <c r="B66" s="215"/>
      <c r="C66" s="4"/>
      <c r="D66" s="4"/>
      <c r="E66" s="4"/>
      <c r="F66" s="300"/>
      <c r="G66" s="300"/>
      <c r="H66" s="300"/>
      <c r="I66" s="300"/>
      <c r="J66" s="300"/>
    </row>
    <row r="67" spans="1:13" ht="15" customHeight="1">
      <c r="A67" s="213" t="s">
        <v>168</v>
      </c>
      <c r="B67" s="125" t="s">
        <v>169</v>
      </c>
      <c r="C67" s="198">
        <f>+C68+C69</f>
        <v>7145336800</v>
      </c>
      <c r="D67" s="198">
        <f t="shared" ref="D67:E67" si="8">+D68+D69</f>
        <v>7145336800</v>
      </c>
      <c r="E67" s="198">
        <f t="shared" si="8"/>
        <v>0</v>
      </c>
      <c r="F67" s="300"/>
      <c r="G67" s="300"/>
      <c r="H67" s="300"/>
      <c r="I67" s="300"/>
      <c r="J67" s="300">
        <f t="shared" si="7"/>
        <v>0</v>
      </c>
    </row>
    <row r="68" spans="1:13" ht="15" customHeight="1">
      <c r="A68" s="216" t="s">
        <v>170</v>
      </c>
      <c r="B68" s="206" t="s">
        <v>171</v>
      </c>
      <c r="C68" s="3">
        <f t="shared" ref="C68:C70" si="9">+D68+E68</f>
        <v>7145161149</v>
      </c>
      <c r="D68" s="1">
        <v>7145161149</v>
      </c>
      <c r="E68" s="1">
        <v>0</v>
      </c>
      <c r="F68" s="300"/>
      <c r="G68" s="300"/>
      <c r="H68" s="300"/>
      <c r="I68" s="300"/>
      <c r="J68" s="300">
        <f t="shared" si="7"/>
        <v>0</v>
      </c>
    </row>
    <row r="69" spans="1:13" ht="15" customHeight="1">
      <c r="A69" s="7" t="s">
        <v>172</v>
      </c>
      <c r="B69" s="206" t="s">
        <v>173</v>
      </c>
      <c r="C69" s="3">
        <f t="shared" si="9"/>
        <v>175651</v>
      </c>
      <c r="D69" s="1">
        <v>175651</v>
      </c>
      <c r="E69" s="1">
        <v>0</v>
      </c>
      <c r="F69" s="300"/>
      <c r="G69" s="300"/>
      <c r="H69" s="300"/>
      <c r="I69" s="300"/>
      <c r="J69" s="300">
        <f t="shared" si="7"/>
        <v>0</v>
      </c>
    </row>
    <row r="70" spans="1:13" ht="15" customHeight="1">
      <c r="A70" s="7" t="s">
        <v>174</v>
      </c>
      <c r="B70" s="125" t="s">
        <v>427</v>
      </c>
      <c r="C70" s="3">
        <f t="shared" si="9"/>
        <v>0</v>
      </c>
      <c r="D70" s="1">
        <v>0</v>
      </c>
      <c r="E70" s="1">
        <v>0</v>
      </c>
      <c r="F70" s="300"/>
      <c r="G70" s="300"/>
      <c r="H70" s="300"/>
      <c r="I70" s="300"/>
      <c r="J70" s="300">
        <f t="shared" si="7"/>
        <v>0</v>
      </c>
    </row>
    <row r="71" spans="1:13" ht="15" customHeight="1">
      <c r="A71" s="7" t="s">
        <v>175</v>
      </c>
      <c r="B71" s="217" t="s">
        <v>176</v>
      </c>
      <c r="C71" s="198">
        <f>+C72+C73+C74</f>
        <v>32499244</v>
      </c>
      <c r="D71" s="198">
        <f>+D72+D73+D74</f>
        <v>32499244</v>
      </c>
      <c r="E71" s="198">
        <f>+E72+E73+E74</f>
        <v>0</v>
      </c>
      <c r="F71" s="300"/>
      <c r="G71" s="300"/>
      <c r="H71" s="300"/>
      <c r="I71" s="300"/>
      <c r="J71" s="300">
        <f t="shared" si="7"/>
        <v>0</v>
      </c>
    </row>
    <row r="72" spans="1:13" ht="15" customHeight="1">
      <c r="A72" s="7" t="s">
        <v>177</v>
      </c>
      <c r="B72" s="218" t="s">
        <v>178</v>
      </c>
      <c r="C72" s="4">
        <f t="shared" si="1"/>
        <v>27827555</v>
      </c>
      <c r="D72" s="1">
        <v>27827555</v>
      </c>
      <c r="E72" s="1">
        <v>0</v>
      </c>
      <c r="F72" s="300"/>
      <c r="G72" s="300"/>
      <c r="H72" s="300"/>
      <c r="I72" s="300"/>
      <c r="J72" s="300">
        <f t="shared" si="7"/>
        <v>0</v>
      </c>
    </row>
    <row r="73" spans="1:13" ht="15" customHeight="1">
      <c r="A73" s="7" t="s">
        <v>179</v>
      </c>
      <c r="B73" s="218" t="s">
        <v>181</v>
      </c>
      <c r="C73" s="3">
        <f t="shared" si="1"/>
        <v>0</v>
      </c>
      <c r="D73" s="1">
        <v>0</v>
      </c>
      <c r="E73" s="1">
        <v>0</v>
      </c>
      <c r="F73" s="300"/>
      <c r="G73" s="300"/>
      <c r="H73" s="300"/>
      <c r="I73" s="300"/>
      <c r="J73" s="300">
        <f t="shared" si="7"/>
        <v>0</v>
      </c>
    </row>
    <row r="74" spans="1:13" ht="15" customHeight="1">
      <c r="A74" s="7" t="s">
        <v>180</v>
      </c>
      <c r="B74" s="218" t="s">
        <v>425</v>
      </c>
      <c r="C74" s="4">
        <f t="shared" si="1"/>
        <v>4671689</v>
      </c>
      <c r="D74" s="1">
        <v>4671689</v>
      </c>
      <c r="E74" s="1">
        <v>0</v>
      </c>
      <c r="F74" s="300"/>
      <c r="G74" s="300"/>
      <c r="H74" s="300"/>
      <c r="I74" s="300"/>
      <c r="J74" s="300">
        <f t="shared" si="7"/>
        <v>0</v>
      </c>
    </row>
    <row r="75" spans="1:13" ht="15" customHeight="1">
      <c r="A75" s="7" t="s">
        <v>182</v>
      </c>
      <c r="B75" s="217" t="s">
        <v>183</v>
      </c>
      <c r="C75" s="4">
        <f t="shared" si="1"/>
        <v>-1438625098</v>
      </c>
      <c r="D75" s="1">
        <v>-1438625098</v>
      </c>
      <c r="E75" s="1">
        <v>0</v>
      </c>
      <c r="F75" s="300"/>
      <c r="G75" s="300"/>
      <c r="H75" s="300"/>
      <c r="I75" s="300"/>
      <c r="J75" s="300">
        <f t="shared" si="7"/>
        <v>0</v>
      </c>
    </row>
    <row r="76" spans="1:13" ht="15" customHeight="1">
      <c r="A76" s="7" t="s">
        <v>184</v>
      </c>
      <c r="B76" s="218" t="s">
        <v>426</v>
      </c>
      <c r="C76" s="4">
        <f t="shared" si="1"/>
        <v>160802633</v>
      </c>
      <c r="D76" s="1">
        <v>160802633</v>
      </c>
      <c r="E76" s="1">
        <v>0</v>
      </c>
      <c r="F76" s="300"/>
      <c r="G76" s="300"/>
      <c r="H76" s="300"/>
      <c r="I76" s="300"/>
      <c r="J76" s="300">
        <f t="shared" si="7"/>
        <v>0</v>
      </c>
    </row>
    <row r="77" spans="1:13" ht="15" customHeight="1">
      <c r="A77" s="219" t="s">
        <v>185</v>
      </c>
      <c r="B77" s="214" t="s">
        <v>186</v>
      </c>
      <c r="C77" s="197">
        <f>+C67+C70+C71+C75</f>
        <v>5739210946</v>
      </c>
      <c r="D77" s="197">
        <f>+D67+D70+D71+D75</f>
        <v>5739210946</v>
      </c>
      <c r="E77" s="197">
        <f>+E67+E70+E71+E75</f>
        <v>0</v>
      </c>
      <c r="F77" s="300"/>
      <c r="G77" s="300"/>
      <c r="H77" s="300"/>
      <c r="I77" s="300"/>
      <c r="J77" s="300">
        <f t="shared" si="7"/>
        <v>0</v>
      </c>
    </row>
    <row r="78" spans="1:13" ht="15" customHeight="1">
      <c r="A78" s="219" t="s">
        <v>187</v>
      </c>
      <c r="B78" s="220" t="s">
        <v>188</v>
      </c>
      <c r="C78" s="17">
        <f>+D78+E78</f>
        <v>30728787180</v>
      </c>
      <c r="D78" s="17">
        <f>+D63+D77</f>
        <v>22878909044</v>
      </c>
      <c r="E78" s="17">
        <f>+E63+E77</f>
        <v>7849878136</v>
      </c>
      <c r="F78" s="300"/>
      <c r="G78" s="300"/>
      <c r="H78" s="300"/>
      <c r="I78" s="300"/>
      <c r="J78" s="300">
        <f t="shared" si="7"/>
        <v>0</v>
      </c>
    </row>
    <row r="79" spans="1:13" ht="15" customHeight="1">
      <c r="F79" s="300"/>
      <c r="G79" s="300"/>
      <c r="H79" s="300"/>
      <c r="I79" s="300"/>
      <c r="J79" s="300"/>
    </row>
    <row r="80" spans="1:13" ht="15" customHeight="1">
      <c r="B80" s="2" t="s">
        <v>446</v>
      </c>
      <c r="F80" s="300"/>
      <c r="G80" s="300"/>
      <c r="H80" s="300"/>
      <c r="I80" s="300"/>
      <c r="J80" s="300"/>
      <c r="M80" s="70"/>
    </row>
    <row r="81" spans="1:24" ht="11.25" customHeight="1">
      <c r="B81" s="2"/>
      <c r="F81" s="300"/>
      <c r="G81" s="300"/>
      <c r="H81" s="300"/>
      <c r="I81" s="300"/>
      <c r="J81" s="300"/>
      <c r="M81" s="70"/>
    </row>
    <row r="82" spans="1:24" ht="15" customHeight="1">
      <c r="B82" s="2" t="s">
        <v>445</v>
      </c>
      <c r="F82" s="300"/>
      <c r="G82" s="300"/>
      <c r="H82" s="300"/>
      <c r="I82" s="300"/>
      <c r="J82" s="300"/>
      <c r="M82" s="70"/>
    </row>
    <row r="83" spans="1:24" ht="11.25" customHeight="1">
      <c r="B83" s="2"/>
      <c r="F83" s="300"/>
      <c r="G83" s="300"/>
      <c r="H83" s="300"/>
      <c r="I83" s="300"/>
      <c r="J83" s="300"/>
    </row>
    <row r="84" spans="1:24" ht="15" customHeight="1">
      <c r="B84" s="2"/>
      <c r="F84" s="300"/>
      <c r="G84" s="300"/>
      <c r="H84" s="300"/>
      <c r="I84" s="300"/>
      <c r="J84" s="300"/>
    </row>
    <row r="85" spans="1:24" ht="15" customHeight="1">
      <c r="F85" s="300"/>
      <c r="G85" s="300"/>
      <c r="H85" s="300"/>
      <c r="I85" s="300"/>
      <c r="J85" s="300"/>
    </row>
    <row r="86" spans="1:24" s="111" customFormat="1" ht="15" customHeight="1">
      <c r="A86" s="102"/>
      <c r="B86" s="102"/>
      <c r="C86" s="282">
        <f>+C47-C78</f>
        <v>0</v>
      </c>
      <c r="D86" s="102"/>
      <c r="E86" s="102"/>
      <c r="F86" s="300"/>
      <c r="G86" s="300"/>
      <c r="H86" s="300"/>
      <c r="I86" s="300"/>
      <c r="J86" s="300"/>
      <c r="K86" s="110"/>
      <c r="L86" s="110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</row>
    <row r="87" spans="1:24" s="111" customFormat="1" ht="15" customHeight="1">
      <c r="A87" s="102"/>
      <c r="B87" s="102"/>
      <c r="C87" s="102"/>
      <c r="D87" s="102"/>
      <c r="E87" s="102"/>
      <c r="F87" s="300"/>
      <c r="G87" s="300"/>
      <c r="H87" s="300"/>
      <c r="I87" s="300"/>
      <c r="J87" s="300"/>
      <c r="K87" s="110"/>
      <c r="L87" s="110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</row>
    <row r="88" spans="1:24" s="111" customFormat="1" ht="15" customHeight="1">
      <c r="A88" s="102"/>
      <c r="B88" s="102"/>
      <c r="C88" s="102"/>
      <c r="D88" s="102"/>
      <c r="E88" s="102"/>
      <c r="F88" s="300"/>
      <c r="G88" s="300"/>
      <c r="H88" s="300"/>
      <c r="I88" s="300"/>
      <c r="J88" s="300"/>
      <c r="K88" s="110"/>
      <c r="L88" s="110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</row>
    <row r="89" spans="1:24" ht="15" customHeight="1">
      <c r="F89" s="300"/>
      <c r="G89" s="300"/>
      <c r="H89" s="300"/>
      <c r="I89" s="300"/>
      <c r="J89" s="300"/>
    </row>
    <row r="90" spans="1:24" ht="15" customHeight="1">
      <c r="F90" s="300"/>
      <c r="G90" s="300"/>
      <c r="H90" s="300"/>
      <c r="I90" s="300"/>
      <c r="J90" s="300"/>
    </row>
    <row r="91" spans="1:24" ht="15" customHeight="1">
      <c r="G91" s="300"/>
      <c r="H91" s="300"/>
      <c r="I91" s="300"/>
      <c r="J91" s="300"/>
    </row>
  </sheetData>
  <sheetProtection password="CACA" sheet="1" objects="1" scenarios="1"/>
  <mergeCells count="1">
    <mergeCell ref="A1:D1"/>
  </mergeCells>
  <phoneticPr fontId="12" type="noConversion"/>
  <conditionalFormatting sqref="C7">
    <cfRule type="cellIs" dxfId="155" priority="17" operator="notEqual">
      <formula>C8-C9</formula>
    </cfRule>
    <cfRule type="cellIs" dxfId="154" priority="44" operator="notEqual">
      <formula>+$D$7+$E$7</formula>
    </cfRule>
  </conditionalFormatting>
  <conditionalFormatting sqref="C17">
    <cfRule type="cellIs" dxfId="153" priority="23" operator="notEqual">
      <formula>C18+C19-C20</formula>
    </cfRule>
  </conditionalFormatting>
  <conditionalFormatting sqref="C35">
    <cfRule type="cellIs" dxfId="152" priority="38" operator="notEqual">
      <formula>$C$36+$C$37-$C$38</formula>
    </cfRule>
  </conditionalFormatting>
  <conditionalFormatting sqref="C43">
    <cfRule type="cellIs" dxfId="151" priority="25" operator="notEqual">
      <formula>C44-C45+C46</formula>
    </cfRule>
  </conditionalFormatting>
  <conditionalFormatting sqref="C47">
    <cfRule type="cellIs" dxfId="150" priority="47" operator="notEqual">
      <formula>$F$47</formula>
    </cfRule>
  </conditionalFormatting>
  <conditionalFormatting sqref="C50:C57">
    <cfRule type="cellIs" dxfId="149" priority="13" operator="notEqual">
      <formula>D50+E50</formula>
    </cfRule>
  </conditionalFormatting>
  <conditionalFormatting sqref="C51">
    <cfRule type="cellIs" dxfId="148" priority="95" operator="notEqual">
      <formula>$D$51+$E$51</formula>
    </cfRule>
  </conditionalFormatting>
  <conditionalFormatting sqref="C59">
    <cfRule type="cellIs" dxfId="147" priority="56" operator="notEqual">
      <formula>D59+E59</formula>
    </cfRule>
  </conditionalFormatting>
  <conditionalFormatting sqref="C61:C62">
    <cfRule type="cellIs" dxfId="146" priority="2" operator="notEqual">
      <formula>D61+E61</formula>
    </cfRule>
  </conditionalFormatting>
  <conditionalFormatting sqref="C63">
    <cfRule type="cellIs" dxfId="145" priority="71" operator="notEqual">
      <formula>$F$63</formula>
    </cfRule>
    <cfRule type="cellIs" dxfId="144" priority="106" operator="notEqual">
      <formula>$D$63+$E$63</formula>
    </cfRule>
  </conditionalFormatting>
  <conditionalFormatting sqref="C78">
    <cfRule type="cellIs" dxfId="143" priority="70" operator="notEqual">
      <formula>$C$47</formula>
    </cfRule>
  </conditionalFormatting>
  <conditionalFormatting sqref="C21:D21">
    <cfRule type="cellIs" dxfId="142" priority="62" operator="notEqual">
      <formula>$D$22-$D$23</formula>
    </cfRule>
  </conditionalFormatting>
  <conditionalFormatting sqref="C39:D39">
    <cfRule type="cellIs" dxfId="141" priority="26" operator="notEqual">
      <formula>C40+C41+C42</formula>
    </cfRule>
  </conditionalFormatting>
  <conditionalFormatting sqref="C14:E14">
    <cfRule type="cellIs" dxfId="140" priority="20" operator="notEqual">
      <formula>C15-C16</formula>
    </cfRule>
  </conditionalFormatting>
  <conditionalFormatting sqref="C24:E24">
    <cfRule type="cellIs" dxfId="139" priority="30" operator="notEqual">
      <formula>C25-C26</formula>
    </cfRule>
  </conditionalFormatting>
  <conditionalFormatting sqref="C27:E27">
    <cfRule type="cellIs" dxfId="138" priority="3" operator="notEqual">
      <formula>C28-C29</formula>
    </cfRule>
  </conditionalFormatting>
  <conditionalFormatting sqref="D35">
    <cfRule type="cellIs" dxfId="137" priority="37" operator="notEqual">
      <formula>$D$36+$D$37-$D$38</formula>
    </cfRule>
  </conditionalFormatting>
  <conditionalFormatting sqref="D47">
    <cfRule type="cellIs" dxfId="136" priority="5" operator="notEqual">
      <formula>$G$47</formula>
    </cfRule>
  </conditionalFormatting>
  <conditionalFormatting sqref="D63">
    <cfRule type="cellIs" dxfId="135" priority="72" operator="notEqual">
      <formula>$G$63</formula>
    </cfRule>
  </conditionalFormatting>
  <conditionalFormatting sqref="E7">
    <cfRule type="cellIs" dxfId="134" priority="16" operator="notEqual">
      <formula>E8-E9</formula>
    </cfRule>
  </conditionalFormatting>
  <conditionalFormatting sqref="E21">
    <cfRule type="cellIs" dxfId="133" priority="61" operator="notEqual">
      <formula>$E$22-$E$23</formula>
    </cfRule>
  </conditionalFormatting>
  <conditionalFormatting sqref="E35">
    <cfRule type="cellIs" dxfId="132" priority="35" operator="notEqual">
      <formula>$E$36+$E$37-$E$38</formula>
    </cfRule>
  </conditionalFormatting>
  <conditionalFormatting sqref="E43">
    <cfRule type="cellIs" dxfId="131" priority="34" operator="notEqual">
      <formula>$E$44-$E$45+$E$46</formula>
    </cfRule>
  </conditionalFormatting>
  <conditionalFormatting sqref="E47">
    <cfRule type="cellIs" dxfId="130" priority="1" operator="notEqual">
      <formula>$H$47</formula>
    </cfRule>
  </conditionalFormatting>
  <conditionalFormatting sqref="E63">
    <cfRule type="cellIs" dxfId="129" priority="190" operator="notEqual">
      <formula>$H$63</formula>
    </cfRule>
  </conditionalFormatting>
  <dataValidations xWindow="709" yWindow="816" count="7">
    <dataValidation allowBlank="1" showInputMessage="1" showErrorMessage="1" prompt="Значение должно равняться Итого капитала из таблицы &quot;Изменения в акционерном капитале&quot;" sqref="C77:E77" xr:uid="{00000000-0002-0000-0000-000000000000}"/>
    <dataValidation type="whole" operator="notEqual" allowBlank="1" showErrorMessage="1" error="Что, не получается?_x000a__x000a_Выше нос друзья!_x000a__x000a_Введите целое число." sqref="D72:D76 D55:D62 E58" xr:uid="{00000000-0002-0000-0000-000001000000}">
      <formula1>-1E+21</formula1>
    </dataValidation>
    <dataValidation allowBlank="1" showInputMessage="1" showErrorMessage="1" prompt="Ячейка окрасится, если значение не равно итого обязательств (таблица &quot;Анализ обязательств банка&quot;)  " sqref="D63:E63" xr:uid="{00000000-0002-0000-0000-000002000000}"/>
    <dataValidation allowBlank="1" showInputMessage="1" showErrorMessage="1" prompt="Значение должно равняться Итого активов (Ячейка С36)" sqref="D78:E78" xr:uid="{00000000-0002-0000-0000-000003000000}"/>
    <dataValidation allowBlank="1" showInputMessage="1" showErrorMessage="1" prompt="Если значение ячейки не равно &quot;В24 - В25&quot;, ячейка окрасится" sqref="D46 D28 D36:D38" xr:uid="{00000000-0002-0000-0000-000004000000}"/>
    <dataValidation type="date" operator="greaterThan" allowBlank="1" showInputMessage="1" showErrorMessage="1" prompt="Введите дату в формате ЧЧ.ММ.ГГГГ" sqref="D3" xr:uid="{00000000-0002-0000-0000-000005000000}">
      <formula1>DATE(96,1,1)</formula1>
    </dataValidation>
    <dataValidation allowBlank="1" showInputMessage="1" showErrorMessage="1" prompt="Если значение ячейки не равно &quot;В15 - В16&quot;, ячейка окрасится" sqref="D17:E18" xr:uid="{00000000-0002-0000-0000-000006000000}"/>
  </dataValidations>
  <printOptions horizontalCentered="1" verticalCentered="1"/>
  <pageMargins left="0.15748031496062992" right="0.31496062992125984" top="0.47244094488188981" bottom="0.23622047244094491" header="0.51181102362204722" footer="0.51181102362204722"/>
  <pageSetup paperSize="9" scale="61" orientation="portrait" r:id="rId1"/>
  <headerFooter alignWithMargins="0"/>
  <ignoredErrors>
    <ignoredError sqref="C60 C43:C45 C7:C9 C48 C20:C31 C14:C18 C72 C33:C38 C73:C78" formula="1"/>
    <ignoredError sqref="A70:A72 A67 A50:A64 A75:A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6">
    <pageSetUpPr fitToPage="1"/>
  </sheetPr>
  <dimension ref="A1:Q77"/>
  <sheetViews>
    <sheetView view="pageBreakPreview" zoomScale="85" zoomScaleNormal="100" zoomScaleSheetLayoutView="85" workbookViewId="0">
      <pane xSplit="2" ySplit="3" topLeftCell="C24" activePane="bottomRight" state="frozen"/>
      <selection activeCell="C5" sqref="C5"/>
      <selection pane="topRight" activeCell="C5" sqref="C5"/>
      <selection pane="bottomLeft" activeCell="C5" sqref="C5"/>
      <selection pane="bottomRight" activeCell="F54" sqref="F54"/>
    </sheetView>
  </sheetViews>
  <sheetFormatPr defaultRowHeight="12.75"/>
  <cols>
    <col min="1" max="1" width="7.42578125" style="14" customWidth="1"/>
    <col min="2" max="2" width="61.7109375" style="14" customWidth="1"/>
    <col min="3" max="3" width="17.42578125" style="14" customWidth="1"/>
    <col min="4" max="4" width="19.140625" customWidth="1"/>
    <col min="5" max="5" width="17.42578125" style="14" customWidth="1"/>
    <col min="6" max="8" width="15.140625" style="76" customWidth="1"/>
    <col min="9" max="9" width="14.28515625" style="76" customWidth="1"/>
    <col min="10" max="10" width="10.42578125" style="70" bestFit="1" customWidth="1"/>
    <col min="11" max="11" width="14.28515625" style="70" bestFit="1" customWidth="1"/>
    <col min="12" max="12" width="15.28515625" style="70" bestFit="1" customWidth="1"/>
    <col min="13" max="13" width="15.5703125" style="14" bestFit="1" customWidth="1"/>
    <col min="14" max="14" width="18.5703125" style="14" customWidth="1"/>
    <col min="15" max="16384" width="9.140625" style="14"/>
  </cols>
  <sheetData>
    <row r="1" spans="1:17" s="69" customFormat="1" ht="34.5" customHeight="1">
      <c r="A1" s="340" t="s">
        <v>189</v>
      </c>
      <c r="B1" s="340"/>
      <c r="C1" s="340"/>
      <c r="D1" s="340"/>
      <c r="E1" s="126" t="s">
        <v>190</v>
      </c>
      <c r="F1" s="294"/>
      <c r="G1" s="294"/>
      <c r="H1" s="294"/>
      <c r="I1" s="295"/>
      <c r="J1" s="67"/>
      <c r="K1" s="67"/>
      <c r="L1" s="68"/>
    </row>
    <row r="2" spans="1:17" ht="20.25" customHeight="1">
      <c r="B2" s="32" t="str">
        <f>Balance!B3</f>
        <v>"MKBANK"</v>
      </c>
      <c r="D2" s="236">
        <f>+Balance!D3</f>
        <v>46021</v>
      </c>
      <c r="E2" s="30" t="s">
        <v>84</v>
      </c>
      <c r="I2" s="296"/>
      <c r="J2" s="332"/>
      <c r="K2" s="332"/>
    </row>
    <row r="3" spans="1:17" s="51" customFormat="1" ht="36.75" customHeight="1">
      <c r="A3" s="37" t="s">
        <v>8</v>
      </c>
      <c r="B3" s="37" t="s">
        <v>191</v>
      </c>
      <c r="C3" s="37" t="s">
        <v>86</v>
      </c>
      <c r="D3" s="37" t="s">
        <v>87</v>
      </c>
      <c r="E3" s="37" t="s">
        <v>192</v>
      </c>
      <c r="F3" s="76"/>
      <c r="G3" s="76"/>
      <c r="H3" s="76"/>
      <c r="I3" s="296"/>
      <c r="J3" s="332"/>
      <c r="K3" s="332"/>
      <c r="L3" s="70"/>
    </row>
    <row r="4" spans="1:17" s="51" customFormat="1" ht="17.25" customHeight="1">
      <c r="A4" s="79"/>
      <c r="B4" s="79" t="s">
        <v>193</v>
      </c>
      <c r="C4" s="337" t="s">
        <v>194</v>
      </c>
      <c r="D4" s="338"/>
      <c r="E4" s="339"/>
      <c r="F4" s="120"/>
      <c r="G4" s="120"/>
      <c r="H4" s="107"/>
      <c r="I4" s="108"/>
      <c r="J4" s="332"/>
      <c r="K4" s="332"/>
      <c r="L4" s="70"/>
    </row>
    <row r="5" spans="1:17" ht="16.5" customHeight="1">
      <c r="A5" s="127" t="s">
        <v>20</v>
      </c>
      <c r="B5" s="128" t="s">
        <v>195</v>
      </c>
      <c r="C5" s="140">
        <f>+'Bank Assets Analysis'!S6</f>
        <v>703550546</v>
      </c>
      <c r="D5" s="140">
        <f>+'Bank Assets Analysis'!T6</f>
        <v>538991500</v>
      </c>
      <c r="E5" s="140">
        <f>+'Bank Assets Analysis'!U6</f>
        <v>164559046</v>
      </c>
      <c r="F5" s="20"/>
      <c r="G5" s="120"/>
      <c r="H5" s="107"/>
      <c r="I5" s="108"/>
      <c r="J5" s="332"/>
      <c r="K5" s="332"/>
      <c r="M5" s="335"/>
      <c r="N5" s="335"/>
      <c r="O5" s="335"/>
    </row>
    <row r="6" spans="1:17" ht="16.5" customHeight="1">
      <c r="A6" s="127" t="s">
        <v>21</v>
      </c>
      <c r="B6" s="128" t="s">
        <v>196</v>
      </c>
      <c r="C6" s="140">
        <f>+'Bank Assets Analysis'!S7</f>
        <v>584034134</v>
      </c>
      <c r="D6" s="140">
        <f>+'Bank Assets Analysis'!T7</f>
        <v>584034134</v>
      </c>
      <c r="E6" s="280">
        <f>+'Bank Assets Analysis'!U7</f>
        <v>0</v>
      </c>
      <c r="F6" s="20"/>
      <c r="G6" s="120"/>
      <c r="H6" s="107"/>
      <c r="I6" s="108"/>
      <c r="J6" s="332"/>
      <c r="K6" s="332"/>
      <c r="M6" s="335"/>
      <c r="N6" s="335"/>
      <c r="O6" s="335"/>
    </row>
    <row r="7" spans="1:17" ht="25.5">
      <c r="A7" s="127" t="s">
        <v>22</v>
      </c>
      <c r="B7" s="128" t="s">
        <v>470</v>
      </c>
      <c r="C7" s="140">
        <f>+'Bank Assets Analysis'!S19</f>
        <v>508169320</v>
      </c>
      <c r="D7" s="140">
        <f>+'Bank Assets Analysis'!T19</f>
        <v>508169320</v>
      </c>
      <c r="E7" s="280">
        <f>+'Bank Assets Analysis'!U19</f>
        <v>0</v>
      </c>
      <c r="F7" s="20"/>
      <c r="G7" s="120"/>
      <c r="H7" s="107"/>
      <c r="I7" s="108"/>
      <c r="J7" s="332"/>
      <c r="K7" s="332"/>
      <c r="M7" s="335"/>
      <c r="N7" s="335"/>
      <c r="O7" s="335"/>
    </row>
    <row r="8" spans="1:17" ht="39" customHeight="1">
      <c r="A8" s="127" t="s">
        <v>23</v>
      </c>
      <c r="B8" s="128" t="s">
        <v>197</v>
      </c>
      <c r="C8" s="140">
        <f>+E8</f>
        <v>1986921643</v>
      </c>
      <c r="D8" s="81"/>
      <c r="E8" s="280">
        <f>+'Bank Assets Analysis'!D10+'Bank Assets Analysis'!D11</f>
        <v>1986921643</v>
      </c>
      <c r="F8" s="20"/>
      <c r="G8" s="120"/>
      <c r="H8" s="107"/>
      <c r="I8" s="108"/>
      <c r="J8" s="332"/>
      <c r="K8" s="332"/>
      <c r="M8" s="335"/>
      <c r="N8" s="335"/>
      <c r="O8" s="335"/>
    </row>
    <row r="9" spans="1:17" ht="38.25">
      <c r="A9" s="127" t="s">
        <v>397</v>
      </c>
      <c r="B9" s="128" t="s">
        <v>198</v>
      </c>
      <c r="C9" s="140">
        <f>+E9</f>
        <v>0</v>
      </c>
      <c r="D9" s="81"/>
      <c r="E9" s="280">
        <f>+'Bank Assets Analysis'!F13</f>
        <v>0</v>
      </c>
      <c r="F9" s="20"/>
      <c r="G9" s="120"/>
      <c r="H9" s="107"/>
      <c r="I9" s="108"/>
      <c r="J9" s="332"/>
      <c r="K9" s="332"/>
      <c r="M9" s="335"/>
      <c r="N9" s="335"/>
      <c r="O9" s="335"/>
    </row>
    <row r="10" spans="1:17" ht="67.5" customHeight="1">
      <c r="A10" s="127" t="s">
        <v>398</v>
      </c>
      <c r="B10" s="128" t="s">
        <v>472</v>
      </c>
      <c r="C10" s="140">
        <f>+'Bank Assets Analysis'!S21</f>
        <v>0</v>
      </c>
      <c r="D10" s="140">
        <f>+'Bank Assets Analysis'!T21</f>
        <v>0</v>
      </c>
      <c r="E10" s="140">
        <f>+'Bank Assets Analysis'!U21</f>
        <v>0</v>
      </c>
      <c r="F10" s="20"/>
      <c r="G10" s="120"/>
      <c r="H10" s="107"/>
      <c r="I10" s="108"/>
      <c r="J10" s="332"/>
      <c r="K10" s="332"/>
      <c r="M10" s="335"/>
      <c r="N10" s="335"/>
      <c r="O10" s="335"/>
    </row>
    <row r="11" spans="1:17" ht="28.5" customHeight="1">
      <c r="A11" s="127" t="s">
        <v>199</v>
      </c>
      <c r="B11" s="128" t="s">
        <v>471</v>
      </c>
      <c r="C11" s="140">
        <f>+'Bank Assets Analysis'!S20</f>
        <v>0</v>
      </c>
      <c r="D11" s="140">
        <f>+'Bank Assets Analysis'!T20</f>
        <v>0</v>
      </c>
      <c r="E11" s="140">
        <f>+'Bank Assets Analysis'!U20</f>
        <v>0</v>
      </c>
      <c r="F11" s="20"/>
      <c r="G11" s="120"/>
      <c r="H11" s="107"/>
      <c r="I11" s="108"/>
      <c r="J11" s="332"/>
      <c r="K11" s="332"/>
      <c r="M11" s="335"/>
      <c r="N11" s="335"/>
      <c r="O11" s="335"/>
    </row>
    <row r="12" spans="1:17" customFormat="1" ht="19.5" customHeight="1">
      <c r="A12" s="127" t="s">
        <v>393</v>
      </c>
      <c r="B12" s="128" t="s">
        <v>200</v>
      </c>
      <c r="C12" s="140">
        <f>+D12</f>
        <v>0</v>
      </c>
      <c r="D12" s="140">
        <v>0</v>
      </c>
      <c r="E12" s="140"/>
      <c r="F12" s="20"/>
      <c r="G12" s="298" t="s">
        <v>444</v>
      </c>
      <c r="H12" s="22"/>
      <c r="I12" s="22"/>
      <c r="J12" s="22"/>
      <c r="K12" s="22"/>
      <c r="L12" s="22"/>
      <c r="M12" s="335"/>
      <c r="N12" s="335"/>
      <c r="O12" s="335"/>
      <c r="P12" s="22"/>
      <c r="Q12" s="22"/>
    </row>
    <row r="13" spans="1:17" customFormat="1" ht="41.25" customHeight="1">
      <c r="A13" s="127" t="s">
        <v>399</v>
      </c>
      <c r="B13" s="128" t="s">
        <v>469</v>
      </c>
      <c r="C13" s="140">
        <f>+'Bank Assets Analysis'!S24+('Bank Assets Analysis'!S23*0.8)</f>
        <v>8000000</v>
      </c>
      <c r="D13" s="140">
        <f>+'Bank Assets Analysis'!T24+('Bank Assets Analysis'!T23*0.8)</f>
        <v>8000000</v>
      </c>
      <c r="E13" s="140">
        <f>+'Bank Assets Analysis'!U24+('Bank Assets Analysis'!U23*0.8)</f>
        <v>0</v>
      </c>
      <c r="F13" s="20"/>
      <c r="G13" s="297"/>
      <c r="H13" s="22"/>
      <c r="I13" s="22"/>
      <c r="J13" s="22"/>
      <c r="K13" s="22"/>
      <c r="L13" s="22"/>
      <c r="M13" s="335"/>
      <c r="N13" s="335"/>
      <c r="O13" s="335"/>
      <c r="P13" s="22"/>
      <c r="Q13" s="22"/>
    </row>
    <row r="14" spans="1:17" customFormat="1" ht="25.5">
      <c r="A14" s="127" t="s">
        <v>201</v>
      </c>
      <c r="B14" s="128" t="s">
        <v>449</v>
      </c>
      <c r="C14" s="140">
        <f>+'Bank Assets Analysis'!S35</f>
        <v>0</v>
      </c>
      <c r="D14" s="140">
        <f>+'Bank Assets Analysis'!T35</f>
        <v>0</v>
      </c>
      <c r="E14" s="140">
        <f>+'Bank Assets Analysis'!U35</f>
        <v>0</v>
      </c>
      <c r="F14" s="20"/>
      <c r="G14" s="297"/>
      <c r="H14" s="22"/>
      <c r="I14" s="22"/>
      <c r="J14" s="22"/>
      <c r="K14" s="22"/>
      <c r="L14" s="22"/>
      <c r="M14" s="335"/>
      <c r="N14" s="335"/>
      <c r="O14" s="335"/>
      <c r="P14" s="22"/>
      <c r="Q14" s="22"/>
    </row>
    <row r="15" spans="1:17" customFormat="1" ht="18.75" customHeight="1">
      <c r="A15" s="127" t="s">
        <v>203</v>
      </c>
      <c r="B15" s="128" t="s">
        <v>202</v>
      </c>
      <c r="C15" s="140">
        <f>+'Bank Assets Analysis'!S18+'Bank Assets Analysis'!S46</f>
        <v>0</v>
      </c>
      <c r="D15" s="140">
        <f>+'Bank Assets Analysis'!T18+'Bank Assets Analysis'!T46</f>
        <v>0</v>
      </c>
      <c r="E15" s="140">
        <f>+'Bank Assets Analysis'!U18+'Bank Assets Analysis'!U46</f>
        <v>0</v>
      </c>
      <c r="F15" s="20"/>
      <c r="G15" s="330"/>
      <c r="H15" s="330"/>
      <c r="I15" s="330"/>
      <c r="J15" s="330"/>
      <c r="K15" s="330"/>
      <c r="L15" s="330"/>
      <c r="M15" s="335"/>
      <c r="N15" s="335"/>
      <c r="O15" s="335"/>
      <c r="P15" s="330"/>
      <c r="Q15" s="330"/>
    </row>
    <row r="16" spans="1:17" customFormat="1" ht="19.5" customHeight="1">
      <c r="A16" s="127" t="s">
        <v>452</v>
      </c>
      <c r="B16" s="129" t="s">
        <v>204</v>
      </c>
      <c r="C16" s="11">
        <f>SUM(C5:C14)-'Bank Liabilities Analysis'!S22-'Bank Liabilities Analysis'!T25-C15</f>
        <v>3790233108</v>
      </c>
      <c r="D16" s="11">
        <f>SUM(D5:D14)-'Bank Liabilities Analysis'!T22-'Bank Liabilities Analysis'!T25-D15</f>
        <v>1638752419</v>
      </c>
      <c r="E16" s="11">
        <f>SUM(E5:E14)-'Bank Liabilities Analysis'!U22-E15</f>
        <v>2151480689</v>
      </c>
      <c r="F16" s="20"/>
      <c r="G16" s="120"/>
      <c r="H16" s="107"/>
      <c r="I16" s="108"/>
      <c r="J16" s="333"/>
      <c r="K16" s="333"/>
      <c r="L16" s="334"/>
      <c r="M16" s="335"/>
      <c r="N16" s="335"/>
      <c r="O16" s="335"/>
    </row>
    <row r="17" spans="1:15" ht="13.5" customHeight="1">
      <c r="A17" s="199"/>
      <c r="B17" s="200" t="s">
        <v>205</v>
      </c>
      <c r="C17" s="130"/>
      <c r="D17" s="130"/>
      <c r="E17" s="265"/>
      <c r="F17" s="20"/>
      <c r="G17" s="120"/>
      <c r="H17" s="107"/>
      <c r="I17" s="108"/>
      <c r="J17" s="332"/>
      <c r="K17" s="332"/>
      <c r="M17" s="335"/>
      <c r="N17" s="335"/>
      <c r="O17" s="335"/>
    </row>
    <row r="18" spans="1:15" ht="24.75" customHeight="1">
      <c r="A18" s="132" t="s">
        <v>26</v>
      </c>
      <c r="B18" s="133" t="s">
        <v>206</v>
      </c>
      <c r="C18" s="131">
        <f>IFERROR((+C19/C20),0)</f>
        <v>0.12334470234044558</v>
      </c>
      <c r="D18" s="131">
        <f>IFERROR((+D19/D20),0)</f>
        <v>7.1655921469103961E-2</v>
      </c>
      <c r="E18" s="131">
        <f>IFERROR((+E19/E20),0)</f>
        <v>0.27375852560092873</v>
      </c>
      <c r="F18" s="20"/>
      <c r="G18" s="120"/>
      <c r="H18" s="107"/>
      <c r="I18" s="108"/>
      <c r="J18" s="332"/>
      <c r="M18" s="335"/>
      <c r="N18" s="335"/>
      <c r="O18" s="335"/>
    </row>
    <row r="19" spans="1:15" ht="15" customHeight="1">
      <c r="A19" s="134" t="s">
        <v>207</v>
      </c>
      <c r="B19" s="135" t="s">
        <v>208</v>
      </c>
      <c r="C19" s="136">
        <f>+C16</f>
        <v>3790233108</v>
      </c>
      <c r="D19" s="136">
        <f>+D16</f>
        <v>1638752419</v>
      </c>
      <c r="E19" s="136">
        <f>+E16</f>
        <v>2151480689</v>
      </c>
      <c r="F19" s="20"/>
      <c r="G19" s="120"/>
      <c r="H19" s="107"/>
      <c r="I19" s="108"/>
      <c r="J19" s="332"/>
      <c r="K19" s="332"/>
      <c r="M19" s="335"/>
      <c r="N19" s="335"/>
      <c r="O19" s="335"/>
    </row>
    <row r="20" spans="1:15" ht="15" customHeight="1">
      <c r="A20" s="134" t="s">
        <v>209</v>
      </c>
      <c r="B20" s="135" t="s">
        <v>453</v>
      </c>
      <c r="C20" s="136">
        <f>Balance!C47-'Bank Liabilities Analysis'!S34</f>
        <v>30728787180</v>
      </c>
      <c r="D20" s="136">
        <f>Balance!D47-'Bank Liabilities Analysis'!T34</f>
        <v>22869741752</v>
      </c>
      <c r="E20" s="136">
        <f>Balance!E47-'Bank Liabilities Analysis'!U34</f>
        <v>7859045428</v>
      </c>
      <c r="F20" s="20"/>
      <c r="G20" s="120"/>
      <c r="H20" s="107"/>
      <c r="I20" s="108"/>
      <c r="J20" s="332"/>
      <c r="K20" s="332"/>
      <c r="M20" s="335"/>
      <c r="N20" s="335"/>
      <c r="O20" s="335"/>
    </row>
    <row r="21" spans="1:15" ht="24.75" customHeight="1">
      <c r="A21" s="132" t="s">
        <v>210</v>
      </c>
      <c r="B21" s="133" t="s">
        <v>211</v>
      </c>
      <c r="C21" s="131">
        <f>IFERROR((+C22/C23),0)</f>
        <v>0.30763613575234988</v>
      </c>
      <c r="D21" s="131">
        <f>IFERROR((+D22/D23),0)</f>
        <v>0.20981303389505937</v>
      </c>
      <c r="E21" s="131">
        <f>IFERROR((+E22/E23),0)</f>
        <v>0.47704988564897416</v>
      </c>
      <c r="F21" s="20"/>
      <c r="G21" s="120"/>
      <c r="H21" s="107"/>
      <c r="I21" s="108"/>
      <c r="J21" s="332"/>
      <c r="M21" s="335"/>
      <c r="N21" s="335"/>
      <c r="O21" s="335"/>
    </row>
    <row r="22" spans="1:15" ht="15" customHeight="1">
      <c r="A22" s="134" t="s">
        <v>212</v>
      </c>
      <c r="B22" s="135" t="s">
        <v>208</v>
      </c>
      <c r="C22" s="136">
        <f>+C16</f>
        <v>3790233108</v>
      </c>
      <c r="D22" s="136">
        <f>+D16</f>
        <v>1638752419</v>
      </c>
      <c r="E22" s="136">
        <f>+E16</f>
        <v>2151480689</v>
      </c>
      <c r="F22" s="20"/>
      <c r="G22" s="120"/>
      <c r="H22" s="107"/>
      <c r="I22" s="108"/>
      <c r="J22" s="332"/>
      <c r="K22" s="332"/>
      <c r="M22" s="335"/>
      <c r="N22" s="335"/>
      <c r="O22" s="335"/>
    </row>
    <row r="23" spans="1:15" ht="15" customHeight="1">
      <c r="A23" s="134" t="s">
        <v>213</v>
      </c>
      <c r="B23" s="135" t="s">
        <v>454</v>
      </c>
      <c r="C23" s="136">
        <f>+'Bank Liabilities Analysis'!C42+'Bank Liabilities Analysis'!E42+'Bank Liabilities Analysis'!G42+'Bank Liabilities Analysis'!I42+'Bank Liabilities Analysis'!K42+'Bank Liabilities Analysis'!M42-'Bank Liabilities Analysis'!C34-'Bank Liabilities Analysis'!E34-'Bank Liabilities Analysis'!G34-'Bank Liabilities Analysis'!I34-'Bank Liabilities Analysis'!K34-'Bank Liabilities Analysis'!M34</f>
        <v>12320506818</v>
      </c>
      <c r="D23" s="136">
        <f>+C23-E23</f>
        <v>7810536784</v>
      </c>
      <c r="E23" s="136">
        <f>+'Bank Liabilities Analysis'!D42+'Bank Liabilities Analysis'!F42+'Bank Liabilities Analysis'!H42+'Bank Liabilities Analysis'!J42+'Bank Liabilities Analysis'!L42+'Bank Liabilities Analysis'!N42-'Bank Liabilities Analysis'!D34-'Bank Liabilities Analysis'!F34-'Bank Liabilities Analysis'!H34-'Bank Liabilities Analysis'!J34-'Bank Liabilities Analysis'!L34-'Bank Liabilities Analysis'!N34</f>
        <v>4509970034</v>
      </c>
      <c r="F23" s="20"/>
      <c r="G23" s="120"/>
      <c r="H23" s="107"/>
      <c r="I23" s="108"/>
      <c r="J23" s="332"/>
      <c r="K23" s="332"/>
      <c r="M23" s="335"/>
      <c r="N23" s="335"/>
      <c r="O23" s="335"/>
    </row>
    <row r="24" spans="1:15" ht="28.5" customHeight="1">
      <c r="A24" s="132" t="s">
        <v>214</v>
      </c>
      <c r="B24" s="133" t="s">
        <v>215</v>
      </c>
      <c r="C24" s="80">
        <f>IFERROR((+C25/C26),0)</f>
        <v>2.3192898327438054</v>
      </c>
      <c r="D24" s="131">
        <f>IFERROR((+D25/D26),0)</f>
        <v>1.1756690240067305</v>
      </c>
      <c r="E24" s="80">
        <f>IFERROR((+E25/E26),0)</f>
        <v>8.9521131830222451</v>
      </c>
      <c r="F24" s="20"/>
      <c r="G24" s="120"/>
      <c r="H24" s="107"/>
      <c r="I24" s="108"/>
      <c r="J24" s="332"/>
      <c r="K24" s="332"/>
      <c r="M24" s="335"/>
      <c r="N24" s="335"/>
      <c r="O24" s="335"/>
    </row>
    <row r="25" spans="1:15" ht="19.5" customHeight="1">
      <c r="A25" s="134" t="s">
        <v>216</v>
      </c>
      <c r="B25" s="135" t="s">
        <v>208</v>
      </c>
      <c r="C25" s="61">
        <f>+C16</f>
        <v>3790233108</v>
      </c>
      <c r="D25" s="61">
        <f>+D16</f>
        <v>1638752419</v>
      </c>
      <c r="E25" s="61">
        <f>+E16</f>
        <v>2151480689</v>
      </c>
      <c r="F25" s="20"/>
      <c r="G25" s="120"/>
      <c r="H25" s="107"/>
      <c r="I25" s="108"/>
      <c r="J25" s="332"/>
      <c r="K25" s="332"/>
      <c r="M25" s="335"/>
      <c r="N25" s="335"/>
      <c r="O25" s="335"/>
    </row>
    <row r="26" spans="1:15" ht="18.75" customHeight="1">
      <c r="A26" s="134" t="s">
        <v>217</v>
      </c>
      <c r="B26" s="135" t="s">
        <v>218</v>
      </c>
      <c r="C26" s="61">
        <f>+D26+E26</f>
        <v>1634221413.1625001</v>
      </c>
      <c r="D26" s="61">
        <f>+'Bank Assets Analysis (нац)'!P61</f>
        <v>1393889254.1500001</v>
      </c>
      <c r="E26" s="61">
        <f>+'Bank Assets Analysis'!Z65</f>
        <v>240332159.01250005</v>
      </c>
      <c r="F26" s="20"/>
      <c r="G26" s="120"/>
      <c r="H26" s="107"/>
      <c r="I26" s="108"/>
      <c r="J26" s="332"/>
      <c r="K26" s="332"/>
      <c r="M26" s="335"/>
      <c r="N26" s="335"/>
      <c r="O26" s="335"/>
    </row>
    <row r="27" spans="1:15" ht="15" customHeight="1">
      <c r="A27" s="134"/>
      <c r="B27" s="135" t="s">
        <v>219</v>
      </c>
      <c r="C27" s="61">
        <f>+D27+E27</f>
        <v>2848471215.6999998</v>
      </c>
      <c r="D27" s="136">
        <f>+'Bank Assets Analysis (нац)'!P63</f>
        <v>1887142579.6500001</v>
      </c>
      <c r="E27" s="61">
        <f>+'Bank Assets Analysis'!Z67</f>
        <v>961328636.04999995</v>
      </c>
      <c r="F27" s="20"/>
      <c r="G27" s="120"/>
      <c r="H27" s="107"/>
      <c r="I27" s="108"/>
      <c r="J27" s="332"/>
      <c r="K27" s="332"/>
      <c r="M27" s="335"/>
      <c r="N27" s="335"/>
      <c r="O27" s="335"/>
    </row>
    <row r="28" spans="1:15" ht="15" customHeight="1">
      <c r="A28" s="134"/>
      <c r="B28" s="135" t="s">
        <v>220</v>
      </c>
      <c r="C28" s="61">
        <f>+D28+E28</f>
        <v>1214249802.5374999</v>
      </c>
      <c r="D28" s="136">
        <f>+'Bank Assets Analysis (нац)'!P65</f>
        <v>493253325.5</v>
      </c>
      <c r="E28" s="61">
        <f>+'Bank Assets Analysis'!Z70</f>
        <v>720996477.0374999</v>
      </c>
      <c r="F28" s="20"/>
      <c r="G28" s="120"/>
      <c r="H28" s="107"/>
      <c r="I28" s="108"/>
      <c r="J28" s="332"/>
      <c r="K28" s="332"/>
      <c r="M28" s="335"/>
      <c r="N28" s="335"/>
      <c r="O28" s="335"/>
    </row>
    <row r="29" spans="1:15" ht="15" customHeight="1">
      <c r="A29" s="132" t="s">
        <v>221</v>
      </c>
      <c r="B29" s="137" t="s">
        <v>222</v>
      </c>
      <c r="C29" s="36">
        <f>IFERROR((C30/C35),0)</f>
        <v>1.1303172827433772</v>
      </c>
      <c r="D29" s="138">
        <f>IFERROR((D30/D35),0)</f>
        <v>1.0960871206492637</v>
      </c>
      <c r="E29" s="36">
        <f>IFERROR((E30/E35),0)</f>
        <v>1.2784470830686978</v>
      </c>
      <c r="F29" s="20"/>
      <c r="G29" s="332"/>
      <c r="H29" s="332"/>
      <c r="I29" s="332"/>
      <c r="J29" s="332"/>
      <c r="K29" s="332"/>
      <c r="M29" s="335"/>
      <c r="N29" s="335"/>
      <c r="O29" s="335"/>
    </row>
    <row r="30" spans="1:15" ht="15" customHeight="1">
      <c r="A30" s="132" t="s">
        <v>223</v>
      </c>
      <c r="B30" s="137" t="s">
        <v>224</v>
      </c>
      <c r="C30" s="52">
        <f>SUM(C31:C34)</f>
        <v>22104432407.399998</v>
      </c>
      <c r="D30" s="11">
        <f>SUM(D31:D34)</f>
        <v>17411533295.200001</v>
      </c>
      <c r="E30" s="52">
        <f>SUM(E31:E34)</f>
        <v>4692899112.1999998</v>
      </c>
      <c r="F30" s="20"/>
      <c r="G30" s="332"/>
      <c r="H30" s="332"/>
      <c r="I30" s="332"/>
      <c r="J30" s="332"/>
      <c r="K30" s="332"/>
      <c r="M30" s="335"/>
      <c r="N30" s="335"/>
      <c r="O30" s="335"/>
    </row>
    <row r="31" spans="1:15" ht="15" customHeight="1">
      <c r="A31" s="134" t="s">
        <v>225</v>
      </c>
      <c r="B31" s="141" t="s">
        <v>226</v>
      </c>
      <c r="C31" s="136">
        <f>Balance!C77</f>
        <v>5739210946</v>
      </c>
      <c r="D31" s="136">
        <f>Balance!D77</f>
        <v>5739210946</v>
      </c>
      <c r="E31" s="136">
        <f>Balance!E77</f>
        <v>0</v>
      </c>
      <c r="F31" s="20"/>
      <c r="G31" s="332"/>
      <c r="H31" s="332"/>
      <c r="I31" s="332"/>
      <c r="J31" s="332"/>
      <c r="K31" s="332"/>
      <c r="M31" s="335"/>
      <c r="N31" s="335"/>
      <c r="O31" s="335"/>
    </row>
    <row r="32" spans="1:15" ht="15" customHeight="1">
      <c r="A32" s="139" t="s">
        <v>227</v>
      </c>
      <c r="B32" s="140" t="s">
        <v>400</v>
      </c>
      <c r="C32" s="136">
        <f>'Bank Liabilities Analysis'!O42+'Bank Liabilities Analysis'!Q42</f>
        <v>12669069416</v>
      </c>
      <c r="D32" s="136">
        <f>+'Bank Liabilities Analysis (нац)'!I43+'Bank Liabilities Analysis (нац)'!J43</f>
        <v>9329161314</v>
      </c>
      <c r="E32" s="136">
        <f>'Bank Liabilities Analysis'!P42+'Bank Liabilities Analysis'!R42</f>
        <v>3339908102</v>
      </c>
      <c r="F32" s="20"/>
      <c r="G32" s="332"/>
      <c r="H32" s="332"/>
      <c r="I32" s="332"/>
      <c r="J32" s="332"/>
      <c r="K32" s="332"/>
      <c r="M32" s="335"/>
      <c r="N32" s="335"/>
      <c r="O32" s="335"/>
    </row>
    <row r="33" spans="1:15" ht="15" customHeight="1">
      <c r="A33" s="139" t="s">
        <v>228</v>
      </c>
      <c r="B33" s="140" t="s">
        <v>229</v>
      </c>
      <c r="C33" s="136">
        <f>+('Bank Liabilities Analysis'!C42)*0.3</f>
        <v>334370178.30000001</v>
      </c>
      <c r="D33" s="136">
        <f>+('Bank Liabilities Analysis (нац)'!C43)*0.3</f>
        <v>306468604.5</v>
      </c>
      <c r="E33" s="136">
        <f>+('Bank Liabilities Analysis'!D42)*0.3</f>
        <v>27901573.800000001</v>
      </c>
      <c r="F33" s="20"/>
      <c r="G33" s="332"/>
      <c r="H33" s="332"/>
      <c r="I33" s="332"/>
      <c r="J33" s="332"/>
      <c r="K33" s="332"/>
      <c r="M33" s="335"/>
      <c r="N33" s="335"/>
      <c r="O33" s="335"/>
    </row>
    <row r="34" spans="1:15" ht="15" customHeight="1">
      <c r="A34" s="139" t="s">
        <v>230</v>
      </c>
      <c r="B34" s="140" t="s">
        <v>401</v>
      </c>
      <c r="C34" s="136">
        <f>+('Bank Liabilities Analysis'!E42+'Bank Liabilities Analysis'!G42+'Bank Liabilities Analysis'!I42+'Bank Liabilities Analysis'!K42+'Bank Liabilities Analysis'!M42)*0.3</f>
        <v>3361781867.0999999</v>
      </c>
      <c r="D34" s="136">
        <f>+('Bank Liabilities Analysis (нац)'!D43+'Bank Liabilities Analysis (нац)'!E43+'Bank Liabilities Analysis (нац)'!F43+'Bank Liabilities Analysis (нац)'!G43+'Bank Liabilities Analysis (нац)'!H43)*0.3</f>
        <v>2036692430.6999998</v>
      </c>
      <c r="E34" s="136">
        <f>+('Bank Liabilities Analysis'!F42+'Bank Liabilities Analysis'!H42+'Bank Liabilities Analysis'!J42+'Bank Liabilities Analysis'!L42+'Bank Liabilities Analysis'!N42)*0.3</f>
        <v>1325089436.3999999</v>
      </c>
      <c r="F34" s="20"/>
      <c r="G34" s="332"/>
      <c r="H34" s="332"/>
      <c r="I34" s="332"/>
      <c r="J34" s="332"/>
      <c r="K34" s="332"/>
      <c r="M34" s="335"/>
      <c r="N34" s="335"/>
      <c r="O34" s="335"/>
    </row>
    <row r="35" spans="1:15" ht="15" customHeight="1">
      <c r="A35" s="132" t="s">
        <v>231</v>
      </c>
      <c r="B35" s="137" t="s">
        <v>402</v>
      </c>
      <c r="C35" s="305">
        <f>SUM(C36:C41)</f>
        <v>19555953664.400002</v>
      </c>
      <c r="D35" s="306">
        <f>SUM(D36:D41)</f>
        <v>15885172781.6</v>
      </c>
      <c r="E35" s="305">
        <f>SUM(E36:E41)</f>
        <v>3670780882.8000002</v>
      </c>
      <c r="F35" s="20"/>
      <c r="G35" s="332"/>
      <c r="H35" s="332"/>
      <c r="I35" s="332"/>
      <c r="J35" s="332"/>
      <c r="K35" s="332"/>
      <c r="M35" s="335"/>
      <c r="N35" s="335"/>
      <c r="O35" s="335"/>
    </row>
    <row r="36" spans="1:15" ht="15" customHeight="1">
      <c r="A36" s="134" t="s">
        <v>232</v>
      </c>
      <c r="B36" s="140" t="s">
        <v>233</v>
      </c>
      <c r="C36" s="322">
        <f>+'Bank Assets Analysis'!O47-'Bank Assets Analysis'!O37+'Bank Assets Analysis'!Q47-'Bank Assets Analysis'!Q37-'Bank Assets Analysis'!O19-'Bank Assets Analysis'!Q19</f>
        <v>13930610361</v>
      </c>
      <c r="D36" s="322">
        <f>+C36-E36</f>
        <v>11708376444</v>
      </c>
      <c r="E36" s="322">
        <f>+'Bank Assets Analysis'!P47-'Bank Assets Analysis'!P40-'Bank Assets Analysis'!P37+'Bank Assets Analysis'!R47-'Bank Assets Analysis'!R40-'Bank Assets Analysis'!R37-'Bank Assets Analysis'!P19-'Bank Assets Analysis'!R19</f>
        <v>2222233917</v>
      </c>
      <c r="F36" s="20"/>
      <c r="G36" s="332"/>
      <c r="H36" s="332"/>
      <c r="I36" s="332"/>
      <c r="J36" s="332"/>
      <c r="K36" s="332"/>
      <c r="M36" s="335"/>
      <c r="N36" s="335"/>
      <c r="O36" s="335"/>
    </row>
    <row r="37" spans="1:15" ht="30" customHeight="1">
      <c r="A37" s="139" t="s">
        <v>234</v>
      </c>
      <c r="B37" s="141" t="s">
        <v>473</v>
      </c>
      <c r="C37" s="323">
        <f>+'Bank Assets Analysis'!O37+'Bank Assets Analysis'!Q37</f>
        <v>903999652</v>
      </c>
      <c r="D37" s="323">
        <f>+C37-E37</f>
        <v>903999652</v>
      </c>
      <c r="E37" s="323">
        <f>+'Bank Assets Analysis'!P37+'Bank Assets Analysis'!R37</f>
        <v>0</v>
      </c>
      <c r="F37" s="20"/>
      <c r="G37" s="332"/>
      <c r="H37" s="332"/>
      <c r="I37" s="332"/>
      <c r="J37" s="332"/>
      <c r="K37" s="332"/>
      <c r="M37" s="335"/>
      <c r="N37" s="335"/>
      <c r="O37" s="335"/>
    </row>
    <row r="38" spans="1:15" ht="26.25" customHeight="1">
      <c r="A38" s="139" t="s">
        <v>235</v>
      </c>
      <c r="B38" s="141" t="s">
        <v>403</v>
      </c>
      <c r="C38" s="323">
        <f>+'Bank Assets Analysis'!C28+'Bank Assets Analysis'!C29+'Bank Assets Analysis'!C30+'Bank Assets Analysis'!C32</f>
        <v>890363230</v>
      </c>
      <c r="D38" s="323">
        <f>+'Bank Assets Analysis (нац)'!C28+'Bank Assets Analysis (нац)'!C29+'Bank Assets Analysis (нац)'!C30+'Bank Assets Analysis (нац)'!C32</f>
        <v>614668269</v>
      </c>
      <c r="E38" s="323">
        <f>+'Bank Assets Analysis'!D28+'Bank Assets Analysis'!D29+'Bank Assets Analysis'!D30+'Bank Assets Analysis'!D32</f>
        <v>275694961</v>
      </c>
      <c r="F38" s="20"/>
      <c r="G38" s="332"/>
      <c r="H38" s="332"/>
      <c r="I38" s="332"/>
      <c r="J38" s="332"/>
      <c r="K38" s="332"/>
      <c r="M38" s="335"/>
      <c r="N38" s="335"/>
      <c r="O38" s="335"/>
    </row>
    <row r="39" spans="1:15" ht="26.25" customHeight="1">
      <c r="A39" s="139" t="s">
        <v>236</v>
      </c>
      <c r="B39" s="141" t="s">
        <v>237</v>
      </c>
      <c r="C39" s="324">
        <f>+D39+E39</f>
        <v>0</v>
      </c>
      <c r="D39" s="325">
        <v>0</v>
      </c>
      <c r="E39" s="325">
        <v>0</v>
      </c>
      <c r="F39" s="20"/>
      <c r="G39" s="332"/>
      <c r="H39" s="332"/>
      <c r="I39" s="332"/>
      <c r="J39" s="332"/>
      <c r="K39" s="332"/>
      <c r="M39" s="335"/>
      <c r="N39" s="335"/>
      <c r="O39" s="335"/>
    </row>
    <row r="40" spans="1:15" ht="38.25">
      <c r="A40" s="134" t="s">
        <v>238</v>
      </c>
      <c r="B40" s="141" t="s">
        <v>239</v>
      </c>
      <c r="C40" s="136">
        <f>((+'Bank Assets Analysis'!S47-'Bank Assets Analysis'!O47-'Bank Assets Analysis'!Q47-'Liquidity Analysis'!C60)*0.3)</f>
        <v>3511333523.4000001</v>
      </c>
      <c r="D40" s="136">
        <f>+C40-E40</f>
        <v>2581803654.6000004</v>
      </c>
      <c r="E40" s="136">
        <f>((+'Bank Assets Analysis'!U47-'Bank Assets Analysis'!P47-'Bank Assets Analysis'!R47-'Liquidity Analysis'!E60)*0.3)</f>
        <v>929529868.79999995</v>
      </c>
      <c r="F40" s="20"/>
      <c r="G40" s="332"/>
      <c r="H40" s="332"/>
      <c r="I40" s="332"/>
      <c r="J40" s="332"/>
      <c r="K40" s="332"/>
      <c r="M40" s="335"/>
      <c r="N40" s="335"/>
      <c r="O40" s="335"/>
    </row>
    <row r="41" spans="1:15" ht="15" customHeight="1">
      <c r="A41" s="142" t="s">
        <v>240</v>
      </c>
      <c r="B41" s="201" t="s">
        <v>404</v>
      </c>
      <c r="C41" s="136">
        <f>+ROUND(SUM(Commitments!C4-Commitments!C5+Commitments!C7-Commitments!C8+Commitments!C10-'Bank Liabilities Analysis'!S18)*15%,0)</f>
        <v>319646898</v>
      </c>
      <c r="D41" s="136">
        <f>+ROUND(SUM(Commitments!D4-Commitments!D5+Commitments!D7-Commitments!D8+Commitments!D10-'Bank Liabilities Analysis'!T18)*15%,0)</f>
        <v>76324762</v>
      </c>
      <c r="E41" s="136">
        <f>+ROUND(SUM(Commitments!E4-Commitments!E5+Commitments!E7-Commitments!E8+Commitments!E10-'Bank Liabilities Analysis'!U18)*15%,0)</f>
        <v>243322136</v>
      </c>
      <c r="F41" s="20"/>
      <c r="G41" s="332"/>
      <c r="H41" s="332"/>
      <c r="I41" s="332"/>
      <c r="J41" s="332"/>
      <c r="K41" s="332"/>
      <c r="M41" s="335"/>
      <c r="N41" s="335"/>
      <c r="O41" s="335"/>
    </row>
    <row r="42" spans="1:15" ht="17.25" customHeight="1">
      <c r="G42" s="120"/>
      <c r="H42" s="107"/>
      <c r="I42" s="108"/>
      <c r="J42" s="332"/>
      <c r="K42" s="332"/>
      <c r="M42" s="335"/>
      <c r="N42" s="335"/>
      <c r="O42" s="335"/>
    </row>
    <row r="43" spans="1:15" ht="15" customHeight="1">
      <c r="B43" s="2" t="s">
        <v>446</v>
      </c>
      <c r="D43" s="14"/>
      <c r="F43" s="70"/>
      <c r="G43" s="120"/>
      <c r="H43" s="107"/>
      <c r="I43" s="108"/>
      <c r="M43" s="335"/>
      <c r="N43" s="335"/>
      <c r="O43" s="335"/>
    </row>
    <row r="44" spans="1:15" ht="11.25" customHeight="1">
      <c r="B44" s="2"/>
      <c r="D44" s="14"/>
      <c r="F44" s="70"/>
      <c r="G44" s="120"/>
      <c r="H44" s="107"/>
      <c r="I44" s="108"/>
      <c r="M44" s="335"/>
      <c r="N44" s="335"/>
      <c r="O44" s="335"/>
    </row>
    <row r="45" spans="1:15" ht="15" customHeight="1">
      <c r="B45" s="2" t="s">
        <v>445</v>
      </c>
      <c r="D45" s="14"/>
      <c r="F45" s="70"/>
      <c r="G45" s="120"/>
      <c r="H45" s="107"/>
      <c r="I45" s="108"/>
      <c r="M45" s="335"/>
      <c r="N45" s="335"/>
      <c r="O45" s="335"/>
    </row>
    <row r="46" spans="1:15">
      <c r="B46" s="2"/>
      <c r="G46" s="120"/>
      <c r="H46" s="107"/>
      <c r="I46" s="108"/>
      <c r="J46" s="332"/>
      <c r="K46" s="332"/>
      <c r="M46" s="335"/>
      <c r="N46" s="335"/>
      <c r="O46" s="335"/>
    </row>
    <row r="47" spans="1:15">
      <c r="B47" s="2"/>
      <c r="G47" s="120"/>
      <c r="H47" s="107"/>
      <c r="I47" s="108"/>
      <c r="J47" s="332"/>
      <c r="K47" s="332"/>
      <c r="M47" s="335"/>
      <c r="N47" s="335"/>
      <c r="O47" s="335"/>
    </row>
    <row r="48" spans="1:15">
      <c r="B48" s="2"/>
      <c r="I48" s="296"/>
      <c r="J48" s="332"/>
      <c r="K48" s="332"/>
      <c r="M48" s="335"/>
      <c r="N48" s="335"/>
      <c r="O48" s="335"/>
    </row>
    <row r="49" spans="1:15">
      <c r="B49" s="143"/>
      <c r="I49" s="296"/>
      <c r="J49" s="332"/>
      <c r="K49" s="332"/>
      <c r="M49" s="335"/>
      <c r="N49" s="335"/>
      <c r="O49" s="335"/>
    </row>
    <row r="50" spans="1:15" ht="31.5">
      <c r="A50" s="37" t="s">
        <v>8</v>
      </c>
      <c r="B50" s="37" t="s">
        <v>392</v>
      </c>
      <c r="C50" s="37" t="s">
        <v>86</v>
      </c>
      <c r="D50" s="37" t="s">
        <v>87</v>
      </c>
      <c r="E50" s="37" t="s">
        <v>192</v>
      </c>
      <c r="G50" s="75"/>
      <c r="H50" s="75"/>
      <c r="I50" s="73"/>
      <c r="J50" s="73"/>
      <c r="K50" s="332"/>
      <c r="M50" s="335"/>
      <c r="N50" s="335"/>
      <c r="O50" s="335"/>
    </row>
    <row r="51" spans="1:15" ht="25.5">
      <c r="A51" s="202" t="s">
        <v>31</v>
      </c>
      <c r="B51" s="203" t="s">
        <v>385</v>
      </c>
      <c r="C51" s="303">
        <f>+'Bank Assets Analysis'!S6+'Investment Securities'!B39</f>
        <v>703550721</v>
      </c>
      <c r="D51" s="303">
        <f>+'Bank Assets Analysis'!T6+'Investment Securities'!C39</f>
        <v>538991675</v>
      </c>
      <c r="E51" s="303">
        <f>+'Bank Assets Analysis'!U6+'Investment Securities'!D39</f>
        <v>164559046</v>
      </c>
      <c r="J51" s="76"/>
      <c r="K51" s="76"/>
      <c r="L51" s="76"/>
      <c r="M51" s="335"/>
      <c r="N51" s="335"/>
      <c r="O51" s="335"/>
    </row>
    <row r="52" spans="1:15">
      <c r="A52" s="134" t="s">
        <v>32</v>
      </c>
      <c r="B52" s="203" t="s">
        <v>89</v>
      </c>
      <c r="C52" s="303">
        <f>+'Bank Assets Analysis'!S7+'Bank Assets Analysis'!S8</f>
        <v>584034134</v>
      </c>
      <c r="D52" s="303">
        <f>+'Bank Assets Analysis'!T7+'Bank Assets Analysis'!T8</f>
        <v>584034134</v>
      </c>
      <c r="E52" s="303">
        <f>+'Bank Assets Analysis'!U7+'Bank Assets Analysis'!U8</f>
        <v>0</v>
      </c>
      <c r="J52" s="76"/>
      <c r="K52" s="76"/>
      <c r="L52" s="76"/>
      <c r="M52" s="335"/>
      <c r="N52" s="335"/>
      <c r="O52" s="335"/>
    </row>
    <row r="53" spans="1:15" ht="25.5">
      <c r="A53" s="134" t="s">
        <v>42</v>
      </c>
      <c r="B53" s="203" t="s">
        <v>386</v>
      </c>
      <c r="C53" s="303">
        <f>'Bank Assets Analysis'!C10+'Bank Assets Analysis'!C11+'Bank Assets Analysis'!C12+'Bank Assets Analysis'!C15+'Bank Assets Analysis'!C16+'Bank Assets Analysis'!E16+'Bank Assets Analysis'!G16</f>
        <v>1998666149</v>
      </c>
      <c r="D53" s="303">
        <f>+C53-E53</f>
        <v>10418050</v>
      </c>
      <c r="E53" s="303">
        <f>'Bank Assets Analysis'!D10+'Bank Assets Analysis'!D11+'Bank Assets Analysis'!D15+'Bank Assets Analysis'!D16+'Bank Assets Analysis'!F16+'Bank Assets Analysis'!H16</f>
        <v>1988248099</v>
      </c>
      <c r="J53" s="76"/>
      <c r="K53" s="76"/>
      <c r="L53" s="76"/>
      <c r="M53" s="335"/>
      <c r="N53" s="335"/>
      <c r="O53" s="335"/>
    </row>
    <row r="54" spans="1:15" ht="25.5">
      <c r="A54" s="134" t="s">
        <v>44</v>
      </c>
      <c r="B54" s="203" t="s">
        <v>387</v>
      </c>
      <c r="C54" s="303">
        <f>IF(F54&gt;0,F54,0)</f>
        <v>385311765</v>
      </c>
      <c r="D54" s="303">
        <f>IF(G54&gt;0,G54,0)</f>
        <v>0</v>
      </c>
      <c r="E54" s="303">
        <f>IF(H54&gt;0,H54,0)</f>
        <v>385571470</v>
      </c>
      <c r="F54" s="308">
        <f>(('Bank Assets Analysis'!E10+'Bank Assets Analysis'!E12+'Bank Assets Analysis'!G10+'Bank Assets Analysis'!C14+'Bank Assets Analysis'!E14+'Bank Assets Analysis'!G14)-'Bank Liabilities Analysis'!C26-'Bank Liabilities Analysis'!E26-'Bank Liabilities Analysis'!G26)</f>
        <v>385311765</v>
      </c>
      <c r="G54" s="308">
        <f>+('Bank Assets Analysis'!E10-'Bank Assets Analysis'!F10+'Bank Assets Analysis'!G10-'Bank Assets Analysis'!H10+'Bank Assets Analysis'!E12-'Bank Assets Analysis'!F12+'Bank Assets Analysis'!C14-'Bank Assets Analysis'!D14+'Bank Assets Analysis'!E14-'Bank Assets Analysis'!F14+'Bank Assets Analysis'!G14-'Bank Assets Analysis'!H14)-('Bank Liabilities Analysis'!C26-'Bank Liabilities Analysis'!D26+'Bank Liabilities Analysis'!E26-'Bank Liabilities Analysis'!F26+'Bank Liabilities Analysis'!G26-'Bank Liabilities Analysis'!H26)</f>
        <v>-259705</v>
      </c>
      <c r="H54" s="308">
        <f>(('Bank Assets Analysis'!F10+'Bank Assets Analysis'!F12+'Bank Assets Analysis'!H10+'Bank Assets Analysis'!D14+'Bank Assets Analysis'!F14+'Bank Assets Analysis'!H14)-'Bank Liabilities Analysis'!D26-'Bank Liabilities Analysis'!F26-'Bank Liabilities Analysis'!H26)</f>
        <v>385571470</v>
      </c>
      <c r="J54" s="76"/>
      <c r="K54" s="76"/>
      <c r="L54" s="76"/>
      <c r="M54" s="335"/>
      <c r="N54" s="335"/>
      <c r="O54" s="335"/>
    </row>
    <row r="55" spans="1:15" ht="38.25">
      <c r="A55" s="134" t="s">
        <v>33</v>
      </c>
      <c r="B55" s="203" t="s">
        <v>388</v>
      </c>
      <c r="C55" s="303">
        <f>+'Bank Assets Analysis'!C19+'Bank Assets Analysis'!E19+'Bank Assets Analysis'!G19+'Bank Assets Analysis'!I19+'Bank Assets Analysis'!K19+'Bank Assets Analysis'!M19</f>
        <v>508169320</v>
      </c>
      <c r="D55" s="303">
        <f>+C55-E55</f>
        <v>508169320</v>
      </c>
      <c r="E55" s="303">
        <f>+'Bank Assets Analysis'!D19+'Bank Assets Analysis'!F19+'Bank Assets Analysis'!H19+'Bank Assets Analysis'!J19+'Bank Assets Analysis'!L19+'Bank Assets Analysis'!N19</f>
        <v>0</v>
      </c>
      <c r="J55" s="76"/>
      <c r="K55" s="76"/>
      <c r="L55" s="76"/>
      <c r="M55" s="335"/>
      <c r="N55" s="335"/>
      <c r="O55" s="335"/>
    </row>
    <row r="56" spans="1:15" ht="25.5">
      <c r="A56" s="202" t="s">
        <v>40</v>
      </c>
      <c r="B56" s="203" t="s">
        <v>389</v>
      </c>
      <c r="C56" s="303"/>
      <c r="D56" s="303"/>
      <c r="E56" s="303"/>
      <c r="J56" s="76"/>
      <c r="K56" s="76"/>
      <c r="L56" s="76"/>
      <c r="M56" s="335"/>
      <c r="N56" s="335"/>
      <c r="O56" s="335"/>
    </row>
    <row r="57" spans="1:15">
      <c r="A57" s="202" t="s">
        <v>43</v>
      </c>
      <c r="B57" s="203" t="s">
        <v>390</v>
      </c>
      <c r="C57" s="303"/>
      <c r="D57" s="303"/>
      <c r="E57" s="303"/>
      <c r="J57" s="76"/>
      <c r="K57" s="76"/>
      <c r="L57" s="76"/>
      <c r="M57" s="335"/>
      <c r="N57" s="335"/>
      <c r="O57" s="335"/>
    </row>
    <row r="58" spans="1:15" ht="25.5">
      <c r="A58" s="202" t="s">
        <v>41</v>
      </c>
      <c r="B58" s="203" t="str">
        <f>+'Bank Assets Analysis'!B23</f>
        <v>Ипотекани қайта молиялаштириш ташкилотлари томонидан чиқарилган корпоратив облигациялар</v>
      </c>
      <c r="C58" s="303">
        <f>+'Bank Assets Analysis'!C23+'Bank Assets Analysis'!E23+'Bank Assets Analysis'!G23+'Bank Assets Analysis'!I23+'Bank Assets Analysis'!K23+'Bank Assets Analysis'!M23</f>
        <v>10000000</v>
      </c>
      <c r="D58" s="303">
        <f>+C58-E58</f>
        <v>10000000</v>
      </c>
      <c r="E58" s="303">
        <f>+'Bank Assets Analysis'!D23+'Bank Assets Analysis'!F23+'Bank Assets Analysis'!H23+'Bank Assets Analysis'!J23+'Bank Assets Analysis'!L23+'Bank Assets Analysis'!N23</f>
        <v>0</v>
      </c>
      <c r="J58" s="76"/>
      <c r="K58" s="76"/>
      <c r="L58" s="76"/>
      <c r="M58" s="335"/>
      <c r="N58" s="335"/>
      <c r="O58" s="335"/>
    </row>
    <row r="59" spans="1:15" ht="38.25">
      <c r="A59" s="202" t="s">
        <v>489</v>
      </c>
      <c r="B59" s="203" t="str">
        <f>+'Bank Assets Analysis'!B24</f>
        <v>Ипотекани қайта молиялаштириш ташкилотлари томонидан чиқарилган таъминланган қарз муносабатларини тасдиқловчи бошқа қимматли қоғозлар</v>
      </c>
      <c r="C59" s="303">
        <f>+'Bank Assets Analysis'!C24+'Bank Assets Analysis'!E24+'Bank Assets Analysis'!G24+'Bank Assets Analysis'!I24+'Bank Assets Analysis'!K24+'Bank Assets Analysis'!M24</f>
        <v>0</v>
      </c>
      <c r="D59" s="303">
        <f>+C59-E59</f>
        <v>0</v>
      </c>
      <c r="E59" s="303">
        <f>+'Bank Assets Analysis'!D24+'Bank Assets Analysis'!F24+'Bank Assets Analysis'!H24+'Bank Assets Analysis'!J24+'Bank Assets Analysis'!L24+'Bank Assets Analysis'!N24</f>
        <v>0</v>
      </c>
      <c r="J59" s="76"/>
      <c r="K59" s="76"/>
      <c r="L59" s="76"/>
      <c r="M59" s="335"/>
      <c r="N59" s="335"/>
      <c r="O59" s="335"/>
    </row>
    <row r="60" spans="1:15">
      <c r="A60" s="78" t="s">
        <v>41</v>
      </c>
      <c r="B60" s="204" t="s">
        <v>391</v>
      </c>
      <c r="C60" s="304">
        <f>SUM(C51:C59)</f>
        <v>4189732089</v>
      </c>
      <c r="D60" s="304">
        <f>SUM(D51:D59)</f>
        <v>1651613179</v>
      </c>
      <c r="E60" s="304">
        <f>SUM(E51:E59)</f>
        <v>2538378615</v>
      </c>
      <c r="J60" s="76"/>
      <c r="K60" s="76"/>
      <c r="L60" s="76"/>
      <c r="M60" s="335"/>
      <c r="N60" s="335"/>
      <c r="O60" s="335"/>
    </row>
    <row r="61" spans="1:15" ht="18.75">
      <c r="B61" s="74"/>
      <c r="C61" s="75"/>
      <c r="D61" s="73"/>
      <c r="E61" s="73"/>
      <c r="F61" s="75"/>
      <c r="G61" s="75"/>
      <c r="H61" s="75"/>
      <c r="I61" s="191"/>
      <c r="J61" s="191"/>
      <c r="K61" s="332"/>
    </row>
    <row r="62" spans="1:15">
      <c r="I62" s="192"/>
      <c r="J62" s="192"/>
      <c r="K62" s="332"/>
    </row>
    <row r="63" spans="1:15">
      <c r="I63" s="192"/>
      <c r="J63" s="192"/>
      <c r="K63" s="332"/>
    </row>
    <row r="64" spans="1:15">
      <c r="I64" s="296"/>
      <c r="J64" s="332"/>
      <c r="K64" s="332"/>
    </row>
    <row r="65" spans="4:12">
      <c r="I65" s="296"/>
      <c r="J65" s="332"/>
      <c r="K65" s="332"/>
    </row>
    <row r="66" spans="4:12">
      <c r="I66" s="296"/>
      <c r="J66" s="332"/>
      <c r="K66" s="332"/>
    </row>
    <row r="67" spans="4:12">
      <c r="D67" s="14"/>
      <c r="F67" s="14"/>
      <c r="G67" s="14"/>
      <c r="H67" s="14"/>
      <c r="I67" s="296"/>
      <c r="J67" s="332"/>
      <c r="K67" s="332"/>
      <c r="L67" s="14"/>
    </row>
    <row r="68" spans="4:12">
      <c r="D68" s="14"/>
      <c r="F68" s="14"/>
      <c r="G68" s="14"/>
      <c r="H68" s="14"/>
      <c r="I68" s="296"/>
      <c r="J68" s="332"/>
      <c r="K68" s="332"/>
      <c r="L68" s="14"/>
    </row>
    <row r="69" spans="4:12">
      <c r="D69" s="14"/>
      <c r="F69" s="14"/>
      <c r="G69" s="14"/>
      <c r="H69" s="14"/>
      <c r="I69" s="296"/>
      <c r="J69" s="332"/>
      <c r="K69" s="332"/>
      <c r="L69" s="14"/>
    </row>
    <row r="70" spans="4:12">
      <c r="D70" s="14"/>
      <c r="F70" s="14"/>
      <c r="G70" s="14"/>
      <c r="H70" s="14"/>
      <c r="I70" s="296"/>
      <c r="J70" s="332"/>
      <c r="K70" s="332"/>
      <c r="L70" s="14"/>
    </row>
    <row r="71" spans="4:12">
      <c r="D71" s="14"/>
      <c r="F71" s="14"/>
      <c r="G71" s="14"/>
      <c r="H71" s="14"/>
      <c r="I71" s="296"/>
      <c r="J71" s="332"/>
      <c r="K71" s="332"/>
      <c r="L71" s="14"/>
    </row>
    <row r="72" spans="4:12">
      <c r="D72" s="14"/>
      <c r="F72" s="14"/>
      <c r="G72" s="14"/>
      <c r="H72" s="14"/>
      <c r="I72" s="296"/>
      <c r="J72" s="332"/>
      <c r="K72" s="332"/>
      <c r="L72" s="14"/>
    </row>
    <row r="73" spans="4:12">
      <c r="D73" s="14"/>
      <c r="F73" s="14"/>
      <c r="G73" s="14"/>
      <c r="H73" s="14"/>
      <c r="I73" s="296"/>
      <c r="J73" s="332"/>
      <c r="K73" s="332"/>
      <c r="L73" s="14"/>
    </row>
    <row r="74" spans="4:12">
      <c r="D74" s="14"/>
      <c r="F74" s="14"/>
      <c r="G74" s="14"/>
      <c r="H74" s="14"/>
      <c r="I74" s="296"/>
      <c r="J74" s="332"/>
      <c r="K74" s="332"/>
      <c r="L74" s="14"/>
    </row>
    <row r="75" spans="4:12">
      <c r="D75" s="14"/>
      <c r="F75" s="14"/>
      <c r="G75" s="14"/>
      <c r="H75" s="14"/>
      <c r="I75" s="296"/>
      <c r="J75" s="332"/>
      <c r="K75" s="332"/>
      <c r="L75" s="14"/>
    </row>
    <row r="76" spans="4:12">
      <c r="D76" s="14"/>
      <c r="F76" s="14"/>
      <c r="G76" s="14"/>
      <c r="H76" s="14"/>
      <c r="I76" s="296"/>
      <c r="J76" s="332"/>
      <c r="K76" s="332"/>
      <c r="L76" s="14"/>
    </row>
    <row r="77" spans="4:12">
      <c r="D77" s="14"/>
      <c r="F77" s="14"/>
      <c r="G77" s="14"/>
      <c r="H77" s="14"/>
      <c r="I77" s="296"/>
      <c r="J77" s="332"/>
      <c r="K77" s="332"/>
      <c r="L77" s="14"/>
    </row>
  </sheetData>
  <sheetProtection password="CACA" sheet="1" objects="1" scenarios="1"/>
  <mergeCells count="2">
    <mergeCell ref="C4:E4"/>
    <mergeCell ref="A1:D1"/>
  </mergeCells>
  <phoneticPr fontId="12" type="noConversion"/>
  <conditionalFormatting sqref="C38">
    <cfRule type="cellIs" dxfId="128" priority="12" operator="notEqual">
      <formula>$D$38+$E$38</formula>
    </cfRule>
  </conditionalFormatting>
  <conditionalFormatting sqref="C39">
    <cfRule type="cellIs" dxfId="127" priority="11" operator="notEqual">
      <formula>$D$39+$E$39</formula>
    </cfRule>
  </conditionalFormatting>
  <conditionalFormatting sqref="C19:E28">
    <cfRule type="cellIs" dxfId="126" priority="19" stopIfTrue="1" operator="notBetween">
      <formula>TOTASS/4</formula>
      <formula>TOTASS*4</formula>
    </cfRule>
  </conditionalFormatting>
  <dataValidations xWindow="793" yWindow="476" count="6">
    <dataValidation allowBlank="1" showInputMessage="1" showErrorMessage="1" prompt="Если ваш показатель среднего активов значительно отличается от итого активов в балансовом отчете, эта ячейка окрасится._x000a_" sqref="C17:E17" xr:uid="{00000000-0002-0000-0100-000000000000}"/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8:D9" xr:uid="{00000000-0002-0000-0100-000001000000}">
      <formula1>-1E+22</formula1>
      <formula2>1E+22</formula2>
    </dataValidation>
    <dataValidation allowBlank="1" showErrorMessage="1" prompt="Введите самостоятельно рассчитанный коэффициент" sqref="C3:E3 A50:E50" xr:uid="{00000000-0002-0000-0100-000002000000}"/>
    <dataValidation type="whole" operator="greaterThanOrEqual" allowBlank="1" showErrorMessage="1" error="Введите как целое число." sqref="C55:E59 D40" xr:uid="{00000000-0002-0000-0100-000003000000}">
      <formula1>0</formula1>
    </dataValidation>
    <dataValidation allowBlank="1" showErrorMessage="1" sqref="G29:I41 C18:E39 C41:E41 C40 E40" xr:uid="{00000000-0002-0000-0100-000004000000}"/>
    <dataValidation type="date" operator="greaterThan" allowBlank="1" showInputMessage="1" showErrorMessage="1" prompt="Введите дату в формате ЧЧ.ММ.ГГГГ" sqref="D2" xr:uid="{00000000-0002-0000-0100-000005000000}">
      <formula1>DATE(96,1,1)</formula1>
    </dataValidation>
  </dataValidations>
  <printOptions horizontalCentered="1"/>
  <pageMargins left="0.31496062992125984" right="0.27559055118110237" top="0.56999999999999995" bottom="0.39370078740157483" header="0.23622047244094491" footer="0.51181102362204722"/>
  <pageSetup paperSize="9" scale="81" orientation="portrait" r:id="rId1"/>
  <headerFooter alignWithMargins="0"/>
  <ignoredErrors>
    <ignoredError sqref="D35" formula="1"/>
    <ignoredError sqref="D14:E14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17">
    <pageSetUpPr fitToPage="1"/>
  </sheetPr>
  <dimension ref="A1:AF73"/>
  <sheetViews>
    <sheetView view="pageBreakPreview" topLeftCell="A30" zoomScale="70" zoomScaleNormal="55" zoomScaleSheetLayoutView="70" workbookViewId="0">
      <selection activeCell="S51" sqref="S51"/>
    </sheetView>
  </sheetViews>
  <sheetFormatPr defaultRowHeight="12.75"/>
  <cols>
    <col min="1" max="1" width="6.5703125" style="84" customWidth="1"/>
    <col min="2" max="2" width="78.5703125" style="60" customWidth="1"/>
    <col min="3" max="14" width="15.85546875" style="60" customWidth="1"/>
    <col min="15" max="15" width="16.5703125" style="60" customWidth="1"/>
    <col min="16" max="16" width="15.85546875" style="60" customWidth="1"/>
    <col min="17" max="18" width="17.140625" style="60" customWidth="1"/>
    <col min="19" max="21" width="18.28515625" style="60" customWidth="1"/>
    <col min="22" max="22" width="9" style="63" customWidth="1"/>
    <col min="23" max="23" width="18.7109375" style="62" customWidth="1"/>
    <col min="24" max="24" width="20.42578125" style="60" customWidth="1"/>
    <col min="25" max="25" width="18.7109375" style="62" customWidth="1"/>
    <col min="26" max="26" width="18.7109375" style="60" customWidth="1"/>
    <col min="27" max="29" width="20.5703125" style="60" customWidth="1"/>
    <col min="30" max="32" width="10.85546875" style="60" customWidth="1"/>
    <col min="33" max="16384" width="9.140625" style="60"/>
  </cols>
  <sheetData>
    <row r="1" spans="1:26" s="44" customFormat="1" ht="32.25" customHeight="1">
      <c r="A1" s="41" t="s">
        <v>241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351" t="s">
        <v>242</v>
      </c>
      <c r="Y1" s="351"/>
      <c r="Z1" s="351"/>
    </row>
    <row r="2" spans="1:26" ht="15.75">
      <c r="A2" s="83"/>
      <c r="B2" s="82" t="str">
        <f>Balance!B3</f>
        <v>"MKBANK"</v>
      </c>
      <c r="C2" s="20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T2" s="121"/>
      <c r="V2" s="60"/>
      <c r="W2" s="59"/>
      <c r="X2" s="236">
        <f>+Balance!D3</f>
        <v>46021</v>
      </c>
      <c r="Y2" s="59"/>
      <c r="Z2" s="30" t="s">
        <v>84</v>
      </c>
    </row>
    <row r="3" spans="1:26" s="283" customFormat="1" ht="29.25" customHeight="1">
      <c r="A3" s="344" t="s">
        <v>8</v>
      </c>
      <c r="B3" s="344" t="s">
        <v>243</v>
      </c>
      <c r="C3" s="341" t="s">
        <v>244</v>
      </c>
      <c r="D3" s="343"/>
      <c r="E3" s="343"/>
      <c r="F3" s="343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2"/>
      <c r="S3" s="344" t="s">
        <v>86</v>
      </c>
      <c r="T3" s="347" t="s">
        <v>245</v>
      </c>
      <c r="U3" s="348"/>
      <c r="V3" s="347" t="s">
        <v>246</v>
      </c>
      <c r="W3" s="352"/>
      <c r="X3" s="352"/>
      <c r="Y3" s="352"/>
      <c r="Z3" s="352"/>
    </row>
    <row r="4" spans="1:26" s="283" customFormat="1" ht="29.25" customHeight="1">
      <c r="A4" s="345"/>
      <c r="B4" s="345"/>
      <c r="C4" s="341" t="s">
        <v>247</v>
      </c>
      <c r="D4" s="342"/>
      <c r="E4" s="341" t="s">
        <v>248</v>
      </c>
      <c r="F4" s="342"/>
      <c r="G4" s="341" t="s">
        <v>249</v>
      </c>
      <c r="H4" s="342"/>
      <c r="I4" s="341" t="s">
        <v>250</v>
      </c>
      <c r="J4" s="342"/>
      <c r="K4" s="341" t="s">
        <v>251</v>
      </c>
      <c r="L4" s="342"/>
      <c r="M4" s="341" t="s">
        <v>252</v>
      </c>
      <c r="N4" s="342"/>
      <c r="O4" s="341" t="s">
        <v>253</v>
      </c>
      <c r="P4" s="342"/>
      <c r="Q4" s="341" t="s">
        <v>254</v>
      </c>
      <c r="R4" s="342"/>
      <c r="S4" s="345"/>
      <c r="T4" s="349"/>
      <c r="U4" s="350"/>
      <c r="V4" s="349"/>
      <c r="W4" s="353"/>
      <c r="X4" s="353"/>
      <c r="Y4" s="353"/>
      <c r="Z4" s="353"/>
    </row>
    <row r="5" spans="1:26" s="283" customFormat="1" ht="110.25" customHeight="1">
      <c r="A5" s="345"/>
      <c r="B5" s="345"/>
      <c r="C5" s="284" t="s">
        <v>53</v>
      </c>
      <c r="D5" s="284" t="s">
        <v>255</v>
      </c>
      <c r="E5" s="284" t="s">
        <v>53</v>
      </c>
      <c r="F5" s="284" t="s">
        <v>255</v>
      </c>
      <c r="G5" s="284" t="s">
        <v>53</v>
      </c>
      <c r="H5" s="284" t="s">
        <v>255</v>
      </c>
      <c r="I5" s="284" t="s">
        <v>53</v>
      </c>
      <c r="J5" s="284" t="s">
        <v>255</v>
      </c>
      <c r="K5" s="284" t="s">
        <v>53</v>
      </c>
      <c r="L5" s="284" t="s">
        <v>255</v>
      </c>
      <c r="M5" s="284" t="s">
        <v>53</v>
      </c>
      <c r="N5" s="284" t="s">
        <v>255</v>
      </c>
      <c r="O5" s="284" t="s">
        <v>53</v>
      </c>
      <c r="P5" s="284" t="s">
        <v>255</v>
      </c>
      <c r="Q5" s="284" t="s">
        <v>53</v>
      </c>
      <c r="R5" s="284" t="s">
        <v>255</v>
      </c>
      <c r="S5" s="345"/>
      <c r="T5" s="284" t="s">
        <v>256</v>
      </c>
      <c r="U5" s="284" t="s">
        <v>257</v>
      </c>
      <c r="V5" s="261" t="s">
        <v>6</v>
      </c>
      <c r="W5" s="261" t="s">
        <v>258</v>
      </c>
      <c r="X5" s="261" t="s">
        <v>259</v>
      </c>
      <c r="Y5" s="261" t="s">
        <v>260</v>
      </c>
      <c r="Z5" s="261" t="s">
        <v>261</v>
      </c>
    </row>
    <row r="6" spans="1:26" s="50" customFormat="1" ht="38.25" customHeight="1">
      <c r="A6" s="243" t="s">
        <v>262</v>
      </c>
      <c r="B6" s="146" t="s">
        <v>195</v>
      </c>
      <c r="C6" s="313">
        <v>703550546</v>
      </c>
      <c r="D6" s="313">
        <v>164559046</v>
      </c>
      <c r="E6" s="313">
        <v>0</v>
      </c>
      <c r="F6" s="313">
        <v>0</v>
      </c>
      <c r="G6" s="313">
        <v>0</v>
      </c>
      <c r="H6" s="313">
        <v>0</v>
      </c>
      <c r="I6" s="313">
        <v>0</v>
      </c>
      <c r="J6" s="313">
        <v>0</v>
      </c>
      <c r="K6" s="313">
        <v>0</v>
      </c>
      <c r="L6" s="313">
        <v>0</v>
      </c>
      <c r="M6" s="313">
        <v>0</v>
      </c>
      <c r="N6" s="313">
        <v>0</v>
      </c>
      <c r="O6" s="313">
        <v>0</v>
      </c>
      <c r="P6" s="313">
        <v>0</v>
      </c>
      <c r="Q6" s="313">
        <v>0</v>
      </c>
      <c r="R6" s="313">
        <v>0</v>
      </c>
      <c r="S6" s="314">
        <f>+C6+E6+G6+I6+K6+M6+O6+Q6</f>
        <v>703550546</v>
      </c>
      <c r="T6" s="314">
        <f>+S6-U6</f>
        <v>538991500</v>
      </c>
      <c r="U6" s="314">
        <f>+D6+F6+H6+J6+L6+N6+P6+R6</f>
        <v>164559046</v>
      </c>
      <c r="V6" s="46">
        <v>1</v>
      </c>
      <c r="W6" s="47">
        <f>+S6</f>
        <v>703550546</v>
      </c>
      <c r="X6" s="48">
        <f>+W6*V6</f>
        <v>703550546</v>
      </c>
      <c r="Y6" s="47">
        <f>+U6</f>
        <v>164559046</v>
      </c>
      <c r="Z6" s="48">
        <f>+Y6*V6</f>
        <v>164559046</v>
      </c>
    </row>
    <row r="7" spans="1:26" s="50" customFormat="1" ht="38.25" customHeight="1">
      <c r="A7" s="243" t="s">
        <v>263</v>
      </c>
      <c r="B7" s="146" t="s">
        <v>428</v>
      </c>
      <c r="C7" s="313">
        <v>324034134</v>
      </c>
      <c r="D7" s="313">
        <v>0</v>
      </c>
      <c r="E7" s="313">
        <v>260000000</v>
      </c>
      <c r="F7" s="313">
        <v>0</v>
      </c>
      <c r="G7" s="313">
        <v>0</v>
      </c>
      <c r="H7" s="313">
        <v>0</v>
      </c>
      <c r="I7" s="313">
        <v>0</v>
      </c>
      <c r="J7" s="313">
        <v>0</v>
      </c>
      <c r="K7" s="313">
        <v>0</v>
      </c>
      <c r="L7" s="313">
        <v>0</v>
      </c>
      <c r="M7" s="313">
        <v>0</v>
      </c>
      <c r="N7" s="313">
        <v>0</v>
      </c>
      <c r="O7" s="313">
        <v>0</v>
      </c>
      <c r="P7" s="313">
        <v>0</v>
      </c>
      <c r="Q7" s="313">
        <v>0</v>
      </c>
      <c r="R7" s="313">
        <v>0</v>
      </c>
      <c r="S7" s="314">
        <f t="shared" ref="S7:S45" si="0">+C7+E7+G7+I7+K7+M7+O7+Q7</f>
        <v>584034134</v>
      </c>
      <c r="T7" s="314">
        <f t="shared" ref="T7:T47" si="1">+S7-U7</f>
        <v>584034134</v>
      </c>
      <c r="U7" s="314">
        <f t="shared" ref="U7:U47" si="2">+D7+F7+H7+J7+L7+N7+P7+R7</f>
        <v>0</v>
      </c>
      <c r="V7" s="46">
        <v>1</v>
      </c>
      <c r="W7" s="47">
        <f>S7</f>
        <v>584034134</v>
      </c>
      <c r="X7" s="48">
        <f t="shared" ref="X7:X35" si="3">+W7*V7</f>
        <v>584034134</v>
      </c>
      <c r="Y7" s="47">
        <f>+U7</f>
        <v>0</v>
      </c>
      <c r="Z7" s="48">
        <f>+Y7*V7</f>
        <v>0</v>
      </c>
    </row>
    <row r="8" spans="1:26" s="50" customFormat="1" ht="38.25" customHeight="1">
      <c r="A8" s="243" t="s">
        <v>26</v>
      </c>
      <c r="B8" s="146" t="s">
        <v>264</v>
      </c>
      <c r="C8" s="313">
        <v>0</v>
      </c>
      <c r="D8" s="313">
        <v>0</v>
      </c>
      <c r="E8" s="313">
        <v>0</v>
      </c>
      <c r="F8" s="313">
        <v>0</v>
      </c>
      <c r="G8" s="313">
        <v>0</v>
      </c>
      <c r="H8" s="313">
        <v>0</v>
      </c>
      <c r="I8" s="313">
        <v>0</v>
      </c>
      <c r="J8" s="313">
        <v>0</v>
      </c>
      <c r="K8" s="313">
        <v>0</v>
      </c>
      <c r="L8" s="313">
        <v>0</v>
      </c>
      <c r="M8" s="313">
        <v>0</v>
      </c>
      <c r="N8" s="313">
        <v>0</v>
      </c>
      <c r="O8" s="313">
        <v>0</v>
      </c>
      <c r="P8" s="313">
        <v>0</v>
      </c>
      <c r="Q8" s="313">
        <v>0</v>
      </c>
      <c r="R8" s="313">
        <v>0</v>
      </c>
      <c r="S8" s="314">
        <f t="shared" si="0"/>
        <v>0</v>
      </c>
      <c r="T8" s="314">
        <f t="shared" si="1"/>
        <v>0</v>
      </c>
      <c r="U8" s="314">
        <f t="shared" si="2"/>
        <v>0</v>
      </c>
      <c r="V8" s="46">
        <v>0</v>
      </c>
      <c r="W8" s="47"/>
      <c r="X8" s="45"/>
      <c r="Y8" s="47"/>
      <c r="Z8" s="47"/>
    </row>
    <row r="9" spans="1:26" s="50" customFormat="1" ht="38.25" customHeight="1">
      <c r="A9" s="243" t="s">
        <v>265</v>
      </c>
      <c r="B9" s="146" t="s">
        <v>386</v>
      </c>
      <c r="C9" s="314">
        <f>SUM(C10:C16)-C13</f>
        <v>2008145194</v>
      </c>
      <c r="D9" s="314">
        <f t="shared" ref="D9:R9" si="4">SUM(D10:D16)-D13</f>
        <v>1997011849</v>
      </c>
      <c r="E9" s="314">
        <f t="shared" si="4"/>
        <v>348734570</v>
      </c>
      <c r="F9" s="314">
        <f t="shared" si="4"/>
        <v>348734570</v>
      </c>
      <c r="G9" s="314">
        <f t="shared" si="4"/>
        <v>242131600</v>
      </c>
      <c r="H9" s="314">
        <f t="shared" si="4"/>
        <v>240506600</v>
      </c>
      <c r="I9" s="314">
        <f t="shared" si="4"/>
        <v>650385753</v>
      </c>
      <c r="J9" s="314">
        <f t="shared" si="4"/>
        <v>649969087</v>
      </c>
      <c r="K9" s="314">
        <f t="shared" si="4"/>
        <v>76413948</v>
      </c>
      <c r="L9" s="314">
        <f t="shared" si="4"/>
        <v>71911473</v>
      </c>
      <c r="M9" s="314">
        <f t="shared" si="4"/>
        <v>48006858</v>
      </c>
      <c r="N9" s="314">
        <f t="shared" si="4"/>
        <v>39683589</v>
      </c>
      <c r="O9" s="314">
        <f t="shared" si="4"/>
        <v>66323123</v>
      </c>
      <c r="P9" s="314">
        <f t="shared" si="4"/>
        <v>57547646</v>
      </c>
      <c r="Q9" s="314">
        <f t="shared" si="4"/>
        <v>26740011</v>
      </c>
      <c r="R9" s="314">
        <f t="shared" si="4"/>
        <v>0</v>
      </c>
      <c r="S9" s="314">
        <f t="shared" si="0"/>
        <v>3466881057</v>
      </c>
      <c r="T9" s="314">
        <f t="shared" si="1"/>
        <v>61516243</v>
      </c>
      <c r="U9" s="314">
        <f t="shared" si="2"/>
        <v>3405364814</v>
      </c>
      <c r="V9" s="46"/>
      <c r="W9" s="47"/>
      <c r="X9" s="45"/>
      <c r="Y9" s="47"/>
      <c r="Z9" s="47"/>
    </row>
    <row r="10" spans="1:26" s="50" customFormat="1" ht="45" customHeight="1">
      <c r="A10" s="243" t="s">
        <v>27</v>
      </c>
      <c r="B10" s="146" t="s">
        <v>266</v>
      </c>
      <c r="C10" s="313">
        <v>1408974684</v>
      </c>
      <c r="D10" s="313">
        <v>1408974684</v>
      </c>
      <c r="E10" s="313"/>
      <c r="F10" s="313"/>
      <c r="G10" s="313"/>
      <c r="H10" s="313"/>
      <c r="I10" s="313"/>
      <c r="J10" s="313"/>
      <c r="K10" s="313"/>
      <c r="L10" s="313"/>
      <c r="M10" s="313"/>
      <c r="N10" s="313"/>
      <c r="O10" s="313"/>
      <c r="P10" s="313"/>
      <c r="Q10" s="313"/>
      <c r="R10" s="313"/>
      <c r="S10" s="314">
        <f t="shared" si="0"/>
        <v>1408974684</v>
      </c>
      <c r="T10" s="314">
        <f t="shared" si="1"/>
        <v>0</v>
      </c>
      <c r="U10" s="314">
        <f t="shared" si="2"/>
        <v>1408974684</v>
      </c>
      <c r="V10" s="46">
        <v>1</v>
      </c>
      <c r="W10" s="47">
        <f>+C10</f>
        <v>1408974684</v>
      </c>
      <c r="X10" s="48">
        <f t="shared" si="3"/>
        <v>1408974684</v>
      </c>
      <c r="Y10" s="47">
        <f>+D10</f>
        <v>1408974684</v>
      </c>
      <c r="Z10" s="48">
        <f>+Y10*V10</f>
        <v>1408974684</v>
      </c>
    </row>
    <row r="11" spans="1:26" s="50" customFormat="1" ht="45" customHeight="1">
      <c r="A11" s="243" t="s">
        <v>28</v>
      </c>
      <c r="B11" s="146" t="s">
        <v>267</v>
      </c>
      <c r="C11" s="313">
        <v>577946964</v>
      </c>
      <c r="D11" s="313">
        <v>577946959</v>
      </c>
      <c r="E11" s="314"/>
      <c r="F11" s="314"/>
      <c r="G11" s="314"/>
      <c r="H11" s="314"/>
      <c r="I11" s="314"/>
      <c r="J11" s="314"/>
      <c r="K11" s="314"/>
      <c r="L11" s="314"/>
      <c r="M11" s="314"/>
      <c r="N11" s="314"/>
      <c r="O11" s="314"/>
      <c r="P11" s="314"/>
      <c r="Q11" s="314"/>
      <c r="R11" s="314"/>
      <c r="S11" s="314">
        <f>+C11</f>
        <v>577946964</v>
      </c>
      <c r="T11" s="314">
        <f t="shared" ref="T11:T13" si="5">+S11-U11</f>
        <v>5</v>
      </c>
      <c r="U11" s="314">
        <f>+D11</f>
        <v>577946959</v>
      </c>
      <c r="V11" s="46">
        <v>1</v>
      </c>
      <c r="W11" s="47">
        <f>+C11</f>
        <v>577946964</v>
      </c>
      <c r="X11" s="48">
        <f t="shared" si="3"/>
        <v>577946964</v>
      </c>
      <c r="Y11" s="47">
        <f>+D11</f>
        <v>577946959</v>
      </c>
      <c r="Z11" s="48">
        <f t="shared" ref="Z11:Z35" si="6">+Y11*V11</f>
        <v>577946959</v>
      </c>
    </row>
    <row r="12" spans="1:26" s="50" customFormat="1" ht="45" customHeight="1">
      <c r="A12" s="243" t="s">
        <v>0</v>
      </c>
      <c r="B12" s="146" t="s">
        <v>268</v>
      </c>
      <c r="C12" s="314"/>
      <c r="D12" s="314"/>
      <c r="E12" s="313">
        <v>0</v>
      </c>
      <c r="F12" s="313">
        <v>0</v>
      </c>
      <c r="G12" s="314"/>
      <c r="H12" s="314"/>
      <c r="I12" s="314"/>
      <c r="J12" s="314"/>
      <c r="K12" s="314"/>
      <c r="L12" s="314"/>
      <c r="M12" s="314"/>
      <c r="N12" s="314"/>
      <c r="O12" s="314"/>
      <c r="P12" s="314"/>
      <c r="Q12" s="314"/>
      <c r="R12" s="314"/>
      <c r="S12" s="314">
        <f>+E12</f>
        <v>0</v>
      </c>
      <c r="T12" s="314">
        <f t="shared" si="5"/>
        <v>0</v>
      </c>
      <c r="U12" s="314">
        <f>+F12</f>
        <v>0</v>
      </c>
      <c r="V12" s="46">
        <v>1</v>
      </c>
      <c r="W12" s="47">
        <f>+E12-E13</f>
        <v>0</v>
      </c>
      <c r="X12" s="45">
        <f t="shared" si="3"/>
        <v>0</v>
      </c>
      <c r="Y12" s="72">
        <f>+F12-F13</f>
        <v>0</v>
      </c>
      <c r="Z12" s="45">
        <f t="shared" si="6"/>
        <v>0</v>
      </c>
    </row>
    <row r="13" spans="1:26" s="50" customFormat="1" ht="45" customHeight="1">
      <c r="A13" s="243" t="s">
        <v>75</v>
      </c>
      <c r="B13" s="146" t="s">
        <v>269</v>
      </c>
      <c r="C13" s="314"/>
      <c r="D13" s="314"/>
      <c r="E13" s="313">
        <v>0</v>
      </c>
      <c r="F13" s="313">
        <v>0</v>
      </c>
      <c r="G13" s="314"/>
      <c r="H13" s="314"/>
      <c r="I13" s="314"/>
      <c r="J13" s="314"/>
      <c r="K13" s="314"/>
      <c r="L13" s="314"/>
      <c r="M13" s="314"/>
      <c r="N13" s="314"/>
      <c r="O13" s="314"/>
      <c r="P13" s="314"/>
      <c r="Q13" s="314"/>
      <c r="R13" s="314"/>
      <c r="S13" s="314">
        <f>+E13</f>
        <v>0</v>
      </c>
      <c r="T13" s="314">
        <f t="shared" si="5"/>
        <v>0</v>
      </c>
      <c r="U13" s="314">
        <f>+F13</f>
        <v>0</v>
      </c>
      <c r="V13" s="46">
        <v>1</v>
      </c>
      <c r="W13" s="47">
        <f>+F13</f>
        <v>0</v>
      </c>
      <c r="X13" s="48">
        <f t="shared" si="3"/>
        <v>0</v>
      </c>
      <c r="Y13" s="47">
        <f>+F13</f>
        <v>0</v>
      </c>
      <c r="Z13" s="48">
        <f t="shared" si="6"/>
        <v>0</v>
      </c>
    </row>
    <row r="14" spans="1:26" s="50" customFormat="1" ht="38.25" customHeight="1">
      <c r="A14" s="243" t="s">
        <v>62</v>
      </c>
      <c r="B14" s="146" t="s">
        <v>433</v>
      </c>
      <c r="C14" s="313">
        <v>9479045</v>
      </c>
      <c r="D14" s="313">
        <v>8763750</v>
      </c>
      <c r="E14" s="313">
        <v>348734570</v>
      </c>
      <c r="F14" s="313">
        <v>348734570</v>
      </c>
      <c r="G14" s="313">
        <v>242131600</v>
      </c>
      <c r="H14" s="313">
        <v>240506600</v>
      </c>
      <c r="I14" s="313">
        <v>650385753</v>
      </c>
      <c r="J14" s="313">
        <v>649969087</v>
      </c>
      <c r="K14" s="313">
        <v>76413948</v>
      </c>
      <c r="L14" s="313">
        <v>71911473</v>
      </c>
      <c r="M14" s="313">
        <v>48006858</v>
      </c>
      <c r="N14" s="313">
        <v>39683589</v>
      </c>
      <c r="O14" s="313">
        <v>66323123</v>
      </c>
      <c r="P14" s="313">
        <v>57547646</v>
      </c>
      <c r="Q14" s="313">
        <v>26740011</v>
      </c>
      <c r="R14" s="313">
        <v>0</v>
      </c>
      <c r="S14" s="314">
        <f t="shared" si="0"/>
        <v>1468214908</v>
      </c>
      <c r="T14" s="314">
        <f t="shared" si="1"/>
        <v>51098193</v>
      </c>
      <c r="U14" s="314">
        <f t="shared" si="2"/>
        <v>1417116715</v>
      </c>
      <c r="V14" s="46">
        <v>1</v>
      </c>
      <c r="W14" s="47">
        <f>+C14+E14+G14+E10+G10+E11+G11</f>
        <v>600345215</v>
      </c>
      <c r="X14" s="45">
        <f>+W14*V14</f>
        <v>600345215</v>
      </c>
      <c r="Y14" s="47">
        <f>+D14+F14+H14+F10+H10+F11+H11</f>
        <v>598004920</v>
      </c>
      <c r="Z14" s="47">
        <f t="shared" si="6"/>
        <v>598004920</v>
      </c>
    </row>
    <row r="15" spans="1:26" s="50" customFormat="1" ht="38.25" customHeight="1">
      <c r="A15" s="243" t="s">
        <v>72</v>
      </c>
      <c r="B15" s="146" t="s">
        <v>270</v>
      </c>
      <c r="C15" s="313">
        <v>11744501</v>
      </c>
      <c r="D15" s="313">
        <v>1326456</v>
      </c>
      <c r="E15" s="313">
        <v>0</v>
      </c>
      <c r="F15" s="313">
        <v>0</v>
      </c>
      <c r="G15" s="313">
        <v>0</v>
      </c>
      <c r="H15" s="313">
        <v>0</v>
      </c>
      <c r="I15" s="313">
        <v>0</v>
      </c>
      <c r="J15" s="313">
        <v>0</v>
      </c>
      <c r="K15" s="313">
        <v>0</v>
      </c>
      <c r="L15" s="313">
        <v>0</v>
      </c>
      <c r="M15" s="313">
        <v>0</v>
      </c>
      <c r="N15" s="313">
        <v>0</v>
      </c>
      <c r="O15" s="313">
        <v>0</v>
      </c>
      <c r="P15" s="313">
        <v>0</v>
      </c>
      <c r="Q15" s="313">
        <v>0</v>
      </c>
      <c r="R15" s="313">
        <v>0</v>
      </c>
      <c r="S15" s="314">
        <f t="shared" si="0"/>
        <v>11744501</v>
      </c>
      <c r="T15" s="314">
        <f t="shared" si="1"/>
        <v>10418045</v>
      </c>
      <c r="U15" s="314">
        <f t="shared" si="2"/>
        <v>1326456</v>
      </c>
      <c r="V15" s="46">
        <v>1</v>
      </c>
      <c r="W15" s="47">
        <f>+C15+E15+G15</f>
        <v>11744501</v>
      </c>
      <c r="X15" s="45">
        <f t="shared" si="3"/>
        <v>11744501</v>
      </c>
      <c r="Y15" s="47">
        <f>+D15+F15+H15</f>
        <v>1326456</v>
      </c>
      <c r="Z15" s="47">
        <f t="shared" si="6"/>
        <v>1326456</v>
      </c>
    </row>
    <row r="16" spans="1:26" s="50" customFormat="1" ht="38.25" customHeight="1">
      <c r="A16" s="243" t="s">
        <v>73</v>
      </c>
      <c r="B16" s="146" t="s">
        <v>271</v>
      </c>
      <c r="C16" s="313">
        <v>0</v>
      </c>
      <c r="D16" s="313">
        <v>0</v>
      </c>
      <c r="E16" s="313"/>
      <c r="F16" s="313"/>
      <c r="G16" s="313"/>
      <c r="H16" s="313"/>
      <c r="I16" s="313"/>
      <c r="J16" s="313"/>
      <c r="K16" s="313"/>
      <c r="L16" s="313"/>
      <c r="M16" s="313"/>
      <c r="N16" s="313"/>
      <c r="O16" s="313"/>
      <c r="P16" s="313"/>
      <c r="Q16" s="313"/>
      <c r="R16" s="313"/>
      <c r="S16" s="314">
        <f t="shared" si="0"/>
        <v>0</v>
      </c>
      <c r="T16" s="314">
        <f t="shared" si="1"/>
        <v>0</v>
      </c>
      <c r="U16" s="314">
        <f t="shared" si="2"/>
        <v>0</v>
      </c>
      <c r="V16" s="46">
        <v>1</v>
      </c>
      <c r="W16" s="47">
        <f>+C16+E16+G16</f>
        <v>0</v>
      </c>
      <c r="X16" s="45">
        <f>+W16*V16</f>
        <v>0</v>
      </c>
      <c r="Y16" s="47">
        <f>+D16+F16+H16</f>
        <v>0</v>
      </c>
      <c r="Z16" s="47">
        <f t="shared" si="6"/>
        <v>0</v>
      </c>
    </row>
    <row r="17" spans="1:26" s="50" customFormat="1" ht="38.25" customHeight="1">
      <c r="A17" s="243" t="s">
        <v>272</v>
      </c>
      <c r="B17" s="146" t="s">
        <v>93</v>
      </c>
      <c r="C17" s="314">
        <f t="shared" ref="C17:R17" si="7">SUM(C19:C25)</f>
        <v>175</v>
      </c>
      <c r="D17" s="314">
        <f t="shared" si="7"/>
        <v>0</v>
      </c>
      <c r="E17" s="314">
        <f t="shared" si="7"/>
        <v>399999665</v>
      </c>
      <c r="F17" s="314">
        <f t="shared" si="7"/>
        <v>0</v>
      </c>
      <c r="G17" s="314">
        <f t="shared" si="7"/>
        <v>0</v>
      </c>
      <c r="H17" s="314">
        <f t="shared" si="7"/>
        <v>0</v>
      </c>
      <c r="I17" s="314">
        <f t="shared" si="7"/>
        <v>0</v>
      </c>
      <c r="J17" s="314">
        <f t="shared" si="7"/>
        <v>0</v>
      </c>
      <c r="K17" s="314">
        <f t="shared" si="7"/>
        <v>54745360</v>
      </c>
      <c r="L17" s="314">
        <f t="shared" si="7"/>
        <v>0</v>
      </c>
      <c r="M17" s="314">
        <f t="shared" si="7"/>
        <v>63424295</v>
      </c>
      <c r="N17" s="314">
        <f t="shared" si="7"/>
        <v>0</v>
      </c>
      <c r="O17" s="314">
        <f t="shared" si="7"/>
        <v>0</v>
      </c>
      <c r="P17" s="314">
        <f t="shared" si="7"/>
        <v>0</v>
      </c>
      <c r="Q17" s="314">
        <f t="shared" si="7"/>
        <v>0</v>
      </c>
      <c r="R17" s="314">
        <f t="shared" si="7"/>
        <v>0</v>
      </c>
      <c r="S17" s="314">
        <f t="shared" si="0"/>
        <v>518169495</v>
      </c>
      <c r="T17" s="314">
        <f t="shared" si="1"/>
        <v>518169495</v>
      </c>
      <c r="U17" s="314">
        <f t="shared" si="2"/>
        <v>0</v>
      </c>
      <c r="V17" s="46"/>
      <c r="W17" s="47"/>
      <c r="X17" s="45"/>
      <c r="Y17" s="47"/>
      <c r="Z17" s="47"/>
    </row>
    <row r="18" spans="1:26" s="50" customFormat="1" ht="38.25" customHeight="1">
      <c r="A18" s="243" t="s">
        <v>459</v>
      </c>
      <c r="B18" s="146" t="s">
        <v>458</v>
      </c>
      <c r="C18" s="314">
        <f>+'Bank Liabilities Analysis'!C34</f>
        <v>0</v>
      </c>
      <c r="D18" s="314">
        <f>+'Bank Liabilities Analysis'!D34</f>
        <v>0</v>
      </c>
      <c r="E18" s="314">
        <f>+'Bank Liabilities Analysis'!E34</f>
        <v>0</v>
      </c>
      <c r="F18" s="314">
        <f>+'Bank Liabilities Analysis'!F34</f>
        <v>0</v>
      </c>
      <c r="G18" s="314">
        <f>+'Bank Liabilities Analysis'!G34</f>
        <v>0</v>
      </c>
      <c r="H18" s="314">
        <f>+'Bank Liabilities Analysis'!H34</f>
        <v>0</v>
      </c>
      <c r="I18" s="314">
        <f>+'Bank Liabilities Analysis'!I34</f>
        <v>0</v>
      </c>
      <c r="J18" s="314">
        <f>+'Bank Liabilities Analysis'!J34</f>
        <v>0</v>
      </c>
      <c r="K18" s="314">
        <f>+'Bank Liabilities Analysis'!K34</f>
        <v>0</v>
      </c>
      <c r="L18" s="314">
        <f>+'Bank Liabilities Analysis'!L34</f>
        <v>0</v>
      </c>
      <c r="M18" s="314">
        <f>+'Bank Liabilities Analysis'!M34</f>
        <v>0</v>
      </c>
      <c r="N18" s="314">
        <f>+'Bank Liabilities Analysis'!N34</f>
        <v>0</v>
      </c>
      <c r="O18" s="314">
        <f>+'Bank Liabilities Analysis'!O34</f>
        <v>0</v>
      </c>
      <c r="P18" s="314">
        <f>+'Bank Liabilities Analysis'!P34</f>
        <v>0</v>
      </c>
      <c r="Q18" s="314">
        <f>+'Bank Liabilities Analysis'!Q34</f>
        <v>0</v>
      </c>
      <c r="R18" s="314">
        <f>+'Bank Liabilities Analysis'!R34</f>
        <v>0</v>
      </c>
      <c r="S18" s="314">
        <f>+C18+E18+G18+I18+K18+M18+O18+Q18</f>
        <v>0</v>
      </c>
      <c r="T18" s="314">
        <f>+S18-U18</f>
        <v>0</v>
      </c>
      <c r="U18" s="314">
        <f>+D18+F18+H18+J18+L18+N18+P18+R18</f>
        <v>0</v>
      </c>
      <c r="V18" s="46">
        <v>1</v>
      </c>
      <c r="W18" s="47">
        <f>+C18+E18+G18</f>
        <v>0</v>
      </c>
      <c r="X18" s="45">
        <f>+W18*V18</f>
        <v>0</v>
      </c>
      <c r="Y18" s="47">
        <f>+D18+F18+H18</f>
        <v>0</v>
      </c>
      <c r="Z18" s="47">
        <f>+Y18*V18</f>
        <v>0</v>
      </c>
    </row>
    <row r="19" spans="1:26" s="50" customFormat="1" ht="42.75">
      <c r="A19" s="243" t="s">
        <v>29</v>
      </c>
      <c r="B19" s="146" t="s">
        <v>273</v>
      </c>
      <c r="C19" s="313">
        <v>0</v>
      </c>
      <c r="D19" s="313">
        <v>0</v>
      </c>
      <c r="E19" s="313">
        <v>399999665</v>
      </c>
      <c r="F19" s="313">
        <v>0</v>
      </c>
      <c r="G19" s="313">
        <v>0</v>
      </c>
      <c r="H19" s="313">
        <v>0</v>
      </c>
      <c r="I19" s="313">
        <v>0</v>
      </c>
      <c r="J19" s="313">
        <v>0</v>
      </c>
      <c r="K19" s="313">
        <v>54745360</v>
      </c>
      <c r="L19" s="313">
        <v>0</v>
      </c>
      <c r="M19" s="313">
        <v>53424295</v>
      </c>
      <c r="N19" s="313">
        <v>0</v>
      </c>
      <c r="O19" s="313">
        <v>0</v>
      </c>
      <c r="P19" s="313">
        <v>0</v>
      </c>
      <c r="Q19" s="313">
        <v>0</v>
      </c>
      <c r="R19" s="313">
        <v>0</v>
      </c>
      <c r="S19" s="314">
        <f>+C19+E19+G19+I19+K19+M19+O19+Q19</f>
        <v>508169320</v>
      </c>
      <c r="T19" s="314">
        <f t="shared" si="1"/>
        <v>508169320</v>
      </c>
      <c r="U19" s="314">
        <f t="shared" si="2"/>
        <v>0</v>
      </c>
      <c r="V19" s="46">
        <v>1</v>
      </c>
      <c r="W19" s="72">
        <f t="shared" ref="W19:W24" si="8">+S19</f>
        <v>508169320</v>
      </c>
      <c r="X19" s="48">
        <f t="shared" si="3"/>
        <v>508169320</v>
      </c>
      <c r="Y19" s="72">
        <f t="shared" ref="Y19:Y24" si="9">+U19</f>
        <v>0</v>
      </c>
      <c r="Z19" s="48">
        <f t="shared" si="6"/>
        <v>0</v>
      </c>
    </row>
    <row r="20" spans="1:26" s="50" customFormat="1" ht="38.25" customHeight="1">
      <c r="A20" s="243" t="s">
        <v>4</v>
      </c>
      <c r="B20" s="146" t="s">
        <v>274</v>
      </c>
      <c r="C20" s="313">
        <v>0</v>
      </c>
      <c r="D20" s="313">
        <v>0</v>
      </c>
      <c r="E20" s="313">
        <v>0</v>
      </c>
      <c r="F20" s="313">
        <v>0</v>
      </c>
      <c r="G20" s="313">
        <v>0</v>
      </c>
      <c r="H20" s="313">
        <v>0</v>
      </c>
      <c r="I20" s="313">
        <v>0</v>
      </c>
      <c r="J20" s="313">
        <v>0</v>
      </c>
      <c r="K20" s="313">
        <v>0</v>
      </c>
      <c r="L20" s="313">
        <v>0</v>
      </c>
      <c r="M20" s="313">
        <v>0</v>
      </c>
      <c r="N20" s="313">
        <v>0</v>
      </c>
      <c r="O20" s="313">
        <v>0</v>
      </c>
      <c r="P20" s="313">
        <v>0</v>
      </c>
      <c r="Q20" s="313">
        <v>0</v>
      </c>
      <c r="R20" s="313">
        <v>0</v>
      </c>
      <c r="S20" s="314">
        <f t="shared" si="0"/>
        <v>0</v>
      </c>
      <c r="T20" s="314">
        <f t="shared" si="1"/>
        <v>0</v>
      </c>
      <c r="U20" s="314">
        <f t="shared" si="2"/>
        <v>0</v>
      </c>
      <c r="V20" s="46">
        <v>1</v>
      </c>
      <c r="W20" s="47">
        <f t="shared" si="8"/>
        <v>0</v>
      </c>
      <c r="X20" s="48">
        <f t="shared" si="3"/>
        <v>0</v>
      </c>
      <c r="Y20" s="47">
        <f t="shared" si="9"/>
        <v>0</v>
      </c>
      <c r="Z20" s="48">
        <f t="shared" si="6"/>
        <v>0</v>
      </c>
    </row>
    <row r="21" spans="1:26" s="50" customFormat="1" ht="61.5" customHeight="1">
      <c r="A21" s="243" t="s">
        <v>5</v>
      </c>
      <c r="B21" s="146" t="s">
        <v>275</v>
      </c>
      <c r="C21" s="313">
        <v>0</v>
      </c>
      <c r="D21" s="313">
        <v>0</v>
      </c>
      <c r="E21" s="313">
        <v>0</v>
      </c>
      <c r="F21" s="313">
        <v>0</v>
      </c>
      <c r="G21" s="313">
        <v>0</v>
      </c>
      <c r="H21" s="313">
        <v>0</v>
      </c>
      <c r="I21" s="313">
        <v>0</v>
      </c>
      <c r="J21" s="313">
        <v>0</v>
      </c>
      <c r="K21" s="313">
        <v>0</v>
      </c>
      <c r="L21" s="313">
        <v>0</v>
      </c>
      <c r="M21" s="313">
        <v>0</v>
      </c>
      <c r="N21" s="313">
        <v>0</v>
      </c>
      <c r="O21" s="313">
        <v>0</v>
      </c>
      <c r="P21" s="313">
        <v>0</v>
      </c>
      <c r="Q21" s="313">
        <v>0</v>
      </c>
      <c r="R21" s="313">
        <v>0</v>
      </c>
      <c r="S21" s="314">
        <f t="shared" ref="S21" si="10">+C21+E21+G21+I21+K21+M21+O21+Q21</f>
        <v>0</v>
      </c>
      <c r="T21" s="314">
        <f t="shared" ref="T21" si="11">+S21-U21</f>
        <v>0</v>
      </c>
      <c r="U21" s="314">
        <f t="shared" ref="U21" si="12">+D21+F21+H21+J21+L21+N21+P21+R21</f>
        <v>0</v>
      </c>
      <c r="V21" s="46">
        <v>1</v>
      </c>
      <c r="W21" s="47">
        <f t="shared" si="8"/>
        <v>0</v>
      </c>
      <c r="X21" s="48">
        <f t="shared" si="3"/>
        <v>0</v>
      </c>
      <c r="Y21" s="47">
        <f t="shared" si="9"/>
        <v>0</v>
      </c>
      <c r="Z21" s="48">
        <f t="shared" si="6"/>
        <v>0</v>
      </c>
    </row>
    <row r="22" spans="1:26" s="50" customFormat="1" ht="45" customHeight="1">
      <c r="A22" s="243" t="s">
        <v>7</v>
      </c>
      <c r="B22" s="146" t="s">
        <v>276</v>
      </c>
      <c r="C22" s="313">
        <v>0</v>
      </c>
      <c r="D22" s="313">
        <v>0</v>
      </c>
      <c r="E22" s="313">
        <v>0</v>
      </c>
      <c r="F22" s="313">
        <v>0</v>
      </c>
      <c r="G22" s="313">
        <v>0</v>
      </c>
      <c r="H22" s="313">
        <v>0</v>
      </c>
      <c r="I22" s="313">
        <v>0</v>
      </c>
      <c r="J22" s="313">
        <v>0</v>
      </c>
      <c r="K22" s="313">
        <v>0</v>
      </c>
      <c r="L22" s="313">
        <v>0</v>
      </c>
      <c r="M22" s="313">
        <v>0</v>
      </c>
      <c r="N22" s="313">
        <v>0</v>
      </c>
      <c r="O22" s="313">
        <v>0</v>
      </c>
      <c r="P22" s="313">
        <v>0</v>
      </c>
      <c r="Q22" s="313">
        <v>0</v>
      </c>
      <c r="R22" s="313">
        <v>0</v>
      </c>
      <c r="S22" s="314">
        <f t="shared" si="0"/>
        <v>0</v>
      </c>
      <c r="T22" s="314">
        <f t="shared" si="1"/>
        <v>0</v>
      </c>
      <c r="U22" s="314">
        <f t="shared" si="2"/>
        <v>0</v>
      </c>
      <c r="V22" s="46">
        <v>1</v>
      </c>
      <c r="W22" s="47">
        <f t="shared" si="8"/>
        <v>0</v>
      </c>
      <c r="X22" s="48">
        <f t="shared" si="3"/>
        <v>0</v>
      </c>
      <c r="Y22" s="47">
        <f t="shared" si="9"/>
        <v>0</v>
      </c>
      <c r="Z22" s="48">
        <f t="shared" si="6"/>
        <v>0</v>
      </c>
    </row>
    <row r="23" spans="1:26" s="50" customFormat="1" ht="45" customHeight="1">
      <c r="A23" s="243" t="s">
        <v>74</v>
      </c>
      <c r="B23" s="146" t="s">
        <v>467</v>
      </c>
      <c r="C23" s="313">
        <v>0</v>
      </c>
      <c r="D23" s="313">
        <v>0</v>
      </c>
      <c r="E23" s="313">
        <v>0</v>
      </c>
      <c r="F23" s="313">
        <v>0</v>
      </c>
      <c r="G23" s="313">
        <v>0</v>
      </c>
      <c r="H23" s="313">
        <v>0</v>
      </c>
      <c r="I23" s="313">
        <v>0</v>
      </c>
      <c r="J23" s="313">
        <v>0</v>
      </c>
      <c r="K23" s="313">
        <v>0</v>
      </c>
      <c r="L23" s="313">
        <v>0</v>
      </c>
      <c r="M23" s="313">
        <v>10000000</v>
      </c>
      <c r="N23" s="313">
        <v>0</v>
      </c>
      <c r="O23" s="313">
        <v>0</v>
      </c>
      <c r="P23" s="313">
        <v>0</v>
      </c>
      <c r="Q23" s="313">
        <v>0</v>
      </c>
      <c r="R23" s="313">
        <v>0</v>
      </c>
      <c r="S23" s="314">
        <f t="shared" ref="S23" si="13">+C23+E23+G23+I23+K23+M23+O23+Q23</f>
        <v>10000000</v>
      </c>
      <c r="T23" s="314">
        <f t="shared" ref="T23" si="14">+S23-U23</f>
        <v>10000000</v>
      </c>
      <c r="U23" s="314">
        <f t="shared" ref="U23" si="15">+D23+F23+H23+J23+L23+N23+P23+R23</f>
        <v>0</v>
      </c>
      <c r="V23" s="46">
        <v>0.8</v>
      </c>
      <c r="W23" s="47">
        <f>+S23</f>
        <v>10000000</v>
      </c>
      <c r="X23" s="48">
        <f t="shared" ref="X23" si="16">+W23*V23</f>
        <v>8000000</v>
      </c>
      <c r="Y23" s="47">
        <f>+U23</f>
        <v>0</v>
      </c>
      <c r="Z23" s="48">
        <f t="shared" ref="Z23" si="17">+Y23*V23</f>
        <v>0</v>
      </c>
    </row>
    <row r="24" spans="1:26" s="50" customFormat="1" ht="45" customHeight="1">
      <c r="A24" s="243" t="s">
        <v>277</v>
      </c>
      <c r="B24" s="146" t="s">
        <v>468</v>
      </c>
      <c r="C24" s="313">
        <v>0</v>
      </c>
      <c r="D24" s="313">
        <v>0</v>
      </c>
      <c r="E24" s="313">
        <v>0</v>
      </c>
      <c r="F24" s="313">
        <v>0</v>
      </c>
      <c r="G24" s="313">
        <v>0</v>
      </c>
      <c r="H24" s="313">
        <v>0</v>
      </c>
      <c r="I24" s="313">
        <v>0</v>
      </c>
      <c r="J24" s="313">
        <v>0</v>
      </c>
      <c r="K24" s="313">
        <v>0</v>
      </c>
      <c r="L24" s="313">
        <v>0</v>
      </c>
      <c r="M24" s="313">
        <v>0</v>
      </c>
      <c r="N24" s="313">
        <v>0</v>
      </c>
      <c r="O24" s="313">
        <v>0</v>
      </c>
      <c r="P24" s="313">
        <v>0</v>
      </c>
      <c r="Q24" s="313">
        <v>0</v>
      </c>
      <c r="R24" s="313">
        <v>0</v>
      </c>
      <c r="S24" s="314">
        <f t="shared" ref="S24" si="18">+C24+E24+G24+I24+K24+M24+O24+Q24</f>
        <v>0</v>
      </c>
      <c r="T24" s="314">
        <f t="shared" ref="T24" si="19">+S24-U24</f>
        <v>0</v>
      </c>
      <c r="U24" s="314">
        <f t="shared" ref="U24" si="20">+D24+F24+H24+J24+L24+N24+P24+R24</f>
        <v>0</v>
      </c>
      <c r="V24" s="46">
        <v>1</v>
      </c>
      <c r="W24" s="47">
        <f t="shared" si="8"/>
        <v>0</v>
      </c>
      <c r="X24" s="48">
        <f t="shared" ref="X24" si="21">+W24*V24</f>
        <v>0</v>
      </c>
      <c r="Y24" s="47">
        <f t="shared" si="9"/>
        <v>0</v>
      </c>
      <c r="Z24" s="48">
        <f t="shared" ref="Z24" si="22">+Y24*V24</f>
        <v>0</v>
      </c>
    </row>
    <row r="25" spans="1:26" s="50" customFormat="1" ht="45" customHeight="1">
      <c r="A25" s="243" t="s">
        <v>466</v>
      </c>
      <c r="B25" s="146" t="s">
        <v>278</v>
      </c>
      <c r="C25" s="313">
        <v>175</v>
      </c>
      <c r="D25" s="313">
        <v>0</v>
      </c>
      <c r="E25" s="313">
        <v>0</v>
      </c>
      <c r="F25" s="313">
        <v>0</v>
      </c>
      <c r="G25" s="313">
        <v>0</v>
      </c>
      <c r="H25" s="313">
        <v>0</v>
      </c>
      <c r="I25" s="313">
        <v>0</v>
      </c>
      <c r="J25" s="313">
        <v>0</v>
      </c>
      <c r="K25" s="313">
        <v>0</v>
      </c>
      <c r="L25" s="313">
        <v>0</v>
      </c>
      <c r="M25" s="313">
        <v>0</v>
      </c>
      <c r="N25" s="313">
        <v>0</v>
      </c>
      <c r="O25" s="313">
        <v>0</v>
      </c>
      <c r="P25" s="313">
        <v>0</v>
      </c>
      <c r="Q25" s="313">
        <v>0</v>
      </c>
      <c r="R25" s="313">
        <v>0</v>
      </c>
      <c r="S25" s="314">
        <f t="shared" si="0"/>
        <v>175</v>
      </c>
      <c r="T25" s="314">
        <f t="shared" si="1"/>
        <v>175</v>
      </c>
      <c r="U25" s="314">
        <f t="shared" si="2"/>
        <v>0</v>
      </c>
      <c r="V25" s="46">
        <v>1</v>
      </c>
      <c r="W25" s="47">
        <f>+C25+E25+G25</f>
        <v>175</v>
      </c>
      <c r="X25" s="48">
        <f>+W25*V25</f>
        <v>175</v>
      </c>
      <c r="Y25" s="47">
        <f>+D25+F25+H25</f>
        <v>0</v>
      </c>
      <c r="Z25" s="48">
        <f>+Y25*V25</f>
        <v>0</v>
      </c>
    </row>
    <row r="26" spans="1:26" s="50" customFormat="1" ht="45" customHeight="1">
      <c r="A26" s="243" t="s">
        <v>279</v>
      </c>
      <c r="B26" s="146" t="s">
        <v>280</v>
      </c>
      <c r="C26" s="313">
        <v>38191497</v>
      </c>
      <c r="D26" s="313">
        <v>36791473</v>
      </c>
      <c r="E26" s="313">
        <v>0</v>
      </c>
      <c r="F26" s="313">
        <v>0</v>
      </c>
      <c r="G26" s="313">
        <v>0</v>
      </c>
      <c r="H26" s="313">
        <v>0</v>
      </c>
      <c r="I26" s="313">
        <v>0</v>
      </c>
      <c r="J26" s="313">
        <v>0</v>
      </c>
      <c r="K26" s="313">
        <v>0</v>
      </c>
      <c r="L26" s="313">
        <v>0</v>
      </c>
      <c r="M26" s="313">
        <v>0</v>
      </c>
      <c r="N26" s="313">
        <v>0</v>
      </c>
      <c r="O26" s="313">
        <v>0</v>
      </c>
      <c r="P26" s="313">
        <v>0</v>
      </c>
      <c r="Q26" s="313">
        <v>0</v>
      </c>
      <c r="R26" s="313">
        <v>0</v>
      </c>
      <c r="S26" s="314">
        <f t="shared" si="0"/>
        <v>38191497</v>
      </c>
      <c r="T26" s="314">
        <f t="shared" si="1"/>
        <v>1400024</v>
      </c>
      <c r="U26" s="314">
        <f t="shared" si="2"/>
        <v>36791473</v>
      </c>
      <c r="V26" s="46">
        <v>0.5</v>
      </c>
      <c r="W26" s="47">
        <f>+E26+G26</f>
        <v>0</v>
      </c>
      <c r="X26" s="45">
        <f t="shared" si="3"/>
        <v>0</v>
      </c>
      <c r="Y26" s="47">
        <f>+F26+H26</f>
        <v>0</v>
      </c>
      <c r="Z26" s="47">
        <f t="shared" si="6"/>
        <v>0</v>
      </c>
    </row>
    <row r="27" spans="1:26" s="50" customFormat="1" ht="38.25" customHeight="1">
      <c r="A27" s="243" t="s">
        <v>281</v>
      </c>
      <c r="B27" s="146" t="s">
        <v>282</v>
      </c>
      <c r="C27" s="313">
        <v>0</v>
      </c>
      <c r="D27" s="313">
        <v>0</v>
      </c>
      <c r="E27" s="313">
        <v>0</v>
      </c>
      <c r="F27" s="313">
        <v>0</v>
      </c>
      <c r="G27" s="313">
        <v>0</v>
      </c>
      <c r="H27" s="313">
        <v>0</v>
      </c>
      <c r="I27" s="313">
        <v>0</v>
      </c>
      <c r="J27" s="313">
        <v>0</v>
      </c>
      <c r="K27" s="313">
        <v>0</v>
      </c>
      <c r="L27" s="313">
        <v>0</v>
      </c>
      <c r="M27" s="313">
        <v>0</v>
      </c>
      <c r="N27" s="313">
        <v>0</v>
      </c>
      <c r="O27" s="313">
        <v>0</v>
      </c>
      <c r="P27" s="313">
        <v>0</v>
      </c>
      <c r="Q27" s="313">
        <v>0</v>
      </c>
      <c r="R27" s="313">
        <v>0</v>
      </c>
      <c r="S27" s="314">
        <f t="shared" si="0"/>
        <v>0</v>
      </c>
      <c r="T27" s="314">
        <f t="shared" si="1"/>
        <v>0</v>
      </c>
      <c r="U27" s="314">
        <f t="shared" si="2"/>
        <v>0</v>
      </c>
      <c r="V27" s="46">
        <v>0.5</v>
      </c>
      <c r="W27" s="47">
        <f>+E27+G27</f>
        <v>0</v>
      </c>
      <c r="X27" s="45">
        <f t="shared" si="3"/>
        <v>0</v>
      </c>
      <c r="Y27" s="47">
        <f>+F27+H27</f>
        <v>0</v>
      </c>
      <c r="Z27" s="47">
        <f t="shared" si="6"/>
        <v>0</v>
      </c>
    </row>
    <row r="28" spans="1:26" s="50" customFormat="1" ht="38.25" customHeight="1">
      <c r="A28" s="243" t="s">
        <v>283</v>
      </c>
      <c r="B28" s="146" t="s">
        <v>284</v>
      </c>
      <c r="C28" s="313">
        <v>0</v>
      </c>
      <c r="D28" s="313">
        <v>0</v>
      </c>
      <c r="E28" s="313">
        <v>0</v>
      </c>
      <c r="F28" s="313">
        <v>0</v>
      </c>
      <c r="G28" s="313">
        <v>0</v>
      </c>
      <c r="H28" s="313">
        <v>0</v>
      </c>
      <c r="I28" s="313">
        <v>0</v>
      </c>
      <c r="J28" s="313">
        <v>0</v>
      </c>
      <c r="K28" s="313">
        <v>0</v>
      </c>
      <c r="L28" s="313">
        <v>0</v>
      </c>
      <c r="M28" s="313">
        <v>0</v>
      </c>
      <c r="N28" s="313">
        <v>0</v>
      </c>
      <c r="O28" s="313">
        <v>0</v>
      </c>
      <c r="P28" s="313">
        <v>0</v>
      </c>
      <c r="Q28" s="313">
        <v>0</v>
      </c>
      <c r="R28" s="313">
        <v>0</v>
      </c>
      <c r="S28" s="314">
        <f t="shared" si="0"/>
        <v>0</v>
      </c>
      <c r="T28" s="314">
        <f t="shared" si="1"/>
        <v>0</v>
      </c>
      <c r="U28" s="314">
        <f t="shared" si="2"/>
        <v>0</v>
      </c>
      <c r="V28" s="46">
        <v>1</v>
      </c>
      <c r="W28" s="47">
        <f>+C28+E28+G28</f>
        <v>0</v>
      </c>
      <c r="X28" s="45">
        <f t="shared" si="3"/>
        <v>0</v>
      </c>
      <c r="Y28" s="47">
        <f>+D28+F28+H28</f>
        <v>0</v>
      </c>
      <c r="Z28" s="47">
        <f t="shared" si="6"/>
        <v>0</v>
      </c>
    </row>
    <row r="29" spans="1:26" s="50" customFormat="1" ht="38.25" customHeight="1">
      <c r="A29" s="243" t="s">
        <v>285</v>
      </c>
      <c r="B29" s="146" t="s">
        <v>286</v>
      </c>
      <c r="C29" s="313">
        <v>0</v>
      </c>
      <c r="D29" s="313">
        <v>0</v>
      </c>
      <c r="E29" s="313">
        <v>0</v>
      </c>
      <c r="F29" s="313">
        <v>0</v>
      </c>
      <c r="G29" s="313">
        <v>0</v>
      </c>
      <c r="H29" s="313">
        <v>0</v>
      </c>
      <c r="I29" s="313">
        <v>0</v>
      </c>
      <c r="J29" s="313">
        <v>0</v>
      </c>
      <c r="K29" s="313">
        <v>0</v>
      </c>
      <c r="L29" s="313">
        <v>0</v>
      </c>
      <c r="M29" s="313">
        <v>0</v>
      </c>
      <c r="N29" s="313">
        <v>0</v>
      </c>
      <c r="O29" s="313">
        <v>0</v>
      </c>
      <c r="P29" s="313">
        <v>0</v>
      </c>
      <c r="Q29" s="313">
        <v>0</v>
      </c>
      <c r="R29" s="313">
        <v>0</v>
      </c>
      <c r="S29" s="314">
        <f t="shared" si="0"/>
        <v>0</v>
      </c>
      <c r="T29" s="314">
        <f t="shared" si="1"/>
        <v>0</v>
      </c>
      <c r="U29" s="314">
        <f t="shared" si="2"/>
        <v>0</v>
      </c>
      <c r="V29" s="46">
        <v>0.5</v>
      </c>
      <c r="W29" s="47">
        <f>+E29+G29</f>
        <v>0</v>
      </c>
      <c r="X29" s="45">
        <f t="shared" si="3"/>
        <v>0</v>
      </c>
      <c r="Y29" s="47">
        <f>+F29+H29</f>
        <v>0</v>
      </c>
      <c r="Z29" s="47">
        <f t="shared" si="6"/>
        <v>0</v>
      </c>
    </row>
    <row r="30" spans="1:26" s="50" customFormat="1" ht="39" customHeight="1">
      <c r="A30" s="243" t="s">
        <v>287</v>
      </c>
      <c r="B30" s="146" t="s">
        <v>434</v>
      </c>
      <c r="C30" s="313">
        <v>722399993</v>
      </c>
      <c r="D30" s="313">
        <v>156876272</v>
      </c>
      <c r="E30" s="313">
        <v>456014131</v>
      </c>
      <c r="F30" s="313">
        <v>174527449</v>
      </c>
      <c r="G30" s="313">
        <v>51922273</v>
      </c>
      <c r="H30" s="313">
        <v>27337825</v>
      </c>
      <c r="I30" s="313">
        <v>1251417781</v>
      </c>
      <c r="J30" s="313">
        <v>501695140</v>
      </c>
      <c r="K30" s="313">
        <v>1486202948</v>
      </c>
      <c r="L30" s="313">
        <v>202825015</v>
      </c>
      <c r="M30" s="313">
        <v>2510791502</v>
      </c>
      <c r="N30" s="313">
        <v>367522126</v>
      </c>
      <c r="O30" s="313">
        <v>3976105452</v>
      </c>
      <c r="P30" s="313">
        <v>633910092</v>
      </c>
      <c r="Q30" s="313">
        <v>9527377416</v>
      </c>
      <c r="R30" s="313">
        <v>1530776179</v>
      </c>
      <c r="S30" s="314">
        <f t="shared" si="0"/>
        <v>19982231496</v>
      </c>
      <c r="T30" s="314">
        <f t="shared" si="1"/>
        <v>16386761398</v>
      </c>
      <c r="U30" s="314">
        <f t="shared" si="2"/>
        <v>3595470098</v>
      </c>
      <c r="V30" s="46">
        <v>0.5</v>
      </c>
      <c r="W30" s="47">
        <f>+E30+G30</f>
        <v>507936404</v>
      </c>
      <c r="X30" s="45">
        <f t="shared" si="3"/>
        <v>253968202</v>
      </c>
      <c r="Y30" s="47">
        <f>+F30+H30</f>
        <v>201865274</v>
      </c>
      <c r="Z30" s="47">
        <f t="shared" si="6"/>
        <v>100932637</v>
      </c>
    </row>
    <row r="31" spans="1:26" s="50" customFormat="1" ht="39" customHeight="1">
      <c r="A31" s="243" t="s">
        <v>113</v>
      </c>
      <c r="B31" s="146" t="s">
        <v>288</v>
      </c>
      <c r="C31" s="313">
        <v>256533113</v>
      </c>
      <c r="D31" s="313">
        <v>0</v>
      </c>
      <c r="E31" s="313">
        <v>166921211</v>
      </c>
      <c r="F31" s="313">
        <v>0</v>
      </c>
      <c r="G31" s="313">
        <v>3090440</v>
      </c>
      <c r="H31" s="313">
        <v>0</v>
      </c>
      <c r="I31" s="313">
        <v>382102269</v>
      </c>
      <c r="J31" s="313">
        <v>0</v>
      </c>
      <c r="K31" s="313">
        <v>535515298</v>
      </c>
      <c r="L31" s="313">
        <v>0</v>
      </c>
      <c r="M31" s="313">
        <v>1032977100</v>
      </c>
      <c r="N31" s="313">
        <v>0</v>
      </c>
      <c r="O31" s="313">
        <v>1785137355</v>
      </c>
      <c r="P31" s="313">
        <v>0</v>
      </c>
      <c r="Q31" s="313">
        <v>4244209601</v>
      </c>
      <c r="R31" s="313">
        <v>0</v>
      </c>
      <c r="S31" s="314">
        <f t="shared" si="0"/>
        <v>8406486387</v>
      </c>
      <c r="T31" s="314">
        <f t="shared" si="1"/>
        <v>8406486387</v>
      </c>
      <c r="U31" s="314">
        <f t="shared" si="2"/>
        <v>0</v>
      </c>
      <c r="V31" s="46">
        <v>0</v>
      </c>
      <c r="W31" s="47">
        <f>+E31+G31</f>
        <v>170011651</v>
      </c>
      <c r="X31" s="45">
        <f t="shared" si="3"/>
        <v>0</v>
      </c>
      <c r="Y31" s="47">
        <f>+F31+H31</f>
        <v>0</v>
      </c>
      <c r="Z31" s="47">
        <f t="shared" si="6"/>
        <v>0</v>
      </c>
    </row>
    <row r="32" spans="1:26" s="50" customFormat="1" ht="38.25" customHeight="1">
      <c r="A32" s="243" t="s">
        <v>289</v>
      </c>
      <c r="B32" s="146" t="s">
        <v>290</v>
      </c>
      <c r="C32" s="313">
        <v>167963237</v>
      </c>
      <c r="D32" s="313">
        <v>118818689</v>
      </c>
      <c r="E32" s="314"/>
      <c r="F32" s="314"/>
      <c r="G32" s="314"/>
      <c r="H32" s="314"/>
      <c r="I32" s="314"/>
      <c r="J32" s="314"/>
      <c r="K32" s="314"/>
      <c r="L32" s="314"/>
      <c r="M32" s="314"/>
      <c r="N32" s="314"/>
      <c r="O32" s="314"/>
      <c r="P32" s="314"/>
      <c r="Q32" s="314"/>
      <c r="R32" s="314"/>
      <c r="S32" s="314">
        <f t="shared" si="0"/>
        <v>167963237</v>
      </c>
      <c r="T32" s="314">
        <f t="shared" si="1"/>
        <v>49144548</v>
      </c>
      <c r="U32" s="314">
        <f t="shared" si="2"/>
        <v>118818689</v>
      </c>
      <c r="V32" s="46">
        <v>0</v>
      </c>
      <c r="W32" s="47">
        <f t="shared" ref="W32:W33" si="23">+E32+G32</f>
        <v>0</v>
      </c>
      <c r="X32" s="45">
        <f t="shared" ref="X32:X33" si="24">+W32*V32</f>
        <v>0</v>
      </c>
      <c r="Y32" s="47">
        <f t="shared" ref="Y32:Y34" si="25">+F32+H32</f>
        <v>0</v>
      </c>
      <c r="Z32" s="47">
        <f t="shared" ref="Z32:Z34" si="26">+Y32*V32</f>
        <v>0</v>
      </c>
    </row>
    <row r="33" spans="1:32" s="50" customFormat="1" ht="38.25" customHeight="1">
      <c r="A33" s="243">
        <v>11</v>
      </c>
      <c r="B33" s="146" t="s">
        <v>100</v>
      </c>
      <c r="C33" s="313">
        <v>925002773</v>
      </c>
      <c r="D33" s="313">
        <v>0</v>
      </c>
      <c r="E33" s="313">
        <v>0</v>
      </c>
      <c r="F33" s="313">
        <v>0</v>
      </c>
      <c r="G33" s="313">
        <v>0</v>
      </c>
      <c r="H33" s="313">
        <v>0</v>
      </c>
      <c r="I33" s="313">
        <v>0</v>
      </c>
      <c r="J33" s="313">
        <v>0</v>
      </c>
      <c r="K33" s="313">
        <v>0</v>
      </c>
      <c r="L33" s="313">
        <v>0</v>
      </c>
      <c r="M33" s="313">
        <v>0</v>
      </c>
      <c r="N33" s="313">
        <v>0</v>
      </c>
      <c r="O33" s="313">
        <v>0</v>
      </c>
      <c r="P33" s="313">
        <v>0</v>
      </c>
      <c r="Q33" s="313">
        <v>0</v>
      </c>
      <c r="R33" s="313">
        <v>0</v>
      </c>
      <c r="S33" s="314">
        <f t="shared" si="0"/>
        <v>925002773</v>
      </c>
      <c r="T33" s="314">
        <f t="shared" si="1"/>
        <v>925002773</v>
      </c>
      <c r="U33" s="314">
        <f t="shared" si="2"/>
        <v>0</v>
      </c>
      <c r="V33" s="46">
        <v>0</v>
      </c>
      <c r="W33" s="47">
        <f t="shared" si="23"/>
        <v>0</v>
      </c>
      <c r="X33" s="45">
        <f t="shared" si="24"/>
        <v>0</v>
      </c>
      <c r="Y33" s="47">
        <f t="shared" si="25"/>
        <v>0</v>
      </c>
      <c r="Z33" s="47">
        <f t="shared" si="26"/>
        <v>0</v>
      </c>
    </row>
    <row r="34" spans="1:32" s="50" customFormat="1" ht="38.25" customHeight="1">
      <c r="A34" s="243" t="s">
        <v>291</v>
      </c>
      <c r="B34" s="146" t="s">
        <v>457</v>
      </c>
      <c r="C34" s="314">
        <f>+C35+C36</f>
        <v>0</v>
      </c>
      <c r="D34" s="314">
        <f t="shared" ref="D34:R34" si="27">+D35+D36</f>
        <v>0</v>
      </c>
      <c r="E34" s="314">
        <f t="shared" si="27"/>
        <v>0</v>
      </c>
      <c r="F34" s="314">
        <f t="shared" si="27"/>
        <v>0</v>
      </c>
      <c r="G34" s="314">
        <f t="shared" si="27"/>
        <v>0</v>
      </c>
      <c r="H34" s="314">
        <f t="shared" si="27"/>
        <v>0</v>
      </c>
      <c r="I34" s="314">
        <f t="shared" si="27"/>
        <v>0</v>
      </c>
      <c r="J34" s="314">
        <f t="shared" si="27"/>
        <v>0</v>
      </c>
      <c r="K34" s="314">
        <f t="shared" si="27"/>
        <v>0</v>
      </c>
      <c r="L34" s="314">
        <f t="shared" si="27"/>
        <v>0</v>
      </c>
      <c r="M34" s="314">
        <f t="shared" si="27"/>
        <v>0</v>
      </c>
      <c r="N34" s="314">
        <f t="shared" si="27"/>
        <v>0</v>
      </c>
      <c r="O34" s="314">
        <f t="shared" si="27"/>
        <v>0</v>
      </c>
      <c r="P34" s="314">
        <f t="shared" si="27"/>
        <v>0</v>
      </c>
      <c r="Q34" s="314">
        <f t="shared" si="27"/>
        <v>0</v>
      </c>
      <c r="R34" s="314">
        <f t="shared" si="27"/>
        <v>0</v>
      </c>
      <c r="S34" s="314">
        <f t="shared" si="0"/>
        <v>0</v>
      </c>
      <c r="T34" s="314">
        <f t="shared" si="1"/>
        <v>0</v>
      </c>
      <c r="U34" s="314">
        <f t="shared" si="2"/>
        <v>0</v>
      </c>
      <c r="V34" s="46">
        <v>0</v>
      </c>
      <c r="W34" s="47">
        <f>+E34+G34</f>
        <v>0</v>
      </c>
      <c r="X34" s="45">
        <f>+W34*V34</f>
        <v>0</v>
      </c>
      <c r="Y34" s="47">
        <f t="shared" si="25"/>
        <v>0</v>
      </c>
      <c r="Z34" s="47">
        <f t="shared" si="26"/>
        <v>0</v>
      </c>
    </row>
    <row r="35" spans="1:32" s="50" customFormat="1" ht="45" customHeight="1">
      <c r="A35" s="243" t="s">
        <v>124</v>
      </c>
      <c r="B35" s="146" t="s">
        <v>449</v>
      </c>
      <c r="C35" s="313">
        <v>0</v>
      </c>
      <c r="D35" s="313">
        <v>0</v>
      </c>
      <c r="E35" s="313">
        <v>0</v>
      </c>
      <c r="F35" s="313">
        <v>0</v>
      </c>
      <c r="G35" s="313">
        <v>0</v>
      </c>
      <c r="H35" s="313">
        <v>0</v>
      </c>
      <c r="I35" s="313">
        <v>0</v>
      </c>
      <c r="J35" s="313">
        <v>0</v>
      </c>
      <c r="K35" s="313">
        <v>0</v>
      </c>
      <c r="L35" s="313">
        <v>0</v>
      </c>
      <c r="M35" s="313">
        <v>0</v>
      </c>
      <c r="N35" s="313">
        <v>0</v>
      </c>
      <c r="O35" s="313">
        <v>0</v>
      </c>
      <c r="P35" s="313">
        <v>0</v>
      </c>
      <c r="Q35" s="313">
        <v>0</v>
      </c>
      <c r="R35" s="313">
        <v>0</v>
      </c>
      <c r="S35" s="314">
        <f t="shared" si="0"/>
        <v>0</v>
      </c>
      <c r="T35" s="314">
        <f t="shared" si="1"/>
        <v>0</v>
      </c>
      <c r="U35" s="314">
        <f t="shared" si="2"/>
        <v>0</v>
      </c>
      <c r="V35" s="46">
        <v>1</v>
      </c>
      <c r="W35" s="47">
        <f>+S35</f>
        <v>0</v>
      </c>
      <c r="X35" s="48">
        <f t="shared" si="3"/>
        <v>0</v>
      </c>
      <c r="Y35" s="47">
        <f>+U35</f>
        <v>0</v>
      </c>
      <c r="Z35" s="48">
        <f t="shared" si="6"/>
        <v>0</v>
      </c>
    </row>
    <row r="36" spans="1:32" s="50" customFormat="1" ht="38.25" customHeight="1">
      <c r="A36" s="243" t="s">
        <v>126</v>
      </c>
      <c r="B36" s="146" t="s">
        <v>448</v>
      </c>
      <c r="C36" s="313">
        <v>0</v>
      </c>
      <c r="D36" s="313">
        <v>0</v>
      </c>
      <c r="E36" s="313">
        <v>0</v>
      </c>
      <c r="F36" s="313">
        <v>0</v>
      </c>
      <c r="G36" s="313">
        <v>0</v>
      </c>
      <c r="H36" s="313">
        <v>0</v>
      </c>
      <c r="I36" s="313">
        <v>0</v>
      </c>
      <c r="J36" s="313">
        <v>0</v>
      </c>
      <c r="K36" s="313">
        <v>0</v>
      </c>
      <c r="L36" s="313">
        <v>0</v>
      </c>
      <c r="M36" s="313">
        <v>0</v>
      </c>
      <c r="N36" s="313">
        <v>0</v>
      </c>
      <c r="O36" s="313">
        <v>0</v>
      </c>
      <c r="P36" s="313">
        <v>0</v>
      </c>
      <c r="Q36" s="313">
        <v>0</v>
      </c>
      <c r="R36" s="313">
        <v>0</v>
      </c>
      <c r="S36" s="314">
        <f t="shared" si="0"/>
        <v>0</v>
      </c>
      <c r="T36" s="314">
        <f t="shared" si="1"/>
        <v>0</v>
      </c>
      <c r="U36" s="314">
        <f t="shared" si="2"/>
        <v>0</v>
      </c>
      <c r="V36" s="46">
        <v>0</v>
      </c>
      <c r="W36" s="47"/>
      <c r="X36" s="45"/>
      <c r="Y36" s="47"/>
      <c r="Z36" s="47"/>
    </row>
    <row r="37" spans="1:32" s="50" customFormat="1" ht="38.25" customHeight="1">
      <c r="A37" s="243" t="s">
        <v>292</v>
      </c>
      <c r="B37" s="146" t="s">
        <v>293</v>
      </c>
      <c r="C37" s="313">
        <v>0</v>
      </c>
      <c r="D37" s="313">
        <v>0</v>
      </c>
      <c r="E37" s="313">
        <v>0</v>
      </c>
      <c r="F37" s="313">
        <v>0</v>
      </c>
      <c r="G37" s="313">
        <v>0</v>
      </c>
      <c r="H37" s="313">
        <v>0</v>
      </c>
      <c r="I37" s="313">
        <v>0</v>
      </c>
      <c r="J37" s="313">
        <v>0</v>
      </c>
      <c r="K37" s="313">
        <v>0</v>
      </c>
      <c r="L37" s="313">
        <v>0</v>
      </c>
      <c r="M37" s="313">
        <v>0</v>
      </c>
      <c r="N37" s="313">
        <v>0</v>
      </c>
      <c r="O37" s="313">
        <v>0</v>
      </c>
      <c r="P37" s="313">
        <v>0</v>
      </c>
      <c r="Q37" s="313">
        <v>903999652</v>
      </c>
      <c r="R37" s="313">
        <v>0</v>
      </c>
      <c r="S37" s="314">
        <f t="shared" si="0"/>
        <v>903999652</v>
      </c>
      <c r="T37" s="314">
        <f t="shared" si="1"/>
        <v>903999652</v>
      </c>
      <c r="U37" s="314">
        <f t="shared" si="2"/>
        <v>0</v>
      </c>
      <c r="V37" s="46">
        <v>0</v>
      </c>
      <c r="W37" s="47"/>
      <c r="X37" s="45"/>
      <c r="Y37" s="47"/>
      <c r="Z37" s="47"/>
    </row>
    <row r="38" spans="1:32" s="50" customFormat="1" ht="38.25" customHeight="1">
      <c r="A38" s="243" t="s">
        <v>294</v>
      </c>
      <c r="B38" s="146" t="s">
        <v>123</v>
      </c>
      <c r="C38" s="313">
        <v>790493963</v>
      </c>
      <c r="D38" s="313">
        <v>0</v>
      </c>
      <c r="E38" s="313">
        <v>0</v>
      </c>
      <c r="F38" s="313">
        <v>0</v>
      </c>
      <c r="G38" s="313">
        <v>0</v>
      </c>
      <c r="H38" s="313">
        <v>0</v>
      </c>
      <c r="I38" s="313">
        <v>0</v>
      </c>
      <c r="J38" s="313">
        <v>0</v>
      </c>
      <c r="K38" s="313">
        <v>0</v>
      </c>
      <c r="L38" s="313">
        <v>0</v>
      </c>
      <c r="M38" s="313">
        <v>0</v>
      </c>
      <c r="N38" s="313">
        <v>0</v>
      </c>
      <c r="O38" s="313">
        <v>0</v>
      </c>
      <c r="P38" s="313">
        <v>0</v>
      </c>
      <c r="Q38" s="313">
        <v>0</v>
      </c>
      <c r="R38" s="313">
        <v>0</v>
      </c>
      <c r="S38" s="314">
        <f t="shared" si="0"/>
        <v>790493963</v>
      </c>
      <c r="T38" s="314">
        <f t="shared" si="1"/>
        <v>790493963</v>
      </c>
      <c r="U38" s="314">
        <f t="shared" si="2"/>
        <v>0</v>
      </c>
      <c r="V38" s="46">
        <v>0</v>
      </c>
      <c r="W38" s="47"/>
      <c r="X38" s="45"/>
      <c r="Y38" s="47"/>
      <c r="Z38" s="47"/>
    </row>
    <row r="39" spans="1:32" s="50" customFormat="1" ht="38.25" customHeight="1">
      <c r="A39" s="243" t="s">
        <v>136</v>
      </c>
      <c r="B39" s="146" t="s">
        <v>295</v>
      </c>
      <c r="C39" s="313">
        <v>0</v>
      </c>
      <c r="D39" s="313">
        <v>0</v>
      </c>
      <c r="E39" s="313">
        <v>0</v>
      </c>
      <c r="F39" s="313">
        <v>0</v>
      </c>
      <c r="G39" s="313">
        <v>0</v>
      </c>
      <c r="H39" s="313">
        <v>0</v>
      </c>
      <c r="I39" s="313">
        <v>0</v>
      </c>
      <c r="J39" s="313">
        <v>0</v>
      </c>
      <c r="K39" s="313">
        <v>0</v>
      </c>
      <c r="L39" s="313">
        <v>0</v>
      </c>
      <c r="M39" s="313">
        <v>0</v>
      </c>
      <c r="N39" s="313">
        <v>0</v>
      </c>
      <c r="O39" s="313">
        <v>0</v>
      </c>
      <c r="P39" s="313">
        <v>0</v>
      </c>
      <c r="Q39" s="313">
        <v>0</v>
      </c>
      <c r="R39" s="313">
        <v>0</v>
      </c>
      <c r="S39" s="314">
        <f t="shared" si="0"/>
        <v>0</v>
      </c>
      <c r="T39" s="314">
        <f t="shared" si="1"/>
        <v>0</v>
      </c>
      <c r="U39" s="314">
        <f t="shared" si="2"/>
        <v>0</v>
      </c>
      <c r="V39" s="46">
        <v>0</v>
      </c>
      <c r="W39" s="47"/>
      <c r="X39" s="45"/>
      <c r="Y39" s="47"/>
      <c r="Z39" s="47"/>
    </row>
    <row r="40" spans="1:32" s="50" customFormat="1" ht="38.25" customHeight="1">
      <c r="A40" s="243" t="s">
        <v>139</v>
      </c>
      <c r="B40" s="146" t="s">
        <v>296</v>
      </c>
      <c r="C40" s="313">
        <v>0</v>
      </c>
      <c r="D40" s="314"/>
      <c r="E40" s="313">
        <v>0</v>
      </c>
      <c r="F40" s="314"/>
      <c r="G40" s="313">
        <v>0</v>
      </c>
      <c r="H40" s="314"/>
      <c r="I40" s="313">
        <v>0</v>
      </c>
      <c r="J40" s="314"/>
      <c r="K40" s="313">
        <v>0</v>
      </c>
      <c r="L40" s="314"/>
      <c r="M40" s="313">
        <v>0</v>
      </c>
      <c r="N40" s="314"/>
      <c r="O40" s="313">
        <v>0</v>
      </c>
      <c r="P40" s="314"/>
      <c r="Q40" s="313">
        <v>0</v>
      </c>
      <c r="R40" s="314"/>
      <c r="S40" s="314">
        <f t="shared" si="0"/>
        <v>0</v>
      </c>
      <c r="T40" s="314">
        <f t="shared" si="1"/>
        <v>0</v>
      </c>
      <c r="U40" s="314">
        <f t="shared" si="2"/>
        <v>0</v>
      </c>
      <c r="V40" s="46">
        <v>0</v>
      </c>
      <c r="W40" s="47"/>
      <c r="X40" s="45"/>
      <c r="Y40" s="47"/>
      <c r="Z40" s="47"/>
    </row>
    <row r="41" spans="1:32" s="50" customFormat="1" ht="38.25" customHeight="1">
      <c r="A41" s="243" t="s">
        <v>141</v>
      </c>
      <c r="B41" s="146" t="s">
        <v>297</v>
      </c>
      <c r="C41" s="313">
        <v>0</v>
      </c>
      <c r="D41" s="313">
        <v>0</v>
      </c>
      <c r="E41" s="313">
        <v>0</v>
      </c>
      <c r="F41" s="313">
        <v>0</v>
      </c>
      <c r="G41" s="313">
        <v>0</v>
      </c>
      <c r="H41" s="313">
        <v>0</v>
      </c>
      <c r="I41" s="313">
        <v>0</v>
      </c>
      <c r="J41" s="313">
        <v>0</v>
      </c>
      <c r="K41" s="313">
        <v>0</v>
      </c>
      <c r="L41" s="313">
        <v>0</v>
      </c>
      <c r="M41" s="313">
        <v>0</v>
      </c>
      <c r="N41" s="313">
        <v>0</v>
      </c>
      <c r="O41" s="313">
        <v>0</v>
      </c>
      <c r="P41" s="313">
        <v>0</v>
      </c>
      <c r="Q41" s="313">
        <v>0</v>
      </c>
      <c r="R41" s="313">
        <v>0</v>
      </c>
      <c r="S41" s="314">
        <f t="shared" si="0"/>
        <v>0</v>
      </c>
      <c r="T41" s="314">
        <f t="shared" si="1"/>
        <v>0</v>
      </c>
      <c r="U41" s="314">
        <f t="shared" si="2"/>
        <v>0</v>
      </c>
      <c r="V41" s="46">
        <v>0</v>
      </c>
      <c r="W41" s="47"/>
      <c r="X41" s="45"/>
      <c r="Y41" s="47"/>
      <c r="Z41" s="47"/>
    </row>
    <row r="42" spans="1:32" s="50" customFormat="1" ht="38.25" customHeight="1">
      <c r="A42" s="243" t="s">
        <v>143</v>
      </c>
      <c r="B42" s="146" t="s">
        <v>298</v>
      </c>
      <c r="C42" s="313">
        <v>850172105</v>
      </c>
      <c r="D42" s="313">
        <v>138030356</v>
      </c>
      <c r="E42" s="313">
        <v>0</v>
      </c>
      <c r="F42" s="313">
        <v>0</v>
      </c>
      <c r="G42" s="313">
        <v>1018228812</v>
      </c>
      <c r="H42" s="313">
        <v>367568287</v>
      </c>
      <c r="I42" s="313">
        <v>0</v>
      </c>
      <c r="J42" s="313">
        <v>0</v>
      </c>
      <c r="K42" s="313">
        <v>0</v>
      </c>
      <c r="L42" s="313">
        <v>0</v>
      </c>
      <c r="M42" s="313">
        <v>0</v>
      </c>
      <c r="N42" s="313">
        <v>0</v>
      </c>
      <c r="O42" s="313">
        <v>0</v>
      </c>
      <c r="P42" s="313">
        <v>0</v>
      </c>
      <c r="Q42" s="313">
        <v>0</v>
      </c>
      <c r="R42" s="313">
        <v>0</v>
      </c>
      <c r="S42" s="314">
        <f>+C42+E42+G42+I42+K42+M42+O42+Q42</f>
        <v>1868400917</v>
      </c>
      <c r="T42" s="314">
        <f t="shared" si="1"/>
        <v>1362802274</v>
      </c>
      <c r="U42" s="314">
        <f>+D42+F42+H42+J42+L42+N42+P42+R42</f>
        <v>505598643</v>
      </c>
      <c r="V42" s="46">
        <v>0.5</v>
      </c>
      <c r="W42" s="72">
        <f>+E42+G42</f>
        <v>1018228812</v>
      </c>
      <c r="X42" s="45">
        <f>+W42*V42</f>
        <v>509114406</v>
      </c>
      <c r="Y42" s="72">
        <f>+F42+H42</f>
        <v>367568287</v>
      </c>
      <c r="Z42" s="72">
        <f>+Y42*V42</f>
        <v>183784143.5</v>
      </c>
    </row>
    <row r="43" spans="1:32" s="50" customFormat="1" ht="38.25" customHeight="1">
      <c r="A43" s="243" t="s">
        <v>474</v>
      </c>
      <c r="B43" s="146" t="s">
        <v>486</v>
      </c>
      <c r="C43" s="313">
        <v>0</v>
      </c>
      <c r="D43" s="313">
        <v>0</v>
      </c>
      <c r="E43" s="313">
        <v>0</v>
      </c>
      <c r="F43" s="313">
        <v>0</v>
      </c>
      <c r="G43" s="313">
        <v>2</v>
      </c>
      <c r="H43" s="313">
        <v>2</v>
      </c>
      <c r="I43" s="313">
        <v>0</v>
      </c>
      <c r="J43" s="313">
        <v>0</v>
      </c>
      <c r="K43" s="313">
        <v>0</v>
      </c>
      <c r="L43" s="313">
        <v>0</v>
      </c>
      <c r="M43" s="313">
        <v>0</v>
      </c>
      <c r="N43" s="313">
        <v>0</v>
      </c>
      <c r="O43" s="313">
        <v>0</v>
      </c>
      <c r="P43" s="313">
        <v>0</v>
      </c>
      <c r="Q43" s="313">
        <v>0</v>
      </c>
      <c r="R43" s="313">
        <v>0</v>
      </c>
      <c r="S43" s="314">
        <f t="shared" ref="S43:S44" si="28">+C43+E43+G43+I43+K43+M43+O43+Q43</f>
        <v>2</v>
      </c>
      <c r="T43" s="314">
        <f t="shared" ref="T43:T44" si="29">+S43-U43</f>
        <v>0</v>
      </c>
      <c r="U43" s="314">
        <f t="shared" ref="U43:U44" si="30">+D43+F43+H43+J43+L43+N43+P43+R43</f>
        <v>2</v>
      </c>
      <c r="V43" s="46">
        <v>1</v>
      </c>
      <c r="W43" s="72">
        <f>+E43+G43</f>
        <v>2</v>
      </c>
      <c r="X43" s="45">
        <f>+W43*V43</f>
        <v>2</v>
      </c>
      <c r="Y43" s="72">
        <f>+F43+H43</f>
        <v>2</v>
      </c>
      <c r="Z43" s="72">
        <f>+Y43*V43</f>
        <v>2</v>
      </c>
    </row>
    <row r="44" spans="1:32" s="50" customFormat="1" ht="38.25" customHeight="1">
      <c r="A44" s="243" t="s">
        <v>476</v>
      </c>
      <c r="B44" s="146" t="s">
        <v>475</v>
      </c>
      <c r="C44" s="313">
        <v>0</v>
      </c>
      <c r="D44" s="313">
        <v>0</v>
      </c>
      <c r="E44" s="313">
        <v>0</v>
      </c>
      <c r="F44" s="313">
        <v>0</v>
      </c>
      <c r="G44" s="313">
        <v>2088316</v>
      </c>
      <c r="H44" s="313">
        <v>1959333</v>
      </c>
      <c r="I44" s="313">
        <v>0</v>
      </c>
      <c r="J44" s="313">
        <v>0</v>
      </c>
      <c r="K44" s="313">
        <v>0</v>
      </c>
      <c r="L44" s="313">
        <v>0</v>
      </c>
      <c r="M44" s="313">
        <v>0</v>
      </c>
      <c r="N44" s="313">
        <v>0</v>
      </c>
      <c r="O44" s="313">
        <v>0</v>
      </c>
      <c r="P44" s="313">
        <v>0</v>
      </c>
      <c r="Q44" s="313">
        <v>0</v>
      </c>
      <c r="R44" s="313">
        <v>0</v>
      </c>
      <c r="S44" s="314">
        <f t="shared" si="28"/>
        <v>2088316</v>
      </c>
      <c r="T44" s="314">
        <f t="shared" si="29"/>
        <v>128983</v>
      </c>
      <c r="U44" s="314">
        <f t="shared" si="30"/>
        <v>1959333</v>
      </c>
      <c r="V44" s="46">
        <v>1</v>
      </c>
      <c r="W44" s="72">
        <f>+E44+G44</f>
        <v>2088316</v>
      </c>
      <c r="X44" s="45">
        <f>+W44*V44</f>
        <v>2088316</v>
      </c>
      <c r="Y44" s="72">
        <f>+F44+H44</f>
        <v>1959333</v>
      </c>
      <c r="Z44" s="72">
        <f>+Y44*V44</f>
        <v>1959333</v>
      </c>
    </row>
    <row r="45" spans="1:32" s="50" customFormat="1" ht="38.25" customHeight="1">
      <c r="A45" s="243" t="s">
        <v>145</v>
      </c>
      <c r="B45" s="146" t="s">
        <v>299</v>
      </c>
      <c r="C45" s="313">
        <v>359867846</v>
      </c>
      <c r="D45" s="313">
        <v>30483330</v>
      </c>
      <c r="E45" s="313">
        <v>0</v>
      </c>
      <c r="F45" s="313">
        <v>0</v>
      </c>
      <c r="G45" s="313">
        <v>6987324</v>
      </c>
      <c r="H45" s="313">
        <v>0</v>
      </c>
      <c r="I45" s="313">
        <v>13974648</v>
      </c>
      <c r="J45" s="313">
        <v>0</v>
      </c>
      <c r="K45" s="313">
        <v>20961973</v>
      </c>
      <c r="L45" s="313">
        <v>0</v>
      </c>
      <c r="M45" s="313">
        <v>41923945</v>
      </c>
      <c r="N45" s="313">
        <v>0</v>
      </c>
      <c r="O45" s="313">
        <v>81740401</v>
      </c>
      <c r="P45" s="313">
        <v>0</v>
      </c>
      <c r="Q45" s="313">
        <v>252323958</v>
      </c>
      <c r="R45" s="313">
        <v>0</v>
      </c>
      <c r="S45" s="314">
        <f t="shared" si="0"/>
        <v>777780095</v>
      </c>
      <c r="T45" s="314">
        <f t="shared" si="1"/>
        <v>747296765</v>
      </c>
      <c r="U45" s="314">
        <f t="shared" si="2"/>
        <v>30483330</v>
      </c>
      <c r="V45" s="46">
        <v>0</v>
      </c>
      <c r="W45" s="72"/>
      <c r="X45" s="45"/>
      <c r="Y45" s="72"/>
      <c r="Z45" s="72"/>
    </row>
    <row r="46" spans="1:32" s="50" customFormat="1" ht="38.25" customHeight="1">
      <c r="A46" s="243" t="s">
        <v>147</v>
      </c>
      <c r="B46" s="146" t="s">
        <v>460</v>
      </c>
      <c r="C46" s="313">
        <v>0</v>
      </c>
      <c r="D46" s="313">
        <v>0</v>
      </c>
      <c r="E46" s="313">
        <v>0</v>
      </c>
      <c r="F46" s="313">
        <v>0</v>
      </c>
      <c r="G46" s="313">
        <v>0</v>
      </c>
      <c r="H46" s="313">
        <v>0</v>
      </c>
      <c r="I46" s="313">
        <v>0</v>
      </c>
      <c r="J46" s="313">
        <v>0</v>
      </c>
      <c r="K46" s="313">
        <v>0</v>
      </c>
      <c r="L46" s="313">
        <v>0</v>
      </c>
      <c r="M46" s="313">
        <v>0</v>
      </c>
      <c r="N46" s="313">
        <v>0</v>
      </c>
      <c r="O46" s="313">
        <v>0</v>
      </c>
      <c r="P46" s="313">
        <v>0</v>
      </c>
      <c r="Q46" s="313">
        <v>0</v>
      </c>
      <c r="R46" s="313">
        <v>0</v>
      </c>
      <c r="S46" s="314">
        <f t="shared" ref="S46" si="31">+C46+E46+G46+I46+K46+M46+O46+Q46</f>
        <v>0</v>
      </c>
      <c r="T46" s="314">
        <f t="shared" ref="T46" si="32">+S46-U46</f>
        <v>0</v>
      </c>
      <c r="U46" s="314">
        <f t="shared" ref="U46" si="33">+D46+F46+H46+J46+L46+N46+P46+R46</f>
        <v>0</v>
      </c>
      <c r="V46" s="46">
        <v>1</v>
      </c>
      <c r="W46" s="72">
        <f>+C46+E46+G46</f>
        <v>0</v>
      </c>
      <c r="X46" s="45">
        <f>+W46*V46</f>
        <v>0</v>
      </c>
      <c r="Y46" s="72">
        <f>+D46+F46+H46</f>
        <v>0</v>
      </c>
      <c r="Z46" s="72">
        <f>+Y46*V46</f>
        <v>0</v>
      </c>
    </row>
    <row r="47" spans="1:32" s="49" customFormat="1" ht="32.25" customHeight="1">
      <c r="A47" s="147" t="s">
        <v>149</v>
      </c>
      <c r="B47" s="148" t="s">
        <v>301</v>
      </c>
      <c r="C47" s="315">
        <f t="shared" ref="C47:R47" si="34">SUM(C6:C45)-C9-C13-C17-C18-C31-C34</f>
        <v>6889821463</v>
      </c>
      <c r="D47" s="315">
        <f t="shared" si="34"/>
        <v>2642571015</v>
      </c>
      <c r="E47" s="315">
        <f t="shared" si="34"/>
        <v>1464748366</v>
      </c>
      <c r="F47" s="315">
        <f t="shared" si="34"/>
        <v>523262019</v>
      </c>
      <c r="G47" s="315">
        <f t="shared" si="34"/>
        <v>1321358327</v>
      </c>
      <c r="H47" s="315">
        <f t="shared" si="34"/>
        <v>637372047</v>
      </c>
      <c r="I47" s="315">
        <f t="shared" si="34"/>
        <v>1915778182</v>
      </c>
      <c r="J47" s="315">
        <f t="shared" si="34"/>
        <v>1151664227</v>
      </c>
      <c r="K47" s="315">
        <f t="shared" si="34"/>
        <v>1638324229</v>
      </c>
      <c r="L47" s="315">
        <f t="shared" si="34"/>
        <v>274736488</v>
      </c>
      <c r="M47" s="315">
        <f t="shared" si="34"/>
        <v>2664146600</v>
      </c>
      <c r="N47" s="315">
        <f t="shared" si="34"/>
        <v>407205715</v>
      </c>
      <c r="O47" s="315">
        <f t="shared" si="34"/>
        <v>4124168976</v>
      </c>
      <c r="P47" s="315">
        <f t="shared" si="34"/>
        <v>691457738</v>
      </c>
      <c r="Q47" s="315">
        <f t="shared" si="34"/>
        <v>10710441037</v>
      </c>
      <c r="R47" s="315">
        <f t="shared" si="34"/>
        <v>1530776179</v>
      </c>
      <c r="S47" s="315">
        <f>+C47+E47+G47+I47+K47+M47+O47+Q47</f>
        <v>30728787180</v>
      </c>
      <c r="T47" s="315">
        <f t="shared" si="1"/>
        <v>22869741752</v>
      </c>
      <c r="U47" s="315">
        <f t="shared" si="2"/>
        <v>7859045428</v>
      </c>
      <c r="V47" s="285"/>
      <c r="W47" s="285"/>
      <c r="X47" s="285">
        <f>+X12+X14+X15+X16+X18+X25+X26+X27+X28+X29+X30+X42+X46+(T23*0.2)+X43+X44</f>
        <v>1379260817</v>
      </c>
      <c r="Y47" s="285"/>
      <c r="Z47" s="285">
        <f>+Z12+Z14+Z15+Z16+Z18+Z25+Z26+Z27+Z28+Z29+Z30+Z42+Z46+(U23*0.2)+Z43+Z44</f>
        <v>886007491.5</v>
      </c>
      <c r="AA47" s="288">
        <f>+Balance!C47</f>
        <v>30728787180</v>
      </c>
      <c r="AB47" s="288">
        <f>+Balance!D47</f>
        <v>22869741752</v>
      </c>
      <c r="AC47" s="288">
        <f>+Balance!E47</f>
        <v>7859045428</v>
      </c>
      <c r="AD47" s="288"/>
      <c r="AE47" s="288"/>
      <c r="AF47" s="288"/>
    </row>
    <row r="48" spans="1:32" s="283" customFormat="1" ht="15">
      <c r="A48" s="145"/>
      <c r="B48" s="150" t="s">
        <v>302</v>
      </c>
      <c r="C48" s="314"/>
      <c r="D48" s="314"/>
      <c r="E48" s="314"/>
      <c r="F48" s="314"/>
      <c r="G48" s="314"/>
      <c r="H48" s="314"/>
      <c r="I48" s="314"/>
      <c r="J48" s="314"/>
      <c r="K48" s="314"/>
      <c r="L48" s="314"/>
      <c r="M48" s="314"/>
      <c r="N48" s="314"/>
      <c r="O48" s="314"/>
      <c r="P48" s="314"/>
      <c r="Q48" s="314"/>
      <c r="R48" s="314"/>
      <c r="S48" s="314"/>
      <c r="T48" s="314"/>
      <c r="U48" s="314"/>
      <c r="V48" s="46"/>
      <c r="W48" s="72"/>
      <c r="X48" s="72"/>
      <c r="Y48" s="72"/>
      <c r="Z48" s="72"/>
      <c r="AA48" s="327">
        <f>+AA47-S47</f>
        <v>0</v>
      </c>
      <c r="AB48" s="327">
        <f>+AB47-T47</f>
        <v>0</v>
      </c>
      <c r="AC48" s="327">
        <f>+AC47-U47</f>
        <v>0</v>
      </c>
      <c r="AD48" s="290"/>
      <c r="AE48" s="290"/>
      <c r="AF48" s="290"/>
    </row>
    <row r="49" spans="1:32" s="283" customFormat="1" ht="25.5" customHeight="1">
      <c r="A49" s="145">
        <v>1</v>
      </c>
      <c r="B49" s="146" t="s">
        <v>303</v>
      </c>
      <c r="C49" s="313">
        <v>67080319</v>
      </c>
      <c r="D49" s="313">
        <v>0</v>
      </c>
      <c r="E49" s="313">
        <v>543288</v>
      </c>
      <c r="F49" s="313">
        <v>0</v>
      </c>
      <c r="G49" s="313">
        <v>467610</v>
      </c>
      <c r="H49" s="313">
        <v>0</v>
      </c>
      <c r="I49" s="313">
        <v>4499707</v>
      </c>
      <c r="J49" s="313">
        <v>0</v>
      </c>
      <c r="K49" s="313">
        <v>24236196</v>
      </c>
      <c r="L49" s="313">
        <v>0</v>
      </c>
      <c r="M49" s="313">
        <v>160969981</v>
      </c>
      <c r="N49" s="313">
        <v>20370613</v>
      </c>
      <c r="O49" s="313">
        <v>40608933</v>
      </c>
      <c r="P49" s="313">
        <v>9422212</v>
      </c>
      <c r="Q49" s="313">
        <v>608565839</v>
      </c>
      <c r="R49" s="313">
        <v>292754194</v>
      </c>
      <c r="S49" s="314">
        <f t="shared" ref="S49" si="35">+C49+E49+G49+I49+K49+M49+O49+Q49</f>
        <v>906971873</v>
      </c>
      <c r="T49" s="314">
        <f t="shared" ref="T49" si="36">+S49-U49</f>
        <v>584424854</v>
      </c>
      <c r="U49" s="314">
        <f t="shared" ref="U49" si="37">+D49+F49+H49+J49+L49+N49+P49+R49</f>
        <v>322547019</v>
      </c>
      <c r="V49" s="46"/>
      <c r="W49" s="72"/>
      <c r="X49" s="72"/>
      <c r="Y49" s="72"/>
      <c r="Z49" s="72"/>
      <c r="AA49" s="291">
        <f>+Commitments!C4</f>
        <v>906971873</v>
      </c>
      <c r="AB49" s="291">
        <f>+Commitments!D4</f>
        <v>584424854</v>
      </c>
      <c r="AC49" s="291">
        <f>+Commitments!E4</f>
        <v>322547019</v>
      </c>
      <c r="AD49" s="289">
        <f>+AA49-S49</f>
        <v>0</v>
      </c>
      <c r="AE49" s="289">
        <f>+AB49-T49</f>
        <v>0</v>
      </c>
      <c r="AF49" s="289">
        <f>+AC49-U49</f>
        <v>0</v>
      </c>
    </row>
    <row r="50" spans="1:32" s="283" customFormat="1" ht="31.5" customHeight="1">
      <c r="A50" s="145"/>
      <c r="B50" s="146" t="s">
        <v>304</v>
      </c>
      <c r="C50" s="313">
        <v>305000</v>
      </c>
      <c r="D50" s="313">
        <v>0</v>
      </c>
      <c r="E50" s="313">
        <v>0</v>
      </c>
      <c r="F50" s="313">
        <v>0</v>
      </c>
      <c r="G50" s="313">
        <v>0</v>
      </c>
      <c r="H50" s="313">
        <v>0</v>
      </c>
      <c r="I50" s="313">
        <v>0</v>
      </c>
      <c r="J50" s="313">
        <v>0</v>
      </c>
      <c r="K50" s="313">
        <v>0</v>
      </c>
      <c r="L50" s="313">
        <v>0</v>
      </c>
      <c r="M50" s="313">
        <v>0</v>
      </c>
      <c r="N50" s="313">
        <v>0</v>
      </c>
      <c r="O50" s="313">
        <v>1056042.5</v>
      </c>
      <c r="P50" s="313">
        <v>0</v>
      </c>
      <c r="Q50" s="313">
        <v>129002403.35648</v>
      </c>
      <c r="R50" s="313">
        <v>51770338.610100001</v>
      </c>
      <c r="S50" s="314">
        <f t="shared" ref="S50:S54" si="38">+C50+E50+G50+I50+K50+M50+O50+Q50</f>
        <v>130363445.85648</v>
      </c>
      <c r="T50" s="314">
        <f t="shared" ref="T50:T54" si="39">+S50-U50</f>
        <v>78593107.246380001</v>
      </c>
      <c r="U50" s="314">
        <f t="shared" ref="U50:U54" si="40">+D50+F50+H50+J50+L50+N50+P50+R50</f>
        <v>51770338.610100001</v>
      </c>
      <c r="V50" s="46"/>
      <c r="W50" s="72"/>
      <c r="X50" s="72"/>
      <c r="Y50" s="72"/>
      <c r="Z50" s="72"/>
      <c r="AA50" s="291">
        <f>+Commitments!C5</f>
        <v>130363445.85648</v>
      </c>
      <c r="AB50" s="291">
        <f>+Commitments!D5</f>
        <v>78593107.246380001</v>
      </c>
      <c r="AC50" s="291">
        <f>+Commitments!E5</f>
        <v>51770338.610100001</v>
      </c>
      <c r="AD50" s="290"/>
      <c r="AE50" s="290"/>
      <c r="AF50" s="290"/>
    </row>
    <row r="51" spans="1:32" s="283" customFormat="1" ht="25.5" customHeight="1">
      <c r="A51" s="145">
        <v>2</v>
      </c>
      <c r="B51" s="146" t="s">
        <v>305</v>
      </c>
      <c r="C51" s="313">
        <v>0</v>
      </c>
      <c r="D51" s="313">
        <v>0</v>
      </c>
      <c r="E51" s="313">
        <v>0</v>
      </c>
      <c r="F51" s="313">
        <v>0</v>
      </c>
      <c r="G51" s="313">
        <v>0</v>
      </c>
      <c r="H51" s="313">
        <v>0</v>
      </c>
      <c r="I51" s="313">
        <v>0</v>
      </c>
      <c r="J51" s="313">
        <v>0</v>
      </c>
      <c r="K51" s="313">
        <v>0</v>
      </c>
      <c r="L51" s="313">
        <v>0</v>
      </c>
      <c r="M51" s="313">
        <v>4285596</v>
      </c>
      <c r="N51" s="313">
        <v>4285596</v>
      </c>
      <c r="O51" s="313">
        <v>261696408</v>
      </c>
      <c r="P51" s="313">
        <v>258696408</v>
      </c>
      <c r="Q51" s="313">
        <v>179124237</v>
      </c>
      <c r="R51" s="313">
        <v>179124237</v>
      </c>
      <c r="S51" s="314">
        <f t="shared" si="38"/>
        <v>445106241</v>
      </c>
      <c r="T51" s="314">
        <f t="shared" si="39"/>
        <v>3000000</v>
      </c>
      <c r="U51" s="314">
        <f t="shared" si="40"/>
        <v>442106241</v>
      </c>
      <c r="V51" s="46"/>
      <c r="W51" s="72"/>
      <c r="X51" s="72"/>
      <c r="Y51" s="72"/>
      <c r="Z51" s="72"/>
      <c r="AA51" s="291">
        <f>+Commitments!C7</f>
        <v>445106241</v>
      </c>
      <c r="AB51" s="291">
        <f>+Commitments!D7</f>
        <v>3000000</v>
      </c>
      <c r="AC51" s="291">
        <f>+Commitments!E7</f>
        <v>442106241</v>
      </c>
      <c r="AD51" s="289">
        <f>+AA51-S51</f>
        <v>0</v>
      </c>
      <c r="AE51" s="289">
        <f>+AB51-T51</f>
        <v>0</v>
      </c>
      <c r="AF51" s="289">
        <f>+AC51-U51</f>
        <v>0</v>
      </c>
    </row>
    <row r="52" spans="1:32" s="283" customFormat="1" ht="28.5">
      <c r="A52" s="145"/>
      <c r="B52" s="146" t="s">
        <v>306</v>
      </c>
      <c r="C52" s="313">
        <v>0</v>
      </c>
      <c r="D52" s="313">
        <v>0</v>
      </c>
      <c r="E52" s="313">
        <v>0</v>
      </c>
      <c r="F52" s="313">
        <v>0</v>
      </c>
      <c r="G52" s="313">
        <v>0</v>
      </c>
      <c r="H52" s="313">
        <v>0</v>
      </c>
      <c r="I52" s="313">
        <v>0</v>
      </c>
      <c r="J52" s="313">
        <v>0</v>
      </c>
      <c r="K52" s="313">
        <v>0</v>
      </c>
      <c r="L52" s="313">
        <v>0</v>
      </c>
      <c r="M52" s="313">
        <v>0</v>
      </c>
      <c r="N52" s="313">
        <v>0</v>
      </c>
      <c r="O52" s="313">
        <v>115327725</v>
      </c>
      <c r="P52" s="313">
        <v>115327725</v>
      </c>
      <c r="Q52" s="313">
        <v>0</v>
      </c>
      <c r="R52" s="313">
        <v>0</v>
      </c>
      <c r="S52" s="314">
        <f t="shared" si="38"/>
        <v>115327725</v>
      </c>
      <c r="T52" s="314">
        <f t="shared" si="39"/>
        <v>0</v>
      </c>
      <c r="U52" s="314">
        <f t="shared" si="40"/>
        <v>115327725</v>
      </c>
      <c r="V52" s="46"/>
      <c r="W52" s="72"/>
      <c r="X52" s="72"/>
      <c r="Y52" s="72"/>
      <c r="Z52" s="72"/>
      <c r="AA52" s="291">
        <f>+Commitments!C8</f>
        <v>115327725</v>
      </c>
      <c r="AB52" s="291">
        <f>+Commitments!D8</f>
        <v>0</v>
      </c>
      <c r="AC52" s="291">
        <f>+Commitments!E8</f>
        <v>115327725</v>
      </c>
      <c r="AD52" s="290"/>
      <c r="AE52" s="290"/>
      <c r="AF52" s="290"/>
    </row>
    <row r="53" spans="1:32" s="283" customFormat="1" ht="25.5" customHeight="1">
      <c r="A53" s="145">
        <v>3</v>
      </c>
      <c r="B53" s="146" t="s">
        <v>307</v>
      </c>
      <c r="C53" s="313">
        <v>1346837</v>
      </c>
      <c r="D53" s="313">
        <v>1346837</v>
      </c>
      <c r="E53" s="313">
        <v>0</v>
      </c>
      <c r="F53" s="313">
        <v>0</v>
      </c>
      <c r="G53" s="313">
        <v>461709092</v>
      </c>
      <c r="H53" s="313">
        <v>461709092</v>
      </c>
      <c r="I53" s="313">
        <v>52854710</v>
      </c>
      <c r="J53" s="313">
        <v>52854710</v>
      </c>
      <c r="K53" s="313">
        <v>3840797</v>
      </c>
      <c r="L53" s="313">
        <v>3840797</v>
      </c>
      <c r="M53" s="313">
        <v>301658187</v>
      </c>
      <c r="N53" s="313">
        <v>301658187</v>
      </c>
      <c r="O53" s="313">
        <v>208029069</v>
      </c>
      <c r="P53" s="313">
        <v>208029069</v>
      </c>
      <c r="Q53" s="313">
        <v>0</v>
      </c>
      <c r="R53" s="313">
        <v>0</v>
      </c>
      <c r="S53" s="314">
        <f>+C53+E53+G53+I53+K53+M53+O53+Q53</f>
        <v>1029438692</v>
      </c>
      <c r="T53" s="314">
        <f t="shared" si="39"/>
        <v>0</v>
      </c>
      <c r="U53" s="314">
        <f>+D53+F53+H53+J53+L53+N53+P53+R53</f>
        <v>1029438692</v>
      </c>
      <c r="V53" s="46"/>
      <c r="W53" s="72"/>
      <c r="X53" s="72"/>
      <c r="Y53" s="72"/>
      <c r="Z53" s="72"/>
      <c r="AA53" s="291">
        <f>+Commitments!C10</f>
        <v>1029438692</v>
      </c>
      <c r="AB53" s="291">
        <f>+Commitments!D10</f>
        <v>0</v>
      </c>
      <c r="AC53" s="291">
        <f>+Commitments!E10</f>
        <v>1029438692</v>
      </c>
      <c r="AD53" s="289">
        <f>+AA53-S53</f>
        <v>0</v>
      </c>
      <c r="AE53" s="289">
        <f>+AB53-T53</f>
        <v>0</v>
      </c>
      <c r="AF53" s="289">
        <f>+AC53-U53</f>
        <v>0</v>
      </c>
    </row>
    <row r="54" spans="1:32" s="283" customFormat="1" ht="28.5">
      <c r="A54" s="145"/>
      <c r="B54" s="146" t="s">
        <v>308</v>
      </c>
      <c r="C54" s="313">
        <v>0</v>
      </c>
      <c r="D54" s="313">
        <v>0</v>
      </c>
      <c r="E54" s="313">
        <v>0</v>
      </c>
      <c r="F54" s="313">
        <v>0</v>
      </c>
      <c r="G54" s="313">
        <v>0</v>
      </c>
      <c r="H54" s="313">
        <v>0</v>
      </c>
      <c r="I54" s="313">
        <v>1005518</v>
      </c>
      <c r="J54" s="313">
        <v>1005518</v>
      </c>
      <c r="K54" s="313">
        <v>3840797</v>
      </c>
      <c r="L54" s="313">
        <v>3840797</v>
      </c>
      <c r="M54" s="313">
        <v>0</v>
      </c>
      <c r="N54" s="313">
        <v>0</v>
      </c>
      <c r="O54" s="313">
        <v>0</v>
      </c>
      <c r="P54" s="313">
        <v>0</v>
      </c>
      <c r="Q54" s="313">
        <v>0</v>
      </c>
      <c r="R54" s="313">
        <v>0</v>
      </c>
      <c r="S54" s="314">
        <f t="shared" si="38"/>
        <v>4846315</v>
      </c>
      <c r="T54" s="314">
        <f t="shared" si="39"/>
        <v>0</v>
      </c>
      <c r="U54" s="314">
        <f t="shared" si="40"/>
        <v>4846315</v>
      </c>
      <c r="V54" s="46"/>
      <c r="W54" s="72"/>
      <c r="X54" s="72"/>
      <c r="Y54" s="72"/>
      <c r="Z54" s="72"/>
      <c r="AA54" s="286"/>
      <c r="AB54" s="286"/>
      <c r="AC54" s="286"/>
    </row>
    <row r="55" spans="1:32" ht="29.25" customHeight="1"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86"/>
      <c r="W55" s="87"/>
      <c r="X55" s="88"/>
      <c r="Y55" s="87"/>
      <c r="Z55" s="88"/>
    </row>
    <row r="56" spans="1:32" s="14" customFormat="1" ht="17.25" customHeight="1">
      <c r="B56" s="229" t="s">
        <v>446</v>
      </c>
      <c r="C56" s="310"/>
      <c r="D56" s="310"/>
      <c r="E56" s="310"/>
      <c r="F56" s="316"/>
      <c r="G56" s="316"/>
      <c r="H56" s="316"/>
      <c r="I56" s="316"/>
      <c r="J56" s="316"/>
      <c r="K56" s="316"/>
      <c r="L56" s="316"/>
      <c r="M56" s="316"/>
      <c r="N56" s="310"/>
      <c r="O56" s="310"/>
      <c r="P56" s="310"/>
      <c r="Q56" s="310"/>
      <c r="R56" s="310"/>
      <c r="S56" s="310"/>
      <c r="T56" s="310"/>
      <c r="U56" s="310"/>
    </row>
    <row r="57" spans="1:32" s="14" customFormat="1" ht="17.25" customHeight="1">
      <c r="B57" s="229"/>
      <c r="C57" s="310"/>
      <c r="D57" s="310"/>
      <c r="E57" s="310"/>
      <c r="F57" s="316"/>
      <c r="G57" s="316"/>
      <c r="H57" s="316"/>
      <c r="I57" s="316"/>
      <c r="J57" s="316"/>
      <c r="K57" s="316"/>
      <c r="L57" s="316"/>
      <c r="M57" s="316"/>
      <c r="N57" s="310"/>
      <c r="O57" s="310"/>
      <c r="P57" s="310"/>
      <c r="Q57" s="310"/>
      <c r="R57" s="310"/>
      <c r="S57" s="310"/>
      <c r="T57" s="310"/>
      <c r="U57" s="310"/>
    </row>
    <row r="58" spans="1:32" s="14" customFormat="1" ht="17.25" customHeight="1">
      <c r="B58" s="229" t="s">
        <v>445</v>
      </c>
      <c r="F58" s="70"/>
      <c r="G58" s="70"/>
      <c r="H58" s="70"/>
      <c r="I58" s="70"/>
      <c r="J58" s="70"/>
      <c r="K58" s="70"/>
      <c r="L58" s="70"/>
      <c r="M58" s="70"/>
    </row>
    <row r="59" spans="1:32" ht="20.25" customHeight="1">
      <c r="B59" s="2"/>
      <c r="V59" s="91"/>
      <c r="W59" s="89"/>
      <c r="X59" s="90"/>
      <c r="Y59" s="89"/>
      <c r="Z59" s="90"/>
    </row>
    <row r="60" spans="1:32" ht="12.75" customHeight="1">
      <c r="V60" s="91"/>
      <c r="W60" s="346" t="s">
        <v>78</v>
      </c>
      <c r="X60" s="346"/>
      <c r="Y60" s="346"/>
      <c r="Z60" s="346"/>
    </row>
    <row r="61" spans="1:32" ht="14.25">
      <c r="V61" s="91"/>
      <c r="W61" s="92"/>
      <c r="X61" s="92"/>
      <c r="Y61" s="89">
        <f>+Balance!E47</f>
        <v>7859045428</v>
      </c>
      <c r="Z61" s="90"/>
    </row>
    <row r="62" spans="1:32">
      <c r="V62" s="91"/>
      <c r="W62" s="93" t="s">
        <v>10</v>
      </c>
      <c r="X62" s="93"/>
      <c r="Y62" s="94" t="s">
        <v>77</v>
      </c>
      <c r="Z62" s="95"/>
    </row>
    <row r="63" spans="1:32">
      <c r="V63" s="91"/>
      <c r="W63" s="96" t="s">
        <v>76</v>
      </c>
      <c r="X63" s="97"/>
      <c r="Y63" s="96" t="s">
        <v>76</v>
      </c>
      <c r="Z63" s="97">
        <f>+Z47</f>
        <v>886007491.5</v>
      </c>
      <c r="AB63" s="274"/>
    </row>
    <row r="64" spans="1:32" ht="25.5">
      <c r="V64" s="91"/>
      <c r="W64" s="96" t="s">
        <v>3</v>
      </c>
      <c r="X64" s="97"/>
      <c r="Y64" s="96" t="s">
        <v>3</v>
      </c>
      <c r="Z64" s="97">
        <f>+Z6+Z7+Z10+Z11+Z13+Z19+Z20+Z21+Z22+Z24+Z35-Z46-Z18</f>
        <v>2151480689</v>
      </c>
      <c r="AB64" s="274"/>
    </row>
    <row r="65" spans="1:28" ht="25.5">
      <c r="V65" s="91"/>
      <c r="W65" s="96" t="s">
        <v>68</v>
      </c>
      <c r="X65" s="97"/>
      <c r="Y65" s="96" t="s">
        <v>68</v>
      </c>
      <c r="Z65" s="97">
        <f>+Z67-Z70</f>
        <v>240332159.01250005</v>
      </c>
      <c r="AB65" s="274"/>
    </row>
    <row r="66" spans="1:28">
      <c r="A66" s="60"/>
      <c r="V66" s="98"/>
      <c r="W66" s="99"/>
      <c r="X66" s="98"/>
      <c r="Y66" s="99"/>
      <c r="Z66" s="98"/>
      <c r="AB66" s="274"/>
    </row>
    <row r="67" spans="1:28">
      <c r="A67" s="60"/>
      <c r="V67" s="98"/>
      <c r="W67" s="100" t="s">
        <v>79</v>
      </c>
      <c r="X67" s="97"/>
      <c r="Y67" s="100" t="s">
        <v>69</v>
      </c>
      <c r="Z67" s="97">
        <f>+'Bank Liabilities Analysis'!X42+'Liquidity Analysis'!E41</f>
        <v>961328636.04999995</v>
      </c>
      <c r="AB67" s="274"/>
    </row>
    <row r="68" spans="1:28" ht="25.5">
      <c r="A68" s="60"/>
      <c r="V68" s="98"/>
      <c r="W68" s="100" t="s">
        <v>80</v>
      </c>
      <c r="X68" s="97"/>
      <c r="Y68" s="100" t="s">
        <v>80</v>
      </c>
      <c r="Z68" s="97">
        <f>+'Liquidity Analysis'!E41</f>
        <v>243322136</v>
      </c>
      <c r="AB68" s="274"/>
    </row>
    <row r="69" spans="1:28">
      <c r="A69" s="60"/>
      <c r="V69" s="98"/>
      <c r="W69" s="100"/>
      <c r="X69" s="97"/>
      <c r="Y69" s="100"/>
      <c r="Z69" s="97"/>
      <c r="AB69" s="274"/>
    </row>
    <row r="70" spans="1:28" ht="25.5">
      <c r="A70" s="60"/>
      <c r="V70" s="98"/>
      <c r="W70" s="100" t="s">
        <v>70</v>
      </c>
      <c r="X70" s="97"/>
      <c r="Y70" s="100" t="s">
        <v>70</v>
      </c>
      <c r="Z70" s="97">
        <f>IF(Z63&gt;(Z67*0.75),Z67*0.75,Z63)</f>
        <v>720996477.0374999</v>
      </c>
      <c r="AB70" s="274"/>
    </row>
    <row r="71" spans="1:28">
      <c r="A71" s="60"/>
      <c r="V71" s="91"/>
      <c r="W71" s="89"/>
      <c r="X71" s="90"/>
      <c r="Y71" s="89"/>
      <c r="Z71" s="90"/>
    </row>
    <row r="72" spans="1:28">
      <c r="A72" s="60"/>
      <c r="V72" s="91"/>
      <c r="W72" s="89"/>
      <c r="X72" s="90"/>
      <c r="Y72" s="89"/>
      <c r="Z72" s="90"/>
    </row>
    <row r="73" spans="1:28">
      <c r="A73" s="60"/>
      <c r="V73" s="91"/>
      <c r="W73" s="89"/>
      <c r="X73" s="90"/>
      <c r="Y73" s="89"/>
      <c r="Z73" s="90"/>
    </row>
  </sheetData>
  <sheetProtection password="CACA" sheet="1" objects="1" scenarios="1"/>
  <mergeCells count="16">
    <mergeCell ref="W60:Z60"/>
    <mergeCell ref="S3:S5"/>
    <mergeCell ref="T3:U4"/>
    <mergeCell ref="X1:Z1"/>
    <mergeCell ref="V3:Z4"/>
    <mergeCell ref="A3:A5"/>
    <mergeCell ref="B3:B5"/>
    <mergeCell ref="C4:D4"/>
    <mergeCell ref="G4:H4"/>
    <mergeCell ref="K4:L4"/>
    <mergeCell ref="M4:N4"/>
    <mergeCell ref="Q4:R4"/>
    <mergeCell ref="C3:R3"/>
    <mergeCell ref="I4:J4"/>
    <mergeCell ref="O4:P4"/>
    <mergeCell ref="E4:F4"/>
  </mergeCells>
  <phoneticPr fontId="12" type="noConversion"/>
  <conditionalFormatting sqref="C6">
    <cfRule type="cellIs" dxfId="125" priority="273" operator="greaterThan">
      <formula>$C$6</formula>
    </cfRule>
  </conditionalFormatting>
  <conditionalFormatting sqref="C51 E51:R51">
    <cfRule type="cellIs" dxfId="124" priority="113" operator="greaterThan">
      <formula>$C$6</formula>
    </cfRule>
  </conditionalFormatting>
  <conditionalFormatting sqref="C52:C53">
    <cfRule type="cellIs" dxfId="123" priority="8" operator="greaterThan">
      <formula>B52</formula>
    </cfRule>
  </conditionalFormatting>
  <conditionalFormatting sqref="C33:P33">
    <cfRule type="cellIs" dxfId="122" priority="23" operator="greaterThan">
      <formula>B33</formula>
    </cfRule>
  </conditionalFormatting>
  <conditionalFormatting sqref="C8:R8">
    <cfRule type="cellIs" dxfId="121" priority="139" operator="greaterThan">
      <formula>$C$6</formula>
    </cfRule>
  </conditionalFormatting>
  <conditionalFormatting sqref="C52:R52">
    <cfRule type="cellIs" dxfId="120" priority="111" operator="greaterThan">
      <formula>$C$6</formula>
    </cfRule>
  </conditionalFormatting>
  <conditionalFormatting sqref="D6:D8">
    <cfRule type="cellIs" dxfId="119" priority="140" operator="greaterThan">
      <formula>C6</formula>
    </cfRule>
  </conditionalFormatting>
  <conditionalFormatting sqref="D17:D31">
    <cfRule type="cellIs" dxfId="118" priority="31" operator="greaterThan">
      <formula>C17</formula>
    </cfRule>
  </conditionalFormatting>
  <conditionalFormatting sqref="D35:D36">
    <cfRule type="cellIs" dxfId="117" priority="308" operator="greaterThan">
      <formula>C35</formula>
    </cfRule>
  </conditionalFormatting>
  <conditionalFormatting sqref="D38 F38 H38 J38 L38 N38 P38">
    <cfRule type="cellIs" dxfId="116" priority="124" operator="greaterThan">
      <formula>C38</formula>
    </cfRule>
  </conditionalFormatting>
  <conditionalFormatting sqref="D41:D44">
    <cfRule type="cellIs" dxfId="115" priority="1" operator="greaterThan">
      <formula>C41</formula>
    </cfRule>
  </conditionalFormatting>
  <conditionalFormatting sqref="D45">
    <cfRule type="cellIs" dxfId="114" priority="105" operator="greaterThan">
      <formula>$C$6</formula>
    </cfRule>
  </conditionalFormatting>
  <conditionalFormatting sqref="D49:D54">
    <cfRule type="cellIs" dxfId="113" priority="9" operator="greaterThan">
      <formula>C49</formula>
    </cfRule>
  </conditionalFormatting>
  <conditionalFormatting sqref="D37:P37 R37:R38">
    <cfRule type="cellIs" dxfId="112" priority="108" operator="greaterThan">
      <formula>C37</formula>
    </cfRule>
  </conditionalFormatting>
  <conditionalFormatting sqref="E53:R53">
    <cfRule type="cellIs" dxfId="111" priority="109" operator="greaterThan">
      <formula>$C$6</formula>
    </cfRule>
  </conditionalFormatting>
  <conditionalFormatting sqref="F9:F14 H9:H14 J9:J14 L9:L14 N9:N14 P9:P14 R9:R14">
    <cfRule type="cellIs" dxfId="110" priority="136" operator="greaterThan">
      <formula>E9</formula>
    </cfRule>
  </conditionalFormatting>
  <conditionalFormatting sqref="F16:F32">
    <cfRule type="cellIs" dxfId="109" priority="30" operator="greaterThan">
      <formula>E16</formula>
    </cfRule>
  </conditionalFormatting>
  <conditionalFormatting sqref="F41:F44">
    <cfRule type="cellIs" dxfId="108" priority="4" operator="greaterThan">
      <formula>E41</formula>
    </cfRule>
  </conditionalFormatting>
  <conditionalFormatting sqref="F49:F54 H49:H54 J49:J54 L49:L54 N49:N54 P49:P54 R49:R54">
    <cfRule type="cellIs" dxfId="107" priority="11" operator="greaterThan">
      <formula>E49</formula>
    </cfRule>
  </conditionalFormatting>
  <conditionalFormatting sqref="H16:H32">
    <cfRule type="cellIs" dxfId="106" priority="29" operator="greaterThan">
      <formula>G16</formula>
    </cfRule>
  </conditionalFormatting>
  <conditionalFormatting sqref="H41:H44 J41:J45 L41:L45 N41:N45 P41:P45 R41:R45">
    <cfRule type="cellIs" dxfId="105" priority="5" operator="greaterThan">
      <formula>G41</formula>
    </cfRule>
  </conditionalFormatting>
  <conditionalFormatting sqref="J16:J32">
    <cfRule type="cellIs" dxfId="104" priority="28" operator="greaterThan">
      <formula>I16</formula>
    </cfRule>
  </conditionalFormatting>
  <conditionalFormatting sqref="L16:L32">
    <cfRule type="cellIs" dxfId="103" priority="27" operator="greaterThan">
      <formula>K16</formula>
    </cfRule>
  </conditionalFormatting>
  <conditionalFormatting sqref="N16:N32">
    <cfRule type="cellIs" dxfId="102" priority="26" operator="greaterThan">
      <formula>M16</formula>
    </cfRule>
  </conditionalFormatting>
  <conditionalFormatting sqref="P16:P32">
    <cfRule type="cellIs" dxfId="101" priority="25" operator="greaterThan">
      <formula>O16</formula>
    </cfRule>
  </conditionalFormatting>
  <conditionalFormatting sqref="R16:R33">
    <cfRule type="cellIs" dxfId="100" priority="24" operator="greaterThan">
      <formula>Q16</formula>
    </cfRule>
  </conditionalFormatting>
  <conditionalFormatting sqref="S47">
    <cfRule type="cellIs" dxfId="99" priority="483" operator="notEqual">
      <formula>$AA$47</formula>
    </cfRule>
  </conditionalFormatting>
  <conditionalFormatting sqref="S49">
    <cfRule type="cellIs" dxfId="98" priority="150" operator="notEqual">
      <formula>$AA$49</formula>
    </cfRule>
  </conditionalFormatting>
  <conditionalFormatting sqref="S49:S51">
    <cfRule type="cellIs" dxfId="97" priority="148" operator="notEqual">
      <formula>AA49</formula>
    </cfRule>
  </conditionalFormatting>
  <conditionalFormatting sqref="S52">
    <cfRule type="cellIs" dxfId="96" priority="145" operator="notEqual">
      <formula>$AA$52</formula>
    </cfRule>
  </conditionalFormatting>
  <conditionalFormatting sqref="S53:U53">
    <cfRule type="cellIs" dxfId="95" priority="159" operator="notEqual">
      <formula>AA53</formula>
    </cfRule>
  </conditionalFormatting>
  <conditionalFormatting sqref="T47">
    <cfRule type="cellIs" dxfId="94" priority="481" operator="notEqual">
      <formula>$AB$47</formula>
    </cfRule>
  </conditionalFormatting>
  <conditionalFormatting sqref="T49">
    <cfRule type="cellIs" dxfId="93" priority="149" operator="notEqual">
      <formula>$AB$49</formula>
    </cfRule>
  </conditionalFormatting>
  <conditionalFormatting sqref="T50">
    <cfRule type="cellIs" dxfId="92" priority="147" operator="notEqual">
      <formula>$AB$50</formula>
    </cfRule>
  </conditionalFormatting>
  <conditionalFormatting sqref="T52">
    <cfRule type="cellIs" dxfId="91" priority="144" operator="notEqual">
      <formula>$AB$52</formula>
    </cfRule>
  </conditionalFormatting>
  <conditionalFormatting sqref="T51:U51">
    <cfRule type="cellIs" dxfId="90" priority="161" operator="notEqual">
      <formula>AB51</formula>
    </cfRule>
  </conditionalFormatting>
  <conditionalFormatting sqref="U47">
    <cfRule type="cellIs" dxfId="89" priority="482" operator="notEqual">
      <formula>$AC$47</formula>
    </cfRule>
  </conditionalFormatting>
  <conditionalFormatting sqref="U49">
    <cfRule type="cellIs" dxfId="88" priority="163" operator="notEqual">
      <formula>AC49</formula>
    </cfRule>
  </conditionalFormatting>
  <conditionalFormatting sqref="U50">
    <cfRule type="cellIs" dxfId="87" priority="146" operator="notEqual">
      <formula>$AC$50</formula>
    </cfRule>
  </conditionalFormatting>
  <conditionalFormatting sqref="U52">
    <cfRule type="cellIs" dxfId="86" priority="143" operator="notEqual">
      <formula>$AC$52</formula>
    </cfRule>
  </conditionalFormatting>
  <dataValidations count="3">
    <dataValidation type="whole" operator="notEqual" allowBlank="1" showErrorMessage="1" error="Введите как целое число." sqref="Q37:R38 E37:P39 C48:R54 E35:R36 E40:R40 C35:D40 C6:R34 C41:R46" xr:uid="{00000000-0002-0000-0200-000000000000}">
      <formula1>-1E+28</formula1>
    </dataValidation>
    <dataValidation allowBlank="1" showErrorMessage="1" prompt="Введите самостоятельно рассчитанный коэффициент" sqref="C5:R5 T5:U5" xr:uid="{00000000-0002-0000-0200-000001000000}"/>
    <dataValidation type="date" operator="greaterThan" allowBlank="1" showInputMessage="1" showErrorMessage="1" prompt="Введите дату в формате ЧЧ.ММ.ГГГГ" sqref="X2" xr:uid="{00000000-0002-0000-0200-000002000000}">
      <formula1>DATE(96,1,1)</formula1>
    </dataValidation>
  </dataValidations>
  <printOptions horizontalCentered="1"/>
  <pageMargins left="0" right="0" top="0.21" bottom="0.21" header="0" footer="0"/>
  <pageSetup paperSize="9" scale="26" orientation="landscape" r:id="rId1"/>
  <headerFooter alignWithMargins="0"/>
  <ignoredErrors>
    <ignoredError sqref="A6:B6 A8:B13 A7 A14 A26:A34 A15:B15 A45:A54 A17:B17 A16 A20:B22 B47:B54 B32:B33 B45 B37 B25:B29 A19 B39:B41 A37:A41" numberStoredAsText="1"/>
    <ignoredError sqref="F40 E32:S32 S45:S46 D48:S48 S14:S17 S10 C34:R34 E11:S11 D13 H40 J40 L40 N40 P40 R40:S40 S19:S22 S24:S31 S33:S39 S41:S42 D12 G12:S12 G13:S13" unlockedFormula="1"/>
    <ignoredError sqref="X19 X35:Z36 W28:Z34 X6:Z13 X24:Z24 X26:Z27 Z19 X15:Z17 X14 Z14 X20:Z22" formula="1"/>
    <ignoredError sqref="E17:F17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28">
    <pageSetUpPr fitToPage="1"/>
  </sheetPr>
  <dimension ref="A2:S66"/>
  <sheetViews>
    <sheetView view="pageBreakPreview" zoomScale="80" zoomScaleNormal="55" zoomScaleSheetLayoutView="80" workbookViewId="0">
      <pane xSplit="2" ySplit="5" topLeftCell="C6" activePane="bottomRight" state="frozen"/>
      <selection activeCell="C5" sqref="C5"/>
      <selection pane="topRight" activeCell="C5" sqref="C5"/>
      <selection pane="bottomLeft" activeCell="C5" sqref="C5"/>
      <selection pane="bottomRight" activeCell="C5" sqref="C5"/>
    </sheetView>
  </sheetViews>
  <sheetFormatPr defaultRowHeight="15"/>
  <cols>
    <col min="1" max="1" width="8.140625" style="249" customWidth="1"/>
    <col min="2" max="2" width="105.42578125" style="248" customWidth="1"/>
    <col min="3" max="10" width="20.5703125" style="248" customWidth="1"/>
    <col min="11" max="11" width="21.5703125" style="248" customWidth="1"/>
    <col min="12" max="12" width="15.5703125" style="255" customWidth="1"/>
    <col min="13" max="13" width="19.42578125" style="256" customWidth="1"/>
    <col min="14" max="14" width="23.28515625" style="248" customWidth="1"/>
    <col min="15" max="15" width="23.7109375" style="258" customWidth="1"/>
    <col min="16" max="16" width="17.5703125" style="248" customWidth="1"/>
    <col min="17" max="17" width="15.140625" style="248" customWidth="1"/>
    <col min="18" max="18" width="23.85546875" style="248" customWidth="1"/>
    <col min="19" max="19" width="16" style="248" bestFit="1" customWidth="1"/>
    <col min="20" max="16384" width="9.140625" style="248"/>
  </cols>
  <sheetData>
    <row r="2" spans="1:19" s="44" customFormat="1" ht="26.25" customHeight="1">
      <c r="A2" s="41" t="s">
        <v>447</v>
      </c>
      <c r="B2" s="42"/>
      <c r="C2" s="42"/>
      <c r="D2" s="43"/>
      <c r="E2" s="43"/>
      <c r="F2" s="43"/>
      <c r="G2" s="43"/>
      <c r="H2" s="43"/>
      <c r="I2" s="43"/>
      <c r="K2" s="259"/>
      <c r="L2" s="351" t="s">
        <v>464</v>
      </c>
      <c r="M2" s="351"/>
      <c r="N2" s="351"/>
      <c r="O2" s="267"/>
    </row>
    <row r="3" spans="1:19" ht="15.75">
      <c r="A3" s="244"/>
      <c r="B3" s="82" t="str">
        <f>Balance!B3</f>
        <v>"MKBANK"</v>
      </c>
      <c r="C3" s="245"/>
      <c r="D3" s="246"/>
      <c r="E3" s="246"/>
      <c r="F3" s="246"/>
      <c r="G3" s="246"/>
      <c r="H3" s="246"/>
      <c r="I3" s="246"/>
      <c r="J3" s="247"/>
      <c r="K3" s="359">
        <f>+Balance!D3</f>
        <v>46021</v>
      </c>
      <c r="L3" s="359"/>
      <c r="M3" s="246"/>
      <c r="N3" s="248" t="str">
        <f>+Balance!E3</f>
        <v>минг сўмда</v>
      </c>
    </row>
    <row r="4" spans="1:19" s="13" customFormat="1" ht="37.5" customHeight="1">
      <c r="A4" s="357" t="s">
        <v>8</v>
      </c>
      <c r="B4" s="357" t="s">
        <v>243</v>
      </c>
      <c r="C4" s="354" t="s">
        <v>244</v>
      </c>
      <c r="D4" s="355"/>
      <c r="E4" s="355"/>
      <c r="F4" s="355"/>
      <c r="G4" s="355"/>
      <c r="H4" s="355"/>
      <c r="I4" s="355"/>
      <c r="J4" s="356"/>
      <c r="K4" s="357" t="s">
        <v>86</v>
      </c>
      <c r="L4" s="354" t="s">
        <v>246</v>
      </c>
      <c r="M4" s="355"/>
      <c r="N4" s="356"/>
      <c r="O4" s="268"/>
    </row>
    <row r="5" spans="1:19" s="13" customFormat="1" ht="42.75" customHeight="1">
      <c r="A5" s="358"/>
      <c r="B5" s="358"/>
      <c r="C5" s="287" t="s">
        <v>247</v>
      </c>
      <c r="D5" s="287" t="s">
        <v>248</v>
      </c>
      <c r="E5" s="287" t="s">
        <v>249</v>
      </c>
      <c r="F5" s="287" t="s">
        <v>250</v>
      </c>
      <c r="G5" s="287" t="s">
        <v>251</v>
      </c>
      <c r="H5" s="287" t="s">
        <v>252</v>
      </c>
      <c r="I5" s="287" t="s">
        <v>253</v>
      </c>
      <c r="J5" s="287" t="s">
        <v>254</v>
      </c>
      <c r="K5" s="358"/>
      <c r="L5" s="260" t="s">
        <v>6</v>
      </c>
      <c r="M5" s="260" t="s">
        <v>309</v>
      </c>
      <c r="N5" s="260" t="s">
        <v>259</v>
      </c>
      <c r="O5" s="268"/>
    </row>
    <row r="6" spans="1:19" s="57" customFormat="1" ht="27" customHeight="1">
      <c r="A6" s="242" t="s">
        <v>262</v>
      </c>
      <c r="B6" s="166" t="s">
        <v>195</v>
      </c>
      <c r="C6" s="276">
        <f>+'Bank Assets Analysis'!C6-'Bank Assets Analysis'!D6</f>
        <v>538991500</v>
      </c>
      <c r="D6" s="276">
        <f>+'Bank Assets Analysis'!E6-'Bank Assets Analysis'!F6</f>
        <v>0</v>
      </c>
      <c r="E6" s="276">
        <f>+'Bank Assets Analysis'!G6-'Bank Assets Analysis'!H6</f>
        <v>0</v>
      </c>
      <c r="F6" s="276">
        <f>+'Bank Assets Analysis'!I6-'Bank Assets Analysis'!J6</f>
        <v>0</v>
      </c>
      <c r="G6" s="276">
        <f>+'Bank Assets Analysis'!K6-'Bank Assets Analysis'!L6</f>
        <v>0</v>
      </c>
      <c r="H6" s="276">
        <f>+'Bank Assets Analysis'!M6-'Bank Assets Analysis'!N6</f>
        <v>0</v>
      </c>
      <c r="I6" s="276">
        <f>+'Bank Assets Analysis'!O6-'Bank Assets Analysis'!P6</f>
        <v>0</v>
      </c>
      <c r="J6" s="276">
        <f>+'Bank Assets Analysis'!Q6-'Bank Assets Analysis'!R6</f>
        <v>0</v>
      </c>
      <c r="K6" s="276">
        <f t="shared" ref="K6:K45" si="0">+C6+D6+E6+F6+G6+H6+I6+J6</f>
        <v>538991500</v>
      </c>
      <c r="L6" s="54">
        <v>1</v>
      </c>
      <c r="M6" s="318">
        <f>+K6</f>
        <v>538991500</v>
      </c>
      <c r="N6" s="319">
        <f>+M6*L6</f>
        <v>538991500</v>
      </c>
      <c r="O6" s="268"/>
      <c r="P6" s="13"/>
      <c r="Q6" s="56"/>
      <c r="R6" s="56"/>
      <c r="S6" s="56"/>
    </row>
    <row r="7" spans="1:19" s="57" customFormat="1" ht="27" customHeight="1">
      <c r="A7" s="242" t="s">
        <v>263</v>
      </c>
      <c r="B7" s="166" t="s">
        <v>428</v>
      </c>
      <c r="C7" s="276">
        <f>+'Bank Assets Analysis'!C7-'Bank Assets Analysis'!D7</f>
        <v>324034134</v>
      </c>
      <c r="D7" s="276">
        <f>+'Bank Assets Analysis'!E7-'Bank Assets Analysis'!F7</f>
        <v>260000000</v>
      </c>
      <c r="E7" s="276">
        <f>+'Bank Assets Analysis'!G7-'Bank Assets Analysis'!H7</f>
        <v>0</v>
      </c>
      <c r="F7" s="276">
        <f>+'Bank Assets Analysis'!I7-'Bank Assets Analysis'!J7</f>
        <v>0</v>
      </c>
      <c r="G7" s="276">
        <f>+'Bank Assets Analysis'!K7-'Bank Assets Analysis'!L7</f>
        <v>0</v>
      </c>
      <c r="H7" s="276">
        <f>+'Bank Assets Analysis'!M7-'Bank Assets Analysis'!N7</f>
        <v>0</v>
      </c>
      <c r="I7" s="276">
        <f>+'Bank Assets Analysis'!O7-'Bank Assets Analysis'!P7</f>
        <v>0</v>
      </c>
      <c r="J7" s="276">
        <f>+'Bank Assets Analysis'!Q7-'Bank Assets Analysis'!R7</f>
        <v>0</v>
      </c>
      <c r="K7" s="276">
        <f t="shared" si="0"/>
        <v>584034134</v>
      </c>
      <c r="L7" s="54">
        <v>1</v>
      </c>
      <c r="M7" s="318">
        <f>+K7</f>
        <v>584034134</v>
      </c>
      <c r="N7" s="319">
        <f t="shared" ref="N7:N15" si="1">+M7*L7</f>
        <v>584034134</v>
      </c>
      <c r="O7" s="268"/>
      <c r="P7" s="13"/>
      <c r="Q7" s="56"/>
      <c r="R7" s="56"/>
      <c r="S7" s="56"/>
    </row>
    <row r="8" spans="1:19" s="57" customFormat="1" ht="27" customHeight="1">
      <c r="A8" s="242" t="s">
        <v>26</v>
      </c>
      <c r="B8" s="166" t="s">
        <v>264</v>
      </c>
      <c r="C8" s="276">
        <f>+'Bank Assets Analysis'!C8-'Bank Assets Analysis'!D8</f>
        <v>0</v>
      </c>
      <c r="D8" s="276">
        <f>+'Bank Assets Analysis'!E8-'Bank Assets Analysis'!F8</f>
        <v>0</v>
      </c>
      <c r="E8" s="276">
        <f>+'Bank Assets Analysis'!G8-'Bank Assets Analysis'!H8</f>
        <v>0</v>
      </c>
      <c r="F8" s="276">
        <f>+'Bank Assets Analysis'!I8-'Bank Assets Analysis'!J8</f>
        <v>0</v>
      </c>
      <c r="G8" s="276">
        <f>+'Bank Assets Analysis'!K8-'Bank Assets Analysis'!L8</f>
        <v>0</v>
      </c>
      <c r="H8" s="276">
        <f>+'Bank Assets Analysis'!M8-'Bank Assets Analysis'!N8</f>
        <v>0</v>
      </c>
      <c r="I8" s="276">
        <f>+'Bank Assets Analysis'!O8-'Bank Assets Analysis'!P8</f>
        <v>0</v>
      </c>
      <c r="J8" s="276">
        <f>+'Bank Assets Analysis'!Q8-'Bank Assets Analysis'!R8</f>
        <v>0</v>
      </c>
      <c r="K8" s="276">
        <f t="shared" si="0"/>
        <v>0</v>
      </c>
      <c r="L8" s="54">
        <v>0</v>
      </c>
      <c r="M8" s="318"/>
      <c r="N8" s="276">
        <f t="shared" si="1"/>
        <v>0</v>
      </c>
      <c r="O8" s="268"/>
      <c r="P8" s="13"/>
      <c r="Q8" s="56"/>
      <c r="R8" s="56"/>
      <c r="S8" s="56"/>
    </row>
    <row r="9" spans="1:19" s="57" customFormat="1" ht="27" customHeight="1">
      <c r="A9" s="242" t="s">
        <v>265</v>
      </c>
      <c r="B9" s="166" t="s">
        <v>386</v>
      </c>
      <c r="C9" s="276">
        <f>SUM(C10:C16)-C13</f>
        <v>11133345</v>
      </c>
      <c r="D9" s="276">
        <f t="shared" ref="D9:J9" si="2">SUM(D10:D16)-D13</f>
        <v>0</v>
      </c>
      <c r="E9" s="276">
        <f t="shared" si="2"/>
        <v>1625000</v>
      </c>
      <c r="F9" s="276">
        <f t="shared" si="2"/>
        <v>416666</v>
      </c>
      <c r="G9" s="276">
        <f t="shared" si="2"/>
        <v>4502475</v>
      </c>
      <c r="H9" s="276">
        <f t="shared" si="2"/>
        <v>8323269</v>
      </c>
      <c r="I9" s="276">
        <f t="shared" si="2"/>
        <v>8775477</v>
      </c>
      <c r="J9" s="276">
        <f t="shared" si="2"/>
        <v>26740011</v>
      </c>
      <c r="K9" s="276">
        <f t="shared" si="0"/>
        <v>61516243</v>
      </c>
      <c r="L9" s="54"/>
      <c r="M9" s="318"/>
      <c r="N9" s="276">
        <f t="shared" si="1"/>
        <v>0</v>
      </c>
      <c r="O9" s="268"/>
      <c r="P9" s="13"/>
      <c r="Q9" s="56"/>
      <c r="R9" s="56"/>
      <c r="S9" s="56"/>
    </row>
    <row r="10" spans="1:19" s="57" customFormat="1" ht="27" customHeight="1">
      <c r="A10" s="242" t="s">
        <v>27</v>
      </c>
      <c r="B10" s="166" t="s">
        <v>266</v>
      </c>
      <c r="C10" s="276">
        <f>+'Bank Assets Analysis'!C10-'Bank Assets Analysis'!D10</f>
        <v>0</v>
      </c>
      <c r="D10" s="276">
        <f>+'Bank Assets Analysis'!E10-'Bank Assets Analysis'!F10</f>
        <v>0</v>
      </c>
      <c r="E10" s="276">
        <f>+'Bank Assets Analysis'!G10-'Bank Assets Analysis'!H10</f>
        <v>0</v>
      </c>
      <c r="F10" s="276">
        <f>+'Bank Assets Analysis'!I10-'Bank Assets Analysis'!J10</f>
        <v>0</v>
      </c>
      <c r="G10" s="276">
        <f>+'Bank Assets Analysis'!K10-'Bank Assets Analysis'!L10</f>
        <v>0</v>
      </c>
      <c r="H10" s="276">
        <f>+'Bank Assets Analysis'!M10-'Bank Assets Analysis'!N10</f>
        <v>0</v>
      </c>
      <c r="I10" s="276">
        <f>+'Bank Assets Analysis'!O10-'Bank Assets Analysis'!P10</f>
        <v>0</v>
      </c>
      <c r="J10" s="276">
        <f>+'Bank Assets Analysis'!Q10-'Bank Assets Analysis'!R10</f>
        <v>0</v>
      </c>
      <c r="K10" s="276">
        <f t="shared" si="0"/>
        <v>0</v>
      </c>
      <c r="L10" s="54">
        <v>1</v>
      </c>
      <c r="M10" s="318">
        <f>+C10</f>
        <v>0</v>
      </c>
      <c r="N10" s="319">
        <f t="shared" si="1"/>
        <v>0</v>
      </c>
      <c r="O10" s="268"/>
      <c r="P10" s="13"/>
      <c r="Q10" s="56"/>
      <c r="R10" s="56"/>
      <c r="S10" s="56"/>
    </row>
    <row r="11" spans="1:19" s="57" customFormat="1" ht="27" customHeight="1">
      <c r="A11" s="242" t="s">
        <v>28</v>
      </c>
      <c r="B11" s="166" t="s">
        <v>267</v>
      </c>
      <c r="C11" s="276">
        <f>+'Bank Assets Analysis'!C11-'Bank Assets Analysis'!D11</f>
        <v>5</v>
      </c>
      <c r="D11" s="276">
        <f>+'Bank Assets Analysis'!E11-'Bank Assets Analysis'!F11</f>
        <v>0</v>
      </c>
      <c r="E11" s="276">
        <f>+'Bank Assets Analysis'!G11-'Bank Assets Analysis'!H11</f>
        <v>0</v>
      </c>
      <c r="F11" s="276">
        <f>+'Bank Assets Analysis'!I11-'Bank Assets Analysis'!J11</f>
        <v>0</v>
      </c>
      <c r="G11" s="276">
        <f>+'Bank Assets Analysis'!K11-'Bank Assets Analysis'!L11</f>
        <v>0</v>
      </c>
      <c r="H11" s="276">
        <f>+'Bank Assets Analysis'!M11-'Bank Assets Analysis'!N11</f>
        <v>0</v>
      </c>
      <c r="I11" s="276">
        <f>+'Bank Assets Analysis'!O11-'Bank Assets Analysis'!P11</f>
        <v>0</v>
      </c>
      <c r="J11" s="276">
        <f>+'Bank Assets Analysis'!Q11-'Bank Assets Analysis'!R11</f>
        <v>0</v>
      </c>
      <c r="K11" s="276">
        <f t="shared" ref="K11:K13" si="3">+C11+D11+E11+F11+G11+H11+I11+J11</f>
        <v>5</v>
      </c>
      <c r="L11" s="54">
        <v>1</v>
      </c>
      <c r="M11" s="318">
        <f>+C11</f>
        <v>5</v>
      </c>
      <c r="N11" s="319">
        <f t="shared" si="1"/>
        <v>5</v>
      </c>
      <c r="O11" s="268"/>
      <c r="P11" s="13"/>
      <c r="Q11" s="56"/>
      <c r="R11" s="56"/>
      <c r="S11" s="56"/>
    </row>
    <row r="12" spans="1:19" s="57" customFormat="1" ht="27" customHeight="1">
      <c r="A12" s="242" t="s">
        <v>0</v>
      </c>
      <c r="B12" s="166" t="s">
        <v>268</v>
      </c>
      <c r="C12" s="276">
        <f>+'Bank Assets Analysis'!C12-'Bank Assets Analysis'!D12</f>
        <v>0</v>
      </c>
      <c r="D12" s="276">
        <f>+'Bank Assets Analysis'!E12-'Bank Assets Analysis'!F12</f>
        <v>0</v>
      </c>
      <c r="E12" s="276">
        <f>+'Bank Assets Analysis'!G12-'Bank Assets Analysis'!H12</f>
        <v>0</v>
      </c>
      <c r="F12" s="276">
        <f>+'Bank Assets Analysis'!I12-'Bank Assets Analysis'!J12</f>
        <v>0</v>
      </c>
      <c r="G12" s="276">
        <f>+'Bank Assets Analysis'!K12-'Bank Assets Analysis'!L12</f>
        <v>0</v>
      </c>
      <c r="H12" s="276">
        <f>+'Bank Assets Analysis'!M12-'Bank Assets Analysis'!N12</f>
        <v>0</v>
      </c>
      <c r="I12" s="276">
        <f>+'Bank Assets Analysis'!O12-'Bank Assets Analysis'!P12</f>
        <v>0</v>
      </c>
      <c r="J12" s="276">
        <f>+'Bank Assets Analysis'!Q12-'Bank Assets Analysis'!R12</f>
        <v>0</v>
      </c>
      <c r="K12" s="276">
        <f t="shared" si="3"/>
        <v>0</v>
      </c>
      <c r="L12" s="54">
        <v>1</v>
      </c>
      <c r="M12" s="320">
        <f>+D12-D13</f>
        <v>0</v>
      </c>
      <c r="N12" s="276">
        <f t="shared" si="1"/>
        <v>0</v>
      </c>
      <c r="O12" s="268"/>
      <c r="P12" s="13"/>
      <c r="Q12" s="56"/>
      <c r="R12" s="56"/>
      <c r="S12" s="56"/>
    </row>
    <row r="13" spans="1:19" s="57" customFormat="1" ht="33.75" customHeight="1">
      <c r="A13" s="242" t="s">
        <v>75</v>
      </c>
      <c r="B13" s="166" t="s">
        <v>269</v>
      </c>
      <c r="C13" s="276">
        <f>+'Bank Assets Analysis'!C13-'Bank Assets Analysis'!D13</f>
        <v>0</v>
      </c>
      <c r="D13" s="276">
        <f>+'Bank Assets Analysis'!E13-'Bank Assets Analysis'!F13</f>
        <v>0</v>
      </c>
      <c r="E13" s="276">
        <f>+'Bank Assets Analysis'!G13-'Bank Assets Analysis'!H13</f>
        <v>0</v>
      </c>
      <c r="F13" s="276">
        <f>+'Bank Assets Analysis'!I13-'Bank Assets Analysis'!J13</f>
        <v>0</v>
      </c>
      <c r="G13" s="276">
        <f>+'Bank Assets Analysis'!K13-'Bank Assets Analysis'!L13</f>
        <v>0</v>
      </c>
      <c r="H13" s="276">
        <f>+'Bank Assets Analysis'!M13-'Bank Assets Analysis'!N13</f>
        <v>0</v>
      </c>
      <c r="I13" s="276">
        <f>+'Bank Assets Analysis'!O13-'Bank Assets Analysis'!P13</f>
        <v>0</v>
      </c>
      <c r="J13" s="276">
        <f>+'Bank Assets Analysis'!Q13-'Bank Assets Analysis'!R13</f>
        <v>0</v>
      </c>
      <c r="K13" s="276">
        <f t="shared" si="3"/>
        <v>0</v>
      </c>
      <c r="L13" s="54">
        <v>1</v>
      </c>
      <c r="M13" s="318">
        <f>+D13</f>
        <v>0</v>
      </c>
      <c r="N13" s="276">
        <f t="shared" si="1"/>
        <v>0</v>
      </c>
      <c r="O13" s="268"/>
      <c r="P13" s="13"/>
      <c r="Q13" s="56"/>
      <c r="R13" s="56"/>
      <c r="S13" s="56"/>
    </row>
    <row r="14" spans="1:19" s="57" customFormat="1" ht="33.75" customHeight="1">
      <c r="A14" s="242" t="s">
        <v>62</v>
      </c>
      <c r="B14" s="166" t="s">
        <v>433</v>
      </c>
      <c r="C14" s="276">
        <f>+'Bank Assets Analysis'!C14-'Bank Assets Analysis'!D14</f>
        <v>715295</v>
      </c>
      <c r="D14" s="276">
        <f>+'Bank Assets Analysis'!E14-'Bank Assets Analysis'!F14</f>
        <v>0</v>
      </c>
      <c r="E14" s="276">
        <f>+'Bank Assets Analysis'!G14-'Bank Assets Analysis'!H14</f>
        <v>1625000</v>
      </c>
      <c r="F14" s="276">
        <f>+'Bank Assets Analysis'!I14-'Bank Assets Analysis'!J14</f>
        <v>416666</v>
      </c>
      <c r="G14" s="276">
        <f>+'Bank Assets Analysis'!K14-'Bank Assets Analysis'!L14</f>
        <v>4502475</v>
      </c>
      <c r="H14" s="276">
        <f>+'Bank Assets Analysis'!M14-'Bank Assets Analysis'!N14</f>
        <v>8323269</v>
      </c>
      <c r="I14" s="276">
        <f>+'Bank Assets Analysis'!O14-'Bank Assets Analysis'!P14</f>
        <v>8775477</v>
      </c>
      <c r="J14" s="276">
        <f>+'Bank Assets Analysis'!Q14-'Bank Assets Analysis'!R14</f>
        <v>26740011</v>
      </c>
      <c r="K14" s="276">
        <f t="shared" si="0"/>
        <v>51098193</v>
      </c>
      <c r="L14" s="54">
        <v>1</v>
      </c>
      <c r="M14" s="318">
        <f>+C14+D14+E14+D10+D11</f>
        <v>2340295</v>
      </c>
      <c r="N14" s="276">
        <f t="shared" si="1"/>
        <v>2340295</v>
      </c>
      <c r="O14" s="268"/>
      <c r="P14" s="13"/>
      <c r="Q14" s="56"/>
      <c r="R14" s="56"/>
      <c r="S14" s="56"/>
    </row>
    <row r="15" spans="1:19" s="57" customFormat="1" ht="33.75" customHeight="1">
      <c r="A15" s="242" t="s">
        <v>72</v>
      </c>
      <c r="B15" s="166" t="s">
        <v>270</v>
      </c>
      <c r="C15" s="276">
        <f>+'Bank Assets Analysis'!C15-'Bank Assets Analysis'!D15</f>
        <v>10418045</v>
      </c>
      <c r="D15" s="276">
        <f>+'Bank Assets Analysis'!E15-'Bank Assets Analysis'!F15</f>
        <v>0</v>
      </c>
      <c r="E15" s="276">
        <f>+'Bank Assets Analysis'!G15-'Bank Assets Analysis'!H15</f>
        <v>0</v>
      </c>
      <c r="F15" s="276">
        <f>+'Bank Assets Analysis'!I15-'Bank Assets Analysis'!J15</f>
        <v>0</v>
      </c>
      <c r="G15" s="276">
        <f>+'Bank Assets Analysis'!K15-'Bank Assets Analysis'!L15</f>
        <v>0</v>
      </c>
      <c r="H15" s="276">
        <f>+'Bank Assets Analysis'!M15-'Bank Assets Analysis'!N15</f>
        <v>0</v>
      </c>
      <c r="I15" s="276">
        <f>+'Bank Assets Analysis'!O15-'Bank Assets Analysis'!P15</f>
        <v>0</v>
      </c>
      <c r="J15" s="276">
        <f>+'Bank Assets Analysis'!Q15-'Bank Assets Analysis'!R15</f>
        <v>0</v>
      </c>
      <c r="K15" s="276">
        <f t="shared" si="0"/>
        <v>10418045</v>
      </c>
      <c r="L15" s="54">
        <v>1</v>
      </c>
      <c r="M15" s="318">
        <f>+C15+D15+E15</f>
        <v>10418045</v>
      </c>
      <c r="N15" s="276">
        <f t="shared" si="1"/>
        <v>10418045</v>
      </c>
      <c r="O15" s="268"/>
      <c r="P15" s="13"/>
      <c r="Q15" s="56"/>
      <c r="R15" s="56"/>
      <c r="S15" s="56"/>
    </row>
    <row r="16" spans="1:19" s="57" customFormat="1" ht="27" customHeight="1">
      <c r="A16" s="242" t="s">
        <v>73</v>
      </c>
      <c r="B16" s="166" t="s">
        <v>271</v>
      </c>
      <c r="C16" s="276">
        <f>+'Bank Assets Analysis'!C16-'Bank Assets Analysis'!D16</f>
        <v>0</v>
      </c>
      <c r="D16" s="276">
        <f>+'Bank Assets Analysis'!E16-'Bank Assets Analysis'!F16</f>
        <v>0</v>
      </c>
      <c r="E16" s="276">
        <f>+'Bank Assets Analysis'!G16-'Bank Assets Analysis'!H16</f>
        <v>0</v>
      </c>
      <c r="F16" s="276">
        <f>+'Bank Assets Analysis'!I16-'Bank Assets Analysis'!J16</f>
        <v>0</v>
      </c>
      <c r="G16" s="276">
        <f>+'Bank Assets Analysis'!K16-'Bank Assets Analysis'!L16</f>
        <v>0</v>
      </c>
      <c r="H16" s="276">
        <f>+'Bank Assets Analysis'!M16-'Bank Assets Analysis'!N16</f>
        <v>0</v>
      </c>
      <c r="I16" s="276">
        <f>+'Bank Assets Analysis'!O16-'Bank Assets Analysis'!P16</f>
        <v>0</v>
      </c>
      <c r="J16" s="276">
        <f>+'Bank Assets Analysis'!Q16-'Bank Assets Analysis'!R16</f>
        <v>0</v>
      </c>
      <c r="K16" s="276">
        <f t="shared" si="0"/>
        <v>0</v>
      </c>
      <c r="L16" s="54">
        <v>1</v>
      </c>
      <c r="M16" s="318">
        <f>+C16+D16+E16</f>
        <v>0</v>
      </c>
      <c r="N16" s="276">
        <f>+M16*L16</f>
        <v>0</v>
      </c>
      <c r="O16" s="268"/>
      <c r="P16" s="13"/>
      <c r="Q16" s="56"/>
      <c r="R16" s="56"/>
      <c r="S16" s="56"/>
    </row>
    <row r="17" spans="1:19" s="57" customFormat="1" ht="27" customHeight="1">
      <c r="A17" s="242" t="s">
        <v>272</v>
      </c>
      <c r="B17" s="166" t="s">
        <v>93</v>
      </c>
      <c r="C17" s="276">
        <f>+'Bank Assets Analysis'!C17-'Bank Assets Analysis'!D17</f>
        <v>175</v>
      </c>
      <c r="D17" s="276">
        <f>+'Bank Assets Analysis'!E17-'Bank Assets Analysis'!F17</f>
        <v>399999665</v>
      </c>
      <c r="E17" s="276">
        <f>+'Bank Assets Analysis'!G17-'Bank Assets Analysis'!H17</f>
        <v>0</v>
      </c>
      <c r="F17" s="276">
        <f>+'Bank Assets Analysis'!I17-'Bank Assets Analysis'!J17</f>
        <v>0</v>
      </c>
      <c r="G17" s="276">
        <f>+'Bank Assets Analysis'!K17-'Bank Assets Analysis'!L17</f>
        <v>54745360</v>
      </c>
      <c r="H17" s="276">
        <f>+'Bank Assets Analysis'!M17-'Bank Assets Analysis'!N17</f>
        <v>63424295</v>
      </c>
      <c r="I17" s="276">
        <f>+'Bank Assets Analysis'!O17-'Bank Assets Analysis'!P17</f>
        <v>0</v>
      </c>
      <c r="J17" s="276">
        <f>+'Bank Assets Analysis'!Q17-'Bank Assets Analysis'!R17</f>
        <v>0</v>
      </c>
      <c r="K17" s="276">
        <f t="shared" si="0"/>
        <v>518169495</v>
      </c>
      <c r="L17" s="54"/>
      <c r="M17" s="318"/>
      <c r="N17" s="276">
        <f t="shared" ref="N17:N45" si="4">+M17*L17</f>
        <v>0</v>
      </c>
      <c r="O17" s="268"/>
      <c r="P17" s="13"/>
      <c r="Q17" s="56"/>
      <c r="R17" s="56"/>
      <c r="S17" s="56"/>
    </row>
    <row r="18" spans="1:19" s="57" customFormat="1" ht="27" customHeight="1">
      <c r="A18" s="242" t="s">
        <v>459</v>
      </c>
      <c r="B18" s="166" t="s">
        <v>458</v>
      </c>
      <c r="C18" s="276">
        <f>+'Bank Assets Analysis'!C18-'Bank Assets Analysis'!D18</f>
        <v>0</v>
      </c>
      <c r="D18" s="276">
        <f>+'Bank Assets Analysis'!E18-'Bank Assets Analysis'!F18</f>
        <v>0</v>
      </c>
      <c r="E18" s="276">
        <f>+'Bank Assets Analysis'!G18-'Bank Assets Analysis'!H18</f>
        <v>0</v>
      </c>
      <c r="F18" s="276">
        <f>+'Bank Assets Analysis'!I18-'Bank Assets Analysis'!J18</f>
        <v>0</v>
      </c>
      <c r="G18" s="276">
        <f>+'Bank Assets Analysis'!K18-'Bank Assets Analysis'!L18</f>
        <v>0</v>
      </c>
      <c r="H18" s="276">
        <f>+'Bank Assets Analysis'!M18-'Bank Assets Analysis'!N18</f>
        <v>0</v>
      </c>
      <c r="I18" s="276">
        <f>+'Bank Assets Analysis'!O18-'Bank Assets Analysis'!P18</f>
        <v>0</v>
      </c>
      <c r="J18" s="276">
        <f>+'Bank Assets Analysis'!Q18-'Bank Assets Analysis'!R18</f>
        <v>0</v>
      </c>
      <c r="K18" s="276">
        <f>+C18+D18+E18+F18+G18+H18+I18+J18</f>
        <v>0</v>
      </c>
      <c r="L18" s="54">
        <v>1</v>
      </c>
      <c r="M18" s="318">
        <f>SUM(C18:E18)</f>
        <v>0</v>
      </c>
      <c r="N18" s="276">
        <f>+M18*L18</f>
        <v>0</v>
      </c>
      <c r="O18" s="268"/>
      <c r="P18" s="13"/>
      <c r="Q18" s="56"/>
      <c r="R18" s="56"/>
      <c r="S18" s="56"/>
    </row>
    <row r="19" spans="1:19" s="57" customFormat="1" ht="30">
      <c r="A19" s="242" t="s">
        <v>29</v>
      </c>
      <c r="B19" s="166" t="s">
        <v>273</v>
      </c>
      <c r="C19" s="276">
        <f>+'Bank Assets Analysis'!C19-'Bank Assets Analysis'!D19</f>
        <v>0</v>
      </c>
      <c r="D19" s="276">
        <f>+'Bank Assets Analysis'!E19-'Bank Assets Analysis'!F19</f>
        <v>399999665</v>
      </c>
      <c r="E19" s="276">
        <f>+'Bank Assets Analysis'!G19-'Bank Assets Analysis'!H19</f>
        <v>0</v>
      </c>
      <c r="F19" s="276">
        <f>+'Bank Assets Analysis'!I19-'Bank Assets Analysis'!J19</f>
        <v>0</v>
      </c>
      <c r="G19" s="276">
        <f>+'Bank Assets Analysis'!K19-'Bank Assets Analysis'!L19</f>
        <v>54745360</v>
      </c>
      <c r="H19" s="276">
        <f>+'Bank Assets Analysis'!M19-'Bank Assets Analysis'!N19</f>
        <v>53424295</v>
      </c>
      <c r="I19" s="276">
        <f>+'Bank Assets Analysis'!O19-'Bank Assets Analysis'!P19</f>
        <v>0</v>
      </c>
      <c r="J19" s="276">
        <f>+'Bank Assets Analysis'!Q19-'Bank Assets Analysis'!R19</f>
        <v>0</v>
      </c>
      <c r="K19" s="276">
        <f t="shared" si="0"/>
        <v>508169320</v>
      </c>
      <c r="L19" s="54">
        <v>1</v>
      </c>
      <c r="M19" s="320">
        <f>+K19</f>
        <v>508169320</v>
      </c>
      <c r="N19" s="319">
        <f t="shared" si="4"/>
        <v>508169320</v>
      </c>
      <c r="O19" s="268"/>
      <c r="P19" s="13"/>
      <c r="Q19" s="56"/>
      <c r="R19" s="56"/>
      <c r="S19" s="56"/>
    </row>
    <row r="20" spans="1:19" s="57" customFormat="1" ht="27" customHeight="1">
      <c r="A20" s="242" t="s">
        <v>4</v>
      </c>
      <c r="B20" s="166" t="s">
        <v>274</v>
      </c>
      <c r="C20" s="276">
        <f>+'Bank Assets Analysis'!C20-'Bank Assets Analysis'!D20</f>
        <v>0</v>
      </c>
      <c r="D20" s="276">
        <f>+'Bank Assets Analysis'!E20-'Bank Assets Analysis'!F20</f>
        <v>0</v>
      </c>
      <c r="E20" s="276">
        <f>+'Bank Assets Analysis'!G20-'Bank Assets Analysis'!H20</f>
        <v>0</v>
      </c>
      <c r="F20" s="276">
        <f>+'Bank Assets Analysis'!I20-'Bank Assets Analysis'!J20</f>
        <v>0</v>
      </c>
      <c r="G20" s="276">
        <f>+'Bank Assets Analysis'!K20-'Bank Assets Analysis'!L20</f>
        <v>0</v>
      </c>
      <c r="H20" s="276">
        <f>+'Bank Assets Analysis'!M20-'Bank Assets Analysis'!N20</f>
        <v>0</v>
      </c>
      <c r="I20" s="276">
        <f>+'Bank Assets Analysis'!O20-'Bank Assets Analysis'!P20</f>
        <v>0</v>
      </c>
      <c r="J20" s="276">
        <f>+'Bank Assets Analysis'!Q20-'Bank Assets Analysis'!R20</f>
        <v>0</v>
      </c>
      <c r="K20" s="276">
        <f t="shared" si="0"/>
        <v>0</v>
      </c>
      <c r="L20" s="54">
        <v>1</v>
      </c>
      <c r="M20" s="318">
        <f>+K20</f>
        <v>0</v>
      </c>
      <c r="N20" s="319">
        <f t="shared" si="4"/>
        <v>0</v>
      </c>
      <c r="O20" s="268"/>
      <c r="P20" s="13"/>
      <c r="Q20" s="56"/>
      <c r="R20" s="56"/>
      <c r="S20" s="56"/>
    </row>
    <row r="21" spans="1:19" s="57" customFormat="1" ht="45">
      <c r="A21" s="242" t="s">
        <v>5</v>
      </c>
      <c r="B21" s="166" t="s">
        <v>275</v>
      </c>
      <c r="C21" s="276">
        <f>+'Bank Assets Analysis'!C21-'Bank Assets Analysis'!D21</f>
        <v>0</v>
      </c>
      <c r="D21" s="276">
        <f>+'Bank Assets Analysis'!E21-'Bank Assets Analysis'!F21</f>
        <v>0</v>
      </c>
      <c r="E21" s="276">
        <f>+'Bank Assets Analysis'!G21-'Bank Assets Analysis'!H21</f>
        <v>0</v>
      </c>
      <c r="F21" s="276">
        <f>+'Bank Assets Analysis'!I21-'Bank Assets Analysis'!J21</f>
        <v>0</v>
      </c>
      <c r="G21" s="276">
        <f>+'Bank Assets Analysis'!K21-'Bank Assets Analysis'!L21</f>
        <v>0</v>
      </c>
      <c r="H21" s="276">
        <f>+'Bank Assets Analysis'!M21-'Bank Assets Analysis'!N21</f>
        <v>0</v>
      </c>
      <c r="I21" s="276">
        <f>+'Bank Assets Analysis'!O21-'Bank Assets Analysis'!P21</f>
        <v>0</v>
      </c>
      <c r="J21" s="276">
        <f>+'Bank Assets Analysis'!Q21-'Bank Assets Analysis'!R21</f>
        <v>0</v>
      </c>
      <c r="K21" s="276">
        <f t="shared" ref="K21" si="5">+C21+D21+E21+F21+G21+H21+I21+J21</f>
        <v>0</v>
      </c>
      <c r="L21" s="54">
        <v>1</v>
      </c>
      <c r="M21" s="318">
        <f>+K21</f>
        <v>0</v>
      </c>
      <c r="N21" s="319">
        <f t="shared" si="4"/>
        <v>0</v>
      </c>
      <c r="O21" s="268"/>
      <c r="P21" s="13"/>
      <c r="Q21" s="56"/>
      <c r="R21" s="56"/>
      <c r="S21" s="56"/>
    </row>
    <row r="22" spans="1:19" s="57" customFormat="1" ht="33.75" customHeight="1">
      <c r="A22" s="242" t="s">
        <v>7</v>
      </c>
      <c r="B22" s="166" t="s">
        <v>276</v>
      </c>
      <c r="C22" s="276">
        <f>+'Bank Assets Analysis'!C22-'Bank Assets Analysis'!D22</f>
        <v>0</v>
      </c>
      <c r="D22" s="276">
        <f>+'Bank Assets Analysis'!E22-'Bank Assets Analysis'!F22</f>
        <v>0</v>
      </c>
      <c r="E22" s="276">
        <f>+'Bank Assets Analysis'!G22-'Bank Assets Analysis'!H22</f>
        <v>0</v>
      </c>
      <c r="F22" s="276">
        <f>+'Bank Assets Analysis'!I22-'Bank Assets Analysis'!J22</f>
        <v>0</v>
      </c>
      <c r="G22" s="276">
        <f>+'Bank Assets Analysis'!K22-'Bank Assets Analysis'!L22</f>
        <v>0</v>
      </c>
      <c r="H22" s="276">
        <f>+'Bank Assets Analysis'!M22-'Bank Assets Analysis'!N22</f>
        <v>0</v>
      </c>
      <c r="I22" s="276">
        <f>+'Bank Assets Analysis'!O22-'Bank Assets Analysis'!P22</f>
        <v>0</v>
      </c>
      <c r="J22" s="276">
        <f>+'Bank Assets Analysis'!Q22-'Bank Assets Analysis'!R22</f>
        <v>0</v>
      </c>
      <c r="K22" s="276">
        <f t="shared" si="0"/>
        <v>0</v>
      </c>
      <c r="L22" s="54">
        <v>1</v>
      </c>
      <c r="M22" s="318">
        <f>+D22+E22</f>
        <v>0</v>
      </c>
      <c r="N22" s="319">
        <f t="shared" si="4"/>
        <v>0</v>
      </c>
      <c r="O22" s="268"/>
      <c r="P22" s="13"/>
      <c r="Q22" s="56"/>
      <c r="R22" s="56"/>
      <c r="S22" s="56"/>
    </row>
    <row r="23" spans="1:19" s="57" customFormat="1" ht="35.25" customHeight="1">
      <c r="A23" s="242" t="s">
        <v>74</v>
      </c>
      <c r="B23" s="292" t="s">
        <v>467</v>
      </c>
      <c r="C23" s="317">
        <f>+'Bank Assets Analysis'!C23-'Bank Assets Analysis'!D23</f>
        <v>0</v>
      </c>
      <c r="D23" s="317">
        <f>+'Bank Assets Analysis'!E23-'Bank Assets Analysis'!F23</f>
        <v>0</v>
      </c>
      <c r="E23" s="317">
        <f>+'Bank Assets Analysis'!G23-'Bank Assets Analysis'!H23</f>
        <v>0</v>
      </c>
      <c r="F23" s="317">
        <f>+'Bank Assets Analysis'!I23-'Bank Assets Analysis'!J23</f>
        <v>0</v>
      </c>
      <c r="G23" s="317">
        <f>+'Bank Assets Analysis'!K23-'Bank Assets Analysis'!L23</f>
        <v>0</v>
      </c>
      <c r="H23" s="317">
        <f>+'Bank Assets Analysis'!M23-'Bank Assets Analysis'!N23</f>
        <v>10000000</v>
      </c>
      <c r="I23" s="317">
        <f>+'Bank Assets Analysis'!O23-'Bank Assets Analysis'!P23</f>
        <v>0</v>
      </c>
      <c r="J23" s="317">
        <f>+'Bank Assets Analysis'!Q23-'Bank Assets Analysis'!R23</f>
        <v>0</v>
      </c>
      <c r="K23" s="317">
        <f>+C23+D23+E23+F23+G23+H23+I23+J23</f>
        <v>10000000</v>
      </c>
      <c r="L23" s="293">
        <v>0.8</v>
      </c>
      <c r="M23" s="320">
        <f>+C23+D23+E23</f>
        <v>0</v>
      </c>
      <c r="N23" s="276">
        <f t="shared" ref="N23" si="6">+M23*L23</f>
        <v>0</v>
      </c>
      <c r="O23" s="268"/>
      <c r="P23" s="13"/>
      <c r="Q23" s="56"/>
      <c r="R23" s="56"/>
      <c r="S23" s="56"/>
    </row>
    <row r="24" spans="1:19" s="57" customFormat="1" ht="39" customHeight="1">
      <c r="A24" s="242" t="s">
        <v>277</v>
      </c>
      <c r="B24" s="292" t="s">
        <v>468</v>
      </c>
      <c r="C24" s="317">
        <f>+'Bank Assets Analysis'!C24-'Bank Assets Analysis'!D24</f>
        <v>0</v>
      </c>
      <c r="D24" s="317">
        <f>+'Bank Assets Analysis'!E24-'Bank Assets Analysis'!F24</f>
        <v>0</v>
      </c>
      <c r="E24" s="317">
        <f>+'Bank Assets Analysis'!G24-'Bank Assets Analysis'!H24</f>
        <v>0</v>
      </c>
      <c r="F24" s="317">
        <f>+'Bank Assets Analysis'!I24-'Bank Assets Analysis'!J24</f>
        <v>0</v>
      </c>
      <c r="G24" s="317">
        <f>+'Bank Assets Analysis'!K24-'Bank Assets Analysis'!L24</f>
        <v>0</v>
      </c>
      <c r="H24" s="317">
        <f>+'Bank Assets Analysis'!M24-'Bank Assets Analysis'!N24</f>
        <v>0</v>
      </c>
      <c r="I24" s="317">
        <f>+'Bank Assets Analysis'!O24-'Bank Assets Analysis'!P24</f>
        <v>0</v>
      </c>
      <c r="J24" s="317">
        <f>+'Bank Assets Analysis'!Q24-'Bank Assets Analysis'!R24</f>
        <v>0</v>
      </c>
      <c r="K24" s="317">
        <f t="shared" ref="K24" si="7">+C24+D24+E24+F24+G24+H24+I24+J24</f>
        <v>0</v>
      </c>
      <c r="L24" s="293">
        <v>1</v>
      </c>
      <c r="M24" s="318">
        <f>+D24+E24</f>
        <v>0</v>
      </c>
      <c r="N24" s="319">
        <f t="shared" ref="N24:N25" si="8">+M24*L24</f>
        <v>0</v>
      </c>
      <c r="O24" s="268"/>
      <c r="P24" s="13"/>
      <c r="Q24" s="56"/>
      <c r="R24" s="56"/>
      <c r="S24" s="56"/>
    </row>
    <row r="25" spans="1:19" s="57" customFormat="1" ht="27" customHeight="1">
      <c r="A25" s="242" t="s">
        <v>466</v>
      </c>
      <c r="B25" s="292" t="s">
        <v>278</v>
      </c>
      <c r="C25" s="317">
        <f>+'Bank Assets Analysis'!C25-'Bank Assets Analysis'!D25</f>
        <v>175</v>
      </c>
      <c r="D25" s="317">
        <f>+'Bank Assets Analysis'!E25-'Bank Assets Analysis'!F25</f>
        <v>0</v>
      </c>
      <c r="E25" s="317">
        <f>+'Bank Assets Analysis'!G25-'Bank Assets Analysis'!H25</f>
        <v>0</v>
      </c>
      <c r="F25" s="317">
        <f>+'Bank Assets Analysis'!I25-'Bank Assets Analysis'!J25</f>
        <v>0</v>
      </c>
      <c r="G25" s="317">
        <f>+'Bank Assets Analysis'!K25-'Bank Assets Analysis'!L25</f>
        <v>0</v>
      </c>
      <c r="H25" s="317">
        <f>+'Bank Assets Analysis'!M25-'Bank Assets Analysis'!N25</f>
        <v>0</v>
      </c>
      <c r="I25" s="317">
        <f>+'Bank Assets Analysis'!O25-'Bank Assets Analysis'!P25</f>
        <v>0</v>
      </c>
      <c r="J25" s="317">
        <f>+'Bank Assets Analysis'!Q25-'Bank Assets Analysis'!R25</f>
        <v>0</v>
      </c>
      <c r="K25" s="317">
        <f t="shared" si="0"/>
        <v>175</v>
      </c>
      <c r="L25" s="293">
        <v>1</v>
      </c>
      <c r="M25" s="320">
        <f>+C25+D25+E25</f>
        <v>175</v>
      </c>
      <c r="N25" s="276">
        <f t="shared" si="8"/>
        <v>175</v>
      </c>
      <c r="O25" s="268"/>
      <c r="P25" s="13"/>
      <c r="Q25" s="56"/>
      <c r="R25" s="56"/>
      <c r="S25" s="56"/>
    </row>
    <row r="26" spans="1:19" s="57" customFormat="1" ht="33.75" customHeight="1">
      <c r="A26" s="242" t="s">
        <v>279</v>
      </c>
      <c r="B26" s="166" t="s">
        <v>280</v>
      </c>
      <c r="C26" s="276">
        <f>+'Bank Assets Analysis'!C26-'Bank Assets Analysis'!D26</f>
        <v>1400024</v>
      </c>
      <c r="D26" s="276">
        <f>+'Bank Assets Analysis'!E26-'Bank Assets Analysis'!F26</f>
        <v>0</v>
      </c>
      <c r="E26" s="276">
        <f>+'Bank Assets Analysis'!G26-'Bank Assets Analysis'!H26</f>
        <v>0</v>
      </c>
      <c r="F26" s="276">
        <f>+'Bank Assets Analysis'!I26-'Bank Assets Analysis'!J26</f>
        <v>0</v>
      </c>
      <c r="G26" s="276">
        <f>+'Bank Assets Analysis'!K26-'Bank Assets Analysis'!L26</f>
        <v>0</v>
      </c>
      <c r="H26" s="276">
        <f>+'Bank Assets Analysis'!M26-'Bank Assets Analysis'!N26</f>
        <v>0</v>
      </c>
      <c r="I26" s="276">
        <f>+'Bank Assets Analysis'!O26-'Bank Assets Analysis'!P26</f>
        <v>0</v>
      </c>
      <c r="J26" s="276">
        <f>+'Bank Assets Analysis'!Q26-'Bank Assets Analysis'!R26</f>
        <v>0</v>
      </c>
      <c r="K26" s="276">
        <f t="shared" si="0"/>
        <v>1400024</v>
      </c>
      <c r="L26" s="54">
        <v>0.5</v>
      </c>
      <c r="M26" s="318">
        <f>+D26+E26</f>
        <v>0</v>
      </c>
      <c r="N26" s="276">
        <f t="shared" si="4"/>
        <v>0</v>
      </c>
      <c r="O26" s="268"/>
      <c r="P26" s="13"/>
      <c r="Q26" s="56"/>
      <c r="R26" s="56"/>
      <c r="S26" s="56"/>
    </row>
    <row r="27" spans="1:19" s="57" customFormat="1" ht="27" customHeight="1">
      <c r="A27" s="242" t="s">
        <v>281</v>
      </c>
      <c r="B27" s="166" t="s">
        <v>282</v>
      </c>
      <c r="C27" s="276">
        <f>+'Bank Assets Analysis'!C27-'Bank Assets Analysis'!D27</f>
        <v>0</v>
      </c>
      <c r="D27" s="276">
        <f>+'Bank Assets Analysis'!E27-'Bank Assets Analysis'!F27</f>
        <v>0</v>
      </c>
      <c r="E27" s="276">
        <f>+'Bank Assets Analysis'!G27-'Bank Assets Analysis'!H27</f>
        <v>0</v>
      </c>
      <c r="F27" s="276">
        <f>+'Bank Assets Analysis'!I27-'Bank Assets Analysis'!J27</f>
        <v>0</v>
      </c>
      <c r="G27" s="276">
        <f>+'Bank Assets Analysis'!K27-'Bank Assets Analysis'!L27</f>
        <v>0</v>
      </c>
      <c r="H27" s="276">
        <f>+'Bank Assets Analysis'!M27-'Bank Assets Analysis'!N27</f>
        <v>0</v>
      </c>
      <c r="I27" s="276">
        <f>+'Bank Assets Analysis'!O27-'Bank Assets Analysis'!P27</f>
        <v>0</v>
      </c>
      <c r="J27" s="276">
        <f>+'Bank Assets Analysis'!Q27-'Bank Assets Analysis'!R27</f>
        <v>0</v>
      </c>
      <c r="K27" s="276">
        <f t="shared" si="0"/>
        <v>0</v>
      </c>
      <c r="L27" s="54">
        <v>0.5</v>
      </c>
      <c r="M27" s="318">
        <f>+D27+E27</f>
        <v>0</v>
      </c>
      <c r="N27" s="276">
        <f t="shared" si="4"/>
        <v>0</v>
      </c>
      <c r="O27" s="268"/>
      <c r="P27" s="13"/>
      <c r="Q27" s="56"/>
      <c r="R27" s="56"/>
      <c r="S27" s="56"/>
    </row>
    <row r="28" spans="1:19" s="57" customFormat="1" ht="27" customHeight="1">
      <c r="A28" s="242" t="s">
        <v>283</v>
      </c>
      <c r="B28" s="166" t="s">
        <v>284</v>
      </c>
      <c r="C28" s="276">
        <f>+'Bank Assets Analysis'!C28-'Bank Assets Analysis'!D28</f>
        <v>0</v>
      </c>
      <c r="D28" s="276">
        <f>+'Bank Assets Analysis'!E28-'Bank Assets Analysis'!F28</f>
        <v>0</v>
      </c>
      <c r="E28" s="276">
        <f>+'Bank Assets Analysis'!G28-'Bank Assets Analysis'!H28</f>
        <v>0</v>
      </c>
      <c r="F28" s="276">
        <f>+'Bank Assets Analysis'!I28-'Bank Assets Analysis'!J28</f>
        <v>0</v>
      </c>
      <c r="G28" s="276">
        <f>+'Bank Assets Analysis'!K28-'Bank Assets Analysis'!L28</f>
        <v>0</v>
      </c>
      <c r="H28" s="276">
        <f>+'Bank Assets Analysis'!M28-'Bank Assets Analysis'!N28</f>
        <v>0</v>
      </c>
      <c r="I28" s="276">
        <f>+'Bank Assets Analysis'!O28-'Bank Assets Analysis'!P28</f>
        <v>0</v>
      </c>
      <c r="J28" s="276">
        <f>+'Bank Assets Analysis'!Q28-'Bank Assets Analysis'!R28</f>
        <v>0</v>
      </c>
      <c r="K28" s="276">
        <f t="shared" si="0"/>
        <v>0</v>
      </c>
      <c r="L28" s="54">
        <v>1</v>
      </c>
      <c r="M28" s="318">
        <f>C28+D28+E28</f>
        <v>0</v>
      </c>
      <c r="N28" s="276">
        <f t="shared" si="4"/>
        <v>0</v>
      </c>
      <c r="O28" s="268"/>
      <c r="P28" s="13"/>
      <c r="Q28" s="56"/>
      <c r="R28" s="56"/>
      <c r="S28" s="56"/>
    </row>
    <row r="29" spans="1:19" s="57" customFormat="1" ht="27" customHeight="1">
      <c r="A29" s="242" t="s">
        <v>285</v>
      </c>
      <c r="B29" s="166" t="s">
        <v>286</v>
      </c>
      <c r="C29" s="276">
        <f>+'Bank Assets Analysis'!C29-'Bank Assets Analysis'!D29</f>
        <v>0</v>
      </c>
      <c r="D29" s="276">
        <f>+'Bank Assets Analysis'!E29-'Bank Assets Analysis'!F29</f>
        <v>0</v>
      </c>
      <c r="E29" s="276">
        <f>+'Bank Assets Analysis'!G29-'Bank Assets Analysis'!H29</f>
        <v>0</v>
      </c>
      <c r="F29" s="276">
        <f>+'Bank Assets Analysis'!I29-'Bank Assets Analysis'!J29</f>
        <v>0</v>
      </c>
      <c r="G29" s="276">
        <f>+'Bank Assets Analysis'!K29-'Bank Assets Analysis'!L29</f>
        <v>0</v>
      </c>
      <c r="H29" s="276">
        <f>+'Bank Assets Analysis'!M29-'Bank Assets Analysis'!N29</f>
        <v>0</v>
      </c>
      <c r="I29" s="276">
        <f>+'Bank Assets Analysis'!O29-'Bank Assets Analysis'!P29</f>
        <v>0</v>
      </c>
      <c r="J29" s="276">
        <f>+'Bank Assets Analysis'!Q29-'Bank Assets Analysis'!R29</f>
        <v>0</v>
      </c>
      <c r="K29" s="276">
        <f t="shared" si="0"/>
        <v>0</v>
      </c>
      <c r="L29" s="54">
        <v>0.5</v>
      </c>
      <c r="M29" s="318">
        <f>+D29+E29</f>
        <v>0</v>
      </c>
      <c r="N29" s="276">
        <f t="shared" si="4"/>
        <v>0</v>
      </c>
      <c r="O29" s="268"/>
      <c r="P29" s="13"/>
      <c r="Q29" s="56"/>
      <c r="R29" s="56"/>
      <c r="S29" s="56"/>
    </row>
    <row r="30" spans="1:19" s="57" customFormat="1" ht="27" customHeight="1">
      <c r="A30" s="242" t="s">
        <v>287</v>
      </c>
      <c r="B30" s="166" t="s">
        <v>434</v>
      </c>
      <c r="C30" s="276">
        <f>+'Bank Assets Analysis'!C30-'Bank Assets Analysis'!D30</f>
        <v>565523721</v>
      </c>
      <c r="D30" s="276">
        <f>+'Bank Assets Analysis'!E30-'Bank Assets Analysis'!F30</f>
        <v>281486682</v>
      </c>
      <c r="E30" s="276">
        <f>+'Bank Assets Analysis'!G30-'Bank Assets Analysis'!H30</f>
        <v>24584448</v>
      </c>
      <c r="F30" s="276">
        <f>+'Bank Assets Analysis'!I30-'Bank Assets Analysis'!J30</f>
        <v>749722641</v>
      </c>
      <c r="G30" s="276">
        <f>+'Bank Assets Analysis'!K30-'Bank Assets Analysis'!L30</f>
        <v>1283377933</v>
      </c>
      <c r="H30" s="276">
        <f>+'Bank Assets Analysis'!M30-'Bank Assets Analysis'!N30</f>
        <v>2143269376</v>
      </c>
      <c r="I30" s="276">
        <f>+'Bank Assets Analysis'!O30-'Bank Assets Analysis'!P30</f>
        <v>3342195360</v>
      </c>
      <c r="J30" s="276">
        <f>+'Bank Assets Analysis'!Q30-'Bank Assets Analysis'!R30</f>
        <v>7996601237</v>
      </c>
      <c r="K30" s="276">
        <f t="shared" si="0"/>
        <v>16386761398</v>
      </c>
      <c r="L30" s="54">
        <v>0.5</v>
      </c>
      <c r="M30" s="318">
        <f>+D30+E30</f>
        <v>306071130</v>
      </c>
      <c r="N30" s="276">
        <f t="shared" si="4"/>
        <v>153035565</v>
      </c>
      <c r="O30" s="268"/>
      <c r="P30" s="13"/>
      <c r="Q30" s="56"/>
      <c r="R30" s="56"/>
      <c r="S30" s="56"/>
    </row>
    <row r="31" spans="1:19" s="57" customFormat="1" ht="27" customHeight="1">
      <c r="A31" s="242" t="s">
        <v>113</v>
      </c>
      <c r="B31" s="166" t="s">
        <v>288</v>
      </c>
      <c r="C31" s="276">
        <f>+'Bank Assets Analysis'!C31-'Bank Assets Analysis'!D31</f>
        <v>256533113</v>
      </c>
      <c r="D31" s="276">
        <f>+'Bank Assets Analysis'!E31-'Bank Assets Analysis'!F31</f>
        <v>166921211</v>
      </c>
      <c r="E31" s="276">
        <f>+'Bank Assets Analysis'!G31-'Bank Assets Analysis'!H31</f>
        <v>3090440</v>
      </c>
      <c r="F31" s="276">
        <f>+'Bank Assets Analysis'!I31-'Bank Assets Analysis'!J31</f>
        <v>382102269</v>
      </c>
      <c r="G31" s="276">
        <f>+'Bank Assets Analysis'!K31-'Bank Assets Analysis'!L31</f>
        <v>535515298</v>
      </c>
      <c r="H31" s="276">
        <f>+'Bank Assets Analysis'!M31-'Bank Assets Analysis'!N31</f>
        <v>1032977100</v>
      </c>
      <c r="I31" s="276">
        <f>+'Bank Assets Analysis'!O31-'Bank Assets Analysis'!P31</f>
        <v>1785137355</v>
      </c>
      <c r="J31" s="276">
        <f>+'Bank Assets Analysis'!Q31-'Bank Assets Analysis'!R31</f>
        <v>4244209601</v>
      </c>
      <c r="K31" s="276">
        <f t="shared" si="0"/>
        <v>8406486387</v>
      </c>
      <c r="L31" s="54">
        <v>0</v>
      </c>
      <c r="M31" s="318">
        <f t="shared" ref="M31:M34" si="9">+D31+E31</f>
        <v>170011651</v>
      </c>
      <c r="N31" s="276">
        <f t="shared" ref="N31:N34" si="10">+M31*L31</f>
        <v>0</v>
      </c>
      <c r="O31" s="268"/>
      <c r="P31" s="13"/>
      <c r="Q31" s="56"/>
      <c r="R31" s="56"/>
      <c r="S31" s="56"/>
    </row>
    <row r="32" spans="1:19" s="57" customFormat="1" ht="27" customHeight="1">
      <c r="A32" s="242" t="s">
        <v>289</v>
      </c>
      <c r="B32" s="166" t="s">
        <v>290</v>
      </c>
      <c r="C32" s="276">
        <f>+'Bank Assets Analysis'!C32-'Bank Assets Analysis'!D32</f>
        <v>49144548</v>
      </c>
      <c r="D32" s="276">
        <f>+'Bank Assets Analysis'!E32-'Bank Assets Analysis'!F32</f>
        <v>0</v>
      </c>
      <c r="E32" s="276">
        <f>+'Bank Assets Analysis'!G32-'Bank Assets Analysis'!H32</f>
        <v>0</v>
      </c>
      <c r="F32" s="276">
        <f>+'Bank Assets Analysis'!I32-'Bank Assets Analysis'!J32</f>
        <v>0</v>
      </c>
      <c r="G32" s="276">
        <f>+'Bank Assets Analysis'!K32-'Bank Assets Analysis'!L32</f>
        <v>0</v>
      </c>
      <c r="H32" s="276">
        <f>+'Bank Assets Analysis'!M32-'Bank Assets Analysis'!N32</f>
        <v>0</v>
      </c>
      <c r="I32" s="276">
        <f>+'Bank Assets Analysis'!O32-'Bank Assets Analysis'!P32</f>
        <v>0</v>
      </c>
      <c r="J32" s="276">
        <f>+'Bank Assets Analysis'!Q32-'Bank Assets Analysis'!R32</f>
        <v>0</v>
      </c>
      <c r="K32" s="276">
        <f t="shared" si="0"/>
        <v>49144548</v>
      </c>
      <c r="L32" s="54">
        <v>0</v>
      </c>
      <c r="M32" s="318">
        <f t="shared" si="9"/>
        <v>0</v>
      </c>
      <c r="N32" s="276">
        <f t="shared" si="10"/>
        <v>0</v>
      </c>
      <c r="O32" s="268"/>
      <c r="P32" s="13"/>
      <c r="Q32" s="56"/>
      <c r="R32" s="56"/>
      <c r="S32" s="56"/>
    </row>
    <row r="33" spans="1:19" s="57" customFormat="1" ht="27" customHeight="1">
      <c r="A33" s="242">
        <v>11</v>
      </c>
      <c r="B33" s="166" t="s">
        <v>100</v>
      </c>
      <c r="C33" s="276">
        <f>+'Bank Assets Analysis'!C33-'Bank Assets Analysis'!D33</f>
        <v>925002773</v>
      </c>
      <c r="D33" s="276">
        <f>+'Bank Assets Analysis'!E33-'Bank Assets Analysis'!F33</f>
        <v>0</v>
      </c>
      <c r="E33" s="276">
        <f>+'Bank Assets Analysis'!G33-'Bank Assets Analysis'!H33</f>
        <v>0</v>
      </c>
      <c r="F33" s="276">
        <f>+'Bank Assets Analysis'!I33-'Bank Assets Analysis'!J33</f>
        <v>0</v>
      </c>
      <c r="G33" s="276">
        <f>+'Bank Assets Analysis'!K33-'Bank Assets Analysis'!L33</f>
        <v>0</v>
      </c>
      <c r="H33" s="276">
        <f>+'Bank Assets Analysis'!M33-'Bank Assets Analysis'!N33</f>
        <v>0</v>
      </c>
      <c r="I33" s="276">
        <f>+'Bank Assets Analysis'!O33-'Bank Assets Analysis'!P33</f>
        <v>0</v>
      </c>
      <c r="J33" s="276">
        <f>+'Bank Assets Analysis'!Q33-'Bank Assets Analysis'!R33</f>
        <v>0</v>
      </c>
      <c r="K33" s="276">
        <f t="shared" si="0"/>
        <v>925002773</v>
      </c>
      <c r="L33" s="54">
        <v>0</v>
      </c>
      <c r="M33" s="318">
        <f t="shared" si="9"/>
        <v>0</v>
      </c>
      <c r="N33" s="276">
        <f t="shared" si="10"/>
        <v>0</v>
      </c>
      <c r="O33" s="268"/>
      <c r="P33" s="13"/>
      <c r="Q33" s="56"/>
      <c r="R33" s="56"/>
      <c r="S33" s="56"/>
    </row>
    <row r="34" spans="1:19" s="57" customFormat="1" ht="33.75" customHeight="1">
      <c r="A34" s="242" t="s">
        <v>291</v>
      </c>
      <c r="B34" s="166" t="s">
        <v>457</v>
      </c>
      <c r="C34" s="276">
        <f t="shared" ref="C34:J34" si="11">+C35+C36</f>
        <v>0</v>
      </c>
      <c r="D34" s="276">
        <f t="shared" si="11"/>
        <v>0</v>
      </c>
      <c r="E34" s="276">
        <f t="shared" si="11"/>
        <v>0</v>
      </c>
      <c r="F34" s="276">
        <f t="shared" si="11"/>
        <v>0</v>
      </c>
      <c r="G34" s="276">
        <f t="shared" si="11"/>
        <v>0</v>
      </c>
      <c r="H34" s="276">
        <f t="shared" si="11"/>
        <v>0</v>
      </c>
      <c r="I34" s="276">
        <f t="shared" si="11"/>
        <v>0</v>
      </c>
      <c r="J34" s="276">
        <f t="shared" si="11"/>
        <v>0</v>
      </c>
      <c r="K34" s="276">
        <f t="shared" si="0"/>
        <v>0</v>
      </c>
      <c r="L34" s="54">
        <v>0</v>
      </c>
      <c r="M34" s="318">
        <f t="shared" si="9"/>
        <v>0</v>
      </c>
      <c r="N34" s="276">
        <f t="shared" si="10"/>
        <v>0</v>
      </c>
      <c r="O34" s="268"/>
      <c r="P34" s="13"/>
      <c r="Q34" s="56"/>
      <c r="R34" s="56"/>
      <c r="S34" s="56"/>
    </row>
    <row r="35" spans="1:19" s="57" customFormat="1" ht="36.75" customHeight="1">
      <c r="A35" s="242" t="s">
        <v>124</v>
      </c>
      <c r="B35" s="166" t="s">
        <v>449</v>
      </c>
      <c r="C35" s="276">
        <f>+'Bank Assets Analysis'!C35-'Bank Assets Analysis'!D35</f>
        <v>0</v>
      </c>
      <c r="D35" s="276">
        <f>+'Bank Assets Analysis'!E35-'Bank Assets Analysis'!F35</f>
        <v>0</v>
      </c>
      <c r="E35" s="276">
        <f>+'Bank Assets Analysis'!G35-'Bank Assets Analysis'!H35</f>
        <v>0</v>
      </c>
      <c r="F35" s="276">
        <f>+'Bank Assets Analysis'!I35-'Bank Assets Analysis'!J35</f>
        <v>0</v>
      </c>
      <c r="G35" s="276">
        <f>+'Bank Assets Analysis'!K35-'Bank Assets Analysis'!L35</f>
        <v>0</v>
      </c>
      <c r="H35" s="276">
        <f>+'Bank Assets Analysis'!M35-'Bank Assets Analysis'!N35</f>
        <v>0</v>
      </c>
      <c r="I35" s="276">
        <f>+'Bank Assets Analysis'!O35-'Bank Assets Analysis'!P35</f>
        <v>0</v>
      </c>
      <c r="J35" s="276">
        <f>+'Bank Assets Analysis'!Q35-'Bank Assets Analysis'!R35</f>
        <v>0</v>
      </c>
      <c r="K35" s="276">
        <f t="shared" si="0"/>
        <v>0</v>
      </c>
      <c r="L35" s="54">
        <v>1</v>
      </c>
      <c r="M35" s="318">
        <f>+K35</f>
        <v>0</v>
      </c>
      <c r="N35" s="319">
        <f t="shared" si="4"/>
        <v>0</v>
      </c>
      <c r="O35" s="268"/>
      <c r="P35" s="13"/>
      <c r="Q35" s="56"/>
      <c r="R35" s="56"/>
      <c r="S35" s="56"/>
    </row>
    <row r="36" spans="1:19" s="57" customFormat="1" ht="27" customHeight="1">
      <c r="A36" s="242" t="s">
        <v>126</v>
      </c>
      <c r="B36" s="166" t="s">
        <v>448</v>
      </c>
      <c r="C36" s="276">
        <f>+'Bank Assets Analysis'!C36-'Bank Assets Analysis'!D36</f>
        <v>0</v>
      </c>
      <c r="D36" s="276">
        <f>+'Bank Assets Analysis'!E36-'Bank Assets Analysis'!F36</f>
        <v>0</v>
      </c>
      <c r="E36" s="276">
        <f>+'Bank Assets Analysis'!G36-'Bank Assets Analysis'!H36</f>
        <v>0</v>
      </c>
      <c r="F36" s="276">
        <f>+'Bank Assets Analysis'!I36-'Bank Assets Analysis'!J36</f>
        <v>0</v>
      </c>
      <c r="G36" s="276">
        <f>+'Bank Assets Analysis'!K36-'Bank Assets Analysis'!L36</f>
        <v>0</v>
      </c>
      <c r="H36" s="276">
        <f>+'Bank Assets Analysis'!M36-'Bank Assets Analysis'!N36</f>
        <v>0</v>
      </c>
      <c r="I36" s="276">
        <f>+'Bank Assets Analysis'!O36-'Bank Assets Analysis'!P36</f>
        <v>0</v>
      </c>
      <c r="J36" s="276">
        <f>+'Bank Assets Analysis'!Q36-'Bank Assets Analysis'!R36</f>
        <v>0</v>
      </c>
      <c r="K36" s="276">
        <f t="shared" si="0"/>
        <v>0</v>
      </c>
      <c r="L36" s="54">
        <v>0</v>
      </c>
      <c r="M36" s="318"/>
      <c r="N36" s="276">
        <f t="shared" si="4"/>
        <v>0</v>
      </c>
      <c r="O36" s="268"/>
      <c r="P36" s="13"/>
      <c r="Q36" s="56"/>
      <c r="R36" s="56"/>
      <c r="S36" s="56"/>
    </row>
    <row r="37" spans="1:19" s="57" customFormat="1" ht="27" customHeight="1">
      <c r="A37" s="242" t="s">
        <v>292</v>
      </c>
      <c r="B37" s="166" t="s">
        <v>293</v>
      </c>
      <c r="C37" s="276">
        <f>+'Bank Assets Analysis'!C37-'Bank Assets Analysis'!D37</f>
        <v>0</v>
      </c>
      <c r="D37" s="276">
        <f>+'Bank Assets Analysis'!E37-'Bank Assets Analysis'!F37</f>
        <v>0</v>
      </c>
      <c r="E37" s="276">
        <f>+'Bank Assets Analysis'!G37-'Bank Assets Analysis'!H37</f>
        <v>0</v>
      </c>
      <c r="F37" s="276">
        <f>+'Bank Assets Analysis'!I37-'Bank Assets Analysis'!J37</f>
        <v>0</v>
      </c>
      <c r="G37" s="276">
        <f>+'Bank Assets Analysis'!K37-'Bank Assets Analysis'!L37</f>
        <v>0</v>
      </c>
      <c r="H37" s="276">
        <f>+'Bank Assets Analysis'!M37-'Bank Assets Analysis'!N37</f>
        <v>0</v>
      </c>
      <c r="I37" s="276">
        <f>+'Bank Assets Analysis'!O37-'Bank Assets Analysis'!P37</f>
        <v>0</v>
      </c>
      <c r="J37" s="276">
        <f>+'Bank Assets Analysis'!Q37-'Bank Assets Analysis'!R37</f>
        <v>903999652</v>
      </c>
      <c r="K37" s="276">
        <f t="shared" si="0"/>
        <v>903999652</v>
      </c>
      <c r="L37" s="54">
        <v>0</v>
      </c>
      <c r="M37" s="318"/>
      <c r="N37" s="276">
        <f t="shared" si="4"/>
        <v>0</v>
      </c>
      <c r="O37" s="268"/>
      <c r="P37" s="13"/>
      <c r="Q37" s="56"/>
      <c r="R37" s="56"/>
      <c r="S37" s="56"/>
    </row>
    <row r="38" spans="1:19" s="57" customFormat="1" ht="27" customHeight="1">
      <c r="A38" s="242" t="s">
        <v>294</v>
      </c>
      <c r="B38" s="166" t="s">
        <v>123</v>
      </c>
      <c r="C38" s="276">
        <f>+'Bank Assets Analysis'!C38-'Bank Assets Analysis'!D38</f>
        <v>790493963</v>
      </c>
      <c r="D38" s="276">
        <f>+'Bank Assets Analysis'!E38-'Bank Assets Analysis'!F38</f>
        <v>0</v>
      </c>
      <c r="E38" s="276">
        <f>+'Bank Assets Analysis'!G38-'Bank Assets Analysis'!H38</f>
        <v>0</v>
      </c>
      <c r="F38" s="276">
        <f>+'Bank Assets Analysis'!I38-'Bank Assets Analysis'!J38</f>
        <v>0</v>
      </c>
      <c r="G38" s="276">
        <f>+'Bank Assets Analysis'!K38-'Bank Assets Analysis'!L38</f>
        <v>0</v>
      </c>
      <c r="H38" s="276">
        <f>+'Bank Assets Analysis'!M38-'Bank Assets Analysis'!N38</f>
        <v>0</v>
      </c>
      <c r="I38" s="276">
        <f>+'Bank Assets Analysis'!O38-'Bank Assets Analysis'!P38</f>
        <v>0</v>
      </c>
      <c r="J38" s="276">
        <f>+'Bank Assets Analysis'!Q38-'Bank Assets Analysis'!R38</f>
        <v>0</v>
      </c>
      <c r="K38" s="276">
        <f t="shared" si="0"/>
        <v>790493963</v>
      </c>
      <c r="L38" s="54">
        <v>0</v>
      </c>
      <c r="M38" s="318"/>
      <c r="N38" s="276">
        <f t="shared" si="4"/>
        <v>0</v>
      </c>
      <c r="O38" s="268"/>
      <c r="P38" s="13"/>
      <c r="Q38" s="56"/>
      <c r="R38" s="56"/>
      <c r="S38" s="56"/>
    </row>
    <row r="39" spans="1:19" s="57" customFormat="1" ht="27" customHeight="1">
      <c r="A39" s="242" t="s">
        <v>136</v>
      </c>
      <c r="B39" s="166" t="s">
        <v>295</v>
      </c>
      <c r="C39" s="276">
        <f>+'Bank Assets Analysis'!C39-'Bank Assets Analysis'!D39</f>
        <v>0</v>
      </c>
      <c r="D39" s="276">
        <f>+'Bank Assets Analysis'!E39-'Bank Assets Analysis'!F39</f>
        <v>0</v>
      </c>
      <c r="E39" s="276">
        <f>+'Bank Assets Analysis'!G39-'Bank Assets Analysis'!H39</f>
        <v>0</v>
      </c>
      <c r="F39" s="276">
        <f>+'Bank Assets Analysis'!I39-'Bank Assets Analysis'!J39</f>
        <v>0</v>
      </c>
      <c r="G39" s="276">
        <f>+'Bank Assets Analysis'!K39-'Bank Assets Analysis'!L39</f>
        <v>0</v>
      </c>
      <c r="H39" s="276">
        <f>+'Bank Assets Analysis'!M39-'Bank Assets Analysis'!N39</f>
        <v>0</v>
      </c>
      <c r="I39" s="276">
        <f>+'Bank Assets Analysis'!O39-'Bank Assets Analysis'!P39</f>
        <v>0</v>
      </c>
      <c r="J39" s="276">
        <f>+'Bank Assets Analysis'!Q39-'Bank Assets Analysis'!R39</f>
        <v>0</v>
      </c>
      <c r="K39" s="276">
        <f t="shared" si="0"/>
        <v>0</v>
      </c>
      <c r="L39" s="54">
        <v>0</v>
      </c>
      <c r="M39" s="318"/>
      <c r="N39" s="276">
        <f t="shared" si="4"/>
        <v>0</v>
      </c>
      <c r="O39" s="268"/>
      <c r="P39" s="13"/>
      <c r="Q39" s="56"/>
      <c r="R39" s="56"/>
      <c r="S39" s="56"/>
    </row>
    <row r="40" spans="1:19" s="57" customFormat="1" ht="27" customHeight="1">
      <c r="A40" s="242" t="s">
        <v>139</v>
      </c>
      <c r="B40" s="166" t="s">
        <v>296</v>
      </c>
      <c r="C40" s="276"/>
      <c r="D40" s="276"/>
      <c r="E40" s="276"/>
      <c r="F40" s="276"/>
      <c r="G40" s="276"/>
      <c r="H40" s="276"/>
      <c r="I40" s="276"/>
      <c r="J40" s="276"/>
      <c r="K40" s="276">
        <f t="shared" si="0"/>
        <v>0</v>
      </c>
      <c r="L40" s="54">
        <v>0</v>
      </c>
      <c r="M40" s="318"/>
      <c r="N40" s="276">
        <f t="shared" si="4"/>
        <v>0</v>
      </c>
      <c r="O40" s="268"/>
      <c r="P40" s="13"/>
      <c r="Q40" s="56"/>
      <c r="R40" s="56"/>
      <c r="S40" s="56"/>
    </row>
    <row r="41" spans="1:19" s="57" customFormat="1" ht="27" customHeight="1">
      <c r="A41" s="242" t="s">
        <v>141</v>
      </c>
      <c r="B41" s="166" t="s">
        <v>297</v>
      </c>
      <c r="C41" s="276">
        <f>+'Bank Assets Analysis'!C41-'Bank Assets Analysis'!D41</f>
        <v>0</v>
      </c>
      <c r="D41" s="276">
        <f>+'Bank Assets Analysis'!E41-'Bank Assets Analysis'!F41</f>
        <v>0</v>
      </c>
      <c r="E41" s="276">
        <f>+'Bank Assets Analysis'!G41-'Bank Assets Analysis'!H41</f>
        <v>0</v>
      </c>
      <c r="F41" s="276">
        <f>+'Bank Assets Analysis'!I41-'Bank Assets Analysis'!J41</f>
        <v>0</v>
      </c>
      <c r="G41" s="276">
        <f>+'Bank Assets Analysis'!K41-'Bank Assets Analysis'!L41</f>
        <v>0</v>
      </c>
      <c r="H41" s="276">
        <f>+'Bank Assets Analysis'!M41-'Bank Assets Analysis'!N41</f>
        <v>0</v>
      </c>
      <c r="I41" s="276">
        <f>+'Bank Assets Analysis'!O41-'Bank Assets Analysis'!P41</f>
        <v>0</v>
      </c>
      <c r="J41" s="276">
        <f>+'Bank Assets Analysis'!Q41-'Bank Assets Analysis'!R41</f>
        <v>0</v>
      </c>
      <c r="K41" s="276">
        <f t="shared" si="0"/>
        <v>0</v>
      </c>
      <c r="L41" s="54">
        <v>0</v>
      </c>
      <c r="M41" s="318"/>
      <c r="N41" s="276">
        <f t="shared" si="4"/>
        <v>0</v>
      </c>
      <c r="O41" s="268"/>
      <c r="P41" s="13"/>
      <c r="Q41" s="56"/>
      <c r="R41" s="56"/>
      <c r="S41" s="56"/>
    </row>
    <row r="42" spans="1:19" s="57" customFormat="1" ht="27" customHeight="1">
      <c r="A42" s="242" t="s">
        <v>143</v>
      </c>
      <c r="B42" s="166" t="s">
        <v>298</v>
      </c>
      <c r="C42" s="276">
        <f>+'Bank Assets Analysis'!C42-'Bank Assets Analysis'!D42</f>
        <v>712141749</v>
      </c>
      <c r="D42" s="276">
        <f>+'Bank Assets Analysis'!E42-'Bank Assets Analysis'!F42</f>
        <v>0</v>
      </c>
      <c r="E42" s="276">
        <f>+'Bank Assets Analysis'!G42-'Bank Assets Analysis'!H42</f>
        <v>650660525</v>
      </c>
      <c r="F42" s="276">
        <f>+'Bank Assets Analysis'!I42-'Bank Assets Analysis'!J42</f>
        <v>0</v>
      </c>
      <c r="G42" s="276">
        <f>+'Bank Assets Analysis'!K42-'Bank Assets Analysis'!L42</f>
        <v>0</v>
      </c>
      <c r="H42" s="276">
        <f>+'Bank Assets Analysis'!M42-'Bank Assets Analysis'!N42</f>
        <v>0</v>
      </c>
      <c r="I42" s="276">
        <f>+'Bank Assets Analysis'!O42-'Bank Assets Analysis'!P42</f>
        <v>0</v>
      </c>
      <c r="J42" s="276">
        <f>+'Bank Assets Analysis'!Q42-'Bank Assets Analysis'!R42</f>
        <v>0</v>
      </c>
      <c r="K42" s="276">
        <f t="shared" si="0"/>
        <v>1362802274</v>
      </c>
      <c r="L42" s="54">
        <v>0.5</v>
      </c>
      <c r="M42" s="320">
        <f>+D42+E42</f>
        <v>650660525</v>
      </c>
      <c r="N42" s="276">
        <f>+M42*L42</f>
        <v>325330262.5</v>
      </c>
      <c r="O42" s="268"/>
      <c r="P42" s="13"/>
      <c r="Q42" s="56"/>
      <c r="R42" s="56"/>
      <c r="S42" s="56"/>
    </row>
    <row r="43" spans="1:19" s="57" customFormat="1" ht="27" customHeight="1">
      <c r="A43" s="242" t="s">
        <v>474</v>
      </c>
      <c r="B43" s="166" t="s">
        <v>486</v>
      </c>
      <c r="C43" s="276">
        <f>+'Bank Assets Analysis'!C43-'Bank Assets Analysis'!D43</f>
        <v>0</v>
      </c>
      <c r="D43" s="276">
        <f>+'Bank Assets Analysis'!E43-'Bank Assets Analysis'!F43</f>
        <v>0</v>
      </c>
      <c r="E43" s="276">
        <f>+'Bank Assets Analysis'!G43-'Bank Assets Analysis'!H43</f>
        <v>0</v>
      </c>
      <c r="F43" s="276">
        <f>+'Bank Assets Analysis'!I43-'Bank Assets Analysis'!J43</f>
        <v>0</v>
      </c>
      <c r="G43" s="276">
        <f>+'Bank Assets Analysis'!K43-'Bank Assets Analysis'!L43</f>
        <v>0</v>
      </c>
      <c r="H43" s="276">
        <f>+'Bank Assets Analysis'!M43-'Bank Assets Analysis'!N43</f>
        <v>0</v>
      </c>
      <c r="I43" s="276">
        <f>+'Bank Assets Analysis'!O43-'Bank Assets Analysis'!P43</f>
        <v>0</v>
      </c>
      <c r="J43" s="276">
        <f>+'Bank Assets Analysis'!Q43-'Bank Assets Analysis'!R43</f>
        <v>0</v>
      </c>
      <c r="K43" s="276">
        <f t="shared" ref="K43" si="12">+C43+D43+E43+F43+G43+H43+I43+J43</f>
        <v>0</v>
      </c>
      <c r="L43" s="54">
        <v>1</v>
      </c>
      <c r="M43" s="320">
        <f>+D43+E43</f>
        <v>0</v>
      </c>
      <c r="N43" s="276">
        <f>+M43*L43</f>
        <v>0</v>
      </c>
      <c r="O43" s="268"/>
      <c r="P43" s="13"/>
      <c r="Q43" s="56"/>
      <c r="R43" s="56"/>
      <c r="S43" s="56"/>
    </row>
    <row r="44" spans="1:19" s="57" customFormat="1" ht="27" customHeight="1">
      <c r="A44" s="242" t="s">
        <v>476</v>
      </c>
      <c r="B44" s="166" t="s">
        <v>475</v>
      </c>
      <c r="C44" s="276">
        <f>+'Bank Assets Analysis'!C44-'Bank Assets Analysis'!D44</f>
        <v>0</v>
      </c>
      <c r="D44" s="276">
        <f>+'Bank Assets Analysis'!E44-'Bank Assets Analysis'!F44</f>
        <v>0</v>
      </c>
      <c r="E44" s="276">
        <f>+'Bank Assets Analysis'!G44-'Bank Assets Analysis'!H44</f>
        <v>128983</v>
      </c>
      <c r="F44" s="276">
        <f>+'Bank Assets Analysis'!I44-'Bank Assets Analysis'!J44</f>
        <v>0</v>
      </c>
      <c r="G44" s="276">
        <f>+'Bank Assets Analysis'!K44-'Bank Assets Analysis'!L44</f>
        <v>0</v>
      </c>
      <c r="H44" s="276">
        <f>+'Bank Assets Analysis'!M44-'Bank Assets Analysis'!N44</f>
        <v>0</v>
      </c>
      <c r="I44" s="276">
        <f>+'Bank Assets Analysis'!O44-'Bank Assets Analysis'!P44</f>
        <v>0</v>
      </c>
      <c r="J44" s="276">
        <f>+'Bank Assets Analysis'!Q44-'Bank Assets Analysis'!R44</f>
        <v>0</v>
      </c>
      <c r="K44" s="276">
        <f t="shared" ref="K44" si="13">+C44+D44+E44+F44+G44+H44+I44+J44</f>
        <v>128983</v>
      </c>
      <c r="L44" s="54">
        <v>1</v>
      </c>
      <c r="M44" s="320">
        <f>+D44+E44</f>
        <v>128983</v>
      </c>
      <c r="N44" s="276">
        <f t="shared" ref="N44" si="14">+M44*L44</f>
        <v>128983</v>
      </c>
      <c r="O44" s="268"/>
      <c r="P44" s="13"/>
      <c r="Q44" s="56"/>
      <c r="R44" s="56"/>
      <c r="S44" s="56"/>
    </row>
    <row r="45" spans="1:19" s="57" customFormat="1" ht="27" customHeight="1">
      <c r="A45" s="242" t="s">
        <v>145</v>
      </c>
      <c r="B45" s="166" t="s">
        <v>299</v>
      </c>
      <c r="C45" s="276">
        <f>+'Bank Assets Analysis'!C45-'Bank Assets Analysis'!D45</f>
        <v>329384516</v>
      </c>
      <c r="D45" s="276">
        <f>+'Bank Assets Analysis'!E45-'Bank Assets Analysis'!F45</f>
        <v>0</v>
      </c>
      <c r="E45" s="276">
        <f>+'Bank Assets Analysis'!G45-'Bank Assets Analysis'!H45</f>
        <v>6987324</v>
      </c>
      <c r="F45" s="276">
        <f>+'Bank Assets Analysis'!I45-'Bank Assets Analysis'!J45</f>
        <v>13974648</v>
      </c>
      <c r="G45" s="276">
        <f>+'Bank Assets Analysis'!K45-'Bank Assets Analysis'!L45</f>
        <v>20961973</v>
      </c>
      <c r="H45" s="276">
        <f>+'Bank Assets Analysis'!M45-'Bank Assets Analysis'!N45</f>
        <v>41923945</v>
      </c>
      <c r="I45" s="276">
        <f>+'Bank Assets Analysis'!O45-'Bank Assets Analysis'!P45</f>
        <v>81740401</v>
      </c>
      <c r="J45" s="276">
        <f>+'Bank Assets Analysis'!Q45-'Bank Assets Analysis'!R45</f>
        <v>252323958</v>
      </c>
      <c r="K45" s="276">
        <f t="shared" si="0"/>
        <v>747296765</v>
      </c>
      <c r="L45" s="54">
        <v>0</v>
      </c>
      <c r="M45" s="320"/>
      <c r="N45" s="276">
        <f t="shared" si="4"/>
        <v>0</v>
      </c>
      <c r="O45" s="268"/>
      <c r="P45" s="13"/>
      <c r="Q45" s="56"/>
      <c r="R45" s="56"/>
      <c r="S45" s="56"/>
    </row>
    <row r="46" spans="1:19" s="57" customFormat="1" ht="27" customHeight="1">
      <c r="A46" s="242" t="s">
        <v>147</v>
      </c>
      <c r="B46" s="166" t="s">
        <v>300</v>
      </c>
      <c r="C46" s="276">
        <f>+'Bank Assets Analysis'!C46-'Bank Assets Analysis'!D46</f>
        <v>0</v>
      </c>
      <c r="D46" s="276">
        <f>+'Bank Assets Analysis'!E46-'Bank Assets Analysis'!F46</f>
        <v>0</v>
      </c>
      <c r="E46" s="276">
        <f>+'Bank Assets Analysis'!G46-'Bank Assets Analysis'!H46</f>
        <v>0</v>
      </c>
      <c r="F46" s="276">
        <f>+'Bank Assets Analysis'!I46-'Bank Assets Analysis'!J46</f>
        <v>0</v>
      </c>
      <c r="G46" s="276">
        <f>+'Bank Assets Analysis'!K46-'Bank Assets Analysis'!L46</f>
        <v>0</v>
      </c>
      <c r="H46" s="276">
        <f>+'Bank Assets Analysis'!M46-'Bank Assets Analysis'!N46</f>
        <v>0</v>
      </c>
      <c r="I46" s="276">
        <f>+'Bank Assets Analysis'!O46-'Bank Assets Analysis'!P46</f>
        <v>0</v>
      </c>
      <c r="J46" s="276">
        <f>+'Bank Assets Analysis'!Q46-'Bank Assets Analysis'!R46</f>
        <v>0</v>
      </c>
      <c r="K46" s="276">
        <f t="shared" ref="K46" si="15">+C46+D46+E46+F46+G46+H46+I46+J46</f>
        <v>0</v>
      </c>
      <c r="L46" s="54">
        <v>1</v>
      </c>
      <c r="M46" s="320">
        <f>+C46+D46+E46</f>
        <v>0</v>
      </c>
      <c r="N46" s="276">
        <f t="shared" ref="N46" si="16">+M46*L46</f>
        <v>0</v>
      </c>
      <c r="O46" s="268"/>
      <c r="P46" s="13"/>
      <c r="Q46" s="56"/>
      <c r="R46" s="56"/>
      <c r="S46" s="56"/>
    </row>
    <row r="47" spans="1:19" s="56" customFormat="1" ht="33.75" customHeight="1">
      <c r="A47" s="167" t="s">
        <v>149</v>
      </c>
      <c r="B47" s="168" t="s">
        <v>301</v>
      </c>
      <c r="C47" s="309">
        <f>SUM(C6:C45)-C9-C13-C17-C18-C31-C34</f>
        <v>4247250448</v>
      </c>
      <c r="D47" s="309">
        <f t="shared" ref="D47:J47" si="17">SUM(D6:D45)-D9-D13-D17-D18-D31-D34</f>
        <v>941486347</v>
      </c>
      <c r="E47" s="309">
        <f t="shared" si="17"/>
        <v>683986280</v>
      </c>
      <c r="F47" s="309">
        <f t="shared" si="17"/>
        <v>764113955</v>
      </c>
      <c r="G47" s="309">
        <f t="shared" si="17"/>
        <v>1363587741</v>
      </c>
      <c r="H47" s="309">
        <f t="shared" si="17"/>
        <v>2256940885</v>
      </c>
      <c r="I47" s="309">
        <f t="shared" si="17"/>
        <v>3432711238</v>
      </c>
      <c r="J47" s="309">
        <f t="shared" si="17"/>
        <v>9179664858</v>
      </c>
      <c r="K47" s="309">
        <f>SUM(C47:J47)</f>
        <v>22869741752</v>
      </c>
      <c r="L47" s="58"/>
      <c r="M47" s="328">
        <f>SUM(M6:M45)-M9-M34</f>
        <v>2770825763</v>
      </c>
      <c r="N47" s="328">
        <f>+N12+N13+N14+N15+N16+N18+N26+N27+N28+N29+N30+N42+N46+N25+(K23*0.2)+N43+N44</f>
        <v>493253325.5</v>
      </c>
      <c r="O47" s="269">
        <f>+Balance!D47</f>
        <v>22869741752</v>
      </c>
      <c r="P47" s="57">
        <f>+K47-O47</f>
        <v>0</v>
      </c>
      <c r="Q47" s="57"/>
      <c r="R47" s="57">
        <f>+O47</f>
        <v>22869741752</v>
      </c>
      <c r="S47" s="57">
        <f>+K47-R47</f>
        <v>0</v>
      </c>
    </row>
    <row r="48" spans="1:19" s="13" customFormat="1" ht="21" customHeight="1">
      <c r="A48" s="165"/>
      <c r="B48" s="190" t="s">
        <v>302</v>
      </c>
      <c r="C48" s="276"/>
      <c r="D48" s="276"/>
      <c r="E48" s="276"/>
      <c r="F48" s="276"/>
      <c r="G48" s="276"/>
      <c r="H48" s="276"/>
      <c r="I48" s="276"/>
      <c r="J48" s="276"/>
      <c r="K48" s="276"/>
      <c r="L48" s="53"/>
      <c r="M48" s="276"/>
      <c r="N48" s="276"/>
      <c r="O48" s="270"/>
    </row>
    <row r="49" spans="1:17" s="13" customFormat="1" ht="25.5" customHeight="1">
      <c r="A49" s="165">
        <v>1</v>
      </c>
      <c r="B49" s="166" t="s">
        <v>303</v>
      </c>
      <c r="C49" s="276">
        <f>+'Bank Assets Analysis'!C49-'Bank Assets Analysis'!D49</f>
        <v>67080319</v>
      </c>
      <c r="D49" s="276">
        <f>+'Bank Assets Analysis'!E49-'Bank Assets Analysis'!F49</f>
        <v>543288</v>
      </c>
      <c r="E49" s="276">
        <f>+'Bank Assets Analysis'!G49-'Bank Assets Analysis'!H49</f>
        <v>467610</v>
      </c>
      <c r="F49" s="276">
        <f>+'Bank Assets Analysis'!I49-'Bank Assets Analysis'!J49</f>
        <v>4499707</v>
      </c>
      <c r="G49" s="276">
        <f>+'Bank Assets Analysis'!K49-'Bank Assets Analysis'!L49</f>
        <v>24236196</v>
      </c>
      <c r="H49" s="276">
        <f>+'Bank Assets Analysis'!M49-'Bank Assets Analysis'!N49</f>
        <v>140599368</v>
      </c>
      <c r="I49" s="276">
        <f>+'Bank Assets Analysis'!O49-'Bank Assets Analysis'!P49</f>
        <v>31186721</v>
      </c>
      <c r="J49" s="276">
        <f>+'Bank Assets Analysis'!Q49-'Bank Assets Analysis'!R49</f>
        <v>315811645</v>
      </c>
      <c r="K49" s="276">
        <f t="shared" ref="K49" si="18">+C49+D49+E49+F49+G49+H49+I49+J49</f>
        <v>584424854</v>
      </c>
      <c r="L49" s="53"/>
      <c r="M49" s="276"/>
      <c r="N49" s="276"/>
      <c r="O49" s="270"/>
    </row>
    <row r="50" spans="1:17" s="13" customFormat="1" ht="37.5" customHeight="1">
      <c r="A50" s="165"/>
      <c r="B50" s="166" t="s">
        <v>304</v>
      </c>
      <c r="C50" s="276">
        <f>+'Bank Assets Analysis'!C50-'Bank Assets Analysis'!D50</f>
        <v>305000</v>
      </c>
      <c r="D50" s="276">
        <f>+'Bank Assets Analysis'!E50-'Bank Assets Analysis'!F50</f>
        <v>0</v>
      </c>
      <c r="E50" s="276">
        <f>+'Bank Assets Analysis'!G50-'Bank Assets Analysis'!H50</f>
        <v>0</v>
      </c>
      <c r="F50" s="276">
        <f>+'Bank Assets Analysis'!I50-'Bank Assets Analysis'!J50</f>
        <v>0</v>
      </c>
      <c r="G50" s="276">
        <f>+'Bank Assets Analysis'!K50-'Bank Assets Analysis'!L50</f>
        <v>0</v>
      </c>
      <c r="H50" s="276">
        <f>+'Bank Assets Analysis'!M50-'Bank Assets Analysis'!N50</f>
        <v>0</v>
      </c>
      <c r="I50" s="276">
        <f>+'Bank Assets Analysis'!O50-'Bank Assets Analysis'!P50</f>
        <v>1056042.5</v>
      </c>
      <c r="J50" s="276">
        <f>+'Bank Assets Analysis'!Q50-'Bank Assets Analysis'!R50</f>
        <v>77232064.746380001</v>
      </c>
      <c r="K50" s="276">
        <f t="shared" ref="K50" si="19">+C50+D50+E50+F50+G50+H50+I50+J50</f>
        <v>78593107.246380001</v>
      </c>
      <c r="L50" s="53"/>
      <c r="M50" s="276"/>
      <c r="N50" s="276"/>
      <c r="O50" s="270"/>
    </row>
    <row r="51" spans="1:17" s="13" customFormat="1" ht="25.5" customHeight="1">
      <c r="A51" s="165">
        <v>2</v>
      </c>
      <c r="B51" s="166" t="s">
        <v>305</v>
      </c>
      <c r="C51" s="276">
        <f>+'Bank Assets Analysis'!C51-'Bank Assets Analysis'!D51</f>
        <v>0</v>
      </c>
      <c r="D51" s="276">
        <f>+'Bank Assets Analysis'!E51-'Bank Assets Analysis'!F51</f>
        <v>0</v>
      </c>
      <c r="E51" s="276">
        <f>+'Bank Assets Analysis'!G51-'Bank Assets Analysis'!H51</f>
        <v>0</v>
      </c>
      <c r="F51" s="276">
        <f>+'Bank Assets Analysis'!I51-'Bank Assets Analysis'!J51</f>
        <v>0</v>
      </c>
      <c r="G51" s="276">
        <f>+'Bank Assets Analysis'!K51-'Bank Assets Analysis'!L51</f>
        <v>0</v>
      </c>
      <c r="H51" s="276">
        <f>+'Bank Assets Analysis'!M51-'Bank Assets Analysis'!N51</f>
        <v>0</v>
      </c>
      <c r="I51" s="276">
        <f>+'Bank Assets Analysis'!O51-'Bank Assets Analysis'!P51</f>
        <v>3000000</v>
      </c>
      <c r="J51" s="276">
        <f>+'Bank Assets Analysis'!Q51-'Bank Assets Analysis'!R51</f>
        <v>0</v>
      </c>
      <c r="K51" s="276">
        <f t="shared" ref="K51" si="20">+C51+D51+E51+F51+G51+H51+I51+J51</f>
        <v>3000000</v>
      </c>
      <c r="L51" s="53"/>
      <c r="M51" s="276"/>
      <c r="N51" s="276"/>
      <c r="O51" s="270"/>
    </row>
    <row r="52" spans="1:17" s="13" customFormat="1" ht="37.5" customHeight="1">
      <c r="A52" s="165"/>
      <c r="B52" s="166" t="s">
        <v>306</v>
      </c>
      <c r="C52" s="276">
        <f>+'Bank Assets Analysis'!C52-'Bank Assets Analysis'!D52</f>
        <v>0</v>
      </c>
      <c r="D52" s="276">
        <f>+'Bank Assets Analysis'!E52-'Bank Assets Analysis'!F52</f>
        <v>0</v>
      </c>
      <c r="E52" s="276">
        <f>+'Bank Assets Analysis'!G52-'Bank Assets Analysis'!H52</f>
        <v>0</v>
      </c>
      <c r="F52" s="276">
        <f>+'Bank Assets Analysis'!I52-'Bank Assets Analysis'!J52</f>
        <v>0</v>
      </c>
      <c r="G52" s="276">
        <f>+'Bank Assets Analysis'!K52-'Bank Assets Analysis'!L52</f>
        <v>0</v>
      </c>
      <c r="H52" s="276">
        <f>+'Bank Assets Analysis'!M52-'Bank Assets Analysis'!N52</f>
        <v>0</v>
      </c>
      <c r="I52" s="276">
        <f>+'Bank Assets Analysis'!O52-'Bank Assets Analysis'!P52</f>
        <v>0</v>
      </c>
      <c r="J52" s="276">
        <f>+'Bank Assets Analysis'!Q52-'Bank Assets Analysis'!R52</f>
        <v>0</v>
      </c>
      <c r="K52" s="276">
        <f t="shared" ref="K52:K54" si="21">+C52+D52+E52+F52+G52+H52+I52+J52</f>
        <v>0</v>
      </c>
      <c r="L52" s="53"/>
      <c r="M52" s="276"/>
      <c r="N52" s="276"/>
      <c r="O52" s="270"/>
    </row>
    <row r="53" spans="1:17" s="13" customFormat="1" ht="25.5" customHeight="1">
      <c r="A53" s="165">
        <v>3</v>
      </c>
      <c r="B53" s="166" t="s">
        <v>307</v>
      </c>
      <c r="C53" s="276">
        <f>+'Bank Assets Analysis'!C53-'Bank Assets Analysis'!D53</f>
        <v>0</v>
      </c>
      <c r="D53" s="276">
        <f>+'Bank Assets Analysis'!E53-'Bank Assets Analysis'!F53</f>
        <v>0</v>
      </c>
      <c r="E53" s="276">
        <f>+'Bank Assets Analysis'!G53-'Bank Assets Analysis'!H53</f>
        <v>0</v>
      </c>
      <c r="F53" s="276">
        <f>+'Bank Assets Analysis'!I53-'Bank Assets Analysis'!J53</f>
        <v>0</v>
      </c>
      <c r="G53" s="276">
        <f>+'Bank Assets Analysis'!K53-'Bank Assets Analysis'!L53</f>
        <v>0</v>
      </c>
      <c r="H53" s="276">
        <f>+'Bank Assets Analysis'!M53-'Bank Assets Analysis'!N53</f>
        <v>0</v>
      </c>
      <c r="I53" s="276">
        <f>+'Bank Assets Analysis'!O53-'Bank Assets Analysis'!P53</f>
        <v>0</v>
      </c>
      <c r="J53" s="276">
        <f>+'Bank Assets Analysis'!Q53-'Bank Assets Analysis'!R53</f>
        <v>0</v>
      </c>
      <c r="K53" s="276">
        <f t="shared" si="21"/>
        <v>0</v>
      </c>
      <c r="L53" s="53"/>
      <c r="M53" s="276"/>
      <c r="N53" s="276"/>
      <c r="O53" s="270"/>
    </row>
    <row r="54" spans="1:17" s="13" customFormat="1" ht="32.25" customHeight="1">
      <c r="A54" s="165"/>
      <c r="B54" s="166" t="s">
        <v>308</v>
      </c>
      <c r="C54" s="276">
        <f>+'Bank Assets Analysis'!C54-'Bank Assets Analysis'!D54</f>
        <v>0</v>
      </c>
      <c r="D54" s="276">
        <f>+'Bank Assets Analysis'!E54-'Bank Assets Analysis'!F54</f>
        <v>0</v>
      </c>
      <c r="E54" s="276">
        <f>+'Bank Assets Analysis'!G54-'Bank Assets Analysis'!H54</f>
        <v>0</v>
      </c>
      <c r="F54" s="276">
        <f>+'Bank Assets Analysis'!I54-'Bank Assets Analysis'!J54</f>
        <v>0</v>
      </c>
      <c r="G54" s="276">
        <f>+'Bank Assets Analysis'!K54-'Bank Assets Analysis'!L54</f>
        <v>0</v>
      </c>
      <c r="H54" s="276">
        <f>+'Bank Assets Analysis'!M54-'Bank Assets Analysis'!N54</f>
        <v>0</v>
      </c>
      <c r="I54" s="276">
        <f>+'Bank Assets Analysis'!O54-'Bank Assets Analysis'!P54</f>
        <v>0</v>
      </c>
      <c r="J54" s="276">
        <f>+'Bank Assets Analysis'!Q54-'Bank Assets Analysis'!R54</f>
        <v>0</v>
      </c>
      <c r="K54" s="276">
        <f t="shared" si="21"/>
        <v>0</v>
      </c>
      <c r="L54" s="53"/>
      <c r="M54" s="276"/>
      <c r="N54" s="276"/>
      <c r="O54" s="270"/>
    </row>
    <row r="55" spans="1:17" ht="27" customHeight="1">
      <c r="L55" s="250"/>
      <c r="M55" s="251"/>
      <c r="N55" s="252"/>
      <c r="Q55" s="253"/>
    </row>
    <row r="56" spans="1:17" s="253" customFormat="1" ht="15" customHeight="1">
      <c r="B56" s="254" t="s">
        <v>446</v>
      </c>
      <c r="C56" s="248"/>
      <c r="D56" s="248"/>
      <c r="E56" s="248"/>
      <c r="F56" s="248"/>
      <c r="G56" s="248"/>
      <c r="H56" s="248"/>
      <c r="I56" s="248"/>
      <c r="J56" s="248"/>
      <c r="K56" s="248"/>
      <c r="O56" s="271"/>
    </row>
    <row r="57" spans="1:17" s="253" customFormat="1" ht="14.25" customHeight="1">
      <c r="B57" s="254"/>
      <c r="C57" s="248"/>
      <c r="D57" s="248"/>
      <c r="E57" s="248"/>
      <c r="F57" s="248"/>
      <c r="G57" s="248"/>
      <c r="H57" s="248"/>
      <c r="I57" s="248"/>
      <c r="J57" s="248"/>
      <c r="K57" s="248"/>
      <c r="O57" s="271"/>
    </row>
    <row r="58" spans="1:17" s="253" customFormat="1" ht="15" customHeight="1">
      <c r="B58" s="254" t="s">
        <v>445</v>
      </c>
      <c r="C58" s="248"/>
      <c r="D58" s="248"/>
      <c r="E58" s="248"/>
      <c r="F58" s="248"/>
      <c r="G58" s="248"/>
      <c r="H58" s="248"/>
      <c r="I58" s="248"/>
      <c r="J58" s="248"/>
      <c r="K58" s="248"/>
      <c r="O58" s="268"/>
    </row>
    <row r="59" spans="1:17">
      <c r="O59" s="272" t="s">
        <v>67</v>
      </c>
      <c r="P59" s="257">
        <f>+N47</f>
        <v>493253325.5</v>
      </c>
    </row>
    <row r="60" spans="1:17" ht="30">
      <c r="B60" s="254"/>
      <c r="O60" s="272" t="s">
        <v>3</v>
      </c>
      <c r="P60" s="257">
        <f>+N6+N7+N10+N11+N19+N20+N21+N22+N24+N35-N46-N18</f>
        <v>1631194959</v>
      </c>
      <c r="Q60" s="253"/>
    </row>
    <row r="61" spans="1:17" ht="30">
      <c r="B61" s="254"/>
      <c r="O61" s="272" t="s">
        <v>68</v>
      </c>
      <c r="P61" s="257">
        <f>+P63-P65</f>
        <v>1393889254.1500001</v>
      </c>
    </row>
    <row r="62" spans="1:17" ht="20.25" customHeight="1">
      <c r="B62" s="254"/>
      <c r="O62" s="269"/>
      <c r="P62" s="253"/>
      <c r="Q62" s="253"/>
    </row>
    <row r="63" spans="1:17">
      <c r="O63" s="273" t="s">
        <v>81</v>
      </c>
      <c r="P63" s="257">
        <f>'Bank Liabilities Analysis (нац)'!M43+P64</f>
        <v>1887142579.6500001</v>
      </c>
    </row>
    <row r="64" spans="1:17" ht="34.5" customHeight="1">
      <c r="O64" s="273" t="s">
        <v>80</v>
      </c>
      <c r="P64" s="257">
        <f>+'Liquidity Analysis'!D41</f>
        <v>76324762</v>
      </c>
      <c r="Q64" s="258"/>
    </row>
    <row r="65" spans="15:16" ht="30">
      <c r="O65" s="273" t="s">
        <v>70</v>
      </c>
      <c r="P65" s="257">
        <f>IF(P59&gt;(P63*0.75),P63*0.75,P59)</f>
        <v>493253325.5</v>
      </c>
    </row>
    <row r="66" spans="15:16">
      <c r="P66" s="252"/>
    </row>
  </sheetData>
  <sheetProtection password="CACA" sheet="1" objects="1" scenarios="1"/>
  <mergeCells count="7">
    <mergeCell ref="L2:N2"/>
    <mergeCell ref="L4:N4"/>
    <mergeCell ref="A4:A5"/>
    <mergeCell ref="B4:B5"/>
    <mergeCell ref="C4:J4"/>
    <mergeCell ref="K4:K5"/>
    <mergeCell ref="K3:L3"/>
  </mergeCells>
  <conditionalFormatting sqref="C6:J24">
    <cfRule type="cellIs" dxfId="85" priority="5" operator="lessThan">
      <formula>0</formula>
    </cfRule>
  </conditionalFormatting>
  <conditionalFormatting sqref="C26:J44">
    <cfRule type="cellIs" dxfId="84" priority="1" operator="lessThan">
      <formula>0</formula>
    </cfRule>
  </conditionalFormatting>
  <conditionalFormatting sqref="C46:J46 C49:J54">
    <cfRule type="cellIs" dxfId="83" priority="11" operator="lessThan">
      <formula>0</formula>
    </cfRule>
  </conditionalFormatting>
  <conditionalFormatting sqref="K47">
    <cfRule type="cellIs" dxfId="82" priority="281" operator="notEqual">
      <formula>$O$47</formula>
    </cfRule>
  </conditionalFormatting>
  <conditionalFormatting sqref="M49:M54">
    <cfRule type="cellIs" dxfId="81" priority="13" operator="greaterThan">
      <formula>L49</formula>
    </cfRule>
  </conditionalFormatting>
  <dataValidations count="2">
    <dataValidation type="whole" operator="notEqual" allowBlank="1" showErrorMessage="1" error="Введите как целое число." sqref="J37:J38 D37:I39 K48 L48:N54 C48:J54 C6:J24 D25:J36 D40:J46 C25:C46" xr:uid="{00000000-0002-0000-0300-000000000000}">
      <formula1>-1E+28</formula1>
    </dataValidation>
    <dataValidation type="date" operator="greaterThan" allowBlank="1" showInputMessage="1" showErrorMessage="1" prompt="Введите дату в формате ЧЧ.ММ.ГГГГ" sqref="K3" xr:uid="{00000000-0002-0000-0300-000001000000}">
      <formula1>DATE(96,1,1)</formula1>
    </dataValidation>
  </dataValidations>
  <printOptions horizontalCentered="1"/>
  <pageMargins left="0.19685039370078741" right="0.19685039370078741" top="0.39370078740157483" bottom="0.35433070866141736" header="0" footer="0"/>
  <pageSetup paperSize="9" scale="34" orientation="landscape" r:id="rId1"/>
  <headerFooter alignWithMargins="0"/>
  <ignoredErrors>
    <ignoredError sqref="C6:J8 C14:J16 C10:J10 C19:J20 C45:J45 C25:J30 C22:J22 C32:J39 C41:J42" unlockedFormula="1"/>
    <ignoredError sqref="L12:M12 L13 M28" formula="1"/>
    <ignoredError sqref="A6:A16 A26:A34 A17:B17 A19:B22 B31:B33 A45:B54 B25:B29 A37:B4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18">
    <pageSetUpPr fitToPage="1"/>
  </sheetPr>
  <dimension ref="A1:AA74"/>
  <sheetViews>
    <sheetView view="pageBreakPreview" zoomScale="85" zoomScaleNormal="70" zoomScaleSheetLayoutView="85" workbookViewId="0">
      <selection activeCell="S20" sqref="S20"/>
    </sheetView>
  </sheetViews>
  <sheetFormatPr defaultRowHeight="12.75"/>
  <cols>
    <col min="1" max="1" width="6.28515625" style="84" customWidth="1"/>
    <col min="2" max="2" width="53.28515625" style="118" customWidth="1"/>
    <col min="3" max="10" width="18" style="14" customWidth="1"/>
    <col min="11" max="18" width="20.5703125" style="14" customWidth="1"/>
    <col min="19" max="21" width="15.85546875" style="14" customWidth="1"/>
    <col min="22" max="22" width="19.140625" style="63" customWidth="1"/>
    <col min="23" max="24" width="17.5703125" style="62" customWidth="1"/>
    <col min="25" max="25" width="19.42578125" style="14" bestFit="1" customWidth="1"/>
    <col min="26" max="26" width="20.7109375" style="14" customWidth="1"/>
    <col min="27" max="27" width="17.5703125" style="189" customWidth="1"/>
    <col min="28" max="16384" width="9.140625" style="14"/>
  </cols>
  <sheetData>
    <row r="1" spans="1:27" s="69" customFormat="1" ht="30" customHeight="1">
      <c r="A1" s="41" t="s">
        <v>311</v>
      </c>
      <c r="B1" s="173"/>
      <c r="C1" s="174"/>
      <c r="D1" s="174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6"/>
      <c r="P1" s="176"/>
      <c r="Q1" s="176"/>
      <c r="R1" s="176"/>
      <c r="S1" s="176"/>
      <c r="T1" s="176"/>
      <c r="U1" s="176"/>
      <c r="V1" s="176"/>
      <c r="W1" s="177" t="s">
        <v>312</v>
      </c>
      <c r="X1" s="177"/>
    </row>
    <row r="2" spans="1:27" ht="23.25" customHeight="1">
      <c r="B2" s="82" t="str">
        <f>Balance!B3</f>
        <v>"MKBANK"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122"/>
      <c r="U2" s="122"/>
      <c r="V2" s="237">
        <f>+Balance!D3</f>
        <v>46021</v>
      </c>
      <c r="W2" s="63"/>
      <c r="X2" s="62" t="s">
        <v>84</v>
      </c>
      <c r="Y2" s="60"/>
      <c r="AA2" s="14"/>
    </row>
    <row r="3" spans="1:27" s="69" customFormat="1" ht="21.75" customHeight="1">
      <c r="A3" s="344" t="s">
        <v>8</v>
      </c>
      <c r="B3" s="344" t="s">
        <v>243</v>
      </c>
      <c r="C3" s="354" t="s">
        <v>244</v>
      </c>
      <c r="D3" s="355"/>
      <c r="E3" s="355"/>
      <c r="F3" s="355"/>
      <c r="G3" s="355"/>
      <c r="H3" s="355"/>
      <c r="I3" s="355"/>
      <c r="J3" s="355"/>
      <c r="K3" s="355"/>
      <c r="L3" s="355"/>
      <c r="M3" s="355"/>
      <c r="N3" s="355"/>
      <c r="O3" s="355"/>
      <c r="P3" s="355"/>
      <c r="Q3" s="355"/>
      <c r="R3" s="356"/>
      <c r="S3" s="344" t="s">
        <v>86</v>
      </c>
      <c r="T3" s="360" t="s">
        <v>245</v>
      </c>
      <c r="U3" s="361"/>
      <c r="V3" s="347" t="s">
        <v>246</v>
      </c>
      <c r="W3" s="352"/>
      <c r="X3" s="348"/>
      <c r="AA3" s="178"/>
    </row>
    <row r="4" spans="1:27" s="69" customFormat="1" ht="21" customHeight="1">
      <c r="A4" s="345"/>
      <c r="B4" s="345"/>
      <c r="C4" s="354" t="s">
        <v>247</v>
      </c>
      <c r="D4" s="356"/>
      <c r="E4" s="354" t="s">
        <v>248</v>
      </c>
      <c r="F4" s="356"/>
      <c r="G4" s="354" t="s">
        <v>249</v>
      </c>
      <c r="H4" s="356"/>
      <c r="I4" s="354" t="s">
        <v>250</v>
      </c>
      <c r="J4" s="356"/>
      <c r="K4" s="354" t="s">
        <v>251</v>
      </c>
      <c r="L4" s="356"/>
      <c r="M4" s="354" t="s">
        <v>252</v>
      </c>
      <c r="N4" s="356"/>
      <c r="O4" s="354" t="s">
        <v>253</v>
      </c>
      <c r="P4" s="356"/>
      <c r="Q4" s="354" t="s">
        <v>254</v>
      </c>
      <c r="R4" s="356"/>
      <c r="S4" s="345"/>
      <c r="T4" s="362"/>
      <c r="U4" s="363"/>
      <c r="V4" s="349"/>
      <c r="W4" s="353"/>
      <c r="X4" s="350"/>
      <c r="AA4" s="178"/>
    </row>
    <row r="5" spans="1:27" s="69" customFormat="1" ht="102" customHeight="1">
      <c r="A5" s="345"/>
      <c r="B5" s="345"/>
      <c r="C5" s="144" t="s">
        <v>53</v>
      </c>
      <c r="D5" s="144" t="s">
        <v>255</v>
      </c>
      <c r="E5" s="144" t="s">
        <v>53</v>
      </c>
      <c r="F5" s="144" t="s">
        <v>255</v>
      </c>
      <c r="G5" s="144" t="s">
        <v>53</v>
      </c>
      <c r="H5" s="144" t="s">
        <v>255</v>
      </c>
      <c r="I5" s="144" t="s">
        <v>53</v>
      </c>
      <c r="J5" s="144" t="s">
        <v>255</v>
      </c>
      <c r="K5" s="144" t="s">
        <v>53</v>
      </c>
      <c r="L5" s="144" t="s">
        <v>255</v>
      </c>
      <c r="M5" s="144" t="s">
        <v>53</v>
      </c>
      <c r="N5" s="144" t="s">
        <v>255</v>
      </c>
      <c r="O5" s="144" t="s">
        <v>53</v>
      </c>
      <c r="P5" s="144" t="s">
        <v>255</v>
      </c>
      <c r="Q5" s="144" t="s">
        <v>53</v>
      </c>
      <c r="R5" s="144" t="s">
        <v>255</v>
      </c>
      <c r="S5" s="345"/>
      <c r="T5" s="144" t="s">
        <v>256</v>
      </c>
      <c r="U5" s="144" t="s">
        <v>257</v>
      </c>
      <c r="V5" s="261" t="s">
        <v>6</v>
      </c>
      <c r="W5" s="261" t="s">
        <v>219</v>
      </c>
      <c r="X5" s="261" t="s">
        <v>310</v>
      </c>
      <c r="AA5" s="178"/>
    </row>
    <row r="6" spans="1:27" s="69" customFormat="1" ht="25.5" customHeight="1">
      <c r="A6" s="149" t="s">
        <v>9</v>
      </c>
      <c r="B6" s="179" t="s">
        <v>313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180"/>
      <c r="W6" s="64"/>
      <c r="X6" s="64"/>
      <c r="AA6" s="178"/>
    </row>
    <row r="7" spans="1:27" s="69" customFormat="1" ht="25.5" customHeight="1">
      <c r="A7" s="149" t="s">
        <v>20</v>
      </c>
      <c r="B7" s="181" t="s">
        <v>314</v>
      </c>
      <c r="C7" s="277">
        <f>SUM(C8:C11)</f>
        <v>569468847</v>
      </c>
      <c r="D7" s="277">
        <f t="shared" ref="D7:R7" si="0">SUM(D8:D11)</f>
        <v>35054777</v>
      </c>
      <c r="E7" s="277">
        <f t="shared" ref="E7:F7" si="1">SUM(E8:E11)</f>
        <v>0</v>
      </c>
      <c r="F7" s="277">
        <f t="shared" si="1"/>
        <v>0</v>
      </c>
      <c r="G7" s="277">
        <f t="shared" si="0"/>
        <v>0</v>
      </c>
      <c r="H7" s="277">
        <f t="shared" si="0"/>
        <v>0</v>
      </c>
      <c r="I7" s="277">
        <f t="shared" ref="I7" si="2">SUM(I8:I11)</f>
        <v>0</v>
      </c>
      <c r="J7" s="277">
        <f t="shared" ref="J7" si="3">SUM(J8:J11)</f>
        <v>0</v>
      </c>
      <c r="K7" s="277">
        <f t="shared" si="0"/>
        <v>0</v>
      </c>
      <c r="L7" s="277">
        <f t="shared" si="0"/>
        <v>0</v>
      </c>
      <c r="M7" s="277">
        <f t="shared" si="0"/>
        <v>0</v>
      </c>
      <c r="N7" s="277">
        <f t="shared" si="0"/>
        <v>0</v>
      </c>
      <c r="O7" s="277">
        <f t="shared" ref="O7" si="4">SUM(O8:O11)</f>
        <v>0</v>
      </c>
      <c r="P7" s="277">
        <f t="shared" ref="P7" si="5">SUM(P8:P11)</f>
        <v>0</v>
      </c>
      <c r="Q7" s="277">
        <f t="shared" si="0"/>
        <v>0</v>
      </c>
      <c r="R7" s="277">
        <f t="shared" si="0"/>
        <v>0</v>
      </c>
      <c r="S7" s="277">
        <f>+C7+E7+G7+I7+K7+M7+O7+Q7</f>
        <v>569468847</v>
      </c>
      <c r="T7" s="277">
        <f>+S7-U7</f>
        <v>534414070</v>
      </c>
      <c r="U7" s="277">
        <f>+D7+F7+H7+J7+L7+N7+P7+R7</f>
        <v>35054777</v>
      </c>
      <c r="V7" s="180"/>
      <c r="W7" s="65"/>
      <c r="X7" s="65"/>
      <c r="AA7" s="178"/>
    </row>
    <row r="8" spans="1:27" s="69" customFormat="1" ht="25.5" customHeight="1">
      <c r="A8" s="149" t="s">
        <v>54</v>
      </c>
      <c r="B8" s="181" t="s">
        <v>315</v>
      </c>
      <c r="C8" s="311">
        <v>10712094</v>
      </c>
      <c r="D8" s="311">
        <v>2845949</v>
      </c>
      <c r="E8" s="311">
        <v>0</v>
      </c>
      <c r="F8" s="311">
        <v>0</v>
      </c>
      <c r="G8" s="311">
        <v>0</v>
      </c>
      <c r="H8" s="311">
        <v>0</v>
      </c>
      <c r="I8" s="311">
        <v>0</v>
      </c>
      <c r="J8" s="311">
        <v>0</v>
      </c>
      <c r="K8" s="311">
        <v>0</v>
      </c>
      <c r="L8" s="311">
        <v>0</v>
      </c>
      <c r="M8" s="311">
        <v>0</v>
      </c>
      <c r="N8" s="311">
        <v>0</v>
      </c>
      <c r="O8" s="311">
        <v>0</v>
      </c>
      <c r="P8" s="311">
        <v>0</v>
      </c>
      <c r="Q8" s="311">
        <v>0</v>
      </c>
      <c r="R8" s="311">
        <v>0</v>
      </c>
      <c r="S8" s="277">
        <f t="shared" ref="S8:S58" si="6">+C8+E8+G8+I8+K8+M8+O8+Q8</f>
        <v>10712094</v>
      </c>
      <c r="T8" s="277">
        <f t="shared" ref="T8:T58" si="7">+S8-U8</f>
        <v>7866145</v>
      </c>
      <c r="U8" s="277">
        <f t="shared" ref="U8:U58" si="8">+D8+F8+H8+J8+L8+N8+P8+R8</f>
        <v>2845949</v>
      </c>
      <c r="V8" s="85"/>
      <c r="W8" s="65"/>
      <c r="X8" s="65"/>
      <c r="AA8" s="106"/>
    </row>
    <row r="9" spans="1:27" s="69" customFormat="1" ht="25.5" customHeight="1">
      <c r="A9" s="149" t="s">
        <v>55</v>
      </c>
      <c r="B9" s="181" t="s">
        <v>316</v>
      </c>
      <c r="C9" s="311">
        <v>1529328</v>
      </c>
      <c r="D9" s="311">
        <v>1529328</v>
      </c>
      <c r="E9" s="311">
        <v>0</v>
      </c>
      <c r="F9" s="311">
        <v>0</v>
      </c>
      <c r="G9" s="311">
        <v>0</v>
      </c>
      <c r="H9" s="311">
        <v>0</v>
      </c>
      <c r="I9" s="311">
        <v>0</v>
      </c>
      <c r="J9" s="311">
        <v>0</v>
      </c>
      <c r="K9" s="311">
        <v>0</v>
      </c>
      <c r="L9" s="311">
        <v>0</v>
      </c>
      <c r="M9" s="311">
        <v>0</v>
      </c>
      <c r="N9" s="311">
        <v>0</v>
      </c>
      <c r="O9" s="311">
        <v>0</v>
      </c>
      <c r="P9" s="311">
        <v>0</v>
      </c>
      <c r="Q9" s="311">
        <v>0</v>
      </c>
      <c r="R9" s="311">
        <v>0</v>
      </c>
      <c r="S9" s="277">
        <f t="shared" si="6"/>
        <v>1529328</v>
      </c>
      <c r="T9" s="277">
        <f t="shared" si="7"/>
        <v>0</v>
      </c>
      <c r="U9" s="277">
        <f t="shared" si="8"/>
        <v>1529328</v>
      </c>
      <c r="V9" s="85"/>
      <c r="W9" s="65"/>
      <c r="X9" s="65"/>
      <c r="AA9" s="106"/>
    </row>
    <row r="10" spans="1:27" s="69" customFormat="1" ht="25.5" customHeight="1">
      <c r="A10" s="149" t="s">
        <v>56</v>
      </c>
      <c r="B10" s="181" t="s">
        <v>317</v>
      </c>
      <c r="C10" s="311">
        <v>0</v>
      </c>
      <c r="D10" s="311">
        <v>0</v>
      </c>
      <c r="E10" s="311">
        <v>0</v>
      </c>
      <c r="F10" s="311">
        <v>0</v>
      </c>
      <c r="G10" s="311">
        <v>0</v>
      </c>
      <c r="H10" s="311">
        <v>0</v>
      </c>
      <c r="I10" s="311">
        <v>0</v>
      </c>
      <c r="J10" s="311">
        <v>0</v>
      </c>
      <c r="K10" s="311">
        <v>0</v>
      </c>
      <c r="L10" s="311">
        <v>0</v>
      </c>
      <c r="M10" s="311">
        <v>0</v>
      </c>
      <c r="N10" s="311">
        <v>0</v>
      </c>
      <c r="O10" s="311">
        <v>0</v>
      </c>
      <c r="P10" s="311">
        <v>0</v>
      </c>
      <c r="Q10" s="311">
        <v>0</v>
      </c>
      <c r="R10" s="311">
        <v>0</v>
      </c>
      <c r="S10" s="277">
        <f t="shared" si="6"/>
        <v>0</v>
      </c>
      <c r="T10" s="277">
        <f t="shared" si="7"/>
        <v>0</v>
      </c>
      <c r="U10" s="277">
        <f t="shared" si="8"/>
        <v>0</v>
      </c>
      <c r="V10" s="85"/>
      <c r="W10" s="321"/>
      <c r="X10" s="321"/>
      <c r="AA10" s="106"/>
    </row>
    <row r="11" spans="1:27" s="69" customFormat="1" ht="25.5" customHeight="1">
      <c r="A11" s="149" t="s">
        <v>57</v>
      </c>
      <c r="B11" s="181" t="s">
        <v>318</v>
      </c>
      <c r="C11" s="311">
        <v>557227425</v>
      </c>
      <c r="D11" s="311">
        <v>30679500</v>
      </c>
      <c r="E11" s="311">
        <v>0</v>
      </c>
      <c r="F11" s="311">
        <v>0</v>
      </c>
      <c r="G11" s="311">
        <v>0</v>
      </c>
      <c r="H11" s="311">
        <v>0</v>
      </c>
      <c r="I11" s="311">
        <v>0</v>
      </c>
      <c r="J11" s="311">
        <v>0</v>
      </c>
      <c r="K11" s="311">
        <v>0</v>
      </c>
      <c r="L11" s="311">
        <v>0</v>
      </c>
      <c r="M11" s="311">
        <v>0</v>
      </c>
      <c r="N11" s="311">
        <v>0</v>
      </c>
      <c r="O11" s="311">
        <v>0</v>
      </c>
      <c r="P11" s="311">
        <v>0</v>
      </c>
      <c r="Q11" s="311">
        <v>0</v>
      </c>
      <c r="R11" s="311">
        <v>0</v>
      </c>
      <c r="S11" s="277">
        <f t="shared" si="6"/>
        <v>557227425</v>
      </c>
      <c r="T11" s="277">
        <f t="shared" si="7"/>
        <v>526547925</v>
      </c>
      <c r="U11" s="277">
        <f t="shared" si="8"/>
        <v>30679500</v>
      </c>
      <c r="V11" s="85"/>
      <c r="W11" s="321"/>
      <c r="X11" s="321"/>
      <c r="AA11" s="106"/>
    </row>
    <row r="12" spans="1:27" s="69" customFormat="1" ht="25.5" customHeight="1">
      <c r="A12" s="149" t="s">
        <v>21</v>
      </c>
      <c r="B12" s="181" t="s">
        <v>142</v>
      </c>
      <c r="C12" s="311">
        <v>15227289</v>
      </c>
      <c r="D12" s="311">
        <v>1720192</v>
      </c>
      <c r="E12" s="311">
        <v>238212391</v>
      </c>
      <c r="F12" s="311">
        <v>0</v>
      </c>
      <c r="G12" s="311">
        <v>132243992</v>
      </c>
      <c r="H12" s="311">
        <v>0</v>
      </c>
      <c r="I12" s="311">
        <v>774742663</v>
      </c>
      <c r="J12" s="311">
        <v>657076</v>
      </c>
      <c r="K12" s="311">
        <v>2044235614</v>
      </c>
      <c r="L12" s="311">
        <v>386034401</v>
      </c>
      <c r="M12" s="311">
        <v>2126369895</v>
      </c>
      <c r="N12" s="311">
        <v>244996838</v>
      </c>
      <c r="O12" s="311">
        <v>1216979765</v>
      </c>
      <c r="P12" s="311">
        <v>100768400</v>
      </c>
      <c r="Q12" s="311">
        <v>2262207260</v>
      </c>
      <c r="R12" s="311">
        <v>20939482</v>
      </c>
      <c r="S12" s="277">
        <f t="shared" si="6"/>
        <v>8810218869</v>
      </c>
      <c r="T12" s="277">
        <f t="shared" si="7"/>
        <v>8055102480</v>
      </c>
      <c r="U12" s="277">
        <f t="shared" si="8"/>
        <v>755116389</v>
      </c>
      <c r="V12" s="85"/>
      <c r="W12" s="321"/>
      <c r="X12" s="321"/>
      <c r="AA12" s="106"/>
    </row>
    <row r="13" spans="1:27" s="69" customFormat="1" ht="25.5" customHeight="1">
      <c r="A13" s="149" t="s">
        <v>65</v>
      </c>
      <c r="B13" s="182" t="s">
        <v>319</v>
      </c>
      <c r="C13" s="311">
        <v>11915601</v>
      </c>
      <c r="D13" s="311">
        <v>337279</v>
      </c>
      <c r="E13" s="311">
        <v>7405261</v>
      </c>
      <c r="F13" s="311">
        <v>0</v>
      </c>
      <c r="G13" s="311">
        <v>29723296</v>
      </c>
      <c r="H13" s="311">
        <v>0</v>
      </c>
      <c r="I13" s="311">
        <v>457559172</v>
      </c>
      <c r="J13" s="311">
        <v>657076</v>
      </c>
      <c r="K13" s="311">
        <v>679808897</v>
      </c>
      <c r="L13" s="311">
        <v>98792443</v>
      </c>
      <c r="M13" s="311">
        <v>833425787</v>
      </c>
      <c r="N13" s="311">
        <v>67522208</v>
      </c>
      <c r="O13" s="311">
        <v>770664639</v>
      </c>
      <c r="P13" s="311">
        <v>30636675</v>
      </c>
      <c r="Q13" s="311">
        <v>104245381</v>
      </c>
      <c r="R13" s="311">
        <v>20939482</v>
      </c>
      <c r="S13" s="277">
        <f t="shared" si="6"/>
        <v>2894748034</v>
      </c>
      <c r="T13" s="277">
        <f t="shared" si="7"/>
        <v>2675862871</v>
      </c>
      <c r="U13" s="277">
        <f t="shared" si="8"/>
        <v>218885163</v>
      </c>
      <c r="V13" s="85"/>
      <c r="W13" s="321"/>
      <c r="X13" s="321"/>
      <c r="AA13" s="106"/>
    </row>
    <row r="14" spans="1:27" s="69" customFormat="1" ht="25.5" customHeight="1">
      <c r="A14" s="149" t="s">
        <v>66</v>
      </c>
      <c r="B14" s="182" t="s">
        <v>320</v>
      </c>
      <c r="C14" s="311">
        <v>0</v>
      </c>
      <c r="D14" s="311">
        <v>0</v>
      </c>
      <c r="E14" s="311">
        <v>0</v>
      </c>
      <c r="F14" s="311">
        <v>0</v>
      </c>
      <c r="G14" s="311">
        <v>0</v>
      </c>
      <c r="H14" s="311">
        <v>0</v>
      </c>
      <c r="I14" s="311">
        <v>0</v>
      </c>
      <c r="J14" s="311">
        <v>0</v>
      </c>
      <c r="K14" s="311">
        <v>0</v>
      </c>
      <c r="L14" s="311">
        <v>0</v>
      </c>
      <c r="M14" s="311">
        <v>0</v>
      </c>
      <c r="N14" s="311">
        <v>0</v>
      </c>
      <c r="O14" s="311">
        <v>0</v>
      </c>
      <c r="P14" s="311">
        <v>0</v>
      </c>
      <c r="Q14" s="311">
        <v>0</v>
      </c>
      <c r="R14" s="311">
        <v>0</v>
      </c>
      <c r="S14" s="277">
        <f t="shared" si="6"/>
        <v>0</v>
      </c>
      <c r="T14" s="277">
        <f t="shared" si="7"/>
        <v>0</v>
      </c>
      <c r="U14" s="277">
        <f t="shared" si="8"/>
        <v>0</v>
      </c>
      <c r="V14" s="85"/>
      <c r="W14" s="321"/>
      <c r="X14" s="321"/>
      <c r="AA14" s="106"/>
    </row>
    <row r="15" spans="1:27" s="69" customFormat="1" ht="25.5" customHeight="1">
      <c r="A15" s="149" t="s">
        <v>22</v>
      </c>
      <c r="B15" s="181" t="s">
        <v>321</v>
      </c>
      <c r="C15" s="277">
        <f t="shared" ref="C15:R15" si="9">SUM(C16:C19)</f>
        <v>342135129</v>
      </c>
      <c r="D15" s="277">
        <f t="shared" si="9"/>
        <v>26991801</v>
      </c>
      <c r="E15" s="277">
        <f t="shared" si="9"/>
        <v>0</v>
      </c>
      <c r="F15" s="277">
        <f t="shared" si="9"/>
        <v>0</v>
      </c>
      <c r="G15" s="277">
        <f t="shared" si="9"/>
        <v>0</v>
      </c>
      <c r="H15" s="277">
        <f t="shared" si="9"/>
        <v>0</v>
      </c>
      <c r="I15" s="277">
        <f t="shared" si="9"/>
        <v>1005518</v>
      </c>
      <c r="J15" s="277">
        <f t="shared" si="9"/>
        <v>1005518</v>
      </c>
      <c r="K15" s="277">
        <f t="shared" si="9"/>
        <v>3840797</v>
      </c>
      <c r="L15" s="277">
        <f t="shared" si="9"/>
        <v>3840797</v>
      </c>
      <c r="M15" s="277">
        <f t="shared" si="9"/>
        <v>0</v>
      </c>
      <c r="N15" s="277">
        <f t="shared" si="9"/>
        <v>0</v>
      </c>
      <c r="O15" s="277">
        <f t="shared" si="9"/>
        <v>0</v>
      </c>
      <c r="P15" s="277">
        <f t="shared" si="9"/>
        <v>0</v>
      </c>
      <c r="Q15" s="277">
        <f t="shared" si="9"/>
        <v>0</v>
      </c>
      <c r="R15" s="277">
        <f t="shared" si="9"/>
        <v>0</v>
      </c>
      <c r="S15" s="277">
        <f t="shared" si="6"/>
        <v>346981444</v>
      </c>
      <c r="T15" s="277">
        <f t="shared" si="7"/>
        <v>315143328</v>
      </c>
      <c r="U15" s="277">
        <f t="shared" si="8"/>
        <v>31838116</v>
      </c>
      <c r="V15" s="85"/>
      <c r="W15" s="321"/>
      <c r="X15" s="321"/>
      <c r="AA15" s="106"/>
    </row>
    <row r="16" spans="1:27" s="69" customFormat="1" ht="28.5" customHeight="1">
      <c r="A16" s="149" t="s">
        <v>58</v>
      </c>
      <c r="B16" s="181" t="s">
        <v>322</v>
      </c>
      <c r="C16" s="311">
        <v>317215437</v>
      </c>
      <c r="D16" s="311">
        <v>22678936</v>
      </c>
      <c r="E16" s="311">
        <v>0</v>
      </c>
      <c r="F16" s="311">
        <v>0</v>
      </c>
      <c r="G16" s="311">
        <v>0</v>
      </c>
      <c r="H16" s="311">
        <v>0</v>
      </c>
      <c r="I16" s="311">
        <v>0</v>
      </c>
      <c r="J16" s="311">
        <v>0</v>
      </c>
      <c r="K16" s="311">
        <v>0</v>
      </c>
      <c r="L16" s="311">
        <v>0</v>
      </c>
      <c r="M16" s="311">
        <v>0</v>
      </c>
      <c r="N16" s="311">
        <v>0</v>
      </c>
      <c r="O16" s="311">
        <v>0</v>
      </c>
      <c r="P16" s="311">
        <v>0</v>
      </c>
      <c r="Q16" s="311">
        <v>0</v>
      </c>
      <c r="R16" s="311">
        <v>0</v>
      </c>
      <c r="S16" s="277">
        <f t="shared" si="6"/>
        <v>317215437</v>
      </c>
      <c r="T16" s="277">
        <f t="shared" si="7"/>
        <v>294536501</v>
      </c>
      <c r="U16" s="277">
        <f t="shared" si="8"/>
        <v>22678936</v>
      </c>
      <c r="V16" s="85"/>
      <c r="W16" s="321"/>
      <c r="X16" s="321"/>
      <c r="AA16" s="106"/>
    </row>
    <row r="17" spans="1:27" s="69" customFormat="1" ht="28.5" customHeight="1">
      <c r="A17" s="149" t="s">
        <v>59</v>
      </c>
      <c r="B17" s="181" t="s">
        <v>323</v>
      </c>
      <c r="C17" s="311">
        <v>6812095</v>
      </c>
      <c r="D17" s="311">
        <v>20674</v>
      </c>
      <c r="E17" s="311">
        <v>0</v>
      </c>
      <c r="F17" s="311">
        <v>0</v>
      </c>
      <c r="G17" s="311">
        <v>0</v>
      </c>
      <c r="H17" s="311">
        <v>0</v>
      </c>
      <c r="I17" s="311">
        <v>0</v>
      </c>
      <c r="J17" s="311">
        <v>0</v>
      </c>
      <c r="K17" s="311">
        <v>0</v>
      </c>
      <c r="L17" s="311">
        <v>0</v>
      </c>
      <c r="M17" s="311">
        <v>0</v>
      </c>
      <c r="N17" s="311">
        <v>0</v>
      </c>
      <c r="O17" s="311">
        <v>0</v>
      </c>
      <c r="P17" s="311">
        <v>0</v>
      </c>
      <c r="Q17" s="311">
        <v>0</v>
      </c>
      <c r="R17" s="311">
        <v>0</v>
      </c>
      <c r="S17" s="277">
        <f t="shared" si="6"/>
        <v>6812095</v>
      </c>
      <c r="T17" s="277">
        <f t="shared" si="7"/>
        <v>6791421</v>
      </c>
      <c r="U17" s="277">
        <f t="shared" si="8"/>
        <v>20674</v>
      </c>
      <c r="V17" s="85"/>
      <c r="W17" s="321"/>
      <c r="X17" s="321"/>
      <c r="AA17" s="106"/>
    </row>
    <row r="18" spans="1:27" s="69" customFormat="1" ht="25.5" customHeight="1">
      <c r="A18" s="149" t="s">
        <v>60</v>
      </c>
      <c r="B18" s="181" t="s">
        <v>324</v>
      </c>
      <c r="C18" s="311">
        <v>0</v>
      </c>
      <c r="D18" s="311">
        <v>0</v>
      </c>
      <c r="E18" s="311">
        <v>0</v>
      </c>
      <c r="F18" s="311">
        <v>0</v>
      </c>
      <c r="G18" s="311">
        <v>0</v>
      </c>
      <c r="H18" s="311">
        <v>0</v>
      </c>
      <c r="I18" s="311">
        <v>1005518</v>
      </c>
      <c r="J18" s="311">
        <v>1005518</v>
      </c>
      <c r="K18" s="311">
        <v>3840797</v>
      </c>
      <c r="L18" s="311">
        <v>3840797</v>
      </c>
      <c r="M18" s="311">
        <v>0</v>
      </c>
      <c r="N18" s="311">
        <v>0</v>
      </c>
      <c r="O18" s="311">
        <v>0</v>
      </c>
      <c r="P18" s="311">
        <v>0</v>
      </c>
      <c r="Q18" s="311">
        <v>0</v>
      </c>
      <c r="R18" s="311">
        <v>0</v>
      </c>
      <c r="S18" s="277">
        <f t="shared" si="6"/>
        <v>4846315</v>
      </c>
      <c r="T18" s="277">
        <f t="shared" si="7"/>
        <v>0</v>
      </c>
      <c r="U18" s="277">
        <f t="shared" si="8"/>
        <v>4846315</v>
      </c>
      <c r="V18" s="85"/>
      <c r="W18" s="321"/>
      <c r="X18" s="321"/>
      <c r="AA18" s="106"/>
    </row>
    <row r="19" spans="1:27" s="69" customFormat="1" ht="25.5" customHeight="1">
      <c r="A19" s="149" t="s">
        <v>61</v>
      </c>
      <c r="B19" s="181" t="s">
        <v>278</v>
      </c>
      <c r="C19" s="311">
        <v>18107597</v>
      </c>
      <c r="D19" s="311">
        <v>4292191</v>
      </c>
      <c r="E19" s="311">
        <v>0</v>
      </c>
      <c r="F19" s="311">
        <v>0</v>
      </c>
      <c r="G19" s="311">
        <v>0</v>
      </c>
      <c r="H19" s="311">
        <v>0</v>
      </c>
      <c r="I19" s="311">
        <v>0</v>
      </c>
      <c r="J19" s="311">
        <v>0</v>
      </c>
      <c r="K19" s="311">
        <v>0</v>
      </c>
      <c r="L19" s="311">
        <v>0</v>
      </c>
      <c r="M19" s="311">
        <v>0</v>
      </c>
      <c r="N19" s="311">
        <v>0</v>
      </c>
      <c r="O19" s="311">
        <v>0</v>
      </c>
      <c r="P19" s="311">
        <v>0</v>
      </c>
      <c r="Q19" s="311">
        <v>0</v>
      </c>
      <c r="R19" s="311">
        <v>0</v>
      </c>
      <c r="S19" s="277">
        <f t="shared" si="6"/>
        <v>18107597</v>
      </c>
      <c r="T19" s="277">
        <f t="shared" si="7"/>
        <v>13815406</v>
      </c>
      <c r="U19" s="277">
        <f t="shared" si="8"/>
        <v>4292191</v>
      </c>
      <c r="V19" s="85"/>
      <c r="W19" s="321"/>
      <c r="X19" s="321"/>
      <c r="AA19" s="106"/>
    </row>
    <row r="20" spans="1:27" s="69" customFormat="1" ht="25.5" customHeight="1">
      <c r="A20" s="149" t="s">
        <v>23</v>
      </c>
      <c r="B20" s="183" t="s">
        <v>325</v>
      </c>
      <c r="C20" s="277">
        <f t="shared" ref="C20:R20" si="10">+C7+C12+C15</f>
        <v>926831265</v>
      </c>
      <c r="D20" s="277">
        <f t="shared" si="10"/>
        <v>63766770</v>
      </c>
      <c r="E20" s="277">
        <f t="shared" si="10"/>
        <v>238212391</v>
      </c>
      <c r="F20" s="277">
        <f t="shared" si="10"/>
        <v>0</v>
      </c>
      <c r="G20" s="277">
        <f t="shared" si="10"/>
        <v>132243992</v>
      </c>
      <c r="H20" s="277">
        <f t="shared" si="10"/>
        <v>0</v>
      </c>
      <c r="I20" s="277">
        <f t="shared" si="10"/>
        <v>775748181</v>
      </c>
      <c r="J20" s="277">
        <f t="shared" si="10"/>
        <v>1662594</v>
      </c>
      <c r="K20" s="277">
        <f t="shared" si="10"/>
        <v>2048076411</v>
      </c>
      <c r="L20" s="277">
        <f t="shared" si="10"/>
        <v>389875198</v>
      </c>
      <c r="M20" s="277">
        <f t="shared" si="10"/>
        <v>2126369895</v>
      </c>
      <c r="N20" s="277">
        <f t="shared" si="10"/>
        <v>244996838</v>
      </c>
      <c r="O20" s="277">
        <f t="shared" si="10"/>
        <v>1216979765</v>
      </c>
      <c r="P20" s="277">
        <f t="shared" si="10"/>
        <v>100768400</v>
      </c>
      <c r="Q20" s="277">
        <f t="shared" si="10"/>
        <v>2262207260</v>
      </c>
      <c r="R20" s="277">
        <f t="shared" si="10"/>
        <v>20939482</v>
      </c>
      <c r="S20" s="277">
        <f t="shared" si="6"/>
        <v>9726669160</v>
      </c>
      <c r="T20" s="277">
        <f t="shared" si="7"/>
        <v>8904659878</v>
      </c>
      <c r="U20" s="277">
        <f t="shared" si="8"/>
        <v>822009282</v>
      </c>
      <c r="V20" s="85">
        <v>0.15</v>
      </c>
      <c r="W20" s="321">
        <f>+X20+'Bank Liabilities Analysis (нац)'!M21</f>
        <v>1459000374</v>
      </c>
      <c r="X20" s="321">
        <f>(U20-(J46+L46+N46+P46+R46))*V20</f>
        <v>123301392.3</v>
      </c>
      <c r="Y20" s="101">
        <f>+'Deposits by Client'!C22</f>
        <v>9726669160</v>
      </c>
      <c r="Z20" s="101">
        <f>+Y20-AA20</f>
        <v>8904659878</v>
      </c>
      <c r="AA20" s="101">
        <f>+'Deposits by Client'!D22</f>
        <v>822009282</v>
      </c>
    </row>
    <row r="21" spans="1:27" s="69" customFormat="1" ht="25.5" customHeight="1">
      <c r="A21" s="149" t="s">
        <v>11</v>
      </c>
      <c r="B21" s="181" t="s">
        <v>144</v>
      </c>
      <c r="C21" s="311">
        <v>442535</v>
      </c>
      <c r="D21" s="311">
        <v>0</v>
      </c>
      <c r="E21" s="311">
        <v>0</v>
      </c>
      <c r="F21" s="311">
        <v>0</v>
      </c>
      <c r="G21" s="311">
        <v>0</v>
      </c>
      <c r="H21" s="311">
        <v>0</v>
      </c>
      <c r="I21" s="311">
        <v>0</v>
      </c>
      <c r="J21" s="311">
        <v>0</v>
      </c>
      <c r="K21" s="311">
        <v>0</v>
      </c>
      <c r="L21" s="311">
        <v>0</v>
      </c>
      <c r="M21" s="311">
        <v>0</v>
      </c>
      <c r="N21" s="311">
        <v>0</v>
      </c>
      <c r="O21" s="311">
        <v>0</v>
      </c>
      <c r="P21" s="311">
        <v>0</v>
      </c>
      <c r="Q21" s="311">
        <v>0</v>
      </c>
      <c r="R21" s="311">
        <v>0</v>
      </c>
      <c r="S21" s="277">
        <f t="shared" si="6"/>
        <v>442535</v>
      </c>
      <c r="T21" s="277">
        <f t="shared" si="7"/>
        <v>442535</v>
      </c>
      <c r="U21" s="277">
        <f t="shared" si="8"/>
        <v>0</v>
      </c>
      <c r="V21" s="85">
        <v>1</v>
      </c>
      <c r="W21" s="321">
        <f>(C21+E21+G21-C22-E22-G22)*V21</f>
        <v>0</v>
      </c>
      <c r="X21" s="321">
        <f>(D21+F21+H21-D22-F22-H22)*V21</f>
        <v>0</v>
      </c>
      <c r="Y21" s="106">
        <f>+S20-Y20</f>
        <v>0</v>
      </c>
      <c r="Z21" s="106">
        <f>+T20-Z20</f>
        <v>0</v>
      </c>
      <c r="AA21" s="106">
        <f>+U20-AA20</f>
        <v>0</v>
      </c>
    </row>
    <row r="22" spans="1:27" s="69" customFormat="1" ht="43.5" customHeight="1">
      <c r="A22" s="149" t="s">
        <v>30</v>
      </c>
      <c r="B22" s="181" t="s">
        <v>451</v>
      </c>
      <c r="C22" s="311">
        <v>442535</v>
      </c>
      <c r="D22" s="311">
        <v>0</v>
      </c>
      <c r="E22" s="311">
        <v>0</v>
      </c>
      <c r="F22" s="311">
        <v>0</v>
      </c>
      <c r="G22" s="311">
        <v>0</v>
      </c>
      <c r="H22" s="311">
        <v>0</v>
      </c>
      <c r="I22" s="311">
        <v>0</v>
      </c>
      <c r="J22" s="311">
        <v>0</v>
      </c>
      <c r="K22" s="311">
        <v>0</v>
      </c>
      <c r="L22" s="311">
        <v>0</v>
      </c>
      <c r="M22" s="311">
        <v>0</v>
      </c>
      <c r="N22" s="311">
        <v>0</v>
      </c>
      <c r="O22" s="311">
        <v>0</v>
      </c>
      <c r="P22" s="311">
        <v>0</v>
      </c>
      <c r="Q22" s="311">
        <v>0</v>
      </c>
      <c r="R22" s="311">
        <v>0</v>
      </c>
      <c r="S22" s="277">
        <f t="shared" ref="S22" si="11">+C22+E22+G22+I22+K22+M22+O22+Q22</f>
        <v>442535</v>
      </c>
      <c r="T22" s="277">
        <f t="shared" ref="T22" si="12">+S22-U22</f>
        <v>442535</v>
      </c>
      <c r="U22" s="277">
        <f t="shared" ref="U22" si="13">+D22+F22+H22+J22+L22+N22+P22+R22</f>
        <v>0</v>
      </c>
      <c r="V22" s="85"/>
      <c r="W22" s="321"/>
      <c r="X22" s="321"/>
      <c r="Y22" s="106"/>
      <c r="Z22" s="106"/>
      <c r="AA22" s="106"/>
    </row>
    <row r="23" spans="1:27" s="69" customFormat="1" ht="25.5" customHeight="1">
      <c r="A23" s="149" t="s">
        <v>12</v>
      </c>
      <c r="B23" s="181" t="s">
        <v>326</v>
      </c>
      <c r="C23" s="277">
        <f>SUM(C24:C28)-C25</f>
        <v>32703</v>
      </c>
      <c r="D23" s="277">
        <f t="shared" ref="D23:R23" si="14">SUM(D24:D28)-D25</f>
        <v>168</v>
      </c>
      <c r="E23" s="277">
        <f t="shared" si="14"/>
        <v>2600000</v>
      </c>
      <c r="F23" s="277">
        <f t="shared" si="14"/>
        <v>0</v>
      </c>
      <c r="G23" s="277">
        <f t="shared" si="14"/>
        <v>212433450</v>
      </c>
      <c r="H23" s="277">
        <f t="shared" si="14"/>
        <v>212433450</v>
      </c>
      <c r="I23" s="277">
        <f t="shared" si="14"/>
        <v>703020867</v>
      </c>
      <c r="J23" s="277">
        <f t="shared" si="14"/>
        <v>0</v>
      </c>
      <c r="K23" s="277">
        <f t="shared" si="14"/>
        <v>263404500</v>
      </c>
      <c r="L23" s="277">
        <f t="shared" si="14"/>
        <v>70811150</v>
      </c>
      <c r="M23" s="277">
        <f t="shared" si="14"/>
        <v>41922444</v>
      </c>
      <c r="N23" s="277">
        <f t="shared" si="14"/>
        <v>373711</v>
      </c>
      <c r="O23" s="277">
        <f t="shared" si="14"/>
        <v>134925207</v>
      </c>
      <c r="P23" s="277">
        <f t="shared" si="14"/>
        <v>1494845</v>
      </c>
      <c r="Q23" s="277">
        <f t="shared" si="14"/>
        <v>686600733</v>
      </c>
      <c r="R23" s="277">
        <f t="shared" si="14"/>
        <v>209083084</v>
      </c>
      <c r="S23" s="277">
        <f t="shared" si="6"/>
        <v>2044939904</v>
      </c>
      <c r="T23" s="277">
        <f t="shared" si="7"/>
        <v>1550743496</v>
      </c>
      <c r="U23" s="277">
        <f t="shared" si="8"/>
        <v>494196408</v>
      </c>
      <c r="V23" s="85"/>
      <c r="W23" s="321"/>
      <c r="X23" s="321"/>
      <c r="AA23" s="106"/>
    </row>
    <row r="24" spans="1:27" s="69" customFormat="1" ht="27.75" customHeight="1">
      <c r="A24" s="149" t="s">
        <v>27</v>
      </c>
      <c r="B24" s="181" t="s">
        <v>327</v>
      </c>
      <c r="C24" s="311">
        <v>0</v>
      </c>
      <c r="D24" s="311">
        <v>0</v>
      </c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77"/>
      <c r="P24" s="277"/>
      <c r="Q24" s="277"/>
      <c r="R24" s="277"/>
      <c r="S24" s="277">
        <f>+C24</f>
        <v>0</v>
      </c>
      <c r="T24" s="277">
        <f t="shared" ref="T24" si="15">+S24-U24</f>
        <v>0</v>
      </c>
      <c r="U24" s="277">
        <f>+D24</f>
        <v>0</v>
      </c>
      <c r="V24" s="85">
        <v>1</v>
      </c>
      <c r="W24" s="321">
        <f>X24+'Bank Liabilities Analysis (нац)'!M25</f>
        <v>0</v>
      </c>
      <c r="X24" s="321">
        <f>(U24-U25)*V24</f>
        <v>0</v>
      </c>
      <c r="AA24" s="106"/>
    </row>
    <row r="25" spans="1:27" s="69" customFormat="1" ht="27.75" customHeight="1">
      <c r="A25" s="149" t="s">
        <v>461</v>
      </c>
      <c r="B25" s="181" t="s">
        <v>462</v>
      </c>
      <c r="C25" s="311">
        <v>0</v>
      </c>
      <c r="D25" s="311">
        <v>0</v>
      </c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7"/>
      <c r="Q25" s="277"/>
      <c r="R25" s="277"/>
      <c r="S25" s="277">
        <f>+C25</f>
        <v>0</v>
      </c>
      <c r="T25" s="277">
        <f t="shared" ref="T25" si="16">+S25-U25</f>
        <v>0</v>
      </c>
      <c r="U25" s="277">
        <f>+D25</f>
        <v>0</v>
      </c>
      <c r="V25" s="85">
        <v>1</v>
      </c>
      <c r="W25" s="321">
        <f>(U25*V25)</f>
        <v>0</v>
      </c>
      <c r="X25" s="321">
        <f>(U25*V25)</f>
        <v>0</v>
      </c>
      <c r="AA25" s="106"/>
    </row>
    <row r="26" spans="1:27" s="69" customFormat="1" ht="25.5" customHeight="1">
      <c r="A26" s="149" t="s">
        <v>28</v>
      </c>
      <c r="B26" s="181" t="s">
        <v>328</v>
      </c>
      <c r="C26" s="311">
        <v>0</v>
      </c>
      <c r="D26" s="311">
        <v>0</v>
      </c>
      <c r="E26" s="311">
        <v>2600000</v>
      </c>
      <c r="F26" s="311">
        <v>0</v>
      </c>
      <c r="G26" s="311">
        <v>212433450</v>
      </c>
      <c r="H26" s="311">
        <v>212433450</v>
      </c>
      <c r="I26" s="311">
        <v>703020867</v>
      </c>
      <c r="J26" s="311">
        <v>0</v>
      </c>
      <c r="K26" s="311">
        <v>263404500</v>
      </c>
      <c r="L26" s="311">
        <v>70811150</v>
      </c>
      <c r="M26" s="311">
        <v>41922444</v>
      </c>
      <c r="N26" s="311">
        <v>373711</v>
      </c>
      <c r="O26" s="311">
        <v>134925207</v>
      </c>
      <c r="P26" s="311">
        <v>1494845</v>
      </c>
      <c r="Q26" s="311">
        <v>686600733</v>
      </c>
      <c r="R26" s="311">
        <v>209083084</v>
      </c>
      <c r="S26" s="277">
        <f t="shared" si="6"/>
        <v>2044907201</v>
      </c>
      <c r="T26" s="277">
        <f t="shared" si="7"/>
        <v>1550710961</v>
      </c>
      <c r="U26" s="277">
        <f t="shared" si="8"/>
        <v>494196240</v>
      </c>
      <c r="V26" s="85">
        <v>1</v>
      </c>
      <c r="W26" s="321">
        <f>(C26+E26+G26)*V26</f>
        <v>215033450</v>
      </c>
      <c r="X26" s="321">
        <f>(D26+F26+H26)*V26</f>
        <v>212433450</v>
      </c>
      <c r="AA26" s="106"/>
    </row>
    <row r="27" spans="1:27" s="69" customFormat="1" ht="25.5" customHeight="1">
      <c r="A27" s="149" t="s">
        <v>0</v>
      </c>
      <c r="B27" s="181" t="s">
        <v>405</v>
      </c>
      <c r="C27" s="311">
        <v>32703</v>
      </c>
      <c r="D27" s="311">
        <v>168</v>
      </c>
      <c r="E27" s="311">
        <v>0</v>
      </c>
      <c r="F27" s="311">
        <v>0</v>
      </c>
      <c r="G27" s="311">
        <v>0</v>
      </c>
      <c r="H27" s="311">
        <v>0</v>
      </c>
      <c r="I27" s="311">
        <v>0</v>
      </c>
      <c r="J27" s="311">
        <v>0</v>
      </c>
      <c r="K27" s="311">
        <v>0</v>
      </c>
      <c r="L27" s="311">
        <v>0</v>
      </c>
      <c r="M27" s="311">
        <v>0</v>
      </c>
      <c r="N27" s="311">
        <v>0</v>
      </c>
      <c r="O27" s="311">
        <v>0</v>
      </c>
      <c r="P27" s="311">
        <v>0</v>
      </c>
      <c r="Q27" s="311">
        <v>0</v>
      </c>
      <c r="R27" s="311">
        <v>0</v>
      </c>
      <c r="S27" s="277">
        <f t="shared" si="6"/>
        <v>32703</v>
      </c>
      <c r="T27" s="277">
        <f t="shared" si="7"/>
        <v>32535</v>
      </c>
      <c r="U27" s="277">
        <f t="shared" si="8"/>
        <v>168</v>
      </c>
      <c r="V27" s="85">
        <v>1</v>
      </c>
      <c r="W27" s="321">
        <f>(C27+E27+G27)*V27</f>
        <v>32703</v>
      </c>
      <c r="X27" s="321">
        <f>(D27+F27+H27)*V27</f>
        <v>168</v>
      </c>
      <c r="AA27" s="106"/>
    </row>
    <row r="28" spans="1:27" s="69" customFormat="1" ht="25.5" customHeight="1">
      <c r="A28" s="149" t="s">
        <v>62</v>
      </c>
      <c r="B28" s="181" t="s">
        <v>329</v>
      </c>
      <c r="C28" s="311">
        <v>0</v>
      </c>
      <c r="D28" s="311">
        <v>0</v>
      </c>
      <c r="E28" s="311">
        <v>0</v>
      </c>
      <c r="F28" s="311">
        <v>0</v>
      </c>
      <c r="G28" s="311">
        <v>0</v>
      </c>
      <c r="H28" s="311">
        <v>0</v>
      </c>
      <c r="I28" s="311">
        <v>0</v>
      </c>
      <c r="J28" s="311">
        <v>0</v>
      </c>
      <c r="K28" s="311">
        <v>0</v>
      </c>
      <c r="L28" s="311">
        <v>0</v>
      </c>
      <c r="M28" s="311">
        <v>0</v>
      </c>
      <c r="N28" s="311">
        <v>0</v>
      </c>
      <c r="O28" s="311">
        <v>0</v>
      </c>
      <c r="P28" s="311">
        <v>0</v>
      </c>
      <c r="Q28" s="311">
        <v>0</v>
      </c>
      <c r="R28" s="311">
        <v>0</v>
      </c>
      <c r="S28" s="277">
        <f t="shared" si="6"/>
        <v>0</v>
      </c>
      <c r="T28" s="277">
        <f t="shared" si="7"/>
        <v>0</v>
      </c>
      <c r="U28" s="277">
        <f t="shared" si="8"/>
        <v>0</v>
      </c>
      <c r="V28" s="85">
        <v>1</v>
      </c>
      <c r="W28" s="321">
        <f>(C28+E28+G28)*V28</f>
        <v>0</v>
      </c>
      <c r="X28" s="321">
        <f>(D28+F28+H28)*V28</f>
        <v>0</v>
      </c>
      <c r="AA28" s="106"/>
    </row>
    <row r="29" spans="1:27" s="69" customFormat="1" ht="25.5" customHeight="1">
      <c r="A29" s="149" t="s">
        <v>13</v>
      </c>
      <c r="B29" s="181" t="s">
        <v>330</v>
      </c>
      <c r="C29" s="311">
        <v>15502130</v>
      </c>
      <c r="D29" s="311">
        <v>15502130</v>
      </c>
      <c r="E29" s="311">
        <v>0</v>
      </c>
      <c r="F29" s="311">
        <v>0</v>
      </c>
      <c r="G29" s="311">
        <v>0</v>
      </c>
      <c r="H29" s="311">
        <v>0</v>
      </c>
      <c r="I29" s="311">
        <v>0</v>
      </c>
      <c r="J29" s="311">
        <v>0</v>
      </c>
      <c r="K29" s="311">
        <v>0</v>
      </c>
      <c r="L29" s="311">
        <v>0</v>
      </c>
      <c r="M29" s="311">
        <v>0</v>
      </c>
      <c r="N29" s="311">
        <v>0</v>
      </c>
      <c r="O29" s="311">
        <v>0</v>
      </c>
      <c r="P29" s="311">
        <v>0</v>
      </c>
      <c r="Q29" s="311">
        <v>0</v>
      </c>
      <c r="R29" s="311">
        <v>0</v>
      </c>
      <c r="S29" s="277">
        <f t="shared" si="6"/>
        <v>15502130</v>
      </c>
      <c r="T29" s="277">
        <f t="shared" si="7"/>
        <v>0</v>
      </c>
      <c r="U29" s="277">
        <f t="shared" si="8"/>
        <v>15502130</v>
      </c>
      <c r="V29" s="85">
        <v>1</v>
      </c>
      <c r="W29" s="321">
        <f>(C29+E29+G29)*V29</f>
        <v>15502130</v>
      </c>
      <c r="X29" s="321">
        <f>(D29+F29+H29)*V29</f>
        <v>15502130</v>
      </c>
      <c r="AA29" s="106"/>
    </row>
    <row r="30" spans="1:27" s="69" customFormat="1" ht="25.5" customHeight="1">
      <c r="A30" s="149" t="s">
        <v>14</v>
      </c>
      <c r="B30" s="181" t="s">
        <v>331</v>
      </c>
      <c r="C30" s="311">
        <v>2359851</v>
      </c>
      <c r="D30" s="311">
        <v>0</v>
      </c>
      <c r="E30" s="311">
        <v>11390347</v>
      </c>
      <c r="F30" s="311">
        <v>8181293</v>
      </c>
      <c r="G30" s="311">
        <v>15862148</v>
      </c>
      <c r="H30" s="311">
        <v>757343</v>
      </c>
      <c r="I30" s="311">
        <v>220549033</v>
      </c>
      <c r="J30" s="311">
        <v>62353679</v>
      </c>
      <c r="K30" s="311">
        <v>1242307752</v>
      </c>
      <c r="L30" s="311">
        <v>836032374</v>
      </c>
      <c r="M30" s="311">
        <v>2936800925</v>
      </c>
      <c r="N30" s="311">
        <v>2497085738</v>
      </c>
      <c r="O30" s="311">
        <v>2178630944</v>
      </c>
      <c r="P30" s="311">
        <v>1443842355</v>
      </c>
      <c r="Q30" s="311">
        <v>5475452501</v>
      </c>
      <c r="R30" s="311">
        <v>1562846620</v>
      </c>
      <c r="S30" s="277">
        <f t="shared" si="6"/>
        <v>12083353501</v>
      </c>
      <c r="T30" s="277">
        <f t="shared" si="7"/>
        <v>5672254099</v>
      </c>
      <c r="U30" s="277">
        <f t="shared" si="8"/>
        <v>6411099402</v>
      </c>
      <c r="V30" s="85">
        <v>0.05</v>
      </c>
      <c r="W30" s="321">
        <f>X30+'Bank Liabilities Analysis (нац)'!M31</f>
        <v>602564297.70000005</v>
      </c>
      <c r="X30" s="321">
        <f>(U30-(J51+L51+N51+P51+R51))*V30</f>
        <v>318951592.75</v>
      </c>
      <c r="AA30" s="106"/>
    </row>
    <row r="31" spans="1:27" s="69" customFormat="1" ht="25.5" customHeight="1">
      <c r="A31" s="149" t="s">
        <v>15</v>
      </c>
      <c r="B31" s="181" t="s">
        <v>152</v>
      </c>
      <c r="C31" s="311">
        <v>0</v>
      </c>
      <c r="D31" s="311">
        <v>0</v>
      </c>
      <c r="E31" s="311">
        <v>0</v>
      </c>
      <c r="F31" s="311">
        <v>0</v>
      </c>
      <c r="G31" s="311">
        <v>0</v>
      </c>
      <c r="H31" s="311">
        <v>0</v>
      </c>
      <c r="I31" s="311">
        <v>0</v>
      </c>
      <c r="J31" s="311">
        <v>0</v>
      </c>
      <c r="K31" s="311">
        <v>0</v>
      </c>
      <c r="L31" s="311">
        <v>0</v>
      </c>
      <c r="M31" s="311">
        <v>0</v>
      </c>
      <c r="N31" s="311">
        <v>0</v>
      </c>
      <c r="O31" s="311">
        <v>0</v>
      </c>
      <c r="P31" s="311">
        <v>0</v>
      </c>
      <c r="Q31" s="311">
        <v>0</v>
      </c>
      <c r="R31" s="311">
        <v>0</v>
      </c>
      <c r="S31" s="277">
        <f t="shared" si="6"/>
        <v>0</v>
      </c>
      <c r="T31" s="277">
        <f t="shared" si="7"/>
        <v>0</v>
      </c>
      <c r="U31" s="277">
        <f t="shared" si="8"/>
        <v>0</v>
      </c>
      <c r="V31" s="85">
        <v>1</v>
      </c>
      <c r="W31" s="321">
        <f>(C31+E31+G31)*V31</f>
        <v>0</v>
      </c>
      <c r="X31" s="321">
        <f>(D31+F31+H31)*V31</f>
        <v>0</v>
      </c>
      <c r="AA31" s="106"/>
    </row>
    <row r="32" spans="1:27" s="69" customFormat="1" ht="25.5" customHeight="1">
      <c r="A32" s="149" t="s">
        <v>16</v>
      </c>
      <c r="B32" s="181" t="s">
        <v>154</v>
      </c>
      <c r="C32" s="311">
        <v>0</v>
      </c>
      <c r="D32" s="311">
        <v>0</v>
      </c>
      <c r="E32" s="311">
        <v>0</v>
      </c>
      <c r="F32" s="311">
        <v>0</v>
      </c>
      <c r="G32" s="311">
        <v>0</v>
      </c>
      <c r="H32" s="311">
        <v>0</v>
      </c>
      <c r="I32" s="311">
        <v>0</v>
      </c>
      <c r="J32" s="311">
        <v>0</v>
      </c>
      <c r="K32" s="311">
        <v>0</v>
      </c>
      <c r="L32" s="311">
        <v>0</v>
      </c>
      <c r="M32" s="311">
        <v>0</v>
      </c>
      <c r="N32" s="311">
        <v>0</v>
      </c>
      <c r="O32" s="311">
        <v>0</v>
      </c>
      <c r="P32" s="311">
        <v>0</v>
      </c>
      <c r="Q32" s="311">
        <v>703058234</v>
      </c>
      <c r="R32" s="311">
        <v>0</v>
      </c>
      <c r="S32" s="277">
        <f t="shared" si="6"/>
        <v>703058234</v>
      </c>
      <c r="T32" s="277">
        <f t="shared" si="7"/>
        <v>703058234</v>
      </c>
      <c r="U32" s="277">
        <f t="shared" si="8"/>
        <v>0</v>
      </c>
      <c r="V32" s="85">
        <v>1</v>
      </c>
      <c r="W32" s="321">
        <f>(C32+E32+G32)*V32</f>
        <v>0</v>
      </c>
      <c r="X32" s="321">
        <f>(D32+F32+H32)*V32</f>
        <v>0</v>
      </c>
      <c r="AA32" s="106"/>
    </row>
    <row r="33" spans="1:27" s="69" customFormat="1" ht="24.75" customHeight="1">
      <c r="A33" s="149" t="s">
        <v>17</v>
      </c>
      <c r="B33" s="263" t="s">
        <v>148</v>
      </c>
      <c r="C33" s="277">
        <f>+C34+C35</f>
        <v>0</v>
      </c>
      <c r="D33" s="277">
        <f t="shared" ref="D33:R33" si="17">+D34+D35</f>
        <v>0</v>
      </c>
      <c r="E33" s="277">
        <f t="shared" si="17"/>
        <v>0</v>
      </c>
      <c r="F33" s="277">
        <f t="shared" si="17"/>
        <v>0</v>
      </c>
      <c r="G33" s="277">
        <f t="shared" si="17"/>
        <v>0</v>
      </c>
      <c r="H33" s="277">
        <f t="shared" si="17"/>
        <v>0</v>
      </c>
      <c r="I33" s="277">
        <f t="shared" si="17"/>
        <v>0</v>
      </c>
      <c r="J33" s="277">
        <f t="shared" si="17"/>
        <v>0</v>
      </c>
      <c r="K33" s="277">
        <f t="shared" si="17"/>
        <v>0</v>
      </c>
      <c r="L33" s="277">
        <f t="shared" si="17"/>
        <v>0</v>
      </c>
      <c r="M33" s="277">
        <f t="shared" si="17"/>
        <v>0</v>
      </c>
      <c r="N33" s="277">
        <f t="shared" si="17"/>
        <v>0</v>
      </c>
      <c r="O33" s="277">
        <f t="shared" si="17"/>
        <v>0</v>
      </c>
      <c r="P33" s="277">
        <f t="shared" si="17"/>
        <v>0</v>
      </c>
      <c r="Q33" s="277">
        <f t="shared" si="17"/>
        <v>0</v>
      </c>
      <c r="R33" s="277">
        <f t="shared" si="17"/>
        <v>0</v>
      </c>
      <c r="S33" s="277">
        <f t="shared" si="6"/>
        <v>0</v>
      </c>
      <c r="T33" s="277">
        <f t="shared" si="7"/>
        <v>0</v>
      </c>
      <c r="U33" s="277">
        <f t="shared" si="8"/>
        <v>0</v>
      </c>
      <c r="V33" s="85"/>
      <c r="W33" s="321"/>
      <c r="X33" s="321"/>
      <c r="AA33" s="106"/>
    </row>
    <row r="34" spans="1:27" s="69" customFormat="1" ht="27" customHeight="1">
      <c r="A34" s="149" t="s">
        <v>109</v>
      </c>
      <c r="B34" s="264" t="s">
        <v>455</v>
      </c>
      <c r="C34" s="311">
        <v>0</v>
      </c>
      <c r="D34" s="311">
        <v>0</v>
      </c>
      <c r="E34" s="311">
        <v>0</v>
      </c>
      <c r="F34" s="311">
        <v>0</v>
      </c>
      <c r="G34" s="311">
        <v>0</v>
      </c>
      <c r="H34" s="311">
        <v>0</v>
      </c>
      <c r="I34" s="311">
        <v>0</v>
      </c>
      <c r="J34" s="311">
        <v>0</v>
      </c>
      <c r="K34" s="311">
        <v>0</v>
      </c>
      <c r="L34" s="311">
        <v>0</v>
      </c>
      <c r="M34" s="311">
        <v>0</v>
      </c>
      <c r="N34" s="311">
        <v>0</v>
      </c>
      <c r="O34" s="311">
        <v>0</v>
      </c>
      <c r="P34" s="311">
        <v>0</v>
      </c>
      <c r="Q34" s="311">
        <v>0</v>
      </c>
      <c r="R34" s="311">
        <v>0</v>
      </c>
      <c r="S34" s="277">
        <f t="shared" si="6"/>
        <v>0</v>
      </c>
      <c r="T34" s="277">
        <f t="shared" si="7"/>
        <v>0</v>
      </c>
      <c r="U34" s="277">
        <f t="shared" si="8"/>
        <v>0</v>
      </c>
      <c r="V34" s="85">
        <v>1</v>
      </c>
      <c r="W34" s="321">
        <f>(C34+E34+G34)*V34</f>
        <v>0</v>
      </c>
      <c r="X34" s="321">
        <f>(D34+F34+H34)*V34</f>
        <v>0</v>
      </c>
      <c r="AA34" s="106"/>
    </row>
    <row r="35" spans="1:27" s="69" customFormat="1" ht="27" customHeight="1">
      <c r="A35" s="149" t="s">
        <v>111</v>
      </c>
      <c r="B35" s="264" t="s">
        <v>456</v>
      </c>
      <c r="C35" s="311">
        <v>0</v>
      </c>
      <c r="D35" s="311">
        <v>0</v>
      </c>
      <c r="E35" s="311">
        <v>0</v>
      </c>
      <c r="F35" s="311">
        <v>0</v>
      </c>
      <c r="G35" s="311">
        <v>0</v>
      </c>
      <c r="H35" s="311">
        <v>0</v>
      </c>
      <c r="I35" s="311">
        <v>0</v>
      </c>
      <c r="J35" s="311">
        <v>0</v>
      </c>
      <c r="K35" s="311">
        <v>0</v>
      </c>
      <c r="L35" s="311">
        <v>0</v>
      </c>
      <c r="M35" s="311">
        <v>0</v>
      </c>
      <c r="N35" s="311">
        <v>0</v>
      </c>
      <c r="O35" s="311">
        <v>0</v>
      </c>
      <c r="P35" s="311">
        <v>0</v>
      </c>
      <c r="Q35" s="311">
        <v>0</v>
      </c>
      <c r="R35" s="311">
        <v>0</v>
      </c>
      <c r="S35" s="277">
        <f t="shared" ref="S35" si="18">+C35+E35+G35+I35+K35+M35+O35+Q35</f>
        <v>0</v>
      </c>
      <c r="T35" s="277">
        <f t="shared" ref="T35" si="19">+S35-U35</f>
        <v>0</v>
      </c>
      <c r="U35" s="277">
        <f t="shared" ref="U35" si="20">+D35+F35+H35+J35+L35+N35+P35+R35</f>
        <v>0</v>
      </c>
      <c r="V35" s="85">
        <v>1</v>
      </c>
      <c r="W35" s="321">
        <f>(C35+E35+G35)*V35</f>
        <v>0</v>
      </c>
      <c r="X35" s="321">
        <f>(D35+F35+H35)*V35</f>
        <v>0</v>
      </c>
      <c r="AA35" s="106"/>
    </row>
    <row r="36" spans="1:27" s="69" customFormat="1" ht="38.25">
      <c r="A36" s="149" t="s">
        <v>18</v>
      </c>
      <c r="B36" s="181" t="s">
        <v>332</v>
      </c>
      <c r="C36" s="311">
        <v>1817</v>
      </c>
      <c r="D36" s="311">
        <v>0</v>
      </c>
      <c r="E36" s="311">
        <v>0</v>
      </c>
      <c r="F36" s="311">
        <v>0</v>
      </c>
      <c r="G36" s="311">
        <v>0</v>
      </c>
      <c r="H36" s="311">
        <v>0</v>
      </c>
      <c r="I36" s="311">
        <v>0</v>
      </c>
      <c r="J36" s="311">
        <v>0</v>
      </c>
      <c r="K36" s="311">
        <v>0</v>
      </c>
      <c r="L36" s="311">
        <v>0</v>
      </c>
      <c r="M36" s="311">
        <v>0</v>
      </c>
      <c r="N36" s="311">
        <v>0</v>
      </c>
      <c r="O36" s="311">
        <v>0</v>
      </c>
      <c r="P36" s="311">
        <v>0</v>
      </c>
      <c r="Q36" s="311">
        <v>0</v>
      </c>
      <c r="R36" s="311">
        <v>0</v>
      </c>
      <c r="S36" s="277">
        <f t="shared" si="6"/>
        <v>1817</v>
      </c>
      <c r="T36" s="277">
        <f t="shared" si="7"/>
        <v>1817</v>
      </c>
      <c r="U36" s="277">
        <f t="shared" si="8"/>
        <v>0</v>
      </c>
      <c r="V36" s="85">
        <v>1</v>
      </c>
      <c r="W36" s="321">
        <f>(S36)*V36</f>
        <v>1817</v>
      </c>
      <c r="X36" s="321">
        <f>(U36)*V36</f>
        <v>0</v>
      </c>
      <c r="AA36" s="106"/>
    </row>
    <row r="37" spans="1:27" s="69" customFormat="1" ht="25.5" customHeight="1">
      <c r="A37" s="149" t="s">
        <v>24</v>
      </c>
      <c r="B37" s="181" t="s">
        <v>160</v>
      </c>
      <c r="C37" s="311">
        <v>12445613</v>
      </c>
      <c r="D37" s="311">
        <v>0</v>
      </c>
      <c r="E37" s="311">
        <v>0</v>
      </c>
      <c r="F37" s="311">
        <v>0</v>
      </c>
      <c r="G37" s="311">
        <v>0</v>
      </c>
      <c r="H37" s="311">
        <v>0</v>
      </c>
      <c r="I37" s="311">
        <v>0</v>
      </c>
      <c r="J37" s="311">
        <v>0</v>
      </c>
      <c r="K37" s="311">
        <v>0</v>
      </c>
      <c r="L37" s="311">
        <v>0</v>
      </c>
      <c r="M37" s="311">
        <v>0</v>
      </c>
      <c r="N37" s="311">
        <v>0</v>
      </c>
      <c r="O37" s="311">
        <v>0</v>
      </c>
      <c r="P37" s="311">
        <v>0</v>
      </c>
      <c r="Q37" s="311">
        <v>0</v>
      </c>
      <c r="R37" s="311">
        <v>0</v>
      </c>
      <c r="S37" s="277">
        <f t="shared" si="6"/>
        <v>12445613</v>
      </c>
      <c r="T37" s="277">
        <f t="shared" si="7"/>
        <v>12445613</v>
      </c>
      <c r="U37" s="277">
        <f t="shared" si="8"/>
        <v>0</v>
      </c>
      <c r="V37" s="85">
        <v>1</v>
      </c>
      <c r="W37" s="321">
        <f>(S37)*V37</f>
        <v>12445613</v>
      </c>
      <c r="X37" s="321">
        <f>(U37)*V37</f>
        <v>0</v>
      </c>
      <c r="AA37" s="106"/>
    </row>
    <row r="38" spans="1:27" s="69" customFormat="1" ht="25.5" customHeight="1">
      <c r="A38" s="149" t="s">
        <v>25</v>
      </c>
      <c r="B38" s="181" t="s">
        <v>156</v>
      </c>
      <c r="C38" s="311">
        <v>20864582</v>
      </c>
      <c r="D38" s="311">
        <v>497102</v>
      </c>
      <c r="E38" s="311">
        <v>24046427</v>
      </c>
      <c r="F38" s="311">
        <v>695830</v>
      </c>
      <c r="G38" s="311">
        <v>42448581</v>
      </c>
      <c r="H38" s="311">
        <v>32767425</v>
      </c>
      <c r="I38" s="311">
        <v>137929733</v>
      </c>
      <c r="J38" s="311">
        <v>45627438</v>
      </c>
      <c r="K38" s="311">
        <v>29774902</v>
      </c>
      <c r="L38" s="311">
        <v>12692393</v>
      </c>
      <c r="M38" s="311">
        <v>0</v>
      </c>
      <c r="N38" s="311">
        <v>0</v>
      </c>
      <c r="O38" s="311">
        <v>0</v>
      </c>
      <c r="P38" s="311">
        <v>0</v>
      </c>
      <c r="Q38" s="311">
        <v>0</v>
      </c>
      <c r="R38" s="311">
        <v>0</v>
      </c>
      <c r="S38" s="277">
        <f t="shared" si="6"/>
        <v>255064225</v>
      </c>
      <c r="T38" s="277">
        <f t="shared" si="7"/>
        <v>162784037</v>
      </c>
      <c r="U38" s="277">
        <f t="shared" si="8"/>
        <v>92280188</v>
      </c>
      <c r="V38" s="85"/>
      <c r="W38" s="321">
        <f>(C38+E38+G38)</f>
        <v>87359590</v>
      </c>
      <c r="X38" s="321">
        <f>D38+F38+H38</f>
        <v>33960357</v>
      </c>
      <c r="AA38" s="106"/>
    </row>
    <row r="39" spans="1:27" s="69" customFormat="1" ht="27.75" customHeight="1">
      <c r="A39" s="149" t="s">
        <v>118</v>
      </c>
      <c r="B39" s="181" t="s">
        <v>487</v>
      </c>
      <c r="C39" s="311">
        <v>2</v>
      </c>
      <c r="D39" s="311">
        <v>2</v>
      </c>
      <c r="E39" s="311">
        <v>0</v>
      </c>
      <c r="F39" s="311">
        <v>0</v>
      </c>
      <c r="G39" s="311">
        <v>0</v>
      </c>
      <c r="H39" s="311">
        <v>0</v>
      </c>
      <c r="I39" s="311">
        <v>0</v>
      </c>
      <c r="J39" s="311">
        <v>0</v>
      </c>
      <c r="K39" s="311">
        <v>0</v>
      </c>
      <c r="L39" s="311">
        <v>0</v>
      </c>
      <c r="M39" s="311">
        <v>0</v>
      </c>
      <c r="N39" s="311">
        <v>0</v>
      </c>
      <c r="O39" s="311">
        <v>0</v>
      </c>
      <c r="P39" s="311">
        <v>0</v>
      </c>
      <c r="Q39" s="311">
        <v>0</v>
      </c>
      <c r="R39" s="311">
        <v>0</v>
      </c>
      <c r="S39" s="277">
        <f t="shared" ref="S39" si="21">+C39+E39+G39+I39+K39+M39+O39+Q39</f>
        <v>2</v>
      </c>
      <c r="T39" s="277">
        <f t="shared" ref="T39" si="22">+S39-U39</f>
        <v>0</v>
      </c>
      <c r="U39" s="277">
        <f t="shared" ref="U39" si="23">+D39+F39+H39+J39+L39+N39+P39+R39</f>
        <v>2</v>
      </c>
      <c r="V39" s="85"/>
      <c r="W39" s="321">
        <f t="shared" ref="W39:W40" si="24">C39+E39+G39</f>
        <v>2</v>
      </c>
      <c r="X39" s="321">
        <f t="shared" ref="X39:X40" si="25">D39+F39+H39</f>
        <v>2</v>
      </c>
      <c r="AA39" s="106"/>
    </row>
    <row r="40" spans="1:27" s="69" customFormat="1" ht="27.75" customHeight="1">
      <c r="A40" s="149" t="s">
        <v>120</v>
      </c>
      <c r="B40" s="181" t="s">
        <v>477</v>
      </c>
      <c r="C40" s="311">
        <v>0</v>
      </c>
      <c r="D40" s="311">
        <v>0</v>
      </c>
      <c r="E40" s="311">
        <v>0</v>
      </c>
      <c r="F40" s="311">
        <v>0</v>
      </c>
      <c r="G40" s="311">
        <v>797578</v>
      </c>
      <c r="H40" s="311">
        <v>618334</v>
      </c>
      <c r="I40" s="311">
        <v>0</v>
      </c>
      <c r="J40" s="311">
        <v>0</v>
      </c>
      <c r="K40" s="311">
        <v>0</v>
      </c>
      <c r="L40" s="311">
        <v>0</v>
      </c>
      <c r="M40" s="311">
        <v>0</v>
      </c>
      <c r="N40" s="311">
        <v>0</v>
      </c>
      <c r="O40" s="311">
        <v>0</v>
      </c>
      <c r="P40" s="311">
        <v>0</v>
      </c>
      <c r="Q40" s="311">
        <v>0</v>
      </c>
      <c r="R40" s="311">
        <v>0</v>
      </c>
      <c r="S40" s="277">
        <f t="shared" ref="S40" si="26">+C40+E40+G40+I40+K40+M40+O40+Q40</f>
        <v>797578</v>
      </c>
      <c r="T40" s="277">
        <f t="shared" ref="T40" si="27">+S40-U40</f>
        <v>179244</v>
      </c>
      <c r="U40" s="277">
        <f t="shared" ref="U40" si="28">+D40+F40+H40+J40+L40+N40+P40+R40</f>
        <v>618334</v>
      </c>
      <c r="V40" s="85"/>
      <c r="W40" s="321">
        <f t="shared" si="24"/>
        <v>797578</v>
      </c>
      <c r="X40" s="321">
        <f t="shared" si="25"/>
        <v>618334</v>
      </c>
      <c r="AA40" s="106"/>
    </row>
    <row r="41" spans="1:27" s="69" customFormat="1" ht="25.5" customHeight="1">
      <c r="A41" s="149" t="s">
        <v>19</v>
      </c>
      <c r="B41" s="181" t="s">
        <v>164</v>
      </c>
      <c r="C41" s="311">
        <v>136086763</v>
      </c>
      <c r="D41" s="311">
        <v>13239074</v>
      </c>
      <c r="E41" s="311">
        <v>0</v>
      </c>
      <c r="F41" s="311">
        <v>0</v>
      </c>
      <c r="G41" s="311">
        <v>0</v>
      </c>
      <c r="H41" s="311">
        <v>0</v>
      </c>
      <c r="I41" s="311">
        <v>0</v>
      </c>
      <c r="J41" s="311">
        <v>0</v>
      </c>
      <c r="K41" s="311">
        <v>0</v>
      </c>
      <c r="L41" s="311">
        <v>0</v>
      </c>
      <c r="M41" s="311">
        <v>0</v>
      </c>
      <c r="N41" s="311">
        <v>0</v>
      </c>
      <c r="O41" s="311">
        <v>11214772</v>
      </c>
      <c r="P41" s="311">
        <v>933316</v>
      </c>
      <c r="Q41" s="311">
        <v>0</v>
      </c>
      <c r="R41" s="311">
        <v>0</v>
      </c>
      <c r="S41" s="277">
        <f t="shared" si="6"/>
        <v>147301535</v>
      </c>
      <c r="T41" s="277">
        <f t="shared" si="7"/>
        <v>133129145</v>
      </c>
      <c r="U41" s="277">
        <f t="shared" si="8"/>
        <v>14172390</v>
      </c>
      <c r="V41" s="85">
        <v>1</v>
      </c>
      <c r="W41" s="321">
        <f>(C41+E41+G41)*V41</f>
        <v>136086763</v>
      </c>
      <c r="X41" s="321">
        <f>(D41+F41+H41)*V41</f>
        <v>13239074</v>
      </c>
    </row>
    <row r="42" spans="1:27" s="35" customFormat="1" ht="24.75" customHeight="1">
      <c r="A42" s="149" t="s">
        <v>292</v>
      </c>
      <c r="B42" s="183" t="s">
        <v>333</v>
      </c>
      <c r="C42" s="312">
        <f>+C20+C21+C23+C29+C30+C31+C32+C33+C36+C37+C38+C39+C40+C41</f>
        <v>1114567261</v>
      </c>
      <c r="D42" s="312">
        <f t="shared" ref="D42:U42" si="29">+D20+D21+D23+D29+D30+D31+D32+D33+D36+D37+D38+D39+D40+D41</f>
        <v>93005246</v>
      </c>
      <c r="E42" s="312">
        <f t="shared" si="29"/>
        <v>276249165</v>
      </c>
      <c r="F42" s="312">
        <f t="shared" si="29"/>
        <v>8877123</v>
      </c>
      <c r="G42" s="312">
        <f t="shared" si="29"/>
        <v>403785749</v>
      </c>
      <c r="H42" s="312">
        <f t="shared" si="29"/>
        <v>246576552</v>
      </c>
      <c r="I42" s="312">
        <f t="shared" si="29"/>
        <v>1837247814</v>
      </c>
      <c r="J42" s="312">
        <f t="shared" si="29"/>
        <v>109643711</v>
      </c>
      <c r="K42" s="312">
        <f t="shared" si="29"/>
        <v>3583563565</v>
      </c>
      <c r="L42" s="312">
        <f t="shared" si="29"/>
        <v>1309411115</v>
      </c>
      <c r="M42" s="312">
        <f t="shared" si="29"/>
        <v>5105093264</v>
      </c>
      <c r="N42" s="312">
        <f t="shared" si="29"/>
        <v>2742456287</v>
      </c>
      <c r="O42" s="312">
        <f t="shared" si="29"/>
        <v>3541750688</v>
      </c>
      <c r="P42" s="312">
        <f t="shared" si="29"/>
        <v>1547038916</v>
      </c>
      <c r="Q42" s="312">
        <f t="shared" si="29"/>
        <v>9127318728</v>
      </c>
      <c r="R42" s="312">
        <f t="shared" si="29"/>
        <v>1792869186</v>
      </c>
      <c r="S42" s="312">
        <f t="shared" si="29"/>
        <v>24989576234</v>
      </c>
      <c r="T42" s="312">
        <f t="shared" si="29"/>
        <v>17139698098</v>
      </c>
      <c r="U42" s="312">
        <f t="shared" si="29"/>
        <v>7849878136</v>
      </c>
      <c r="V42" s="275" t="s">
        <v>2</v>
      </c>
      <c r="W42" s="329">
        <f>SUM(W8:W41)</f>
        <v>2528824317.6999998</v>
      </c>
      <c r="X42" s="329">
        <f>SUM(X8:X41)</f>
        <v>718006500.04999995</v>
      </c>
      <c r="Y42" s="184">
        <f>+Balance!C63</f>
        <v>24989576234</v>
      </c>
      <c r="Z42" s="184">
        <f>+Balance!D63</f>
        <v>17139698098</v>
      </c>
      <c r="AA42" s="184">
        <f>+Balance!E63</f>
        <v>7849878136</v>
      </c>
    </row>
    <row r="43" spans="1:27" s="69" customFormat="1">
      <c r="A43" s="149"/>
      <c r="B43" s="169" t="s">
        <v>245</v>
      </c>
      <c r="C43" s="311"/>
      <c r="D43" s="311"/>
      <c r="E43" s="311"/>
      <c r="F43" s="311"/>
      <c r="G43" s="311"/>
      <c r="H43" s="311"/>
      <c r="I43" s="311"/>
      <c r="J43" s="311"/>
      <c r="K43" s="311"/>
      <c r="L43" s="311"/>
      <c r="M43" s="311"/>
      <c r="N43" s="311"/>
      <c r="O43" s="311"/>
      <c r="P43" s="311"/>
      <c r="Q43" s="311"/>
      <c r="R43" s="311"/>
      <c r="S43" s="277">
        <f t="shared" si="6"/>
        <v>0</v>
      </c>
      <c r="T43" s="277">
        <f t="shared" si="7"/>
        <v>0</v>
      </c>
      <c r="U43" s="277">
        <f t="shared" si="8"/>
        <v>0</v>
      </c>
      <c r="V43" s="85"/>
      <c r="W43" s="321"/>
      <c r="X43" s="321"/>
      <c r="Y43" s="106">
        <f>+S42-Y42</f>
        <v>0</v>
      </c>
      <c r="Z43" s="106">
        <f t="shared" ref="Z43:AA43" si="30">+T42-Z42</f>
        <v>0</v>
      </c>
      <c r="AA43" s="106">
        <f t="shared" si="30"/>
        <v>0</v>
      </c>
    </row>
    <row r="44" spans="1:27" s="69" customFormat="1" ht="25.5">
      <c r="A44" s="149"/>
      <c r="B44" s="170" t="s">
        <v>334</v>
      </c>
      <c r="C44" s="277">
        <f>+C45+C46</f>
        <v>0</v>
      </c>
      <c r="D44" s="277">
        <f t="shared" ref="D44" si="31">+D45+D46</f>
        <v>0</v>
      </c>
      <c r="E44" s="277">
        <f t="shared" ref="E44:G44" si="32">+E45+E46</f>
        <v>9547130</v>
      </c>
      <c r="F44" s="277">
        <f t="shared" ref="F44:H44" si="33">+F45+F46</f>
        <v>0</v>
      </c>
      <c r="G44" s="277">
        <f t="shared" si="32"/>
        <v>51044732</v>
      </c>
      <c r="H44" s="277">
        <f t="shared" si="33"/>
        <v>0</v>
      </c>
      <c r="I44" s="277">
        <f t="shared" ref="I44" si="34">+I45+I46</f>
        <v>23138745</v>
      </c>
      <c r="J44" s="277">
        <f t="shared" ref="J44" si="35">+J45+J46</f>
        <v>0</v>
      </c>
      <c r="K44" s="277">
        <f t="shared" ref="K44" si="36">+K45+K46</f>
        <v>111169339</v>
      </c>
      <c r="L44" s="277">
        <f t="shared" ref="L44" si="37">+L45+L46</f>
        <v>0</v>
      </c>
      <c r="M44" s="277">
        <f t="shared" ref="M44" si="38">+M45+M46</f>
        <v>67418255</v>
      </c>
      <c r="N44" s="277">
        <f t="shared" ref="N44" si="39">+N45+N46</f>
        <v>0</v>
      </c>
      <c r="O44" s="277">
        <f t="shared" ref="O44" si="40">+O45+O46</f>
        <v>71543402</v>
      </c>
      <c r="P44" s="277">
        <f t="shared" ref="P44" si="41">+P45+P46</f>
        <v>15461139</v>
      </c>
      <c r="Q44" s="277">
        <f t="shared" ref="Q44" si="42">+Q45+Q46</f>
        <v>2071967080</v>
      </c>
      <c r="R44" s="277">
        <f t="shared" ref="R44" si="43">+R45+R46</f>
        <v>38652846</v>
      </c>
      <c r="S44" s="277">
        <f t="shared" si="6"/>
        <v>2405828683</v>
      </c>
      <c r="T44" s="277">
        <f t="shared" si="7"/>
        <v>2351714698</v>
      </c>
      <c r="U44" s="277">
        <f t="shared" si="8"/>
        <v>54113985</v>
      </c>
      <c r="V44" s="85"/>
      <c r="W44" s="321"/>
      <c r="X44" s="321"/>
      <c r="AA44" s="106"/>
    </row>
    <row r="45" spans="1:27" s="69" customFormat="1" ht="20.25" customHeight="1">
      <c r="A45" s="149"/>
      <c r="B45" s="171" t="s">
        <v>335</v>
      </c>
      <c r="C45" s="311">
        <v>0</v>
      </c>
      <c r="D45" s="311">
        <v>0</v>
      </c>
      <c r="E45" s="311">
        <v>0</v>
      </c>
      <c r="F45" s="311">
        <v>0</v>
      </c>
      <c r="G45" s="311">
        <v>592378</v>
      </c>
      <c r="H45" s="311">
        <v>0</v>
      </c>
      <c r="I45" s="311">
        <v>1305254</v>
      </c>
      <c r="J45" s="311">
        <v>0</v>
      </c>
      <c r="K45" s="311">
        <v>1835535</v>
      </c>
      <c r="L45" s="311">
        <v>0</v>
      </c>
      <c r="M45" s="311">
        <v>3862994</v>
      </c>
      <c r="N45" s="311">
        <v>0</v>
      </c>
      <c r="O45" s="311">
        <v>23552264</v>
      </c>
      <c r="P45" s="311">
        <v>15461139</v>
      </c>
      <c r="Q45" s="311">
        <v>46630201</v>
      </c>
      <c r="R45" s="311">
        <v>38652846</v>
      </c>
      <c r="S45" s="277">
        <f t="shared" si="6"/>
        <v>77778626</v>
      </c>
      <c r="T45" s="277">
        <f t="shared" si="7"/>
        <v>23664641</v>
      </c>
      <c r="U45" s="277">
        <f t="shared" si="8"/>
        <v>54113985</v>
      </c>
      <c r="V45" s="85"/>
      <c r="W45" s="321"/>
      <c r="X45" s="321"/>
      <c r="AA45" s="106"/>
    </row>
    <row r="46" spans="1:27" s="69" customFormat="1" ht="20.25" customHeight="1">
      <c r="A46" s="149"/>
      <c r="B46" s="171" t="s">
        <v>336</v>
      </c>
      <c r="C46" s="311">
        <v>0</v>
      </c>
      <c r="D46" s="311">
        <v>0</v>
      </c>
      <c r="E46" s="311">
        <v>9547130</v>
      </c>
      <c r="F46" s="311">
        <v>0</v>
      </c>
      <c r="G46" s="311">
        <v>50452354</v>
      </c>
      <c r="H46" s="311">
        <v>0</v>
      </c>
      <c r="I46" s="311">
        <v>21833491</v>
      </c>
      <c r="J46" s="311">
        <v>0</v>
      </c>
      <c r="K46" s="311">
        <v>109333804</v>
      </c>
      <c r="L46" s="311">
        <v>0</v>
      </c>
      <c r="M46" s="311">
        <v>63555261</v>
      </c>
      <c r="N46" s="311">
        <v>0</v>
      </c>
      <c r="O46" s="311">
        <v>47991138</v>
      </c>
      <c r="P46" s="311">
        <v>0</v>
      </c>
      <c r="Q46" s="311">
        <v>2025336879</v>
      </c>
      <c r="R46" s="311">
        <v>0</v>
      </c>
      <c r="S46" s="277">
        <f t="shared" si="6"/>
        <v>2328050057</v>
      </c>
      <c r="T46" s="277">
        <f t="shared" si="7"/>
        <v>2328050057</v>
      </c>
      <c r="U46" s="277">
        <f t="shared" si="8"/>
        <v>0</v>
      </c>
      <c r="V46" s="85"/>
      <c r="W46" s="321"/>
      <c r="X46" s="321"/>
      <c r="Y46" s="69" t="s">
        <v>483</v>
      </c>
      <c r="AA46" s="106"/>
    </row>
    <row r="47" spans="1:27" s="69" customFormat="1" ht="25.5">
      <c r="A47" s="149"/>
      <c r="B47" s="185" t="s">
        <v>406</v>
      </c>
      <c r="C47" s="277">
        <f>+C48+C49</f>
        <v>51817</v>
      </c>
      <c r="D47" s="277">
        <f t="shared" ref="D47" si="44">+D48+D49</f>
        <v>0</v>
      </c>
      <c r="E47" s="277">
        <f t="shared" ref="E47:G47" si="45">+E48+E49</f>
        <v>96360</v>
      </c>
      <c r="F47" s="277">
        <f t="shared" ref="F47:H47" si="46">+F48+F49</f>
        <v>0</v>
      </c>
      <c r="G47" s="277">
        <f t="shared" si="45"/>
        <v>5654062</v>
      </c>
      <c r="H47" s="277">
        <f t="shared" si="46"/>
        <v>0</v>
      </c>
      <c r="I47" s="277">
        <f t="shared" ref="I47" si="47">+I48+I49</f>
        <v>10776489</v>
      </c>
      <c r="J47" s="277">
        <f t="shared" ref="J47" si="48">+J48+J49</f>
        <v>0</v>
      </c>
      <c r="K47" s="277">
        <f>+K48+K49</f>
        <v>29716105</v>
      </c>
      <c r="L47" s="277">
        <f t="shared" ref="L47" si="49">+L48+L49</f>
        <v>0</v>
      </c>
      <c r="M47" s="277">
        <f t="shared" ref="M47" si="50">+M48+M49</f>
        <v>43002325</v>
      </c>
      <c r="N47" s="277">
        <f t="shared" ref="N47" si="51">+N48+N49</f>
        <v>0</v>
      </c>
      <c r="O47" s="277">
        <f t="shared" ref="O47" si="52">+O48+O49</f>
        <v>70071788</v>
      </c>
      <c r="P47" s="277">
        <f t="shared" ref="P47" si="53">+P48+P49</f>
        <v>0</v>
      </c>
      <c r="Q47" s="277">
        <f t="shared" ref="Q47" si="54">+Q48+Q49</f>
        <v>154907435</v>
      </c>
      <c r="R47" s="277">
        <f t="shared" ref="R47" si="55">+R48+R49</f>
        <v>0</v>
      </c>
      <c r="S47" s="277">
        <f t="shared" si="6"/>
        <v>314276381</v>
      </c>
      <c r="T47" s="277">
        <f t="shared" si="7"/>
        <v>314276381</v>
      </c>
      <c r="U47" s="277">
        <f t="shared" si="8"/>
        <v>0</v>
      </c>
      <c r="V47" s="85"/>
      <c r="W47" s="321"/>
      <c r="X47" s="321"/>
      <c r="AA47" s="106"/>
    </row>
    <row r="48" spans="1:27" s="69" customFormat="1" ht="20.25" customHeight="1">
      <c r="A48" s="149"/>
      <c r="B48" s="186" t="s">
        <v>335</v>
      </c>
      <c r="C48" s="311">
        <v>51817</v>
      </c>
      <c r="D48" s="311">
        <v>0</v>
      </c>
      <c r="E48" s="311">
        <v>96360</v>
      </c>
      <c r="F48" s="311">
        <v>0</v>
      </c>
      <c r="G48" s="311">
        <v>5654062</v>
      </c>
      <c r="H48" s="311">
        <v>0</v>
      </c>
      <c r="I48" s="311">
        <v>10776489</v>
      </c>
      <c r="J48" s="311">
        <v>0</v>
      </c>
      <c r="K48" s="311">
        <v>14716105</v>
      </c>
      <c r="L48" s="311">
        <v>0</v>
      </c>
      <c r="M48" s="311">
        <v>29002325</v>
      </c>
      <c r="N48" s="311">
        <v>0</v>
      </c>
      <c r="O48" s="130">
        <v>51121788</v>
      </c>
      <c r="P48" s="311">
        <v>0</v>
      </c>
      <c r="Q48" s="311">
        <v>154907435</v>
      </c>
      <c r="R48" s="311">
        <v>0</v>
      </c>
      <c r="S48" s="277">
        <f>+C48+E48+G48+I48+K48+M48+O48+Q48</f>
        <v>266326381</v>
      </c>
      <c r="T48" s="277">
        <f t="shared" si="7"/>
        <v>266326381</v>
      </c>
      <c r="U48" s="277">
        <f t="shared" si="8"/>
        <v>0</v>
      </c>
      <c r="V48" s="85"/>
      <c r="W48" s="321"/>
      <c r="X48" s="321"/>
      <c r="AA48" s="106"/>
    </row>
    <row r="49" spans="1:27" s="69" customFormat="1" ht="20.25" customHeight="1">
      <c r="A49" s="172"/>
      <c r="B49" s="186" t="s">
        <v>336</v>
      </c>
      <c r="C49" s="311">
        <v>0</v>
      </c>
      <c r="D49" s="311">
        <v>0</v>
      </c>
      <c r="E49" s="311">
        <v>0</v>
      </c>
      <c r="F49" s="311">
        <v>0</v>
      </c>
      <c r="G49" s="311">
        <v>0</v>
      </c>
      <c r="H49" s="311">
        <v>0</v>
      </c>
      <c r="I49" s="311">
        <v>0</v>
      </c>
      <c r="J49" s="311">
        <v>0</v>
      </c>
      <c r="K49" s="311">
        <v>15000000</v>
      </c>
      <c r="L49" s="311">
        <v>0</v>
      </c>
      <c r="M49" s="311">
        <v>14000000</v>
      </c>
      <c r="N49" s="311">
        <v>0</v>
      </c>
      <c r="O49" s="311">
        <v>18950000</v>
      </c>
      <c r="P49" s="311">
        <v>0</v>
      </c>
      <c r="Q49" s="311">
        <v>0</v>
      </c>
      <c r="R49" s="311">
        <v>0</v>
      </c>
      <c r="S49" s="277">
        <f>+C49+E49+G49+I49+K49+M49+O49+Q49</f>
        <v>47950000</v>
      </c>
      <c r="T49" s="277">
        <f t="shared" si="7"/>
        <v>47950000</v>
      </c>
      <c r="U49" s="277">
        <f t="shared" si="8"/>
        <v>0</v>
      </c>
      <c r="V49" s="85"/>
      <c r="W49" s="321"/>
      <c r="X49" s="321"/>
      <c r="AA49" s="106"/>
    </row>
    <row r="50" spans="1:27" s="69" customFormat="1" ht="25.5">
      <c r="A50" s="172"/>
      <c r="B50" s="185" t="s">
        <v>337</v>
      </c>
      <c r="C50" s="277">
        <f>+C51+C52</f>
        <v>0</v>
      </c>
      <c r="D50" s="277">
        <f t="shared" ref="D50" si="56">+D51+D52</f>
        <v>0</v>
      </c>
      <c r="E50" s="277">
        <f t="shared" ref="E50:G50" si="57">+E51+E52</f>
        <v>0</v>
      </c>
      <c r="F50" s="277">
        <f t="shared" ref="F50:H50" si="58">+F51+F52</f>
        <v>0</v>
      </c>
      <c r="G50" s="277">
        <f t="shared" si="57"/>
        <v>0</v>
      </c>
      <c r="H50" s="277">
        <f t="shared" si="58"/>
        <v>0</v>
      </c>
      <c r="I50" s="277">
        <f t="shared" ref="I50" si="59">+I51+I52</f>
        <v>46295181</v>
      </c>
      <c r="J50" s="277">
        <f t="shared" ref="J50" si="60">+J51+J52</f>
        <v>334037</v>
      </c>
      <c r="K50" s="277">
        <f t="shared" ref="K50" si="61">+K51+K52</f>
        <v>92211902</v>
      </c>
      <c r="L50" s="277">
        <f t="shared" ref="L50" si="62">+L51+L52</f>
        <v>0</v>
      </c>
      <c r="M50" s="277">
        <f t="shared" ref="M50" si="63">+M51+M52</f>
        <v>144792749</v>
      </c>
      <c r="N50" s="277">
        <f t="shared" ref="N50" si="64">+N51+N52</f>
        <v>334037</v>
      </c>
      <c r="O50" s="277">
        <f t="shared" ref="O50" si="65">+O51+O52</f>
        <v>335998745</v>
      </c>
      <c r="P50" s="277">
        <f t="shared" ref="P50" si="66">+P51+P52</f>
        <v>668074</v>
      </c>
      <c r="Q50" s="277">
        <f t="shared" ref="Q50" si="67">+Q51+Q52</f>
        <v>1291418352</v>
      </c>
      <c r="R50" s="277">
        <f t="shared" ref="R50" si="68">+R51+R52</f>
        <v>30731399</v>
      </c>
      <c r="S50" s="277">
        <f t="shared" si="6"/>
        <v>1910716929</v>
      </c>
      <c r="T50" s="277">
        <f t="shared" si="7"/>
        <v>1878649382</v>
      </c>
      <c r="U50" s="277">
        <f t="shared" si="8"/>
        <v>32067547</v>
      </c>
      <c r="V50" s="85"/>
      <c r="W50" s="321"/>
      <c r="X50" s="321"/>
      <c r="AA50" s="106"/>
    </row>
    <row r="51" spans="1:27" s="69" customFormat="1" ht="20.25" customHeight="1">
      <c r="A51" s="172"/>
      <c r="B51" s="186" t="s">
        <v>335</v>
      </c>
      <c r="C51" s="311">
        <v>0</v>
      </c>
      <c r="D51" s="311">
        <v>0</v>
      </c>
      <c r="E51" s="311">
        <v>0</v>
      </c>
      <c r="F51" s="311">
        <v>0</v>
      </c>
      <c r="G51" s="311">
        <v>0</v>
      </c>
      <c r="H51" s="311">
        <v>0</v>
      </c>
      <c r="I51" s="311">
        <v>46295181</v>
      </c>
      <c r="J51" s="311">
        <v>334037</v>
      </c>
      <c r="K51" s="311">
        <v>92211902</v>
      </c>
      <c r="L51" s="311">
        <v>0</v>
      </c>
      <c r="M51" s="311">
        <v>144792749</v>
      </c>
      <c r="N51" s="311">
        <v>334037</v>
      </c>
      <c r="O51" s="311">
        <v>335998745</v>
      </c>
      <c r="P51" s="311">
        <v>668074</v>
      </c>
      <c r="Q51" s="311">
        <v>1291418352</v>
      </c>
      <c r="R51" s="311">
        <v>30731399</v>
      </c>
      <c r="S51" s="277">
        <f t="shared" si="6"/>
        <v>1910716929</v>
      </c>
      <c r="T51" s="277">
        <f t="shared" si="7"/>
        <v>1878649382</v>
      </c>
      <c r="U51" s="277">
        <f t="shared" si="8"/>
        <v>32067547</v>
      </c>
      <c r="V51" s="85"/>
      <c r="W51" s="321"/>
      <c r="X51" s="321"/>
      <c r="AA51" s="106"/>
    </row>
    <row r="52" spans="1:27" s="69" customFormat="1" ht="20.25" customHeight="1">
      <c r="A52" s="172"/>
      <c r="B52" s="186" t="s">
        <v>336</v>
      </c>
      <c r="C52" s="311">
        <v>0</v>
      </c>
      <c r="D52" s="311">
        <v>0</v>
      </c>
      <c r="E52" s="311">
        <v>0</v>
      </c>
      <c r="F52" s="311">
        <v>0</v>
      </c>
      <c r="G52" s="311">
        <v>0</v>
      </c>
      <c r="H52" s="311">
        <v>0</v>
      </c>
      <c r="I52" s="311">
        <v>0</v>
      </c>
      <c r="J52" s="311">
        <v>0</v>
      </c>
      <c r="K52" s="311">
        <v>0</v>
      </c>
      <c r="L52" s="311">
        <v>0</v>
      </c>
      <c r="M52" s="311">
        <v>0</v>
      </c>
      <c r="N52" s="311">
        <v>0</v>
      </c>
      <c r="O52" s="311">
        <v>0</v>
      </c>
      <c r="P52" s="311">
        <v>0</v>
      </c>
      <c r="Q52" s="311">
        <v>0</v>
      </c>
      <c r="R52" s="311">
        <v>0</v>
      </c>
      <c r="S52" s="277">
        <f t="shared" si="6"/>
        <v>0</v>
      </c>
      <c r="T52" s="277">
        <f t="shared" si="7"/>
        <v>0</v>
      </c>
      <c r="U52" s="277">
        <f t="shared" si="8"/>
        <v>0</v>
      </c>
      <c r="V52" s="85"/>
      <c r="W52" s="321"/>
      <c r="X52" s="321"/>
      <c r="AA52" s="106"/>
    </row>
    <row r="53" spans="1:27" s="69" customFormat="1" ht="20.25" customHeight="1">
      <c r="A53" s="172"/>
      <c r="B53" s="185" t="s">
        <v>338</v>
      </c>
      <c r="C53" s="277">
        <f>+C54+C55</f>
        <v>0</v>
      </c>
      <c r="D53" s="277">
        <f t="shared" ref="D53" si="69">+D54+D55</f>
        <v>0</v>
      </c>
      <c r="E53" s="277">
        <f t="shared" ref="E53:G53" si="70">+E54+E55</f>
        <v>0</v>
      </c>
      <c r="F53" s="277">
        <f t="shared" ref="F53:H53" si="71">+F54+F55</f>
        <v>0</v>
      </c>
      <c r="G53" s="277">
        <f t="shared" si="70"/>
        <v>0</v>
      </c>
      <c r="H53" s="277">
        <f t="shared" si="71"/>
        <v>0</v>
      </c>
      <c r="I53" s="277">
        <f t="shared" ref="I53" si="72">+I54+I55</f>
        <v>42040366</v>
      </c>
      <c r="J53" s="277">
        <f t="shared" ref="J53" si="73">+J54+J55</f>
        <v>42040366</v>
      </c>
      <c r="K53" s="277">
        <f t="shared" ref="K53" si="74">+K54+K55</f>
        <v>234814423</v>
      </c>
      <c r="L53" s="277">
        <f t="shared" ref="L53" si="75">+L54+L55</f>
        <v>202189784</v>
      </c>
      <c r="M53" s="277">
        <f t="shared" ref="M53" si="76">+M54+M55</f>
        <v>61069263</v>
      </c>
      <c r="N53" s="277">
        <f t="shared" ref="N53" si="77">+N54+N55</f>
        <v>28444625</v>
      </c>
      <c r="O53" s="277">
        <f t="shared" ref="O53" si="78">+O54+O55</f>
        <v>850881744</v>
      </c>
      <c r="P53" s="277">
        <f t="shared" ref="P53" si="79">+P54+P55</f>
        <v>773850007</v>
      </c>
      <c r="Q53" s="277">
        <f t="shared" ref="Q53" si="80">+Q54+Q55</f>
        <v>732821777</v>
      </c>
      <c r="R53" s="277">
        <f t="shared" ref="R53" si="81">+R54+R55</f>
        <v>459007704</v>
      </c>
      <c r="S53" s="277">
        <f t="shared" si="6"/>
        <v>1921627573</v>
      </c>
      <c r="T53" s="277">
        <f t="shared" si="7"/>
        <v>416095087</v>
      </c>
      <c r="U53" s="277">
        <f t="shared" si="8"/>
        <v>1505532486</v>
      </c>
      <c r="V53" s="85"/>
      <c r="W53" s="321"/>
      <c r="X53" s="321"/>
      <c r="AA53" s="106"/>
    </row>
    <row r="54" spans="1:27" s="69" customFormat="1" ht="20.25" customHeight="1">
      <c r="A54" s="172"/>
      <c r="B54" s="186" t="s">
        <v>335</v>
      </c>
      <c r="C54" s="311">
        <v>0</v>
      </c>
      <c r="D54" s="311">
        <v>0</v>
      </c>
      <c r="E54" s="311">
        <v>0</v>
      </c>
      <c r="F54" s="311">
        <v>0</v>
      </c>
      <c r="G54" s="311">
        <v>0</v>
      </c>
      <c r="H54" s="311">
        <v>0</v>
      </c>
      <c r="I54" s="311">
        <v>42040366</v>
      </c>
      <c r="J54" s="311">
        <v>42040366</v>
      </c>
      <c r="K54" s="311">
        <v>234814423</v>
      </c>
      <c r="L54" s="311">
        <v>202189784</v>
      </c>
      <c r="M54" s="311">
        <v>61069263</v>
      </c>
      <c r="N54" s="311">
        <v>28444625</v>
      </c>
      <c r="O54" s="311">
        <v>850881744</v>
      </c>
      <c r="P54" s="311">
        <v>773850007</v>
      </c>
      <c r="Q54" s="311">
        <v>732821777</v>
      </c>
      <c r="R54" s="311">
        <v>459007704</v>
      </c>
      <c r="S54" s="277">
        <f t="shared" si="6"/>
        <v>1921627573</v>
      </c>
      <c r="T54" s="277">
        <f t="shared" si="7"/>
        <v>416095087</v>
      </c>
      <c r="U54" s="277">
        <f t="shared" si="8"/>
        <v>1505532486</v>
      </c>
      <c r="V54" s="85"/>
      <c r="W54" s="321"/>
      <c r="X54" s="321"/>
      <c r="AA54" s="106"/>
    </row>
    <row r="55" spans="1:27" s="69" customFormat="1" ht="20.25" customHeight="1">
      <c r="A55" s="172"/>
      <c r="B55" s="186" t="s">
        <v>336</v>
      </c>
      <c r="C55" s="311">
        <v>0</v>
      </c>
      <c r="D55" s="311">
        <v>0</v>
      </c>
      <c r="E55" s="311">
        <v>0</v>
      </c>
      <c r="F55" s="311">
        <v>0</v>
      </c>
      <c r="G55" s="311">
        <v>0</v>
      </c>
      <c r="H55" s="311">
        <v>0</v>
      </c>
      <c r="I55" s="311">
        <v>0</v>
      </c>
      <c r="J55" s="311">
        <v>0</v>
      </c>
      <c r="K55" s="311">
        <v>0</v>
      </c>
      <c r="L55" s="311">
        <v>0</v>
      </c>
      <c r="M55" s="311">
        <v>0</v>
      </c>
      <c r="N55" s="311">
        <v>0</v>
      </c>
      <c r="O55" s="311">
        <v>0</v>
      </c>
      <c r="P55" s="311">
        <v>0</v>
      </c>
      <c r="Q55" s="311">
        <v>0</v>
      </c>
      <c r="R55" s="311">
        <v>0</v>
      </c>
      <c r="S55" s="277">
        <f t="shared" si="6"/>
        <v>0</v>
      </c>
      <c r="T55" s="277">
        <f t="shared" si="7"/>
        <v>0</v>
      </c>
      <c r="U55" s="277">
        <f t="shared" si="8"/>
        <v>0</v>
      </c>
      <c r="V55" s="85"/>
      <c r="W55" s="321"/>
      <c r="X55" s="321"/>
      <c r="AA55" s="106"/>
    </row>
    <row r="56" spans="1:27" s="69" customFormat="1" ht="25.5">
      <c r="A56" s="172"/>
      <c r="B56" s="185" t="s">
        <v>339</v>
      </c>
      <c r="C56" s="277">
        <f t="shared" ref="C56:M56" si="82">+C57+C58</f>
        <v>0</v>
      </c>
      <c r="D56" s="277">
        <f t="shared" si="82"/>
        <v>0</v>
      </c>
      <c r="E56" s="277">
        <f t="shared" si="82"/>
        <v>0</v>
      </c>
      <c r="F56" s="277">
        <f t="shared" si="82"/>
        <v>0</v>
      </c>
      <c r="G56" s="277">
        <f t="shared" si="82"/>
        <v>0</v>
      </c>
      <c r="H56" s="277">
        <f t="shared" si="82"/>
        <v>0</v>
      </c>
      <c r="I56" s="277">
        <f t="shared" si="82"/>
        <v>1533434</v>
      </c>
      <c r="J56" s="277">
        <f t="shared" si="82"/>
        <v>801549</v>
      </c>
      <c r="K56" s="277">
        <f t="shared" si="82"/>
        <v>645289816</v>
      </c>
      <c r="L56" s="277">
        <f t="shared" si="82"/>
        <v>620627185</v>
      </c>
      <c r="M56" s="277">
        <f t="shared" si="82"/>
        <v>2481172283</v>
      </c>
      <c r="N56" s="277">
        <f t="shared" ref="N56" si="83">+N57+N58</f>
        <v>2455655890</v>
      </c>
      <c r="O56" s="277">
        <f t="shared" ref="O56" si="84">+O57+O58</f>
        <v>712732874</v>
      </c>
      <c r="P56" s="277">
        <f t="shared" ref="P56" si="85">+P57+P58</f>
        <v>642190833</v>
      </c>
      <c r="Q56" s="277">
        <f t="shared" ref="Q56" si="86">+Q57+Q58</f>
        <v>2442834298</v>
      </c>
      <c r="R56" s="277">
        <f t="shared" ref="R56" si="87">+R57+R58</f>
        <v>976638983</v>
      </c>
      <c r="S56" s="277">
        <f t="shared" si="6"/>
        <v>6283562705</v>
      </c>
      <c r="T56" s="277">
        <f t="shared" si="7"/>
        <v>1587648265</v>
      </c>
      <c r="U56" s="277">
        <f t="shared" si="8"/>
        <v>4695914440</v>
      </c>
      <c r="V56" s="85"/>
      <c r="W56" s="321"/>
      <c r="X56" s="321"/>
      <c r="AA56" s="106"/>
    </row>
    <row r="57" spans="1:27" s="69" customFormat="1" ht="20.25" customHeight="1">
      <c r="A57" s="172"/>
      <c r="B57" s="186" t="s">
        <v>335</v>
      </c>
      <c r="C57" s="311">
        <v>0</v>
      </c>
      <c r="D57" s="311">
        <v>0</v>
      </c>
      <c r="E57" s="311">
        <v>0</v>
      </c>
      <c r="F57" s="311">
        <v>0</v>
      </c>
      <c r="G57" s="311">
        <v>0</v>
      </c>
      <c r="H57" s="311">
        <v>0</v>
      </c>
      <c r="I57" s="311">
        <v>1533434</v>
      </c>
      <c r="J57" s="311">
        <v>801549</v>
      </c>
      <c r="K57" s="311">
        <v>645289816</v>
      </c>
      <c r="L57" s="311">
        <v>620627185</v>
      </c>
      <c r="M57" s="311">
        <v>2481172283</v>
      </c>
      <c r="N57" s="311">
        <v>2455655890</v>
      </c>
      <c r="O57" s="311">
        <v>712732874</v>
      </c>
      <c r="P57" s="311">
        <v>642190833</v>
      </c>
      <c r="Q57" s="311">
        <v>2442834298</v>
      </c>
      <c r="R57" s="311">
        <v>976638983</v>
      </c>
      <c r="S57" s="277">
        <f>+C57+E57+G57+I57+K57+M57+O57+Q57</f>
        <v>6283562705</v>
      </c>
      <c r="T57" s="277">
        <f t="shared" si="7"/>
        <v>1587648265</v>
      </c>
      <c r="U57" s="277">
        <f>+D57+F57+H57+J57+L57+N57+P57+R57</f>
        <v>4695914440</v>
      </c>
      <c r="V57" s="85"/>
      <c r="W57" s="321"/>
      <c r="X57" s="321"/>
      <c r="AA57" s="106"/>
    </row>
    <row r="58" spans="1:27" s="69" customFormat="1" ht="20.25" customHeight="1">
      <c r="A58" s="172"/>
      <c r="B58" s="186" t="s">
        <v>336</v>
      </c>
      <c r="C58" s="311">
        <v>0</v>
      </c>
      <c r="D58" s="311">
        <v>0</v>
      </c>
      <c r="E58" s="311">
        <v>0</v>
      </c>
      <c r="F58" s="311">
        <v>0</v>
      </c>
      <c r="G58" s="311">
        <v>0</v>
      </c>
      <c r="H58" s="311">
        <v>0</v>
      </c>
      <c r="I58" s="311">
        <v>0</v>
      </c>
      <c r="J58" s="311">
        <v>0</v>
      </c>
      <c r="K58" s="311">
        <v>0</v>
      </c>
      <c r="L58" s="311">
        <v>0</v>
      </c>
      <c r="M58" s="311">
        <v>0</v>
      </c>
      <c r="N58" s="311">
        <v>0</v>
      </c>
      <c r="O58" s="311">
        <v>0</v>
      </c>
      <c r="P58" s="311">
        <v>0</v>
      </c>
      <c r="Q58" s="311">
        <v>0</v>
      </c>
      <c r="R58" s="311">
        <v>0</v>
      </c>
      <c r="S58" s="277">
        <f t="shared" si="6"/>
        <v>0</v>
      </c>
      <c r="T58" s="277">
        <f t="shared" si="7"/>
        <v>0</v>
      </c>
      <c r="U58" s="277">
        <f t="shared" si="8"/>
        <v>0</v>
      </c>
      <c r="V58" s="85"/>
      <c r="W58" s="65"/>
      <c r="X58" s="65"/>
      <c r="AA58" s="106"/>
    </row>
    <row r="59" spans="1:27" s="69" customFormat="1" ht="30" customHeight="1">
      <c r="A59" s="172"/>
      <c r="B59" s="326" t="s">
        <v>484</v>
      </c>
      <c r="C59" s="311"/>
      <c r="D59" s="311"/>
      <c r="E59" s="311"/>
      <c r="F59" s="311"/>
      <c r="G59" s="311"/>
      <c r="H59" s="311"/>
      <c r="I59" s="311"/>
      <c r="J59" s="311"/>
      <c r="K59" s="311"/>
      <c r="L59" s="311"/>
      <c r="M59" s="311"/>
      <c r="N59" s="311"/>
      <c r="O59" s="311"/>
      <c r="P59" s="311"/>
      <c r="Q59" s="311"/>
      <c r="R59" s="311"/>
      <c r="S59" s="277"/>
      <c r="T59" s="277"/>
      <c r="U59" s="277"/>
      <c r="V59" s="85"/>
      <c r="W59" s="321"/>
      <c r="X59" s="321"/>
      <c r="AA59" s="106"/>
    </row>
    <row r="60" spans="1:27" s="69" customFormat="1" ht="20.25" customHeight="1">
      <c r="A60" s="172"/>
      <c r="B60" s="186" t="s">
        <v>478</v>
      </c>
      <c r="C60" s="277">
        <f>'Bank Assets Analysis'!C47-'Bank Assets Analysis'!C30-'Bank Assets Analysis'!C32-'Bank Assets Analysis'!C33-'Bank Assets Analysis'!C37-'Bank Assets Analysis'!C38-'Bank Assets Analysis'!C42-'Bank Assets Analysis'!C45</f>
        <v>3073921546</v>
      </c>
      <c r="D60" s="277">
        <f>'Bank Assets Analysis'!D47-'Bank Assets Analysis'!D30-'Bank Assets Analysis'!D32-'Bank Assets Analysis'!D33-'Bank Assets Analysis'!D37-'Bank Assets Analysis'!D38-'Bank Assets Analysis'!D42-'Bank Assets Analysis'!D45</f>
        <v>2198362368</v>
      </c>
      <c r="E60" s="277">
        <f>'Bank Assets Analysis'!E47</f>
        <v>1464748366</v>
      </c>
      <c r="F60" s="277">
        <f>'Bank Assets Analysis'!F47</f>
        <v>523262019</v>
      </c>
      <c r="G60" s="277">
        <f>'Bank Assets Analysis'!G47</f>
        <v>1321358327</v>
      </c>
      <c r="H60" s="277">
        <f>'Bank Assets Analysis'!H47</f>
        <v>637372047</v>
      </c>
      <c r="I60" s="277">
        <f>'Bank Assets Analysis'!I47</f>
        <v>1915778182</v>
      </c>
      <c r="J60" s="277">
        <f>'Bank Assets Analysis'!J47</f>
        <v>1151664227</v>
      </c>
      <c r="K60" s="277">
        <f>'Bank Assets Analysis'!K47</f>
        <v>1638324229</v>
      </c>
      <c r="L60" s="277">
        <f>'Bank Assets Analysis'!L47</f>
        <v>274736488</v>
      </c>
      <c r="M60" s="277">
        <f>'Bank Assets Analysis'!M47</f>
        <v>2664146600</v>
      </c>
      <c r="N60" s="277">
        <f>'Bank Assets Analysis'!N47</f>
        <v>407205715</v>
      </c>
      <c r="O60" s="277">
        <f>'Bank Assets Analysis'!O47-'Bank Assets Analysis'!O37</f>
        <v>4124168976</v>
      </c>
      <c r="P60" s="277">
        <f>'Bank Assets Analysis'!P47-'Bank Assets Analysis'!P37</f>
        <v>691457738</v>
      </c>
      <c r="Q60" s="277">
        <f>'Bank Assets Analysis'!Q47-'Bank Assets Analysis'!Q37</f>
        <v>9806441385</v>
      </c>
      <c r="R60" s="277">
        <f>'Bank Assets Analysis'!R47-'Bank Assets Analysis'!R37</f>
        <v>1530776179</v>
      </c>
      <c r="S60" s="277"/>
      <c r="T60" s="277"/>
      <c r="U60" s="277"/>
      <c r="V60" s="85"/>
      <c r="W60" s="321"/>
      <c r="X60" s="321"/>
      <c r="AA60" s="106"/>
    </row>
    <row r="61" spans="1:27" s="69" customFormat="1" ht="20.25" customHeight="1">
      <c r="A61" s="172"/>
      <c r="B61" s="186" t="s">
        <v>479</v>
      </c>
      <c r="C61" s="277">
        <f>(+'Bank Assets Analysis'!C49-'Bank Assets Analysis'!C50)+('Bank Assets Analysis'!C51-'Bank Assets Analysis'!C52)+('Bank Assets Analysis'!C53-'Bank Assets Analysis'!C54)</f>
        <v>68122156</v>
      </c>
      <c r="D61" s="277">
        <f>(+'Bank Assets Analysis'!D49-'Bank Assets Analysis'!D50)+('Bank Assets Analysis'!D51-'Bank Assets Analysis'!D52)+('Bank Assets Analysis'!D53-'Bank Assets Analysis'!D54)</f>
        <v>1346837</v>
      </c>
      <c r="E61" s="277">
        <f>(+'Bank Assets Analysis'!E49-'Bank Assets Analysis'!E50)+('Bank Assets Analysis'!E51-'Bank Assets Analysis'!E52)+('Bank Assets Analysis'!E53-'Bank Assets Analysis'!E54)</f>
        <v>543288</v>
      </c>
      <c r="F61" s="277">
        <f>(+'Bank Assets Analysis'!F49-'Bank Assets Analysis'!F50)+('Bank Assets Analysis'!F51-'Bank Assets Analysis'!F52)+('Bank Assets Analysis'!F53-'Bank Assets Analysis'!F54)</f>
        <v>0</v>
      </c>
      <c r="G61" s="277">
        <f>(+'Bank Assets Analysis'!G49-'Bank Assets Analysis'!G50)+('Bank Assets Analysis'!G51-'Bank Assets Analysis'!G52)+('Bank Assets Analysis'!G53-'Bank Assets Analysis'!G54)</f>
        <v>462176702</v>
      </c>
      <c r="H61" s="277">
        <f>(+'Bank Assets Analysis'!H49-'Bank Assets Analysis'!H50)+('Bank Assets Analysis'!H51-'Bank Assets Analysis'!H52)+('Bank Assets Analysis'!H53-'Bank Assets Analysis'!H54)</f>
        <v>461709092</v>
      </c>
      <c r="I61" s="277">
        <f>(+'Bank Assets Analysis'!I49-'Bank Assets Analysis'!I50)+('Bank Assets Analysis'!I51-'Bank Assets Analysis'!I52)+('Bank Assets Analysis'!I53-'Bank Assets Analysis'!I54)</f>
        <v>56348899</v>
      </c>
      <c r="J61" s="277">
        <f>(+'Bank Assets Analysis'!J49-'Bank Assets Analysis'!J50)+('Bank Assets Analysis'!J51-'Bank Assets Analysis'!J52)+('Bank Assets Analysis'!J53-'Bank Assets Analysis'!J54)</f>
        <v>51849192</v>
      </c>
      <c r="K61" s="277">
        <f>(+'Bank Assets Analysis'!K49-'Bank Assets Analysis'!K50)+('Bank Assets Analysis'!K51-'Bank Assets Analysis'!K52)+('Bank Assets Analysis'!K53-'Bank Assets Analysis'!K54)</f>
        <v>24236196</v>
      </c>
      <c r="L61" s="277">
        <f>(+'Bank Assets Analysis'!L49-'Bank Assets Analysis'!L50)+('Bank Assets Analysis'!L51-'Bank Assets Analysis'!L52)+('Bank Assets Analysis'!L53-'Bank Assets Analysis'!L54)</f>
        <v>0</v>
      </c>
      <c r="M61" s="277">
        <f>(+'Bank Assets Analysis'!M49-'Bank Assets Analysis'!M50)+('Bank Assets Analysis'!M51-'Bank Assets Analysis'!M52)+('Bank Assets Analysis'!M53-'Bank Assets Analysis'!M54)</f>
        <v>466913764</v>
      </c>
      <c r="N61" s="277">
        <f>(+'Bank Assets Analysis'!N49-'Bank Assets Analysis'!N50)+('Bank Assets Analysis'!N51-'Bank Assets Analysis'!N52)+('Bank Assets Analysis'!N53-'Bank Assets Analysis'!N54)</f>
        <v>326314396</v>
      </c>
      <c r="O61" s="277">
        <f>(+'Bank Assets Analysis'!O49-'Bank Assets Analysis'!O50)+('Bank Assets Analysis'!O51-'Bank Assets Analysis'!O52)+('Bank Assets Analysis'!O53-'Bank Assets Analysis'!O54)</f>
        <v>393950642.5</v>
      </c>
      <c r="P61" s="277">
        <f>(+'Bank Assets Analysis'!P49-'Bank Assets Analysis'!P50)+('Bank Assets Analysis'!P51-'Bank Assets Analysis'!P52)+('Bank Assets Analysis'!P53-'Bank Assets Analysis'!P54)</f>
        <v>360819964</v>
      </c>
      <c r="Q61" s="277">
        <f>(+'Bank Assets Analysis'!Q49-'Bank Assets Analysis'!Q50)+('Bank Assets Analysis'!Q51-'Bank Assets Analysis'!Q52)+('Bank Assets Analysis'!Q53-'Bank Assets Analysis'!Q54)</f>
        <v>658687672.64352</v>
      </c>
      <c r="R61" s="277">
        <f>(+'Bank Assets Analysis'!R49-'Bank Assets Analysis'!R50)+('Bank Assets Analysis'!R51-'Bank Assets Analysis'!R52)+('Bank Assets Analysis'!R53-'Bank Assets Analysis'!R54)</f>
        <v>420108092.38989997</v>
      </c>
      <c r="S61" s="277"/>
      <c r="T61" s="277"/>
      <c r="U61" s="277"/>
      <c r="V61" s="85"/>
      <c r="W61" s="321"/>
      <c r="X61" s="321"/>
      <c r="AA61" s="106"/>
    </row>
    <row r="62" spans="1:27" s="69" customFormat="1" ht="20.25" customHeight="1">
      <c r="A62" s="172"/>
      <c r="B62" s="186" t="s">
        <v>480</v>
      </c>
      <c r="C62" s="277">
        <f>'Bank Liabilities Analysis'!C42</f>
        <v>1114567261</v>
      </c>
      <c r="D62" s="277">
        <f>'Bank Liabilities Analysis'!D42</f>
        <v>93005246</v>
      </c>
      <c r="E62" s="277">
        <f>'Bank Liabilities Analysis'!E42</f>
        <v>276249165</v>
      </c>
      <c r="F62" s="277">
        <f>'Bank Liabilities Analysis'!F42</f>
        <v>8877123</v>
      </c>
      <c r="G62" s="277">
        <f>'Bank Liabilities Analysis'!G42</f>
        <v>403785749</v>
      </c>
      <c r="H62" s="277">
        <f>'Bank Liabilities Analysis'!H42</f>
        <v>246576552</v>
      </c>
      <c r="I62" s="277">
        <f>'Bank Liabilities Analysis'!I42</f>
        <v>1837247814</v>
      </c>
      <c r="J62" s="277">
        <f>'Bank Liabilities Analysis'!J42</f>
        <v>109643711</v>
      </c>
      <c r="K62" s="277">
        <f>'Bank Liabilities Analysis'!K42</f>
        <v>3583563565</v>
      </c>
      <c r="L62" s="277">
        <f>'Bank Liabilities Analysis'!L42</f>
        <v>1309411115</v>
      </c>
      <c r="M62" s="277">
        <f>'Bank Liabilities Analysis'!M42</f>
        <v>5105093264</v>
      </c>
      <c r="N62" s="277">
        <f>'Bank Liabilities Analysis'!N42</f>
        <v>2742456287</v>
      </c>
      <c r="O62" s="277">
        <f>'Bank Liabilities Analysis'!O42</f>
        <v>3541750688</v>
      </c>
      <c r="P62" s="277">
        <f>'Bank Liabilities Analysis'!P42</f>
        <v>1547038916</v>
      </c>
      <c r="Q62" s="277">
        <f>'Bank Liabilities Analysis'!Q42</f>
        <v>9127318728</v>
      </c>
      <c r="R62" s="277">
        <f>'Bank Liabilities Analysis'!R42</f>
        <v>1792869186</v>
      </c>
      <c r="S62" s="277"/>
      <c r="T62" s="277"/>
      <c r="U62" s="277"/>
      <c r="V62" s="85"/>
      <c r="W62" s="321"/>
      <c r="X62" s="321"/>
      <c r="AA62" s="106"/>
    </row>
    <row r="63" spans="1:27" s="69" customFormat="1" ht="20.25" customHeight="1">
      <c r="A63" s="172"/>
      <c r="B63" s="186" t="s">
        <v>481</v>
      </c>
      <c r="C63" s="277">
        <f>+C60-C62-C61</f>
        <v>1891232129</v>
      </c>
      <c r="D63" s="277">
        <f t="shared" ref="D63:Q63" si="88">+D60-D62-D61</f>
        <v>2104010285</v>
      </c>
      <c r="E63" s="277">
        <f t="shared" si="88"/>
        <v>1187955913</v>
      </c>
      <c r="F63" s="277">
        <f t="shared" si="88"/>
        <v>514384896</v>
      </c>
      <c r="G63" s="277">
        <f t="shared" si="88"/>
        <v>455395876</v>
      </c>
      <c r="H63" s="277">
        <f t="shared" si="88"/>
        <v>-70913597</v>
      </c>
      <c r="I63" s="277">
        <f t="shared" si="88"/>
        <v>22181469</v>
      </c>
      <c r="J63" s="277">
        <f t="shared" si="88"/>
        <v>990171324</v>
      </c>
      <c r="K63" s="277">
        <f t="shared" si="88"/>
        <v>-1969475532</v>
      </c>
      <c r="L63" s="277">
        <f t="shared" si="88"/>
        <v>-1034674627</v>
      </c>
      <c r="M63" s="277">
        <f t="shared" si="88"/>
        <v>-2907860428</v>
      </c>
      <c r="N63" s="277">
        <f t="shared" si="88"/>
        <v>-2661564968</v>
      </c>
      <c r="O63" s="277">
        <f t="shared" si="88"/>
        <v>188467645.5</v>
      </c>
      <c r="P63" s="277">
        <f t="shared" si="88"/>
        <v>-1216401142</v>
      </c>
      <c r="Q63" s="277">
        <f t="shared" si="88"/>
        <v>20434984.356480002</v>
      </c>
      <c r="R63" s="277">
        <f>+R60-R62-R61</f>
        <v>-682201099.38989997</v>
      </c>
      <c r="S63" s="277"/>
      <c r="T63" s="277"/>
      <c r="U63" s="277"/>
      <c r="V63" s="85"/>
      <c r="W63" s="321"/>
      <c r="X63" s="321"/>
      <c r="AA63" s="106"/>
    </row>
    <row r="64" spans="1:27" s="69" customFormat="1" ht="20.25" customHeight="1">
      <c r="A64" s="172"/>
      <c r="B64" s="186" t="s">
        <v>482</v>
      </c>
      <c r="C64" s="277">
        <f>+C63</f>
        <v>1891232129</v>
      </c>
      <c r="D64" s="277">
        <f>+D63</f>
        <v>2104010285</v>
      </c>
      <c r="E64" s="277">
        <f>E63+C64</f>
        <v>3079188042</v>
      </c>
      <c r="F64" s="277">
        <f>+F63+D64</f>
        <v>2618395181</v>
      </c>
      <c r="G64" s="277">
        <f>G63+E64</f>
        <v>3534583918</v>
      </c>
      <c r="H64" s="277">
        <f>+H63+F64</f>
        <v>2547481584</v>
      </c>
      <c r="I64" s="277">
        <f>I63+G64</f>
        <v>3556765387</v>
      </c>
      <c r="J64" s="277">
        <f>+J63+H64</f>
        <v>3537652908</v>
      </c>
      <c r="K64" s="277">
        <f>K63+I64</f>
        <v>1587289855</v>
      </c>
      <c r="L64" s="277">
        <f>+L63+J64</f>
        <v>2502978281</v>
      </c>
      <c r="M64" s="277">
        <f>M63+K64</f>
        <v>-1320570573</v>
      </c>
      <c r="N64" s="277">
        <f>+N63+L64</f>
        <v>-158586687</v>
      </c>
      <c r="O64" s="277">
        <f>O63+M64</f>
        <v>-1132102927.5</v>
      </c>
      <c r="P64" s="277">
        <f>+P63+N64</f>
        <v>-1374987829</v>
      </c>
      <c r="Q64" s="277">
        <f t="shared" ref="Q64" si="89">Q63+O64</f>
        <v>-1111667943.1435199</v>
      </c>
      <c r="R64" s="277">
        <f>+R63+P64</f>
        <v>-2057188928.3899</v>
      </c>
      <c r="S64" s="277"/>
      <c r="T64" s="277"/>
      <c r="U64" s="277"/>
      <c r="V64" s="85"/>
      <c r="W64" s="321"/>
      <c r="X64" s="321"/>
      <c r="AA64" s="106"/>
    </row>
    <row r="65" spans="1:27"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0"/>
      <c r="Q65" s="310"/>
      <c r="R65" s="310"/>
      <c r="S65" s="310"/>
      <c r="T65" s="310"/>
      <c r="U65" s="310"/>
      <c r="V65" s="187"/>
      <c r="W65" s="66"/>
      <c r="X65" s="66"/>
      <c r="AA65" s="188"/>
    </row>
    <row r="66" spans="1:27" ht="15" customHeight="1">
      <c r="A66" s="14"/>
      <c r="B66" s="2" t="s">
        <v>446</v>
      </c>
      <c r="F66" s="70"/>
      <c r="G66" s="70"/>
      <c r="H66" s="70"/>
      <c r="I66" s="70"/>
      <c r="J66" s="70"/>
      <c r="K66" s="70"/>
      <c r="L66" s="70"/>
      <c r="M66" s="70"/>
      <c r="V66" s="14"/>
      <c r="W66" s="14"/>
      <c r="X66" s="14"/>
      <c r="AA66" s="14"/>
    </row>
    <row r="67" spans="1:27" ht="11.25" customHeight="1">
      <c r="A67" s="14"/>
      <c r="B67" s="2"/>
      <c r="F67" s="70"/>
      <c r="G67" s="70"/>
      <c r="H67" s="70"/>
      <c r="I67" s="70"/>
      <c r="J67" s="70"/>
      <c r="K67" s="70"/>
      <c r="L67" s="70"/>
      <c r="M67" s="70"/>
      <c r="V67" s="14"/>
      <c r="W67" s="14"/>
      <c r="X67" s="14"/>
      <c r="AA67" s="14"/>
    </row>
    <row r="68" spans="1:27" ht="15" customHeight="1">
      <c r="A68" s="14"/>
      <c r="B68" s="2" t="s">
        <v>445</v>
      </c>
      <c r="F68" s="70"/>
      <c r="G68" s="70"/>
      <c r="H68" s="70"/>
      <c r="I68" s="70"/>
      <c r="J68" s="70"/>
      <c r="K68" s="70"/>
      <c r="L68" s="70"/>
      <c r="M68" s="70"/>
      <c r="V68" s="14"/>
      <c r="W68" s="14"/>
      <c r="X68" s="14"/>
      <c r="AA68" s="14"/>
    </row>
    <row r="69" spans="1:27">
      <c r="V69" s="187"/>
      <c r="W69" s="66"/>
      <c r="X69" s="66"/>
    </row>
    <row r="72" spans="1:27">
      <c r="T72" s="310"/>
    </row>
    <row r="74" spans="1:27">
      <c r="T74" s="310"/>
    </row>
  </sheetData>
  <sheetProtection password="CACA" sheet="1" objects="1" scenarios="1"/>
  <mergeCells count="14">
    <mergeCell ref="T3:U4"/>
    <mergeCell ref="E4:F4"/>
    <mergeCell ref="V3:X4"/>
    <mergeCell ref="C3:R3"/>
    <mergeCell ref="C4:D4"/>
    <mergeCell ref="G4:H4"/>
    <mergeCell ref="K4:L4"/>
    <mergeCell ref="M4:N4"/>
    <mergeCell ref="Q4:R4"/>
    <mergeCell ref="A3:A5"/>
    <mergeCell ref="I4:J4"/>
    <mergeCell ref="O4:P4"/>
    <mergeCell ref="B3:B5"/>
    <mergeCell ref="S3:S5"/>
  </mergeCells>
  <phoneticPr fontId="12" type="noConversion"/>
  <conditionalFormatting sqref="C18:D18">
    <cfRule type="cellIs" dxfId="80" priority="327" operator="greaterThan">
      <formula>B18</formula>
    </cfRule>
  </conditionalFormatting>
  <conditionalFormatting sqref="C14:R14">
    <cfRule type="cellIs" dxfId="79" priority="232" operator="greaterThan">
      <formula>B14</formula>
    </cfRule>
  </conditionalFormatting>
  <conditionalFormatting sqref="D7:D8">
    <cfRule type="cellIs" dxfId="78" priority="810" operator="greaterThan">
      <formula>C7</formula>
    </cfRule>
  </conditionalFormatting>
  <conditionalFormatting sqref="D11">
    <cfRule type="cellIs" dxfId="77" priority="305" operator="greaterThan">
      <formula>C11</formula>
    </cfRule>
  </conditionalFormatting>
  <conditionalFormatting sqref="D13">
    <cfRule type="cellIs" dxfId="76" priority="592" operator="greaterThan">
      <formula>C13</formula>
    </cfRule>
  </conditionalFormatting>
  <conditionalFormatting sqref="D15:D17 J39:R39">
    <cfRule type="cellIs" dxfId="75" priority="837" operator="greaterThan">
      <formula>C15</formula>
    </cfRule>
  </conditionalFormatting>
  <conditionalFormatting sqref="D19:D28">
    <cfRule type="cellIs" dxfId="74" priority="25" operator="greaterThan">
      <formula>C19</formula>
    </cfRule>
  </conditionalFormatting>
  <conditionalFormatting sqref="D30:D40">
    <cfRule type="cellIs" dxfId="73" priority="146" operator="greaterThan">
      <formula>C30</formula>
    </cfRule>
  </conditionalFormatting>
  <conditionalFormatting sqref="D44:D58">
    <cfRule type="cellIs" dxfId="72" priority="8" operator="greaterThan">
      <formula>C44</formula>
    </cfRule>
  </conditionalFormatting>
  <conditionalFormatting sqref="E16:R18">
    <cfRule type="cellIs" dxfId="71" priority="233" operator="greaterThan">
      <formula>D16</formula>
    </cfRule>
  </conditionalFormatting>
  <conditionalFormatting sqref="E21:R21 E21:E22">
    <cfRule type="cellIs" dxfId="70" priority="79" operator="greaterThan">
      <formula>D21</formula>
    </cfRule>
  </conditionalFormatting>
  <conditionalFormatting sqref="F7">
    <cfRule type="cellIs" dxfId="69" priority="814" operator="greaterThan">
      <formula>E7</formula>
    </cfRule>
  </conditionalFormatting>
  <conditionalFormatting sqref="F13">
    <cfRule type="cellIs" dxfId="68" priority="580" operator="greaterThan">
      <formula>E13</formula>
    </cfRule>
  </conditionalFormatting>
  <conditionalFormatting sqref="F15:F17">
    <cfRule type="cellIs" dxfId="67" priority="104" operator="greaterThan">
      <formula>E15</formula>
    </cfRule>
  </conditionalFormatting>
  <conditionalFormatting sqref="F19:F41 F22:R22">
    <cfRule type="cellIs" dxfId="66" priority="78" operator="greaterThan">
      <formula>E19</formula>
    </cfRule>
  </conditionalFormatting>
  <conditionalFormatting sqref="F44:F58">
    <cfRule type="cellIs" dxfId="65" priority="1" operator="greaterThan">
      <formula>E44</formula>
    </cfRule>
  </conditionalFormatting>
  <conditionalFormatting sqref="G16:G17">
    <cfRule type="cellIs" dxfId="64" priority="102" operator="greaterThan">
      <formula>F16</formula>
    </cfRule>
  </conditionalFormatting>
  <conditionalFormatting sqref="G21:G22">
    <cfRule type="cellIs" dxfId="63" priority="77" operator="greaterThan">
      <formula>F21</formula>
    </cfRule>
  </conditionalFormatting>
  <conditionalFormatting sqref="H7">
    <cfRule type="cellIs" dxfId="62" priority="834" operator="greaterThan">
      <formula>G7</formula>
    </cfRule>
  </conditionalFormatting>
  <conditionalFormatting sqref="H13 J13 L13 N13 P13 R13">
    <cfRule type="cellIs" dxfId="61" priority="584" operator="greaterThan">
      <formula>G13</formula>
    </cfRule>
  </conditionalFormatting>
  <conditionalFormatting sqref="H15:H17">
    <cfRule type="cellIs" dxfId="60" priority="100" operator="greaterThan">
      <formula>G15</formula>
    </cfRule>
  </conditionalFormatting>
  <conditionalFormatting sqref="H19:H41">
    <cfRule type="cellIs" dxfId="59" priority="76" operator="greaterThan">
      <formula>G19</formula>
    </cfRule>
  </conditionalFormatting>
  <conditionalFormatting sqref="H44:H58">
    <cfRule type="cellIs" dxfId="58" priority="7" operator="greaterThan">
      <formula>G44</formula>
    </cfRule>
  </conditionalFormatting>
  <conditionalFormatting sqref="I16:I17">
    <cfRule type="cellIs" dxfId="57" priority="98" operator="greaterThan">
      <formula>H16</formula>
    </cfRule>
  </conditionalFormatting>
  <conditionalFormatting sqref="I21:I22">
    <cfRule type="cellIs" dxfId="56" priority="75" operator="greaterThan">
      <formula>H21</formula>
    </cfRule>
  </conditionalFormatting>
  <conditionalFormatting sqref="J7">
    <cfRule type="cellIs" dxfId="55" priority="831" operator="greaterThan">
      <formula>I7</formula>
    </cfRule>
  </conditionalFormatting>
  <conditionalFormatting sqref="J15:J17">
    <cfRule type="cellIs" dxfId="54" priority="96" operator="greaterThan">
      <formula>I15</formula>
    </cfRule>
  </conditionalFormatting>
  <conditionalFormatting sqref="J19:J41">
    <cfRule type="cellIs" dxfId="53" priority="74" operator="greaterThan">
      <formula>I19</formula>
    </cfRule>
  </conditionalFormatting>
  <conditionalFormatting sqref="J44:J58">
    <cfRule type="cellIs" dxfId="52" priority="6" operator="greaterThan">
      <formula>I44</formula>
    </cfRule>
  </conditionalFormatting>
  <conditionalFormatting sqref="K16:K17">
    <cfRule type="cellIs" dxfId="51" priority="94" operator="greaterThan">
      <formula>J16</formula>
    </cfRule>
  </conditionalFormatting>
  <conditionalFormatting sqref="K21:K22">
    <cfRule type="cellIs" dxfId="50" priority="73" operator="greaterThan">
      <formula>J21</formula>
    </cfRule>
  </conditionalFormatting>
  <conditionalFormatting sqref="L7">
    <cfRule type="cellIs" dxfId="49" priority="828" operator="greaterThan">
      <formula>K7</formula>
    </cfRule>
  </conditionalFormatting>
  <conditionalFormatting sqref="L15:L17">
    <cfRule type="cellIs" dxfId="48" priority="92" operator="greaterThan">
      <formula>K15</formula>
    </cfRule>
  </conditionalFormatting>
  <conditionalFormatting sqref="L19:L41">
    <cfRule type="cellIs" dxfId="47" priority="72" operator="greaterThan">
      <formula>K19</formula>
    </cfRule>
  </conditionalFormatting>
  <conditionalFormatting sqref="L44:L53">
    <cfRule type="cellIs" dxfId="46" priority="5" operator="greaterThan">
      <formula>K44</formula>
    </cfRule>
  </conditionalFormatting>
  <conditionalFormatting sqref="L55:L58">
    <cfRule type="cellIs" dxfId="45" priority="21" operator="greaterThan">
      <formula>K55</formula>
    </cfRule>
  </conditionalFormatting>
  <conditionalFormatting sqref="M16:M17">
    <cfRule type="cellIs" dxfId="44" priority="90" operator="greaterThan">
      <formula>L16</formula>
    </cfRule>
  </conditionalFormatting>
  <conditionalFormatting sqref="M21:M22">
    <cfRule type="cellIs" dxfId="43" priority="71" operator="greaterThan">
      <formula>L21</formula>
    </cfRule>
  </conditionalFormatting>
  <conditionalFormatting sqref="N7">
    <cfRule type="cellIs" dxfId="42" priority="825" operator="greaterThan">
      <formula>M7</formula>
    </cfRule>
  </conditionalFormatting>
  <conditionalFormatting sqref="N15:N40">
    <cfRule type="cellIs" dxfId="41" priority="70" operator="greaterThan">
      <formula>M15</formula>
    </cfRule>
  </conditionalFormatting>
  <conditionalFormatting sqref="N44:N58">
    <cfRule type="cellIs" dxfId="40" priority="4" operator="greaterThan">
      <formula>M44</formula>
    </cfRule>
  </conditionalFormatting>
  <conditionalFormatting sqref="O16:O17">
    <cfRule type="cellIs" dxfId="39" priority="86" operator="greaterThan">
      <formula>N16</formula>
    </cfRule>
  </conditionalFormatting>
  <conditionalFormatting sqref="O21:R22">
    <cfRule type="cellIs" dxfId="38" priority="68" operator="greaterThan">
      <formula>N21</formula>
    </cfRule>
  </conditionalFormatting>
  <conditionalFormatting sqref="P7">
    <cfRule type="cellIs" dxfId="37" priority="822" operator="greaterThan">
      <formula>O7</formula>
    </cfRule>
  </conditionalFormatting>
  <conditionalFormatting sqref="P15:P20">
    <cfRule type="cellIs" dxfId="36" priority="84" operator="greaterThan">
      <formula>O15</formula>
    </cfRule>
  </conditionalFormatting>
  <conditionalFormatting sqref="P23:P41">
    <cfRule type="cellIs" dxfId="35" priority="110" operator="greaterThan">
      <formula>O23</formula>
    </cfRule>
  </conditionalFormatting>
  <conditionalFormatting sqref="P44:P58">
    <cfRule type="cellIs" dxfId="34" priority="3" operator="greaterThan">
      <formula>O44</formula>
    </cfRule>
  </conditionalFormatting>
  <conditionalFormatting sqref="Q16:Q17">
    <cfRule type="cellIs" dxfId="33" priority="82" operator="greaterThan">
      <formula>P16</formula>
    </cfRule>
  </conditionalFormatting>
  <conditionalFormatting sqref="R7">
    <cfRule type="cellIs" dxfId="32" priority="819" operator="greaterThan">
      <formula>Q7</formula>
    </cfRule>
  </conditionalFormatting>
  <conditionalFormatting sqref="R15:R20">
    <cfRule type="cellIs" dxfId="31" priority="80" operator="greaterThan">
      <formula>Q15</formula>
    </cfRule>
  </conditionalFormatting>
  <conditionalFormatting sqref="R23:R41">
    <cfRule type="cellIs" dxfId="30" priority="106" operator="greaterThan">
      <formula>Q23</formula>
    </cfRule>
  </conditionalFormatting>
  <conditionalFormatting sqref="R44">
    <cfRule type="cellIs" dxfId="29" priority="817" operator="greaterThan">
      <formula>Q44</formula>
    </cfRule>
  </conditionalFormatting>
  <conditionalFormatting sqref="R46:R53">
    <cfRule type="cellIs" dxfId="28" priority="2" operator="greaterThan">
      <formula>Q46</formula>
    </cfRule>
  </conditionalFormatting>
  <conditionalFormatting sqref="R55:R58">
    <cfRule type="cellIs" dxfId="27" priority="18" operator="greaterThan">
      <formula>Q55</formula>
    </cfRule>
  </conditionalFormatting>
  <conditionalFormatting sqref="S20:U20">
    <cfRule type="cellIs" dxfId="26" priority="521" operator="notEqual">
      <formula>Y20</formula>
    </cfRule>
  </conditionalFormatting>
  <conditionalFormatting sqref="S42:U42">
    <cfRule type="cellIs" dxfId="25" priority="27" operator="notEqual">
      <formula>Y42</formula>
    </cfRule>
  </conditionalFormatting>
  <conditionalFormatting sqref="Y42">
    <cfRule type="cellIs" dxfId="24" priority="811" operator="notEqual">
      <formula>$S$42</formula>
    </cfRule>
  </conditionalFormatting>
  <conditionalFormatting sqref="Z42">
    <cfRule type="cellIs" dxfId="23" priority="838" operator="notEqual">
      <formula>$T$42</formula>
    </cfRule>
  </conditionalFormatting>
  <conditionalFormatting sqref="AA42">
    <cfRule type="cellIs" dxfId="22" priority="812" operator="notEqual">
      <formula>$U$42</formula>
    </cfRule>
  </conditionalFormatting>
  <dataValidations count="4">
    <dataValidation type="whole" operator="notEqual" allowBlank="1" showErrorMessage="1" error="Введите как целое число." sqref="C21:R41 C8:R11 C15:R19 C43:R59" xr:uid="{00000000-0002-0000-0400-000000000000}">
      <formula1>-1E+28</formula1>
    </dataValidation>
    <dataValidation allowBlank="1" showErrorMessage="1" prompt="Введите самостоятельно рассчитанный коэффициент" sqref="C5:R5 T5:U5" xr:uid="{00000000-0002-0000-0400-000001000000}"/>
    <dataValidation type="whole" operator="greaterThanOrEqual" allowBlank="1" showErrorMessage="1" error="Введите как целое положительное число." sqref="C12:R14 C7:R7" xr:uid="{00000000-0002-0000-0400-000002000000}">
      <formula1>0</formula1>
    </dataValidation>
    <dataValidation type="date" operator="greaterThan" allowBlank="1" showInputMessage="1" showErrorMessage="1" prompt="Введите дату в формате ЧЧ.ММ.ГГГГ" sqref="V2" xr:uid="{00000000-0002-0000-0400-000003000000}">
      <formula1>DATE(96,1,1)</formula1>
    </dataValidation>
  </dataValidations>
  <printOptions horizontalCentered="1"/>
  <pageMargins left="0.15748031496062992" right="0.15748031496062992" top="0.22" bottom="0.15748031496062992" header="0.17" footer="0.39370078740157483"/>
  <pageSetup paperSize="9" scale="31" orientation="landscape" r:id="rId1"/>
  <headerFooter alignWithMargins="0"/>
  <ignoredErrors>
    <ignoredError sqref="S65:X65 C43:D44 C47:D47 C56:D56 C20:D20 C33:R33 C53:D53 C50:D50 C15:D15" unlockedFormula="1"/>
    <ignoredError sqref="S15:X15 S23:X23 S16:X19 S27:X29 S26:V26 S32:X32 S31:V31 E43:X44 E47:X47 S45:X45 E56:X56 S54:X54 T12:X14 S36:X37 E20:U20 V42 S33:U33 S12:S14 E24:U24 S30:U30 X26 S55:X55 W31:X31 E53:X53 S51:X51 S41:V41 S58:X58 S57:X57 S46:X46 E50:X50 S48:X49 S52:X52 S21:V21 E15:R15 S38:U38" formula="1" unlockedFormula="1"/>
    <ignoredError sqref="W30:X30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29">
    <pageSetUpPr fitToPage="1"/>
  </sheetPr>
  <dimension ref="A2:AA63"/>
  <sheetViews>
    <sheetView view="pageBreakPreview" zoomScale="80" zoomScaleNormal="70" zoomScaleSheetLayoutView="80" workbookViewId="0">
      <pane xSplit="2" ySplit="6" topLeftCell="C7" activePane="bottomRight" state="frozen"/>
      <selection activeCell="C5" sqref="C5"/>
      <selection pane="topRight" activeCell="C5" sqref="C5"/>
      <selection pane="bottomLeft" activeCell="C5" sqref="C5"/>
      <selection pane="bottomRight" activeCell="C5" sqref="C5:C6"/>
    </sheetView>
  </sheetViews>
  <sheetFormatPr defaultRowHeight="12.75"/>
  <cols>
    <col min="1" max="1" width="6.42578125" style="84" customWidth="1"/>
    <col min="2" max="2" width="80.42578125" style="60" customWidth="1"/>
    <col min="3" max="10" width="22.140625" style="60" customWidth="1"/>
    <col min="11" max="11" width="20.28515625" style="60" customWidth="1"/>
    <col min="12" max="12" width="18.5703125" style="63" customWidth="1"/>
    <col min="13" max="13" width="18.5703125" style="62" customWidth="1"/>
    <col min="14" max="14" width="17.28515625" style="60" bestFit="1" customWidth="1"/>
    <col min="15" max="16" width="15.140625" style="60" customWidth="1"/>
    <col min="17" max="16384" width="9.140625" style="60"/>
  </cols>
  <sheetData>
    <row r="2" spans="1:27" s="44" customFormat="1" ht="26.25" customHeight="1">
      <c r="A2" s="41" t="s">
        <v>340</v>
      </c>
      <c r="B2" s="42"/>
      <c r="C2" s="42"/>
      <c r="D2" s="43"/>
      <c r="E2" s="43"/>
      <c r="F2" s="43"/>
      <c r="G2" s="43"/>
      <c r="H2" s="43"/>
      <c r="I2" s="43"/>
      <c r="L2" s="351" t="s">
        <v>463</v>
      </c>
      <c r="M2" s="351"/>
    </row>
    <row r="3" spans="1:27" ht="15.75">
      <c r="A3" s="83"/>
      <c r="B3" s="82" t="str">
        <f>Balance!B3</f>
        <v>"MKBANK"</v>
      </c>
      <c r="C3" s="20"/>
      <c r="D3" s="59"/>
      <c r="E3" s="59"/>
      <c r="F3" s="59"/>
      <c r="G3" s="59"/>
      <c r="H3" s="59"/>
      <c r="I3" s="59"/>
      <c r="J3" s="33"/>
      <c r="K3" s="262">
        <f>+Balance!D3</f>
        <v>46021</v>
      </c>
      <c r="L3" s="60"/>
      <c r="M3" s="60" t="str">
        <f>+Balance!E3</f>
        <v>минг сўмда</v>
      </c>
    </row>
    <row r="4" spans="1:27" s="13" customFormat="1" ht="23.25" customHeight="1">
      <c r="A4" s="357" t="s">
        <v>8</v>
      </c>
      <c r="B4" s="357" t="s">
        <v>243</v>
      </c>
      <c r="C4" s="354" t="s">
        <v>244</v>
      </c>
      <c r="D4" s="355"/>
      <c r="E4" s="355"/>
      <c r="F4" s="355"/>
      <c r="G4" s="355"/>
      <c r="H4" s="355"/>
      <c r="I4" s="355"/>
      <c r="J4" s="356"/>
      <c r="K4" s="357" t="s">
        <v>86</v>
      </c>
      <c r="L4" s="360" t="s">
        <v>246</v>
      </c>
      <c r="M4" s="361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</row>
    <row r="5" spans="1:27" s="13" customFormat="1" ht="27.75" customHeight="1">
      <c r="A5" s="364"/>
      <c r="B5" s="364"/>
      <c r="C5" s="357" t="s">
        <v>247</v>
      </c>
      <c r="D5" s="357" t="s">
        <v>248</v>
      </c>
      <c r="E5" s="357" t="s">
        <v>249</v>
      </c>
      <c r="F5" s="357" t="s">
        <v>250</v>
      </c>
      <c r="G5" s="357" t="s">
        <v>251</v>
      </c>
      <c r="H5" s="357" t="s">
        <v>252</v>
      </c>
      <c r="I5" s="357" t="s">
        <v>253</v>
      </c>
      <c r="J5" s="357" t="s">
        <v>254</v>
      </c>
      <c r="K5" s="364"/>
      <c r="L5" s="362"/>
      <c r="M5" s="363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</row>
    <row r="6" spans="1:27" s="13" customFormat="1" ht="34.5" customHeight="1">
      <c r="A6" s="358"/>
      <c r="B6" s="358"/>
      <c r="C6" s="358"/>
      <c r="D6" s="358"/>
      <c r="E6" s="358"/>
      <c r="F6" s="358"/>
      <c r="G6" s="358"/>
      <c r="H6" s="358"/>
      <c r="I6" s="358"/>
      <c r="J6" s="358"/>
      <c r="K6" s="358"/>
      <c r="L6" s="260" t="s">
        <v>6</v>
      </c>
      <c r="M6" s="260" t="s">
        <v>219</v>
      </c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 spans="1:27" s="57" customFormat="1" ht="20.25" customHeight="1">
      <c r="A7" s="165" t="s">
        <v>9</v>
      </c>
      <c r="B7" s="166" t="s">
        <v>313</v>
      </c>
      <c r="C7" s="277"/>
      <c r="D7" s="277"/>
      <c r="E7" s="277"/>
      <c r="F7" s="277"/>
      <c r="G7" s="277"/>
      <c r="H7" s="277"/>
      <c r="I7" s="277"/>
      <c r="J7" s="277"/>
      <c r="K7" s="277"/>
      <c r="L7" s="54"/>
      <c r="M7" s="55"/>
      <c r="N7" s="13"/>
      <c r="O7" s="56"/>
      <c r="P7" s="56"/>
    </row>
    <row r="8" spans="1:27" s="57" customFormat="1" ht="25.5" customHeight="1">
      <c r="A8" s="165" t="s">
        <v>20</v>
      </c>
      <c r="B8" s="166" t="s">
        <v>314</v>
      </c>
      <c r="C8" s="276">
        <f>SUM(C9:C12)</f>
        <v>534414070</v>
      </c>
      <c r="D8" s="276">
        <f t="shared" ref="D8:J8" si="0">SUM(D9:D12)</f>
        <v>0</v>
      </c>
      <c r="E8" s="276">
        <f t="shared" si="0"/>
        <v>0</v>
      </c>
      <c r="F8" s="276">
        <f t="shared" si="0"/>
        <v>0</v>
      </c>
      <c r="G8" s="276">
        <f t="shared" si="0"/>
        <v>0</v>
      </c>
      <c r="H8" s="276">
        <f t="shared" si="0"/>
        <v>0</v>
      </c>
      <c r="I8" s="276">
        <f t="shared" si="0"/>
        <v>0</v>
      </c>
      <c r="J8" s="276">
        <f t="shared" si="0"/>
        <v>0</v>
      </c>
      <c r="K8" s="276">
        <f t="shared" ref="K8:K42" si="1">+C8+D8+E8+F8+G8+H8+I8+J8</f>
        <v>534414070</v>
      </c>
      <c r="L8" s="54"/>
      <c r="M8" s="55"/>
      <c r="N8" s="13"/>
      <c r="O8" s="56"/>
      <c r="P8" s="56"/>
    </row>
    <row r="9" spans="1:27" s="57" customFormat="1" ht="25.5" customHeight="1">
      <c r="A9" s="165" t="s">
        <v>54</v>
      </c>
      <c r="B9" s="166" t="s">
        <v>315</v>
      </c>
      <c r="C9" s="276">
        <f>+'Bank Liabilities Analysis'!C8-'Bank Liabilities Analysis'!D8</f>
        <v>7866145</v>
      </c>
      <c r="D9" s="276">
        <f>+'Bank Liabilities Analysis'!E8-'Bank Liabilities Analysis'!F8</f>
        <v>0</v>
      </c>
      <c r="E9" s="276">
        <f>+'Bank Liabilities Analysis'!G8-'Bank Liabilities Analysis'!H8</f>
        <v>0</v>
      </c>
      <c r="F9" s="276">
        <f>+'Bank Liabilities Analysis'!I8-'Bank Liabilities Analysis'!J8</f>
        <v>0</v>
      </c>
      <c r="G9" s="276">
        <f>+'Bank Liabilities Analysis'!K8-'Bank Liabilities Analysis'!L8</f>
        <v>0</v>
      </c>
      <c r="H9" s="276">
        <f>+'Bank Liabilities Analysis'!M8-'Bank Liabilities Analysis'!N8</f>
        <v>0</v>
      </c>
      <c r="I9" s="276">
        <f>+'Bank Liabilities Analysis'!O8-'Bank Liabilities Analysis'!P8</f>
        <v>0</v>
      </c>
      <c r="J9" s="276">
        <f>+'Bank Liabilities Analysis'!Q8-'Bank Liabilities Analysis'!R8</f>
        <v>0</v>
      </c>
      <c r="K9" s="276">
        <f t="shared" si="1"/>
        <v>7866145</v>
      </c>
      <c r="L9" s="54"/>
      <c r="M9" s="55"/>
      <c r="N9" s="13"/>
      <c r="O9" s="56"/>
      <c r="P9" s="56"/>
    </row>
    <row r="10" spans="1:27" s="57" customFormat="1" ht="25.5" customHeight="1">
      <c r="A10" s="165" t="s">
        <v>55</v>
      </c>
      <c r="B10" s="166" t="s">
        <v>316</v>
      </c>
      <c r="C10" s="276">
        <f>+'Bank Liabilities Analysis'!C9-'Bank Liabilities Analysis'!D9</f>
        <v>0</v>
      </c>
      <c r="D10" s="276">
        <f>+'Bank Liabilities Analysis'!E9-'Bank Liabilities Analysis'!F9</f>
        <v>0</v>
      </c>
      <c r="E10" s="276">
        <f>+'Bank Liabilities Analysis'!G9-'Bank Liabilities Analysis'!H9</f>
        <v>0</v>
      </c>
      <c r="F10" s="276">
        <f>+'Bank Liabilities Analysis'!I9-'Bank Liabilities Analysis'!J9</f>
        <v>0</v>
      </c>
      <c r="G10" s="276">
        <f>+'Bank Liabilities Analysis'!K9-'Bank Liabilities Analysis'!L9</f>
        <v>0</v>
      </c>
      <c r="H10" s="276">
        <f>+'Bank Liabilities Analysis'!M9-'Bank Liabilities Analysis'!N9</f>
        <v>0</v>
      </c>
      <c r="I10" s="276">
        <f>+'Bank Liabilities Analysis'!O9-'Bank Liabilities Analysis'!P9</f>
        <v>0</v>
      </c>
      <c r="J10" s="276">
        <f>+'Bank Liabilities Analysis'!Q9-'Bank Liabilities Analysis'!R9</f>
        <v>0</v>
      </c>
      <c r="K10" s="276">
        <f t="shared" si="1"/>
        <v>0</v>
      </c>
      <c r="L10" s="54"/>
      <c r="M10" s="55"/>
      <c r="N10" s="13"/>
      <c r="O10" s="56"/>
      <c r="P10" s="56"/>
    </row>
    <row r="11" spans="1:27" s="57" customFormat="1" ht="33.75" customHeight="1">
      <c r="A11" s="165" t="s">
        <v>56</v>
      </c>
      <c r="B11" s="166" t="s">
        <v>317</v>
      </c>
      <c r="C11" s="276">
        <f>+'Bank Liabilities Analysis'!C10-'Bank Liabilities Analysis'!D10</f>
        <v>0</v>
      </c>
      <c r="D11" s="276">
        <f>+'Bank Liabilities Analysis'!E10-'Bank Liabilities Analysis'!F10</f>
        <v>0</v>
      </c>
      <c r="E11" s="276">
        <f>+'Bank Liabilities Analysis'!G10-'Bank Liabilities Analysis'!H10</f>
        <v>0</v>
      </c>
      <c r="F11" s="276">
        <f>+'Bank Liabilities Analysis'!I10-'Bank Liabilities Analysis'!J10</f>
        <v>0</v>
      </c>
      <c r="G11" s="276">
        <f>+'Bank Liabilities Analysis'!K10-'Bank Liabilities Analysis'!L10</f>
        <v>0</v>
      </c>
      <c r="H11" s="276">
        <f>+'Bank Liabilities Analysis'!M10-'Bank Liabilities Analysis'!N10</f>
        <v>0</v>
      </c>
      <c r="I11" s="276">
        <f>+'Bank Liabilities Analysis'!O10-'Bank Liabilities Analysis'!P10</f>
        <v>0</v>
      </c>
      <c r="J11" s="276">
        <f>+'Bank Liabilities Analysis'!Q10-'Bank Liabilities Analysis'!R10</f>
        <v>0</v>
      </c>
      <c r="K11" s="276">
        <f t="shared" si="1"/>
        <v>0</v>
      </c>
      <c r="L11" s="54"/>
      <c r="M11" s="55"/>
      <c r="N11" s="13"/>
      <c r="O11" s="56"/>
      <c r="P11" s="56"/>
    </row>
    <row r="12" spans="1:27" s="57" customFormat="1" ht="25.5" customHeight="1">
      <c r="A12" s="165" t="s">
        <v>57</v>
      </c>
      <c r="B12" s="166" t="s">
        <v>318</v>
      </c>
      <c r="C12" s="276">
        <f>+'Bank Liabilities Analysis'!C11-'Bank Liabilities Analysis'!D11</f>
        <v>526547925</v>
      </c>
      <c r="D12" s="276">
        <f>+'Bank Liabilities Analysis'!E11-'Bank Liabilities Analysis'!F11</f>
        <v>0</v>
      </c>
      <c r="E12" s="276">
        <f>+'Bank Liabilities Analysis'!G11-'Bank Liabilities Analysis'!H11</f>
        <v>0</v>
      </c>
      <c r="F12" s="276">
        <f>+'Bank Liabilities Analysis'!I11-'Bank Liabilities Analysis'!J11</f>
        <v>0</v>
      </c>
      <c r="G12" s="276">
        <f>+'Bank Liabilities Analysis'!K11-'Bank Liabilities Analysis'!L11</f>
        <v>0</v>
      </c>
      <c r="H12" s="276">
        <f>+'Bank Liabilities Analysis'!M11-'Bank Liabilities Analysis'!N11</f>
        <v>0</v>
      </c>
      <c r="I12" s="276">
        <f>+'Bank Liabilities Analysis'!O11-'Bank Liabilities Analysis'!P11</f>
        <v>0</v>
      </c>
      <c r="J12" s="276">
        <f>+'Bank Liabilities Analysis'!Q11-'Bank Liabilities Analysis'!R11</f>
        <v>0</v>
      </c>
      <c r="K12" s="276">
        <f t="shared" si="1"/>
        <v>526547925</v>
      </c>
      <c r="L12" s="54"/>
      <c r="M12" s="55"/>
      <c r="N12" s="13"/>
      <c r="O12" s="56"/>
      <c r="P12" s="56"/>
    </row>
    <row r="13" spans="1:27" s="57" customFormat="1" ht="25.5" customHeight="1">
      <c r="A13" s="165" t="s">
        <v>21</v>
      </c>
      <c r="B13" s="166" t="s">
        <v>142</v>
      </c>
      <c r="C13" s="276">
        <f>+'Bank Liabilities Analysis'!C12-'Bank Liabilities Analysis'!D12</f>
        <v>13507097</v>
      </c>
      <c r="D13" s="276">
        <f>+'Bank Liabilities Analysis'!E12-'Bank Liabilities Analysis'!F12</f>
        <v>238212391</v>
      </c>
      <c r="E13" s="276">
        <f>+'Bank Liabilities Analysis'!G12-'Bank Liabilities Analysis'!H12</f>
        <v>132243992</v>
      </c>
      <c r="F13" s="276">
        <f>+'Bank Liabilities Analysis'!I12-'Bank Liabilities Analysis'!J12</f>
        <v>774085587</v>
      </c>
      <c r="G13" s="276">
        <f>+'Bank Liabilities Analysis'!K12-'Bank Liabilities Analysis'!L12</f>
        <v>1658201213</v>
      </c>
      <c r="H13" s="276">
        <f>+'Bank Liabilities Analysis'!M12-'Bank Liabilities Analysis'!N12</f>
        <v>1881373057</v>
      </c>
      <c r="I13" s="276">
        <f>+'Bank Liabilities Analysis'!O12-'Bank Liabilities Analysis'!P12</f>
        <v>1116211365</v>
      </c>
      <c r="J13" s="276">
        <f>+'Bank Liabilities Analysis'!Q12-'Bank Liabilities Analysis'!R12</f>
        <v>2241267778</v>
      </c>
      <c r="K13" s="276">
        <f t="shared" si="1"/>
        <v>8055102480</v>
      </c>
      <c r="L13" s="54"/>
      <c r="M13" s="55"/>
      <c r="N13" s="13"/>
      <c r="O13" s="56"/>
      <c r="P13" s="56"/>
    </row>
    <row r="14" spans="1:27" s="57" customFormat="1" ht="25.5" customHeight="1">
      <c r="A14" s="165" t="s">
        <v>65</v>
      </c>
      <c r="B14" s="166" t="s">
        <v>319</v>
      </c>
      <c r="C14" s="276">
        <f>+'Bank Liabilities Analysis'!C13-'Bank Liabilities Analysis'!D13</f>
        <v>11578322</v>
      </c>
      <c r="D14" s="276">
        <f>+'Bank Liabilities Analysis'!E13-'Bank Liabilities Analysis'!F13</f>
        <v>7405261</v>
      </c>
      <c r="E14" s="276">
        <f>+'Bank Liabilities Analysis'!G13-'Bank Liabilities Analysis'!H13</f>
        <v>29723296</v>
      </c>
      <c r="F14" s="276">
        <f>+'Bank Liabilities Analysis'!I13-'Bank Liabilities Analysis'!J13</f>
        <v>456902096</v>
      </c>
      <c r="G14" s="276">
        <f>+'Bank Liabilities Analysis'!K13-'Bank Liabilities Analysis'!L13</f>
        <v>581016454</v>
      </c>
      <c r="H14" s="276">
        <f>+'Bank Liabilities Analysis'!M13-'Bank Liabilities Analysis'!N13</f>
        <v>765903579</v>
      </c>
      <c r="I14" s="276">
        <f>+'Bank Liabilities Analysis'!O13-'Bank Liabilities Analysis'!P13</f>
        <v>740027964</v>
      </c>
      <c r="J14" s="276">
        <f>+'Bank Liabilities Analysis'!Q13-'Bank Liabilities Analysis'!R13</f>
        <v>83305899</v>
      </c>
      <c r="K14" s="276">
        <f t="shared" si="1"/>
        <v>2675862871</v>
      </c>
      <c r="L14" s="54"/>
      <c r="M14" s="55"/>
      <c r="N14" s="13"/>
      <c r="O14" s="56"/>
      <c r="P14" s="56"/>
    </row>
    <row r="15" spans="1:27" s="57" customFormat="1" ht="25.5" customHeight="1">
      <c r="A15" s="165" t="s">
        <v>66</v>
      </c>
      <c r="B15" s="166" t="s">
        <v>320</v>
      </c>
      <c r="C15" s="276">
        <f>+'Bank Liabilities Analysis'!C14-'Bank Liabilities Analysis'!D14</f>
        <v>0</v>
      </c>
      <c r="D15" s="276">
        <f>+'Bank Liabilities Analysis'!E14-'Bank Liabilities Analysis'!F14</f>
        <v>0</v>
      </c>
      <c r="E15" s="276">
        <f>+'Bank Liabilities Analysis'!G14-'Bank Liabilities Analysis'!H14</f>
        <v>0</v>
      </c>
      <c r="F15" s="276">
        <f>+'Bank Liabilities Analysis'!I14-'Bank Liabilities Analysis'!J14</f>
        <v>0</v>
      </c>
      <c r="G15" s="276">
        <f>+'Bank Liabilities Analysis'!K14-'Bank Liabilities Analysis'!L14</f>
        <v>0</v>
      </c>
      <c r="H15" s="276">
        <f>+'Bank Liabilities Analysis'!M14-'Bank Liabilities Analysis'!N14</f>
        <v>0</v>
      </c>
      <c r="I15" s="276">
        <f>+'Bank Liabilities Analysis'!O14-'Bank Liabilities Analysis'!P14</f>
        <v>0</v>
      </c>
      <c r="J15" s="276">
        <f>+'Bank Liabilities Analysis'!Q14-'Bank Liabilities Analysis'!R14</f>
        <v>0</v>
      </c>
      <c r="K15" s="276">
        <f t="shared" si="1"/>
        <v>0</v>
      </c>
      <c r="L15" s="54"/>
      <c r="M15" s="55"/>
      <c r="N15" s="13"/>
      <c r="O15" s="56"/>
      <c r="P15" s="56"/>
    </row>
    <row r="16" spans="1:27" s="57" customFormat="1" ht="25.5" customHeight="1">
      <c r="A16" s="165" t="s">
        <v>22</v>
      </c>
      <c r="B16" s="166" t="s">
        <v>321</v>
      </c>
      <c r="C16" s="276">
        <f t="shared" ref="C16:J16" si="2">SUM(C17:C20)</f>
        <v>315143328</v>
      </c>
      <c r="D16" s="276">
        <f t="shared" si="2"/>
        <v>0</v>
      </c>
      <c r="E16" s="276">
        <f t="shared" si="2"/>
        <v>0</v>
      </c>
      <c r="F16" s="276">
        <f t="shared" si="2"/>
        <v>0</v>
      </c>
      <c r="G16" s="276">
        <f t="shared" si="2"/>
        <v>0</v>
      </c>
      <c r="H16" s="276">
        <f t="shared" si="2"/>
        <v>0</v>
      </c>
      <c r="I16" s="276">
        <f t="shared" si="2"/>
        <v>0</v>
      </c>
      <c r="J16" s="276">
        <f t="shared" si="2"/>
        <v>0</v>
      </c>
      <c r="K16" s="276">
        <f t="shared" si="1"/>
        <v>315143328</v>
      </c>
      <c r="L16" s="54"/>
      <c r="M16" s="55"/>
      <c r="N16" s="13"/>
      <c r="O16" s="56"/>
      <c r="P16" s="56"/>
    </row>
    <row r="17" spans="1:16" s="57" customFormat="1" ht="25.5" customHeight="1">
      <c r="A17" s="165" t="s">
        <v>58</v>
      </c>
      <c r="B17" s="166" t="s">
        <v>322</v>
      </c>
      <c r="C17" s="276">
        <f>+'Bank Liabilities Analysis'!C16-'Bank Liabilities Analysis'!D16</f>
        <v>294536501</v>
      </c>
      <c r="D17" s="276">
        <f>+'Bank Liabilities Analysis'!E16-'Bank Liabilities Analysis'!F16</f>
        <v>0</v>
      </c>
      <c r="E17" s="276">
        <f>+'Bank Liabilities Analysis'!G16-'Bank Liabilities Analysis'!H16</f>
        <v>0</v>
      </c>
      <c r="F17" s="276">
        <f>+'Bank Liabilities Analysis'!I16-'Bank Liabilities Analysis'!J16</f>
        <v>0</v>
      </c>
      <c r="G17" s="276">
        <f>+'Bank Liabilities Analysis'!K16-'Bank Liabilities Analysis'!L16</f>
        <v>0</v>
      </c>
      <c r="H17" s="276">
        <f>+'Bank Liabilities Analysis'!M16-'Bank Liabilities Analysis'!N16</f>
        <v>0</v>
      </c>
      <c r="I17" s="276">
        <f>+'Bank Liabilities Analysis'!O16-'Bank Liabilities Analysis'!P16</f>
        <v>0</v>
      </c>
      <c r="J17" s="276">
        <f>+'Bank Liabilities Analysis'!Q16-'Bank Liabilities Analysis'!R16</f>
        <v>0</v>
      </c>
      <c r="K17" s="276">
        <f t="shared" si="1"/>
        <v>294536501</v>
      </c>
      <c r="L17" s="54"/>
      <c r="M17" s="55"/>
      <c r="N17" s="13"/>
      <c r="O17" s="56"/>
      <c r="P17" s="56"/>
    </row>
    <row r="18" spans="1:16" s="57" customFormat="1" ht="25.5" customHeight="1">
      <c r="A18" s="165" t="s">
        <v>59</v>
      </c>
      <c r="B18" s="166" t="s">
        <v>323</v>
      </c>
      <c r="C18" s="276">
        <f>+'Bank Liabilities Analysis'!C17-'Bank Liabilities Analysis'!D17</f>
        <v>6791421</v>
      </c>
      <c r="D18" s="276">
        <f>+'Bank Liabilities Analysis'!E17-'Bank Liabilities Analysis'!F17</f>
        <v>0</v>
      </c>
      <c r="E18" s="276">
        <f>+'Bank Liabilities Analysis'!G17-'Bank Liabilities Analysis'!H17</f>
        <v>0</v>
      </c>
      <c r="F18" s="276">
        <f>+'Bank Liabilities Analysis'!I17-'Bank Liabilities Analysis'!J17</f>
        <v>0</v>
      </c>
      <c r="G18" s="276">
        <f>+'Bank Liabilities Analysis'!K17-'Bank Liabilities Analysis'!L17</f>
        <v>0</v>
      </c>
      <c r="H18" s="276">
        <f>+'Bank Liabilities Analysis'!M17-'Bank Liabilities Analysis'!N17</f>
        <v>0</v>
      </c>
      <c r="I18" s="276">
        <f>+'Bank Liabilities Analysis'!O17-'Bank Liabilities Analysis'!P17</f>
        <v>0</v>
      </c>
      <c r="J18" s="276">
        <f>+'Bank Liabilities Analysis'!Q17-'Bank Liabilities Analysis'!R17</f>
        <v>0</v>
      </c>
      <c r="K18" s="276">
        <f t="shared" si="1"/>
        <v>6791421</v>
      </c>
      <c r="L18" s="54"/>
      <c r="M18" s="55"/>
      <c r="N18" s="13"/>
      <c r="O18" s="56"/>
      <c r="P18" s="56"/>
    </row>
    <row r="19" spans="1:16" s="57" customFormat="1" ht="25.5" customHeight="1">
      <c r="A19" s="165" t="s">
        <v>60</v>
      </c>
      <c r="B19" s="166" t="s">
        <v>324</v>
      </c>
      <c r="C19" s="276">
        <f>+'Bank Liabilities Analysis'!C18-'Bank Liabilities Analysis'!D18</f>
        <v>0</v>
      </c>
      <c r="D19" s="276">
        <f>+'Bank Liabilities Analysis'!E18-'Bank Liabilities Analysis'!F18</f>
        <v>0</v>
      </c>
      <c r="E19" s="276">
        <f>+'Bank Liabilities Analysis'!G18-'Bank Liabilities Analysis'!H18</f>
        <v>0</v>
      </c>
      <c r="F19" s="276">
        <f>+'Bank Liabilities Analysis'!I18-'Bank Liabilities Analysis'!J18</f>
        <v>0</v>
      </c>
      <c r="G19" s="276">
        <f>+'Bank Liabilities Analysis'!K18-'Bank Liabilities Analysis'!L18</f>
        <v>0</v>
      </c>
      <c r="H19" s="276">
        <f>+'Bank Liabilities Analysis'!M18-'Bank Liabilities Analysis'!N18</f>
        <v>0</v>
      </c>
      <c r="I19" s="276">
        <f>+'Bank Liabilities Analysis'!O18-'Bank Liabilities Analysis'!P18</f>
        <v>0</v>
      </c>
      <c r="J19" s="276">
        <f>+'Bank Liabilities Analysis'!Q18-'Bank Liabilities Analysis'!R18</f>
        <v>0</v>
      </c>
      <c r="K19" s="276">
        <f t="shared" si="1"/>
        <v>0</v>
      </c>
      <c r="L19" s="54"/>
      <c r="M19" s="55"/>
      <c r="N19" s="13"/>
      <c r="O19" s="56"/>
      <c r="P19" s="56"/>
    </row>
    <row r="20" spans="1:16" s="57" customFormat="1" ht="25.5" customHeight="1">
      <c r="A20" s="165" t="s">
        <v>61</v>
      </c>
      <c r="B20" s="166" t="s">
        <v>278</v>
      </c>
      <c r="C20" s="276">
        <f>+'Bank Liabilities Analysis'!C19-'Bank Liabilities Analysis'!D19</f>
        <v>13815406</v>
      </c>
      <c r="D20" s="276">
        <f>+'Bank Liabilities Analysis'!E19-'Bank Liabilities Analysis'!F19</f>
        <v>0</v>
      </c>
      <c r="E20" s="276">
        <f>+'Bank Liabilities Analysis'!G19-'Bank Liabilities Analysis'!H19</f>
        <v>0</v>
      </c>
      <c r="F20" s="276">
        <f>+'Bank Liabilities Analysis'!I19-'Bank Liabilities Analysis'!J19</f>
        <v>0</v>
      </c>
      <c r="G20" s="276">
        <f>+'Bank Liabilities Analysis'!K19-'Bank Liabilities Analysis'!L19</f>
        <v>0</v>
      </c>
      <c r="H20" s="276">
        <f>+'Bank Liabilities Analysis'!M19-'Bank Liabilities Analysis'!N19</f>
        <v>0</v>
      </c>
      <c r="I20" s="276">
        <f>+'Bank Liabilities Analysis'!O19-'Bank Liabilities Analysis'!P19</f>
        <v>0</v>
      </c>
      <c r="J20" s="276">
        <f>+'Bank Liabilities Analysis'!Q19-'Bank Liabilities Analysis'!R19</f>
        <v>0</v>
      </c>
      <c r="K20" s="276">
        <f t="shared" si="1"/>
        <v>13815406</v>
      </c>
      <c r="L20" s="54"/>
      <c r="M20" s="55"/>
      <c r="N20" s="13"/>
      <c r="O20" s="56"/>
      <c r="P20" s="56"/>
    </row>
    <row r="21" spans="1:16" s="57" customFormat="1" ht="25.5" customHeight="1">
      <c r="A21" s="165" t="s">
        <v>23</v>
      </c>
      <c r="B21" s="166" t="s">
        <v>325</v>
      </c>
      <c r="C21" s="276">
        <f t="shared" ref="C21:J21" si="3">+C8+C13+C16</f>
        <v>863064495</v>
      </c>
      <c r="D21" s="276">
        <f t="shared" si="3"/>
        <v>238212391</v>
      </c>
      <c r="E21" s="276">
        <f t="shared" si="3"/>
        <v>132243992</v>
      </c>
      <c r="F21" s="276">
        <f t="shared" si="3"/>
        <v>774085587</v>
      </c>
      <c r="G21" s="276">
        <f t="shared" si="3"/>
        <v>1658201213</v>
      </c>
      <c r="H21" s="276">
        <f t="shared" si="3"/>
        <v>1881373057</v>
      </c>
      <c r="I21" s="276">
        <f t="shared" si="3"/>
        <v>1116211365</v>
      </c>
      <c r="J21" s="276">
        <f t="shared" si="3"/>
        <v>2241267778</v>
      </c>
      <c r="K21" s="276">
        <f t="shared" si="1"/>
        <v>8904659878</v>
      </c>
      <c r="L21" s="54">
        <v>0.15</v>
      </c>
      <c r="M21" s="55">
        <f>+K21*L21</f>
        <v>1335698981.7</v>
      </c>
      <c r="N21" s="13"/>
      <c r="O21" s="56"/>
      <c r="P21" s="56"/>
    </row>
    <row r="22" spans="1:16" s="57" customFormat="1" ht="25.5" customHeight="1">
      <c r="A22" s="165" t="s">
        <v>11</v>
      </c>
      <c r="B22" s="166" t="s">
        <v>144</v>
      </c>
      <c r="C22" s="276">
        <f>+'Bank Liabilities Analysis'!C21-'Bank Liabilities Analysis'!D21</f>
        <v>442535</v>
      </c>
      <c r="D22" s="276">
        <f>+'Bank Liabilities Analysis'!E21-'Bank Liabilities Analysis'!F21</f>
        <v>0</v>
      </c>
      <c r="E22" s="276">
        <f>+'Bank Liabilities Analysis'!G21-'Bank Liabilities Analysis'!H21</f>
        <v>0</v>
      </c>
      <c r="F22" s="276">
        <f>+'Bank Liabilities Analysis'!I21-'Bank Liabilities Analysis'!J21</f>
        <v>0</v>
      </c>
      <c r="G22" s="276">
        <f>+'Bank Liabilities Analysis'!K21-'Bank Liabilities Analysis'!L21</f>
        <v>0</v>
      </c>
      <c r="H22" s="276">
        <f>+'Bank Liabilities Analysis'!M21-'Bank Liabilities Analysis'!N21</f>
        <v>0</v>
      </c>
      <c r="I22" s="276">
        <f>+'Bank Liabilities Analysis'!O21-'Bank Liabilities Analysis'!P21</f>
        <v>0</v>
      </c>
      <c r="J22" s="276">
        <f>+'Bank Liabilities Analysis'!Q21-'Bank Liabilities Analysis'!R21</f>
        <v>0</v>
      </c>
      <c r="K22" s="276">
        <f t="shared" si="1"/>
        <v>442535</v>
      </c>
      <c r="L22" s="54">
        <v>1</v>
      </c>
      <c r="M22" s="55">
        <f>(C22+D22+E22-C23-D23-E23)*L22</f>
        <v>0</v>
      </c>
      <c r="N22" s="13"/>
      <c r="O22" s="56"/>
      <c r="P22" s="56"/>
    </row>
    <row r="23" spans="1:16" s="57" customFormat="1" ht="36.75" customHeight="1">
      <c r="A23" s="165" t="s">
        <v>30</v>
      </c>
      <c r="B23" s="166" t="s">
        <v>450</v>
      </c>
      <c r="C23" s="276">
        <f>+'Bank Liabilities Analysis'!C22-'Bank Liabilities Analysis'!D22</f>
        <v>442535</v>
      </c>
      <c r="D23" s="276">
        <f>+'Bank Liabilities Analysis'!E22-'Bank Liabilities Analysis'!F22</f>
        <v>0</v>
      </c>
      <c r="E23" s="276">
        <f>+'Bank Liabilities Analysis'!G22-'Bank Liabilities Analysis'!H22</f>
        <v>0</v>
      </c>
      <c r="F23" s="276">
        <f>+'Bank Liabilities Analysis'!I22-'Bank Liabilities Analysis'!J22</f>
        <v>0</v>
      </c>
      <c r="G23" s="276">
        <f>+'Bank Liabilities Analysis'!K22-'Bank Liabilities Analysis'!L22</f>
        <v>0</v>
      </c>
      <c r="H23" s="276">
        <f>+'Bank Liabilities Analysis'!M22-'Bank Liabilities Analysis'!N22</f>
        <v>0</v>
      </c>
      <c r="I23" s="276">
        <f>+'Bank Liabilities Analysis'!O22-'Bank Liabilities Analysis'!P22</f>
        <v>0</v>
      </c>
      <c r="J23" s="276">
        <f>+'Bank Liabilities Analysis'!Q22-'Bank Liabilities Analysis'!R22</f>
        <v>0</v>
      </c>
      <c r="K23" s="276">
        <f t="shared" ref="K23" si="4">+C23+D23+E23+F23+G23+H23+I23+J23</f>
        <v>442535</v>
      </c>
      <c r="L23" s="54"/>
      <c r="M23" s="77"/>
      <c r="N23" s="13"/>
      <c r="O23" s="56"/>
      <c r="P23" s="56"/>
    </row>
    <row r="24" spans="1:16" s="57" customFormat="1" ht="30">
      <c r="A24" s="165" t="s">
        <v>12</v>
      </c>
      <c r="B24" s="166" t="s">
        <v>326</v>
      </c>
      <c r="C24" s="276">
        <f>SUM(C25:C29)-C26</f>
        <v>32535</v>
      </c>
      <c r="D24" s="276">
        <f t="shared" ref="D24:J24" si="5">SUM(D25:D29)-D26</f>
        <v>2600000</v>
      </c>
      <c r="E24" s="276">
        <f t="shared" si="5"/>
        <v>0</v>
      </c>
      <c r="F24" s="276">
        <f t="shared" si="5"/>
        <v>703020867</v>
      </c>
      <c r="G24" s="276">
        <f t="shared" si="5"/>
        <v>192593350</v>
      </c>
      <c r="H24" s="276">
        <f t="shared" si="5"/>
        <v>41548733</v>
      </c>
      <c r="I24" s="276">
        <f t="shared" si="5"/>
        <v>133430362</v>
      </c>
      <c r="J24" s="276">
        <f t="shared" si="5"/>
        <v>477517649</v>
      </c>
      <c r="K24" s="276">
        <f t="shared" si="1"/>
        <v>1550743496</v>
      </c>
      <c r="L24" s="54"/>
      <c r="M24" s="55"/>
      <c r="N24" s="13"/>
      <c r="O24" s="56"/>
      <c r="P24" s="56"/>
    </row>
    <row r="25" spans="1:16" s="57" customFormat="1" ht="30">
      <c r="A25" s="165" t="s">
        <v>27</v>
      </c>
      <c r="B25" s="166" t="s">
        <v>327</v>
      </c>
      <c r="C25" s="276">
        <f>+'Bank Liabilities Analysis'!C24-'Bank Liabilities Analysis'!D24</f>
        <v>0</v>
      </c>
      <c r="D25" s="276">
        <f>+'Bank Liabilities Analysis'!E24-'Bank Liabilities Analysis'!F24</f>
        <v>0</v>
      </c>
      <c r="E25" s="276">
        <f>+'Bank Liabilities Analysis'!G24-'Bank Liabilities Analysis'!H24</f>
        <v>0</v>
      </c>
      <c r="F25" s="276">
        <f>+'Bank Liabilities Analysis'!I24-'Bank Liabilities Analysis'!J24</f>
        <v>0</v>
      </c>
      <c r="G25" s="276">
        <f>+'Bank Liabilities Analysis'!K24-'Bank Liabilities Analysis'!L24</f>
        <v>0</v>
      </c>
      <c r="H25" s="276">
        <f>+'Bank Liabilities Analysis'!M24-'Bank Liabilities Analysis'!N24</f>
        <v>0</v>
      </c>
      <c r="I25" s="276">
        <f>+'Bank Liabilities Analysis'!O24-'Bank Liabilities Analysis'!P24</f>
        <v>0</v>
      </c>
      <c r="J25" s="276">
        <f>+'Bank Liabilities Analysis'!Q24-'Bank Liabilities Analysis'!R24</f>
        <v>0</v>
      </c>
      <c r="K25" s="276">
        <f t="shared" ref="K25" si="6">+C25+D25+E25+F25+G25+H25+I25+J25</f>
        <v>0</v>
      </c>
      <c r="L25" s="54">
        <v>1</v>
      </c>
      <c r="M25" s="77">
        <f>C25*L25</f>
        <v>0</v>
      </c>
      <c r="N25" s="13"/>
      <c r="O25" s="56"/>
      <c r="P25" s="56"/>
    </row>
    <row r="26" spans="1:16" s="57" customFormat="1" ht="34.5" customHeight="1">
      <c r="A26" s="165" t="s">
        <v>461</v>
      </c>
      <c r="B26" s="166" t="s">
        <v>462</v>
      </c>
      <c r="C26" s="276">
        <f>+'Bank Liabilities Analysis'!C25-'Bank Liabilities Analysis'!D25</f>
        <v>0</v>
      </c>
      <c r="D26" s="276">
        <f>+'Bank Liabilities Analysis'!E25-'Bank Liabilities Analysis'!F25</f>
        <v>0</v>
      </c>
      <c r="E26" s="276">
        <f>+'Bank Liabilities Analysis'!G25-'Bank Liabilities Analysis'!H25</f>
        <v>0</v>
      </c>
      <c r="F26" s="276">
        <f>+'Bank Liabilities Analysis'!I25-'Bank Liabilities Analysis'!J25</f>
        <v>0</v>
      </c>
      <c r="G26" s="276">
        <f>+'Bank Liabilities Analysis'!K25-'Bank Liabilities Analysis'!L25</f>
        <v>0</v>
      </c>
      <c r="H26" s="276">
        <f>+'Bank Liabilities Analysis'!M25-'Bank Liabilities Analysis'!N25</f>
        <v>0</v>
      </c>
      <c r="I26" s="276">
        <f>+'Bank Liabilities Analysis'!O25-'Bank Liabilities Analysis'!P25</f>
        <v>0</v>
      </c>
      <c r="J26" s="276">
        <f>+'Bank Liabilities Analysis'!Q25-'Bank Liabilities Analysis'!R25</f>
        <v>0</v>
      </c>
      <c r="K26" s="276">
        <f t="shared" ref="K26" si="7">+C26+D26+E26+F26+G26+H26+I26+J26</f>
        <v>0</v>
      </c>
      <c r="L26" s="54"/>
      <c r="M26" s="55"/>
      <c r="N26" s="13"/>
      <c r="O26" s="56"/>
      <c r="P26" s="56"/>
    </row>
    <row r="27" spans="1:16" s="57" customFormat="1" ht="25.5" customHeight="1">
      <c r="A27" s="165" t="s">
        <v>28</v>
      </c>
      <c r="B27" s="166" t="s">
        <v>328</v>
      </c>
      <c r="C27" s="276">
        <f>+'Bank Liabilities Analysis'!C26-'Bank Liabilities Analysis'!D26</f>
        <v>0</v>
      </c>
      <c r="D27" s="276">
        <f>+'Bank Liabilities Analysis'!E26-'Bank Liabilities Analysis'!F26</f>
        <v>2600000</v>
      </c>
      <c r="E27" s="276">
        <f>+'Bank Liabilities Analysis'!G26-'Bank Liabilities Analysis'!H26</f>
        <v>0</v>
      </c>
      <c r="F27" s="276">
        <f>+'Bank Liabilities Analysis'!I26-'Bank Liabilities Analysis'!J26</f>
        <v>703020867</v>
      </c>
      <c r="G27" s="276">
        <f>+'Bank Liabilities Analysis'!K26-'Bank Liabilities Analysis'!L26</f>
        <v>192593350</v>
      </c>
      <c r="H27" s="276">
        <f>+'Bank Liabilities Analysis'!M26-'Bank Liabilities Analysis'!N26</f>
        <v>41548733</v>
      </c>
      <c r="I27" s="276">
        <f>+'Bank Liabilities Analysis'!O26-'Bank Liabilities Analysis'!P26</f>
        <v>133430362</v>
      </c>
      <c r="J27" s="276">
        <f>+'Bank Liabilities Analysis'!Q26-'Bank Liabilities Analysis'!R26</f>
        <v>477517649</v>
      </c>
      <c r="K27" s="276">
        <f t="shared" si="1"/>
        <v>1550710961</v>
      </c>
      <c r="L27" s="54">
        <v>1</v>
      </c>
      <c r="M27" s="77">
        <f>(C27+D27+E27)*L27</f>
        <v>2600000</v>
      </c>
      <c r="N27" s="13"/>
      <c r="O27" s="56"/>
      <c r="P27" s="56"/>
    </row>
    <row r="28" spans="1:16" s="57" customFormat="1" ht="33.75" customHeight="1">
      <c r="A28" s="165" t="s">
        <v>0</v>
      </c>
      <c r="B28" s="166" t="s">
        <v>405</v>
      </c>
      <c r="C28" s="276">
        <f>+'Bank Liabilities Analysis'!C27-'Bank Liabilities Analysis'!D27</f>
        <v>32535</v>
      </c>
      <c r="D28" s="276">
        <f>+'Bank Liabilities Analysis'!E27-'Bank Liabilities Analysis'!F27</f>
        <v>0</v>
      </c>
      <c r="E28" s="276">
        <f>+'Bank Liabilities Analysis'!G27-'Bank Liabilities Analysis'!H27</f>
        <v>0</v>
      </c>
      <c r="F28" s="276">
        <f>+'Bank Liabilities Analysis'!I27-'Bank Liabilities Analysis'!J27</f>
        <v>0</v>
      </c>
      <c r="G28" s="276">
        <f>+'Bank Liabilities Analysis'!K27-'Bank Liabilities Analysis'!L27</f>
        <v>0</v>
      </c>
      <c r="H28" s="276">
        <f>+'Bank Liabilities Analysis'!M27-'Bank Liabilities Analysis'!N27</f>
        <v>0</v>
      </c>
      <c r="I28" s="276">
        <f>+'Bank Liabilities Analysis'!O27-'Bank Liabilities Analysis'!P27</f>
        <v>0</v>
      </c>
      <c r="J28" s="276">
        <f>+'Bank Liabilities Analysis'!Q27-'Bank Liabilities Analysis'!R27</f>
        <v>0</v>
      </c>
      <c r="K28" s="276">
        <f t="shared" si="1"/>
        <v>32535</v>
      </c>
      <c r="L28" s="54">
        <v>1</v>
      </c>
      <c r="M28" s="77">
        <f>(C28+D28+E28)*L28</f>
        <v>32535</v>
      </c>
      <c r="N28" s="13"/>
      <c r="O28" s="56"/>
      <c r="P28" s="56"/>
    </row>
    <row r="29" spans="1:16" s="57" customFormat="1" ht="25.5" customHeight="1">
      <c r="A29" s="165" t="s">
        <v>62</v>
      </c>
      <c r="B29" s="166" t="s">
        <v>329</v>
      </c>
      <c r="C29" s="276">
        <f>+'Bank Liabilities Analysis'!C28-'Bank Liabilities Analysis'!D28</f>
        <v>0</v>
      </c>
      <c r="D29" s="276">
        <f>+'Bank Liabilities Analysis'!E28-'Bank Liabilities Analysis'!F28</f>
        <v>0</v>
      </c>
      <c r="E29" s="276">
        <f>+'Bank Liabilities Analysis'!G28-'Bank Liabilities Analysis'!H28</f>
        <v>0</v>
      </c>
      <c r="F29" s="276">
        <f>+'Bank Liabilities Analysis'!I28-'Bank Liabilities Analysis'!J28</f>
        <v>0</v>
      </c>
      <c r="G29" s="276">
        <f>+'Bank Liabilities Analysis'!K28-'Bank Liabilities Analysis'!L28</f>
        <v>0</v>
      </c>
      <c r="H29" s="276">
        <f>+'Bank Liabilities Analysis'!M28-'Bank Liabilities Analysis'!N28</f>
        <v>0</v>
      </c>
      <c r="I29" s="276">
        <f>+'Bank Liabilities Analysis'!O28-'Bank Liabilities Analysis'!P28</f>
        <v>0</v>
      </c>
      <c r="J29" s="276">
        <f>+'Bank Liabilities Analysis'!Q28-'Bank Liabilities Analysis'!R28</f>
        <v>0</v>
      </c>
      <c r="K29" s="276">
        <f t="shared" si="1"/>
        <v>0</v>
      </c>
      <c r="L29" s="54">
        <v>1</v>
      </c>
      <c r="M29" s="77">
        <f>(C29+D29+E29)*L29</f>
        <v>0</v>
      </c>
      <c r="N29" s="13"/>
      <c r="O29" s="56"/>
      <c r="P29" s="56"/>
    </row>
    <row r="30" spans="1:16" s="57" customFormat="1" ht="33.75" customHeight="1">
      <c r="A30" s="165" t="s">
        <v>13</v>
      </c>
      <c r="B30" s="166" t="s">
        <v>330</v>
      </c>
      <c r="C30" s="276">
        <f>+'Bank Liabilities Analysis'!C29-'Bank Liabilities Analysis'!D29</f>
        <v>0</v>
      </c>
      <c r="D30" s="276">
        <f>+'Bank Liabilities Analysis'!E29-'Bank Liabilities Analysis'!F29</f>
        <v>0</v>
      </c>
      <c r="E30" s="276">
        <f>+'Bank Liabilities Analysis'!G29-'Bank Liabilities Analysis'!H29</f>
        <v>0</v>
      </c>
      <c r="F30" s="276">
        <f>+'Bank Liabilities Analysis'!I29-'Bank Liabilities Analysis'!J29</f>
        <v>0</v>
      </c>
      <c r="G30" s="276">
        <f>+'Bank Liabilities Analysis'!K29-'Bank Liabilities Analysis'!L29</f>
        <v>0</v>
      </c>
      <c r="H30" s="276">
        <f>+'Bank Liabilities Analysis'!M29-'Bank Liabilities Analysis'!N29</f>
        <v>0</v>
      </c>
      <c r="I30" s="276">
        <f>+'Bank Liabilities Analysis'!O29-'Bank Liabilities Analysis'!P29</f>
        <v>0</v>
      </c>
      <c r="J30" s="276">
        <f>+'Bank Liabilities Analysis'!Q29-'Bank Liabilities Analysis'!R29</f>
        <v>0</v>
      </c>
      <c r="K30" s="276">
        <f t="shared" si="1"/>
        <v>0</v>
      </c>
      <c r="L30" s="54">
        <v>1</v>
      </c>
      <c r="M30" s="55">
        <f>(C30+D30+E30)*L30</f>
        <v>0</v>
      </c>
      <c r="N30" s="13"/>
      <c r="O30" s="56"/>
      <c r="P30" s="56"/>
    </row>
    <row r="31" spans="1:16" s="57" customFormat="1" ht="32.25" customHeight="1">
      <c r="A31" s="165" t="s">
        <v>14</v>
      </c>
      <c r="B31" s="166" t="s">
        <v>331</v>
      </c>
      <c r="C31" s="276">
        <f>+'Bank Liabilities Analysis'!C30-'Bank Liabilities Analysis'!D30</f>
        <v>2359851</v>
      </c>
      <c r="D31" s="276">
        <f>+'Bank Liabilities Analysis'!E30-'Bank Liabilities Analysis'!F30</f>
        <v>3209054</v>
      </c>
      <c r="E31" s="276">
        <f>+'Bank Liabilities Analysis'!G30-'Bank Liabilities Analysis'!H30</f>
        <v>15104805</v>
      </c>
      <c r="F31" s="276">
        <f>+'Bank Liabilities Analysis'!I30-'Bank Liabilities Analysis'!J30</f>
        <v>158195354</v>
      </c>
      <c r="G31" s="276">
        <f>+'Bank Liabilities Analysis'!K30-'Bank Liabilities Analysis'!L30</f>
        <v>406275378</v>
      </c>
      <c r="H31" s="276">
        <f>+'Bank Liabilities Analysis'!M30-'Bank Liabilities Analysis'!N30</f>
        <v>439715187</v>
      </c>
      <c r="I31" s="276">
        <f>+'Bank Liabilities Analysis'!O30-'Bank Liabilities Analysis'!P30</f>
        <v>734788589</v>
      </c>
      <c r="J31" s="276">
        <f>+'Bank Liabilities Analysis'!Q30-'Bank Liabilities Analysis'!R30</f>
        <v>3912605881</v>
      </c>
      <c r="K31" s="276">
        <f t="shared" si="1"/>
        <v>5672254099</v>
      </c>
      <c r="L31" s="54">
        <v>0.05</v>
      </c>
      <c r="M31" s="55">
        <f>+K31*L31</f>
        <v>283612704.94999999</v>
      </c>
      <c r="N31" s="13"/>
      <c r="O31" s="56"/>
      <c r="P31" s="56"/>
    </row>
    <row r="32" spans="1:16" s="57" customFormat="1" ht="25.5" customHeight="1">
      <c r="A32" s="165" t="s">
        <v>15</v>
      </c>
      <c r="B32" s="166" t="s">
        <v>152</v>
      </c>
      <c r="C32" s="276">
        <f>+'Bank Liabilities Analysis'!C31-'Bank Liabilities Analysis'!D31</f>
        <v>0</v>
      </c>
      <c r="D32" s="276">
        <f>+'Bank Liabilities Analysis'!E31-'Bank Liabilities Analysis'!F31</f>
        <v>0</v>
      </c>
      <c r="E32" s="276">
        <f>+'Bank Liabilities Analysis'!G31-'Bank Liabilities Analysis'!H31</f>
        <v>0</v>
      </c>
      <c r="F32" s="276">
        <f>+'Bank Liabilities Analysis'!I31-'Bank Liabilities Analysis'!J31</f>
        <v>0</v>
      </c>
      <c r="G32" s="276">
        <f>+'Bank Liabilities Analysis'!K31-'Bank Liabilities Analysis'!L31</f>
        <v>0</v>
      </c>
      <c r="H32" s="276">
        <f>+'Bank Liabilities Analysis'!M31-'Bank Liabilities Analysis'!N31</f>
        <v>0</v>
      </c>
      <c r="I32" s="276">
        <f>+'Bank Liabilities Analysis'!O31-'Bank Liabilities Analysis'!P31</f>
        <v>0</v>
      </c>
      <c r="J32" s="276">
        <f>+'Bank Liabilities Analysis'!Q31-'Bank Liabilities Analysis'!R31</f>
        <v>0</v>
      </c>
      <c r="K32" s="276">
        <f t="shared" si="1"/>
        <v>0</v>
      </c>
      <c r="L32" s="54">
        <v>1</v>
      </c>
      <c r="M32" s="55">
        <f>(C32+D32+E32)*L32</f>
        <v>0</v>
      </c>
      <c r="N32" s="13"/>
      <c r="O32" s="56"/>
      <c r="P32" s="56"/>
    </row>
    <row r="33" spans="1:16" s="57" customFormat="1" ht="25.5" customHeight="1">
      <c r="A33" s="165" t="s">
        <v>16</v>
      </c>
      <c r="B33" s="166" t="s">
        <v>154</v>
      </c>
      <c r="C33" s="276">
        <f>+'Bank Liabilities Analysis'!C32-'Bank Liabilities Analysis'!D32</f>
        <v>0</v>
      </c>
      <c r="D33" s="276">
        <f>+'Bank Liabilities Analysis'!E32-'Bank Liabilities Analysis'!F32</f>
        <v>0</v>
      </c>
      <c r="E33" s="276">
        <f>+'Bank Liabilities Analysis'!G32-'Bank Liabilities Analysis'!H32</f>
        <v>0</v>
      </c>
      <c r="F33" s="276">
        <f>+'Bank Liabilities Analysis'!I32-'Bank Liabilities Analysis'!J32</f>
        <v>0</v>
      </c>
      <c r="G33" s="276">
        <f>+'Bank Liabilities Analysis'!K32-'Bank Liabilities Analysis'!L32</f>
        <v>0</v>
      </c>
      <c r="H33" s="276">
        <f>+'Bank Liabilities Analysis'!M32-'Bank Liabilities Analysis'!N32</f>
        <v>0</v>
      </c>
      <c r="I33" s="276">
        <f>+'Bank Liabilities Analysis'!O32-'Bank Liabilities Analysis'!P32</f>
        <v>0</v>
      </c>
      <c r="J33" s="276">
        <f>+'Bank Liabilities Analysis'!Q32-'Bank Liabilities Analysis'!R32</f>
        <v>703058234</v>
      </c>
      <c r="K33" s="276">
        <f t="shared" si="1"/>
        <v>703058234</v>
      </c>
      <c r="L33" s="54">
        <v>1</v>
      </c>
      <c r="M33" s="55">
        <f>(C33+D33+E33)*L33</f>
        <v>0</v>
      </c>
      <c r="N33" s="13"/>
      <c r="O33" s="56"/>
      <c r="P33" s="56"/>
    </row>
    <row r="34" spans="1:16" s="57" customFormat="1" ht="25.5" customHeight="1">
      <c r="A34" s="165" t="s">
        <v>17</v>
      </c>
      <c r="B34" s="166" t="s">
        <v>148</v>
      </c>
      <c r="C34" s="276">
        <f>+'Bank Liabilities Analysis'!C33-'Bank Liabilities Analysis'!D33</f>
        <v>0</v>
      </c>
      <c r="D34" s="276">
        <f>+'Bank Liabilities Analysis'!E33-'Bank Liabilities Analysis'!F33</f>
        <v>0</v>
      </c>
      <c r="E34" s="276">
        <f>+'Bank Liabilities Analysis'!G33-'Bank Liabilities Analysis'!H33</f>
        <v>0</v>
      </c>
      <c r="F34" s="276">
        <f>+'Bank Liabilities Analysis'!I33-'Bank Liabilities Analysis'!J33</f>
        <v>0</v>
      </c>
      <c r="G34" s="276">
        <f>+'Bank Liabilities Analysis'!K33-'Bank Liabilities Analysis'!L33</f>
        <v>0</v>
      </c>
      <c r="H34" s="276">
        <f>+'Bank Liabilities Analysis'!M33-'Bank Liabilities Analysis'!N33</f>
        <v>0</v>
      </c>
      <c r="I34" s="276">
        <f>+'Bank Liabilities Analysis'!O33-'Bank Liabilities Analysis'!P33</f>
        <v>0</v>
      </c>
      <c r="J34" s="276">
        <f>+'Bank Liabilities Analysis'!Q33-'Bank Liabilities Analysis'!R33</f>
        <v>0</v>
      </c>
      <c r="K34" s="276">
        <f t="shared" si="1"/>
        <v>0</v>
      </c>
      <c r="L34" s="54"/>
      <c r="M34" s="55"/>
      <c r="N34" s="13"/>
      <c r="O34" s="56"/>
      <c r="P34" s="56"/>
    </row>
    <row r="35" spans="1:16" s="57" customFormat="1" ht="33.75" customHeight="1">
      <c r="A35" s="165" t="s">
        <v>109</v>
      </c>
      <c r="B35" s="166" t="s">
        <v>455</v>
      </c>
      <c r="C35" s="276">
        <f>+'Bank Liabilities Analysis'!C34-'Bank Liabilities Analysis'!D34</f>
        <v>0</v>
      </c>
      <c r="D35" s="276">
        <f>+'Bank Liabilities Analysis'!E34-'Bank Liabilities Analysis'!F34</f>
        <v>0</v>
      </c>
      <c r="E35" s="276">
        <f>+'Bank Liabilities Analysis'!G34-'Bank Liabilities Analysis'!H34</f>
        <v>0</v>
      </c>
      <c r="F35" s="276">
        <f>+'Bank Liabilities Analysis'!I34-'Bank Liabilities Analysis'!J34</f>
        <v>0</v>
      </c>
      <c r="G35" s="276">
        <f>+'Bank Liabilities Analysis'!K34-'Bank Liabilities Analysis'!L34</f>
        <v>0</v>
      </c>
      <c r="H35" s="276">
        <f>+'Bank Liabilities Analysis'!M34-'Bank Liabilities Analysis'!N34</f>
        <v>0</v>
      </c>
      <c r="I35" s="276">
        <f>+'Bank Liabilities Analysis'!O34-'Bank Liabilities Analysis'!P34</f>
        <v>0</v>
      </c>
      <c r="J35" s="276">
        <f>+'Bank Liabilities Analysis'!Q34-'Bank Liabilities Analysis'!R34</f>
        <v>0</v>
      </c>
      <c r="K35" s="276">
        <f t="shared" ref="K35:K36" si="8">+C35+D35+E35+F35+G35+H35+I35+J35</f>
        <v>0</v>
      </c>
      <c r="L35" s="54">
        <v>1</v>
      </c>
      <c r="M35" s="55">
        <f t="shared" ref="M35:M36" si="9">(C35+D35+E35)*L35</f>
        <v>0</v>
      </c>
      <c r="N35" s="13"/>
      <c r="O35" s="56"/>
      <c r="P35" s="56"/>
    </row>
    <row r="36" spans="1:16" s="57" customFormat="1" ht="33.75" customHeight="1">
      <c r="A36" s="165" t="s">
        <v>111</v>
      </c>
      <c r="B36" s="166" t="s">
        <v>456</v>
      </c>
      <c r="C36" s="276">
        <f>+'Bank Liabilities Analysis'!C35-'Bank Liabilities Analysis'!D35</f>
        <v>0</v>
      </c>
      <c r="D36" s="276">
        <f>+'Bank Liabilities Analysis'!E35-'Bank Liabilities Analysis'!F35</f>
        <v>0</v>
      </c>
      <c r="E36" s="276">
        <f>+'Bank Liabilities Analysis'!G35-'Bank Liabilities Analysis'!H35</f>
        <v>0</v>
      </c>
      <c r="F36" s="276">
        <f>+'Bank Liabilities Analysis'!I35-'Bank Liabilities Analysis'!J35</f>
        <v>0</v>
      </c>
      <c r="G36" s="276">
        <f>+'Bank Liabilities Analysis'!K35-'Bank Liabilities Analysis'!L35</f>
        <v>0</v>
      </c>
      <c r="H36" s="276">
        <f>+'Bank Liabilities Analysis'!M35-'Bank Liabilities Analysis'!N35</f>
        <v>0</v>
      </c>
      <c r="I36" s="276">
        <f>+'Bank Liabilities Analysis'!O35-'Bank Liabilities Analysis'!P35</f>
        <v>0</v>
      </c>
      <c r="J36" s="276">
        <f>+'Bank Liabilities Analysis'!Q35-'Bank Liabilities Analysis'!R35</f>
        <v>0</v>
      </c>
      <c r="K36" s="276">
        <f t="shared" si="8"/>
        <v>0</v>
      </c>
      <c r="L36" s="54">
        <v>1</v>
      </c>
      <c r="M36" s="55">
        <f t="shared" si="9"/>
        <v>0</v>
      </c>
      <c r="N36" s="13"/>
      <c r="O36" s="56"/>
      <c r="P36" s="56"/>
    </row>
    <row r="37" spans="1:16" s="57" customFormat="1" ht="33.75" customHeight="1">
      <c r="A37" s="165" t="s">
        <v>18</v>
      </c>
      <c r="B37" s="166" t="s">
        <v>332</v>
      </c>
      <c r="C37" s="276">
        <f>+'Bank Liabilities Analysis'!C36-'Bank Liabilities Analysis'!D36</f>
        <v>1817</v>
      </c>
      <c r="D37" s="276">
        <f>+'Bank Liabilities Analysis'!E36-'Bank Liabilities Analysis'!F36</f>
        <v>0</v>
      </c>
      <c r="E37" s="276">
        <f>+'Bank Liabilities Analysis'!G36-'Bank Liabilities Analysis'!H36</f>
        <v>0</v>
      </c>
      <c r="F37" s="276">
        <f>+'Bank Liabilities Analysis'!I36-'Bank Liabilities Analysis'!J36</f>
        <v>0</v>
      </c>
      <c r="G37" s="276">
        <f>+'Bank Liabilities Analysis'!K36-'Bank Liabilities Analysis'!L36</f>
        <v>0</v>
      </c>
      <c r="H37" s="276">
        <f>+'Bank Liabilities Analysis'!M36-'Bank Liabilities Analysis'!N36</f>
        <v>0</v>
      </c>
      <c r="I37" s="276">
        <f>+'Bank Liabilities Analysis'!O36-'Bank Liabilities Analysis'!P36</f>
        <v>0</v>
      </c>
      <c r="J37" s="276">
        <f>+'Bank Liabilities Analysis'!Q36-'Bank Liabilities Analysis'!R36</f>
        <v>0</v>
      </c>
      <c r="K37" s="276">
        <f t="shared" si="1"/>
        <v>1817</v>
      </c>
      <c r="L37" s="54">
        <v>1</v>
      </c>
      <c r="M37" s="55">
        <f>+K37*L37</f>
        <v>1817</v>
      </c>
      <c r="N37" s="13"/>
      <c r="O37" s="56"/>
      <c r="P37" s="56"/>
    </row>
    <row r="38" spans="1:16" s="57" customFormat="1" ht="25.5" customHeight="1">
      <c r="A38" s="165" t="s">
        <v>24</v>
      </c>
      <c r="B38" s="166" t="s">
        <v>160</v>
      </c>
      <c r="C38" s="276">
        <f>+'Bank Liabilities Analysis'!C37-'Bank Liabilities Analysis'!D37</f>
        <v>12445613</v>
      </c>
      <c r="D38" s="276">
        <f>+'Bank Liabilities Analysis'!E37-'Bank Liabilities Analysis'!F37</f>
        <v>0</v>
      </c>
      <c r="E38" s="276">
        <f>+'Bank Liabilities Analysis'!G37-'Bank Liabilities Analysis'!H37</f>
        <v>0</v>
      </c>
      <c r="F38" s="276">
        <f>+'Bank Liabilities Analysis'!I37-'Bank Liabilities Analysis'!J37</f>
        <v>0</v>
      </c>
      <c r="G38" s="276">
        <f>+'Bank Liabilities Analysis'!K37-'Bank Liabilities Analysis'!L37</f>
        <v>0</v>
      </c>
      <c r="H38" s="276">
        <f>+'Bank Liabilities Analysis'!M37-'Bank Liabilities Analysis'!N37</f>
        <v>0</v>
      </c>
      <c r="I38" s="276">
        <f>+'Bank Liabilities Analysis'!O37-'Bank Liabilities Analysis'!P37</f>
        <v>0</v>
      </c>
      <c r="J38" s="276">
        <f>+'Bank Liabilities Analysis'!Q37-'Bank Liabilities Analysis'!R37</f>
        <v>0</v>
      </c>
      <c r="K38" s="276">
        <f t="shared" si="1"/>
        <v>12445613</v>
      </c>
      <c r="L38" s="54">
        <v>1</v>
      </c>
      <c r="M38" s="55">
        <f>+K38*L38</f>
        <v>12445613</v>
      </c>
      <c r="N38" s="13"/>
      <c r="O38" s="56"/>
      <c r="P38" s="56"/>
    </row>
    <row r="39" spans="1:16" s="57" customFormat="1" ht="25.5" customHeight="1">
      <c r="A39" s="165" t="s">
        <v>25</v>
      </c>
      <c r="B39" s="166" t="s">
        <v>156</v>
      </c>
      <c r="C39" s="276">
        <f>+'Bank Liabilities Analysis'!C38-'Bank Liabilities Analysis'!D38</f>
        <v>20367480</v>
      </c>
      <c r="D39" s="276">
        <f>+'Bank Liabilities Analysis'!E38-'Bank Liabilities Analysis'!F38</f>
        <v>23350597</v>
      </c>
      <c r="E39" s="276">
        <f>+'Bank Liabilities Analysis'!G38-'Bank Liabilities Analysis'!H38</f>
        <v>9681156</v>
      </c>
      <c r="F39" s="276">
        <f>+'Bank Liabilities Analysis'!I38-'Bank Liabilities Analysis'!J38</f>
        <v>92302295</v>
      </c>
      <c r="G39" s="276">
        <f>+'Bank Liabilities Analysis'!K38-'Bank Liabilities Analysis'!L38</f>
        <v>17082509</v>
      </c>
      <c r="H39" s="276">
        <f>+'Bank Liabilities Analysis'!M38-'Bank Liabilities Analysis'!N38</f>
        <v>0</v>
      </c>
      <c r="I39" s="276">
        <f>+'Bank Liabilities Analysis'!O38-'Bank Liabilities Analysis'!P38</f>
        <v>0</v>
      </c>
      <c r="J39" s="276">
        <f>+'Bank Liabilities Analysis'!Q38-'Bank Liabilities Analysis'!R38</f>
        <v>0</v>
      </c>
      <c r="K39" s="276">
        <f t="shared" si="1"/>
        <v>162784037</v>
      </c>
      <c r="L39" s="54"/>
      <c r="M39" s="276">
        <f>+C39+D39+E39</f>
        <v>53399233</v>
      </c>
      <c r="N39" s="13"/>
      <c r="O39" s="56"/>
      <c r="P39" s="56"/>
    </row>
    <row r="40" spans="1:16" s="57" customFormat="1" ht="33" customHeight="1">
      <c r="A40" s="165" t="s">
        <v>118</v>
      </c>
      <c r="B40" s="166" t="s">
        <v>487</v>
      </c>
      <c r="C40" s="276">
        <f>+'Bank Liabilities Analysis'!C39-'Bank Liabilities Analysis'!D39</f>
        <v>0</v>
      </c>
      <c r="D40" s="276">
        <f>+'Bank Liabilities Analysis'!E39-'Bank Liabilities Analysis'!F39</f>
        <v>0</v>
      </c>
      <c r="E40" s="276">
        <f>+'Bank Liabilities Analysis'!G39-'Bank Liabilities Analysis'!H39</f>
        <v>0</v>
      </c>
      <c r="F40" s="276">
        <f>+'Bank Liabilities Analysis'!I39-'Bank Liabilities Analysis'!J39</f>
        <v>0</v>
      </c>
      <c r="G40" s="276">
        <f>+'Bank Liabilities Analysis'!K39-'Bank Liabilities Analysis'!L39</f>
        <v>0</v>
      </c>
      <c r="H40" s="276">
        <f>+'Bank Liabilities Analysis'!M39-'Bank Liabilities Analysis'!N39</f>
        <v>0</v>
      </c>
      <c r="I40" s="276">
        <f>+'Bank Liabilities Analysis'!O39-'Bank Liabilities Analysis'!P39</f>
        <v>0</v>
      </c>
      <c r="J40" s="276">
        <f>+'Bank Liabilities Analysis'!Q39-'Bank Liabilities Analysis'!R39</f>
        <v>0</v>
      </c>
      <c r="K40" s="276">
        <f t="shared" ref="K40" si="10">+C40+D40+E40+F40+G40+H40+I40+J40</f>
        <v>0</v>
      </c>
      <c r="L40" s="54"/>
      <c r="M40" s="276">
        <f t="shared" ref="M40:M41" si="11">+C40+D40+E40</f>
        <v>0</v>
      </c>
      <c r="N40" s="13"/>
      <c r="O40" s="56"/>
      <c r="P40" s="56"/>
    </row>
    <row r="41" spans="1:16" s="57" customFormat="1" ht="33" customHeight="1">
      <c r="A41" s="165" t="s">
        <v>120</v>
      </c>
      <c r="B41" s="166" t="s">
        <v>477</v>
      </c>
      <c r="C41" s="276">
        <f>+'Bank Liabilities Analysis'!C40-'Bank Liabilities Analysis'!D40</f>
        <v>0</v>
      </c>
      <c r="D41" s="276">
        <f>+'Bank Liabilities Analysis'!E40-'Bank Liabilities Analysis'!F40</f>
        <v>0</v>
      </c>
      <c r="E41" s="276">
        <f>+'Bank Liabilities Analysis'!G40-'Bank Liabilities Analysis'!H40</f>
        <v>179244</v>
      </c>
      <c r="F41" s="276">
        <f>+'Bank Liabilities Analysis'!I40-'Bank Liabilities Analysis'!J40</f>
        <v>0</v>
      </c>
      <c r="G41" s="276">
        <f>+'Bank Liabilities Analysis'!K40-'Bank Liabilities Analysis'!L40</f>
        <v>0</v>
      </c>
      <c r="H41" s="276">
        <f>+'Bank Liabilities Analysis'!M40-'Bank Liabilities Analysis'!N40</f>
        <v>0</v>
      </c>
      <c r="I41" s="276">
        <f>+'Bank Liabilities Analysis'!O40-'Bank Liabilities Analysis'!P40</f>
        <v>0</v>
      </c>
      <c r="J41" s="276">
        <f>+'Bank Liabilities Analysis'!Q40-'Bank Liabilities Analysis'!R40</f>
        <v>0</v>
      </c>
      <c r="K41" s="276">
        <f t="shared" ref="K41" si="12">+C41+D41+E41+F41+G41+H41+I41+J41</f>
        <v>179244</v>
      </c>
      <c r="L41" s="54"/>
      <c r="M41" s="276">
        <f t="shared" si="11"/>
        <v>179244</v>
      </c>
      <c r="N41" s="13"/>
      <c r="O41" s="56"/>
      <c r="P41" s="56"/>
    </row>
    <row r="42" spans="1:16" s="57" customFormat="1" ht="25.5" customHeight="1">
      <c r="A42" s="165" t="s">
        <v>19</v>
      </c>
      <c r="B42" s="166" t="s">
        <v>164</v>
      </c>
      <c r="C42" s="276">
        <f>+'Bank Liabilities Analysis'!C41-'Bank Liabilities Analysis'!D41</f>
        <v>122847689</v>
      </c>
      <c r="D42" s="276">
        <f>+'Bank Liabilities Analysis'!E41-'Bank Liabilities Analysis'!F41</f>
        <v>0</v>
      </c>
      <c r="E42" s="276">
        <f>+'Bank Liabilities Analysis'!G41-'Bank Liabilities Analysis'!H41</f>
        <v>0</v>
      </c>
      <c r="F42" s="276">
        <f>+'Bank Liabilities Analysis'!I41-'Bank Liabilities Analysis'!J41</f>
        <v>0</v>
      </c>
      <c r="G42" s="276">
        <f>+'Bank Liabilities Analysis'!K41-'Bank Liabilities Analysis'!L41</f>
        <v>0</v>
      </c>
      <c r="H42" s="276">
        <f>+'Bank Liabilities Analysis'!M41-'Bank Liabilities Analysis'!N41</f>
        <v>0</v>
      </c>
      <c r="I42" s="276">
        <f>+'Bank Liabilities Analysis'!O41-'Bank Liabilities Analysis'!P41</f>
        <v>10281456</v>
      </c>
      <c r="J42" s="276">
        <f>+'Bank Liabilities Analysis'!Q41-'Bank Liabilities Analysis'!R41</f>
        <v>0</v>
      </c>
      <c r="K42" s="276">
        <f t="shared" si="1"/>
        <v>133129145</v>
      </c>
      <c r="L42" s="54">
        <v>1</v>
      </c>
      <c r="M42" s="77">
        <f>(C42+D42+E42)*L42</f>
        <v>122847689</v>
      </c>
      <c r="N42" s="13"/>
      <c r="O42" s="56"/>
      <c r="P42" s="56"/>
    </row>
    <row r="43" spans="1:16" s="56" customFormat="1" ht="25.5" customHeight="1">
      <c r="A43" s="167" t="s">
        <v>292</v>
      </c>
      <c r="B43" s="168" t="s">
        <v>333</v>
      </c>
      <c r="C43" s="309">
        <f>+C21+C22+C24+C30+C31+C32+C33+C34+C37+C38+C39+C40+C41+C42</f>
        <v>1021562015</v>
      </c>
      <c r="D43" s="309">
        <f t="shared" ref="D43:J43" si="13">+D21+D22+D24+D30+D31+D32+D33+D34+D37+D38+D39+D40+D41+D42</f>
        <v>267372042</v>
      </c>
      <c r="E43" s="309">
        <f t="shared" si="13"/>
        <v>157209197</v>
      </c>
      <c r="F43" s="309">
        <f t="shared" si="13"/>
        <v>1727604103</v>
      </c>
      <c r="G43" s="309">
        <f t="shared" si="13"/>
        <v>2274152450</v>
      </c>
      <c r="H43" s="309">
        <f t="shared" si="13"/>
        <v>2362636977</v>
      </c>
      <c r="I43" s="309">
        <f t="shared" si="13"/>
        <v>1994711772</v>
      </c>
      <c r="J43" s="309">
        <f t="shared" si="13"/>
        <v>7334449542</v>
      </c>
      <c r="K43" s="309">
        <f>+K21+K22+K24+K30+K31+K32+K33+K34+K37+K38+K39+K40+K41+K42</f>
        <v>17139698098</v>
      </c>
      <c r="L43" s="58" t="s">
        <v>2</v>
      </c>
      <c r="M43" s="58">
        <f>SUM(M8:M42)</f>
        <v>1810817817.6500001</v>
      </c>
      <c r="N43" s="101">
        <f>+Balance!D63</f>
        <v>17139698098</v>
      </c>
    </row>
    <row r="44" spans="1:16" s="69" customFormat="1" ht="15.75">
      <c r="A44" s="149"/>
      <c r="B44" s="169" t="s">
        <v>245</v>
      </c>
      <c r="C44" s="277"/>
      <c r="D44" s="277"/>
      <c r="E44" s="277"/>
      <c r="F44" s="277"/>
      <c r="G44" s="277"/>
      <c r="H44" s="277"/>
      <c r="I44" s="277"/>
      <c r="J44" s="277"/>
      <c r="K44" s="277">
        <f t="shared" ref="K44:K59" si="14">+C44+D44+E44+F44+G44+H44+I44+J44</f>
        <v>0</v>
      </c>
      <c r="L44" s="5"/>
      <c r="M44" s="5"/>
      <c r="N44" s="101">
        <f>+K43-N43</f>
        <v>0</v>
      </c>
      <c r="O44" s="56"/>
      <c r="P44" s="56"/>
    </row>
    <row r="45" spans="1:16" s="69" customFormat="1" ht="15.75">
      <c r="A45" s="149"/>
      <c r="B45" s="170" t="s">
        <v>334</v>
      </c>
      <c r="C45" s="277">
        <f>+C46+C47</f>
        <v>0</v>
      </c>
      <c r="D45" s="277">
        <f t="shared" ref="D45:J45" si="15">+D46+D47</f>
        <v>9547130</v>
      </c>
      <c r="E45" s="277">
        <f t="shared" si="15"/>
        <v>51044732</v>
      </c>
      <c r="F45" s="277">
        <f t="shared" si="15"/>
        <v>23138745</v>
      </c>
      <c r="G45" s="277">
        <f t="shared" si="15"/>
        <v>111169339</v>
      </c>
      <c r="H45" s="277">
        <f t="shared" si="15"/>
        <v>67418255</v>
      </c>
      <c r="I45" s="277">
        <f t="shared" si="15"/>
        <v>56082263</v>
      </c>
      <c r="J45" s="277">
        <f t="shared" si="15"/>
        <v>2033314234</v>
      </c>
      <c r="K45" s="277">
        <f t="shared" si="14"/>
        <v>2351714698</v>
      </c>
      <c r="L45" s="61"/>
      <c r="M45" s="61"/>
      <c r="N45" s="57"/>
      <c r="O45" s="56"/>
      <c r="P45" s="56"/>
    </row>
    <row r="46" spans="1:16" s="69" customFormat="1" ht="15.75" customHeight="1">
      <c r="A46" s="149"/>
      <c r="B46" s="171" t="s">
        <v>335</v>
      </c>
      <c r="C46" s="277">
        <f>+'Bank Liabilities Analysis'!C45-'Bank Liabilities Analysis'!D45</f>
        <v>0</v>
      </c>
      <c r="D46" s="277">
        <f>+'Bank Liabilities Analysis'!E45-'Bank Liabilities Analysis'!F45</f>
        <v>0</v>
      </c>
      <c r="E46" s="277">
        <f>+'Bank Liabilities Analysis'!G45-'Bank Liabilities Analysis'!H45</f>
        <v>592378</v>
      </c>
      <c r="F46" s="277">
        <f>+'Bank Liabilities Analysis'!I45-'Bank Liabilities Analysis'!J45</f>
        <v>1305254</v>
      </c>
      <c r="G46" s="277">
        <f>+'Bank Liabilities Analysis'!K45-'Bank Liabilities Analysis'!L45</f>
        <v>1835535</v>
      </c>
      <c r="H46" s="277">
        <f>+'Bank Liabilities Analysis'!M45-'Bank Liabilities Analysis'!N45</f>
        <v>3862994</v>
      </c>
      <c r="I46" s="277">
        <f>+'Bank Liabilities Analysis'!O45-'Bank Liabilities Analysis'!P45</f>
        <v>8091125</v>
      </c>
      <c r="J46" s="277">
        <f>+'Bank Liabilities Analysis'!Q45-'Bank Liabilities Analysis'!R45</f>
        <v>7977355</v>
      </c>
      <c r="K46" s="277">
        <f t="shared" si="14"/>
        <v>23664641</v>
      </c>
      <c r="L46" s="5"/>
      <c r="M46" s="5"/>
      <c r="N46" s="57"/>
      <c r="O46" s="56"/>
      <c r="P46" s="56"/>
    </row>
    <row r="47" spans="1:16" s="69" customFormat="1" ht="15.75" customHeight="1">
      <c r="A47" s="149"/>
      <c r="B47" s="171" t="s">
        <v>336</v>
      </c>
      <c r="C47" s="277">
        <f>+'Bank Liabilities Analysis'!C46-'Bank Liabilities Analysis'!D46</f>
        <v>0</v>
      </c>
      <c r="D47" s="277">
        <f>+'Bank Liabilities Analysis'!E46-'Bank Liabilities Analysis'!F46</f>
        <v>9547130</v>
      </c>
      <c r="E47" s="277">
        <f>+'Bank Liabilities Analysis'!G46-'Bank Liabilities Analysis'!H46</f>
        <v>50452354</v>
      </c>
      <c r="F47" s="277">
        <f>+'Bank Liabilities Analysis'!I46-'Bank Liabilities Analysis'!J46</f>
        <v>21833491</v>
      </c>
      <c r="G47" s="277">
        <f>+'Bank Liabilities Analysis'!K46-'Bank Liabilities Analysis'!L46</f>
        <v>109333804</v>
      </c>
      <c r="H47" s="277">
        <f>+'Bank Liabilities Analysis'!M46-'Bank Liabilities Analysis'!N46</f>
        <v>63555261</v>
      </c>
      <c r="I47" s="277">
        <f>+'Bank Liabilities Analysis'!O46-'Bank Liabilities Analysis'!P46</f>
        <v>47991138</v>
      </c>
      <c r="J47" s="277">
        <f>+'Bank Liabilities Analysis'!Q46-'Bank Liabilities Analysis'!R46</f>
        <v>2025336879</v>
      </c>
      <c r="K47" s="277">
        <f t="shared" si="14"/>
        <v>2328050057</v>
      </c>
      <c r="L47" s="5"/>
      <c r="M47" s="5"/>
      <c r="N47" s="57"/>
      <c r="O47" s="56"/>
      <c r="P47" s="56"/>
    </row>
    <row r="48" spans="1:16" s="69" customFormat="1" ht="15.75" customHeight="1">
      <c r="A48" s="149"/>
      <c r="B48" s="170" t="s">
        <v>406</v>
      </c>
      <c r="C48" s="277">
        <f>+C49+C50</f>
        <v>51817</v>
      </c>
      <c r="D48" s="277">
        <f t="shared" ref="D48:J48" si="16">+D49+D50</f>
        <v>96360</v>
      </c>
      <c r="E48" s="277">
        <f t="shared" si="16"/>
        <v>5654062</v>
      </c>
      <c r="F48" s="277">
        <f t="shared" si="16"/>
        <v>10776489</v>
      </c>
      <c r="G48" s="277">
        <f t="shared" si="16"/>
        <v>29716105</v>
      </c>
      <c r="H48" s="277">
        <f t="shared" si="16"/>
        <v>43002325</v>
      </c>
      <c r="I48" s="277">
        <f t="shared" si="16"/>
        <v>70071788</v>
      </c>
      <c r="J48" s="277">
        <f t="shared" si="16"/>
        <v>154907435</v>
      </c>
      <c r="K48" s="277">
        <f t="shared" si="14"/>
        <v>314276381</v>
      </c>
      <c r="L48" s="61"/>
      <c r="M48" s="61"/>
      <c r="N48" s="57"/>
      <c r="O48" s="56"/>
      <c r="P48" s="56"/>
    </row>
    <row r="49" spans="1:16" s="69" customFormat="1" ht="15.75" customHeight="1">
      <c r="A49" s="149"/>
      <c r="B49" s="171" t="s">
        <v>335</v>
      </c>
      <c r="C49" s="277">
        <f>+'Bank Liabilities Analysis'!C48-'Bank Liabilities Analysis'!D48</f>
        <v>51817</v>
      </c>
      <c r="D49" s="277">
        <f>+'Bank Liabilities Analysis'!E48-'Bank Liabilities Analysis'!F48</f>
        <v>96360</v>
      </c>
      <c r="E49" s="277">
        <f>+'Bank Liabilities Analysis'!G48-'Bank Liabilities Analysis'!H48</f>
        <v>5654062</v>
      </c>
      <c r="F49" s="277">
        <f>+'Bank Liabilities Analysis'!I48-'Bank Liabilities Analysis'!J48</f>
        <v>10776489</v>
      </c>
      <c r="G49" s="277">
        <f>+'Bank Liabilities Analysis'!K48-'Bank Liabilities Analysis'!L48</f>
        <v>14716105</v>
      </c>
      <c r="H49" s="277">
        <f>+'Bank Liabilities Analysis'!M48-'Bank Liabilities Analysis'!N48</f>
        <v>29002325</v>
      </c>
      <c r="I49" s="277">
        <f>+'Bank Liabilities Analysis'!O48-'Bank Liabilities Analysis'!P48</f>
        <v>51121788</v>
      </c>
      <c r="J49" s="277">
        <f>+'Bank Liabilities Analysis'!Q48-'Bank Liabilities Analysis'!R48</f>
        <v>154907435</v>
      </c>
      <c r="K49" s="277">
        <f t="shared" si="14"/>
        <v>266326381</v>
      </c>
      <c r="L49" s="5"/>
      <c r="M49" s="5"/>
      <c r="N49" s="57"/>
      <c r="O49" s="56"/>
      <c r="P49" s="56"/>
    </row>
    <row r="50" spans="1:16" s="69" customFormat="1" ht="15.75" customHeight="1">
      <c r="A50" s="172"/>
      <c r="B50" s="171" t="s">
        <v>336</v>
      </c>
      <c r="C50" s="277">
        <f>+'Bank Liabilities Analysis'!C49-'Bank Liabilities Analysis'!D49</f>
        <v>0</v>
      </c>
      <c r="D50" s="277">
        <f>+'Bank Liabilities Analysis'!E49-'Bank Liabilities Analysis'!F49</f>
        <v>0</v>
      </c>
      <c r="E50" s="277">
        <f>+'Bank Liabilities Analysis'!G49-'Bank Liabilities Analysis'!H49</f>
        <v>0</v>
      </c>
      <c r="F50" s="277">
        <f>+'Bank Liabilities Analysis'!I49-'Bank Liabilities Analysis'!J49</f>
        <v>0</v>
      </c>
      <c r="G50" s="277">
        <f>+'Bank Liabilities Analysis'!K49-'Bank Liabilities Analysis'!L49</f>
        <v>15000000</v>
      </c>
      <c r="H50" s="277">
        <f>+'Bank Liabilities Analysis'!M49-'Bank Liabilities Analysis'!N49</f>
        <v>14000000</v>
      </c>
      <c r="I50" s="277">
        <f>+'Bank Liabilities Analysis'!O49-'Bank Liabilities Analysis'!P49</f>
        <v>18950000</v>
      </c>
      <c r="J50" s="277">
        <f>+'Bank Liabilities Analysis'!Q49-'Bank Liabilities Analysis'!R49</f>
        <v>0</v>
      </c>
      <c r="K50" s="277">
        <f t="shared" si="14"/>
        <v>47950000</v>
      </c>
      <c r="L50" s="5"/>
      <c r="M50" s="5"/>
      <c r="N50" s="57"/>
      <c r="O50" s="56"/>
      <c r="P50" s="56"/>
    </row>
    <row r="51" spans="1:16" s="69" customFormat="1" ht="15.75">
      <c r="A51" s="172"/>
      <c r="B51" s="170" t="s">
        <v>337</v>
      </c>
      <c r="C51" s="277">
        <f>+C52+C53</f>
        <v>0</v>
      </c>
      <c r="D51" s="277">
        <f t="shared" ref="D51:J51" si="17">+D52+D53</f>
        <v>0</v>
      </c>
      <c r="E51" s="277">
        <f t="shared" si="17"/>
        <v>0</v>
      </c>
      <c r="F51" s="277">
        <f t="shared" si="17"/>
        <v>45961144</v>
      </c>
      <c r="G51" s="277">
        <f t="shared" si="17"/>
        <v>92211902</v>
      </c>
      <c r="H51" s="277">
        <f t="shared" si="17"/>
        <v>144458712</v>
      </c>
      <c r="I51" s="277">
        <f t="shared" si="17"/>
        <v>335330671</v>
      </c>
      <c r="J51" s="277">
        <f t="shared" si="17"/>
        <v>1260686953</v>
      </c>
      <c r="K51" s="277">
        <f t="shared" si="14"/>
        <v>1878649382</v>
      </c>
      <c r="L51" s="61"/>
      <c r="M51" s="61"/>
      <c r="N51" s="57"/>
      <c r="O51" s="56"/>
      <c r="P51" s="56"/>
    </row>
    <row r="52" spans="1:16" s="69" customFormat="1" ht="15.75" customHeight="1">
      <c r="A52" s="172"/>
      <c r="B52" s="171" t="s">
        <v>335</v>
      </c>
      <c r="C52" s="277">
        <f>+'Bank Liabilities Analysis'!C51-'Bank Liabilities Analysis'!D51</f>
        <v>0</v>
      </c>
      <c r="D52" s="277">
        <f>+'Bank Liabilities Analysis'!E51-'Bank Liabilities Analysis'!F51</f>
        <v>0</v>
      </c>
      <c r="E52" s="277">
        <f>+'Bank Liabilities Analysis'!G51-'Bank Liabilities Analysis'!H51</f>
        <v>0</v>
      </c>
      <c r="F52" s="277">
        <f>+'Bank Liabilities Analysis'!I51-'Bank Liabilities Analysis'!J51</f>
        <v>45961144</v>
      </c>
      <c r="G52" s="277">
        <f>+'Bank Liabilities Analysis'!K51-'Bank Liabilities Analysis'!L51</f>
        <v>92211902</v>
      </c>
      <c r="H52" s="277">
        <f>+'Bank Liabilities Analysis'!M51-'Bank Liabilities Analysis'!N51</f>
        <v>144458712</v>
      </c>
      <c r="I52" s="277">
        <f>+'Bank Liabilities Analysis'!O51-'Bank Liabilities Analysis'!P51</f>
        <v>335330671</v>
      </c>
      <c r="J52" s="277">
        <f>+'Bank Liabilities Analysis'!Q51-'Bank Liabilities Analysis'!R51</f>
        <v>1260686953</v>
      </c>
      <c r="K52" s="277">
        <f t="shared" si="14"/>
        <v>1878649382</v>
      </c>
      <c r="L52" s="5"/>
      <c r="M52" s="5"/>
      <c r="N52" s="57"/>
      <c r="O52" s="56"/>
      <c r="P52" s="56"/>
    </row>
    <row r="53" spans="1:16" s="69" customFormat="1" ht="15.75" customHeight="1">
      <c r="A53" s="172"/>
      <c r="B53" s="171" t="s">
        <v>336</v>
      </c>
      <c r="C53" s="277">
        <f>+'Bank Liabilities Analysis'!C52-'Bank Liabilities Analysis'!D52</f>
        <v>0</v>
      </c>
      <c r="D53" s="277">
        <f>+'Bank Liabilities Analysis'!E52-'Bank Liabilities Analysis'!F52</f>
        <v>0</v>
      </c>
      <c r="E53" s="277">
        <f>+'Bank Liabilities Analysis'!G52-'Bank Liabilities Analysis'!H52</f>
        <v>0</v>
      </c>
      <c r="F53" s="277">
        <f>+'Bank Liabilities Analysis'!I52-'Bank Liabilities Analysis'!J52</f>
        <v>0</v>
      </c>
      <c r="G53" s="277">
        <f>+'Bank Liabilities Analysis'!K52-'Bank Liabilities Analysis'!L52</f>
        <v>0</v>
      </c>
      <c r="H53" s="277">
        <f>+'Bank Liabilities Analysis'!M52-'Bank Liabilities Analysis'!N52</f>
        <v>0</v>
      </c>
      <c r="I53" s="277">
        <f>+'Bank Liabilities Analysis'!O52-'Bank Liabilities Analysis'!P52</f>
        <v>0</v>
      </c>
      <c r="J53" s="277">
        <f>+'Bank Liabilities Analysis'!Q52-'Bank Liabilities Analysis'!R52</f>
        <v>0</v>
      </c>
      <c r="K53" s="277">
        <f t="shared" si="14"/>
        <v>0</v>
      </c>
      <c r="L53" s="5"/>
      <c r="M53" s="5"/>
      <c r="N53" s="57"/>
      <c r="O53" s="56"/>
      <c r="P53" s="56"/>
    </row>
    <row r="54" spans="1:16" s="69" customFormat="1" ht="15.75" customHeight="1">
      <c r="A54" s="172"/>
      <c r="B54" s="170" t="s">
        <v>338</v>
      </c>
      <c r="C54" s="277">
        <f>+C55+C56</f>
        <v>0</v>
      </c>
      <c r="D54" s="277">
        <f t="shared" ref="D54:J54" si="18">+D55+D56</f>
        <v>0</v>
      </c>
      <c r="E54" s="277">
        <f t="shared" si="18"/>
        <v>0</v>
      </c>
      <c r="F54" s="277">
        <f t="shared" si="18"/>
        <v>0</v>
      </c>
      <c r="G54" s="277">
        <f t="shared" si="18"/>
        <v>32624639</v>
      </c>
      <c r="H54" s="277">
        <f t="shared" si="18"/>
        <v>32624638</v>
      </c>
      <c r="I54" s="277">
        <f t="shared" si="18"/>
        <v>77031737</v>
      </c>
      <c r="J54" s="277">
        <f t="shared" si="18"/>
        <v>273814073</v>
      </c>
      <c r="K54" s="277">
        <f t="shared" si="14"/>
        <v>416095087</v>
      </c>
      <c r="L54" s="61"/>
      <c r="M54" s="61"/>
      <c r="N54" s="57"/>
      <c r="O54" s="56"/>
      <c r="P54" s="56"/>
    </row>
    <row r="55" spans="1:16" s="69" customFormat="1" ht="15.75" customHeight="1">
      <c r="A55" s="172"/>
      <c r="B55" s="171" t="s">
        <v>335</v>
      </c>
      <c r="C55" s="277">
        <f>+'Bank Liabilities Analysis'!C54-'Bank Liabilities Analysis'!D54</f>
        <v>0</v>
      </c>
      <c r="D55" s="277">
        <f>+'Bank Liabilities Analysis'!E54-'Bank Liabilities Analysis'!F54</f>
        <v>0</v>
      </c>
      <c r="E55" s="277">
        <f>+'Bank Liabilities Analysis'!G54-'Bank Liabilities Analysis'!H54</f>
        <v>0</v>
      </c>
      <c r="F55" s="277">
        <f>+'Bank Liabilities Analysis'!I54-'Bank Liabilities Analysis'!J54</f>
        <v>0</v>
      </c>
      <c r="G55" s="277">
        <f>+'Bank Liabilities Analysis'!K54-'Bank Liabilities Analysis'!L54</f>
        <v>32624639</v>
      </c>
      <c r="H55" s="277">
        <f>+'Bank Liabilities Analysis'!M54-'Bank Liabilities Analysis'!N54</f>
        <v>32624638</v>
      </c>
      <c r="I55" s="277">
        <f>+'Bank Liabilities Analysis'!O54-'Bank Liabilities Analysis'!P54</f>
        <v>77031737</v>
      </c>
      <c r="J55" s="277">
        <f>+'Bank Liabilities Analysis'!Q54-'Bank Liabilities Analysis'!R54</f>
        <v>273814073</v>
      </c>
      <c r="K55" s="277">
        <f t="shared" si="14"/>
        <v>416095087</v>
      </c>
      <c r="L55" s="5"/>
      <c r="M55" s="5"/>
      <c r="N55" s="57"/>
      <c r="O55" s="56"/>
      <c r="P55" s="56"/>
    </row>
    <row r="56" spans="1:16" s="69" customFormat="1" ht="15.75" customHeight="1">
      <c r="A56" s="172"/>
      <c r="B56" s="171" t="s">
        <v>336</v>
      </c>
      <c r="C56" s="277">
        <f>+'Bank Liabilities Analysis'!C55-'Bank Liabilities Analysis'!D55</f>
        <v>0</v>
      </c>
      <c r="D56" s="277">
        <f>+'Bank Liabilities Analysis'!E55-'Bank Liabilities Analysis'!F55</f>
        <v>0</v>
      </c>
      <c r="E56" s="277">
        <f>+'Bank Liabilities Analysis'!G55-'Bank Liabilities Analysis'!H55</f>
        <v>0</v>
      </c>
      <c r="F56" s="277">
        <f>+'Bank Liabilities Analysis'!I55-'Bank Liabilities Analysis'!J55</f>
        <v>0</v>
      </c>
      <c r="G56" s="277">
        <f>+'Bank Liabilities Analysis'!K55-'Bank Liabilities Analysis'!L55</f>
        <v>0</v>
      </c>
      <c r="H56" s="277">
        <f>+'Bank Liabilities Analysis'!M55-'Bank Liabilities Analysis'!N55</f>
        <v>0</v>
      </c>
      <c r="I56" s="277">
        <f>+'Bank Liabilities Analysis'!O55-'Bank Liabilities Analysis'!P55</f>
        <v>0</v>
      </c>
      <c r="J56" s="277">
        <f>+'Bank Liabilities Analysis'!Q55-'Bank Liabilities Analysis'!R55</f>
        <v>0</v>
      </c>
      <c r="K56" s="277">
        <f t="shared" si="14"/>
        <v>0</v>
      </c>
      <c r="L56" s="5"/>
      <c r="M56" s="5"/>
      <c r="N56" s="57"/>
      <c r="O56" s="56"/>
      <c r="P56" s="56"/>
    </row>
    <row r="57" spans="1:16" s="69" customFormat="1" ht="15.75" customHeight="1">
      <c r="A57" s="172"/>
      <c r="B57" s="170" t="s">
        <v>339</v>
      </c>
      <c r="C57" s="277">
        <f>+C58+C59</f>
        <v>0</v>
      </c>
      <c r="D57" s="277">
        <f t="shared" ref="D57:J57" si="19">+D58+D59</f>
        <v>0</v>
      </c>
      <c r="E57" s="277">
        <f t="shared" si="19"/>
        <v>0</v>
      </c>
      <c r="F57" s="277">
        <f t="shared" si="19"/>
        <v>731885</v>
      </c>
      <c r="G57" s="277">
        <f t="shared" si="19"/>
        <v>24662631</v>
      </c>
      <c r="H57" s="277">
        <f t="shared" si="19"/>
        <v>25516393</v>
      </c>
      <c r="I57" s="277">
        <f t="shared" si="19"/>
        <v>70542041</v>
      </c>
      <c r="J57" s="277">
        <f t="shared" si="19"/>
        <v>1466195315</v>
      </c>
      <c r="K57" s="277">
        <f t="shared" si="14"/>
        <v>1587648265</v>
      </c>
      <c r="L57" s="61"/>
      <c r="M57" s="61"/>
      <c r="N57" s="57"/>
      <c r="O57" s="56"/>
      <c r="P57" s="56"/>
    </row>
    <row r="58" spans="1:16" s="69" customFormat="1" ht="15.75" customHeight="1">
      <c r="A58" s="172"/>
      <c r="B58" s="171" t="s">
        <v>335</v>
      </c>
      <c r="C58" s="277">
        <f>+'Bank Liabilities Analysis'!C57-'Bank Liabilities Analysis'!D57</f>
        <v>0</v>
      </c>
      <c r="D58" s="277">
        <f>+'Bank Liabilities Analysis'!E57-'Bank Liabilities Analysis'!F57</f>
        <v>0</v>
      </c>
      <c r="E58" s="277">
        <f>+'Bank Liabilities Analysis'!G57-'Bank Liabilities Analysis'!H57</f>
        <v>0</v>
      </c>
      <c r="F58" s="277">
        <f>+'Bank Liabilities Analysis'!I57-'Bank Liabilities Analysis'!J57</f>
        <v>731885</v>
      </c>
      <c r="G58" s="277">
        <f>+'Bank Liabilities Analysis'!K57-'Bank Liabilities Analysis'!L57</f>
        <v>24662631</v>
      </c>
      <c r="H58" s="277">
        <f>+'Bank Liabilities Analysis'!M57-'Bank Liabilities Analysis'!N57</f>
        <v>25516393</v>
      </c>
      <c r="I58" s="277">
        <f>+'Bank Liabilities Analysis'!O57-'Bank Liabilities Analysis'!P57</f>
        <v>70542041</v>
      </c>
      <c r="J58" s="277">
        <f>+'Bank Liabilities Analysis'!Q57-'Bank Liabilities Analysis'!R57</f>
        <v>1466195315</v>
      </c>
      <c r="K58" s="277">
        <f t="shared" si="14"/>
        <v>1587648265</v>
      </c>
      <c r="L58" s="5"/>
      <c r="M58" s="5"/>
      <c r="N58" s="57"/>
      <c r="O58" s="56"/>
      <c r="P58" s="56"/>
    </row>
    <row r="59" spans="1:16" s="69" customFormat="1" ht="15.75" customHeight="1">
      <c r="A59" s="172"/>
      <c r="B59" s="171" t="s">
        <v>336</v>
      </c>
      <c r="C59" s="277">
        <f>+'Bank Liabilities Analysis'!C58-'Bank Liabilities Analysis'!D58</f>
        <v>0</v>
      </c>
      <c r="D59" s="277">
        <f>+'Bank Liabilities Analysis'!E58-'Bank Liabilities Analysis'!F58</f>
        <v>0</v>
      </c>
      <c r="E59" s="277">
        <f>+'Bank Liabilities Analysis'!G58-'Bank Liabilities Analysis'!H58</f>
        <v>0</v>
      </c>
      <c r="F59" s="277">
        <f>+'Bank Liabilities Analysis'!I58-'Bank Liabilities Analysis'!J58</f>
        <v>0</v>
      </c>
      <c r="G59" s="277">
        <f>+'Bank Liabilities Analysis'!K58-'Bank Liabilities Analysis'!L58</f>
        <v>0</v>
      </c>
      <c r="H59" s="277">
        <f>+'Bank Liabilities Analysis'!M58-'Bank Liabilities Analysis'!N58</f>
        <v>0</v>
      </c>
      <c r="I59" s="277">
        <f>+'Bank Liabilities Analysis'!O58-'Bank Liabilities Analysis'!P58</f>
        <v>0</v>
      </c>
      <c r="J59" s="277">
        <f>+'Bank Liabilities Analysis'!Q58-'Bank Liabilities Analysis'!R58</f>
        <v>0</v>
      </c>
      <c r="K59" s="277">
        <f t="shared" si="14"/>
        <v>0</v>
      </c>
      <c r="L59" s="5"/>
      <c r="M59" s="5"/>
      <c r="N59" s="57"/>
      <c r="O59" s="56"/>
      <c r="P59" s="56"/>
    </row>
    <row r="60" spans="1:16" ht="15.75">
      <c r="C60" s="310"/>
      <c r="D60" s="310"/>
      <c r="E60" s="310"/>
      <c r="F60" s="310"/>
      <c r="G60" s="310"/>
      <c r="H60" s="310"/>
      <c r="I60" s="310"/>
      <c r="J60" s="310"/>
      <c r="K60" s="310"/>
      <c r="N60" s="57"/>
      <c r="O60" s="56"/>
      <c r="P60" s="56"/>
    </row>
    <row r="61" spans="1:16" s="14" customFormat="1" ht="15" customHeight="1">
      <c r="B61" s="2" t="s">
        <v>446</v>
      </c>
      <c r="F61" s="70"/>
      <c r="G61" s="70"/>
      <c r="H61" s="70"/>
      <c r="I61" s="70"/>
      <c r="J61" s="70"/>
      <c r="K61" s="70"/>
      <c r="L61" s="70"/>
      <c r="M61" s="70"/>
    </row>
    <row r="62" spans="1:16" s="14" customFormat="1" ht="11.25" customHeight="1">
      <c r="B62" s="2"/>
      <c r="F62" s="70"/>
      <c r="G62" s="70"/>
      <c r="H62" s="70"/>
      <c r="I62" s="70"/>
      <c r="J62" s="70"/>
      <c r="K62" s="70"/>
      <c r="L62" s="70"/>
      <c r="M62" s="70"/>
    </row>
    <row r="63" spans="1:16" s="14" customFormat="1" ht="15" customHeight="1">
      <c r="B63" s="2" t="s">
        <v>445</v>
      </c>
      <c r="F63" s="70"/>
      <c r="G63" s="70"/>
      <c r="H63" s="70"/>
      <c r="I63" s="70"/>
      <c r="J63" s="70"/>
      <c r="K63" s="70"/>
      <c r="L63" s="70"/>
      <c r="M63" s="70"/>
    </row>
  </sheetData>
  <sheetProtection password="CACA" sheet="1" objects="1" scenarios="1"/>
  <mergeCells count="14">
    <mergeCell ref="L2:M2"/>
    <mergeCell ref="A4:A6"/>
    <mergeCell ref="B4:B6"/>
    <mergeCell ref="C4:J4"/>
    <mergeCell ref="K4:K6"/>
    <mergeCell ref="L4:M5"/>
    <mergeCell ref="E5:E6"/>
    <mergeCell ref="D5:D6"/>
    <mergeCell ref="C5:C6"/>
    <mergeCell ref="J5:J6"/>
    <mergeCell ref="I5:I6"/>
    <mergeCell ref="H5:H6"/>
    <mergeCell ref="G5:G6"/>
    <mergeCell ref="F5:F6"/>
  </mergeCells>
  <conditionalFormatting sqref="C8:J42">
    <cfRule type="cellIs" dxfId="21" priority="5" operator="lessThan">
      <formula>0</formula>
    </cfRule>
  </conditionalFormatting>
  <conditionalFormatting sqref="C45:J58">
    <cfRule type="cellIs" dxfId="20" priority="7" operator="lessThan">
      <formula>0</formula>
    </cfRule>
  </conditionalFormatting>
  <conditionalFormatting sqref="K43">
    <cfRule type="cellIs" dxfId="19" priority="1" operator="notEqual">
      <formula>$N$43</formula>
    </cfRule>
  </conditionalFormatting>
  <conditionalFormatting sqref="L45:M59">
    <cfRule type="cellIs" dxfId="18" priority="9" operator="greaterThan">
      <formula>#REF!</formula>
    </cfRule>
  </conditionalFormatting>
  <conditionalFormatting sqref="M39:M41">
    <cfRule type="cellIs" dxfId="17" priority="4" operator="lessThan">
      <formula>0</formula>
    </cfRule>
  </conditionalFormatting>
  <dataValidations count="3">
    <dataValidation type="whole" operator="greaterThanOrEqual" allowBlank="1" showErrorMessage="1" error="Введите как целое положительное число." sqref="C8:J8 C14:J15" xr:uid="{00000000-0002-0000-0500-000000000000}">
      <formula1>0</formula1>
    </dataValidation>
    <dataValidation type="whole" operator="notEqual" allowBlank="1" showErrorMessage="1" error="Введите как целое число." sqref="C9:J13 C44:J59 C16:J20 C22:J42 M39:M41" xr:uid="{00000000-0002-0000-0500-000001000000}">
      <formula1>-1E+28</formula1>
    </dataValidation>
    <dataValidation type="date" operator="greaterThan" allowBlank="1" showInputMessage="1" showErrorMessage="1" prompt="Введите дату в формате ЧЧ.ММ.ГГГГ" sqref="K3" xr:uid="{00000000-0002-0000-0500-000002000000}">
      <formula1>DATE(96,1,1)</formula1>
    </dataValidation>
  </dataValidations>
  <printOptions horizontalCentered="1"/>
  <pageMargins left="0.15748031496062992" right="0.15748031496062992" top="0.59055118110236227" bottom="0.15748031496062992" header="0.23622047244094491" footer="0.39370078740157483"/>
  <pageSetup paperSize="9" scale="38" orientation="landscape" r:id="rId1"/>
  <headerFooter alignWithMargins="0"/>
  <ignoredErrors>
    <ignoredError sqref="M37:M38 M31:M3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9">
    <pageSetUpPr fitToPage="1"/>
  </sheetPr>
  <dimension ref="A1:M35"/>
  <sheetViews>
    <sheetView view="pageBreakPreview" zoomScaleNormal="75" zoomScaleSheetLayoutView="100" workbookViewId="0">
      <pane xSplit="2" ySplit="3" topLeftCell="C4" activePane="bottomRight" state="frozen"/>
      <selection activeCell="C5" sqref="C5"/>
      <selection pane="topRight" activeCell="C5" sqref="C5"/>
      <selection pane="bottomLeft" activeCell="C5" sqref="C5"/>
      <selection pane="bottomRight" activeCell="F4" sqref="F4"/>
    </sheetView>
  </sheetViews>
  <sheetFormatPr defaultRowHeight="12.75"/>
  <cols>
    <col min="1" max="1" width="5.85546875" style="8" customWidth="1"/>
    <col min="2" max="2" width="88.28515625" style="14" customWidth="1"/>
    <col min="3" max="4" width="17.7109375" style="14" customWidth="1"/>
    <col min="5" max="5" width="18.5703125" style="14" customWidth="1"/>
    <col min="6" max="8" width="20.42578125" style="14" customWidth="1"/>
    <col min="9" max="9" width="9.140625" style="14"/>
    <col min="10" max="10" width="11" style="14" bestFit="1" customWidth="1"/>
    <col min="11" max="16384" width="9.140625" style="14"/>
  </cols>
  <sheetData>
    <row r="1" spans="1:8" s="69" customFormat="1" ht="32.25" customHeight="1">
      <c r="A1" s="365" t="s">
        <v>407</v>
      </c>
      <c r="B1" s="365"/>
      <c r="C1" s="365"/>
      <c r="D1" s="365"/>
      <c r="E1" s="105" t="s">
        <v>341</v>
      </c>
    </row>
    <row r="2" spans="1:8" ht="15.75">
      <c r="A2" s="105"/>
      <c r="B2" s="10" t="str">
        <f>Balance!B3</f>
        <v>"MKBANK"</v>
      </c>
      <c r="C2" s="239">
        <f>+Balance!D3</f>
        <v>46021</v>
      </c>
      <c r="E2" s="238" t="str">
        <f>+Balance!E3</f>
        <v>минг сўмда</v>
      </c>
    </row>
    <row r="3" spans="1:8" s="69" customFormat="1" ht="53.25" customHeight="1">
      <c r="A3" s="159" t="s">
        <v>8</v>
      </c>
      <c r="B3" s="159" t="s">
        <v>243</v>
      </c>
      <c r="C3" s="159" t="s">
        <v>86</v>
      </c>
      <c r="D3" s="159" t="s">
        <v>256</v>
      </c>
      <c r="E3" s="159" t="s">
        <v>257</v>
      </c>
    </row>
    <row r="4" spans="1:8" s="69" customFormat="1" ht="22.5" customHeight="1">
      <c r="A4" s="160" t="s">
        <v>31</v>
      </c>
      <c r="B4" s="161" t="s">
        <v>342</v>
      </c>
      <c r="C4" s="71">
        <f>+D4+E4</f>
        <v>906971873</v>
      </c>
      <c r="D4" s="40">
        <v>584424854</v>
      </c>
      <c r="E4" s="40">
        <v>322547019</v>
      </c>
      <c r="F4" s="278">
        <f>+'Bank Assets Analysis'!S49</f>
        <v>906971873</v>
      </c>
      <c r="G4" s="278">
        <f>+'Bank Assets Analysis'!T49</f>
        <v>584424854</v>
      </c>
      <c r="H4" s="278">
        <f>+'Bank Assets Analysis'!U49</f>
        <v>322547019</v>
      </c>
    </row>
    <row r="5" spans="1:8" s="69" customFormat="1" ht="22.5" customHeight="1">
      <c r="A5" s="127" t="s">
        <v>71</v>
      </c>
      <c r="B5" s="194" t="s">
        <v>343</v>
      </c>
      <c r="C5" s="71">
        <f>+D5+E5</f>
        <v>130363445.85648</v>
      </c>
      <c r="D5" s="5">
        <v>78593107.246380001</v>
      </c>
      <c r="E5" s="5">
        <v>51770338.610100001</v>
      </c>
      <c r="F5" s="278">
        <f>+'Bank Assets Analysis'!S50</f>
        <v>130363445.85648</v>
      </c>
      <c r="G5" s="278">
        <f>+'Bank Assets Analysis'!T50</f>
        <v>78593107.246380001</v>
      </c>
      <c r="H5" s="278">
        <f>+'Bank Assets Analysis'!U50</f>
        <v>51770338.610100001</v>
      </c>
    </row>
    <row r="6" spans="1:8" s="69" customFormat="1" ht="5.25" customHeight="1">
      <c r="A6" s="7"/>
      <c r="B6" s="6"/>
      <c r="C6" s="61"/>
      <c r="D6" s="61"/>
      <c r="E6" s="61"/>
      <c r="F6" s="279"/>
      <c r="G6" s="279"/>
      <c r="H6" s="279"/>
    </row>
    <row r="7" spans="1:8" s="69" customFormat="1" ht="22.5" customHeight="1">
      <c r="A7" s="162" t="s">
        <v>32</v>
      </c>
      <c r="B7" s="161" t="s">
        <v>344</v>
      </c>
      <c r="C7" s="71">
        <f>+D7+E7</f>
        <v>445106241</v>
      </c>
      <c r="D7" s="40">
        <v>3000000</v>
      </c>
      <c r="E7" s="40">
        <v>442106241</v>
      </c>
      <c r="F7" s="278">
        <f>+'Bank Assets Analysis'!S51</f>
        <v>445106241</v>
      </c>
      <c r="G7" s="278">
        <f>+'Bank Assets Analysis'!T51</f>
        <v>3000000</v>
      </c>
      <c r="H7" s="278">
        <f>+'Bank Assets Analysis'!U51</f>
        <v>442106241</v>
      </c>
    </row>
    <row r="8" spans="1:8" s="69" customFormat="1" ht="22.5" customHeight="1">
      <c r="A8" s="127" t="s">
        <v>63</v>
      </c>
      <c r="B8" s="194" t="s">
        <v>345</v>
      </c>
      <c r="C8" s="71">
        <f>+D8+E8</f>
        <v>115327725</v>
      </c>
      <c r="D8" s="5">
        <v>0</v>
      </c>
      <c r="E8" s="5">
        <v>115327725</v>
      </c>
      <c r="F8" s="278">
        <f>+'Bank Assets Analysis'!S52</f>
        <v>115327725</v>
      </c>
      <c r="G8" s="278">
        <f>+'Bank Assets Analysis'!T52</f>
        <v>0</v>
      </c>
      <c r="H8" s="278">
        <f>+'Bank Assets Analysis'!U52</f>
        <v>115327725</v>
      </c>
    </row>
    <row r="9" spans="1:8" s="69" customFormat="1" ht="5.25" customHeight="1">
      <c r="A9" s="7"/>
      <c r="B9" s="6"/>
      <c r="C9" s="61"/>
      <c r="D9" s="61"/>
      <c r="E9" s="61"/>
    </row>
    <row r="10" spans="1:8" s="69" customFormat="1" ht="29.25" customHeight="1">
      <c r="A10" s="162" t="s">
        <v>42</v>
      </c>
      <c r="B10" s="161" t="s">
        <v>346</v>
      </c>
      <c r="C10" s="71">
        <f>+D10+E10</f>
        <v>1029438692</v>
      </c>
      <c r="D10" s="11">
        <f>SUM(D11:D14)</f>
        <v>0</v>
      </c>
      <c r="E10" s="11">
        <f>SUM(E11:E14)</f>
        <v>1029438692</v>
      </c>
    </row>
    <row r="11" spans="1:8" s="69" customFormat="1" ht="22.5" customHeight="1">
      <c r="A11" s="127" t="s">
        <v>44</v>
      </c>
      <c r="B11" s="163" t="s">
        <v>408</v>
      </c>
      <c r="C11" s="61">
        <f>+D11+E11</f>
        <v>4846315</v>
      </c>
      <c r="D11" s="104">
        <v>0</v>
      </c>
      <c r="E11" s="104">
        <v>4846315</v>
      </c>
    </row>
    <row r="12" spans="1:8" s="69" customFormat="1" ht="30.75" customHeight="1">
      <c r="A12" s="127" t="s">
        <v>45</v>
      </c>
      <c r="B12" s="163" t="s">
        <v>347</v>
      </c>
      <c r="C12" s="61">
        <f>+D12+E12</f>
        <v>549987796</v>
      </c>
      <c r="D12" s="104">
        <v>0</v>
      </c>
      <c r="E12" s="104">
        <v>549987796</v>
      </c>
    </row>
    <row r="13" spans="1:8" s="69" customFormat="1" ht="30.75" customHeight="1">
      <c r="A13" s="127" t="s">
        <v>46</v>
      </c>
      <c r="B13" s="163" t="s">
        <v>348</v>
      </c>
      <c r="C13" s="61">
        <f>+D13+E13</f>
        <v>0</v>
      </c>
      <c r="D13" s="104">
        <v>0</v>
      </c>
      <c r="E13" s="104">
        <v>0</v>
      </c>
    </row>
    <row r="14" spans="1:8" s="69" customFormat="1" ht="25.5" customHeight="1">
      <c r="A14" s="127" t="s">
        <v>47</v>
      </c>
      <c r="B14" s="163" t="s">
        <v>349</v>
      </c>
      <c r="C14" s="61">
        <f>+D14+E14</f>
        <v>474604581</v>
      </c>
      <c r="D14" s="5">
        <v>0</v>
      </c>
      <c r="E14" s="5">
        <v>474604581</v>
      </c>
    </row>
    <row r="15" spans="1:8" s="69" customFormat="1" ht="5.25" customHeight="1">
      <c r="A15" s="7"/>
      <c r="B15" s="6"/>
      <c r="C15" s="61"/>
      <c r="D15" s="61"/>
      <c r="E15" s="61"/>
    </row>
    <row r="16" spans="1:8" s="69" customFormat="1" ht="22.5" customHeight="1">
      <c r="A16" s="162" t="s">
        <v>33</v>
      </c>
      <c r="B16" s="161" t="s">
        <v>350</v>
      </c>
      <c r="C16" s="11">
        <f>+D16+E16</f>
        <v>327047890</v>
      </c>
      <c r="D16" s="12">
        <v>264214621</v>
      </c>
      <c r="E16" s="12">
        <v>62833269</v>
      </c>
    </row>
    <row r="17" spans="1:13" s="69" customFormat="1" ht="5.25" customHeight="1">
      <c r="A17" s="7"/>
      <c r="B17" s="6"/>
      <c r="C17" s="61"/>
      <c r="D17" s="61"/>
      <c r="E17" s="61"/>
    </row>
    <row r="18" spans="1:13" s="69" customFormat="1" ht="22.5" customHeight="1">
      <c r="A18" s="162" t="s">
        <v>40</v>
      </c>
      <c r="B18" s="161" t="s">
        <v>435</v>
      </c>
      <c r="C18" s="11">
        <f t="shared" ref="C18:C24" si="0">+D18+E18</f>
        <v>31870919</v>
      </c>
      <c r="D18" s="11">
        <f>SUM(D19:D24)</f>
        <v>29253221</v>
      </c>
      <c r="E18" s="11">
        <f>SUM(E19:E24)</f>
        <v>2617698</v>
      </c>
    </row>
    <row r="19" spans="1:13" s="69" customFormat="1" ht="22.5" customHeight="1">
      <c r="A19" s="164" t="s">
        <v>48</v>
      </c>
      <c r="B19" s="163" t="s">
        <v>395</v>
      </c>
      <c r="C19" s="61">
        <f t="shared" si="0"/>
        <v>0</v>
      </c>
      <c r="D19" s="5">
        <v>0</v>
      </c>
      <c r="E19" s="5">
        <v>0</v>
      </c>
    </row>
    <row r="20" spans="1:13" s="69" customFormat="1" ht="22.5" customHeight="1">
      <c r="A20" s="164" t="s">
        <v>49</v>
      </c>
      <c r="B20" s="163" t="s">
        <v>351</v>
      </c>
      <c r="C20" s="61">
        <f t="shared" si="0"/>
        <v>0</v>
      </c>
      <c r="D20" s="5">
        <v>0</v>
      </c>
      <c r="E20" s="5">
        <v>0</v>
      </c>
    </row>
    <row r="21" spans="1:13" s="69" customFormat="1" ht="22.5" customHeight="1">
      <c r="A21" s="164" t="s">
        <v>50</v>
      </c>
      <c r="B21" s="163" t="s">
        <v>352</v>
      </c>
      <c r="C21" s="61">
        <f t="shared" si="0"/>
        <v>0</v>
      </c>
      <c r="D21" s="5">
        <v>0</v>
      </c>
      <c r="E21" s="5">
        <v>0</v>
      </c>
    </row>
    <row r="22" spans="1:13" s="69" customFormat="1" ht="22.5" customHeight="1">
      <c r="A22" s="164" t="s">
        <v>51</v>
      </c>
      <c r="B22" s="163" t="s">
        <v>353</v>
      </c>
      <c r="C22" s="61">
        <f t="shared" si="0"/>
        <v>0</v>
      </c>
      <c r="D22" s="104">
        <v>0</v>
      </c>
      <c r="E22" s="104">
        <v>0</v>
      </c>
    </row>
    <row r="23" spans="1:13" s="69" customFormat="1" ht="29.25" customHeight="1">
      <c r="A23" s="164" t="s">
        <v>52</v>
      </c>
      <c r="B23" s="163" t="s">
        <v>354</v>
      </c>
      <c r="C23" s="61">
        <f t="shared" si="0"/>
        <v>0</v>
      </c>
      <c r="D23" s="5">
        <v>0</v>
      </c>
      <c r="E23" s="5">
        <v>0</v>
      </c>
    </row>
    <row r="24" spans="1:13" s="69" customFormat="1" ht="22.5" customHeight="1">
      <c r="A24" s="164" t="s">
        <v>384</v>
      </c>
      <c r="B24" s="163" t="s">
        <v>409</v>
      </c>
      <c r="C24" s="61">
        <f t="shared" si="0"/>
        <v>31870919</v>
      </c>
      <c r="D24" s="5">
        <v>29253221</v>
      </c>
      <c r="E24" s="5">
        <v>2617698</v>
      </c>
      <c r="J24" s="227"/>
    </row>
    <row r="25" spans="1:13" s="69" customFormat="1" ht="6" customHeight="1">
      <c r="A25" s="127"/>
      <c r="B25" s="194"/>
      <c r="C25" s="61"/>
      <c r="D25" s="61"/>
      <c r="E25" s="61"/>
    </row>
    <row r="26" spans="1:13" s="69" customFormat="1" ht="22.5" customHeight="1">
      <c r="A26" s="162" t="s">
        <v>43</v>
      </c>
      <c r="B26" s="161" t="s">
        <v>396</v>
      </c>
      <c r="C26" s="11">
        <f>+C4+C7+C10+C16+C18</f>
        <v>2740435615</v>
      </c>
      <c r="D26" s="11">
        <f>+D4+D7+D10+D16+D18</f>
        <v>880892696</v>
      </c>
      <c r="E26" s="11">
        <f>+E4+E7+E10+E16+E18</f>
        <v>1859542919</v>
      </c>
    </row>
    <row r="27" spans="1:13">
      <c r="B27" s="9"/>
    </row>
    <row r="28" spans="1:13" ht="15" customHeight="1">
      <c r="A28" s="14"/>
      <c r="B28" s="2" t="s">
        <v>446</v>
      </c>
      <c r="F28" s="70"/>
      <c r="G28" s="70"/>
      <c r="H28" s="70"/>
      <c r="I28" s="70"/>
      <c r="J28" s="70"/>
      <c r="K28" s="70"/>
      <c r="L28" s="70"/>
      <c r="M28" s="70"/>
    </row>
    <row r="29" spans="1:13" ht="11.25" customHeight="1">
      <c r="A29" s="14"/>
      <c r="B29" s="2"/>
      <c r="F29" s="70"/>
      <c r="G29" s="70"/>
      <c r="H29" s="70"/>
      <c r="I29" s="70"/>
      <c r="J29" s="70"/>
      <c r="K29" s="70"/>
      <c r="L29" s="70"/>
      <c r="M29" s="70"/>
    </row>
    <row r="30" spans="1:13" ht="15" customHeight="1">
      <c r="A30" s="14"/>
      <c r="B30" s="2" t="s">
        <v>445</v>
      </c>
      <c r="F30" s="70"/>
      <c r="G30" s="70"/>
      <c r="H30" s="70"/>
      <c r="I30" s="70"/>
      <c r="J30" s="70"/>
      <c r="K30" s="70"/>
      <c r="L30" s="70"/>
      <c r="M30" s="70"/>
    </row>
    <row r="31" spans="1:13">
      <c r="A31" s="10"/>
      <c r="B31" s="2"/>
    </row>
    <row r="34" ht="12.75" customHeight="1"/>
    <row r="35" ht="12.75" customHeight="1"/>
  </sheetData>
  <sheetProtection password="CACA" sheet="1" objects="1" scenarios="1"/>
  <mergeCells count="1">
    <mergeCell ref="A1:D1"/>
  </mergeCells>
  <phoneticPr fontId="12" type="noConversion"/>
  <conditionalFormatting sqref="C4">
    <cfRule type="cellIs" dxfId="16" priority="19" operator="notEqual">
      <formula>$F$4</formula>
    </cfRule>
  </conditionalFormatting>
  <conditionalFormatting sqref="C5">
    <cfRule type="cellIs" priority="15" operator="notEqual">
      <formula>$F$5</formula>
    </cfRule>
  </conditionalFormatting>
  <conditionalFormatting sqref="C7">
    <cfRule type="cellIs" dxfId="15" priority="12" operator="notEqual">
      <formula>$F$7</formula>
    </cfRule>
    <cfRule type="cellIs" dxfId="14" priority="30" operator="notEqual">
      <formula>$D$7+$E$7</formula>
    </cfRule>
  </conditionalFormatting>
  <conditionalFormatting sqref="C8">
    <cfRule type="cellIs" dxfId="13" priority="5" operator="notEqual">
      <formula>$F$8</formula>
    </cfRule>
  </conditionalFormatting>
  <conditionalFormatting sqref="C10">
    <cfRule type="cellIs" dxfId="12" priority="28" operator="notEqual">
      <formula>$D$10+$E$10</formula>
    </cfRule>
  </conditionalFormatting>
  <conditionalFormatting sqref="D4">
    <cfRule type="cellIs" dxfId="11" priority="18" operator="notEqual">
      <formula>$G$4</formula>
    </cfRule>
  </conditionalFormatting>
  <conditionalFormatting sqref="D7">
    <cfRule type="cellIs" dxfId="10" priority="8" operator="notEqual">
      <formula>$G$7</formula>
    </cfRule>
  </conditionalFormatting>
  <conditionalFormatting sqref="D10">
    <cfRule type="cellIs" dxfId="9" priority="24" operator="notEqual">
      <formula>$D$11+$D$12+$D$13+$D$14</formula>
    </cfRule>
  </conditionalFormatting>
  <conditionalFormatting sqref="E4">
    <cfRule type="cellIs" dxfId="8" priority="1" operator="notEqual">
      <formula>$H$4</formula>
    </cfRule>
  </conditionalFormatting>
  <conditionalFormatting sqref="E7">
    <cfRule type="cellIs" dxfId="7" priority="6" operator="notEqual">
      <formula>$H$7</formula>
    </cfRule>
  </conditionalFormatting>
  <conditionalFormatting sqref="E10">
    <cfRule type="cellIs" dxfId="6" priority="23" operator="notEqual">
      <formula>$E$11+$E$12+$E$13+$E$14</formula>
    </cfRule>
  </conditionalFormatting>
  <dataValidations count="3">
    <dataValidation type="whole" operator="greaterThanOrEqual" allowBlank="1" showErrorMessage="1" error="Введите как целое положительное число." sqref="D24 C4:C14 D7:D8 D11 D14 C26:E26 D21:D22 D16 C16:C24" xr:uid="{00000000-0002-0000-0600-000000000000}">
      <formula1>0</formula1>
    </dataValidation>
    <dataValidation type="whole" operator="greaterThanOrEqual" allowBlank="1" showInputMessage="1" showErrorMessage="1" sqref="C25 C15" xr:uid="{00000000-0002-0000-0600-000001000000}">
      <formula1>0</formula1>
    </dataValidation>
    <dataValidation type="date" operator="greaterThan" allowBlank="1" showInputMessage="1" showErrorMessage="1" prompt="Введите дату в формате ЧЧ.ММ.ГГГГ" sqref="C2" xr:uid="{00000000-0002-0000-0600-000002000000}">
      <formula1>DATE(96,1,1)</formula1>
    </dataValidation>
  </dataValidations>
  <printOptions horizontalCentered="1"/>
  <pageMargins left="0.15748031496062992" right="0.27559055118110237" top="0.55118110236220474" bottom="0.6692913385826772" header="0.51181102362204722" footer="0.51181102362204722"/>
  <pageSetup paperSize="9" scale="84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4">
    <pageSetUpPr fitToPage="1"/>
  </sheetPr>
  <dimension ref="A1:M27"/>
  <sheetViews>
    <sheetView view="pageBreakPreview" zoomScaleNormal="70" zoomScaleSheetLayoutView="100" workbookViewId="0">
      <pane xSplit="2" ySplit="3" topLeftCell="C4" activePane="bottomRight" state="frozen"/>
      <selection activeCell="C5" sqref="C5"/>
      <selection pane="topRight" activeCell="C5" sqref="C5"/>
      <selection pane="bottomLeft" activeCell="C5" sqref="C5"/>
      <selection pane="bottomRight" activeCell="E22" sqref="E22"/>
    </sheetView>
  </sheetViews>
  <sheetFormatPr defaultRowHeight="18.75"/>
  <cols>
    <col min="1" max="1" width="8.5703125" style="22" customWidth="1"/>
    <col min="2" max="2" width="65.7109375" style="22" customWidth="1"/>
    <col min="3" max="3" width="24.42578125" style="22" customWidth="1"/>
    <col min="4" max="4" width="23.28515625" style="22" customWidth="1"/>
    <col min="5" max="7" width="14" style="156" customWidth="1"/>
    <col min="8" max="16384" width="9.140625" style="22"/>
  </cols>
  <sheetData>
    <row r="1" spans="1:7" ht="22.5" customHeight="1">
      <c r="A1" s="366" t="s">
        <v>355</v>
      </c>
      <c r="B1" s="366"/>
      <c r="C1" s="366"/>
      <c r="D1" s="155" t="s">
        <v>356</v>
      </c>
    </row>
    <row r="2" spans="1:7" ht="25.5" customHeight="1">
      <c r="B2" s="23" t="str">
        <f>+Balance!B3</f>
        <v>"MKBANK"</v>
      </c>
      <c r="C2" s="240">
        <f>+Balance!D3</f>
        <v>46021</v>
      </c>
      <c r="D2" s="157" t="s">
        <v>84</v>
      </c>
    </row>
    <row r="3" spans="1:7" ht="80.25" customHeight="1">
      <c r="A3" s="39" t="s">
        <v>8</v>
      </c>
      <c r="B3" s="39" t="s">
        <v>243</v>
      </c>
      <c r="C3" s="39" t="s">
        <v>86</v>
      </c>
      <c r="D3" s="39" t="s">
        <v>363</v>
      </c>
    </row>
    <row r="4" spans="1:7" s="24" customFormat="1" ht="45" customHeight="1">
      <c r="A4" s="221" t="s">
        <v>31</v>
      </c>
      <c r="B4" s="224" t="s">
        <v>410</v>
      </c>
      <c r="C4" s="39"/>
      <c r="D4" s="39"/>
      <c r="E4" s="158"/>
      <c r="F4" s="158"/>
      <c r="G4" s="158"/>
    </row>
    <row r="5" spans="1:7" s="24" customFormat="1" ht="35.25" customHeight="1">
      <c r="A5" s="193" t="s">
        <v>34</v>
      </c>
      <c r="B5" s="222" t="s">
        <v>357</v>
      </c>
      <c r="C5" s="34">
        <v>517609</v>
      </c>
      <c r="D5" s="34">
        <v>7</v>
      </c>
      <c r="E5" s="158"/>
      <c r="F5" s="158"/>
      <c r="G5" s="158"/>
    </row>
    <row r="6" spans="1:7" s="24" customFormat="1" ht="35.25" customHeight="1">
      <c r="A6" s="193" t="s">
        <v>35</v>
      </c>
      <c r="B6" s="222" t="s">
        <v>358</v>
      </c>
      <c r="C6" s="34">
        <v>329456858</v>
      </c>
      <c r="D6" s="34">
        <v>27054213</v>
      </c>
      <c r="E6" s="158"/>
      <c r="F6" s="158"/>
      <c r="G6" s="158"/>
    </row>
    <row r="7" spans="1:7" s="24" customFormat="1" ht="35.25" customHeight="1">
      <c r="A7" s="193" t="s">
        <v>36</v>
      </c>
      <c r="B7" s="222" t="s">
        <v>359</v>
      </c>
      <c r="C7" s="34">
        <v>67843365</v>
      </c>
      <c r="D7" s="34">
        <v>4379464</v>
      </c>
      <c r="E7" s="158"/>
      <c r="F7" s="158"/>
      <c r="G7" s="158"/>
    </row>
    <row r="8" spans="1:7" s="24" customFormat="1" ht="35.25" customHeight="1">
      <c r="A8" s="193" t="s">
        <v>37</v>
      </c>
      <c r="B8" s="222" t="s">
        <v>360</v>
      </c>
      <c r="C8" s="34">
        <v>23639310</v>
      </c>
      <c r="D8" s="34">
        <v>3834210</v>
      </c>
      <c r="E8" s="158"/>
      <c r="F8" s="158"/>
      <c r="G8" s="158"/>
    </row>
    <row r="9" spans="1:7" s="24" customFormat="1" ht="35.25" customHeight="1">
      <c r="A9" s="193" t="s">
        <v>38</v>
      </c>
      <c r="B9" s="222" t="s">
        <v>361</v>
      </c>
      <c r="C9" s="34">
        <v>425317182</v>
      </c>
      <c r="D9" s="34">
        <v>21891851</v>
      </c>
      <c r="E9" s="158"/>
      <c r="F9" s="158"/>
      <c r="G9" s="158"/>
    </row>
    <row r="10" spans="1:7" s="24" customFormat="1" ht="43.5" customHeight="1">
      <c r="A10" s="193" t="s">
        <v>39</v>
      </c>
      <c r="B10" s="225" t="s">
        <v>465</v>
      </c>
      <c r="C10" s="34">
        <v>69675967</v>
      </c>
      <c r="D10" s="34">
        <v>9733148</v>
      </c>
      <c r="E10" s="158"/>
      <c r="F10" s="158"/>
      <c r="G10" s="158"/>
    </row>
    <row r="11" spans="1:7" s="26" customFormat="1" ht="42" customHeight="1">
      <c r="A11" s="221" t="s">
        <v>64</v>
      </c>
      <c r="B11" s="224" t="s">
        <v>411</v>
      </c>
      <c r="C11" s="25">
        <f>SUM(C5:C10)</f>
        <v>916450291</v>
      </c>
      <c r="D11" s="25">
        <f>SUM(D5:D10)</f>
        <v>66892893</v>
      </c>
      <c r="E11" s="232">
        <f>+'Bank Liabilities Analysis'!S15+'Bank Liabilities Analysis'!S7</f>
        <v>916450291</v>
      </c>
      <c r="F11" s="232">
        <f>+'Bank Liabilities Analysis'!T15+'Bank Liabilities Analysis'!T7</f>
        <v>849557398</v>
      </c>
      <c r="G11" s="232">
        <f>+'Bank Liabilities Analysis'!U15+'Bank Liabilities Analysis'!U7</f>
        <v>66892893</v>
      </c>
    </row>
    <row r="12" spans="1:7" s="24" customFormat="1" ht="9" customHeight="1">
      <c r="A12" s="27"/>
      <c r="B12" s="222"/>
      <c r="C12" s="28"/>
      <c r="D12" s="27"/>
      <c r="E12" s="233"/>
      <c r="F12" s="233"/>
      <c r="G12" s="233"/>
    </row>
    <row r="13" spans="1:7" s="24" customFormat="1" ht="35.25" customHeight="1">
      <c r="A13" s="221" t="s">
        <v>32</v>
      </c>
      <c r="B13" s="223" t="s">
        <v>142</v>
      </c>
      <c r="C13" s="39"/>
      <c r="D13" s="39"/>
      <c r="E13" s="234">
        <f>+C11-E11</f>
        <v>0</v>
      </c>
      <c r="F13" s="234"/>
      <c r="G13" s="234">
        <f>+D11-G11</f>
        <v>0</v>
      </c>
    </row>
    <row r="14" spans="1:7" s="24" customFormat="1" ht="35.25" customHeight="1">
      <c r="A14" s="193" t="s">
        <v>34</v>
      </c>
      <c r="B14" s="222" t="s">
        <v>357</v>
      </c>
      <c r="C14" s="34">
        <v>4537349186</v>
      </c>
      <c r="D14" s="34">
        <v>287241959</v>
      </c>
      <c r="E14" s="235"/>
      <c r="F14" s="235"/>
      <c r="G14" s="235"/>
    </row>
    <row r="15" spans="1:7" s="24" customFormat="1" ht="35.25" customHeight="1">
      <c r="A15" s="193" t="s">
        <v>35</v>
      </c>
      <c r="B15" s="222" t="s">
        <v>358</v>
      </c>
      <c r="C15" s="34">
        <v>2894748034</v>
      </c>
      <c r="D15" s="34">
        <v>218885163</v>
      </c>
      <c r="E15" s="235"/>
      <c r="F15" s="235"/>
      <c r="G15" s="235"/>
    </row>
    <row r="16" spans="1:7" s="24" customFormat="1" ht="35.25" customHeight="1">
      <c r="A16" s="193" t="s">
        <v>36</v>
      </c>
      <c r="B16" s="222" t="s">
        <v>359</v>
      </c>
      <c r="C16" s="34">
        <v>1010910379</v>
      </c>
      <c r="D16" s="34">
        <v>115327725</v>
      </c>
      <c r="E16" s="235"/>
      <c r="F16" s="235"/>
      <c r="G16" s="235"/>
    </row>
    <row r="17" spans="1:13" s="24" customFormat="1" ht="35.25" customHeight="1">
      <c r="A17" s="193" t="s">
        <v>37</v>
      </c>
      <c r="B17" s="222" t="s">
        <v>360</v>
      </c>
      <c r="C17" s="34">
        <v>136653630</v>
      </c>
      <c r="D17" s="34">
        <v>132278630</v>
      </c>
      <c r="E17" s="235"/>
      <c r="F17" s="235"/>
      <c r="G17" s="235"/>
    </row>
    <row r="18" spans="1:13" s="24" customFormat="1" ht="35.25" customHeight="1">
      <c r="A18" s="193" t="s">
        <v>38</v>
      </c>
      <c r="B18" s="222" t="s">
        <v>361</v>
      </c>
      <c r="C18" s="34">
        <v>131922688</v>
      </c>
      <c r="D18" s="34">
        <v>1382912</v>
      </c>
      <c r="E18" s="235"/>
      <c r="F18" s="235"/>
      <c r="G18" s="235"/>
    </row>
    <row r="19" spans="1:13" s="24" customFormat="1" ht="35.25" customHeight="1">
      <c r="A19" s="193" t="s">
        <v>39</v>
      </c>
      <c r="B19" s="222" t="s">
        <v>412</v>
      </c>
      <c r="C19" s="34">
        <v>98634952</v>
      </c>
      <c r="D19" s="34">
        <v>0</v>
      </c>
      <c r="E19" s="235"/>
      <c r="F19" s="235"/>
      <c r="G19" s="235"/>
    </row>
    <row r="20" spans="1:13" s="26" customFormat="1" ht="35.25" customHeight="1">
      <c r="A20" s="221" t="s">
        <v>64</v>
      </c>
      <c r="B20" s="223" t="s">
        <v>362</v>
      </c>
      <c r="C20" s="25">
        <f>SUM(C14:C19)</f>
        <v>8810218869</v>
      </c>
      <c r="D20" s="25">
        <f>SUM(D14:D19)</f>
        <v>755116389</v>
      </c>
      <c r="E20" s="232">
        <f>+'Bank Liabilities Analysis'!S12</f>
        <v>8810218869</v>
      </c>
      <c r="F20" s="232">
        <f>+'Bank Liabilities Analysis'!T12</f>
        <v>8055102480</v>
      </c>
      <c r="G20" s="232">
        <f>+'Bank Liabilities Analysis'!U12</f>
        <v>755116389</v>
      </c>
    </row>
    <row r="21" spans="1:13" s="24" customFormat="1" ht="9" customHeight="1">
      <c r="A21" s="193"/>
      <c r="B21" s="222"/>
      <c r="C21" s="28"/>
      <c r="D21" s="28"/>
      <c r="E21" s="234">
        <f>+C20-E20</f>
        <v>0</v>
      </c>
      <c r="F21" s="234"/>
      <c r="G21" s="234">
        <f>+D20-G20</f>
        <v>0</v>
      </c>
    </row>
    <row r="22" spans="1:13" s="26" customFormat="1" ht="35.25" customHeight="1">
      <c r="A22" s="221" t="s">
        <v>42</v>
      </c>
      <c r="B22" s="223" t="s">
        <v>325</v>
      </c>
      <c r="C22" s="25">
        <f t="shared" ref="C22:D22" si="0">+C11+C20</f>
        <v>9726669160</v>
      </c>
      <c r="D22" s="25">
        <f t="shared" si="0"/>
        <v>822009282</v>
      </c>
      <c r="E22" s="232">
        <f>+'Bank Liabilities Analysis'!S20</f>
        <v>9726669160</v>
      </c>
      <c r="F22" s="232">
        <f>+'Bank Liabilities Analysis'!T20</f>
        <v>8904659878</v>
      </c>
      <c r="G22" s="232">
        <f>+'Bank Liabilities Analysis'!U20</f>
        <v>822009282</v>
      </c>
    </row>
    <row r="23" spans="1:13">
      <c r="E23" s="231">
        <f>+C22-E22</f>
        <v>0</v>
      </c>
      <c r="F23" s="231"/>
      <c r="G23" s="231">
        <f>+D22-G22</f>
        <v>0</v>
      </c>
    </row>
    <row r="24" spans="1:13" s="14" customFormat="1" ht="18">
      <c r="B24" s="230" t="s">
        <v>446</v>
      </c>
      <c r="F24" s="70"/>
      <c r="G24" s="70"/>
      <c r="H24" s="70"/>
      <c r="I24" s="70"/>
      <c r="J24" s="70"/>
      <c r="K24" s="70"/>
      <c r="L24" s="70"/>
      <c r="M24" s="70"/>
    </row>
    <row r="25" spans="1:13" s="14" customFormat="1" ht="19.5" customHeight="1">
      <c r="B25" s="230"/>
      <c r="F25" s="70"/>
      <c r="G25" s="70"/>
      <c r="H25" s="70"/>
      <c r="I25" s="70"/>
      <c r="J25" s="70"/>
      <c r="K25" s="70"/>
      <c r="L25" s="70"/>
      <c r="M25" s="70"/>
    </row>
    <row r="26" spans="1:13" s="14" customFormat="1" ht="18">
      <c r="B26" s="230" t="s">
        <v>445</v>
      </c>
      <c r="F26" s="70"/>
      <c r="G26" s="70"/>
      <c r="H26" s="70"/>
      <c r="I26" s="70"/>
      <c r="J26" s="70"/>
      <c r="K26" s="70"/>
      <c r="L26" s="70"/>
      <c r="M26" s="70"/>
    </row>
    <row r="27" spans="1:13">
      <c r="B27" s="29"/>
      <c r="E27" s="22"/>
      <c r="F27" s="22"/>
      <c r="G27" s="22"/>
    </row>
  </sheetData>
  <sheetProtection password="CACA" sheet="1" objects="1" scenarios="1"/>
  <mergeCells count="1">
    <mergeCell ref="A1:C1"/>
  </mergeCells>
  <phoneticPr fontId="12" type="noConversion"/>
  <conditionalFormatting sqref="C11">
    <cfRule type="cellIs" dxfId="5" priority="15" operator="notEqual">
      <formula>$E$11</formula>
    </cfRule>
  </conditionalFormatting>
  <conditionalFormatting sqref="C20">
    <cfRule type="cellIs" dxfId="4" priority="16" operator="notEqual">
      <formula>$E$20</formula>
    </cfRule>
  </conditionalFormatting>
  <conditionalFormatting sqref="C22">
    <cfRule type="cellIs" dxfId="3" priority="17" operator="notEqual">
      <formula>$E$22</formula>
    </cfRule>
  </conditionalFormatting>
  <conditionalFormatting sqref="D11">
    <cfRule type="cellIs" dxfId="2" priority="9" operator="notEqual">
      <formula>$G$11</formula>
    </cfRule>
  </conditionalFormatting>
  <conditionalFormatting sqref="D20">
    <cfRule type="cellIs" dxfId="1" priority="10" operator="notEqual">
      <formula>$G$20</formula>
    </cfRule>
  </conditionalFormatting>
  <conditionalFormatting sqref="D22">
    <cfRule type="cellIs" dxfId="0" priority="11" operator="notEqual">
      <formula>$G$22</formula>
    </cfRule>
  </conditionalFormatting>
  <dataValidations xWindow="471" yWindow="473" count="3">
    <dataValidation type="whole" operator="greaterThanOrEqual" allowBlank="1" showErrorMessage="1" error="Введите как целое число." sqref="C5:D10 C14:D19" xr:uid="{00000000-0002-0000-0700-000000000000}">
      <formula1>0</formula1>
    </dataValidation>
    <dataValidation allowBlank="1" showInputMessage="1" showErrorMessage="1" prompt="Примечание: Депозиты до востребования должны включать другие депозиты из таблицы &quot;Анализ обязательств банка&quot; " sqref="C11:D11" xr:uid="{00000000-0002-0000-0700-000001000000}"/>
    <dataValidation type="date" operator="greaterThan" allowBlank="1" showInputMessage="1" showErrorMessage="1" prompt="Введите дату в формате ЧЧ.ММ.ГГГГ" sqref="C2" xr:uid="{00000000-0002-0000-0700-000002000000}">
      <formula1>DATE(96,1,1)</formula1>
    </dataValidation>
  </dataValidations>
  <printOptions horizontalCentered="1"/>
  <pageMargins left="0.31496062992125984" right="0.23622047244094491" top="0.55118110236220474" bottom="0.19685039370078741" header="0.35433070866141736" footer="0.15748031496062992"/>
  <pageSetup paperSize="9" scale="82" orientation="portrait" r:id="rId1"/>
  <headerFooter alignWithMargins="0"/>
  <ignoredErrors>
    <ignoredError sqref="E22:G24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5">
    <pageSetUpPr fitToPage="1"/>
  </sheetPr>
  <dimension ref="A1:M44"/>
  <sheetViews>
    <sheetView view="pageBreakPreview" zoomScale="90" zoomScaleNormal="100" zoomScaleSheetLayoutView="90" workbookViewId="0">
      <pane xSplit="1" ySplit="4" topLeftCell="B5" activePane="bottomRight" state="frozen"/>
      <selection activeCell="C5" sqref="C5"/>
      <selection pane="topRight" activeCell="C5" sqref="C5"/>
      <selection pane="bottomLeft" activeCell="C5" sqref="C5"/>
      <selection pane="bottomRight" activeCell="C5" sqref="C5"/>
    </sheetView>
  </sheetViews>
  <sheetFormatPr defaultRowHeight="12.75"/>
  <cols>
    <col min="1" max="1" width="52" style="14" customWidth="1"/>
    <col min="2" max="2" width="15.42578125" style="14" customWidth="1"/>
    <col min="3" max="4" width="14.42578125" style="14" customWidth="1"/>
    <col min="5" max="5" width="16.140625" style="14" bestFit="1" customWidth="1"/>
    <col min="6" max="8" width="12.140625" style="112" customWidth="1"/>
    <col min="9" max="16384" width="9.140625" style="14"/>
  </cols>
  <sheetData>
    <row r="1" spans="1:8" ht="44.25" customHeight="1">
      <c r="A1" s="365" t="s">
        <v>364</v>
      </c>
      <c r="B1" s="365"/>
      <c r="C1" s="365"/>
      <c r="D1" s="365"/>
      <c r="E1" s="105" t="s">
        <v>365</v>
      </c>
    </row>
    <row r="2" spans="1:8" s="69" customFormat="1" ht="18" customHeight="1">
      <c r="A2" s="31" t="str">
        <f>Balance!B3</f>
        <v>"MKBANK"</v>
      </c>
      <c r="C2" s="369">
        <f>+Balance!D3</f>
        <v>46021</v>
      </c>
      <c r="D2" s="369"/>
      <c r="E2" s="151" t="str">
        <f>+Balance!E3</f>
        <v>минг сўмда</v>
      </c>
      <c r="F2" s="113"/>
      <c r="G2" s="113"/>
      <c r="H2" s="113"/>
    </row>
    <row r="3" spans="1:8" s="118" customFormat="1" ht="12.75" customHeight="1">
      <c r="A3" s="367" t="s">
        <v>436</v>
      </c>
      <c r="B3" s="367" t="s">
        <v>366</v>
      </c>
      <c r="C3" s="370" t="s">
        <v>245</v>
      </c>
      <c r="D3" s="371"/>
      <c r="E3" s="367" t="s">
        <v>367</v>
      </c>
      <c r="G3" s="69"/>
    </row>
    <row r="4" spans="1:8" s="118" customFormat="1" ht="46.5" customHeight="1">
      <c r="A4" s="368"/>
      <c r="B4" s="368"/>
      <c r="C4" s="152" t="s">
        <v>256</v>
      </c>
      <c r="D4" s="152" t="s">
        <v>257</v>
      </c>
      <c r="E4" s="368"/>
      <c r="G4" s="69"/>
    </row>
    <row r="5" spans="1:8" s="69" customFormat="1" ht="19.5" customHeight="1">
      <c r="A5" s="153" t="s">
        <v>368</v>
      </c>
      <c r="B5" s="61">
        <f t="shared" ref="B5:B14" si="0">+C5+D5</f>
        <v>0</v>
      </c>
      <c r="C5" s="5">
        <v>0</v>
      </c>
      <c r="D5" s="5">
        <v>0</v>
      </c>
      <c r="E5" s="5">
        <v>0</v>
      </c>
      <c r="F5" s="113"/>
      <c r="G5" s="113"/>
      <c r="H5" s="113"/>
    </row>
    <row r="6" spans="1:8" s="69" customFormat="1" ht="25.5">
      <c r="A6" s="154" t="s">
        <v>369</v>
      </c>
      <c r="B6" s="61">
        <f t="shared" si="0"/>
        <v>0</v>
      </c>
      <c r="C6" s="5">
        <v>0</v>
      </c>
      <c r="D6" s="5">
        <v>0</v>
      </c>
      <c r="E6" s="5">
        <v>0</v>
      </c>
      <c r="F6" s="113"/>
      <c r="G6" s="113"/>
      <c r="H6" s="113"/>
    </row>
    <row r="7" spans="1:8" s="69" customFormat="1" ht="16.5" customHeight="1">
      <c r="A7" s="154" t="s">
        <v>437</v>
      </c>
      <c r="B7" s="61">
        <f t="shared" si="0"/>
        <v>0</v>
      </c>
      <c r="C7" s="5">
        <v>0</v>
      </c>
      <c r="D7" s="5">
        <v>0</v>
      </c>
      <c r="E7" s="5">
        <v>0</v>
      </c>
      <c r="F7" s="113"/>
      <c r="G7" s="113"/>
      <c r="H7" s="113"/>
    </row>
    <row r="8" spans="1:8" s="69" customFormat="1" ht="16.5" customHeight="1">
      <c r="A8" s="154" t="s">
        <v>370</v>
      </c>
      <c r="B8" s="61">
        <f t="shared" si="0"/>
        <v>0</v>
      </c>
      <c r="C8" s="5">
        <v>0</v>
      </c>
      <c r="D8" s="5">
        <v>0</v>
      </c>
      <c r="E8" s="5">
        <v>0</v>
      </c>
      <c r="F8" s="113"/>
      <c r="G8" s="113"/>
      <c r="H8" s="113"/>
    </row>
    <row r="9" spans="1:8" s="69" customFormat="1" ht="25.5">
      <c r="A9" s="154" t="s">
        <v>438</v>
      </c>
      <c r="B9" s="61">
        <f t="shared" si="0"/>
        <v>52178810</v>
      </c>
      <c r="C9" s="5">
        <v>52178810</v>
      </c>
      <c r="D9" s="5">
        <v>0</v>
      </c>
      <c r="E9" s="5">
        <f>+C9</f>
        <v>52178810</v>
      </c>
      <c r="F9" s="113"/>
      <c r="G9" s="113"/>
      <c r="H9" s="113"/>
    </row>
    <row r="10" spans="1:8" s="69" customFormat="1" ht="24.75" customHeight="1">
      <c r="A10" s="154" t="s">
        <v>439</v>
      </c>
      <c r="B10" s="61">
        <f t="shared" si="0"/>
        <v>872410142</v>
      </c>
      <c r="C10" s="5">
        <v>872410142</v>
      </c>
      <c r="D10" s="5">
        <v>0</v>
      </c>
      <c r="E10" s="5">
        <v>0</v>
      </c>
      <c r="F10" s="113"/>
      <c r="G10" s="113"/>
      <c r="H10" s="113"/>
    </row>
    <row r="11" spans="1:8" s="69" customFormat="1" ht="24.75" customHeight="1">
      <c r="A11" s="154" t="s">
        <v>371</v>
      </c>
      <c r="B11" s="61">
        <f t="shared" si="0"/>
        <v>413821</v>
      </c>
      <c r="C11" s="5">
        <v>413821</v>
      </c>
      <c r="D11" s="5"/>
      <c r="E11" s="5">
        <f>C11</f>
        <v>413821</v>
      </c>
      <c r="F11" s="113"/>
      <c r="G11" s="113"/>
      <c r="H11" s="113"/>
    </row>
    <row r="12" spans="1:8" s="69" customFormat="1" ht="17.25" customHeight="1">
      <c r="A12" s="196" t="s">
        <v>372</v>
      </c>
      <c r="B12" s="11">
        <f t="shared" si="0"/>
        <v>925002773</v>
      </c>
      <c r="C12" s="11">
        <f>SUM(C5:C11)</f>
        <v>925002773</v>
      </c>
      <c r="D12" s="11">
        <f t="shared" ref="D12" si="1">SUM(D5:D11)</f>
        <v>0</v>
      </c>
      <c r="E12" s="11">
        <f>SUM(E5:E11)</f>
        <v>52592631</v>
      </c>
      <c r="F12" s="113"/>
      <c r="G12" s="113"/>
      <c r="H12" s="113"/>
    </row>
    <row r="13" spans="1:8" s="69" customFormat="1" ht="28.5" customHeight="1">
      <c r="A13" s="154" t="s">
        <v>419</v>
      </c>
      <c r="B13" s="61">
        <f t="shared" si="0"/>
        <v>0</v>
      </c>
      <c r="C13" s="5">
        <v>0</v>
      </c>
      <c r="D13" s="5">
        <v>0</v>
      </c>
      <c r="E13" s="5">
        <v>0</v>
      </c>
      <c r="F13" s="113"/>
      <c r="G13" s="113"/>
      <c r="H13" s="113"/>
    </row>
    <row r="14" spans="1:8" s="69" customFormat="1" ht="18" customHeight="1">
      <c r="A14" s="226" t="s">
        <v>376</v>
      </c>
      <c r="B14" s="61">
        <f t="shared" si="0"/>
        <v>0</v>
      </c>
      <c r="C14" s="5">
        <v>0</v>
      </c>
      <c r="D14" s="5">
        <v>0</v>
      </c>
      <c r="E14" s="115"/>
      <c r="F14" s="113"/>
      <c r="G14" s="113"/>
      <c r="H14" s="113"/>
    </row>
    <row r="15" spans="1:8" s="69" customFormat="1" ht="18" customHeight="1">
      <c r="A15" s="196" t="s">
        <v>413</v>
      </c>
      <c r="B15" s="11">
        <f>+C15+D15</f>
        <v>925002773</v>
      </c>
      <c r="C15" s="11">
        <f>C12+C13-C14</f>
        <v>925002773</v>
      </c>
      <c r="D15" s="11">
        <f>D12+D13-D14</f>
        <v>0</v>
      </c>
      <c r="E15" s="116"/>
      <c r="F15" s="117"/>
      <c r="G15" s="113"/>
      <c r="H15" s="113"/>
    </row>
    <row r="16" spans="1:8" ht="12.75" customHeight="1">
      <c r="A16" s="2"/>
      <c r="B16" s="69"/>
      <c r="C16" s="69"/>
      <c r="D16" s="69"/>
      <c r="E16" s="69"/>
      <c r="G16" s="113"/>
      <c r="H16" s="113"/>
    </row>
    <row r="17" spans="1:8" s="118" customFormat="1" ht="12.75" customHeight="1">
      <c r="A17" s="367" t="s">
        <v>383</v>
      </c>
      <c r="B17" s="367" t="s">
        <v>366</v>
      </c>
      <c r="C17" s="370" t="s">
        <v>245</v>
      </c>
      <c r="D17" s="371"/>
      <c r="E17" s="367" t="s">
        <v>367</v>
      </c>
      <c r="G17" s="69"/>
    </row>
    <row r="18" spans="1:8" s="118" customFormat="1" ht="38.25">
      <c r="A18" s="368"/>
      <c r="B18" s="368"/>
      <c r="C18" s="152" t="s">
        <v>256</v>
      </c>
      <c r="D18" s="152" t="s">
        <v>257</v>
      </c>
      <c r="E18" s="368"/>
      <c r="G18" s="69"/>
    </row>
    <row r="19" spans="1:8" s="69" customFormat="1" ht="18.75" customHeight="1">
      <c r="A19" s="153" t="s">
        <v>414</v>
      </c>
      <c r="B19" s="61">
        <f t="shared" ref="B19:B28" si="2">+C19+D19</f>
        <v>0</v>
      </c>
      <c r="C19" s="5">
        <v>0</v>
      </c>
      <c r="D19" s="5">
        <v>0</v>
      </c>
      <c r="E19" s="5">
        <v>0</v>
      </c>
      <c r="F19" s="113"/>
      <c r="H19" s="113"/>
    </row>
    <row r="20" spans="1:8" s="69" customFormat="1" ht="18.75" customHeight="1">
      <c r="A20" s="154" t="s">
        <v>373</v>
      </c>
      <c r="B20" s="61">
        <f>+C20+D20</f>
        <v>113400000</v>
      </c>
      <c r="C20" s="5">
        <v>113400000</v>
      </c>
      <c r="D20" s="5">
        <v>0</v>
      </c>
      <c r="E20" s="5">
        <f>+C20</f>
        <v>113400000</v>
      </c>
      <c r="F20" s="113"/>
      <c r="H20" s="113"/>
    </row>
    <row r="21" spans="1:8" s="69" customFormat="1" ht="25.5">
      <c r="A21" s="154" t="s">
        <v>415</v>
      </c>
      <c r="B21" s="61">
        <f t="shared" si="2"/>
        <v>400700000</v>
      </c>
      <c r="C21" s="5">
        <v>400700000</v>
      </c>
      <c r="D21" s="5">
        <v>0</v>
      </c>
      <c r="E21" s="5">
        <f>+C21</f>
        <v>400700000</v>
      </c>
      <c r="F21" s="113"/>
      <c r="H21" s="113"/>
    </row>
    <row r="22" spans="1:8" s="69" customFormat="1" ht="18.75" customHeight="1">
      <c r="A22" s="154" t="s">
        <v>440</v>
      </c>
      <c r="B22" s="61">
        <f t="shared" si="2"/>
        <v>10000000</v>
      </c>
      <c r="C22" s="5">
        <v>10000000</v>
      </c>
      <c r="D22" s="5">
        <v>0</v>
      </c>
      <c r="E22" s="5">
        <v>0</v>
      </c>
      <c r="F22" s="113"/>
      <c r="H22" s="113"/>
    </row>
    <row r="23" spans="1:8" s="69" customFormat="1" ht="18.75" customHeight="1">
      <c r="A23" s="154" t="s">
        <v>374</v>
      </c>
      <c r="B23" s="61">
        <f t="shared" si="2"/>
        <v>0</v>
      </c>
      <c r="C23" s="5">
        <v>0</v>
      </c>
      <c r="D23" s="5">
        <v>0</v>
      </c>
      <c r="E23" s="5">
        <v>0</v>
      </c>
      <c r="F23" s="113"/>
      <c r="H23" s="113"/>
    </row>
    <row r="24" spans="1:8" s="69" customFormat="1" ht="18.75" customHeight="1">
      <c r="A24" s="154" t="s">
        <v>441</v>
      </c>
      <c r="B24" s="61">
        <f t="shared" si="2"/>
        <v>0</v>
      </c>
      <c r="C24" s="5">
        <v>0</v>
      </c>
      <c r="D24" s="5">
        <v>0</v>
      </c>
      <c r="E24" s="5">
        <f>+C24</f>
        <v>0</v>
      </c>
      <c r="F24" s="113"/>
      <c r="H24" s="113"/>
    </row>
    <row r="25" spans="1:8" s="69" customFormat="1" ht="18.75" customHeight="1">
      <c r="A25" s="114" t="s">
        <v>375</v>
      </c>
      <c r="B25" s="61">
        <f t="shared" si="2"/>
        <v>0</v>
      </c>
      <c r="C25" s="5">
        <v>0</v>
      </c>
      <c r="D25" s="5">
        <v>0</v>
      </c>
      <c r="E25" s="5">
        <v>0</v>
      </c>
      <c r="F25" s="113"/>
      <c r="H25" s="113"/>
    </row>
    <row r="26" spans="1:8" s="69" customFormat="1" ht="30.75" customHeight="1">
      <c r="A26" s="195" t="s">
        <v>394</v>
      </c>
      <c r="B26" s="11">
        <f t="shared" ref="B26" si="3">+C26+D26</f>
        <v>524100000</v>
      </c>
      <c r="C26" s="11">
        <f>SUM(C19:C25)</f>
        <v>524100000</v>
      </c>
      <c r="D26" s="11">
        <f t="shared" ref="D26" si="4">SUM(D19:D25)</f>
        <v>0</v>
      </c>
      <c r="E26" s="11">
        <f>SUM(E19:E25)</f>
        <v>514100000</v>
      </c>
      <c r="F26" s="113"/>
      <c r="H26" s="113"/>
    </row>
    <row r="27" spans="1:8" s="69" customFormat="1" ht="27.75" customHeight="1">
      <c r="A27" s="154" t="s">
        <v>442</v>
      </c>
      <c r="B27" s="61">
        <f t="shared" si="2"/>
        <v>-5930680</v>
      </c>
      <c r="C27" s="5">
        <v>-5930680</v>
      </c>
      <c r="D27" s="5">
        <v>0</v>
      </c>
      <c r="E27" s="5">
        <f>+B27</f>
        <v>-5930680</v>
      </c>
      <c r="F27" s="113"/>
      <c r="H27" s="113"/>
    </row>
    <row r="28" spans="1:8" s="69" customFormat="1" ht="22.5" customHeight="1">
      <c r="A28" s="153" t="s">
        <v>376</v>
      </c>
      <c r="B28" s="61">
        <f t="shared" si="2"/>
        <v>0</v>
      </c>
      <c r="C28" s="5">
        <v>0</v>
      </c>
      <c r="D28" s="5">
        <v>0</v>
      </c>
      <c r="E28" s="115"/>
      <c r="F28" s="113"/>
      <c r="H28" s="113"/>
    </row>
    <row r="29" spans="1:8" s="69" customFormat="1" ht="27.75" customHeight="1">
      <c r="A29" s="154" t="s">
        <v>443</v>
      </c>
      <c r="B29" s="11">
        <f>+C29+D29</f>
        <v>518169320</v>
      </c>
      <c r="C29" s="11">
        <f>+C26+C27-C28</f>
        <v>518169320</v>
      </c>
      <c r="D29" s="11">
        <f>+D26+D27-D28</f>
        <v>0</v>
      </c>
      <c r="E29" s="116"/>
      <c r="F29" s="113"/>
      <c r="H29" s="113"/>
    </row>
    <row r="30" spans="1:8" ht="15.75">
      <c r="A30" s="21"/>
      <c r="B30" s="69"/>
      <c r="C30" s="69"/>
      <c r="D30" s="69"/>
      <c r="E30" s="69"/>
      <c r="G30" s="69"/>
    </row>
    <row r="31" spans="1:8" s="118" customFormat="1">
      <c r="A31" s="367" t="s">
        <v>377</v>
      </c>
      <c r="B31" s="367" t="s">
        <v>366</v>
      </c>
      <c r="C31" s="370" t="s">
        <v>245</v>
      </c>
      <c r="D31" s="371"/>
      <c r="E31" s="367" t="s">
        <v>367</v>
      </c>
      <c r="G31" s="69"/>
    </row>
    <row r="32" spans="1:8" s="118" customFormat="1" ht="38.25">
      <c r="A32" s="368"/>
      <c r="B32" s="368"/>
      <c r="C32" s="152" t="s">
        <v>256</v>
      </c>
      <c r="D32" s="152" t="s">
        <v>257</v>
      </c>
      <c r="E32" s="368"/>
      <c r="G32" s="69"/>
    </row>
    <row r="33" spans="1:13">
      <c r="A33" s="119"/>
      <c r="B33" s="114"/>
      <c r="C33" s="114"/>
      <c r="D33" s="114"/>
      <c r="E33" s="114"/>
    </row>
    <row r="34" spans="1:13" ht="16.5" customHeight="1">
      <c r="A34" s="114" t="s">
        <v>378</v>
      </c>
      <c r="B34" s="61">
        <f t="shared" ref="B34:B36" si="5">+C34+D34</f>
        <v>0</v>
      </c>
      <c r="C34" s="5">
        <v>0</v>
      </c>
      <c r="D34" s="5">
        <v>0</v>
      </c>
      <c r="E34" s="5">
        <f t="shared" ref="E34:E36" si="6">+C34</f>
        <v>0</v>
      </c>
    </row>
    <row r="35" spans="1:13" ht="16.5" customHeight="1">
      <c r="A35" s="114" t="s">
        <v>379</v>
      </c>
      <c r="B35" s="61">
        <f t="shared" si="5"/>
        <v>0</v>
      </c>
      <c r="C35" s="5">
        <v>0</v>
      </c>
      <c r="D35" s="5">
        <v>0</v>
      </c>
      <c r="E35" s="5">
        <f t="shared" si="6"/>
        <v>0</v>
      </c>
    </row>
    <row r="36" spans="1:13" ht="16.5" customHeight="1">
      <c r="A36" s="114" t="s">
        <v>380</v>
      </c>
      <c r="B36" s="61">
        <f t="shared" si="5"/>
        <v>175</v>
      </c>
      <c r="C36" s="5">
        <v>175</v>
      </c>
      <c r="D36" s="5">
        <v>0</v>
      </c>
      <c r="E36" s="5">
        <f t="shared" si="6"/>
        <v>175</v>
      </c>
    </row>
    <row r="37" spans="1:13" ht="16.5" customHeight="1">
      <c r="A37" s="307" t="s">
        <v>381</v>
      </c>
      <c r="B37" s="11">
        <f t="shared" ref="B37:B39" si="7">+C37+D37</f>
        <v>175</v>
      </c>
      <c r="C37" s="11">
        <f>SUM(C34:C36)</f>
        <v>175</v>
      </c>
      <c r="D37" s="11">
        <f t="shared" ref="D37" si="8">SUM(D34:D36)</f>
        <v>0</v>
      </c>
      <c r="E37" s="11">
        <f>SUM(E34:E36)</f>
        <v>175</v>
      </c>
    </row>
    <row r="38" spans="1:13" ht="16.5" customHeight="1">
      <c r="A38" s="153" t="s">
        <v>382</v>
      </c>
      <c r="B38" s="61">
        <f t="shared" si="7"/>
        <v>0</v>
      </c>
      <c r="C38" s="5">
        <v>0</v>
      </c>
      <c r="D38" s="5">
        <v>0</v>
      </c>
      <c r="E38" s="115"/>
    </row>
    <row r="39" spans="1:13" ht="26.25" customHeight="1">
      <c r="A39" s="154" t="s">
        <v>416</v>
      </c>
      <c r="B39" s="11">
        <f t="shared" si="7"/>
        <v>175</v>
      </c>
      <c r="C39" s="11">
        <f>C37-C38</f>
        <v>175</v>
      </c>
      <c r="D39" s="11">
        <f t="shared" ref="D39" si="9">D37-D38</f>
        <v>0</v>
      </c>
      <c r="E39" s="116"/>
    </row>
    <row r="40" spans="1:13" ht="12.75" customHeight="1">
      <c r="F40" s="14"/>
      <c r="G40" s="14"/>
      <c r="H40" s="14"/>
    </row>
    <row r="41" spans="1:13" ht="15" customHeight="1">
      <c r="A41" s="228" t="s">
        <v>446</v>
      </c>
      <c r="F41" s="70"/>
      <c r="G41" s="70"/>
      <c r="H41" s="70"/>
      <c r="I41" s="70"/>
      <c r="J41" s="70"/>
      <c r="K41" s="70"/>
      <c r="L41" s="70"/>
      <c r="M41" s="70"/>
    </row>
    <row r="42" spans="1:13" ht="11.25" customHeight="1">
      <c r="A42" s="228"/>
      <c r="F42" s="70"/>
      <c r="G42" s="70"/>
      <c r="H42" s="70"/>
      <c r="I42" s="70"/>
      <c r="J42" s="70"/>
      <c r="K42" s="70"/>
      <c r="L42" s="70"/>
      <c r="M42" s="70"/>
    </row>
    <row r="43" spans="1:13" ht="15" customHeight="1">
      <c r="A43" s="228" t="s">
        <v>445</v>
      </c>
      <c r="F43" s="70"/>
      <c r="G43" s="70"/>
      <c r="H43" s="70"/>
      <c r="I43" s="70"/>
      <c r="J43" s="70"/>
      <c r="K43" s="70"/>
      <c r="L43" s="70"/>
      <c r="M43" s="70"/>
    </row>
    <row r="44" spans="1:13" ht="12.75" customHeight="1">
      <c r="A44" s="2"/>
      <c r="F44" s="14"/>
      <c r="G44" s="14"/>
      <c r="H44" s="14"/>
    </row>
  </sheetData>
  <sheetProtection password="CACA" sheet="1" objects="1" scenarios="1"/>
  <mergeCells count="14">
    <mergeCell ref="E17:E18"/>
    <mergeCell ref="A1:D1"/>
    <mergeCell ref="C2:D2"/>
    <mergeCell ref="A31:A32"/>
    <mergeCell ref="B31:B32"/>
    <mergeCell ref="C31:D31"/>
    <mergeCell ref="A17:A18"/>
    <mergeCell ref="B17:B18"/>
    <mergeCell ref="C17:D17"/>
    <mergeCell ref="C3:D3"/>
    <mergeCell ref="A3:A4"/>
    <mergeCell ref="B3:B4"/>
    <mergeCell ref="E3:E4"/>
    <mergeCell ref="E31:E32"/>
  </mergeCells>
  <phoneticPr fontId="12" type="noConversion"/>
  <dataValidations count="3">
    <dataValidation type="whole" operator="greaterThanOrEqual" allowBlank="1" showErrorMessage="1" error="Введите как целое число." sqref="B38:D38 C19:E24 B5:E11 B13:B14 B19:B25 B27:B28 B34:E36" xr:uid="{00000000-0002-0000-0800-000000000000}">
      <formula1>0</formula1>
    </dataValidation>
    <dataValidation type="whole" operator="greaterThanOrEqual" allowBlank="1" showInputMessage="1" showErrorMessage="1" prompt="Ввести как положительное число." sqref="C28:D28 C14:D14" xr:uid="{00000000-0002-0000-0800-000001000000}">
      <formula1>0</formula1>
    </dataValidation>
    <dataValidation type="date" operator="greaterThan" allowBlank="1" showInputMessage="1" showErrorMessage="1" prompt="Введите дату в формате ЧЧ.ММ.ГГГГ" sqref="C2" xr:uid="{00000000-0002-0000-0800-000002000000}">
      <formula1>DATE(96,1,1)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scale="86" orientation="portrait" r:id="rId1"/>
  <headerFooter alignWithMargins="0"/>
  <ignoredErrors>
    <ignoredError sqref="E14:E18 E30:E33 E12 E28:E29 B19:B25 B29:D29 B27 B26:D26 E37:E39 B34:B36 B37:D37 B28 E34:E36 B39:D39 B38" unlockedFormula="1"/>
    <ignoredError sqref="E26" formula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10</vt:i4>
      </vt:variant>
    </vt:vector>
  </HeadingPairs>
  <TitlesOfParts>
    <vt:vector size="19" baseType="lpstr">
      <vt:lpstr>Balance</vt:lpstr>
      <vt:lpstr>Liquidity Analysis</vt:lpstr>
      <vt:lpstr>Bank Assets Analysis</vt:lpstr>
      <vt:lpstr>Bank Assets Analysis (нац)</vt:lpstr>
      <vt:lpstr>Bank Liabilities Analysis</vt:lpstr>
      <vt:lpstr>Bank Liabilities Analysis (нац)</vt:lpstr>
      <vt:lpstr>Commitments</vt:lpstr>
      <vt:lpstr>Deposits by Client</vt:lpstr>
      <vt:lpstr>Investment Securities</vt:lpstr>
      <vt:lpstr>Balance!OLE_LINK19</vt:lpstr>
      <vt:lpstr>Balance!Область_печати</vt:lpstr>
      <vt:lpstr>'Bank Assets Analysis'!Область_печати</vt:lpstr>
      <vt:lpstr>'Bank Assets Analysis (нац)'!Область_печати</vt:lpstr>
      <vt:lpstr>'Bank Liabilities Analysis'!Область_печати</vt:lpstr>
      <vt:lpstr>'Bank Liabilities Analysis (нац)'!Область_печати</vt:lpstr>
      <vt:lpstr>Commitments!Область_печати</vt:lpstr>
      <vt:lpstr>'Deposits by Client'!Область_печати</vt:lpstr>
      <vt:lpstr>'Investment Securities'!Область_печати</vt:lpstr>
      <vt:lpstr>'Liquidity Analysis'!Область_печати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Boburjon Sanayev Sobirjon oʻgʻli</cp:lastModifiedBy>
  <cp:lastPrinted>2025-03-04T11:09:21Z</cp:lastPrinted>
  <dcterms:created xsi:type="dcterms:W3CDTF">2014-01-27T05:06:32Z</dcterms:created>
  <dcterms:modified xsi:type="dcterms:W3CDTF">2026-01-19T07:08:20Z</dcterms:modified>
</cp:coreProperties>
</file>