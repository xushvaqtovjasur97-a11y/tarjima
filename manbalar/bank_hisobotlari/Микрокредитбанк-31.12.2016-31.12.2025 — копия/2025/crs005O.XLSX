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01) BOBURJON\01. Нормативка (т)\01) 01,01,2026\"/>
    </mc:Choice>
  </mc:AlternateContent>
  <xr:revisionPtr revIDLastSave="0" documentId="13_ncr:1_{5F0F5970-DE6C-4840-92B4-23D7C0B948CE}" xr6:coauthVersionLast="47" xr6:coauthVersionMax="47" xr10:uidLastSave="{00000000-0000-0000-0000-000000000000}"/>
  <bookViews>
    <workbookView xWindow="-120" yWindow="-120" windowWidth="38640" windowHeight="21120" tabRatio="977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loans type" sheetId="40" r:id="rId13"/>
    <sheet name="IRRBB_fixed%" sheetId="49" r:id="rId14"/>
    <sheet name="IRRBB_floating%" sheetId="52" r:id="rId15"/>
    <sheet name="Economic Normatives" sheetId="20" r:id="rId16"/>
    <sheet name="Miscellaneous" sheetId="21" r:id="rId17"/>
    <sheet name="ПФУ" sheetId="42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add21" localSheetId="13" hidden="1">[1]tab17!#REF!</definedName>
    <definedName name="____add21" localSheetId="14" hidden="1">[1]tab17!#REF!</definedName>
    <definedName name="____add21" localSheetId="17" hidden="1">[1]tab17!#REF!</definedName>
    <definedName name="____add21" hidden="1">[1]tab17!#REF!</definedName>
    <definedName name="___add21" localSheetId="13" hidden="1">[1]tab17!#REF!</definedName>
    <definedName name="___add21" localSheetId="14" hidden="1">[1]tab17!#REF!</definedName>
    <definedName name="___add21" localSheetId="17" hidden="1">[1]tab17!#REF!</definedName>
    <definedName name="___add21" hidden="1">[1]tab17!#REF!</definedName>
    <definedName name="__123Graph_A" localSheetId="13" hidden="1">'[2]tab 19'!#REF!</definedName>
    <definedName name="__123Graph_A" localSheetId="14" hidden="1">'[2]tab 19'!#REF!</definedName>
    <definedName name="__123Graph_A" localSheetId="17" hidden="1">'[2]tab 19'!#REF!</definedName>
    <definedName name="__123Graph_A" hidden="1">'[2]tab 19'!#REF!</definedName>
    <definedName name="__123Graph_B" localSheetId="13" hidden="1">[3]tab17!#REF!</definedName>
    <definedName name="__123Graph_B" localSheetId="14" hidden="1">[3]tab17!#REF!</definedName>
    <definedName name="__123Graph_B" localSheetId="17" hidden="1">[3]tab17!#REF!</definedName>
    <definedName name="__123Graph_B" hidden="1">[3]tab17!#REF!</definedName>
    <definedName name="__123Graph_X" localSheetId="13" hidden="1">[3]tab17!#REF!</definedName>
    <definedName name="__123Graph_X" localSheetId="14" hidden="1">[3]tab17!#REF!</definedName>
    <definedName name="__123Graph_X" localSheetId="17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localSheetId="13" hidden="1">[1]tab17!#REF!</definedName>
    <definedName name="__add21" localSheetId="14" hidden="1">[1]tab17!#REF!</definedName>
    <definedName name="__add21" localSheetId="17" hidden="1">[1]tab17!#REF!</definedName>
    <definedName name="__add21" hidden="1">[1]tab17!#REF!</definedName>
    <definedName name="_10__123Graph_AREALEX_WAGE" localSheetId="13" hidden="1">'[2]tab 19'!#REF!</definedName>
    <definedName name="_10__123Graph_AREALEX_WAGE" localSheetId="14" hidden="1">'[2]tab 19'!#REF!</definedName>
    <definedName name="_10__123Graph_AREALEX_WAGE" localSheetId="17" hidden="1">'[2]tab 19'!#REF!</definedName>
    <definedName name="_10__123Graph_AREALEX_WAGE" hidden="1">'[2]tab 19'!#REF!</definedName>
    <definedName name="_10__123Graph_BCHART_2" hidden="1">[4]A!$C$36:$AJ$36</definedName>
    <definedName name="_10__123Graph_BREALEX_WAGE" localSheetId="13" hidden="1">#REF!</definedName>
    <definedName name="_10__123Graph_BREALEX_WAGE" localSheetId="14" hidden="1">#REF!</definedName>
    <definedName name="_10__123Graph_BREALEX_WAGE" localSheetId="17" hidden="1">#REF!</definedName>
    <definedName name="_10__123Graph_BREALEX_WAGE" hidden="1">#REF!</definedName>
    <definedName name="_11__123Graph_BCHART_1" hidden="1">[4]A!$C$28:$AJ$28</definedName>
    <definedName name="_12__123Graph_BREALEX_WAGE" localSheetId="13" hidden="1">#REF!</definedName>
    <definedName name="_12__123Graph_BREALEX_WAGE" localSheetId="14" hidden="1">#REF!</definedName>
    <definedName name="_12__123Graph_BREALEX_WAGE" localSheetId="17" hidden="1">#REF!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3" hidden="1">#REF!</definedName>
    <definedName name="_16__123Graph_BREALEX_WAGE" localSheetId="14" hidden="1">#REF!</definedName>
    <definedName name="_16__123Graph_BREALEX_WAGE" localSheetId="17" hidden="1">#REF!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3" hidden="1">#REF!</definedName>
    <definedName name="_19__123Graph_XREALEX_WAGE" localSheetId="14" hidden="1">#REF!</definedName>
    <definedName name="_19__123Graph_XREALEX_WAGE" localSheetId="17" hidden="1">#REF!</definedName>
    <definedName name="_19__123Graph_XREALEX_WAGE" hidden="1">#REF!</definedName>
    <definedName name="_2__123Graph_ACHART_1" hidden="1">[4]A!$C$31:$AJ$31</definedName>
    <definedName name="_20__123Graph_BREALEX_WAGE" localSheetId="13" hidden="1">#REF!</definedName>
    <definedName name="_20__123Graph_BREALEX_WAGE" localSheetId="14" hidden="1">#REF!</definedName>
    <definedName name="_20__123Graph_BREALEX_WAGE" localSheetId="17" hidden="1">#REF!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localSheetId="13" hidden="1">#REF!</definedName>
    <definedName name="_22__123Graph_XREALEX_WAGE" localSheetId="14" hidden="1">#REF!</definedName>
    <definedName name="_22__123Graph_XREALEX_WAGE" localSheetId="17" hidden="1">#REF!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3" hidden="1">#REF!</definedName>
    <definedName name="_30__123Graph_XREALEX_WAGE" localSheetId="14" hidden="1">#REF!</definedName>
    <definedName name="_30__123Graph_XREALEX_WAGE" localSheetId="17" hidden="1">#REF!</definedName>
    <definedName name="_30__123Graph_XREALEX_WAGE" hidden="1">#REF!</definedName>
    <definedName name="_32__123Graph_XCHART_2" hidden="1">[4]A!$C$39:$AJ$39</definedName>
    <definedName name="_36__123Graph_XREALEX_WAGE" localSheetId="13" hidden="1">#REF!</definedName>
    <definedName name="_36__123Graph_XREALEX_WAGE" localSheetId="14" hidden="1">#REF!</definedName>
    <definedName name="_36__123Graph_XREALEX_WAGE" localSheetId="17" hidden="1">#REF!</definedName>
    <definedName name="_36__123Graph_XREALEX_WAGE" hidden="1">#REF!</definedName>
    <definedName name="_4__123Graph_ACHART_2" hidden="1">[4]A!$C$31:$AJ$31</definedName>
    <definedName name="_5__123Graph_AREALEX_WAGE" localSheetId="13" hidden="1">'[2]tab 19'!#REF!</definedName>
    <definedName name="_5__123Graph_AREALEX_WAGE" localSheetId="14" hidden="1">'[2]tab 19'!#REF!</definedName>
    <definedName name="_5__123Graph_AREALEX_WAGE" localSheetId="17" hidden="1">'[2]tab 19'!#REF!</definedName>
    <definedName name="_5__123Graph_AREALEX_WAGE" hidden="1">'[2]tab 19'!#REF!</definedName>
    <definedName name="_6__123Graph_ACHART_2" hidden="1">[4]A!$C$31:$AJ$31</definedName>
    <definedName name="_6__123Graph_AREALEX_WAGE" localSheetId="13" hidden="1">'[5]tab 19'!#REF!</definedName>
    <definedName name="_6__123Graph_AREALEX_WAGE" localSheetId="14" hidden="1">'[5]tab 19'!#REF!</definedName>
    <definedName name="_6__123Graph_AREALEX_WAGE" localSheetId="17" hidden="1">'[5]tab 19'!#REF!</definedName>
    <definedName name="_6__123Graph_AREALEX_WAGE" hidden="1">'[5]tab 19'!#REF!</definedName>
    <definedName name="_7__123Graph_BCHART_1" hidden="1">[4]A!$C$28:$AJ$28</definedName>
    <definedName name="_8__123Graph_AREALEX_WAGE" localSheetId="13" hidden="1">'[2]tab 19'!#REF!</definedName>
    <definedName name="_8__123Graph_AREALEX_WAGE" localSheetId="14" hidden="1">'[2]tab 19'!#REF!</definedName>
    <definedName name="_8__123Graph_AREALEX_WAGE" localSheetId="17" hidden="1">'[2]tab 19'!#REF!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localSheetId="13" hidden="1">[1]tab17!#REF!</definedName>
    <definedName name="_add21" localSheetId="14" hidden="1">[1]tab17!#REF!</definedName>
    <definedName name="_add21" localSheetId="17" hidden="1">[1]tab17!#REF!</definedName>
    <definedName name="_add21" hidden="1">[1]tab17!#REF!</definedName>
    <definedName name="_Key1" localSheetId="13" hidden="1">#REF!</definedName>
    <definedName name="_Key1" localSheetId="14" hidden="1">#REF!</definedName>
    <definedName name="_Key1" localSheetId="17" hidden="1">#REF!</definedName>
    <definedName name="_Key1" hidden="1">#REF!</definedName>
    <definedName name="_Key2" localSheetId="13" hidden="1">#REF!</definedName>
    <definedName name="_Key2" localSheetId="14" hidden="1">#REF!</definedName>
    <definedName name="_Key2" localSheetId="17" hidden="1">#REF!</definedName>
    <definedName name="_Key2" hidden="1">#REF!</definedName>
    <definedName name="_Order1" hidden="1">255</definedName>
    <definedName name="_Order2" hidden="1">0</definedName>
    <definedName name="_Parse_Out" localSheetId="13" hidden="1">#REF!</definedName>
    <definedName name="_Parse_Out" localSheetId="14" hidden="1">#REF!</definedName>
    <definedName name="_Parse_Out" localSheetId="17" hidden="1">#REF!</definedName>
    <definedName name="_Parse_Out" hidden="1">#REF!</definedName>
    <definedName name="_Sort" localSheetId="13" hidden="1">#REF!</definedName>
    <definedName name="_Sort" localSheetId="14" hidden="1">#REF!</definedName>
    <definedName name="_Sort" localSheetId="17" hidden="1">#REF!</definedName>
    <definedName name="_Sort" hidden="1">#REF!</definedName>
    <definedName name="RISKTOTASS" localSheetId="12">SUM('[6]Calculation of Risk Weighted As'!$C$38:$F$38)</definedName>
    <definedName name="RISKTOTASS" localSheetId="17">SUM('[7]Calculation of Risk Weighted As'!$C$41:$G$41)</definedName>
    <definedName name="rs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7" hidden="1">{#N/A,#N/A,FALSE,"SimInp1";#N/A,#N/A,FALSE,"SimInp2";#N/A,#N/A,FALSE,"SimOut1";#N/A,#N/A,FALSE,"SimOut2";#N/A,#N/A,FALSE,"SimOut3";#N/A,#N/A,FALSE,"SimOut4";#N/A,#N/A,FALSE,"SimOut5"}</definedName>
    <definedName name="wrn.BOP_MIDTERM." localSheetId="17" hidden="1">{"BOP_TAB",#N/A,FALSE,"N";"MIDTERM_TAB",#N/A,FALSE,"O"}</definedName>
    <definedName name="wrn.Input._.and._.output._.tables." localSheetId="17" hidden="1">{#N/A,#N/A,FALSE,"SimInp1";#N/A,#N/A,FALSE,"SimInp2";#N/A,#N/A,FALSE,"SimOut1";#N/A,#N/A,FALSE,"SimOut2";#N/A,#N/A,FALSE,"SimOut3";#N/A,#N/A,FALSE,"SimOut4";#N/A,#N/A,FALSE,"SimOut5"}</definedName>
    <definedName name="wrn.Input._.Report.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7" hidden="1">{"MONA",#N/A,FALSE,"S"}</definedName>
    <definedName name="wrn.Output._.tables." localSheetId="17" hidden="1">{#N/A,#N/A,FALSE,"I";#N/A,#N/A,FALSE,"J";#N/A,#N/A,FALSE,"K";#N/A,#N/A,FALSE,"L";#N/A,#N/A,FALSE,"M";#N/A,#N/A,FALSE,"N";#N/A,#N/A,FALSE,"O"}</definedName>
    <definedName name="wrn.WEO." localSheetId="17" hidden="1">{"WEO",#N/A,FALSE,"T"}</definedName>
    <definedName name="wrn.WEO." hidden="1">{"WEO",#N/A,FALSE,"T"}</definedName>
    <definedName name="апв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_xlnm.Print_Area" localSheetId="9">' Largest risk'!$A$1:$Z$90</definedName>
    <definedName name="_xlnm.Print_Area" localSheetId="5">'Aging Analysis'!$A$1:$Y$35</definedName>
    <definedName name="_xlnm.Print_Area" localSheetId="2">'Analysis of Interest'!$A$1:$C$72</definedName>
    <definedName name="_xlnm.Print_Area" localSheetId="6">'Asset Classification'!$A$1:$AB$74</definedName>
    <definedName name="_xlnm.Print_Area" localSheetId="7">'Asset Provisioning'!$A$1:$AU$74</definedName>
    <definedName name="_xlnm.Print_Area" localSheetId="0">'Asset quality'!$A$1:$T$66</definedName>
    <definedName name="_xlnm.Print_Area" localSheetId="3">'Changes in Equity'!$A$1:$C$14</definedName>
    <definedName name="_xlnm.Print_Area" localSheetId="10">'Charge-offs and Recoveries'!$A$1:$J$49</definedName>
    <definedName name="_xlnm.Print_Area" localSheetId="15">'Economic Normatives'!$A$1:$K$45</definedName>
    <definedName name="_xlnm.Print_Area" localSheetId="1">'Income '!$A$1:$E$77</definedName>
    <definedName name="_xlnm.Print_Area" localSheetId="13">'IRRBB_fixed%'!$A$1:$BD$40</definedName>
    <definedName name="_xlnm.Print_Area" localSheetId="14">'IRRBB_floating%'!$A$1:$BD$40</definedName>
    <definedName name="_xlnm.Print_Area" localSheetId="4">'Loans Receivable'!$A$1:$Y$85</definedName>
    <definedName name="_xlnm.Print_Area" localSheetId="12">'loans type'!$A$1:$Z$42</definedName>
    <definedName name="_xlnm.Print_Area" localSheetId="11">'loans_av rate'!$A$1:$H$44</definedName>
    <definedName name="_xlnm.Print_Area" localSheetId="16">Miscellaneous!$A$1:$C$25</definedName>
    <definedName name="_xlnm.Print_Area" localSheetId="8">'Transactions of related parties'!$A$1:$Z$90</definedName>
    <definedName name="_xlnm.Print_Area" localSheetId="17">ПФУ!$A$1:$B$39</definedName>
    <definedName name="тмвюқт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9" i="49" l="1"/>
  <c r="BF38" i="49"/>
  <c r="BF37" i="49"/>
  <c r="BF33" i="49"/>
  <c r="BF32" i="49"/>
  <c r="BF31" i="49"/>
  <c r="BF30" i="49"/>
  <c r="BF19" i="49"/>
  <c r="BF18" i="49"/>
  <c r="BF17" i="49"/>
  <c r="BF16" i="49"/>
  <c r="BF15" i="49"/>
  <c r="BF14" i="49"/>
  <c r="BF13" i="49"/>
  <c r="BF12" i="49"/>
  <c r="BF11" i="49"/>
  <c r="B54" i="42"/>
  <c r="B32" i="42" s="1"/>
  <c r="B29" i="42" s="1"/>
  <c r="B53" i="42"/>
  <c r="B52" i="42"/>
  <c r="B51" i="42"/>
  <c r="B50" i="42"/>
  <c r="B49" i="42"/>
  <c r="B48" i="42"/>
  <c r="B47" i="42"/>
  <c r="B38" i="42"/>
  <c r="B36" i="42"/>
  <c r="B30" i="42" s="1"/>
  <c r="B35" i="42"/>
  <c r="B12" i="42" s="1"/>
  <c r="B33" i="42"/>
  <c r="B3" i="42"/>
  <c r="B2" i="42"/>
  <c r="I23" i="20"/>
  <c r="I22" i="20"/>
  <c r="I21" i="20"/>
  <c r="I20" i="20"/>
  <c r="I19" i="20"/>
  <c r="I18" i="20"/>
  <c r="I16" i="20"/>
  <c r="M49" i="13"/>
  <c r="G42" i="9"/>
  <c r="E92" i="24"/>
  <c r="D92" i="24"/>
  <c r="C92" i="24"/>
  <c r="D14" i="6"/>
  <c r="D8" i="6"/>
  <c r="W62" i="26"/>
  <c r="W63" i="26" s="1"/>
  <c r="W59" i="26"/>
  <c r="C74" i="26"/>
  <c r="T75" i="26"/>
  <c r="S75" i="26"/>
  <c r="R75" i="26"/>
  <c r="Q75" i="26"/>
  <c r="H75" i="26"/>
  <c r="G75" i="26"/>
  <c r="F75" i="26"/>
  <c r="E75" i="26"/>
  <c r="D75" i="26"/>
  <c r="P75" i="26" l="1"/>
  <c r="B34" i="42"/>
  <c r="B39" i="42"/>
  <c r="B37" i="42" s="1"/>
  <c r="B28" i="42"/>
  <c r="B31" i="42"/>
  <c r="BC39" i="52" l="1"/>
  <c r="BD39" i="52" s="1"/>
  <c r="BA39" i="52"/>
  <c r="BB39" i="52" s="1"/>
  <c r="AS39" i="52"/>
  <c r="AT39" i="52" s="1"/>
  <c r="AM39" i="52"/>
  <c r="AN39" i="52" s="1"/>
  <c r="AG39" i="52"/>
  <c r="AH39" i="52" s="1"/>
  <c r="AA39" i="52"/>
  <c r="AB39" i="52" s="1"/>
  <c r="U39" i="52"/>
  <c r="V39" i="52" s="1"/>
  <c r="O39" i="52"/>
  <c r="P39" i="52" s="1"/>
  <c r="I39" i="52"/>
  <c r="J39" i="52" s="1"/>
  <c r="C39" i="52"/>
  <c r="BC38" i="52"/>
  <c r="BD38" i="52" s="1"/>
  <c r="BA38" i="52"/>
  <c r="BB38" i="52" s="1"/>
  <c r="AS38" i="52"/>
  <c r="AT38" i="52" s="1"/>
  <c r="AM38" i="52"/>
  <c r="AN38" i="52" s="1"/>
  <c r="AG38" i="52"/>
  <c r="AH38" i="52" s="1"/>
  <c r="AA38" i="52"/>
  <c r="AB38" i="52" s="1"/>
  <c r="U38" i="52"/>
  <c r="V38" i="52" s="1"/>
  <c r="O38" i="52"/>
  <c r="P38" i="52" s="1"/>
  <c r="I38" i="52"/>
  <c r="J38" i="52" s="1"/>
  <c r="C38" i="52"/>
  <c r="BC37" i="52"/>
  <c r="BD37" i="52" s="1"/>
  <c r="BA37" i="52"/>
  <c r="BB37" i="52" s="1"/>
  <c r="AS37" i="52"/>
  <c r="AT37" i="52" s="1"/>
  <c r="AM37" i="52"/>
  <c r="AN37" i="52" s="1"/>
  <c r="AG37" i="52"/>
  <c r="AH37" i="52" s="1"/>
  <c r="AA37" i="52"/>
  <c r="AB37" i="52" s="1"/>
  <c r="U37" i="52"/>
  <c r="V37" i="52" s="1"/>
  <c r="O37" i="52"/>
  <c r="P37" i="52" s="1"/>
  <c r="I37" i="52"/>
  <c r="J37" i="52" s="1"/>
  <c r="C37" i="52"/>
  <c r="BC36" i="52"/>
  <c r="BD36" i="52" s="1"/>
  <c r="BA36" i="52"/>
  <c r="BB36" i="52" s="1"/>
  <c r="AS36" i="52"/>
  <c r="AT36" i="52" s="1"/>
  <c r="AM36" i="52"/>
  <c r="AN36" i="52" s="1"/>
  <c r="AG36" i="52"/>
  <c r="AH36" i="52" s="1"/>
  <c r="AA36" i="52"/>
  <c r="AB36" i="52" s="1"/>
  <c r="U36" i="52"/>
  <c r="V36" i="52" s="1"/>
  <c r="O36" i="52"/>
  <c r="P36" i="52" s="1"/>
  <c r="I36" i="52"/>
  <c r="J36" i="52" s="1"/>
  <c r="C36" i="52"/>
  <c r="BC35" i="52"/>
  <c r="BD35" i="52" s="1"/>
  <c r="BA35" i="52"/>
  <c r="BB35" i="52" s="1"/>
  <c r="AS35" i="52"/>
  <c r="AT35" i="52" s="1"/>
  <c r="AM35" i="52"/>
  <c r="AN35" i="52" s="1"/>
  <c r="AG35" i="52"/>
  <c r="AH35" i="52" s="1"/>
  <c r="AA35" i="52"/>
  <c r="AB35" i="52" s="1"/>
  <c r="U35" i="52"/>
  <c r="V35" i="52" s="1"/>
  <c r="O35" i="52"/>
  <c r="P35" i="52" s="1"/>
  <c r="I35" i="52"/>
  <c r="J35" i="52" s="1"/>
  <c r="C35" i="52"/>
  <c r="BC34" i="52"/>
  <c r="BD34" i="52" s="1"/>
  <c r="BA34" i="52"/>
  <c r="BB34" i="52" s="1"/>
  <c r="AS34" i="52"/>
  <c r="AT34" i="52" s="1"/>
  <c r="AM34" i="52"/>
  <c r="AN34" i="52" s="1"/>
  <c r="AG34" i="52"/>
  <c r="AH34" i="52" s="1"/>
  <c r="AA34" i="52"/>
  <c r="AB34" i="52" s="1"/>
  <c r="U34" i="52"/>
  <c r="V34" i="52" s="1"/>
  <c r="O34" i="52"/>
  <c r="P34" i="52" s="1"/>
  <c r="I34" i="52"/>
  <c r="J34" i="52" s="1"/>
  <c r="C34" i="52"/>
  <c r="D34" i="52" s="1"/>
  <c r="BC32" i="52"/>
  <c r="BD32" i="52" s="1"/>
  <c r="AS32" i="52"/>
  <c r="AT32" i="52" s="1"/>
  <c r="AM32" i="52"/>
  <c r="AN32" i="52" s="1"/>
  <c r="AA32" i="52"/>
  <c r="AB32" i="52" s="1"/>
  <c r="U32" i="52"/>
  <c r="V32" i="52" s="1"/>
  <c r="O32" i="52"/>
  <c r="P32" i="52" s="1"/>
  <c r="I32" i="52"/>
  <c r="J32" i="52" s="1"/>
  <c r="C32" i="52"/>
  <c r="BC31" i="52"/>
  <c r="BD31" i="52" s="1"/>
  <c r="BA31" i="52"/>
  <c r="BB31" i="52" s="1"/>
  <c r="AS31" i="52"/>
  <c r="AT31" i="52" s="1"/>
  <c r="AM31" i="52"/>
  <c r="AN31" i="52" s="1"/>
  <c r="AG31" i="52"/>
  <c r="AH31" i="52" s="1"/>
  <c r="AA31" i="52"/>
  <c r="AB31" i="52" s="1"/>
  <c r="U31" i="52"/>
  <c r="V31" i="52" s="1"/>
  <c r="O31" i="52"/>
  <c r="P31" i="52" s="1"/>
  <c r="I31" i="52"/>
  <c r="J31" i="52" s="1"/>
  <c r="C31" i="52"/>
  <c r="AW30" i="52"/>
  <c r="AX30" i="52" s="1"/>
  <c r="AU30" i="52"/>
  <c r="AQ30" i="52"/>
  <c r="AR30" i="52" s="1"/>
  <c r="AO30" i="52"/>
  <c r="AP30" i="52" s="1"/>
  <c r="AK30" i="52"/>
  <c r="AE30" i="52"/>
  <c r="AC30" i="52"/>
  <c r="AA30" i="52" s="1"/>
  <c r="Y30" i="52"/>
  <c r="Z30" i="52" s="1"/>
  <c r="W30" i="52"/>
  <c r="X30" i="52" s="1"/>
  <c r="S30" i="52"/>
  <c r="T30" i="52" s="1"/>
  <c r="Q30" i="52"/>
  <c r="R30" i="52" s="1"/>
  <c r="M30" i="52"/>
  <c r="K30" i="52"/>
  <c r="L30" i="52" s="1"/>
  <c r="G30" i="52"/>
  <c r="H30" i="52" s="1"/>
  <c r="E30" i="52"/>
  <c r="BC29" i="52"/>
  <c r="BD29" i="52" s="1"/>
  <c r="BA29" i="52"/>
  <c r="BB29" i="52" s="1"/>
  <c r="AS29" i="52"/>
  <c r="AT29" i="52" s="1"/>
  <c r="AM29" i="52"/>
  <c r="AN29" i="52" s="1"/>
  <c r="AG29" i="52"/>
  <c r="AH29" i="52" s="1"/>
  <c r="AA29" i="52"/>
  <c r="AB29" i="52" s="1"/>
  <c r="U29" i="52"/>
  <c r="V29" i="52" s="1"/>
  <c r="O29" i="52"/>
  <c r="P29" i="52" s="1"/>
  <c r="I29" i="52"/>
  <c r="J29" i="52" s="1"/>
  <c r="C29" i="52"/>
  <c r="BC28" i="52"/>
  <c r="BD28" i="52" s="1"/>
  <c r="BA28" i="52"/>
  <c r="BB28" i="52" s="1"/>
  <c r="AS28" i="52"/>
  <c r="AT28" i="52" s="1"/>
  <c r="AM28" i="52"/>
  <c r="AN28" i="52" s="1"/>
  <c r="AG28" i="52"/>
  <c r="AH28" i="52" s="1"/>
  <c r="AA28" i="52"/>
  <c r="AB28" i="52" s="1"/>
  <c r="U28" i="52"/>
  <c r="V28" i="52" s="1"/>
  <c r="O28" i="52"/>
  <c r="P28" i="52" s="1"/>
  <c r="I28" i="52"/>
  <c r="J28" i="52" s="1"/>
  <c r="C28" i="52"/>
  <c r="BC27" i="52"/>
  <c r="BD27" i="52" s="1"/>
  <c r="BA27" i="52"/>
  <c r="BB27" i="52" s="1"/>
  <c r="AS27" i="52"/>
  <c r="AT27" i="52" s="1"/>
  <c r="AM27" i="52"/>
  <c r="AN27" i="52" s="1"/>
  <c r="AG27" i="52"/>
  <c r="AH27" i="52" s="1"/>
  <c r="AA27" i="52"/>
  <c r="AB27" i="52" s="1"/>
  <c r="U27" i="52"/>
  <c r="V27" i="52" s="1"/>
  <c r="O27" i="52"/>
  <c r="P27" i="52" s="1"/>
  <c r="I27" i="52"/>
  <c r="J27" i="52" s="1"/>
  <c r="C27" i="52"/>
  <c r="BC26" i="52"/>
  <c r="BD26" i="52" s="1"/>
  <c r="BA26" i="52"/>
  <c r="BB26" i="52" s="1"/>
  <c r="AS26" i="52"/>
  <c r="AT26" i="52" s="1"/>
  <c r="AM26" i="52"/>
  <c r="AN26" i="52" s="1"/>
  <c r="AG26" i="52"/>
  <c r="AH26" i="52" s="1"/>
  <c r="AA26" i="52"/>
  <c r="AB26" i="52" s="1"/>
  <c r="U26" i="52"/>
  <c r="V26" i="52" s="1"/>
  <c r="O26" i="52"/>
  <c r="P26" i="52" s="1"/>
  <c r="I26" i="52"/>
  <c r="J26" i="52" s="1"/>
  <c r="C26" i="52"/>
  <c r="BC25" i="52"/>
  <c r="BD25" i="52" s="1"/>
  <c r="BA25" i="52"/>
  <c r="BB25" i="52" s="1"/>
  <c r="AS25" i="52"/>
  <c r="AT25" i="52" s="1"/>
  <c r="AM25" i="52"/>
  <c r="AN25" i="52" s="1"/>
  <c r="AG25" i="52"/>
  <c r="AH25" i="52" s="1"/>
  <c r="AA25" i="52"/>
  <c r="AB25" i="52" s="1"/>
  <c r="U25" i="52"/>
  <c r="V25" i="52" s="1"/>
  <c r="O25" i="52"/>
  <c r="P25" i="52" s="1"/>
  <c r="I25" i="52"/>
  <c r="J25" i="52" s="1"/>
  <c r="C25" i="52"/>
  <c r="AW24" i="52"/>
  <c r="AU24" i="52"/>
  <c r="AV24" i="52" s="1"/>
  <c r="AQ24" i="52"/>
  <c r="AO24" i="52"/>
  <c r="AK24" i="52"/>
  <c r="AL24" i="52" s="1"/>
  <c r="AI24" i="52"/>
  <c r="AJ24" i="52" s="1"/>
  <c r="AE24" i="52"/>
  <c r="AF24" i="52" s="1"/>
  <c r="AC24" i="52"/>
  <c r="Y24" i="52"/>
  <c r="W24" i="52"/>
  <c r="X24" i="52" s="1"/>
  <c r="S24" i="52"/>
  <c r="T24" i="52" s="1"/>
  <c r="Q24" i="52"/>
  <c r="M24" i="52"/>
  <c r="K24" i="52"/>
  <c r="G24" i="52"/>
  <c r="H24" i="52" s="1"/>
  <c r="E24" i="52"/>
  <c r="AW21" i="52"/>
  <c r="AX21" i="52" s="1"/>
  <c r="AU21" i="52"/>
  <c r="AV21" i="52" s="1"/>
  <c r="AQ21" i="52"/>
  <c r="AR21" i="52" s="1"/>
  <c r="AO21" i="52"/>
  <c r="AP21" i="52" s="1"/>
  <c r="AK21" i="52"/>
  <c r="AL21" i="52" s="1"/>
  <c r="AI21" i="52"/>
  <c r="AJ21" i="52" s="1"/>
  <c r="AE21" i="52"/>
  <c r="AF21" i="52" s="1"/>
  <c r="AC21" i="52"/>
  <c r="AD21" i="52" s="1"/>
  <c r="Y21" i="52"/>
  <c r="Z21" i="52" s="1"/>
  <c r="W21" i="52"/>
  <c r="X21" i="52" s="1"/>
  <c r="S21" i="52"/>
  <c r="T21" i="52" s="1"/>
  <c r="Q21" i="52"/>
  <c r="R21" i="52" s="1"/>
  <c r="M21" i="52"/>
  <c r="N21" i="52" s="1"/>
  <c r="K21" i="52"/>
  <c r="L21" i="52" s="1"/>
  <c r="G21" i="52"/>
  <c r="H21" i="52" s="1"/>
  <c r="E21" i="52"/>
  <c r="F21" i="52" s="1"/>
  <c r="BC20" i="52"/>
  <c r="BD20" i="52" s="1"/>
  <c r="BA20" i="52"/>
  <c r="BB20" i="52" s="1"/>
  <c r="AS20" i="52"/>
  <c r="AT20" i="52" s="1"/>
  <c r="AM20" i="52"/>
  <c r="AN20" i="52" s="1"/>
  <c r="AG20" i="52"/>
  <c r="AH20" i="52" s="1"/>
  <c r="AA20" i="52"/>
  <c r="AB20" i="52" s="1"/>
  <c r="U20" i="52"/>
  <c r="V20" i="52" s="1"/>
  <c r="O20" i="52"/>
  <c r="P20" i="52" s="1"/>
  <c r="I20" i="52"/>
  <c r="J20" i="52" s="1"/>
  <c r="C20" i="52"/>
  <c r="BC19" i="52"/>
  <c r="BD19" i="52" s="1"/>
  <c r="BA19" i="52"/>
  <c r="BB19" i="52" s="1"/>
  <c r="AS19" i="52"/>
  <c r="AT19" i="52" s="1"/>
  <c r="AM19" i="52"/>
  <c r="AN19" i="52" s="1"/>
  <c r="AG19" i="52"/>
  <c r="AH19" i="52" s="1"/>
  <c r="AA19" i="52"/>
  <c r="AB19" i="52" s="1"/>
  <c r="U19" i="52"/>
  <c r="V19" i="52" s="1"/>
  <c r="O19" i="52"/>
  <c r="P19" i="52" s="1"/>
  <c r="I19" i="52"/>
  <c r="J19" i="52" s="1"/>
  <c r="C19" i="52"/>
  <c r="D19" i="52" s="1"/>
  <c r="BC18" i="52"/>
  <c r="BD18" i="52" s="1"/>
  <c r="BA18" i="52"/>
  <c r="BB18" i="52" s="1"/>
  <c r="AS18" i="52"/>
  <c r="AT18" i="52" s="1"/>
  <c r="AM18" i="52"/>
  <c r="AN18" i="52" s="1"/>
  <c r="AG18" i="52"/>
  <c r="AH18" i="52" s="1"/>
  <c r="AA18" i="52"/>
  <c r="AB18" i="52" s="1"/>
  <c r="U18" i="52"/>
  <c r="V18" i="52" s="1"/>
  <c r="O18" i="52"/>
  <c r="P18" i="52" s="1"/>
  <c r="I18" i="52"/>
  <c r="J18" i="52" s="1"/>
  <c r="C18" i="52"/>
  <c r="BC17" i="52"/>
  <c r="BD17" i="52" s="1"/>
  <c r="BA17" i="52"/>
  <c r="BB17" i="52" s="1"/>
  <c r="AS17" i="52"/>
  <c r="AT17" i="52" s="1"/>
  <c r="AM17" i="52"/>
  <c r="AN17" i="52" s="1"/>
  <c r="AG17" i="52"/>
  <c r="AH17" i="52" s="1"/>
  <c r="AA17" i="52"/>
  <c r="AB17" i="52" s="1"/>
  <c r="U17" i="52"/>
  <c r="V17" i="52" s="1"/>
  <c r="O17" i="52"/>
  <c r="P17" i="52" s="1"/>
  <c r="I17" i="52"/>
  <c r="J17" i="52" s="1"/>
  <c r="C17" i="52"/>
  <c r="BC16" i="52"/>
  <c r="BD16" i="52" s="1"/>
  <c r="BA16" i="52"/>
  <c r="BB16" i="52" s="1"/>
  <c r="AS16" i="52"/>
  <c r="AT16" i="52" s="1"/>
  <c r="AM16" i="52"/>
  <c r="AN16" i="52" s="1"/>
  <c r="AG16" i="52"/>
  <c r="AH16" i="52" s="1"/>
  <c r="AA16" i="52"/>
  <c r="AB16" i="52" s="1"/>
  <c r="U16" i="52"/>
  <c r="V16" i="52" s="1"/>
  <c r="O16" i="52"/>
  <c r="P16" i="52" s="1"/>
  <c r="I16" i="52"/>
  <c r="J16" i="52" s="1"/>
  <c r="C16" i="52"/>
  <c r="D16" i="52" s="1"/>
  <c r="BC15" i="52"/>
  <c r="BD15" i="52" s="1"/>
  <c r="BA15" i="52"/>
  <c r="BB15" i="52" s="1"/>
  <c r="AS15" i="52"/>
  <c r="AT15" i="52" s="1"/>
  <c r="AM15" i="52"/>
  <c r="AN15" i="52" s="1"/>
  <c r="AG15" i="52"/>
  <c r="AH15" i="52" s="1"/>
  <c r="AA15" i="52"/>
  <c r="AB15" i="52" s="1"/>
  <c r="U15" i="52"/>
  <c r="V15" i="52" s="1"/>
  <c r="O15" i="52"/>
  <c r="P15" i="52" s="1"/>
  <c r="I15" i="52"/>
  <c r="J15" i="52" s="1"/>
  <c r="C15" i="52"/>
  <c r="BC14" i="52"/>
  <c r="BD14" i="52" s="1"/>
  <c r="BA14" i="52"/>
  <c r="BB14" i="52" s="1"/>
  <c r="AS14" i="52"/>
  <c r="AT14" i="52" s="1"/>
  <c r="AM14" i="52"/>
  <c r="AN14" i="52" s="1"/>
  <c r="AG14" i="52"/>
  <c r="AH14" i="52" s="1"/>
  <c r="AA14" i="52"/>
  <c r="AB14" i="52" s="1"/>
  <c r="U14" i="52"/>
  <c r="V14" i="52" s="1"/>
  <c r="O14" i="52"/>
  <c r="P14" i="52" s="1"/>
  <c r="I14" i="52"/>
  <c r="J14" i="52" s="1"/>
  <c r="C14" i="52"/>
  <c r="BC13" i="52"/>
  <c r="BD13" i="52" s="1"/>
  <c r="BA13" i="52"/>
  <c r="BB13" i="52" s="1"/>
  <c r="AS13" i="52"/>
  <c r="AT13" i="52" s="1"/>
  <c r="AM13" i="52"/>
  <c r="AN13" i="52" s="1"/>
  <c r="AG13" i="52"/>
  <c r="AH13" i="52" s="1"/>
  <c r="AA13" i="52"/>
  <c r="AB13" i="52" s="1"/>
  <c r="U13" i="52"/>
  <c r="V13" i="52" s="1"/>
  <c r="O13" i="52"/>
  <c r="P13" i="52" s="1"/>
  <c r="I13" i="52"/>
  <c r="J13" i="52" s="1"/>
  <c r="C13" i="52"/>
  <c r="D13" i="52" s="1"/>
  <c r="BC12" i="52"/>
  <c r="BD12" i="52" s="1"/>
  <c r="BA12" i="52"/>
  <c r="BB12" i="52" s="1"/>
  <c r="AS12" i="52"/>
  <c r="AT12" i="52" s="1"/>
  <c r="AM12" i="52"/>
  <c r="AN12" i="52" s="1"/>
  <c r="AG12" i="52"/>
  <c r="AH12" i="52" s="1"/>
  <c r="AA12" i="52"/>
  <c r="AB12" i="52" s="1"/>
  <c r="U12" i="52"/>
  <c r="V12" i="52" s="1"/>
  <c r="O12" i="52"/>
  <c r="P12" i="52" s="1"/>
  <c r="I12" i="52"/>
  <c r="J12" i="52" s="1"/>
  <c r="C12" i="52"/>
  <c r="BC11" i="52"/>
  <c r="BD11" i="52" s="1"/>
  <c r="BA11" i="52"/>
  <c r="BB11" i="52" s="1"/>
  <c r="AS11" i="52"/>
  <c r="AT11" i="52" s="1"/>
  <c r="AM11" i="52"/>
  <c r="AN11" i="52" s="1"/>
  <c r="AG11" i="52"/>
  <c r="AH11" i="52" s="1"/>
  <c r="AA11" i="52"/>
  <c r="AB11" i="52" s="1"/>
  <c r="U11" i="52"/>
  <c r="V11" i="52" s="1"/>
  <c r="O11" i="52"/>
  <c r="P11" i="52" s="1"/>
  <c r="I11" i="52"/>
  <c r="J11" i="52" s="1"/>
  <c r="C11" i="52"/>
  <c r="BC10" i="52"/>
  <c r="BD10" i="52" s="1"/>
  <c r="BA10" i="52"/>
  <c r="BB10" i="52" s="1"/>
  <c r="AS10" i="52"/>
  <c r="AT10" i="52" s="1"/>
  <c r="AM10" i="52"/>
  <c r="AN10" i="52" s="1"/>
  <c r="AG10" i="52"/>
  <c r="AH10" i="52" s="1"/>
  <c r="AA10" i="52"/>
  <c r="AB10" i="52" s="1"/>
  <c r="U10" i="52"/>
  <c r="V10" i="52" s="1"/>
  <c r="O10" i="52"/>
  <c r="P10" i="52" s="1"/>
  <c r="I10" i="52"/>
  <c r="C10" i="52"/>
  <c r="BC9" i="52"/>
  <c r="BD9" i="52" s="1"/>
  <c r="BA9" i="52"/>
  <c r="BB9" i="52" s="1"/>
  <c r="AS9" i="52"/>
  <c r="AT9" i="52" s="1"/>
  <c r="AM9" i="52"/>
  <c r="AN9" i="52" s="1"/>
  <c r="AG9" i="52"/>
  <c r="AH9" i="52" s="1"/>
  <c r="AA9" i="52"/>
  <c r="U9" i="52"/>
  <c r="V9" i="52" s="1"/>
  <c r="O9" i="52"/>
  <c r="P9" i="52" s="1"/>
  <c r="I9" i="52"/>
  <c r="J9" i="52" s="1"/>
  <c r="C9" i="52"/>
  <c r="BC8" i="52"/>
  <c r="BD8" i="52" s="1"/>
  <c r="BA8" i="52"/>
  <c r="AS8" i="52"/>
  <c r="AM8" i="52"/>
  <c r="AN8" i="52" s="1"/>
  <c r="AG8" i="52"/>
  <c r="AA8" i="52"/>
  <c r="AB8" i="52" s="1"/>
  <c r="U8" i="52"/>
  <c r="V8" i="52" s="1"/>
  <c r="O8" i="52"/>
  <c r="P8" i="52" s="1"/>
  <c r="I8" i="52"/>
  <c r="J8" i="52" s="1"/>
  <c r="C8" i="52"/>
  <c r="D8" i="52" s="1"/>
  <c r="BC39" i="49"/>
  <c r="BD39" i="49" s="1"/>
  <c r="BA39" i="49"/>
  <c r="BB39" i="49" s="1"/>
  <c r="AS39" i="49"/>
  <c r="AT39" i="49" s="1"/>
  <c r="AM39" i="49"/>
  <c r="AN39" i="49" s="1"/>
  <c r="AG39" i="49"/>
  <c r="AH39" i="49" s="1"/>
  <c r="AA39" i="49"/>
  <c r="AB39" i="49" s="1"/>
  <c r="U39" i="49"/>
  <c r="V39" i="49" s="1"/>
  <c r="O39" i="49"/>
  <c r="P39" i="49" s="1"/>
  <c r="I39" i="49"/>
  <c r="J39" i="49" s="1"/>
  <c r="C39" i="49"/>
  <c r="BC38" i="49"/>
  <c r="BD38" i="49" s="1"/>
  <c r="BA38" i="49"/>
  <c r="BB38" i="49" s="1"/>
  <c r="AS38" i="49"/>
  <c r="AT38" i="49" s="1"/>
  <c r="AM38" i="49"/>
  <c r="AN38" i="49" s="1"/>
  <c r="AG38" i="49"/>
  <c r="AH38" i="49" s="1"/>
  <c r="AA38" i="49"/>
  <c r="AB38" i="49" s="1"/>
  <c r="U38" i="49"/>
  <c r="V38" i="49" s="1"/>
  <c r="O38" i="49"/>
  <c r="P38" i="49" s="1"/>
  <c r="I38" i="49"/>
  <c r="J38" i="49" s="1"/>
  <c r="C38" i="49"/>
  <c r="BC37" i="49"/>
  <c r="BD37" i="49" s="1"/>
  <c r="AM37" i="49"/>
  <c r="AN37" i="49" s="1"/>
  <c r="AG37" i="49"/>
  <c r="AH37" i="49" s="1"/>
  <c r="AA37" i="49"/>
  <c r="AB37" i="49" s="1"/>
  <c r="U37" i="49"/>
  <c r="V37" i="49" s="1"/>
  <c r="O37" i="49"/>
  <c r="P37" i="49" s="1"/>
  <c r="I37" i="49"/>
  <c r="J37" i="49" s="1"/>
  <c r="C37" i="49"/>
  <c r="BC36" i="49"/>
  <c r="BD36" i="49" s="1"/>
  <c r="BA36" i="49"/>
  <c r="BB36" i="49" s="1"/>
  <c r="AS36" i="49"/>
  <c r="AT36" i="49" s="1"/>
  <c r="AM36" i="49"/>
  <c r="AN36" i="49" s="1"/>
  <c r="AG36" i="49"/>
  <c r="AH36" i="49" s="1"/>
  <c r="AA36" i="49"/>
  <c r="AB36" i="49" s="1"/>
  <c r="U36" i="49"/>
  <c r="V36" i="49" s="1"/>
  <c r="O36" i="49"/>
  <c r="P36" i="49" s="1"/>
  <c r="I36" i="49"/>
  <c r="J36" i="49" s="1"/>
  <c r="C36" i="49"/>
  <c r="BC35" i="49"/>
  <c r="BD35" i="49" s="1"/>
  <c r="BA35" i="49"/>
  <c r="BB35" i="49" s="1"/>
  <c r="AS35" i="49"/>
  <c r="AT35" i="49" s="1"/>
  <c r="AM35" i="49"/>
  <c r="AN35" i="49" s="1"/>
  <c r="AG35" i="49"/>
  <c r="AH35" i="49" s="1"/>
  <c r="AA35" i="49"/>
  <c r="AB35" i="49" s="1"/>
  <c r="U35" i="49"/>
  <c r="V35" i="49" s="1"/>
  <c r="O35" i="49"/>
  <c r="P35" i="49" s="1"/>
  <c r="I35" i="49"/>
  <c r="J35" i="49" s="1"/>
  <c r="C35" i="49"/>
  <c r="BC34" i="49"/>
  <c r="BD34" i="49" s="1"/>
  <c r="BA34" i="49"/>
  <c r="BB34" i="49" s="1"/>
  <c r="AS34" i="49"/>
  <c r="AT34" i="49" s="1"/>
  <c r="AM34" i="49"/>
  <c r="AN34" i="49" s="1"/>
  <c r="AG34" i="49"/>
  <c r="AH34" i="49" s="1"/>
  <c r="AA34" i="49"/>
  <c r="AB34" i="49" s="1"/>
  <c r="U34" i="49"/>
  <c r="V34" i="49" s="1"/>
  <c r="O34" i="49"/>
  <c r="P34" i="49" s="1"/>
  <c r="I34" i="49"/>
  <c r="J34" i="49" s="1"/>
  <c r="C34" i="49"/>
  <c r="BC32" i="49"/>
  <c r="BD32" i="49" s="1"/>
  <c r="AM32" i="49"/>
  <c r="AN32" i="49" s="1"/>
  <c r="AG32" i="49"/>
  <c r="AH32" i="49" s="1"/>
  <c r="AA32" i="49"/>
  <c r="AB32" i="49" s="1"/>
  <c r="U32" i="49"/>
  <c r="V32" i="49" s="1"/>
  <c r="O32" i="49"/>
  <c r="P32" i="49" s="1"/>
  <c r="I32" i="49"/>
  <c r="J32" i="49" s="1"/>
  <c r="C32" i="49"/>
  <c r="BC31" i="49"/>
  <c r="BD31" i="49" s="1"/>
  <c r="BA31" i="49"/>
  <c r="BB31" i="49" s="1"/>
  <c r="AS31" i="49"/>
  <c r="AT31" i="49" s="1"/>
  <c r="AM31" i="49"/>
  <c r="AN31" i="49" s="1"/>
  <c r="AG31" i="49"/>
  <c r="AH31" i="49" s="1"/>
  <c r="AA31" i="49"/>
  <c r="AB31" i="49" s="1"/>
  <c r="U31" i="49"/>
  <c r="V31" i="49" s="1"/>
  <c r="O31" i="49"/>
  <c r="P31" i="49" s="1"/>
  <c r="I31" i="49"/>
  <c r="J31" i="49" s="1"/>
  <c r="C31" i="49"/>
  <c r="AW30" i="49"/>
  <c r="AX30" i="49" s="1"/>
  <c r="AQ30" i="49"/>
  <c r="AR30" i="49" s="1"/>
  <c r="AO30" i="49"/>
  <c r="AP30" i="49" s="1"/>
  <c r="AK30" i="49"/>
  <c r="AL30" i="49" s="1"/>
  <c r="AI30" i="49"/>
  <c r="AJ30" i="49" s="1"/>
  <c r="AE30" i="49"/>
  <c r="AF30" i="49" s="1"/>
  <c r="AC30" i="49"/>
  <c r="AD30" i="49" s="1"/>
  <c r="Y30" i="49"/>
  <c r="Z30" i="49" s="1"/>
  <c r="W30" i="49"/>
  <c r="X30" i="49" s="1"/>
  <c r="S30" i="49"/>
  <c r="T30" i="49" s="1"/>
  <c r="Q30" i="49"/>
  <c r="R30" i="49" s="1"/>
  <c r="M30" i="49"/>
  <c r="N30" i="49" s="1"/>
  <c r="K30" i="49"/>
  <c r="L30" i="49" s="1"/>
  <c r="G30" i="49"/>
  <c r="E30" i="49"/>
  <c r="BC29" i="49"/>
  <c r="BD29" i="49" s="1"/>
  <c r="BA29" i="49"/>
  <c r="BB29" i="49" s="1"/>
  <c r="AS29" i="49"/>
  <c r="AT29" i="49" s="1"/>
  <c r="AM29" i="49"/>
  <c r="AN29" i="49" s="1"/>
  <c r="AG29" i="49"/>
  <c r="AH29" i="49" s="1"/>
  <c r="AA29" i="49"/>
  <c r="AB29" i="49" s="1"/>
  <c r="U29" i="49"/>
  <c r="V29" i="49" s="1"/>
  <c r="O29" i="49"/>
  <c r="P29" i="49" s="1"/>
  <c r="I29" i="49"/>
  <c r="J29" i="49" s="1"/>
  <c r="C29" i="49"/>
  <c r="BC28" i="49"/>
  <c r="BD28" i="49" s="1"/>
  <c r="BA28" i="49"/>
  <c r="BB28" i="49" s="1"/>
  <c r="AS28" i="49"/>
  <c r="AT28" i="49" s="1"/>
  <c r="AM28" i="49"/>
  <c r="AN28" i="49" s="1"/>
  <c r="AG28" i="49"/>
  <c r="AH28" i="49" s="1"/>
  <c r="AA28" i="49"/>
  <c r="AB28" i="49" s="1"/>
  <c r="U28" i="49"/>
  <c r="V28" i="49" s="1"/>
  <c r="O28" i="49"/>
  <c r="P28" i="49" s="1"/>
  <c r="I28" i="49"/>
  <c r="J28" i="49" s="1"/>
  <c r="C28" i="49"/>
  <c r="BC27" i="49"/>
  <c r="BD27" i="49" s="1"/>
  <c r="BA27" i="49"/>
  <c r="BB27" i="49" s="1"/>
  <c r="AS27" i="49"/>
  <c r="AT27" i="49" s="1"/>
  <c r="AM27" i="49"/>
  <c r="AN27" i="49" s="1"/>
  <c r="AG27" i="49"/>
  <c r="AH27" i="49" s="1"/>
  <c r="AA27" i="49"/>
  <c r="AB27" i="49" s="1"/>
  <c r="U27" i="49"/>
  <c r="V27" i="49" s="1"/>
  <c r="O27" i="49"/>
  <c r="P27" i="49" s="1"/>
  <c r="I27" i="49"/>
  <c r="J27" i="49" s="1"/>
  <c r="C27" i="49"/>
  <c r="BC26" i="49"/>
  <c r="BD26" i="49" s="1"/>
  <c r="BA26" i="49"/>
  <c r="BB26" i="49" s="1"/>
  <c r="AS26" i="49"/>
  <c r="AT26" i="49" s="1"/>
  <c r="AM26" i="49"/>
  <c r="AN26" i="49" s="1"/>
  <c r="AG26" i="49"/>
  <c r="AH26" i="49" s="1"/>
  <c r="AA26" i="49"/>
  <c r="AB26" i="49" s="1"/>
  <c r="U26" i="49"/>
  <c r="V26" i="49" s="1"/>
  <c r="O26" i="49"/>
  <c r="P26" i="49" s="1"/>
  <c r="I26" i="49"/>
  <c r="J26" i="49" s="1"/>
  <c r="C26" i="49"/>
  <c r="BC25" i="49"/>
  <c r="BD25" i="49" s="1"/>
  <c r="BA25" i="49"/>
  <c r="BB25" i="49" s="1"/>
  <c r="AS25" i="49"/>
  <c r="AT25" i="49" s="1"/>
  <c r="AM25" i="49"/>
  <c r="AN25" i="49" s="1"/>
  <c r="AG25" i="49"/>
  <c r="AH25" i="49" s="1"/>
  <c r="AA25" i="49"/>
  <c r="AB25" i="49" s="1"/>
  <c r="U25" i="49"/>
  <c r="V25" i="49" s="1"/>
  <c r="O25" i="49"/>
  <c r="P25" i="49" s="1"/>
  <c r="I25" i="49"/>
  <c r="J25" i="49" s="1"/>
  <c r="C25" i="49"/>
  <c r="AW24" i="49"/>
  <c r="AX24" i="49" s="1"/>
  <c r="AU24" i="49"/>
  <c r="AQ24" i="49"/>
  <c r="AO24" i="49"/>
  <c r="AK24" i="49"/>
  <c r="AL24" i="49" s="1"/>
  <c r="AI24" i="49"/>
  <c r="AJ24" i="49" s="1"/>
  <c r="AE24" i="49"/>
  <c r="AC24" i="49"/>
  <c r="Y24" i="49"/>
  <c r="W24" i="49"/>
  <c r="X24" i="49" s="1"/>
  <c r="S24" i="49"/>
  <c r="T24" i="49" s="1"/>
  <c r="Q24" i="49"/>
  <c r="R24" i="49" s="1"/>
  <c r="M24" i="49"/>
  <c r="K24" i="49"/>
  <c r="G24" i="49"/>
  <c r="E24" i="49"/>
  <c r="AW21" i="49"/>
  <c r="AX21" i="49" s="1"/>
  <c r="AU21" i="49"/>
  <c r="AV21" i="49" s="1"/>
  <c r="AQ21" i="49"/>
  <c r="AR21" i="49" s="1"/>
  <c r="AK21" i="49"/>
  <c r="AL21" i="49" s="1"/>
  <c r="AI21" i="49"/>
  <c r="AJ21" i="49" s="1"/>
  <c r="AE21" i="49"/>
  <c r="AF21" i="49" s="1"/>
  <c r="AC21" i="49"/>
  <c r="AD21" i="49" s="1"/>
  <c r="Y21" i="49"/>
  <c r="Z21" i="49" s="1"/>
  <c r="W21" i="49"/>
  <c r="X21" i="49" s="1"/>
  <c r="S21" i="49"/>
  <c r="T21" i="49" s="1"/>
  <c r="Q21" i="49"/>
  <c r="R21" i="49" s="1"/>
  <c r="G21" i="49"/>
  <c r="H21" i="49" s="1"/>
  <c r="E21" i="49"/>
  <c r="F21" i="49" s="1"/>
  <c r="BC20" i="49"/>
  <c r="BD20" i="49" s="1"/>
  <c r="BA20" i="49"/>
  <c r="BB20" i="49" s="1"/>
  <c r="AS20" i="49"/>
  <c r="AT20" i="49" s="1"/>
  <c r="AM20" i="49"/>
  <c r="AN20" i="49" s="1"/>
  <c r="AG20" i="49"/>
  <c r="AH20" i="49" s="1"/>
  <c r="AA20" i="49"/>
  <c r="AB20" i="49" s="1"/>
  <c r="U20" i="49"/>
  <c r="V20" i="49" s="1"/>
  <c r="O20" i="49"/>
  <c r="P20" i="49" s="1"/>
  <c r="I20" i="49"/>
  <c r="J20" i="49" s="1"/>
  <c r="C20" i="49"/>
  <c r="BC19" i="49"/>
  <c r="BD19" i="49" s="1"/>
  <c r="BA19" i="49"/>
  <c r="BB19" i="49" s="1"/>
  <c r="AS19" i="49"/>
  <c r="AT19" i="49" s="1"/>
  <c r="AM19" i="49"/>
  <c r="AN19" i="49" s="1"/>
  <c r="AG19" i="49"/>
  <c r="AH19" i="49" s="1"/>
  <c r="AA19" i="49"/>
  <c r="AB19" i="49" s="1"/>
  <c r="U19" i="49"/>
  <c r="V19" i="49" s="1"/>
  <c r="O19" i="49"/>
  <c r="P19" i="49" s="1"/>
  <c r="I19" i="49"/>
  <c r="J19" i="49" s="1"/>
  <c r="C19" i="49"/>
  <c r="D19" i="49" s="1"/>
  <c r="BC18" i="49"/>
  <c r="BD18" i="49" s="1"/>
  <c r="BA18" i="49"/>
  <c r="BB18" i="49" s="1"/>
  <c r="AS18" i="49"/>
  <c r="AT18" i="49" s="1"/>
  <c r="AM18" i="49"/>
  <c r="AN18" i="49" s="1"/>
  <c r="AG18" i="49"/>
  <c r="AH18" i="49" s="1"/>
  <c r="AA18" i="49"/>
  <c r="AB18" i="49" s="1"/>
  <c r="U18" i="49"/>
  <c r="V18" i="49" s="1"/>
  <c r="O18" i="49"/>
  <c r="P18" i="49" s="1"/>
  <c r="I18" i="49"/>
  <c r="J18" i="49" s="1"/>
  <c r="C18" i="49"/>
  <c r="BC17" i="49"/>
  <c r="BD17" i="49" s="1"/>
  <c r="BA17" i="49"/>
  <c r="BB17" i="49" s="1"/>
  <c r="AS17" i="49"/>
  <c r="AT17" i="49" s="1"/>
  <c r="AM17" i="49"/>
  <c r="AN17" i="49" s="1"/>
  <c r="AG17" i="49"/>
  <c r="AH17" i="49" s="1"/>
  <c r="AA17" i="49"/>
  <c r="AB17" i="49" s="1"/>
  <c r="U17" i="49"/>
  <c r="V17" i="49" s="1"/>
  <c r="O17" i="49"/>
  <c r="P17" i="49" s="1"/>
  <c r="I17" i="49"/>
  <c r="J17" i="49" s="1"/>
  <c r="C17" i="49"/>
  <c r="D17" i="49" s="1"/>
  <c r="BC16" i="49"/>
  <c r="BD16" i="49" s="1"/>
  <c r="BA16" i="49"/>
  <c r="BB16" i="49" s="1"/>
  <c r="AS16" i="49"/>
  <c r="AT16" i="49" s="1"/>
  <c r="AM16" i="49"/>
  <c r="AN16" i="49" s="1"/>
  <c r="AG16" i="49"/>
  <c r="AH16" i="49" s="1"/>
  <c r="AA16" i="49"/>
  <c r="AB16" i="49" s="1"/>
  <c r="U16" i="49"/>
  <c r="V16" i="49" s="1"/>
  <c r="O16" i="49"/>
  <c r="P16" i="49" s="1"/>
  <c r="I16" i="49"/>
  <c r="J16" i="49" s="1"/>
  <c r="C16" i="49"/>
  <c r="D16" i="49" s="1"/>
  <c r="BC15" i="49"/>
  <c r="BD15" i="49" s="1"/>
  <c r="BA15" i="49"/>
  <c r="BB15" i="49" s="1"/>
  <c r="AS15" i="49"/>
  <c r="AT15" i="49" s="1"/>
  <c r="AM15" i="49"/>
  <c r="AN15" i="49" s="1"/>
  <c r="AG15" i="49"/>
  <c r="AH15" i="49" s="1"/>
  <c r="AA15" i="49"/>
  <c r="AB15" i="49" s="1"/>
  <c r="U15" i="49"/>
  <c r="V15" i="49" s="1"/>
  <c r="O15" i="49"/>
  <c r="P15" i="49" s="1"/>
  <c r="I15" i="49"/>
  <c r="J15" i="49" s="1"/>
  <c r="C15" i="49"/>
  <c r="BC14" i="49"/>
  <c r="BD14" i="49" s="1"/>
  <c r="BA14" i="49"/>
  <c r="BB14" i="49" s="1"/>
  <c r="AS14" i="49"/>
  <c r="AT14" i="49" s="1"/>
  <c r="AM14" i="49"/>
  <c r="AN14" i="49" s="1"/>
  <c r="AG14" i="49"/>
  <c r="AH14" i="49" s="1"/>
  <c r="AA14" i="49"/>
  <c r="AB14" i="49" s="1"/>
  <c r="U14" i="49"/>
  <c r="V14" i="49" s="1"/>
  <c r="O14" i="49"/>
  <c r="P14" i="49" s="1"/>
  <c r="I14" i="49"/>
  <c r="J14" i="49" s="1"/>
  <c r="C14" i="49"/>
  <c r="BC13" i="49"/>
  <c r="BD13" i="49" s="1"/>
  <c r="BA13" i="49"/>
  <c r="BB13" i="49" s="1"/>
  <c r="AS13" i="49"/>
  <c r="AT13" i="49" s="1"/>
  <c r="AM13" i="49"/>
  <c r="AN13" i="49" s="1"/>
  <c r="AG13" i="49"/>
  <c r="AH13" i="49" s="1"/>
  <c r="AA13" i="49"/>
  <c r="AB13" i="49" s="1"/>
  <c r="U13" i="49"/>
  <c r="V13" i="49" s="1"/>
  <c r="O13" i="49"/>
  <c r="P13" i="49" s="1"/>
  <c r="I13" i="49"/>
  <c r="J13" i="49" s="1"/>
  <c r="C13" i="49"/>
  <c r="BC12" i="49"/>
  <c r="BD12" i="49" s="1"/>
  <c r="BA12" i="49"/>
  <c r="BB12" i="49" s="1"/>
  <c r="AS12" i="49"/>
  <c r="AT12" i="49" s="1"/>
  <c r="AM12" i="49"/>
  <c r="AN12" i="49" s="1"/>
  <c r="AG12" i="49"/>
  <c r="AH12" i="49" s="1"/>
  <c r="AA12" i="49"/>
  <c r="AB12" i="49" s="1"/>
  <c r="U12" i="49"/>
  <c r="V12" i="49" s="1"/>
  <c r="O12" i="49"/>
  <c r="P12" i="49" s="1"/>
  <c r="I12" i="49"/>
  <c r="J12" i="49" s="1"/>
  <c r="C12" i="49"/>
  <c r="BC11" i="49"/>
  <c r="BD11" i="49" s="1"/>
  <c r="BA11" i="49"/>
  <c r="BB11" i="49" s="1"/>
  <c r="AS11" i="49"/>
  <c r="AT11" i="49" s="1"/>
  <c r="AM11" i="49"/>
  <c r="AN11" i="49" s="1"/>
  <c r="AG11" i="49"/>
  <c r="AH11" i="49" s="1"/>
  <c r="AA11" i="49"/>
  <c r="AB11" i="49" s="1"/>
  <c r="U11" i="49"/>
  <c r="V11" i="49" s="1"/>
  <c r="O11" i="49"/>
  <c r="P11" i="49" s="1"/>
  <c r="I11" i="49"/>
  <c r="J11" i="49" s="1"/>
  <c r="C11" i="49"/>
  <c r="D11" i="49" s="1"/>
  <c r="BC10" i="49"/>
  <c r="BD10" i="49" s="1"/>
  <c r="BA10" i="49"/>
  <c r="BB10" i="49" s="1"/>
  <c r="AS10" i="49"/>
  <c r="AT10" i="49" s="1"/>
  <c r="AM10" i="49"/>
  <c r="AN10" i="49" s="1"/>
  <c r="AG10" i="49"/>
  <c r="AH10" i="49" s="1"/>
  <c r="AA10" i="49"/>
  <c r="AB10" i="49" s="1"/>
  <c r="U10" i="49"/>
  <c r="V10" i="49" s="1"/>
  <c r="O10" i="49"/>
  <c r="P10" i="49" s="1"/>
  <c r="I10" i="49"/>
  <c r="J10" i="49" s="1"/>
  <c r="C10" i="49"/>
  <c r="AS9" i="49"/>
  <c r="AT9" i="49" s="1"/>
  <c r="AG9" i="49"/>
  <c r="AH9" i="49" s="1"/>
  <c r="AA9" i="49"/>
  <c r="AB9" i="49" s="1"/>
  <c r="U9" i="49"/>
  <c r="V9" i="49" s="1"/>
  <c r="O9" i="49"/>
  <c r="P9" i="49" s="1"/>
  <c r="C9" i="49"/>
  <c r="BC8" i="49"/>
  <c r="BD8" i="49" s="1"/>
  <c r="AS8" i="49"/>
  <c r="AM8" i="49"/>
  <c r="AG8" i="49"/>
  <c r="AA8" i="49"/>
  <c r="AB8" i="49" s="1"/>
  <c r="U8" i="49"/>
  <c r="V8" i="49" s="1"/>
  <c r="O8" i="49"/>
  <c r="P8" i="49" s="1"/>
  <c r="C8" i="49"/>
  <c r="AU33" i="52" l="1"/>
  <c r="AU40" i="52" s="1"/>
  <c r="U30" i="52"/>
  <c r="AG30" i="49"/>
  <c r="AH30" i="49" s="1"/>
  <c r="AY29" i="52"/>
  <c r="AY15" i="52"/>
  <c r="I30" i="52"/>
  <c r="K33" i="52"/>
  <c r="N30" i="52"/>
  <c r="Q33" i="52"/>
  <c r="Q40" i="52" s="1"/>
  <c r="W33" i="52"/>
  <c r="X33" i="52" s="1"/>
  <c r="U24" i="52"/>
  <c r="U33" i="52" s="1"/>
  <c r="C24" i="52"/>
  <c r="AY10" i="52"/>
  <c r="V30" i="52"/>
  <c r="O30" i="52"/>
  <c r="P30" i="52" s="1"/>
  <c r="AG21" i="52"/>
  <c r="AY18" i="52"/>
  <c r="AM30" i="49"/>
  <c r="AN30" i="49" s="1"/>
  <c r="I21" i="52"/>
  <c r="D10" i="52"/>
  <c r="R24" i="52"/>
  <c r="AY12" i="52"/>
  <c r="AY20" i="52"/>
  <c r="BA21" i="52"/>
  <c r="D12" i="52"/>
  <c r="AZ12" i="52" s="1"/>
  <c r="D20" i="52"/>
  <c r="BB8" i="52"/>
  <c r="AY26" i="52"/>
  <c r="AA21" i="52"/>
  <c r="AY11" i="52"/>
  <c r="AY19" i="52"/>
  <c r="AZ19" i="52" s="1"/>
  <c r="D26" i="52"/>
  <c r="D11" i="52"/>
  <c r="AQ33" i="52"/>
  <c r="AQ40" i="52" s="1"/>
  <c r="AY36" i="52"/>
  <c r="D29" i="52"/>
  <c r="AR24" i="52"/>
  <c r="D36" i="52"/>
  <c r="AY38" i="52"/>
  <c r="AY8" i="52"/>
  <c r="AY16" i="52"/>
  <c r="AZ16" i="52" s="1"/>
  <c r="AS24" i="52"/>
  <c r="AD30" i="52"/>
  <c r="D38" i="52"/>
  <c r="L24" i="52"/>
  <c r="L33" i="52" s="1"/>
  <c r="BC30" i="52"/>
  <c r="AM21" i="52"/>
  <c r="AN21" i="52" s="1"/>
  <c r="AE33" i="52"/>
  <c r="AE40" i="52" s="1"/>
  <c r="G33" i="52"/>
  <c r="G40" i="52" s="1"/>
  <c r="AY28" i="52"/>
  <c r="AW33" i="52"/>
  <c r="AW40" i="52" s="1"/>
  <c r="D28" i="52"/>
  <c r="D18" i="52"/>
  <c r="AY34" i="52"/>
  <c r="AZ34" i="52" s="1"/>
  <c r="BC24" i="52"/>
  <c r="AX24" i="52"/>
  <c r="O30" i="49"/>
  <c r="P30" i="49" s="1"/>
  <c r="AY37" i="52"/>
  <c r="D37" i="52"/>
  <c r="D37" i="49"/>
  <c r="AY35" i="49"/>
  <c r="D35" i="49"/>
  <c r="M33" i="49"/>
  <c r="M40" i="49" s="1"/>
  <c r="K33" i="49"/>
  <c r="K40" i="49" s="1"/>
  <c r="AE33" i="49"/>
  <c r="AE40" i="49" s="1"/>
  <c r="AC33" i="49"/>
  <c r="AC40" i="49" s="1"/>
  <c r="C30" i="49"/>
  <c r="AY29" i="49"/>
  <c r="D29" i="49"/>
  <c r="U24" i="49"/>
  <c r="AY27" i="49"/>
  <c r="D27" i="49"/>
  <c r="C24" i="49"/>
  <c r="AA24" i="49"/>
  <c r="AW33" i="49"/>
  <c r="AX33" i="49" s="1"/>
  <c r="AM24" i="49"/>
  <c r="BA24" i="49"/>
  <c r="F24" i="49"/>
  <c r="Q33" i="49"/>
  <c r="Q40" i="49" s="1"/>
  <c r="AY19" i="49"/>
  <c r="AY17" i="49"/>
  <c r="AY11" i="49"/>
  <c r="D9" i="49"/>
  <c r="K40" i="52"/>
  <c r="O21" i="52"/>
  <c r="P21" i="52" s="1"/>
  <c r="AY25" i="52"/>
  <c r="S33" i="52"/>
  <c r="T33" i="52" s="1"/>
  <c r="AH8" i="52"/>
  <c r="D15" i="52"/>
  <c r="Z24" i="52"/>
  <c r="AP24" i="52"/>
  <c r="D25" i="52"/>
  <c r="F30" i="52"/>
  <c r="AL30" i="52"/>
  <c r="I24" i="52"/>
  <c r="AA24" i="52"/>
  <c r="AM30" i="52"/>
  <c r="AN30" i="52" s="1"/>
  <c r="E33" i="52"/>
  <c r="AK33" i="52"/>
  <c r="AY13" i="52"/>
  <c r="AZ13" i="52" s="1"/>
  <c r="C21" i="52"/>
  <c r="AY31" i="52"/>
  <c r="AY39" i="52"/>
  <c r="J10" i="52"/>
  <c r="AD24" i="52"/>
  <c r="D31" i="52"/>
  <c r="AZ31" i="52" s="1"/>
  <c r="D39" i="52"/>
  <c r="AZ39" i="52" s="1"/>
  <c r="AT8" i="52"/>
  <c r="AB9" i="52"/>
  <c r="N24" i="52"/>
  <c r="U21" i="52"/>
  <c r="V21" i="52" s="1"/>
  <c r="O24" i="52"/>
  <c r="Y33" i="52"/>
  <c r="AO33" i="52"/>
  <c r="BC21" i="52"/>
  <c r="BD21" i="52" s="1"/>
  <c r="AG24" i="52"/>
  <c r="AS30" i="52"/>
  <c r="AY14" i="52"/>
  <c r="M33" i="52"/>
  <c r="AC33" i="52"/>
  <c r="D14" i="52"/>
  <c r="AZ14" i="52" s="1"/>
  <c r="AF30" i="52"/>
  <c r="AV30" i="52"/>
  <c r="D32" i="52"/>
  <c r="AY17" i="52"/>
  <c r="BA24" i="52"/>
  <c r="AY27" i="52"/>
  <c r="AY35" i="52"/>
  <c r="D17" i="52"/>
  <c r="D27" i="52"/>
  <c r="D35" i="52"/>
  <c r="AY9" i="52"/>
  <c r="D9" i="52"/>
  <c r="F24" i="52"/>
  <c r="AS21" i="52"/>
  <c r="AM24" i="52"/>
  <c r="C30" i="52"/>
  <c r="AY15" i="49"/>
  <c r="BG15" i="49" s="1"/>
  <c r="BH15" i="49" s="1"/>
  <c r="O21" i="49"/>
  <c r="P21" i="49" s="1"/>
  <c r="I24" i="49"/>
  <c r="AY25" i="49"/>
  <c r="U30" i="49"/>
  <c r="V30" i="49" s="1"/>
  <c r="S33" i="49"/>
  <c r="T33" i="49" s="1"/>
  <c r="AI33" i="49"/>
  <c r="AJ33" i="49" s="1"/>
  <c r="AH8" i="49"/>
  <c r="D15" i="49"/>
  <c r="Z24" i="49"/>
  <c r="AP24" i="49"/>
  <c r="D25" i="49"/>
  <c r="F30" i="49"/>
  <c r="AY10" i="49"/>
  <c r="AY18" i="49"/>
  <c r="AG21" i="49"/>
  <c r="AY28" i="49"/>
  <c r="BC30" i="49"/>
  <c r="E33" i="49"/>
  <c r="AK33" i="49"/>
  <c r="AL33" i="49" s="1"/>
  <c r="AY36" i="49"/>
  <c r="D10" i="49"/>
  <c r="D18" i="49"/>
  <c r="L24" i="49"/>
  <c r="AR24" i="49"/>
  <c r="D28" i="49"/>
  <c r="H30" i="49"/>
  <c r="D36" i="49"/>
  <c r="AN8" i="49"/>
  <c r="C21" i="49"/>
  <c r="AY13" i="49"/>
  <c r="AS24" i="49"/>
  <c r="I30" i="49"/>
  <c r="J30" i="49" s="1"/>
  <c r="AY31" i="49"/>
  <c r="G33" i="49"/>
  <c r="W33" i="49"/>
  <c r="X33" i="49" s="1"/>
  <c r="AY39" i="49"/>
  <c r="AT8" i="49"/>
  <c r="D13" i="49"/>
  <c r="N24" i="49"/>
  <c r="AD24" i="49"/>
  <c r="D31" i="49"/>
  <c r="D39" i="49"/>
  <c r="AY16" i="49"/>
  <c r="U21" i="49"/>
  <c r="V21" i="49" s="1"/>
  <c r="Y33" i="49"/>
  <c r="AY34" i="49"/>
  <c r="AA30" i="49"/>
  <c r="D8" i="49"/>
  <c r="AF24" i="49"/>
  <c r="AV24" i="49"/>
  <c r="D26" i="49"/>
  <c r="D34" i="49"/>
  <c r="O24" i="49"/>
  <c r="P24" i="49" s="1"/>
  <c r="AY26" i="49"/>
  <c r="AO33" i="49"/>
  <c r="AG24" i="49"/>
  <c r="AH24" i="49" s="1"/>
  <c r="AQ33" i="49"/>
  <c r="AY14" i="49"/>
  <c r="D14" i="49"/>
  <c r="D32" i="49"/>
  <c r="AA21" i="49"/>
  <c r="AB21" i="49" s="1"/>
  <c r="AY38" i="49"/>
  <c r="AY12" i="49"/>
  <c r="AY20" i="49"/>
  <c r="AS21" i="49"/>
  <c r="BC24" i="49"/>
  <c r="D12" i="49"/>
  <c r="AZ12" i="49" s="1"/>
  <c r="D20" i="49"/>
  <c r="AZ20" i="49" s="1"/>
  <c r="H24" i="49"/>
  <c r="D38" i="49"/>
  <c r="AT24" i="52" l="1"/>
  <c r="BG14" i="49"/>
  <c r="BH14" i="49" s="1"/>
  <c r="AR33" i="52"/>
  <c r="AR40" i="52" s="1"/>
  <c r="AZ15" i="49"/>
  <c r="BG31" i="49"/>
  <c r="BH31" i="49" s="1"/>
  <c r="BG39" i="49"/>
  <c r="BH39" i="49" s="1"/>
  <c r="AZ10" i="52"/>
  <c r="AZ20" i="52"/>
  <c r="BG13" i="49"/>
  <c r="BH13" i="49" s="1"/>
  <c r="BG18" i="49"/>
  <c r="BH18" i="49" s="1"/>
  <c r="AZ38" i="52"/>
  <c r="BG38" i="49"/>
  <c r="BH38" i="49" s="1"/>
  <c r="BG12" i="49"/>
  <c r="BH12" i="49" s="1"/>
  <c r="AZ10" i="49"/>
  <c r="AZ17" i="49"/>
  <c r="BG17" i="49"/>
  <c r="BH17" i="49" s="1"/>
  <c r="AZ19" i="49"/>
  <c r="BG19" i="49"/>
  <c r="BH19" i="49" s="1"/>
  <c r="AZ16" i="49"/>
  <c r="BG16" i="49"/>
  <c r="BH16" i="49" s="1"/>
  <c r="AZ11" i="49"/>
  <c r="BG11" i="49"/>
  <c r="BH11" i="49" s="1"/>
  <c r="AL33" i="52"/>
  <c r="W40" i="52"/>
  <c r="X40" i="52" s="1"/>
  <c r="J30" i="52"/>
  <c r="H33" i="52"/>
  <c r="H40" i="52" s="1"/>
  <c r="AZ29" i="52"/>
  <c r="R33" i="52"/>
  <c r="R40" i="52" s="1"/>
  <c r="AZ26" i="52"/>
  <c r="AZ28" i="52"/>
  <c r="C33" i="52"/>
  <c r="C40" i="52" s="1"/>
  <c r="D24" i="52"/>
  <c r="AZ15" i="52"/>
  <c r="AZ11" i="52"/>
  <c r="L40" i="52"/>
  <c r="AZ36" i="52"/>
  <c r="AM33" i="49"/>
  <c r="AM40" i="49" s="1"/>
  <c r="AB30" i="52"/>
  <c r="AF33" i="49"/>
  <c r="AF40" i="49" s="1"/>
  <c r="N33" i="52"/>
  <c r="AS33" i="52"/>
  <c r="AS40" i="52" s="1"/>
  <c r="AX33" i="52"/>
  <c r="AX40" i="52" s="1"/>
  <c r="P24" i="52"/>
  <c r="AZ25" i="52"/>
  <c r="AB21" i="52"/>
  <c r="BB21" i="52"/>
  <c r="AZ18" i="52"/>
  <c r="AH21" i="52"/>
  <c r="AZ17" i="52"/>
  <c r="AZ18" i="49"/>
  <c r="D21" i="52"/>
  <c r="AZ27" i="52"/>
  <c r="AP33" i="52"/>
  <c r="AY21" i="52"/>
  <c r="AZ35" i="52"/>
  <c r="Z33" i="52"/>
  <c r="AY24" i="52"/>
  <c r="V24" i="52"/>
  <c r="V33" i="52" s="1"/>
  <c r="N33" i="49"/>
  <c r="N40" i="49" s="1"/>
  <c r="AN24" i="52"/>
  <c r="AB24" i="52"/>
  <c r="AT21" i="52"/>
  <c r="F33" i="52"/>
  <c r="AD33" i="49"/>
  <c r="AD40" i="49" s="1"/>
  <c r="AH21" i="49"/>
  <c r="AZ37" i="52"/>
  <c r="AT30" i="52"/>
  <c r="AZ39" i="49"/>
  <c r="AZ38" i="49"/>
  <c r="AZ36" i="49"/>
  <c r="AZ35" i="49"/>
  <c r="AZ34" i="49"/>
  <c r="L33" i="49"/>
  <c r="L40" i="49" s="1"/>
  <c r="AP33" i="49"/>
  <c r="AZ31" i="49"/>
  <c r="C33" i="49"/>
  <c r="C40" i="49" s="1"/>
  <c r="D30" i="49"/>
  <c r="AZ29" i="49"/>
  <c r="AZ28" i="49"/>
  <c r="AW40" i="49"/>
  <c r="AX40" i="49" s="1"/>
  <c r="AZ27" i="49"/>
  <c r="V24" i="49"/>
  <c r="AA33" i="49"/>
  <c r="AA40" i="49" s="1"/>
  <c r="AZ25" i="49"/>
  <c r="AY24" i="49"/>
  <c r="Z33" i="49"/>
  <c r="BD24" i="49"/>
  <c r="AZ26" i="49"/>
  <c r="R33" i="49"/>
  <c r="R40" i="49" s="1"/>
  <c r="AZ14" i="49"/>
  <c r="AZ13" i="49"/>
  <c r="D21" i="49"/>
  <c r="AT21" i="49"/>
  <c r="AK40" i="52"/>
  <c r="AZ8" i="52"/>
  <c r="U40" i="52"/>
  <c r="J24" i="52"/>
  <c r="D30" i="52"/>
  <c r="E40" i="52"/>
  <c r="J21" i="52"/>
  <c r="BD24" i="52"/>
  <c r="AD33" i="52"/>
  <c r="M40" i="52"/>
  <c r="AA33" i="52"/>
  <c r="AV33" i="52"/>
  <c r="AV40" i="52" s="1"/>
  <c r="AZ9" i="52"/>
  <c r="S40" i="52"/>
  <c r="T40" i="52" s="1"/>
  <c r="I33" i="52"/>
  <c r="BB24" i="52"/>
  <c r="AO40" i="52"/>
  <c r="BD30" i="52"/>
  <c r="Y40" i="52"/>
  <c r="AF33" i="52"/>
  <c r="AF40" i="52" s="1"/>
  <c r="AM33" i="52"/>
  <c r="O33" i="52"/>
  <c r="BC33" i="52"/>
  <c r="AH24" i="52"/>
  <c r="AC40" i="52"/>
  <c r="G40" i="49"/>
  <c r="BC33" i="49"/>
  <c r="O33" i="49"/>
  <c r="AK40" i="49"/>
  <c r="AL40" i="49" s="1"/>
  <c r="AB30" i="49"/>
  <c r="U33" i="49"/>
  <c r="J24" i="49"/>
  <c r="H33" i="49"/>
  <c r="E40" i="49"/>
  <c r="AI40" i="49"/>
  <c r="AJ40" i="49" s="1"/>
  <c r="AB24" i="49"/>
  <c r="S40" i="49"/>
  <c r="T40" i="49" s="1"/>
  <c r="D24" i="49"/>
  <c r="AT24" i="49"/>
  <c r="F33" i="49"/>
  <c r="BD30" i="49"/>
  <c r="AQ40" i="49"/>
  <c r="AR33" i="49"/>
  <c r="I33" i="49"/>
  <c r="AN24" i="49"/>
  <c r="BB24" i="49"/>
  <c r="Y40" i="49"/>
  <c r="AG33" i="49"/>
  <c r="AH33" i="49" s="1"/>
  <c r="AO40" i="49"/>
  <c r="W40" i="49"/>
  <c r="X40" i="49" s="1"/>
  <c r="AT33" i="52" l="1"/>
  <c r="AT40" i="52" s="1"/>
  <c r="AN33" i="49"/>
  <c r="AN40" i="49" s="1"/>
  <c r="AL40" i="52"/>
  <c r="D33" i="52"/>
  <c r="D40" i="52" s="1"/>
  <c r="N40" i="52"/>
  <c r="Z40" i="52"/>
  <c r="V40" i="52"/>
  <c r="AN33" i="52"/>
  <c r="J33" i="52"/>
  <c r="F40" i="52"/>
  <c r="AP40" i="52"/>
  <c r="AZ24" i="52"/>
  <c r="AD40" i="52"/>
  <c r="AP40" i="49"/>
  <c r="V33" i="49"/>
  <c r="H40" i="49"/>
  <c r="AR40" i="49"/>
  <c r="Z40" i="49"/>
  <c r="BD33" i="49"/>
  <c r="F40" i="49"/>
  <c r="O40" i="52"/>
  <c r="P33" i="52"/>
  <c r="AM40" i="52"/>
  <c r="BC40" i="52"/>
  <c r="BD33" i="52"/>
  <c r="AA40" i="52"/>
  <c r="AB33" i="52"/>
  <c r="AZ21" i="52"/>
  <c r="I40" i="52"/>
  <c r="AG40" i="49"/>
  <c r="AH40" i="49" s="1"/>
  <c r="D33" i="49"/>
  <c r="AZ24" i="49"/>
  <c r="U40" i="49"/>
  <c r="I40" i="49"/>
  <c r="J33" i="49"/>
  <c r="O40" i="49"/>
  <c r="AB33" i="49"/>
  <c r="AB40" i="49" s="1"/>
  <c r="P33" i="49"/>
  <c r="BC40" i="49"/>
  <c r="AN40" i="52" l="1"/>
  <c r="J40" i="52"/>
  <c r="P40" i="52"/>
  <c r="AB40" i="52"/>
  <c r="BD40" i="52"/>
  <c r="V40" i="49"/>
  <c r="BD40" i="49"/>
  <c r="J40" i="49"/>
  <c r="P40" i="49"/>
  <c r="D40" i="49"/>
  <c r="V3" i="40" l="1"/>
  <c r="F3" i="35"/>
  <c r="BA3" i="52"/>
  <c r="BA3" i="49"/>
  <c r="P62" i="26" l="1"/>
  <c r="AD13" i="40" l="1"/>
  <c r="AD15" i="40"/>
  <c r="AD33" i="40"/>
  <c r="AD34" i="40" s="1"/>
  <c r="AE33" i="40"/>
  <c r="AE34" i="40" s="1"/>
  <c r="AF33" i="40"/>
  <c r="AF34" i="40" s="1"/>
  <c r="AG33" i="40"/>
  <c r="AG34" i="40" s="1"/>
  <c r="AH33" i="40"/>
  <c r="AH34" i="40" s="1"/>
  <c r="O66" i="26" l="1"/>
  <c r="C66" i="26" s="1"/>
  <c r="I66" i="26"/>
  <c r="O65" i="26"/>
  <c r="C65" i="26" s="1"/>
  <c r="I65" i="26"/>
  <c r="AB9" i="40" l="1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E15" i="40"/>
  <c r="AF15" i="40"/>
  <c r="AG15" i="40"/>
  <c r="AH15" i="40"/>
  <c r="AE13" i="40"/>
  <c r="AF13" i="40"/>
  <c r="AG13" i="40"/>
  <c r="AH13" i="40"/>
  <c r="G35" i="9"/>
  <c r="G6" i="2"/>
  <c r="G7" i="2"/>
  <c r="G13" i="2"/>
  <c r="G14" i="2"/>
  <c r="G23" i="2"/>
  <c r="G24" i="2"/>
  <c r="J84" i="24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3" i="10"/>
  <c r="C11" i="10"/>
  <c r="C9" i="10"/>
  <c r="AI33" i="40" s="1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35" i="9"/>
  <c r="E83" i="48" l="1"/>
  <c r="F83" i="48"/>
  <c r="G83" i="48"/>
  <c r="J83" i="48"/>
  <c r="K83" i="48"/>
  <c r="L83" i="48"/>
  <c r="O83" i="48"/>
  <c r="R83" i="48"/>
  <c r="S83" i="48"/>
  <c r="T83" i="48"/>
  <c r="W83" i="48"/>
  <c r="Z83" i="48"/>
  <c r="AA83" i="48"/>
  <c r="AB83" i="48"/>
  <c r="AE83" i="48"/>
  <c r="AH83" i="48"/>
  <c r="AI83" i="48"/>
  <c r="AJ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J72" i="48"/>
  <c r="AJ84" i="48" s="1"/>
  <c r="AI72" i="48"/>
  <c r="AH72" i="48"/>
  <c r="AE72" i="48"/>
  <c r="AE84" i="48" s="1"/>
  <c r="AB72" i="48"/>
  <c r="AB84" i="48" s="1"/>
  <c r="AA72" i="48"/>
  <c r="Z72" i="48"/>
  <c r="W72" i="48"/>
  <c r="W84" i="48" s="1"/>
  <c r="T72" i="48"/>
  <c r="T84" i="48" s="1"/>
  <c r="S72" i="48"/>
  <c r="R72" i="48"/>
  <c r="O72" i="48"/>
  <c r="O84" i="48" s="1"/>
  <c r="L72" i="48"/>
  <c r="L84" i="48" s="1"/>
  <c r="K72" i="48"/>
  <c r="J72" i="48"/>
  <c r="G72" i="48"/>
  <c r="G84" i="48" s="1"/>
  <c r="F72" i="48"/>
  <c r="F84" i="48" s="1"/>
  <c r="E72" i="48"/>
  <c r="F54" i="48"/>
  <c r="E54" i="48"/>
  <c r="H54" i="48" s="1"/>
  <c r="AK72" i="48" l="1"/>
  <c r="AL72" i="48" s="1"/>
  <c r="AH84" i="48"/>
  <c r="H72" i="48"/>
  <c r="I72" i="48" s="1"/>
  <c r="E84" i="48"/>
  <c r="M72" i="48"/>
  <c r="N72" i="48" s="1"/>
  <c r="J84" i="48"/>
  <c r="P72" i="48"/>
  <c r="Q72" i="48" s="1"/>
  <c r="K84" i="48"/>
  <c r="AN72" i="48"/>
  <c r="AO72" i="48" s="1"/>
  <c r="AI84" i="48"/>
  <c r="U72" i="48"/>
  <c r="V72" i="48" s="1"/>
  <c r="R84" i="48"/>
  <c r="X72" i="48"/>
  <c r="Y72" i="48" s="1"/>
  <c r="S84" i="48"/>
  <c r="AC72" i="48"/>
  <c r="AD72" i="48" s="1"/>
  <c r="Z84" i="48"/>
  <c r="AF72" i="48"/>
  <c r="AG72" i="48" s="1"/>
  <c r="AA84" i="48"/>
  <c r="AT73" i="48"/>
  <c r="AS72" i="48"/>
  <c r="AP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Q72" i="48"/>
  <c r="AR72" i="48" s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AF70" i="48" s="1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X68" i="48" s="1"/>
  <c r="R68" i="48"/>
  <c r="U68" i="48" s="1"/>
  <c r="O68" i="48"/>
  <c r="L68" i="48"/>
  <c r="K68" i="48"/>
  <c r="P68" i="48" s="1"/>
  <c r="J68" i="48"/>
  <c r="M68" i="48" s="1"/>
  <c r="G68" i="48"/>
  <c r="F68" i="48"/>
  <c r="E68" i="48"/>
  <c r="H68" i="48" s="1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M67" i="48" s="1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AF65" i="48" s="1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K64" i="48" s="1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P64" i="48" s="1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O61" i="48"/>
  <c r="L61" i="48"/>
  <c r="K61" i="48"/>
  <c r="P61" i="48" s="1"/>
  <c r="J61" i="48"/>
  <c r="M61" i="48" s="1"/>
  <c r="G61" i="48"/>
  <c r="F61" i="48"/>
  <c r="E61" i="48"/>
  <c r="H61" i="48" s="1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X60" i="48" s="1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M59" i="48" s="1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N52" i="48" s="1"/>
  <c r="AH52" i="48"/>
  <c r="AK52" i="48" s="1"/>
  <c r="AE52" i="48"/>
  <c r="AB52" i="48"/>
  <c r="AA52" i="48"/>
  <c r="Z52" i="48"/>
  <c r="AC52" i="48" s="1"/>
  <c r="W52" i="48"/>
  <c r="T52" i="48"/>
  <c r="S52" i="48"/>
  <c r="X52" i="48" s="1"/>
  <c r="R52" i="48"/>
  <c r="U52" i="48" s="1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P48" i="48" s="1"/>
  <c r="J48" i="48"/>
  <c r="M48" i="48" s="1"/>
  <c r="G48" i="48"/>
  <c r="F48" i="48"/>
  <c r="E48" i="48"/>
  <c r="H48" i="48" s="1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AC47" i="48" s="1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N45" i="48" s="1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P44" i="48" s="1"/>
  <c r="J44" i="48"/>
  <c r="M44" i="48" s="1"/>
  <c r="G44" i="48"/>
  <c r="F44" i="48"/>
  <c r="E44" i="48"/>
  <c r="H44" i="48" s="1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U43" i="48" s="1"/>
  <c r="O43" i="48"/>
  <c r="L43" i="48"/>
  <c r="K43" i="48"/>
  <c r="P43" i="48" s="1"/>
  <c r="J43" i="48"/>
  <c r="M43" i="48" s="1"/>
  <c r="G43" i="48"/>
  <c r="F43" i="48"/>
  <c r="E43" i="48"/>
  <c r="H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H41" i="48" s="1"/>
  <c r="AM40" i="48"/>
  <c r="AJ40" i="48"/>
  <c r="AI40" i="48"/>
  <c r="AN40" i="48" s="1"/>
  <c r="AH40" i="48"/>
  <c r="AK40" i="48" s="1"/>
  <c r="AE40" i="48"/>
  <c r="AB40" i="48"/>
  <c r="AA40" i="48"/>
  <c r="AF40" i="48" s="1"/>
  <c r="Z40" i="48"/>
  <c r="AC40" i="48" s="1"/>
  <c r="W40" i="48"/>
  <c r="T40" i="48"/>
  <c r="S40" i="48"/>
  <c r="X40" i="48" s="1"/>
  <c r="R40" i="48"/>
  <c r="U40" i="48" s="1"/>
  <c r="O40" i="48"/>
  <c r="L40" i="48"/>
  <c r="K40" i="48"/>
  <c r="P40" i="48" s="1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U39" i="48" s="1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E38" i="48"/>
  <c r="AB38" i="48"/>
  <c r="AA38" i="48"/>
  <c r="AF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AF36" i="48" s="1"/>
  <c r="Z36" i="48"/>
  <c r="AC36" i="48" s="1"/>
  <c r="W36" i="48"/>
  <c r="T36" i="48"/>
  <c r="S36" i="48"/>
  <c r="X36" i="48" s="1"/>
  <c r="R36" i="48"/>
  <c r="U36" i="48" s="1"/>
  <c r="O36" i="48"/>
  <c r="L36" i="48"/>
  <c r="K36" i="48"/>
  <c r="P36" i="48" s="1"/>
  <c r="J36" i="48"/>
  <c r="M36" i="48" s="1"/>
  <c r="G36" i="48"/>
  <c r="F36" i="48"/>
  <c r="E36" i="48"/>
  <c r="H36" i="48" s="1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M35" i="48" s="1"/>
  <c r="G35" i="48"/>
  <c r="F35" i="48"/>
  <c r="E35" i="48"/>
  <c r="H35" i="48" s="1"/>
  <c r="AM30" i="48"/>
  <c r="AJ30" i="48"/>
  <c r="AI30" i="48"/>
  <c r="AN30" i="48" s="1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N29" i="48" s="1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K27" i="48" s="1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P25" i="48" s="1"/>
  <c r="J25" i="48"/>
  <c r="M25" i="48" s="1"/>
  <c r="G25" i="48"/>
  <c r="F25" i="48"/>
  <c r="E25" i="48"/>
  <c r="H25" i="48" s="1"/>
  <c r="AM24" i="48"/>
  <c r="AJ24" i="48"/>
  <c r="AI24" i="48"/>
  <c r="AN24" i="48" s="1"/>
  <c r="AH24" i="48"/>
  <c r="AK24" i="48" s="1"/>
  <c r="AE24" i="48"/>
  <c r="AB24" i="48"/>
  <c r="AA24" i="48"/>
  <c r="AF24" i="48" s="1"/>
  <c r="Z24" i="48"/>
  <c r="AC24" i="48" s="1"/>
  <c r="W24" i="48"/>
  <c r="T24" i="48"/>
  <c r="S24" i="48"/>
  <c r="X24" i="48" s="1"/>
  <c r="R24" i="48"/>
  <c r="U24" i="48" s="1"/>
  <c r="O24" i="48"/>
  <c r="L24" i="48"/>
  <c r="K24" i="48"/>
  <c r="P24" i="48" s="1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X21" i="48" s="1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P20" i="48" s="1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H18" i="48" s="1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U16" i="48" s="1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M15" i="48" s="1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K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N12" i="48" s="1"/>
  <c r="AH12" i="48"/>
  <c r="AK12" i="48" s="1"/>
  <c r="AE12" i="48"/>
  <c r="AB12" i="48"/>
  <c r="AA12" i="48"/>
  <c r="AF12" i="48" s="1"/>
  <c r="Z12" i="48"/>
  <c r="AC12" i="48" s="1"/>
  <c r="W12" i="48"/>
  <c r="T12" i="48"/>
  <c r="S12" i="48"/>
  <c r="X12" i="48" s="1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P9" i="48" s="1"/>
  <c r="J9" i="48"/>
  <c r="M9" i="48" s="1"/>
  <c r="G9" i="48"/>
  <c r="F9" i="48"/>
  <c r="E9" i="48"/>
  <c r="H9" i="48" s="1"/>
  <c r="AM8" i="48"/>
  <c r="AJ8" i="48"/>
  <c r="AI8" i="48"/>
  <c r="AN8" i="48" s="1"/>
  <c r="AH8" i="48"/>
  <c r="AK8" i="48" s="1"/>
  <c r="AE8" i="48"/>
  <c r="AB8" i="48"/>
  <c r="AA8" i="48"/>
  <c r="AF8" i="48" s="1"/>
  <c r="Z8" i="48"/>
  <c r="AC8" i="48" s="1"/>
  <c r="W8" i="48"/>
  <c r="T8" i="48"/>
  <c r="S8" i="48"/>
  <c r="X8" i="48" s="1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AC7" i="48" s="1"/>
  <c r="W7" i="48"/>
  <c r="T7" i="48"/>
  <c r="S7" i="48"/>
  <c r="X7" i="48" s="1"/>
  <c r="R7" i="48"/>
  <c r="U7" i="48" s="1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AF52" i="48"/>
  <c r="AC51" i="48"/>
  <c r="AD50" i="48" l="1"/>
  <c r="V46" i="48"/>
  <c r="AL38" i="48"/>
  <c r="I43" i="48"/>
  <c r="V61" i="48"/>
  <c r="AS60" i="48"/>
  <c r="N69" i="48"/>
  <c r="AP35" i="48"/>
  <c r="AG38" i="48"/>
  <c r="AS40" i="48"/>
  <c r="AP46" i="48"/>
  <c r="V10" i="48"/>
  <c r="N9" i="48"/>
  <c r="AP37" i="48"/>
  <c r="AP45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T17" i="48"/>
  <c r="AO27" i="48"/>
  <c r="AQ30" i="48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N25" i="48"/>
  <c r="I35" i="48"/>
  <c r="H53" i="48"/>
  <c r="H74" i="48" s="1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K74" i="48" s="1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M53" i="48"/>
  <c r="M74" i="48" s="1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U74" i="48" s="1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46" i="48" l="1"/>
  <c r="AU10" i="48"/>
  <c r="AR30" i="48"/>
  <c r="AU40" i="48"/>
  <c r="AR37" i="48"/>
  <c r="AR35" i="48"/>
  <c r="AU60" i="48"/>
  <c r="AU18" i="48"/>
  <c r="AR45" i="48"/>
  <c r="AR25" i="48"/>
  <c r="AU66" i="48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AF76" i="48"/>
  <c r="AF75" i="48"/>
  <c r="M76" i="48"/>
  <c r="M75" i="48"/>
  <c r="AQ71" i="48"/>
  <c r="AP53" i="48"/>
  <c r="AP74" i="48" s="1"/>
  <c r="X75" i="48"/>
  <c r="X76" i="48"/>
  <c r="N31" i="48"/>
  <c r="AT53" i="48"/>
  <c r="AT74" i="48" s="1"/>
  <c r="AL53" i="48"/>
  <c r="AL74" i="48" s="1"/>
  <c r="I31" i="48"/>
  <c r="AR60" i="48"/>
  <c r="AQ31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Q74" i="48" s="1"/>
  <c r="AR16" i="48"/>
  <c r="U75" i="48"/>
  <c r="U76" i="48"/>
  <c r="I53" i="48"/>
  <c r="I74" i="48" s="1"/>
  <c r="AU71" i="48" l="1"/>
  <c r="AS77" i="48"/>
  <c r="AU31" i="48"/>
  <c r="AR31" i="48"/>
  <c r="AU53" i="48"/>
  <c r="AU74" i="48" s="1"/>
  <c r="AR53" i="48"/>
  <c r="AR74" i="48" s="1"/>
  <c r="AR71" i="48"/>
  <c r="AP75" i="48"/>
  <c r="AP76" i="48"/>
  <c r="AS75" i="48"/>
  <c r="AS76" i="48"/>
  <c r="AQ75" i="48"/>
  <c r="AQ76" i="48"/>
  <c r="AT75" i="48"/>
  <c r="AT76" i="48"/>
  <c r="AQ77" i="48"/>
  <c r="AT77" i="48"/>
  <c r="AP77" i="48"/>
  <c r="AR75" i="48" l="1"/>
  <c r="AU77" i="48"/>
  <c r="AR76" i="48"/>
  <c r="AU76" i="48"/>
  <c r="AR77" i="48"/>
  <c r="AU75" i="48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L8" i="13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E36" i="40"/>
  <c r="F36" i="40" s="1"/>
  <c r="G36" i="40"/>
  <c r="H36" i="40" s="1"/>
  <c r="H27" i="40" l="1"/>
  <c r="H28" i="40"/>
  <c r="E27" i="40"/>
  <c r="F27" i="40" s="1"/>
  <c r="C30" i="40"/>
  <c r="D30" i="40" s="1"/>
  <c r="I76" i="24"/>
  <c r="F62" i="24"/>
  <c r="C15" i="35" l="1"/>
  <c r="C14" i="35"/>
  <c r="C25" i="35"/>
  <c r="D25" i="35" s="1"/>
  <c r="C24" i="35"/>
  <c r="D24" i="35" s="1"/>
  <c r="D14" i="35" l="1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I70" i="24" l="1"/>
  <c r="H70" i="24"/>
  <c r="G70" i="24"/>
  <c r="O71" i="24" l="1"/>
  <c r="F71" i="24"/>
  <c r="H33" i="9"/>
  <c r="F33" i="9"/>
  <c r="C34" i="40" l="1"/>
  <c r="D34" i="40" s="1"/>
  <c r="C33" i="40" l="1"/>
  <c r="C32" i="40"/>
  <c r="D32" i="40" s="1"/>
  <c r="C31" i="40"/>
  <c r="D31" i="40" s="1"/>
  <c r="C29" i="40"/>
  <c r="D29" i="40" s="1"/>
  <c r="D33" i="40" l="1"/>
  <c r="AI34" i="40"/>
  <c r="G75" i="43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AA58" i="44" l="1"/>
  <c r="G58" i="44"/>
  <c r="Z58" i="44" s="1"/>
  <c r="AA57" i="44"/>
  <c r="G57" i="44"/>
  <c r="Z57" i="44" s="1"/>
  <c r="AA56" i="44"/>
  <c r="G56" i="44"/>
  <c r="Z56" i="44" s="1"/>
  <c r="AA55" i="44"/>
  <c r="G55" i="44"/>
  <c r="Z55" i="44" s="1"/>
  <c r="AA54" i="44"/>
  <c r="G54" i="44"/>
  <c r="Z54" i="44" s="1"/>
  <c r="AA53" i="44"/>
  <c r="G53" i="44"/>
  <c r="Z53" i="44" s="1"/>
  <c r="AA52" i="44"/>
  <c r="G52" i="44"/>
  <c r="Z52" i="44" s="1"/>
  <c r="AA51" i="44"/>
  <c r="G51" i="44"/>
  <c r="Z51" i="44" s="1"/>
  <c r="AA50" i="44"/>
  <c r="G50" i="44"/>
  <c r="Z50" i="44" s="1"/>
  <c r="G49" i="44"/>
  <c r="Z49" i="44" s="1"/>
  <c r="AA49" i="44" s="1"/>
  <c r="AA48" i="44"/>
  <c r="G48" i="44"/>
  <c r="Z48" i="44" s="1"/>
  <c r="G47" i="44"/>
  <c r="Z47" i="44" s="1"/>
  <c r="AA47" i="44" s="1"/>
  <c r="AA46" i="44"/>
  <c r="G46" i="44"/>
  <c r="Z46" i="44" s="1"/>
  <c r="G45" i="44"/>
  <c r="Z45" i="44" s="1"/>
  <c r="AA45" i="44" s="1"/>
  <c r="G44" i="44"/>
  <c r="Z44" i="44" s="1"/>
  <c r="AA44" i="44" s="1"/>
  <c r="G43" i="44"/>
  <c r="Z43" i="44" s="1"/>
  <c r="G42" i="44"/>
  <c r="Z42" i="44" s="1"/>
  <c r="AA42" i="44" s="1"/>
  <c r="G41" i="44"/>
  <c r="Z41" i="44" s="1"/>
  <c r="G40" i="44"/>
  <c r="Z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G53" i="43"/>
  <c r="Z53" i="43" s="1"/>
  <c r="G52" i="43"/>
  <c r="Z52" i="43" s="1"/>
  <c r="AA53" i="43" s="1"/>
  <c r="G51" i="43"/>
  <c r="Z51" i="43" s="1"/>
  <c r="AA51" i="43" s="1"/>
  <c r="G50" i="43"/>
  <c r="Z50" i="43" s="1"/>
  <c r="G49" i="43"/>
  <c r="Z49" i="43" s="1"/>
  <c r="G48" i="43"/>
  <c r="Z48" i="43" s="1"/>
  <c r="AA49" i="43" s="1"/>
  <c r="G47" i="43"/>
  <c r="Z47" i="43" s="1"/>
  <c r="AA52" i="43" l="1"/>
  <c r="AA50" i="43"/>
  <c r="AA40" i="44"/>
  <c r="AA38" i="44"/>
  <c r="AA43" i="44"/>
  <c r="AA41" i="44"/>
  <c r="AA37" i="44"/>
  <c r="AA39" i="44"/>
  <c r="C25" i="40"/>
  <c r="D25" i="40" s="1"/>
  <c r="C24" i="40"/>
  <c r="D24" i="40" s="1"/>
  <c r="O59" i="26" l="1"/>
  <c r="C59" i="26" s="1"/>
  <c r="I59" i="26"/>
  <c r="C51" i="48"/>
  <c r="A73" i="24" l="1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AM54" i="48"/>
  <c r="AJ54" i="48"/>
  <c r="AI54" i="48"/>
  <c r="AN54" i="48" s="1"/>
  <c r="AH54" i="48"/>
  <c r="AK54" i="48" s="1"/>
  <c r="AE54" i="48"/>
  <c r="AB54" i="48"/>
  <c r="AA54" i="48"/>
  <c r="AF54" i="48" s="1"/>
  <c r="Z54" i="48"/>
  <c r="AC54" i="48" s="1"/>
  <c r="W54" i="48"/>
  <c r="T54" i="48"/>
  <c r="S54" i="48"/>
  <c r="X54" i="48" s="1"/>
  <c r="R54" i="48"/>
  <c r="U54" i="48" s="1"/>
  <c r="O54" i="48"/>
  <c r="L54" i="48"/>
  <c r="K54" i="48"/>
  <c r="P54" i="48" s="1"/>
  <c r="J54" i="48"/>
  <c r="M54" i="48" s="1"/>
  <c r="G54" i="48"/>
  <c r="I54" i="48" s="1"/>
  <c r="AB53" i="10"/>
  <c r="AA53" i="10"/>
  <c r="X53" i="10"/>
  <c r="AM53" i="48" s="1"/>
  <c r="AM74" i="48" s="1"/>
  <c r="W53" i="10"/>
  <c r="AH10" i="40" s="1"/>
  <c r="V53" i="10"/>
  <c r="AI53" i="48" s="1"/>
  <c r="AI74" i="48" s="1"/>
  <c r="U53" i="10"/>
  <c r="AH53" i="48" s="1"/>
  <c r="AH74" i="48" s="1"/>
  <c r="T53" i="10"/>
  <c r="AE53" i="48" s="1"/>
  <c r="AE74" i="48" s="1"/>
  <c r="S53" i="10"/>
  <c r="AG10" i="40" s="1"/>
  <c r="R53" i="10"/>
  <c r="AA53" i="48" s="1"/>
  <c r="AA74" i="48" s="1"/>
  <c r="Q53" i="10"/>
  <c r="Z53" i="48" s="1"/>
  <c r="Z74" i="48" s="1"/>
  <c r="P53" i="10"/>
  <c r="W53" i="48" s="1"/>
  <c r="W74" i="48" s="1"/>
  <c r="O53" i="10"/>
  <c r="AF10" i="40" s="1"/>
  <c r="N53" i="10"/>
  <c r="S53" i="48" s="1"/>
  <c r="S74" i="48" s="1"/>
  <c r="M53" i="10"/>
  <c r="R53" i="48" s="1"/>
  <c r="R74" i="48" s="1"/>
  <c r="L53" i="10"/>
  <c r="O53" i="48" s="1"/>
  <c r="O74" i="48" s="1"/>
  <c r="K53" i="10"/>
  <c r="L53" i="48" s="1"/>
  <c r="L74" i="48" s="1"/>
  <c r="J53" i="10"/>
  <c r="K53" i="48" s="1"/>
  <c r="K74" i="48" s="1"/>
  <c r="I53" i="10"/>
  <c r="J53" i="48" s="1"/>
  <c r="J74" i="48" s="1"/>
  <c r="H53" i="10"/>
  <c r="G53" i="10"/>
  <c r="G53" i="48" s="1"/>
  <c r="G74" i="48" s="1"/>
  <c r="F53" i="10"/>
  <c r="F53" i="48" s="1"/>
  <c r="F74" i="48" s="1"/>
  <c r="E53" i="10"/>
  <c r="E53" i="48" s="1"/>
  <c r="E74" i="48" s="1"/>
  <c r="Z52" i="10"/>
  <c r="Y52" i="10"/>
  <c r="D52" i="10"/>
  <c r="D52" i="48" s="1"/>
  <c r="C52" i="10"/>
  <c r="C52" i="48" s="1"/>
  <c r="Z51" i="10"/>
  <c r="Y51" i="10"/>
  <c r="D51" i="10"/>
  <c r="D51" i="48" s="1"/>
  <c r="Z3" i="40"/>
  <c r="H3" i="35"/>
  <c r="J3" i="13"/>
  <c r="Y3" i="44"/>
  <c r="AB3" i="10"/>
  <c r="X3" i="9"/>
  <c r="X3" i="24"/>
  <c r="C4" i="6"/>
  <c r="Y3" i="43"/>
  <c r="Y54" i="48" l="1"/>
  <c r="AG54" i="48"/>
  <c r="Q54" i="48"/>
  <c r="AO54" i="48"/>
  <c r="AS54" i="48"/>
  <c r="AD54" i="48"/>
  <c r="AB53" i="48"/>
  <c r="AB74" i="48" s="1"/>
  <c r="AP54" i="48"/>
  <c r="V54" i="48"/>
  <c r="AL54" i="48"/>
  <c r="AQ54" i="48"/>
  <c r="AJ53" i="48"/>
  <c r="AJ74" i="48" s="1"/>
  <c r="AT54" i="48"/>
  <c r="T53" i="48"/>
  <c r="T74" i="48" s="1"/>
  <c r="N54" i="48"/>
  <c r="C54" i="10"/>
  <c r="C54" i="48" s="1"/>
  <c r="C4" i="3"/>
  <c r="C9" i="2"/>
  <c r="E28" i="3" s="1"/>
  <c r="E3" i="2"/>
  <c r="K62" i="26"/>
  <c r="L62" i="26"/>
  <c r="K9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44" i="43" l="1"/>
  <c r="AA45" i="43"/>
  <c r="AA30" i="44"/>
  <c r="AA48" i="43"/>
  <c r="AA47" i="43"/>
  <c r="AA36" i="44"/>
  <c r="AA34" i="44"/>
  <c r="AA35" i="44"/>
  <c r="AA46" i="43"/>
  <c r="AA32" i="43"/>
  <c r="AA43" i="43"/>
  <c r="AA31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16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28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22" i="43" l="1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G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D25" i="13"/>
  <c r="D49" i="13"/>
  <c r="E49" i="13"/>
  <c r="F49" i="13"/>
  <c r="G49" i="13"/>
  <c r="H49" i="13"/>
  <c r="I49" i="13"/>
  <c r="C16" i="21" l="1"/>
  <c r="C12" i="21" s="1"/>
  <c r="G3" i="13" l="1"/>
  <c r="C4" i="13" l="1"/>
  <c r="I28" i="13"/>
  <c r="C28" i="13"/>
  <c r="J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3" i="48" s="1"/>
  <c r="D54" i="10"/>
  <c r="D54" i="48" s="1"/>
  <c r="M11" i="40"/>
  <c r="N11" i="40"/>
  <c r="O11" i="40"/>
  <c r="P11" i="40"/>
  <c r="Q11" i="40"/>
  <c r="R11" i="40"/>
  <c r="U11" i="40"/>
  <c r="U9" i="40" s="1"/>
  <c r="AE16" i="40" s="1"/>
  <c r="V11" i="40"/>
  <c r="W11" i="40"/>
  <c r="X11" i="40"/>
  <c r="Y11" i="40"/>
  <c r="Z11" i="40"/>
  <c r="C12" i="40"/>
  <c r="C13" i="40"/>
  <c r="S13" i="40"/>
  <c r="C14" i="40"/>
  <c r="S14" i="40"/>
  <c r="C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D15" i="40" l="1"/>
  <c r="D12" i="40"/>
  <c r="D14" i="40"/>
  <c r="D13" i="40"/>
  <c r="I35" i="9"/>
  <c r="J35" i="9"/>
  <c r="D74" i="48"/>
  <c r="D84" i="48"/>
  <c r="C28" i="40"/>
  <c r="C27" i="40" s="1"/>
  <c r="D35" i="40"/>
  <c r="S36" i="40"/>
  <c r="S28" i="40"/>
  <c r="S27" i="40" s="1"/>
  <c r="C36" i="40"/>
  <c r="D36" i="40" s="1"/>
  <c r="O9" i="40"/>
  <c r="U8" i="40"/>
  <c r="I9" i="40"/>
  <c r="I8" i="40" s="1"/>
  <c r="G9" i="40"/>
  <c r="Z9" i="40"/>
  <c r="Z8" i="40" s="1"/>
  <c r="V9" i="40"/>
  <c r="AF16" i="40" s="1"/>
  <c r="Q9" i="40"/>
  <c r="AG14" i="40" s="1"/>
  <c r="M9" i="40"/>
  <c r="M8" i="40" s="1"/>
  <c r="Y9" i="40"/>
  <c r="L18" i="13" s="1"/>
  <c r="P9" i="40"/>
  <c r="AF14" i="40" s="1"/>
  <c r="L9" i="40"/>
  <c r="L8" i="40" s="1"/>
  <c r="X9" i="40"/>
  <c r="AH16" i="40" s="1"/>
  <c r="K9" i="40"/>
  <c r="K8" i="40" s="1"/>
  <c r="E9" i="40"/>
  <c r="W9" i="40"/>
  <c r="AG16" i="40" s="1"/>
  <c r="R9" i="40"/>
  <c r="AH14" i="40" s="1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F22" i="9"/>
  <c r="H28" i="9"/>
  <c r="H35" i="9"/>
  <c r="F17" i="9"/>
  <c r="H27" i="9"/>
  <c r="H9" i="9"/>
  <c r="H10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Q74" i="26" l="1"/>
  <c r="Q76" i="26" s="1"/>
  <c r="O8" i="40"/>
  <c r="E74" i="26" s="1"/>
  <c r="E76" i="26" s="1"/>
  <c r="AE14" i="40"/>
  <c r="D27" i="40"/>
  <c r="D28" i="40"/>
  <c r="H9" i="40"/>
  <c r="E8" i="40"/>
  <c r="F9" i="40"/>
  <c r="Y8" i="40"/>
  <c r="L25" i="13" s="1"/>
  <c r="V8" i="40"/>
  <c r="W8" i="40"/>
  <c r="X8" i="40"/>
  <c r="Q8" i="40"/>
  <c r="G74" i="26" s="1"/>
  <c r="G76" i="26" s="1"/>
  <c r="R8" i="40"/>
  <c r="H74" i="26" s="1"/>
  <c r="H76" i="26" s="1"/>
  <c r="P8" i="40"/>
  <c r="F74" i="26" s="1"/>
  <c r="F76" i="26" s="1"/>
  <c r="N8" i="40"/>
  <c r="D74" i="26" s="1"/>
  <c r="D76" i="26" s="1"/>
  <c r="D11" i="40"/>
  <c r="C9" i="40"/>
  <c r="G8" i="40"/>
  <c r="T74" i="26" l="1"/>
  <c r="T76" i="26" s="1"/>
  <c r="S74" i="26"/>
  <c r="S76" i="26" s="1"/>
  <c r="R74" i="26"/>
  <c r="R76" i="26" s="1"/>
  <c r="AG11" i="40"/>
  <c r="AF11" i="40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K85" i="24"/>
  <c r="L85" i="24"/>
  <c r="M85" i="24"/>
  <c r="N85" i="24"/>
  <c r="P85" i="24"/>
  <c r="Q85" i="24"/>
  <c r="C82" i="24"/>
  <c r="C18" i="9" s="1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13" i="10" l="1"/>
  <c r="AD13" i="10" s="1"/>
  <c r="AV13" i="48"/>
  <c r="AC23" i="10"/>
  <c r="AD23" i="10" s="1"/>
  <c r="AV23" i="48"/>
  <c r="AC9" i="10"/>
  <c r="AD9" i="10" s="1"/>
  <c r="AV9" i="48"/>
  <c r="AC7" i="10"/>
  <c r="AV7" i="48"/>
  <c r="AC49" i="10"/>
  <c r="AD49" i="10" s="1"/>
  <c r="AV49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3" i="10"/>
  <c r="AD43" i="10" s="1"/>
  <c r="AV43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1" i="10"/>
  <c r="AD11" i="10" s="1"/>
  <c r="AV11" i="48"/>
  <c r="AC17" i="10"/>
  <c r="AD17" i="10" s="1"/>
  <c r="AV17" i="48"/>
  <c r="AC29" i="10"/>
  <c r="AD29" i="10" s="1"/>
  <c r="AV29" i="48"/>
  <c r="AC35" i="10"/>
  <c r="AD35" i="10" s="1"/>
  <c r="AV35" i="48"/>
  <c r="C35" i="9"/>
  <c r="C74" i="24"/>
  <c r="C13" i="9" s="1"/>
  <c r="AV15" i="48" s="1"/>
  <c r="O85" i="24"/>
  <c r="C85" i="24" s="1"/>
  <c r="AA8" i="40" l="1"/>
  <c r="B15" i="42"/>
  <c r="C93" i="24"/>
  <c r="AC53" i="10"/>
  <c r="AV53" i="48"/>
  <c r="AV71" i="48"/>
  <c r="AV31" i="48"/>
  <c r="AC71" i="10"/>
  <c r="AC31" i="10"/>
  <c r="C22" i="9"/>
  <c r="D19" i="9" s="1"/>
  <c r="AC15" i="10"/>
  <c r="AD15" i="10" s="1"/>
  <c r="D33" i="9"/>
  <c r="D31" i="9"/>
  <c r="D29" i="9"/>
  <c r="D27" i="9"/>
  <c r="D25" i="9"/>
  <c r="D32" i="9"/>
  <c r="D30" i="9"/>
  <c r="D35" i="9"/>
  <c r="D28" i="9"/>
  <c r="D26" i="9"/>
  <c r="D18" i="9" l="1"/>
  <c r="D9" i="9"/>
  <c r="D13" i="9"/>
  <c r="D10" i="9"/>
  <c r="D15" i="9"/>
  <c r="D11" i="9"/>
  <c r="D12" i="9"/>
  <c r="D16" i="9"/>
  <c r="D14" i="9"/>
  <c r="D20" i="9"/>
  <c r="D17" i="9"/>
  <c r="D22" i="9"/>
  <c r="B2" i="21" l="1"/>
  <c r="A2" i="42" l="1"/>
  <c r="I2" i="20"/>
  <c r="C2" i="21" s="1"/>
  <c r="U3" i="10"/>
  <c r="T3" i="9"/>
  <c r="T3" i="24"/>
  <c r="C3" i="6"/>
  <c r="C3" i="3"/>
  <c r="D3" i="2"/>
  <c r="B2" i="2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K71" i="10"/>
  <c r="L71" i="48" l="1"/>
  <c r="L77" i="48" s="1"/>
  <c r="L80" i="48"/>
  <c r="W71" i="48"/>
  <c r="W77" i="48" s="1"/>
  <c r="W80" i="48"/>
  <c r="P13" i="42"/>
  <c r="O13" i="42"/>
  <c r="P16" i="42"/>
  <c r="O16" i="42"/>
  <c r="O10" i="42"/>
  <c r="P10" i="42"/>
  <c r="P7" i="42"/>
  <c r="P15" i="42"/>
  <c r="P14" i="42"/>
  <c r="P12" i="42"/>
  <c r="P11" i="42"/>
  <c r="B21" i="42" s="1"/>
  <c r="P9" i="42"/>
  <c r="P8" i="42"/>
  <c r="P6" i="42"/>
  <c r="P5" i="42"/>
  <c r="O15" i="42"/>
  <c r="O14" i="42"/>
  <c r="O12" i="42"/>
  <c r="O11" i="42"/>
  <c r="B18" i="42" s="1"/>
  <c r="O9" i="42"/>
  <c r="O8" i="42"/>
  <c r="O6" i="42"/>
  <c r="O5" i="42"/>
  <c r="W81" i="48" l="1"/>
  <c r="L81" i="48"/>
  <c r="L9" i="35"/>
  <c r="K9" i="35" l="1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E68" i="3" s="1"/>
  <c r="C23" i="2"/>
  <c r="E67" i="3" s="1"/>
  <c r="C21" i="2"/>
  <c r="C20" i="2"/>
  <c r="C19" i="2"/>
  <c r="E61" i="3" s="1"/>
  <c r="C18" i="2"/>
  <c r="E52" i="3" s="1"/>
  <c r="C14" i="2"/>
  <c r="E40" i="3" s="1"/>
  <c r="C13" i="2"/>
  <c r="C12" i="2"/>
  <c r="E14" i="3" s="1"/>
  <c r="C11" i="2"/>
  <c r="C10" i="2"/>
  <c r="C8" i="2"/>
  <c r="C6" i="2"/>
  <c r="E17" i="3" s="1"/>
  <c r="E69" i="3" l="1"/>
  <c r="C52" i="2"/>
  <c r="D68" i="2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E44" i="2"/>
  <c r="D44" i="2"/>
  <c r="E52" i="2"/>
  <c r="D52" i="2"/>
  <c r="C68" i="2"/>
  <c r="B26" i="42" s="1"/>
  <c r="K80" i="10"/>
  <c r="I80" i="10"/>
  <c r="G80" i="10"/>
  <c r="E80" i="10"/>
  <c r="Q74" i="10"/>
  <c r="Z86" i="48" s="1"/>
  <c r="U74" i="10"/>
  <c r="G71" i="48" l="1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77" i="48" s="1"/>
  <c r="AM80" i="48"/>
  <c r="AH86" i="48"/>
  <c r="AH87" i="48" s="1"/>
  <c r="Z87" i="48"/>
  <c r="Z71" i="10"/>
  <c r="AS80" i="48" s="1"/>
  <c r="AS81" i="48" s="1"/>
  <c r="D71" i="10"/>
  <c r="M74" i="10"/>
  <c r="Y71" i="10"/>
  <c r="AP80" i="48" s="1"/>
  <c r="AP81" i="48" s="1"/>
  <c r="C71" i="10"/>
  <c r="AD71" i="10" s="1"/>
  <c r="D22" i="2"/>
  <c r="D27" i="2" s="1"/>
  <c r="E22" i="2"/>
  <c r="E27" i="2" s="1"/>
  <c r="E29" i="2" s="1"/>
  <c r="E34" i="2" s="1"/>
  <c r="E54" i="2" s="1"/>
  <c r="E70" i="2" s="1"/>
  <c r="Y80" i="10"/>
  <c r="J81" i="48" l="1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E77" i="48"/>
  <c r="AJ77" i="48"/>
  <c r="AA77" i="48"/>
  <c r="C71" i="48"/>
  <c r="C80" i="48"/>
  <c r="R86" i="48"/>
  <c r="R87" i="48" s="1"/>
  <c r="D81" i="48" l="1"/>
  <c r="C81" i="48"/>
  <c r="I54" i="26"/>
  <c r="O64" i="26" l="1"/>
  <c r="C64" i="26" s="1"/>
  <c r="I64" i="26"/>
  <c r="O63" i="26" l="1"/>
  <c r="E52" i="35" l="1"/>
  <c r="C44" i="35" l="1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C32" i="35"/>
  <c r="C31" i="35"/>
  <c r="C30" i="35"/>
  <c r="C26" i="35"/>
  <c r="D26" i="35" s="1"/>
  <c r="C23" i="35"/>
  <c r="D23" i="35" s="1"/>
  <c r="C22" i="35"/>
  <c r="D22" i="35" s="1"/>
  <c r="C21" i="35"/>
  <c r="D21" i="35" s="1"/>
  <c r="C20" i="35"/>
  <c r="AA16" i="40" s="1"/>
  <c r="C16" i="35"/>
  <c r="C13" i="35"/>
  <c r="D13" i="35" s="1"/>
  <c r="C12" i="35"/>
  <c r="C11" i="35"/>
  <c r="C10" i="35"/>
  <c r="AA11" i="40" s="1"/>
  <c r="AA31" i="40" l="1"/>
  <c r="AA32" i="40"/>
  <c r="D31" i="35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20" i="35"/>
  <c r="AA17" i="40" s="1"/>
  <c r="D10" i="35"/>
  <c r="AA12" i="40" s="1"/>
  <c r="D32" i="35"/>
  <c r="D33" i="35"/>
  <c r="H32" i="10"/>
  <c r="Q62" i="26" l="1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AC27" i="40" l="1"/>
  <c r="AC36" i="40"/>
  <c r="AC28" i="40"/>
  <c r="D28" i="35"/>
  <c r="AA28" i="40"/>
  <c r="AA27" i="40"/>
  <c r="AA36" i="40"/>
  <c r="AB27" i="40"/>
  <c r="AB28" i="40"/>
  <c r="AB36" i="40"/>
  <c r="F28" i="35"/>
  <c r="L8" i="35"/>
  <c r="L10" i="35" s="1"/>
  <c r="J8" i="35"/>
  <c r="J10" i="35" s="1"/>
  <c r="K8" i="35"/>
  <c r="K10" i="35" s="1"/>
  <c r="G55" i="35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C62" i="26" s="1"/>
  <c r="I63" i="26"/>
  <c r="I62" i="26" l="1"/>
  <c r="Z34" i="9"/>
  <c r="Z24" i="9"/>
  <c r="Z23" i="9"/>
  <c r="C7" i="10" l="1"/>
  <c r="C7" i="48" l="1"/>
  <c r="AD7" i="10"/>
  <c r="N9" i="26" l="1"/>
  <c r="M9" i="26"/>
  <c r="L9" i="26"/>
  <c r="J9" i="26"/>
  <c r="C26" i="2" l="1"/>
  <c r="T62" i="26" l="1"/>
  <c r="S62" i="26"/>
  <c r="R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I92" i="24" s="1"/>
  <c r="I93" i="24" s="1"/>
  <c r="T31" i="10"/>
  <c r="AE31" i="48" s="1"/>
  <c r="S31" i="10"/>
  <c r="AB31" i="48" s="1"/>
  <c r="R31" i="10"/>
  <c r="AA31" i="48" s="1"/>
  <c r="Q31" i="10"/>
  <c r="H92" i="24" s="1"/>
  <c r="H93" i="24" s="1"/>
  <c r="P31" i="10"/>
  <c r="W31" i="48" s="1"/>
  <c r="O31" i="10"/>
  <c r="T31" i="48" s="1"/>
  <c r="N31" i="10"/>
  <c r="S31" i="48" s="1"/>
  <c r="M31" i="10"/>
  <c r="L31" i="10"/>
  <c r="O31" i="48" s="1"/>
  <c r="K31" i="10"/>
  <c r="AE10" i="40" s="1"/>
  <c r="AE11" i="40" s="1"/>
  <c r="J31" i="10"/>
  <c r="K31" i="48" s="1"/>
  <c r="I31" i="10"/>
  <c r="AE8" i="40" s="1"/>
  <c r="AE9" i="40" s="1"/>
  <c r="H31" i="10"/>
  <c r="G31" i="10"/>
  <c r="F31" i="10"/>
  <c r="F31" i="48" s="1"/>
  <c r="E31" i="10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3" i="48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G92" i="24" l="1"/>
  <c r="G93" i="24" s="1"/>
  <c r="B14" i="42"/>
  <c r="B13" i="42" s="1"/>
  <c r="F92" i="24"/>
  <c r="F93" i="24" s="1"/>
  <c r="B11" i="42"/>
  <c r="B10" i="42" s="1"/>
  <c r="AT32" i="48"/>
  <c r="AD8" i="40"/>
  <c r="AD9" i="40" s="1"/>
  <c r="AD10" i="40"/>
  <c r="R31" i="48"/>
  <c r="R76" i="48" s="1"/>
  <c r="AF8" i="40"/>
  <c r="AF9" i="40" s="1"/>
  <c r="Z31" i="48"/>
  <c r="Z76" i="48" s="1"/>
  <c r="AG8" i="40"/>
  <c r="AG9" i="40" s="1"/>
  <c r="AH31" i="48"/>
  <c r="AH76" i="48" s="1"/>
  <c r="AH8" i="40"/>
  <c r="AH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S76" i="48"/>
  <c r="S75" i="48"/>
  <c r="AP32" i="48"/>
  <c r="N32" i="48"/>
  <c r="T75" i="48"/>
  <c r="T76" i="48"/>
  <c r="Q32" i="48"/>
  <c r="W75" i="48"/>
  <c r="W76" i="48"/>
  <c r="AA75" i="48"/>
  <c r="AA76" i="48"/>
  <c r="V32" i="48"/>
  <c r="AB76" i="48"/>
  <c r="AB75" i="48"/>
  <c r="AS32" i="48"/>
  <c r="AU32" i="48" s="1"/>
  <c r="Y32" i="48"/>
  <c r="AE75" i="48"/>
  <c r="AE76" i="48"/>
  <c r="E31" i="48"/>
  <c r="F76" i="48"/>
  <c r="F75" i="48"/>
  <c r="AI76" i="48"/>
  <c r="AI75" i="48"/>
  <c r="AD32" i="48"/>
  <c r="G31" i="48"/>
  <c r="AJ75" i="48"/>
  <c r="AJ76" i="48"/>
  <c r="AG32" i="48"/>
  <c r="AM76" i="48"/>
  <c r="AM75" i="48"/>
  <c r="J31" i="48"/>
  <c r="K76" i="48"/>
  <c r="K75" i="48"/>
  <c r="AL32" i="48"/>
  <c r="L31" i="48"/>
  <c r="I32" i="48"/>
  <c r="AO32" i="48"/>
  <c r="C54" i="35"/>
  <c r="C56" i="35" s="1"/>
  <c r="C53" i="10"/>
  <c r="AD53" i="10" s="1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E82" i="10"/>
  <c r="G74" i="10"/>
  <c r="G82" i="10"/>
  <c r="Z31" i="10"/>
  <c r="Y31" i="10"/>
  <c r="Z32" i="10"/>
  <c r="D31" i="10"/>
  <c r="D32" i="10"/>
  <c r="D32" i="48" s="1"/>
  <c r="D74" i="10"/>
  <c r="C32" i="10"/>
  <c r="C32" i="48" s="1"/>
  <c r="C31" i="10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2" i="9"/>
  <c r="AD31" i="10" l="1"/>
  <c r="L49" i="13"/>
  <c r="L32" i="13"/>
  <c r="R75" i="48"/>
  <c r="Z75" i="48"/>
  <c r="AH75" i="48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C58" i="35"/>
  <c r="C60" i="35" s="1"/>
  <c r="C31" i="48"/>
  <c r="J76" i="48"/>
  <c r="J75" i="48"/>
  <c r="E75" i="48"/>
  <c r="E76" i="48"/>
  <c r="G76" i="48"/>
  <c r="G75" i="48"/>
  <c r="L76" i="48"/>
  <c r="L75" i="48"/>
  <c r="G58" i="35"/>
  <c r="G52" i="35" s="1"/>
  <c r="D75" i="48" l="1"/>
  <c r="C77" i="48"/>
  <c r="C74" i="48"/>
  <c r="C86" i="48"/>
  <c r="C52" i="35"/>
  <c r="C76" i="48"/>
  <c r="C75" i="48"/>
  <c r="G60" i="35"/>
  <c r="T9" i="26"/>
  <c r="W81" i="10" s="1"/>
  <c r="W83" i="10" s="1"/>
  <c r="S9" i="26"/>
  <c r="S81" i="10" s="1"/>
  <c r="S83" i="10" s="1"/>
  <c r="R9" i="26"/>
  <c r="O81" i="10" s="1"/>
  <c r="O83" i="10" s="1"/>
  <c r="I12" i="26"/>
  <c r="I9" i="26" s="1"/>
  <c r="C87" i="48" l="1"/>
  <c r="C12" i="26"/>
  <c r="C70" i="3"/>
  <c r="C61" i="3"/>
  <c r="G19" i="2" s="1"/>
  <c r="C52" i="3"/>
  <c r="G18" i="2" s="1"/>
  <c r="C36" i="3"/>
  <c r="C28" i="3"/>
  <c r="G9" i="2" s="1"/>
  <c r="C19" i="3"/>
  <c r="C14" i="3"/>
  <c r="G12" i="2" s="1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K34" i="20"/>
  <c r="C22" i="2" l="1"/>
  <c r="C27" i="2" s="1"/>
  <c r="E72" i="3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Y74" i="10"/>
  <c r="AP86" i="48" l="1"/>
  <c r="AP87" i="48" s="1"/>
  <c r="K44" i="20" l="1"/>
  <c r="F14" i="24" l="1"/>
  <c r="O49" i="26" l="1"/>
  <c r="C49" i="26" l="1"/>
  <c r="Q9" i="26"/>
  <c r="K81" i="10" s="1"/>
  <c r="K83" i="10" l="1"/>
  <c r="Y81" i="10"/>
  <c r="Y83" i="10" s="1"/>
  <c r="O53" i="26" l="1"/>
  <c r="C53" i="26" l="1"/>
  <c r="K29" i="20" l="1"/>
  <c r="P9" i="26" l="1"/>
  <c r="G81" i="10" s="1"/>
  <c r="G83" i="10" s="1"/>
  <c r="O54" i="26"/>
  <c r="O9" i="26" l="1"/>
  <c r="D9" i="26"/>
  <c r="C54" i="26" l="1"/>
  <c r="C9" i="26" s="1"/>
  <c r="E73" i="2" l="1"/>
  <c r="E77" i="2" s="1"/>
  <c r="C71" i="2"/>
  <c r="F8" i="13" l="1"/>
  <c r="F25" i="13" s="1"/>
  <c r="J8" i="13"/>
  <c r="J25" i="13" s="1"/>
  <c r="H8" i="13"/>
  <c r="H25" i="13" s="1"/>
  <c r="K27" i="20" l="1"/>
  <c r="W22" i="9" l="1"/>
  <c r="N22" i="9"/>
  <c r="U22" i="9"/>
  <c r="M22" i="9"/>
  <c r="L22" i="9"/>
  <c r="V22" i="9"/>
  <c r="S22" i="9"/>
  <c r="P22" i="9"/>
  <c r="O22" i="9"/>
  <c r="T22" i="9"/>
  <c r="J9" i="9"/>
  <c r="R22" i="9"/>
  <c r="J10" i="9"/>
  <c r="X22" i="9"/>
  <c r="J11" i="9"/>
  <c r="I9" i="9"/>
  <c r="Q22" i="9"/>
  <c r="I10" i="9"/>
  <c r="Z10" i="9" s="1"/>
  <c r="I11" i="9"/>
  <c r="Z9" i="9" l="1"/>
  <c r="AA9" i="9" s="1"/>
  <c r="Z11" i="9"/>
  <c r="J22" i="9"/>
  <c r="I22" i="9"/>
  <c r="Z22" i="9" l="1"/>
  <c r="K10" i="9" s="1"/>
  <c r="K18" i="9" l="1"/>
  <c r="K22" i="9"/>
  <c r="K19" i="9"/>
  <c r="K9" i="9"/>
  <c r="K17" i="9"/>
  <c r="K12" i="9"/>
  <c r="K20" i="9"/>
  <c r="K15" i="9"/>
  <c r="K16" i="9"/>
  <c r="K11" i="9"/>
  <c r="K14" i="9"/>
  <c r="K13" i="9"/>
  <c r="K20" i="20" l="1"/>
  <c r="K16" i="20" l="1"/>
  <c r="K19" i="20" l="1"/>
  <c r="K18" i="20" l="1"/>
  <c r="K23" i="20" l="1"/>
  <c r="K21" i="20" l="1"/>
  <c r="K22" i="20"/>
  <c r="I36" i="20" l="1"/>
  <c r="K36" i="20" s="1"/>
  <c r="B8" i="42"/>
  <c r="I25" i="20"/>
  <c r="K25" i="20" s="1"/>
  <c r="I31" i="20"/>
  <c r="K31" i="20" s="1"/>
  <c r="I41" i="20"/>
  <c r="K41" i="20" s="1"/>
  <c r="I39" i="20"/>
  <c r="K39" i="20" s="1"/>
  <c r="I13" i="20" l="1"/>
  <c r="K13" i="20" s="1"/>
  <c r="B9" i="42" l="1"/>
  <c r="B7" i="42" s="1"/>
  <c r="B6" i="42"/>
  <c r="I11" i="20" l="1"/>
  <c r="K11" i="20" s="1"/>
  <c r="I9" i="20"/>
  <c r="K9" i="20" s="1"/>
  <c r="B5" i="42" l="1"/>
  <c r="B4" i="42" s="1"/>
  <c r="I7" i="20" l="1"/>
  <c r="K7" i="20" s="1"/>
  <c r="I8" i="13" l="1"/>
  <c r="I25" i="13" s="1"/>
  <c r="E8" i="13"/>
  <c r="E25" i="13" s="1"/>
  <c r="D15" i="2"/>
  <c r="D29" i="2" s="1"/>
  <c r="D34" i="2" s="1"/>
  <c r="D54" i="2" s="1"/>
  <c r="D70" i="2" s="1"/>
  <c r="D73" i="2" s="1"/>
  <c r="D77" i="2" s="1"/>
  <c r="C7" i="2"/>
  <c r="C15" i="2" s="1"/>
  <c r="E42" i="3" l="1"/>
  <c r="C29" i="2"/>
  <c r="E18" i="3"/>
  <c r="B27" i="42" l="1"/>
  <c r="B23" i="42"/>
  <c r="C34" i="2"/>
  <c r="C54" i="2" s="1"/>
  <c r="C70" i="2" s="1"/>
  <c r="B17" i="42" l="1"/>
  <c r="B16" i="42" s="1"/>
  <c r="C73" i="2"/>
  <c r="C77" i="2" s="1"/>
  <c r="B24" i="42"/>
  <c r="B22" i="42" s="1"/>
  <c r="B25" i="42"/>
  <c r="B20" i="42" l="1"/>
  <c r="B19" i="42" s="1"/>
  <c r="C8" i="6"/>
  <c r="C14" i="6" l="1"/>
  <c r="E14" i="6" s="1"/>
  <c r="E8" i="6"/>
  <c r="S15" i="40"/>
  <c r="T11" i="40"/>
  <c r="T9" i="40" s="1"/>
  <c r="S12" i="40"/>
  <c r="S11" i="40" l="1"/>
  <c r="S9" i="40" s="1"/>
  <c r="S8" i="40" s="1"/>
  <c r="T8" i="40"/>
  <c r="AD16" i="40"/>
  <c r="P74" i="26" l="1"/>
  <c r="P76" i="26" s="1"/>
  <c r="AD11" i="40"/>
  <c r="I8" i="49"/>
  <c r="AY8" i="49" s="1"/>
  <c r="BA8" i="49"/>
  <c r="K21" i="49"/>
  <c r="L21" i="49" s="1"/>
  <c r="BB8" i="49" l="1"/>
  <c r="J8" i="49"/>
  <c r="AZ8" i="49" s="1"/>
  <c r="AS32" i="49" l="1"/>
  <c r="AY32" i="49" s="1"/>
  <c r="BA32" i="49"/>
  <c r="BB32" i="49" s="1"/>
  <c r="AU30" i="49"/>
  <c r="AV30" i="49" s="1"/>
  <c r="AT32" i="49" l="1"/>
  <c r="BA30" i="49"/>
  <c r="BB30" i="49" s="1"/>
  <c r="AS30" i="49"/>
  <c r="AZ32" i="49"/>
  <c r="AU33" i="49"/>
  <c r="AS33" i="49" l="1"/>
  <c r="AY30" i="49"/>
  <c r="AT30" i="49"/>
  <c r="AV33" i="49"/>
  <c r="BA33" i="49"/>
  <c r="AZ30" i="49" l="1"/>
  <c r="AT33" i="49"/>
  <c r="AY33" i="49"/>
  <c r="BB33" i="49"/>
  <c r="AZ33" i="49" l="1"/>
  <c r="BA37" i="49"/>
  <c r="BB37" i="49" s="1"/>
  <c r="AS37" i="49"/>
  <c r="AT37" i="49" s="1"/>
  <c r="AU40" i="49"/>
  <c r="AV40" i="49" s="1"/>
  <c r="AS40" i="49" l="1"/>
  <c r="AT40" i="49" s="1"/>
  <c r="AY37" i="49"/>
  <c r="BA40" i="49"/>
  <c r="BB40" i="49" s="1"/>
  <c r="AZ37" i="49" l="1"/>
  <c r="AY40" i="49"/>
  <c r="BG37" i="49"/>
  <c r="BH37" i="49" s="1"/>
  <c r="AZ40" i="49" l="1"/>
  <c r="AG32" i="52"/>
  <c r="AH32" i="52" s="1"/>
  <c r="BA32" i="52"/>
  <c r="BB32" i="52" s="1"/>
  <c r="AI30" i="52"/>
  <c r="BA30" i="52" s="1"/>
  <c r="AY32" i="52" l="1"/>
  <c r="AG30" i="52"/>
  <c r="AI33" i="52"/>
  <c r="AJ30" i="52"/>
  <c r="BB30" i="52" s="1"/>
  <c r="AH30" i="52" l="1"/>
  <c r="AJ33" i="52"/>
  <c r="AI40" i="52"/>
  <c r="AJ40" i="52" s="1"/>
  <c r="BA33" i="52"/>
  <c r="AG33" i="52"/>
  <c r="AY30" i="52"/>
  <c r="AZ32" i="52"/>
  <c r="BG32" i="49"/>
  <c r="BH32" i="49" s="1"/>
  <c r="AH33" i="52" l="1"/>
  <c r="AY33" i="52"/>
  <c r="AG40" i="52"/>
  <c r="BG30" i="49"/>
  <c r="BH30" i="49" s="1"/>
  <c r="AZ30" i="52"/>
  <c r="BB33" i="52"/>
  <c r="BA40" i="52"/>
  <c r="AH40" i="52" l="1"/>
  <c r="BB40" i="52"/>
  <c r="BG33" i="49"/>
  <c r="BH33" i="49" s="1"/>
  <c r="AZ33" i="52"/>
  <c r="AY40" i="52"/>
  <c r="AZ40" i="52" l="1"/>
  <c r="BA9" i="49"/>
  <c r="BA21" i="49" s="1"/>
  <c r="AM9" i="49"/>
  <c r="AN9" i="49" s="1"/>
  <c r="AO21" i="49"/>
  <c r="AP21" i="49" s="1"/>
  <c r="BB9" i="49" l="1"/>
  <c r="BB21" i="49" s="1"/>
  <c r="AM21" i="49"/>
  <c r="AN21" i="49" s="1"/>
  <c r="I9" i="49"/>
  <c r="AY9" i="49" s="1"/>
  <c r="BC9" i="49"/>
  <c r="BC21" i="49" s="1"/>
  <c r="M21" i="49"/>
  <c r="N21" i="49" s="1"/>
  <c r="J9" i="49" l="1"/>
  <c r="I21" i="49"/>
  <c r="J21" i="49" s="1"/>
  <c r="AY21" i="49"/>
  <c r="AZ9" i="49"/>
  <c r="BD9" i="49"/>
  <c r="BD21" i="49" s="1"/>
  <c r="AZ21" i="49" l="1"/>
</calcChain>
</file>

<file path=xl/sharedStrings.xml><?xml version="1.0" encoding="utf-8"?>
<sst xmlns="http://schemas.openxmlformats.org/spreadsheetml/2006/main" count="1857" uniqueCount="815">
  <si>
    <t>1</t>
  </si>
  <si>
    <t>5</t>
  </si>
  <si>
    <t>4</t>
  </si>
  <si>
    <t>2</t>
  </si>
  <si>
    <t>3</t>
  </si>
  <si>
    <t>7</t>
  </si>
  <si>
    <t>6</t>
  </si>
  <si>
    <t xml:space="preserve">  </t>
  </si>
  <si>
    <t>3.3</t>
  </si>
  <si>
    <t>4.2</t>
  </si>
  <si>
    <t>О=Ж+И+Л+Н</t>
  </si>
  <si>
    <t>2.2</t>
  </si>
  <si>
    <t>(Б)</t>
  </si>
  <si>
    <t>(В)</t>
  </si>
  <si>
    <t>(Г)</t>
  </si>
  <si>
    <t>б</t>
  </si>
  <si>
    <t>в</t>
  </si>
  <si>
    <t>а</t>
  </si>
  <si>
    <t>г</t>
  </si>
  <si>
    <t>II</t>
  </si>
  <si>
    <t>III</t>
  </si>
  <si>
    <t>IV</t>
  </si>
  <si>
    <t>V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</si>
  <si>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</si>
  <si>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</si>
  <si>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</si>
  <si>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</si>
  <si>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</si>
  <si>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</si>
  <si>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</si>
  <si>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</si>
  <si>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</si>
  <si>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</si>
  <si>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</si>
  <si>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</si>
  <si>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</si>
  <si>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</si>
  <si>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</si>
  <si>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</si>
  <si>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</si>
  <si>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</si>
  <si>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</si>
  <si>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</si>
  <si>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</si>
  <si>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</si>
  <si>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</si>
  <si>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</si>
  <si>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</si>
  <si>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</si>
  <si>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</si>
  <si>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</si>
  <si>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</si>
  <si>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</si>
  <si>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</si>
  <si>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</si>
  <si>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</si>
  <si>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</si>
  <si>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</si>
  <si>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</si>
  <si>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</si>
  <si>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</si>
  <si>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</si>
  <si>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</si>
  <si>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</si>
  <si>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</si>
  <si>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</si>
  <si>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</si>
  <si>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>1.1.</t>
  </si>
  <si>
    <t>1.2.</t>
  </si>
  <si>
    <t>1.3.</t>
  </si>
  <si>
    <t>1.4.</t>
  </si>
  <si>
    <t>1.5.</t>
  </si>
  <si>
    <t>I</t>
  </si>
  <si>
    <t>2.1.</t>
  </si>
  <si>
    <t>2.2.</t>
  </si>
  <si>
    <t>2.3.</t>
  </si>
  <si>
    <t>2.4.</t>
  </si>
  <si>
    <t>3.1.</t>
  </si>
  <si>
    <t>3.2.</t>
  </si>
  <si>
    <t>3.3.</t>
  </si>
  <si>
    <t>3.4.</t>
  </si>
  <si>
    <t>3.5.</t>
  </si>
  <si>
    <t>3.6.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</si>
  <si>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</si>
  <si>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</si>
  <si>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</si>
  <si>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</si>
  <si>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</si>
  <si>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</si>
  <si>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</si>
  <si>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</si>
  <si>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</si>
  <si>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</si>
  <si>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</si>
  <si>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</si>
  <si>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</si>
  <si>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</si>
  <si>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</si>
  <si>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</si>
  <si>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</si>
  <si>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</si>
  <si>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</si>
  <si>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</si>
  <si>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</si>
  <si>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</si>
  <si>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</si>
  <si>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</si>
  <si>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</si>
  <si>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</si>
  <si>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</si>
  <si>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автокредит</t>
  </si>
  <si>
    <t>2.5.</t>
  </si>
  <si>
    <t>микрокредит</t>
  </si>
  <si>
    <t>лизинг</t>
  </si>
  <si>
    <t>факторинг</t>
  </si>
  <si>
    <t>Т</t>
  </si>
  <si>
    <t>(Б1)</t>
  </si>
  <si>
    <t>(Б3)</t>
  </si>
  <si>
    <t>4.3.</t>
  </si>
  <si>
    <t>4.4.</t>
  </si>
  <si>
    <t>4.5.</t>
  </si>
  <si>
    <t>4.6.</t>
  </si>
  <si>
    <t>У</t>
  </si>
  <si>
    <t>Физлица</t>
  </si>
  <si>
    <t>Юрзлица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</si>
  <si>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</si>
  <si>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</si>
  <si>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</si>
  <si>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</si>
  <si>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</si>
  <si>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</si>
  <si>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</si>
  <si>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</si>
  <si>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</si>
  <si>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</si>
  <si>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</si>
  <si>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</si>
  <si>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</si>
  <si>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</si>
  <si>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</si>
  <si>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</si>
  <si>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</si>
  <si>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</si>
  <si>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</si>
  <si>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</si>
  <si>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</si>
  <si>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</si>
  <si>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</si>
  <si>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</si>
  <si>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</si>
  <si>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</si>
  <si>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</si>
  <si>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</si>
  <si>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</si>
  <si>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</si>
  <si>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</si>
  <si>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</si>
  <si>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</si>
  <si>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</si>
  <si>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</si>
  <si>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</si>
  <si>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</si>
  <si>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</si>
  <si>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</si>
  <si>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</si>
  <si>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</si>
  <si>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</si>
  <si>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</si>
  <si>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</si>
  <si>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</si>
  <si>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</si>
  <si>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</si>
  <si>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</si>
  <si>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</si>
  <si>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</si>
  <si>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</si>
  <si>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</si>
  <si>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</si>
  <si>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</si>
  <si>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</si>
  <si>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</si>
  <si>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</si>
  <si>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</si>
  <si>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</si>
  <si>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</si>
  <si>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</si>
  <si>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</si>
  <si>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</si>
  <si>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</si>
  <si>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</si>
  <si>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</si>
  <si>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</si>
  <si>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</si>
  <si>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</si>
  <si>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</si>
  <si>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</si>
  <si>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</si>
  <si>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</si>
  <si>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</si>
  <si>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</si>
  <si>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</si>
  <si>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</si>
  <si>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</si>
  <si>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</si>
  <si>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</si>
  <si>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</si>
  <si>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</si>
  <si>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</si>
  <si>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</si>
  <si>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</si>
  <si>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</si>
  <si>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</si>
  <si>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</si>
  <si>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</si>
  <si>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</si>
  <si>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</si>
  <si>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</si>
  <si>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</si>
  <si>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</si>
  <si>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</si>
  <si>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</si>
  <si>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</si>
  <si>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</si>
  <si>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</si>
  <si>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</si>
  <si>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</si>
  <si>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</si>
  <si>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</si>
  <si>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</si>
  <si>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</si>
  <si>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</si>
  <si>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</si>
  <si>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</si>
  <si>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</si>
  <si>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</si>
  <si>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</si>
  <si>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</si>
  <si>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</si>
  <si>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</si>
  <si>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</si>
  <si>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</si>
  <si>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</si>
  <si>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</si>
  <si>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</si>
  <si>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</si>
  <si>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</si>
  <si>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</si>
  <si>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</si>
  <si>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</si>
  <si>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</si>
  <si>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</si>
  <si>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</si>
  <si>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</si>
  <si>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</si>
  <si>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</si>
  <si>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</si>
  <si>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</si>
  <si>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</si>
  <si>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</si>
  <si>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</si>
  <si>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</si>
  <si>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</si>
  <si>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</si>
  <si>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</si>
  <si>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</si>
  <si>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</si>
  <si>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</si>
  <si>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</si>
  <si>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</si>
  <si>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</si>
  <si>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</si>
  <si>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</si>
  <si>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</si>
  <si>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</si>
  <si>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</si>
  <si>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</si>
  <si>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</si>
  <si>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</si>
  <si>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</si>
  <si>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</si>
  <si>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</si>
  <si>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</si>
  <si>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</si>
  <si>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</si>
  <si>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</si>
  <si>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</si>
  <si>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</si>
  <si>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</si>
  <si>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</si>
  <si>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</si>
  <si>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</si>
  <si>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</si>
  <si>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</si>
  <si>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</si>
  <si>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</si>
  <si>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</si>
  <si>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</si>
  <si>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</si>
  <si>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</si>
  <si>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</si>
  <si>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</si>
  <si>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</si>
  <si>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</si>
  <si>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</si>
  <si>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</si>
  <si>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</si>
  <si>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</si>
  <si>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</si>
  <si>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</si>
  <si>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</si>
  <si>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</si>
  <si>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</si>
  <si>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</si>
  <si>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</si>
  <si>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</si>
  <si>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</si>
  <si>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</si>
  <si>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</si>
  <si>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</si>
  <si>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</si>
  <si>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</si>
  <si>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</si>
  <si>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</si>
  <si>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</si>
  <si>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</si>
  <si>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</si>
  <si>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</si>
  <si>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</si>
  <si>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</si>
  <si>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</si>
  <si>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</si>
  <si>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</si>
  <si>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</si>
  <si>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</si>
  <si>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</si>
  <si>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</si>
  <si>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</si>
  <si>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</si>
  <si>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</si>
  <si>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</si>
  <si>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</si>
  <si>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</si>
  <si>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</si>
  <si>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</si>
  <si>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</si>
  <si>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</si>
  <si>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</si>
  <si>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</si>
  <si>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</si>
  <si>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</si>
  <si>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</si>
  <si>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</si>
  <si>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</si>
  <si>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</si>
  <si>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</si>
  <si>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</si>
  <si>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</si>
  <si>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</si>
  <si>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</si>
  <si>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</si>
  <si>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</si>
  <si>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</si>
  <si>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</si>
  <si>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</si>
  <si>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</si>
  <si>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</si>
  <si>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</si>
  <si>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</si>
  <si>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</si>
  <si>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</si>
  <si>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</si>
  <si>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</si>
  <si>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</si>
  <si>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</si>
  <si>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</si>
  <si>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</si>
  <si>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</si>
  <si>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</si>
  <si>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</si>
  <si>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</si>
  <si>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</si>
  <si>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</si>
  <si>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</si>
  <si>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</si>
  <si>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</si>
  <si>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</si>
  <si>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</si>
  <si>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</si>
  <si>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</si>
  <si>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</si>
  <si>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</si>
  <si>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</si>
  <si>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</si>
  <si>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</si>
  <si>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</si>
  <si>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</si>
  <si>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</si>
  <si>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</si>
  <si>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</si>
  <si>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</si>
  <si>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</si>
  <si>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</si>
  <si>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</si>
  <si>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</si>
  <si>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</si>
  <si>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</si>
  <si>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</si>
  <si>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</si>
  <si>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</si>
  <si>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</si>
  <si>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</si>
  <si>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</si>
  <si>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</si>
  <si>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</si>
  <si>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</si>
  <si>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</si>
  <si>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</si>
  <si>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</si>
  <si>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</si>
  <si>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</si>
  <si>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</si>
  <si>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</si>
  <si>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</si>
  <si>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</si>
  <si>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</si>
  <si>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</si>
  <si>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</si>
  <si>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</si>
  <si>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</si>
  <si>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</si>
  <si>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</si>
  <si>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</si>
  <si>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</si>
  <si>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</si>
  <si>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</si>
  <si>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</si>
  <si>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</si>
  <si>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</si>
  <si>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</si>
  <si>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</si>
  <si>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</si>
  <si>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</si>
  <si>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</si>
  <si>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</si>
  <si>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</si>
  <si>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</si>
  <si>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</si>
  <si>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</si>
  <si>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</si>
  <si>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</si>
  <si>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</si>
  <si>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</si>
  <si>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</si>
  <si>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</si>
  <si>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</si>
  <si>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</si>
  <si>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</si>
  <si>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</si>
  <si>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</si>
  <si>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</si>
  <si>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бошқа мақсадли кредитлар</t>
  </si>
  <si>
    <t>21-жадвал</t>
  </si>
  <si>
    <t>Муддатсиз</t>
  </si>
  <si>
    <t>91-180 кун</t>
  </si>
  <si>
    <t>181-365 кун</t>
  </si>
  <si>
    <t>366-730 кун</t>
  </si>
  <si>
    <t>2 йилдан ортиқ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</si>
  <si>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</si>
  <si>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</si>
  <si>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</si>
  <si>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</si>
  <si>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</si>
  <si>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</si>
  <si>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</si>
  <si>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</si>
  <si>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</si>
  <si>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</si>
  <si>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</si>
  <si>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</si>
  <si>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</si>
  <si>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</si>
  <si>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</si>
  <si>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</si>
  <si>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</si>
  <si>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</si>
  <si>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</si>
  <si>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</si>
  <si>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</si>
  <si>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</si>
  <si>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</si>
  <si>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</si>
  <si>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</si>
  <si>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</si>
  <si>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</si>
  <si>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</si>
  <si>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</si>
  <si>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</si>
  <si>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</si>
  <si>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</si>
  <si>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</si>
  <si>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</si>
  <si>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</si>
  <si>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</si>
  <si>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</si>
  <si>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</si>
  <si>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</si>
  <si>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</si>
  <si>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</si>
  <si>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</si>
  <si>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</si>
  <si>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</si>
  <si>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</si>
  <si>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</si>
  <si>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</si>
  <si>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</si>
  <si>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</si>
  <si>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</si>
  <si>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</si>
  <si>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</si>
  <si>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</si>
  <si>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</si>
  <si>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</si>
  <si>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</si>
  <si>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</si>
  <si>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</si>
  <si>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</si>
  <si>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</si>
  <si>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</si>
  <si>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</si>
  <si>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</si>
  <si>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</si>
  <si>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</si>
  <si>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</si>
  <si>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</si>
  <si>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</si>
  <si>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>Захиралар чегирилган ҳолда харакатсиз кредитлар миқдори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</si>
  <si>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</si>
  <si>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</si>
  <si>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</si>
  <si>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</si>
  <si>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</si>
  <si>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</si>
  <si>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</si>
  <si>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</si>
  <si>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</si>
  <si>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</si>
  <si>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</si>
  <si>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</si>
  <si>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</si>
  <si>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</si>
  <si>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</si>
  <si>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</si>
  <si>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</si>
  <si>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</si>
  <si>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</si>
  <si>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</si>
  <si>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</si>
  <si>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</si>
  <si>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</si>
  <si>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</si>
  <si>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</si>
  <si>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</si>
  <si>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</si>
  <si>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</si>
  <si>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</si>
  <si>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</si>
  <si>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</si>
  <si>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</si>
  <si>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</si>
  <si>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</si>
  <si>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</si>
  <si>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</si>
  <si>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</si>
  <si>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</si>
  <si>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</si>
  <si>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</si>
  <si>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</si>
  <si>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</si>
  <si>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</si>
  <si>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</si>
  <si>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</si>
  <si>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</si>
  <si>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</si>
  <si>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</si>
  <si>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</si>
  <si>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</si>
  <si>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</si>
  <si>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</si>
  <si>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</si>
  <si>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</si>
  <si>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</si>
  <si>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</si>
  <si>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</si>
  <si>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</si>
  <si>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</si>
  <si>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</si>
  <si>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</si>
  <si>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</si>
  <si>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</si>
  <si>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</si>
  <si>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</si>
  <si>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</si>
  <si>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</si>
  <si>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</si>
  <si>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</si>
  <si>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</si>
  <si>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</si>
  <si>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</si>
  <si>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</si>
  <si>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</si>
  <si>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</si>
  <si>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</si>
  <si>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</si>
  <si>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</si>
  <si>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</si>
  <si>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</si>
  <si>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</si>
  <si>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</si>
  <si>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</si>
  <si>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</si>
  <si>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</si>
  <si>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</si>
  <si>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</si>
  <si>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</si>
  <si>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</si>
  <si>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</si>
  <si>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</si>
  <si>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</si>
  <si>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</si>
  <si>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</si>
  <si>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</si>
  <si>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</si>
  <si>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</si>
  <si>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</si>
  <si>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</si>
  <si>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</si>
  <si>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</si>
  <si>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</si>
  <si>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</si>
  <si>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</si>
  <si>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</si>
  <si>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</si>
  <si>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</si>
  <si>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</si>
  <si>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</si>
  <si>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</si>
  <si>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</si>
  <si>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</si>
  <si>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</si>
  <si>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</si>
  <si>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</si>
  <si>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</si>
  <si>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</si>
  <si>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</si>
  <si>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</si>
  <si>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</si>
  <si>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</si>
  <si>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</si>
  <si>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</si>
  <si>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</si>
  <si>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</si>
  <si>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</si>
  <si>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</si>
  <si>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</si>
  <si>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</si>
  <si>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</si>
  <si>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</si>
  <si>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</si>
  <si>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</si>
  <si>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</si>
  <si>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</si>
  <si>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</si>
  <si>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</si>
  <si>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</si>
  <si>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</si>
  <si>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</si>
  <si>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</si>
  <si>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</si>
  <si>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</si>
  <si>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</si>
  <si>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</si>
  <si>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</si>
  <si>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</si>
  <si>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</si>
  <si>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</si>
  <si>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</si>
  <si>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</si>
  <si>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</si>
  <si>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</si>
  <si>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</si>
  <si>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</si>
  <si>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</si>
  <si>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</si>
  <si>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</si>
  <si>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</si>
  <si>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</si>
  <si>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</si>
  <si>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</si>
  <si>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</si>
  <si>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</si>
  <si>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</si>
  <si>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</si>
  <si>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</si>
  <si>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</si>
  <si>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</si>
  <si>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</si>
  <si>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</si>
  <si>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</si>
  <si>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</si>
  <si>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</si>
  <si>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</si>
  <si>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</si>
  <si>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</si>
  <si>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</si>
  <si>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</si>
  <si>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</si>
  <si>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</si>
  <si>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Активлар бўйича эҳтимолий йўқотишларга қарши яратилган захираларнинг қайтарилиши</t>
  </si>
  <si>
    <t>Кредит, лизинг ва факторингларни ҳисобдан чиқариш ва қайтариш</t>
  </si>
  <si>
    <t xml:space="preserve">Кредит, лизинг ва факторинглар бўйича эҳтимолий йўқотишларга қарши захиралар </t>
  </si>
  <si>
    <t>Сотиб олинган дебиторлик қарзлари - Факторинг</t>
  </si>
  <si>
    <t>минг сўмда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</si>
  <si>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</si>
  <si>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</si>
  <si>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</si>
  <si>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</si>
  <si>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</si>
  <si>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</si>
  <si>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Шундан</t>
  </si>
  <si>
    <t>ўртача тортилган фоиз ставкаси</t>
  </si>
  <si>
    <t>Шундан,</t>
  </si>
  <si>
    <t>хорижий валютада 
(сўм экв.)</t>
  </si>
  <si>
    <t>1-қисм</t>
  </si>
  <si>
    <t>БАНК АКТИВЛАРИ ТАҲЛИЛИ</t>
  </si>
  <si>
    <t>Банкнинг Марказий банкдаги маблағлари (фоизли даромадга эга бўлган)</t>
  </si>
  <si>
    <t>Бошқа банклар ва молиявий ташкилотлардан олиниши лозим бўлган маблағлар (фақат фоизли даромадга эга бўлган)</t>
  </si>
  <si>
    <t>Қимматли қоғозлар ва уларга қилинган  инвестициялар, соф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</si>
  <si>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</si>
  <si>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</si>
  <si>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 xml:space="preserve">Мижозларнинг аккредитив ва траст ҳужжатлари билан кафолатланган тратталари бўйича мажбуриятлари, соф </t>
  </si>
  <si>
    <t>Мижозларнинг банк олдидаги тўланмаган акцептлари бўйича мажбуриятлари, соф</t>
  </si>
  <si>
    <t>Марказий банкка берилган кредит ва лизинглар, соф</t>
  </si>
  <si>
    <t>Бошқа банкларга берилган кредит ва лизинглар, соф</t>
  </si>
  <si>
    <t>8</t>
  </si>
  <si>
    <t>Мижозларга берилган кредит ва лизинглар, соф</t>
  </si>
  <si>
    <t>шу жумладан, жисмоний шахсларга берилган кредит ва лизинглар</t>
  </si>
  <si>
    <t>9</t>
  </si>
  <si>
    <t>Суд ёки ижро иши юритиш жараёнидаги кредитлар ва лизинг, соф</t>
  </si>
  <si>
    <t>10</t>
  </si>
  <si>
    <t>Бошқа активлар (фоизли даромадга эга бўлган)</t>
  </si>
  <si>
    <t>11</t>
  </si>
  <si>
    <t>ЖAМИ АКТИВЛАР</t>
  </si>
  <si>
    <t>2-қисм</t>
  </si>
  <si>
    <t>БАНК МАЖБУРИЯТЛАРИ</t>
  </si>
  <si>
    <t>ДЕПОЗИТЛАР</t>
  </si>
  <si>
    <t>Талаб қилиб олингунча депозитлар</t>
  </si>
  <si>
    <t>1.1.1</t>
  </si>
  <si>
    <t>Aҳолининг талаб қилиб олингунча омонатлари</t>
  </si>
  <si>
    <t>1.1.2</t>
  </si>
  <si>
    <t>Талаб қилиб олингунча бошқа депозитлар</t>
  </si>
  <si>
    <t>1.2.1</t>
  </si>
  <si>
    <t>Аҳоли омонатлари</t>
  </si>
  <si>
    <t>Мижозларнинг бошқа депозитлари</t>
  </si>
  <si>
    <t>Жисмоний шахсларнинг банк пластик карталаридаги маблағлари (қолдиқлари бўйича фоиз тўлаш мажбурияти мавжуд бўлса)</t>
  </si>
  <si>
    <t>Бошқа мижозларнинг банк пластик карталаридаги маблағлари (қолдиқлари бўйича фоиз тўлаш мажбурияти мавжуд бўлса)</t>
  </si>
  <si>
    <t>Жами депозитлар</t>
  </si>
  <si>
    <t>Марказий банкка тўланиши лозим бўлган маблағлар</t>
  </si>
  <si>
    <t>Бошқа банкларга  тўланиши лозим бўлган маблағлар</t>
  </si>
  <si>
    <t>Олинган кредит ва лизинглар (молиявий ижара) бўйича мажбуриятлар</t>
  </si>
  <si>
    <t>Банк томонидан чиқарилган қимматли қоғозлар</t>
  </si>
  <si>
    <t>Субординар қарз мажбуриятлари</t>
  </si>
  <si>
    <t>ЖАМИ МАЖБУРИЯТЛАР</t>
  </si>
  <si>
    <t>Молиявий ташкилотларга тўланиши лозим бўлган маблағлар</t>
  </si>
  <si>
    <t>10.1</t>
  </si>
  <si>
    <t>12</t>
  </si>
  <si>
    <t>1.2.2</t>
  </si>
  <si>
    <t>ҳукумат қарорлари асоисида йирик социал лойиҳалар учун ажратилган кредитлар</t>
  </si>
  <si>
    <t>КРЕДИТ ПОРТФЕЛИ ТАРКИБИ ТЎҒРИСИДА ҲИСОБОТ</t>
  </si>
  <si>
    <t>Жами хусусий капитал</t>
  </si>
  <si>
    <t xml:space="preserve">Жами хусусий капитал </t>
  </si>
  <si>
    <t>Захиралар чегирилган ҳолда харакатсиз кредитлар/жами хусусий капитал</t>
  </si>
  <si>
    <t>Жами хусусий капитал ҳажми (мазкур давр учун ўртача)</t>
  </si>
  <si>
    <t>Жами хусусий капитал/жами активлар</t>
  </si>
  <si>
    <t xml:space="preserve">Очиқ валюта позицияси, соф / Жами хусусий капитал </t>
  </si>
  <si>
    <t>ўртача тортилган
 фоиз ставкаси</t>
  </si>
  <si>
    <t>миллий валютада ўртача тортилган
 фоиз ставкаси</t>
  </si>
  <si>
    <t>хорижий валютада ўртача тортилган
 фоиз ставкаси</t>
  </si>
  <si>
    <t>21 A-жадвал</t>
  </si>
  <si>
    <t>“ФОИЗЛИ ГЭП ТАҲЛИЛИ (ўзгармас фоиз ставкаси билан жойлаштитрилган ва жалб қилинган маблағлар бўйича)</t>
  </si>
  <si>
    <t>“ФОИЗЛИ ГЭП ТАҲЛИЛИ (ўзгарувчан фоиз ставкаси билан жойлаштитрилган ва жалб қилинган маблағлар бўйича)</t>
  </si>
  <si>
    <t>1.1.3</t>
  </si>
  <si>
    <t>1.1.4</t>
  </si>
  <si>
    <t>1.1.5</t>
  </si>
  <si>
    <t>AD1364173</t>
  </si>
  <si>
    <t>AD5021406</t>
  </si>
  <si>
    <t>ООО "SESAME"</t>
  </si>
  <si>
    <t>ИП ООО "EPSILON DEVELOPMENT COMPANY"</t>
  </si>
  <si>
    <t>000</t>
  </si>
  <si>
    <t>MKBANK</t>
  </si>
  <si>
    <t>№2</t>
  </si>
  <si>
    <t>AD1664622</t>
  </si>
  <si>
    <t>AD0307172</t>
  </si>
  <si>
    <t>БАНККА АЛОҚАДОР БИТТА ШАХСГА ТЎҒРИ КЕЛУВЧИ ТАВАККАЛЧИЛИКНИНГ ЭНГ КЎП МИҚДОРИ</t>
  </si>
  <si>
    <t>AD8580545</t>
  </si>
  <si>
    <t>Moody's 
Fitch Ratings</t>
  </si>
  <si>
    <t>Beshimov Azamat Xamroboyevich</t>
  </si>
  <si>
    <t>AВ 9725681</t>
  </si>
  <si>
    <t>Abdullayev Uchkun Ashirovich</t>
  </si>
  <si>
    <t>AD 2595233</t>
  </si>
  <si>
    <t>Djumaniyazov Ikram Karimbayevich</t>
  </si>
  <si>
    <t>Khalbekov Ulugmurod Chutbayevich</t>
  </si>
  <si>
    <t>Mamadjanov Ibroximjon Abdushukurovich</t>
  </si>
  <si>
    <t>Sattarov Shavkat Yusufovich</t>
  </si>
  <si>
    <t>Norqulov Bahrom Turamurodovich</t>
  </si>
  <si>
    <t>Ba3
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</si>
</sst>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2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Arial Cyr"/>
      <family val="2"/>
      <charset val="204"/>
    </font>
    <font>
      <sz val="8"/>
      <color theme="0" tint="-0.499984740745262"/>
      <name val="Arial Cyr"/>
      <family val="2"/>
      <charset val="204"/>
    </font>
    <font>
      <b/>
      <sz val="20"/>
      <color rgb="FF7030A0"/>
      <name val="Times New Roman Cyr"/>
      <charset val="204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69">
    <xf numFmtId="0" fontId="0" fillId="0" borderId="0"/>
    <xf numFmtId="0" fontId="20" fillId="0" borderId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3" fillId="0" borderId="0" applyNumberFormat="0" applyFont="0" applyFill="0" applyBorder="0" applyAlignment="0" applyProtection="0">
      <alignment vertical="top"/>
    </xf>
    <xf numFmtId="0" fontId="23" fillId="0" borderId="0" applyNumberFormat="0" applyFont="0" applyFill="0" applyBorder="0" applyAlignment="0" applyProtection="0">
      <alignment vertical="top"/>
    </xf>
    <xf numFmtId="0" fontId="23" fillId="0" borderId="0" applyNumberFormat="0" applyFont="0" applyFill="0" applyBorder="0" applyAlignment="0" applyProtection="0">
      <alignment vertical="top"/>
    </xf>
    <xf numFmtId="167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3" fillId="0" borderId="0" applyNumberFormat="0" applyFont="0" applyFill="0" applyBorder="0" applyAlignment="0" applyProtection="0">
      <alignment vertical="top"/>
    </xf>
    <xf numFmtId="9" fontId="4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4" fillId="0" borderId="17">
      <protection locked="0"/>
    </xf>
    <xf numFmtId="174" fontId="46" fillId="0" borderId="0">
      <protection locked="0"/>
    </xf>
    <xf numFmtId="175" fontId="46" fillId="0" borderId="17">
      <protection locked="0"/>
    </xf>
    <xf numFmtId="176" fontId="46" fillId="0" borderId="0">
      <protection locked="0"/>
    </xf>
    <xf numFmtId="4" fontId="46" fillId="0" borderId="0">
      <protection locked="0"/>
    </xf>
    <xf numFmtId="177" fontId="46" fillId="0" borderId="0">
      <protection locked="0"/>
    </xf>
    <xf numFmtId="175" fontId="47" fillId="0" borderId="0">
      <protection locked="0"/>
    </xf>
    <xf numFmtId="175" fontId="48" fillId="0" borderId="0">
      <protection locked="0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9" fillId="0" borderId="5">
      <alignment horizontal="center"/>
    </xf>
    <xf numFmtId="166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50" fillId="0" borderId="0"/>
    <xf numFmtId="0" fontId="23" fillId="0" borderId="0"/>
    <xf numFmtId="9" fontId="25" fillId="0" borderId="0" applyFont="0" applyFill="0" applyBorder="0" applyAlignment="0" applyProtection="0"/>
    <xf numFmtId="0" fontId="5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9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52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1" fillId="0" borderId="0"/>
    <xf numFmtId="0" fontId="5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51" fillId="0" borderId="0"/>
    <xf numFmtId="0" fontId="54" fillId="0" borderId="0"/>
    <xf numFmtId="0" fontId="5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" fillId="0" borderId="0"/>
    <xf numFmtId="0" fontId="52" fillId="0" borderId="0"/>
    <xf numFmtId="0" fontId="51" fillId="0" borderId="0"/>
    <xf numFmtId="0" fontId="3" fillId="0" borderId="0"/>
    <xf numFmtId="0" fontId="5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0" borderId="0"/>
    <xf numFmtId="0" fontId="23" fillId="0" borderId="0"/>
    <xf numFmtId="0" fontId="51" fillId="0" borderId="0"/>
    <xf numFmtId="0" fontId="23" fillId="0" borderId="0"/>
    <xf numFmtId="0" fontId="5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53" fillId="0" borderId="0"/>
    <xf numFmtId="0" fontId="3" fillId="0" borderId="0"/>
    <xf numFmtId="0" fontId="51" fillId="0" borderId="0"/>
    <xf numFmtId="0" fontId="5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5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3" fillId="0" borderId="0"/>
    <xf numFmtId="0" fontId="4" fillId="0" borderId="0"/>
    <xf numFmtId="0" fontId="25" fillId="0" borderId="0"/>
    <xf numFmtId="0" fontId="3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3" fillId="0" borderId="0"/>
    <xf numFmtId="0" fontId="53" fillId="0" borderId="0"/>
    <xf numFmtId="0" fontId="51" fillId="0" borderId="0"/>
    <xf numFmtId="0" fontId="56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3" fillId="0" borderId="0"/>
    <xf numFmtId="0" fontId="3" fillId="0" borderId="0"/>
    <xf numFmtId="0" fontId="57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58" fillId="0" borderId="0"/>
    <xf numFmtId="0" fontId="25" fillId="0" borderId="0"/>
    <xf numFmtId="0" fontId="5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2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23" fillId="0" borderId="0"/>
    <xf numFmtId="0" fontId="51" fillId="0" borderId="0"/>
    <xf numFmtId="0" fontId="51" fillId="0" borderId="0"/>
    <xf numFmtId="0" fontId="2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3" fillId="0" borderId="0"/>
    <xf numFmtId="0" fontId="25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25" fillId="0" borderId="0"/>
    <xf numFmtId="0" fontId="25" fillId="0" borderId="0"/>
    <xf numFmtId="0" fontId="24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0" fontId="55" fillId="7" borderId="16" applyNumberFormat="0" applyFont="0" applyAlignment="0" applyProtection="0"/>
    <xf numFmtId="9" fontId="5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166" fontId="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9" fontId="23" fillId="0" borderId="0" applyFont="0" applyFill="0" applyBorder="0" applyAlignment="0" applyProtection="0"/>
    <xf numFmtId="167" fontId="61" fillId="0" borderId="0" applyFont="0" applyFill="0" applyBorder="0" applyAlignment="0" applyProtection="0"/>
    <xf numFmtId="171" fontId="2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3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61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6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0" fontId="2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1" fontId="5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82" fontId="53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23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4" fillId="0" borderId="0">
      <protection locked="0"/>
    </xf>
    <xf numFmtId="0" fontId="7" fillId="0" borderId="0">
      <alignment vertical="top"/>
    </xf>
    <xf numFmtId="184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0" fontId="55" fillId="26" borderId="0" applyNumberFormat="0" applyBorder="0" applyAlignment="0" applyProtection="0"/>
    <xf numFmtId="186" fontId="66" fillId="0" borderId="0" applyFont="0" applyFill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9" borderId="0" applyNumberFormat="0" applyBorder="0" applyAlignment="0" applyProtection="0"/>
    <xf numFmtId="0" fontId="55" fillId="24" borderId="0" applyNumberFormat="0" applyBorder="0" applyAlignment="0" applyProtection="0"/>
    <xf numFmtId="0" fontId="55" fillId="27" borderId="0" applyNumberFormat="0" applyBorder="0" applyAlignment="0" applyProtection="0"/>
    <xf numFmtId="0" fontId="55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7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38" borderId="0" applyNumberFormat="0" applyBorder="0" applyAlignment="0" applyProtection="0"/>
    <xf numFmtId="0" fontId="68" fillId="22" borderId="0" applyNumberFormat="0" applyBorder="0" applyAlignment="0" applyProtection="0"/>
    <xf numFmtId="0" fontId="69" fillId="39" borderId="20" applyNumberFormat="0" applyAlignment="0" applyProtection="0"/>
    <xf numFmtId="0" fontId="70" fillId="40" borderId="21" applyNumberFormat="0" applyAlignment="0" applyProtection="0"/>
    <xf numFmtId="178" fontId="71" fillId="0" borderId="0" applyFont="0" applyFill="0" applyBorder="0" applyAlignment="0" applyProtection="0"/>
    <xf numFmtId="3" fontId="23" fillId="0" borderId="0" applyFont="0" applyFill="0" applyBorder="0" applyAlignment="0" applyProtection="0"/>
    <xf numFmtId="0" fontId="13" fillId="0" borderId="0" applyNumberFormat="0" applyFont="0" applyFill="0" applyBorder="0" applyAlignment="0"/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9" fontId="17" fillId="0" borderId="0" applyFont="0" applyFill="0" applyBorder="0" applyAlignment="0" applyProtection="0"/>
    <xf numFmtId="190" fontId="72" fillId="0" borderId="0"/>
    <xf numFmtId="0" fontId="73" fillId="0" borderId="0" applyNumberFormat="0" applyFill="0" applyBorder="0" applyAlignment="0" applyProtection="0"/>
    <xf numFmtId="2" fontId="23" fillId="0" borderId="0" applyFont="0" applyFill="0" applyBorder="0" applyAlignment="0" applyProtection="0"/>
    <xf numFmtId="0" fontId="74" fillId="23" borderId="0" applyNumberFormat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22" applyNumberFormat="0" applyFill="0" applyAlignment="0" applyProtection="0"/>
    <xf numFmtId="0" fontId="77" fillId="0" borderId="0" applyNumberFormat="0" applyFill="0" applyBorder="0" applyAlignment="0" applyProtection="0"/>
    <xf numFmtId="173" fontId="66" fillId="0" borderId="0" applyFont="0" applyFill="0" applyBorder="0" applyAlignment="0" applyProtection="0"/>
    <xf numFmtId="0" fontId="78" fillId="26" borderId="20" applyNumberFormat="0" applyAlignment="0" applyProtection="0"/>
    <xf numFmtId="0" fontId="79" fillId="0" borderId="23" applyNumberFormat="0" applyFill="0" applyAlignment="0" applyProtection="0"/>
    <xf numFmtId="191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73" fontId="80" fillId="0" borderId="0" applyFill="0" applyBorder="0"/>
    <xf numFmtId="0" fontId="81" fillId="41" borderId="0" applyNumberFormat="0" applyBorder="0" applyAlignment="0" applyProtection="0"/>
    <xf numFmtId="0" fontId="80" fillId="0" borderId="0"/>
    <xf numFmtId="0" fontId="25" fillId="42" borderId="24" applyNumberFormat="0" applyFont="0" applyAlignment="0" applyProtection="0"/>
    <xf numFmtId="0" fontId="82" fillId="39" borderId="25" applyNumberFormat="0" applyAlignment="0" applyProtection="0"/>
    <xf numFmtId="9" fontId="23" fillId="0" borderId="0" applyFont="0" applyFill="0" applyBorder="0" applyAlignment="0" applyProtection="0"/>
    <xf numFmtId="194" fontId="66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3" fillId="0" borderId="26" applyNumberFormat="0" applyFont="0" applyFill="0" applyAlignment="0" applyProtection="0"/>
    <xf numFmtId="0" fontId="84" fillId="0" borderId="0" applyNumberFormat="0" applyFill="0" applyBorder="0" applyAlignment="0" applyProtection="0"/>
    <xf numFmtId="0" fontId="4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112" fillId="0" borderId="0" applyNumberFormat="0" applyFill="0" applyBorder="0" applyAlignment="0" applyProtection="0"/>
    <xf numFmtId="0" fontId="113" fillId="0" borderId="27" applyNumberFormat="0" applyFill="0" applyAlignment="0" applyProtection="0"/>
    <xf numFmtId="0" fontId="114" fillId="0" borderId="28" applyNumberFormat="0" applyFill="0" applyAlignment="0" applyProtection="0"/>
    <xf numFmtId="0" fontId="115" fillId="0" borderId="29" applyNumberFormat="0" applyFill="0" applyAlignment="0" applyProtection="0"/>
    <xf numFmtId="0" fontId="115" fillId="0" borderId="0" applyNumberFormat="0" applyFill="0" applyBorder="0" applyAlignment="0" applyProtection="0"/>
    <xf numFmtId="0" fontId="116" fillId="43" borderId="0" applyNumberFormat="0" applyBorder="0" applyAlignment="0" applyProtection="0"/>
    <xf numFmtId="0" fontId="117" fillId="44" borderId="0" applyNumberFormat="0" applyBorder="0" applyAlignment="0" applyProtection="0"/>
    <xf numFmtId="0" fontId="118" fillId="45" borderId="0" applyNumberFormat="0" applyBorder="0" applyAlignment="0" applyProtection="0"/>
    <xf numFmtId="0" fontId="119" fillId="46" borderId="30" applyNumberFormat="0" applyAlignment="0" applyProtection="0"/>
    <xf numFmtId="0" fontId="120" fillId="47" borderId="31" applyNumberFormat="0" applyAlignment="0" applyProtection="0"/>
    <xf numFmtId="0" fontId="121" fillId="47" borderId="30" applyNumberFormat="0" applyAlignment="0" applyProtection="0"/>
    <xf numFmtId="0" fontId="122" fillId="0" borderId="32" applyNumberFormat="0" applyFill="0" applyAlignment="0" applyProtection="0"/>
    <xf numFmtId="0" fontId="123" fillId="48" borderId="33" applyNumberFormat="0" applyAlignment="0" applyProtection="0"/>
    <xf numFmtId="0" fontId="124" fillId="0" borderId="0" applyNumberFormat="0" applyFill="0" applyBorder="0" applyAlignment="0" applyProtection="0"/>
    <xf numFmtId="0" fontId="1" fillId="7" borderId="16" applyNumberFormat="0" applyFont="0" applyAlignment="0" applyProtection="0"/>
    <xf numFmtId="0" fontId="125" fillId="0" borderId="0" applyNumberFormat="0" applyFill="0" applyBorder="0" applyAlignment="0" applyProtection="0"/>
    <xf numFmtId="0" fontId="126" fillId="0" borderId="34" applyNumberFormat="0" applyFill="0" applyAlignment="0" applyProtection="0"/>
    <xf numFmtId="0" fontId="127" fillId="4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27" fillId="50" borderId="0" applyNumberFormat="0" applyBorder="0" applyAlignment="0" applyProtection="0"/>
    <xf numFmtId="0" fontId="127" fillId="5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7" fillId="52" borderId="0" applyNumberFormat="0" applyBorder="0" applyAlignment="0" applyProtection="0"/>
    <xf numFmtId="0" fontId="127" fillId="5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27" fillId="54" borderId="0" applyNumberFormat="0" applyBorder="0" applyAlignment="0" applyProtection="0"/>
    <xf numFmtId="0" fontId="127" fillId="5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7" fillId="56" borderId="0" applyNumberFormat="0" applyBorder="0" applyAlignment="0" applyProtection="0"/>
    <xf numFmtId="0" fontId="127" fillId="57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27" fillId="58" borderId="0" applyNumberFormat="0" applyBorder="0" applyAlignment="0" applyProtection="0"/>
    <xf numFmtId="0" fontId="127" fillId="5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7" fillId="6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</cellStyleXfs>
  <cellXfs count="782">
    <xf numFmtId="0" fontId="0" fillId="0" borderId="0" xfId="0"/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Continuous"/>
    </xf>
    <xf numFmtId="0" fontId="8" fillId="0" borderId="0" xfId="0" applyFont="1"/>
    <xf numFmtId="0" fontId="7" fillId="0" borderId="0" xfId="0" applyFont="1" applyAlignment="1">
      <alignment horizontal="centerContinuous"/>
    </xf>
    <xf numFmtId="0" fontId="6" fillId="0" borderId="2" xfId="0" applyFont="1" applyBorder="1" applyAlignment="1">
      <alignment horizontal="center" vertical="center" wrapText="1"/>
    </xf>
    <xf numFmtId="0" fontId="15" fillId="0" borderId="0" xfId="4" applyNumberFormat="1" applyFont="1" applyFill="1" applyBorder="1" applyAlignment="1" applyProtection="1">
      <alignment vertical="center"/>
    </xf>
    <xf numFmtId="0" fontId="15" fillId="0" borderId="0" xfId="4" applyNumberFormat="1" applyFont="1" applyFill="1" applyBorder="1" applyAlignment="1" applyProtection="1">
      <alignment vertical="top"/>
    </xf>
    <xf numFmtId="0" fontId="15" fillId="0" borderId="0" xfId="4" applyNumberFormat="1" applyFont="1" applyFill="1" applyBorder="1" applyAlignment="1" applyProtection="1">
      <alignment vertical="top" wrapText="1"/>
    </xf>
    <xf numFmtId="0" fontId="13" fillId="0" borderId="0" xfId="4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3" fontId="4" fillId="0" borderId="1" xfId="0" applyNumberFormat="1" applyFont="1" applyBorder="1" applyAlignment="1" applyProtection="1">
      <alignment vertical="center"/>
      <protection locked="0"/>
    </xf>
    <xf numFmtId="3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vertical="center"/>
    </xf>
    <xf numFmtId="0" fontId="26" fillId="0" borderId="0" xfId="0" applyFont="1"/>
    <xf numFmtId="3" fontId="26" fillId="0" borderId="0" xfId="0" applyNumberFormat="1" applyFont="1" applyAlignment="1">
      <alignment horizontal="centerContinuous"/>
    </xf>
    <xf numFmtId="0" fontId="8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15" fillId="0" borderId="0" xfId="5" applyNumberFormat="1" applyFont="1" applyFill="1" applyBorder="1" applyAlignment="1" applyProtection="1">
      <alignment vertical="top"/>
    </xf>
    <xf numFmtId="0" fontId="15" fillId="0" borderId="0" xfId="5" applyNumberFormat="1" applyFont="1" applyFill="1" applyBorder="1" applyAlignment="1" applyProtection="1">
      <alignment horizontal="center" vertical="center"/>
    </xf>
    <xf numFmtId="0" fontId="28" fillId="0" borderId="0" xfId="5" applyNumberFormat="1" applyFont="1" applyFill="1" applyBorder="1" applyAlignment="1" applyProtection="1">
      <alignment vertical="center"/>
    </xf>
    <xf numFmtId="0" fontId="28" fillId="0" borderId="0" xfId="4" applyNumberFormat="1" applyFont="1" applyFill="1" applyBorder="1" applyAlignment="1" applyProtection="1">
      <alignment horizontal="center" vertical="center"/>
    </xf>
    <xf numFmtId="3" fontId="15" fillId="0" borderId="0" xfId="4" applyNumberFormat="1" applyFont="1" applyFill="1" applyBorder="1" applyAlignment="1" applyProtection="1">
      <alignment vertical="top"/>
    </xf>
    <xf numFmtId="0" fontId="15" fillId="0" borderId="0" xfId="5" applyNumberFormat="1" applyFont="1" applyFill="1" applyBorder="1" applyAlignment="1" applyProtection="1">
      <alignment horizontal="center" vertical="top"/>
    </xf>
    <xf numFmtId="0" fontId="32" fillId="0" borderId="0" xfId="0" applyFont="1" applyAlignment="1">
      <alignment horizontal="center" vertical="center"/>
    </xf>
    <xf numFmtId="3" fontId="21" fillId="0" borderId="0" xfId="0" applyNumberFormat="1" applyFont="1"/>
    <xf numFmtId="3" fontId="33" fillId="0" borderId="0" xfId="0" applyNumberFormat="1" applyFont="1" applyAlignment="1">
      <alignment horizontal="center"/>
    </xf>
    <xf numFmtId="0" fontId="7" fillId="0" borderId="0" xfId="0" applyFont="1" applyAlignment="1">
      <alignment horizontal="centerContinuous" vertical="center"/>
    </xf>
    <xf numFmtId="3" fontId="4" fillId="0" borderId="1" xfId="0" applyNumberFormat="1" applyFont="1" applyBorder="1" applyAlignment="1" applyProtection="1">
      <alignment horizontal="right"/>
      <protection locked="0"/>
    </xf>
    <xf numFmtId="0" fontId="15" fillId="0" borderId="1" xfId="5" applyNumberFormat="1" applyFont="1" applyFill="1" applyBorder="1" applyAlignment="1" applyProtection="1">
      <alignment horizontal="center" vertical="center" wrapText="1"/>
    </xf>
    <xf numFmtId="9" fontId="8" fillId="0" borderId="1" xfId="0" applyNumberFormat="1" applyFont="1" applyBorder="1" applyAlignment="1">
      <alignment vertical="center"/>
    </xf>
    <xf numFmtId="9" fontId="15" fillId="0" borderId="0" xfId="2" applyFont="1" applyFill="1" applyBorder="1" applyAlignment="1" applyProtection="1">
      <alignment vertical="top"/>
    </xf>
    <xf numFmtId="9" fontId="15" fillId="0" borderId="1" xfId="2" applyFont="1" applyFill="1" applyBorder="1" applyAlignment="1" applyProtection="1">
      <alignment horizontal="center" vertical="center" wrapText="1"/>
    </xf>
    <xf numFmtId="3" fontId="33" fillId="3" borderId="1" xfId="0" applyNumberFormat="1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0" fontId="15" fillId="0" borderId="1" xfId="4" applyNumberFormat="1" applyFont="1" applyFill="1" applyBorder="1" applyAlignment="1" applyProtection="1">
      <alignment horizontal="center" vertical="center" wrapText="1"/>
    </xf>
    <xf numFmtId="0" fontId="15" fillId="0" borderId="1" xfId="4" applyNumberFormat="1" applyFont="1" applyFill="1" applyBorder="1" applyAlignment="1" applyProtection="1">
      <alignment vertical="center" wrapText="1"/>
    </xf>
    <xf numFmtId="3" fontId="21" fillId="0" borderId="3" xfId="0" applyNumberFormat="1" applyFont="1" applyBorder="1" applyAlignment="1">
      <alignment vertical="center"/>
    </xf>
    <xf numFmtId="0" fontId="15" fillId="0" borderId="0" xfId="0" applyFont="1"/>
    <xf numFmtId="49" fontId="15" fillId="6" borderId="1" xfId="4" applyNumberFormat="1" applyFont="1" applyFill="1" applyBorder="1" applyAlignment="1" applyProtection="1">
      <alignment horizontal="center" vertical="center" wrapText="1"/>
    </xf>
    <xf numFmtId="0" fontId="31" fillId="0" borderId="0" xfId="4" applyNumberFormat="1" applyFont="1" applyFill="1" applyBorder="1" applyAlignment="1" applyProtection="1">
      <alignment horizontal="center" vertical="center"/>
    </xf>
    <xf numFmtId="3" fontId="8" fillId="0" borderId="10" xfId="0" applyNumberFormat="1" applyFont="1" applyBorder="1"/>
    <xf numFmtId="3" fontId="8" fillId="0" borderId="0" xfId="0" applyNumberFormat="1" applyFont="1"/>
    <xf numFmtId="3" fontId="5" fillId="0" borderId="0" xfId="0" applyNumberFormat="1" applyFont="1"/>
    <xf numFmtId="171" fontId="11" fillId="0" borderId="10" xfId="0" applyNumberFormat="1" applyFont="1" applyBorder="1" applyAlignment="1">
      <alignment horizontal="centerContinuous"/>
    </xf>
    <xf numFmtId="3" fontId="39" fillId="0" borderId="0" xfId="0" applyNumberFormat="1" applyFont="1" applyAlignment="1">
      <alignment horizontal="centerContinuous"/>
    </xf>
    <xf numFmtId="3" fontId="40" fillId="0" borderId="0" xfId="0" applyNumberFormat="1" applyFont="1" applyAlignment="1">
      <alignment horizontal="centerContinuous"/>
    </xf>
    <xf numFmtId="0" fontId="40" fillId="0" borderId="0" xfId="0" applyFont="1"/>
    <xf numFmtId="0" fontId="41" fillId="0" borderId="0" xfId="4" applyNumberFormat="1" applyFont="1" applyFill="1" applyBorder="1" applyAlignment="1" applyProtection="1">
      <alignment vertical="top"/>
    </xf>
    <xf numFmtId="3" fontId="41" fillId="0" borderId="0" xfId="4" applyNumberFormat="1" applyFont="1" applyFill="1" applyBorder="1" applyAlignment="1" applyProtection="1">
      <alignment vertical="top"/>
    </xf>
    <xf numFmtId="3" fontId="0" fillId="0" borderId="1" xfId="0" applyNumberFormat="1" applyBorder="1" applyAlignment="1">
      <alignment vertical="center"/>
    </xf>
    <xf numFmtId="0" fontId="28" fillId="0" borderId="0" xfId="9" applyNumberFormat="1" applyFont="1" applyFill="1" applyBorder="1" applyAlignment="1" applyProtection="1">
      <alignment vertical="top"/>
    </xf>
    <xf numFmtId="9" fontId="28" fillId="0" borderId="0" xfId="10" applyFont="1" applyFill="1" applyBorder="1" applyAlignment="1" applyProtection="1">
      <alignment vertical="top"/>
    </xf>
    <xf numFmtId="0" fontId="28" fillId="0" borderId="0" xfId="9" applyNumberFormat="1" applyFont="1" applyFill="1" applyBorder="1" applyAlignment="1" applyProtection="1">
      <alignment vertical="center"/>
    </xf>
    <xf numFmtId="0" fontId="28" fillId="0" borderId="0" xfId="9" applyNumberFormat="1" applyFont="1" applyFill="1" applyBorder="1" applyAlignment="1" applyProtection="1">
      <alignment horizontal="center" vertical="center"/>
    </xf>
    <xf numFmtId="3" fontId="31" fillId="0" borderId="1" xfId="9" applyNumberFormat="1" applyFont="1" applyFill="1" applyBorder="1" applyAlignment="1" applyProtection="1">
      <alignment horizontal="center" vertical="center" wrapText="1"/>
    </xf>
    <xf numFmtId="0" fontId="43" fillId="0" borderId="0" xfId="9" applyNumberFormat="1" applyFont="1" applyFill="1" applyBorder="1" applyAlignment="1" applyProtection="1">
      <alignment horizontal="center" vertical="center"/>
    </xf>
    <xf numFmtId="0" fontId="31" fillId="0" borderId="0" xfId="9" applyNumberFormat="1" applyFont="1" applyFill="1" applyBorder="1" applyAlignment="1" applyProtection="1">
      <alignment horizontal="center" vertical="center"/>
    </xf>
    <xf numFmtId="173" fontId="28" fillId="0" borderId="0" xfId="9" applyNumberFormat="1" applyFont="1" applyFill="1" applyBorder="1" applyAlignment="1" applyProtection="1">
      <alignment horizontal="center" vertical="center" wrapText="1"/>
    </xf>
    <xf numFmtId="0" fontId="15" fillId="0" borderId="0" xfId="9" applyNumberFormat="1" applyFont="1" applyFill="1" applyBorder="1" applyAlignment="1" applyProtection="1">
      <alignment horizontal="center" vertical="top"/>
    </xf>
    <xf numFmtId="0" fontId="15" fillId="0" borderId="0" xfId="9" applyNumberFormat="1" applyFont="1" applyFill="1" applyBorder="1" applyAlignment="1" applyProtection="1">
      <alignment vertical="top"/>
    </xf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65" fillId="0" borderId="0" xfId="0" applyFont="1"/>
    <xf numFmtId="14" fontId="65" fillId="0" borderId="0" xfId="0" applyNumberFormat="1" applyFont="1"/>
    <xf numFmtId="0" fontId="65" fillId="0" borderId="0" xfId="0" applyFont="1" applyAlignment="1">
      <alignment wrapText="1"/>
    </xf>
    <xf numFmtId="0" fontId="65" fillId="0" borderId="0" xfId="0" applyFont="1" applyAlignment="1">
      <alignment horizontal="center"/>
    </xf>
    <xf numFmtId="0" fontId="86" fillId="0" borderId="0" xfId="0" applyFont="1"/>
    <xf numFmtId="0" fontId="4" fillId="0" borderId="1" xfId="0" applyFont="1" applyBorder="1" applyAlignment="1">
      <alignment horizontal="left" vertical="center" wrapText="1" indent="2"/>
    </xf>
    <xf numFmtId="14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14" fontId="65" fillId="0" borderId="0" xfId="0" applyNumberFormat="1" applyFont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center"/>
    </xf>
    <xf numFmtId="3" fontId="65" fillId="0" borderId="0" xfId="0" applyNumberFormat="1" applyFont="1"/>
    <xf numFmtId="10" fontId="64" fillId="0" borderId="1" xfId="1225" applyNumberFormat="1" applyFont="1" applyBorder="1" applyAlignment="1">
      <alignment horizontal="center" vertical="center" wrapText="1"/>
    </xf>
    <xf numFmtId="183" fontId="65" fillId="0" borderId="18" xfId="1225" applyNumberFormat="1" applyFont="1" applyBorder="1" applyAlignment="1">
      <alignment horizontal="center" vertical="center" wrapText="1"/>
    </xf>
    <xf numFmtId="183" fontId="65" fillId="0" borderId="19" xfId="1225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 indent="2"/>
    </xf>
    <xf numFmtId="49" fontId="6" fillId="0" borderId="1" xfId="0" applyNumberFormat="1" applyFont="1" applyBorder="1" applyAlignment="1">
      <alignment horizontal="center" vertical="center"/>
    </xf>
    <xf numFmtId="170" fontId="65" fillId="0" borderId="0" xfId="3" applyNumberFormat="1" applyFont="1" applyFill="1" applyAlignment="1" applyProtection="1">
      <alignment horizontal="center" vertical="center"/>
      <protection locked="0"/>
    </xf>
    <xf numFmtId="3" fontId="31" fillId="3" borderId="1" xfId="0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/>
    </xf>
    <xf numFmtId="0" fontId="8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Continuous" vertical="center"/>
    </xf>
    <xf numFmtId="3" fontId="29" fillId="0" borderId="0" xfId="0" applyNumberFormat="1" applyFont="1" applyAlignment="1">
      <alignment horizontal="centerContinuous"/>
    </xf>
    <xf numFmtId="0" fontId="38" fillId="0" borderId="0" xfId="0" applyFont="1"/>
    <xf numFmtId="3" fontId="5" fillId="0" borderId="0" xfId="0" applyNumberFormat="1" applyFont="1" applyAlignment="1">
      <alignment horizontal="centerContinuous"/>
    </xf>
    <xf numFmtId="0" fontId="33" fillId="0" borderId="0" xfId="0" applyFont="1" applyAlignment="1">
      <alignment horizontal="center"/>
    </xf>
    <xf numFmtId="3" fontId="37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 vertical="center" textRotation="90" wrapText="1"/>
    </xf>
    <xf numFmtId="3" fontId="36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12" fillId="0" borderId="0" xfId="0" applyNumberFormat="1" applyFont="1"/>
    <xf numFmtId="171" fontId="4" fillId="0" borderId="0" xfId="0" quotePrefix="1" applyNumberFormat="1" applyFont="1" applyAlignment="1">
      <alignment horizontal="center" vertical="center"/>
    </xf>
    <xf numFmtId="0" fontId="33" fillId="0" borderId="0" xfId="0" applyFont="1" applyAlignment="1">
      <alignment horizontal="left" indent="1"/>
    </xf>
    <xf numFmtId="0" fontId="2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indent="2"/>
    </xf>
    <xf numFmtId="3" fontId="4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"/>
    </xf>
    <xf numFmtId="3" fontId="22" fillId="0" borderId="1" xfId="0" applyNumberFormat="1" applyFont="1" applyBorder="1" applyAlignment="1">
      <alignment horizontal="center" vertical="center"/>
    </xf>
    <xf numFmtId="3" fontId="4" fillId="0" borderId="0" xfId="0" applyNumberFormat="1" applyFont="1"/>
    <xf numFmtId="171" fontId="4" fillId="0" borderId="0" xfId="0" applyNumberFormat="1" applyFont="1"/>
    <xf numFmtId="3" fontId="6" fillId="0" borderId="0" xfId="0" applyNumberFormat="1" applyFont="1" applyAlignment="1">
      <alignment horizontal="centerContinuous"/>
    </xf>
    <xf numFmtId="3" fontId="10" fillId="0" borderId="0" xfId="0" quotePrefix="1" applyNumberFormat="1" applyFont="1" applyAlignment="1">
      <alignment horizontal="left" vertical="center"/>
    </xf>
    <xf numFmtId="171" fontId="0" fillId="0" borderId="0" xfId="0" applyNumberFormat="1"/>
    <xf numFmtId="0" fontId="87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right"/>
    </xf>
    <xf numFmtId="171" fontId="0" fillId="0" borderId="0" xfId="0" applyNumberFormat="1" applyAlignment="1">
      <alignment horizontal="center"/>
    </xf>
    <xf numFmtId="3" fontId="4" fillId="0" borderId="1" xfId="0" applyNumberFormat="1" applyFont="1" applyBorder="1" applyAlignment="1" applyProtection="1">
      <alignment horizontal="left" vertical="center" wrapText="1" indent="1"/>
      <protection locked="0"/>
    </xf>
    <xf numFmtId="0" fontId="14" fillId="0" borderId="0" xfId="0" applyFont="1" applyAlignment="1">
      <alignment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3" fontId="14" fillId="0" borderId="0" xfId="0" applyNumberFormat="1" applyFont="1" applyAlignment="1">
      <alignment vertical="center"/>
    </xf>
    <xf numFmtId="3" fontId="32" fillId="3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 applyProtection="1">
      <alignment horizontal="right" vertical="center" wrapText="1" indent="1"/>
      <protection locked="0"/>
    </xf>
    <xf numFmtId="3" fontId="4" fillId="0" borderId="3" xfId="1288" applyNumberFormat="1" applyBorder="1"/>
    <xf numFmtId="0" fontId="4" fillId="0" borderId="0" xfId="0" applyFont="1" applyAlignment="1">
      <alignment vertical="center" wrapText="1"/>
    </xf>
    <xf numFmtId="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 applyProtection="1">
      <alignment horizontal="right" vertical="center"/>
      <protection locked="0"/>
    </xf>
    <xf numFmtId="3" fontId="4" fillId="0" borderId="1" xfId="1288" applyNumberFormat="1" applyBorder="1" applyProtection="1">
      <protection locked="0"/>
    </xf>
    <xf numFmtId="3" fontId="4" fillId="0" borderId="3" xfId="1288" applyNumberFormat="1" applyBorder="1" applyProtection="1">
      <protection locked="0"/>
    </xf>
    <xf numFmtId="0" fontId="21" fillId="0" borderId="0" xfId="0" applyFont="1"/>
    <xf numFmtId="171" fontId="6" fillId="0" borderId="0" xfId="0" applyNumberFormat="1" applyFont="1" applyAlignment="1">
      <alignment horizontal="center"/>
    </xf>
    <xf numFmtId="195" fontId="4" fillId="0" borderId="1" xfId="0" applyNumberFormat="1" applyFont="1" applyBorder="1" applyAlignment="1">
      <alignment horizontal="right" vertical="center"/>
    </xf>
    <xf numFmtId="195" fontId="4" fillId="0" borderId="1" xfId="0" applyNumberFormat="1" applyFont="1" applyBorder="1" applyAlignment="1" applyProtection="1">
      <alignment vertical="center" wrapText="1"/>
      <protection locked="0"/>
    </xf>
    <xf numFmtId="195" fontId="4" fillId="0" borderId="1" xfId="0" applyNumberFormat="1" applyFont="1" applyBorder="1" applyAlignment="1" applyProtection="1">
      <alignment vertical="center"/>
      <protection locked="0"/>
    </xf>
    <xf numFmtId="195" fontId="4" fillId="0" borderId="3" xfId="1288" applyNumberFormat="1" applyBorder="1"/>
    <xf numFmtId="195" fontId="4" fillId="0" borderId="1" xfId="0" applyNumberFormat="1" applyFont="1" applyBorder="1" applyAlignment="1" applyProtection="1">
      <alignment horizontal="right" vertical="center"/>
      <protection locked="0"/>
    </xf>
    <xf numFmtId="3" fontId="28" fillId="3" borderId="5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3" fontId="4" fillId="4" borderId="7" xfId="0" applyNumberFormat="1" applyFont="1" applyFill="1" applyBorder="1" applyAlignment="1">
      <alignment horizontal="right"/>
    </xf>
    <xf numFmtId="3" fontId="4" fillId="0" borderId="3" xfId="1288" applyNumberFormat="1" applyBorder="1" applyAlignment="1">
      <alignment vertical="center"/>
    </xf>
    <xf numFmtId="3" fontId="4" fillId="4" borderId="7" xfId="0" applyNumberFormat="1" applyFont="1" applyFill="1" applyBorder="1" applyAlignment="1">
      <alignment horizontal="right" vertical="center"/>
    </xf>
    <xf numFmtId="0" fontId="4" fillId="0" borderId="0" xfId="0" applyFont="1" applyAlignment="1">
      <alignment wrapText="1"/>
    </xf>
    <xf numFmtId="196" fontId="23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31" fillId="3" borderId="1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169" fontId="7" fillId="0" borderId="5" xfId="0" applyNumberFormat="1" applyFont="1" applyBorder="1" applyAlignment="1">
      <alignment horizontal="center" vertical="center"/>
    </xf>
    <xf numFmtId="3" fontId="18" fillId="3" borderId="1" xfId="0" applyNumberFormat="1" applyFont="1" applyFill="1" applyBorder="1" applyAlignment="1">
      <alignment horizontal="center" vertical="center" wrapText="1"/>
    </xf>
    <xf numFmtId="197" fontId="86" fillId="0" borderId="0" xfId="3" applyNumberFormat="1" applyFont="1" applyFill="1" applyProtection="1"/>
    <xf numFmtId="197" fontId="85" fillId="0" borderId="0" xfId="3" applyNumberFormat="1" applyFont="1" applyFill="1" applyBorder="1" applyAlignment="1" applyProtection="1">
      <alignment vertical="center" wrapText="1"/>
    </xf>
    <xf numFmtId="197" fontId="65" fillId="0" borderId="0" xfId="3" applyNumberFormat="1" applyFont="1" applyFill="1" applyProtection="1"/>
    <xf numFmtId="197" fontId="8" fillId="0" borderId="0" xfId="3" applyNumberFormat="1" applyFont="1" applyProtection="1">
      <protection locked="0"/>
    </xf>
    <xf numFmtId="0" fontId="28" fillId="0" borderId="0" xfId="4" applyNumberFormat="1" applyFont="1" applyFill="1" applyBorder="1" applyAlignment="1" applyProtection="1">
      <alignment horizontal="right" vertical="top" indent="2"/>
    </xf>
    <xf numFmtId="15" fontId="28" fillId="0" borderId="0" xfId="4" applyNumberFormat="1" applyFont="1" applyFill="1" applyBorder="1" applyAlignment="1" applyProtection="1">
      <alignment horizontal="center"/>
    </xf>
    <xf numFmtId="49" fontId="13" fillId="5" borderId="1" xfId="4" applyNumberFormat="1" applyFont="1" applyFill="1" applyBorder="1" applyAlignment="1" applyProtection="1">
      <alignment horizontal="center" vertical="center" wrapText="1"/>
    </xf>
    <xf numFmtId="0" fontId="13" fillId="5" borderId="1" xfId="4" applyNumberFormat="1" applyFont="1" applyFill="1" applyBorder="1" applyAlignment="1" applyProtection="1">
      <alignment horizontal="center" vertical="center" wrapText="1"/>
    </xf>
    <xf numFmtId="3" fontId="13" fillId="5" borderId="1" xfId="4" applyNumberFormat="1" applyFont="1" applyFill="1" applyBorder="1" applyAlignment="1" applyProtection="1">
      <alignment horizontal="center" vertical="center" wrapText="1"/>
    </xf>
    <xf numFmtId="49" fontId="13" fillId="6" borderId="1" xfId="4" applyNumberFormat="1" applyFont="1" applyFill="1" applyBorder="1" applyAlignment="1" applyProtection="1">
      <alignment horizontal="center" vertical="center" wrapText="1"/>
    </xf>
    <xf numFmtId="0" fontId="13" fillId="6" borderId="1" xfId="4" applyNumberFormat="1" applyFont="1" applyFill="1" applyBorder="1" applyAlignment="1" applyProtection="1">
      <alignment horizontal="center" vertical="center" wrapText="1"/>
    </xf>
    <xf numFmtId="49" fontId="15" fillId="0" borderId="1" xfId="4" applyNumberFormat="1" applyFont="1" applyFill="1" applyBorder="1" applyAlignment="1" applyProtection="1">
      <alignment horizontal="center" vertical="center" wrapText="1"/>
    </xf>
    <xf numFmtId="0" fontId="25" fillId="0" borderId="0" xfId="0" applyFont="1"/>
    <xf numFmtId="0" fontId="15" fillId="0" borderId="0" xfId="4" applyNumberFormat="1" applyFont="1" applyFill="1" applyBorder="1" applyAlignment="1" applyProtection="1">
      <alignment vertical="center" wrapText="1"/>
    </xf>
    <xf numFmtId="0" fontId="15" fillId="0" borderId="0" xfId="4" applyNumberFormat="1" applyFont="1" applyFill="1" applyBorder="1" applyAlignment="1" applyProtection="1">
      <alignment horizontal="center" vertical="center"/>
    </xf>
    <xf numFmtId="171" fontId="0" fillId="0" borderId="0" xfId="0" applyNumberFormat="1" applyAlignment="1">
      <alignment horizontal="left" indent="2"/>
    </xf>
    <xf numFmtId="0" fontId="21" fillId="0" borderId="2" xfId="0" applyFont="1" applyBorder="1" applyAlignment="1">
      <alignment horizontal="left" vertical="center" wrapText="1" indent="1"/>
    </xf>
    <xf numFmtId="0" fontId="0" fillId="0" borderId="2" xfId="0" quotePrefix="1" applyBorder="1" applyAlignment="1">
      <alignment horizontal="left" vertical="center" indent="1"/>
    </xf>
    <xf numFmtId="3" fontId="4" fillId="0" borderId="3" xfId="0" applyNumberFormat="1" applyFont="1" applyBorder="1" applyAlignment="1">
      <alignment vertical="center"/>
    </xf>
    <xf numFmtId="0" fontId="31" fillId="0" borderId="1" xfId="1225" applyFont="1" applyBorder="1" applyAlignment="1">
      <alignment horizontal="left" vertical="center" wrapText="1"/>
    </xf>
    <xf numFmtId="49" fontId="65" fillId="0" borderId="0" xfId="0" applyNumberFormat="1" applyFont="1"/>
    <xf numFmtId="0" fontId="28" fillId="0" borderId="18" xfId="1225" applyFont="1" applyBorder="1" applyAlignment="1">
      <alignment horizontal="left" vertical="center" wrapText="1" indent="2"/>
    </xf>
    <xf numFmtId="0" fontId="28" fillId="0" borderId="19" xfId="1225" applyFont="1" applyBorder="1" applyAlignment="1">
      <alignment horizontal="left" vertical="center" wrapText="1" indent="2"/>
    </xf>
    <xf numFmtId="0" fontId="64" fillId="0" borderId="1" xfId="1225" applyFont="1" applyBorder="1" applyAlignment="1">
      <alignment horizontal="left" vertical="center" wrapText="1"/>
    </xf>
    <xf numFmtId="0" fontId="65" fillId="0" borderId="18" xfId="1225" applyFont="1" applyBorder="1" applyAlignment="1">
      <alignment horizontal="left" vertical="center" wrapText="1" indent="2"/>
    </xf>
    <xf numFmtId="0" fontId="65" fillId="0" borderId="19" xfId="1225" applyFont="1" applyBorder="1" applyAlignment="1">
      <alignment horizontal="left" vertical="center" wrapText="1" indent="2"/>
    </xf>
    <xf numFmtId="0" fontId="5" fillId="0" borderId="0" xfId="0" applyFont="1" applyAlignment="1">
      <alignment horizontal="centerContinuous" vertical="center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0" fontId="21" fillId="0" borderId="1" xfId="0" applyFont="1" applyBorder="1" applyAlignment="1">
      <alignment horizontal="left" vertical="center" indent="2"/>
    </xf>
    <xf numFmtId="3" fontId="4" fillId="0" borderId="1" xfId="0" applyNumberFormat="1" applyFont="1" applyBorder="1" applyProtection="1">
      <protection locked="0"/>
    </xf>
    <xf numFmtId="0" fontId="4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1"/>
    </xf>
    <xf numFmtId="3" fontId="4" fillId="2" borderId="3" xfId="0" applyNumberFormat="1" applyFont="1" applyFill="1" applyBorder="1"/>
    <xf numFmtId="0" fontId="6" fillId="0" borderId="1" xfId="0" applyFont="1" applyBorder="1" applyAlignment="1">
      <alignment horizontal="left" vertical="center" wrapText="1" indent="2"/>
    </xf>
    <xf numFmtId="0" fontId="4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2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indent="2"/>
    </xf>
    <xf numFmtId="0" fontId="4" fillId="0" borderId="2" xfId="0" applyFont="1" applyBorder="1" applyAlignment="1">
      <alignment horizontal="left" vertical="center" indent="2"/>
    </xf>
    <xf numFmtId="3" fontId="4" fillId="0" borderId="3" xfId="0" applyNumberFormat="1" applyFont="1" applyBorder="1" applyAlignment="1" applyProtection="1">
      <alignment vertical="center"/>
      <protection locked="0"/>
    </xf>
    <xf numFmtId="168" fontId="4" fillId="0" borderId="3" xfId="0" applyNumberFormat="1" applyFont="1" applyBorder="1" applyAlignment="1" applyProtection="1">
      <alignment vertical="center"/>
      <protection locked="0"/>
    </xf>
    <xf numFmtId="3" fontId="4" fillId="0" borderId="0" xfId="0" applyNumberFormat="1" applyFont="1" applyAlignment="1">
      <alignment vertical="center"/>
    </xf>
    <xf numFmtId="3" fontId="12" fillId="0" borderId="0" xfId="0" applyNumberFormat="1" applyFont="1" applyAlignment="1">
      <alignment horizontal="center"/>
    </xf>
    <xf numFmtId="3" fontId="8" fillId="0" borderId="3" xfId="0" applyNumberFormat="1" applyFont="1" applyBorder="1" applyAlignment="1">
      <alignment horizontal="center" vertical="center"/>
    </xf>
    <xf numFmtId="3" fontId="8" fillId="0" borderId="3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33" fillId="0" borderId="1" xfId="0" applyNumberFormat="1" applyFont="1" applyBorder="1" applyAlignment="1">
      <alignment horizontal="center" vertical="center"/>
    </xf>
    <xf numFmtId="3" fontId="34" fillId="0" borderId="1" xfId="0" applyNumberFormat="1" applyFont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left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>
      <alignment horizontal="left" vertical="center"/>
    </xf>
    <xf numFmtId="3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left" vertical="center"/>
    </xf>
    <xf numFmtId="170" fontId="4" fillId="0" borderId="0" xfId="3" applyNumberFormat="1" applyFont="1"/>
    <xf numFmtId="170" fontId="92" fillId="0" borderId="0" xfId="3" applyNumberFormat="1" applyFont="1"/>
    <xf numFmtId="170" fontId="4" fillId="0" borderId="0" xfId="3" applyNumberFormat="1" applyFont="1" applyProtection="1"/>
    <xf numFmtId="3" fontId="37" fillId="3" borderId="3" xfId="0" applyNumberFormat="1" applyFont="1" applyFill="1" applyBorder="1" applyAlignment="1">
      <alignment horizontal="center" vertical="center" wrapText="1"/>
    </xf>
    <xf numFmtId="3" fontId="32" fillId="3" borderId="5" xfId="0" applyNumberFormat="1" applyFont="1" applyFill="1" applyBorder="1" applyAlignment="1">
      <alignment horizontal="center" vertical="center" wrapText="1"/>
    </xf>
    <xf numFmtId="170" fontId="6" fillId="0" borderId="0" xfId="3" applyNumberFormat="1" applyFont="1" applyProtection="1"/>
    <xf numFmtId="0" fontId="4" fillId="0" borderId="2" xfId="0" applyFont="1" applyBorder="1" applyAlignment="1" applyProtection="1">
      <alignment horizontal="left" vertical="center" indent="1"/>
      <protection locked="0"/>
    </xf>
    <xf numFmtId="170" fontId="4" fillId="0" borderId="0" xfId="3" applyNumberFormat="1" applyFont="1" applyAlignment="1" applyProtection="1">
      <alignment vertical="center" wrapText="1"/>
    </xf>
    <xf numFmtId="0" fontId="0" fillId="0" borderId="1" xfId="0" applyBorder="1" applyProtection="1">
      <protection locked="0"/>
    </xf>
    <xf numFmtId="170" fontId="4" fillId="0" borderId="0" xfId="3" applyNumberFormat="1" applyFont="1" applyAlignment="1" applyProtection="1">
      <alignment vertical="center"/>
    </xf>
    <xf numFmtId="170" fontId="4" fillId="0" borderId="0" xfId="3" applyNumberFormat="1" applyFont="1" applyBorder="1" applyProtection="1"/>
    <xf numFmtId="170" fontId="4" fillId="0" borderId="0" xfId="3" applyNumberFormat="1" applyFont="1" applyAlignment="1" applyProtection="1">
      <alignment wrapText="1"/>
    </xf>
    <xf numFmtId="3" fontId="34" fillId="0" borderId="10" xfId="0" applyNumberFormat="1" applyFont="1" applyBorder="1"/>
    <xf numFmtId="3" fontId="22" fillId="0" borderId="1" xfId="0" applyNumberFormat="1" applyFont="1" applyBorder="1" applyAlignment="1">
      <alignment horizontal="left" vertical="center" wrapText="1" indent="1"/>
    </xf>
    <xf numFmtId="16" fontId="15" fillId="0" borderId="1" xfId="5" applyNumberFormat="1" applyFont="1" applyFill="1" applyBorder="1" applyAlignment="1" applyProtection="1">
      <alignment horizontal="left" vertical="center" wrapText="1" indent="2"/>
    </xf>
    <xf numFmtId="9" fontId="13" fillId="0" borderId="0" xfId="2" applyFont="1" applyFill="1" applyBorder="1" applyAlignment="1" applyProtection="1">
      <alignment horizontal="center" vertical="center"/>
    </xf>
    <xf numFmtId="15" fontId="17" fillId="0" borderId="0" xfId="5" applyNumberFormat="1" applyFont="1" applyFill="1" applyBorder="1" applyAlignment="1" applyProtection="1">
      <alignment horizontal="center"/>
    </xf>
    <xf numFmtId="3" fontId="15" fillId="3" borderId="5" xfId="0" applyNumberFormat="1" applyFont="1" applyFill="1" applyBorder="1" applyAlignment="1">
      <alignment horizontal="center" vertical="center" wrapText="1"/>
    </xf>
    <xf numFmtId="0" fontId="15" fillId="5" borderId="1" xfId="5" applyNumberFormat="1" applyFont="1" applyFill="1" applyBorder="1" applyAlignment="1" applyProtection="1">
      <alignment horizontal="left" vertical="center" wrapText="1" indent="2"/>
    </xf>
    <xf numFmtId="0" fontId="13" fillId="5" borderId="1" xfId="5" applyNumberFormat="1" applyFont="1" applyFill="1" applyBorder="1" applyAlignment="1" applyProtection="1">
      <alignment horizontal="left" vertical="center" wrapText="1" indent="2"/>
    </xf>
    <xf numFmtId="172" fontId="13" fillId="0" borderId="1" xfId="2" applyNumberFormat="1" applyFont="1" applyFill="1" applyBorder="1" applyAlignment="1" applyProtection="1">
      <alignment horizontal="center" vertical="center" wrapText="1"/>
    </xf>
    <xf numFmtId="0" fontId="93" fillId="5" borderId="1" xfId="5" applyNumberFormat="1" applyFont="1" applyFill="1" applyBorder="1" applyAlignment="1" applyProtection="1">
      <alignment horizontal="left" vertical="center" wrapText="1" indent="4"/>
    </xf>
    <xf numFmtId="0" fontId="15" fillId="5" borderId="1" xfId="5" applyNumberFormat="1" applyFont="1" applyFill="1" applyBorder="1" applyAlignment="1" applyProtection="1">
      <alignment horizontal="left" vertical="center" wrapText="1" indent="1"/>
    </xf>
    <xf numFmtId="172" fontId="15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5" applyNumberFormat="1" applyFont="1" applyFill="1" applyBorder="1" applyAlignment="1" applyProtection="1">
      <alignment horizontal="left" vertical="center" wrapText="1" indent="2"/>
    </xf>
    <xf numFmtId="0" fontId="15" fillId="0" borderId="1" xfId="5" applyNumberFormat="1" applyFont="1" applyFill="1" applyBorder="1" applyAlignment="1" applyProtection="1">
      <alignment horizontal="left" vertical="center" wrapText="1" indent="1"/>
    </xf>
    <xf numFmtId="173" fontId="15" fillId="0" borderId="0" xfId="5" applyNumberFormat="1" applyFont="1" applyFill="1" applyBorder="1" applyAlignment="1" applyProtection="1">
      <alignment horizontal="center" vertical="top"/>
    </xf>
    <xf numFmtId="0" fontId="31" fillId="0" borderId="9" xfId="9" applyNumberFormat="1" applyFont="1" applyFill="1" applyBorder="1" applyAlignment="1" applyProtection="1">
      <alignment vertical="center"/>
    </xf>
    <xf numFmtId="3" fontId="28" fillId="3" borderId="1" xfId="0" applyNumberFormat="1" applyFont="1" applyFill="1" applyBorder="1" applyAlignment="1">
      <alignment horizontal="center" vertical="center" wrapText="1"/>
    </xf>
    <xf numFmtId="3" fontId="28" fillId="0" borderId="0" xfId="9" applyNumberFormat="1" applyFont="1" applyFill="1" applyBorder="1" applyAlignment="1" applyProtection="1">
      <alignment horizontal="center" vertical="center"/>
    </xf>
    <xf numFmtId="0" fontId="28" fillId="5" borderId="1" xfId="9" applyNumberFormat="1" applyFont="1" applyFill="1" applyBorder="1" applyAlignment="1" applyProtection="1">
      <alignment horizontal="left" vertical="center" wrapText="1" indent="2"/>
    </xf>
    <xf numFmtId="0" fontId="31" fillId="5" borderId="1" xfId="9" applyNumberFormat="1" applyFont="1" applyFill="1" applyBorder="1" applyAlignment="1" applyProtection="1">
      <alignment horizontal="left" vertical="center" wrapText="1" indent="2"/>
    </xf>
    <xf numFmtId="172" fontId="31" fillId="0" borderId="1" xfId="10" applyNumberFormat="1" applyFont="1" applyFill="1" applyBorder="1" applyAlignment="1" applyProtection="1">
      <alignment horizontal="center" vertical="center" wrapText="1"/>
    </xf>
    <xf numFmtId="0" fontId="28" fillId="20" borderId="1" xfId="9" applyNumberFormat="1" applyFont="1" applyFill="1" applyBorder="1" applyAlignment="1" applyProtection="1">
      <alignment horizontal="center" vertical="center" wrapText="1"/>
    </xf>
    <xf numFmtId="0" fontId="28" fillId="20" borderId="1" xfId="9" applyNumberFormat="1" applyFont="1" applyFill="1" applyBorder="1" applyAlignment="1" applyProtection="1">
      <alignment horizontal="left" vertical="center" wrapText="1" indent="1"/>
    </xf>
    <xf numFmtId="172" fontId="31" fillId="20" borderId="1" xfId="10" applyNumberFormat="1" applyFont="1" applyFill="1" applyBorder="1" applyAlignment="1" applyProtection="1">
      <alignment horizontal="center" vertical="center" wrapText="1"/>
    </xf>
    <xf numFmtId="0" fontId="28" fillId="0" borderId="1" xfId="9" applyNumberFormat="1" applyFont="1" applyFill="1" applyBorder="1" applyAlignment="1" applyProtection="1">
      <alignment horizontal="center" vertical="center" wrapText="1"/>
    </xf>
    <xf numFmtId="0" fontId="28" fillId="5" borderId="1" xfId="9" applyNumberFormat="1" applyFont="1" applyFill="1" applyBorder="1" applyAlignment="1" applyProtection="1">
      <alignment horizontal="left" vertical="center" wrapText="1" indent="1"/>
    </xf>
    <xf numFmtId="172" fontId="28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43" fillId="0" borderId="1" xfId="9" applyNumberFormat="1" applyFont="1" applyFill="1" applyBorder="1" applyAlignment="1" applyProtection="1">
      <alignment horizontal="center" vertical="center" wrapText="1"/>
    </xf>
    <xf numFmtId="0" fontId="43" fillId="5" borderId="1" xfId="9" applyNumberFormat="1" applyFont="1" applyFill="1" applyBorder="1" applyAlignment="1" applyProtection="1">
      <alignment horizontal="left" vertical="center" wrapText="1" indent="1"/>
    </xf>
    <xf numFmtId="0" fontId="28" fillId="0" borderId="1" xfId="9" applyNumberFormat="1" applyFont="1" applyFill="1" applyBorder="1" applyAlignment="1" applyProtection="1">
      <alignment horizontal="left" vertical="center" wrapText="1" indent="1"/>
    </xf>
    <xf numFmtId="0" fontId="28" fillId="0" borderId="0" xfId="9" applyNumberFormat="1" applyFont="1" applyFill="1" applyBorder="1" applyAlignment="1" applyProtection="1">
      <alignment horizontal="center" vertical="center" wrapText="1"/>
    </xf>
    <xf numFmtId="0" fontId="28" fillId="0" borderId="0" xfId="9" applyNumberFormat="1" applyFont="1" applyFill="1" applyBorder="1" applyAlignment="1" applyProtection="1">
      <alignment horizontal="left" vertical="center" wrapText="1" indent="1"/>
    </xf>
    <xf numFmtId="172" fontId="28" fillId="0" borderId="0" xfId="10" applyNumberFormat="1" applyFont="1" applyFill="1" applyBorder="1" applyAlignment="1" applyProtection="1">
      <alignment horizontal="center" vertical="center" wrapText="1"/>
    </xf>
    <xf numFmtId="171" fontId="6" fillId="0" borderId="0" xfId="0" quotePrefix="1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6" fillId="0" borderId="1" xfId="0" applyFont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4"/>
    </xf>
    <xf numFmtId="0" fontId="90" fillId="0" borderId="1" xfId="0" applyFont="1" applyBorder="1" applyAlignment="1">
      <alignment horizontal="left" vertical="center" indent="4"/>
    </xf>
    <xf numFmtId="0" fontId="90" fillId="0" borderId="4" xfId="0" applyFont="1" applyBorder="1" applyAlignment="1">
      <alignment horizontal="center" vertical="center"/>
    </xf>
    <xf numFmtId="0" fontId="90" fillId="0" borderId="1" xfId="0" applyFont="1" applyBorder="1" applyAlignment="1">
      <alignment horizontal="left" vertical="center" wrapText="1" indent="4"/>
    </xf>
    <xf numFmtId="0" fontId="4" fillId="0" borderId="1" xfId="0" applyFont="1" applyBorder="1" applyAlignment="1">
      <alignment horizontal="left" vertical="center" wrapText="1" indent="4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 indent="4"/>
    </xf>
    <xf numFmtId="0" fontId="22" fillId="0" borderId="1" xfId="0" applyFont="1" applyBorder="1" applyAlignment="1">
      <alignment horizontal="left" vertical="center" wrapText="1" indent="5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170" fontId="65" fillId="0" borderId="0" xfId="3" applyNumberFormat="1" applyFont="1" applyFill="1" applyAlignment="1" applyProtection="1">
      <alignment vertical="center"/>
    </xf>
    <xf numFmtId="170" fontId="64" fillId="0" borderId="0" xfId="3" applyNumberFormat="1" applyFont="1" applyFill="1" applyAlignment="1" applyProtection="1">
      <alignment vertical="center"/>
    </xf>
    <xf numFmtId="171" fontId="4" fillId="0" borderId="0" xfId="0" applyNumberFormat="1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3" fontId="12" fillId="3" borderId="1" xfId="0" applyNumberFormat="1" applyFont="1" applyFill="1" applyBorder="1" applyAlignment="1">
      <alignment horizontal="center" vertical="center" textRotation="90" wrapText="1"/>
    </xf>
    <xf numFmtId="3" fontId="12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3" fontId="12" fillId="3" borderId="1" xfId="0" applyNumberFormat="1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center" vertical="center"/>
    </xf>
    <xf numFmtId="3" fontId="12" fillId="3" borderId="1" xfId="0" applyNumberFormat="1" applyFont="1" applyFill="1" applyBorder="1"/>
    <xf numFmtId="3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left" vertical="center" indent="2"/>
    </xf>
    <xf numFmtId="3" fontId="12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>
      <alignment horizontal="left" vertical="center" indent="2"/>
    </xf>
    <xf numFmtId="196" fontId="16" fillId="3" borderId="1" xfId="0" applyNumberFormat="1" applyFont="1" applyFill="1" applyBorder="1" applyAlignment="1">
      <alignment horizontal="center" vertical="center" wrapText="1"/>
    </xf>
    <xf numFmtId="0" fontId="95" fillId="0" borderId="0" xfId="0" applyFont="1" applyAlignment="1">
      <alignment vertical="center"/>
    </xf>
    <xf numFmtId="3" fontId="30" fillId="3" borderId="5" xfId="0" applyNumberFormat="1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95" fillId="0" borderId="0" xfId="0" applyFont="1" applyAlignment="1">
      <alignment horizontal="justify" vertical="center"/>
    </xf>
    <xf numFmtId="0" fontId="98" fillId="0" borderId="0" xfId="0" applyFont="1"/>
    <xf numFmtId="0" fontId="99" fillId="0" borderId="0" xfId="0" applyFont="1"/>
    <xf numFmtId="0" fontId="100" fillId="0" borderId="0" xfId="5" applyNumberFormat="1" applyFont="1" applyFill="1" applyBorder="1" applyAlignment="1" applyProtection="1">
      <alignment horizontal="center" vertical="top"/>
    </xf>
    <xf numFmtId="170" fontId="100" fillId="0" borderId="0" xfId="3" applyNumberFormat="1" applyFont="1" applyFill="1" applyBorder="1" applyAlignment="1" applyProtection="1">
      <alignment horizontal="center" vertical="top"/>
    </xf>
    <xf numFmtId="0" fontId="100" fillId="0" borderId="0" xfId="5" applyNumberFormat="1" applyFont="1" applyFill="1" applyBorder="1" applyAlignment="1" applyProtection="1">
      <alignment vertical="top"/>
    </xf>
    <xf numFmtId="170" fontId="100" fillId="0" borderId="0" xfId="3" applyNumberFormat="1" applyFont="1" applyFill="1" applyBorder="1" applyAlignment="1" applyProtection="1">
      <alignment vertical="top"/>
    </xf>
    <xf numFmtId="173" fontId="100" fillId="0" borderId="0" xfId="5" applyNumberFormat="1" applyFont="1" applyFill="1" applyBorder="1" applyAlignment="1" applyProtection="1">
      <alignment horizontal="center" vertical="top"/>
    </xf>
    <xf numFmtId="9" fontId="100" fillId="0" borderId="0" xfId="2" applyFont="1" applyFill="1" applyBorder="1" applyAlignment="1" applyProtection="1">
      <alignment vertical="top"/>
    </xf>
    <xf numFmtId="3" fontId="100" fillId="0" borderId="0" xfId="5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Border="1" applyAlignment="1">
      <alignment horizontal="center"/>
    </xf>
    <xf numFmtId="3" fontId="21" fillId="0" borderId="1" xfId="0" applyNumberFormat="1" applyFont="1" applyBorder="1"/>
    <xf numFmtId="3" fontId="21" fillId="2" borderId="3" xfId="0" applyNumberFormat="1" applyFont="1" applyFill="1" applyBorder="1"/>
    <xf numFmtId="0" fontId="96" fillId="0" borderId="0" xfId="0" applyFont="1"/>
    <xf numFmtId="0" fontId="97" fillId="0" borderId="0" xfId="0" applyFont="1" applyAlignment="1">
      <alignment vertical="center"/>
    </xf>
    <xf numFmtId="0" fontId="97" fillId="0" borderId="0" xfId="0" applyFont="1"/>
    <xf numFmtId="3" fontId="31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28" fillId="0" borderId="0" xfId="3" applyNumberFormat="1" applyFont="1" applyFill="1" applyBorder="1" applyAlignment="1" applyProtection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left" indent="2"/>
    </xf>
    <xf numFmtId="0" fontId="64" fillId="0" borderId="0" xfId="0" applyFont="1" applyAlignment="1">
      <alignment horizontal="left" vertical="center" wrapText="1" indent="2"/>
    </xf>
    <xf numFmtId="0" fontId="11" fillId="0" borderId="0" xfId="0" applyFont="1"/>
    <xf numFmtId="3" fontId="21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 applyProtection="1">
      <alignment vertical="center" wrapText="1"/>
      <protection locked="0"/>
    </xf>
    <xf numFmtId="3" fontId="21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 applyProtection="1">
      <alignment vertical="center" wrapText="1"/>
      <protection locked="0"/>
    </xf>
    <xf numFmtId="3" fontId="32" fillId="3" borderId="1" xfId="0" applyNumberFormat="1" applyFont="1" applyFill="1" applyBorder="1" applyAlignment="1">
      <alignment horizontal="center" vertical="center"/>
    </xf>
    <xf numFmtId="0" fontId="32" fillId="0" borderId="0" xfId="0" applyFont="1"/>
    <xf numFmtId="3" fontId="32" fillId="0" borderId="0" xfId="0" applyNumberFormat="1" applyFont="1"/>
    <xf numFmtId="9" fontId="8" fillId="3" borderId="1" xfId="2" applyFont="1" applyFill="1" applyBorder="1" applyAlignment="1" applyProtection="1">
      <alignment horizontal="center" vertical="center" wrapText="1"/>
    </xf>
    <xf numFmtId="9" fontId="8" fillId="0" borderId="1" xfId="0" applyNumberFormat="1" applyFont="1" applyBorder="1"/>
    <xf numFmtId="167" fontId="28" fillId="0" borderId="0" xfId="3" applyFont="1" applyFill="1" applyBorder="1" applyAlignment="1" applyProtection="1">
      <alignment horizontal="center" vertical="center"/>
    </xf>
    <xf numFmtId="172" fontId="28" fillId="0" borderId="0" xfId="2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left" vertical="center" indent="1"/>
    </xf>
    <xf numFmtId="167" fontId="4" fillId="0" borderId="0" xfId="3" applyFont="1"/>
    <xf numFmtId="167" fontId="13" fillId="0" borderId="0" xfId="3" applyFont="1" applyFill="1" applyBorder="1" applyAlignment="1" applyProtection="1">
      <alignment horizontal="center" vertical="center"/>
    </xf>
    <xf numFmtId="167" fontId="95" fillId="0" borderId="0" xfId="3" applyFont="1" applyAlignment="1">
      <alignment vertical="center"/>
    </xf>
    <xf numFmtId="3" fontId="10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3" fontId="21" fillId="0" borderId="3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 applyProtection="1">
      <alignment horizontal="right" vertical="center"/>
      <protection locked="0"/>
    </xf>
    <xf numFmtId="3" fontId="4" fillId="0" borderId="3" xfId="0" applyNumberFormat="1" applyFont="1" applyBorder="1" applyAlignment="1">
      <alignment horizontal="right" vertical="center"/>
    </xf>
    <xf numFmtId="3" fontId="30" fillId="3" borderId="1" xfId="0" applyNumberFormat="1" applyFont="1" applyFill="1" applyBorder="1" applyAlignment="1">
      <alignment horizontal="center" vertical="center" wrapText="1"/>
    </xf>
    <xf numFmtId="172" fontId="15" fillId="0" borderId="1" xfId="2" applyNumberFormat="1" applyFont="1" applyFill="1" applyBorder="1" applyAlignment="1" applyProtection="1">
      <alignment horizontal="center" vertical="center" wrapText="1"/>
    </xf>
    <xf numFmtId="172" fontId="28" fillId="0" borderId="1" xfId="10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 applyProtection="1">
      <alignment vertical="center"/>
      <protection locked="0"/>
    </xf>
    <xf numFmtId="195" fontId="21" fillId="0" borderId="1" xfId="0" applyNumberFormat="1" applyFont="1" applyBorder="1" applyAlignment="1">
      <alignment vertical="center"/>
    </xf>
    <xf numFmtId="195" fontId="10" fillId="3" borderId="1" xfId="0" applyNumberFormat="1" applyFont="1" applyFill="1" applyBorder="1" applyAlignment="1">
      <alignment horizontal="center" vertical="center" wrapText="1"/>
    </xf>
    <xf numFmtId="167" fontId="4" fillId="0" borderId="0" xfId="3" applyFont="1" applyProtection="1"/>
    <xf numFmtId="167" fontId="4" fillId="0" borderId="0" xfId="3" applyFont="1" applyBorder="1" applyProtection="1"/>
    <xf numFmtId="195" fontId="21" fillId="0" borderId="1" xfId="0" applyNumberFormat="1" applyFont="1" applyBorder="1" applyAlignment="1">
      <alignment vertical="center" wrapText="1"/>
    </xf>
    <xf numFmtId="195" fontId="0" fillId="0" borderId="1" xfId="0" applyNumberFormat="1" applyBorder="1" applyAlignment="1">
      <alignment vertical="center" wrapText="1"/>
    </xf>
    <xf numFmtId="195" fontId="6" fillId="0" borderId="1" xfId="0" applyNumberFormat="1" applyFont="1" applyBorder="1" applyAlignment="1">
      <alignment vertical="center" wrapText="1"/>
    </xf>
    <xf numFmtId="3" fontId="12" fillId="0" borderId="0" xfId="0" applyNumberFormat="1" applyFont="1" applyAlignment="1">
      <alignment vertical="center"/>
    </xf>
    <xf numFmtId="195" fontId="6" fillId="0" borderId="1" xfId="0" applyNumberFormat="1" applyFont="1" applyBorder="1" applyAlignment="1">
      <alignment horizontal="center" vertical="center" wrapText="1"/>
    </xf>
    <xf numFmtId="195" fontId="21" fillId="0" borderId="1" xfId="0" applyNumberFormat="1" applyFont="1" applyBorder="1" applyAlignment="1">
      <alignment horizontal="center" vertical="center" wrapText="1"/>
    </xf>
    <xf numFmtId="195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center" wrapText="1" indent="2"/>
    </xf>
    <xf numFmtId="0" fontId="27" fillId="0" borderId="0" xfId="0" applyFont="1"/>
    <xf numFmtId="0" fontId="101" fillId="0" borderId="0" xfId="0" applyFont="1"/>
    <xf numFmtId="3" fontId="27" fillId="0" borderId="0" xfId="0" applyNumberFormat="1" applyFont="1"/>
    <xf numFmtId="195" fontId="27" fillId="0" borderId="0" xfId="0" applyNumberFormat="1" applyFont="1"/>
    <xf numFmtId="195" fontId="4" fillId="0" borderId="0" xfId="0" applyNumberFormat="1" applyFont="1"/>
    <xf numFmtId="3" fontId="0" fillId="0" borderId="3" xfId="0" applyNumberFormat="1" applyBorder="1" applyAlignment="1">
      <alignment vertical="center"/>
    </xf>
    <xf numFmtId="0" fontId="103" fillId="0" borderId="0" xfId="0" applyFont="1" applyProtection="1">
      <protection hidden="1"/>
    </xf>
    <xf numFmtId="3" fontId="103" fillId="0" borderId="0" xfId="0" applyNumberFormat="1" applyFont="1" applyProtection="1">
      <protection hidden="1"/>
    </xf>
    <xf numFmtId="0" fontId="103" fillId="0" borderId="0" xfId="0" applyFont="1"/>
    <xf numFmtId="0" fontId="33" fillId="0" borderId="0" xfId="0" applyFont="1" applyAlignment="1">
      <alignment horizontal="center" vertical="center" wrapText="1"/>
    </xf>
    <xf numFmtId="198" fontId="104" fillId="0" borderId="0" xfId="3" applyNumberFormat="1" applyFont="1" applyBorder="1" applyProtection="1"/>
    <xf numFmtId="0" fontId="33" fillId="0" borderId="0" xfId="0" applyFont="1" applyAlignment="1">
      <alignment horizontal="center" wrapText="1"/>
    </xf>
    <xf numFmtId="171" fontId="0" fillId="0" borderId="0" xfId="0" applyNumberFormat="1" applyAlignment="1">
      <alignment horizontal="center" wrapText="1"/>
    </xf>
    <xf numFmtId="0" fontId="21" fillId="0" borderId="2" xfId="0" applyFont="1" applyBorder="1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0" borderId="2" xfId="0" quotePrefix="1" applyBorder="1" applyAlignment="1">
      <alignment horizontal="left" vertical="center" wrapText="1" indent="1"/>
    </xf>
    <xf numFmtId="3" fontId="0" fillId="0" borderId="3" xfId="0" applyNumberFormat="1" applyBorder="1" applyAlignment="1" applyProtection="1">
      <alignment vertical="center"/>
      <protection locked="0"/>
    </xf>
    <xf numFmtId="0" fontId="21" fillId="0" borderId="2" xfId="0" quotePrefix="1" applyFont="1" applyBorder="1" applyAlignment="1">
      <alignment horizontal="left" vertical="center" indent="1"/>
    </xf>
    <xf numFmtId="3" fontId="0" fillId="2" borderId="3" xfId="0" applyNumberFormat="1" applyFill="1" applyBorder="1" applyAlignment="1">
      <alignment vertical="center"/>
    </xf>
    <xf numFmtId="198" fontId="105" fillId="0" borderId="0" xfId="3" applyNumberFormat="1" applyFont="1" applyBorder="1" applyProtection="1"/>
    <xf numFmtId="0" fontId="21" fillId="0" borderId="2" xfId="0" quotePrefix="1" applyFont="1" applyBorder="1" applyAlignment="1">
      <alignment horizontal="center" vertical="center" wrapText="1"/>
    </xf>
    <xf numFmtId="0" fontId="106" fillId="0" borderId="0" xfId="0" applyFont="1"/>
    <xf numFmtId="3" fontId="0" fillId="4" borderId="1" xfId="0" applyNumberFormat="1" applyFill="1" applyBorder="1" applyAlignment="1">
      <alignment horizontal="right" vertical="center"/>
    </xf>
    <xf numFmtId="198" fontId="104" fillId="0" borderId="0" xfId="3" quotePrefix="1" applyNumberFormat="1" applyFont="1" applyBorder="1" applyAlignment="1" applyProtection="1">
      <alignment horizontal="left"/>
    </xf>
    <xf numFmtId="0" fontId="107" fillId="0" borderId="0" xfId="0" applyFont="1"/>
    <xf numFmtId="198" fontId="107" fillId="0" borderId="0" xfId="3" applyNumberFormat="1" applyFont="1" applyBorder="1" applyProtection="1"/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1" xfId="0" applyNumberFormat="1" applyBorder="1" applyProtection="1">
      <protection locked="0"/>
    </xf>
    <xf numFmtId="3" fontId="108" fillId="0" borderId="0" xfId="4" applyNumberFormat="1" applyFont="1" applyFill="1" applyBorder="1" applyAlignment="1" applyProtection="1">
      <alignment vertical="top"/>
    </xf>
    <xf numFmtId="0" fontId="108" fillId="0" borderId="0" xfId="4" applyNumberFormat="1" applyFont="1" applyFill="1" applyBorder="1" applyAlignment="1" applyProtection="1">
      <alignment vertical="top"/>
    </xf>
    <xf numFmtId="167" fontId="108" fillId="0" borderId="0" xfId="3" applyFont="1" applyFill="1" applyBorder="1" applyAlignment="1" applyProtection="1">
      <alignment vertical="top"/>
    </xf>
    <xf numFmtId="3" fontId="103" fillId="0" borderId="0" xfId="0" applyNumberFormat="1" applyFont="1" applyAlignment="1">
      <alignment vertical="center"/>
    </xf>
    <xf numFmtId="0" fontId="103" fillId="0" borderId="0" xfId="0" applyFont="1" applyAlignment="1">
      <alignment vertical="center"/>
    </xf>
    <xf numFmtId="167" fontId="103" fillId="0" borderId="0" xfId="3" applyFont="1" applyProtection="1"/>
    <xf numFmtId="167" fontId="103" fillId="0" borderId="0" xfId="3" applyFont="1" applyBorder="1" applyProtection="1"/>
    <xf numFmtId="3" fontId="102" fillId="0" borderId="0" xfId="0" applyNumberFormat="1" applyFont="1"/>
    <xf numFmtId="0" fontId="102" fillId="0" borderId="0" xfId="0" applyFont="1"/>
    <xf numFmtId="3" fontId="8" fillId="0" borderId="0" xfId="0" applyNumberFormat="1" applyFont="1" applyAlignment="1">
      <alignment vertical="center"/>
    </xf>
    <xf numFmtId="167" fontId="26" fillId="0" borderId="0" xfId="3" applyFont="1" applyAlignment="1">
      <alignment vertical="center"/>
    </xf>
    <xf numFmtId="167" fontId="26" fillId="0" borderId="0" xfId="3" applyFont="1" applyFill="1" applyAlignment="1">
      <alignment vertical="center"/>
    </xf>
    <xf numFmtId="167" fontId="26" fillId="0" borderId="0" xfId="3" applyFont="1"/>
    <xf numFmtId="167" fontId="26" fillId="0" borderId="0" xfId="3" applyFont="1" applyBorder="1" applyProtection="1"/>
    <xf numFmtId="3" fontId="5" fillId="0" borderId="0" xfId="0" applyNumberFormat="1" applyFont="1" applyAlignment="1">
      <alignment horizontal="center" vertical="center" wrapText="1"/>
    </xf>
    <xf numFmtId="0" fontId="96" fillId="0" borderId="0" xfId="0" applyFont="1" applyAlignment="1">
      <alignment vertical="center"/>
    </xf>
    <xf numFmtId="15" fontId="96" fillId="0" borderId="0" xfId="0" applyNumberFormat="1" applyFont="1"/>
    <xf numFmtId="0" fontId="109" fillId="0" borderId="0" xfId="0" applyFont="1"/>
    <xf numFmtId="3" fontId="109" fillId="0" borderId="0" xfId="0" applyNumberFormat="1" applyFont="1"/>
    <xf numFmtId="3" fontId="109" fillId="0" borderId="0" xfId="0" applyNumberFormat="1" applyFont="1" applyAlignment="1">
      <alignment horizontal="center" vertical="center"/>
    </xf>
    <xf numFmtId="0" fontId="110" fillId="0" borderId="0" xfId="0" applyFont="1"/>
    <xf numFmtId="170" fontId="103" fillId="0" borderId="0" xfId="3" applyNumberFormat="1" applyFont="1" applyAlignment="1" applyProtection="1">
      <alignment horizontal="center" vertical="center"/>
    </xf>
    <xf numFmtId="170" fontId="103" fillId="0" borderId="0" xfId="3" applyNumberFormat="1" applyFont="1" applyProtection="1"/>
    <xf numFmtId="3" fontId="15" fillId="0" borderId="0" xfId="4" applyNumberFormat="1" applyFont="1" applyFill="1" applyBorder="1" applyAlignment="1" applyProtection="1">
      <alignment horizontal="center" vertical="top"/>
    </xf>
    <xf numFmtId="195" fontId="13" fillId="6" borderId="1" xfId="4" applyNumberFormat="1" applyFont="1" applyFill="1" applyBorder="1" applyAlignment="1" applyProtection="1">
      <alignment horizontal="center" vertical="center" wrapText="1"/>
    </xf>
    <xf numFmtId="195" fontId="15" fillId="0" borderId="1" xfId="4" applyNumberFormat="1" applyFont="1" applyFill="1" applyBorder="1" applyAlignment="1" applyProtection="1">
      <alignment horizontal="center" vertical="center" wrapText="1"/>
    </xf>
    <xf numFmtId="195" fontId="15" fillId="0" borderId="1" xfId="4" applyNumberFormat="1" applyFont="1" applyFill="1" applyBorder="1" applyAlignment="1" applyProtection="1">
      <alignment horizontal="center" vertical="center" wrapText="1"/>
      <protection locked="0"/>
    </xf>
    <xf numFmtId="195" fontId="15" fillId="0" borderId="1" xfId="4" applyNumberFormat="1" applyFont="1" applyFill="1" applyBorder="1" applyAlignment="1" applyProtection="1">
      <alignment horizontal="center" vertical="top" wrapText="1"/>
      <protection locked="0"/>
    </xf>
    <xf numFmtId="195" fontId="15" fillId="6" borderId="1" xfId="4" applyNumberFormat="1" applyFont="1" applyFill="1" applyBorder="1" applyAlignment="1" applyProtection="1">
      <alignment horizontal="center" vertical="center" wrapText="1"/>
    </xf>
    <xf numFmtId="167" fontId="102" fillId="0" borderId="0" xfId="3" applyFont="1" applyProtection="1"/>
    <xf numFmtId="195" fontId="13" fillId="0" borderId="0" xfId="5" applyNumberFormat="1" applyFont="1" applyFill="1" applyBorder="1" applyAlignment="1" applyProtection="1">
      <alignment horizontal="center" vertical="center"/>
    </xf>
    <xf numFmtId="195" fontId="15" fillId="3" borderId="5" xfId="0" applyNumberFormat="1" applyFont="1" applyFill="1" applyBorder="1" applyAlignment="1">
      <alignment horizontal="center" vertical="center" wrapText="1"/>
    </xf>
    <xf numFmtId="195" fontId="13" fillId="0" borderId="1" xfId="5" applyNumberFormat="1" applyFont="1" applyFill="1" applyBorder="1" applyAlignment="1" applyProtection="1">
      <alignment horizontal="center" vertical="center" wrapText="1"/>
    </xf>
    <xf numFmtId="195" fontId="15" fillId="0" borderId="1" xfId="5" applyNumberFormat="1" applyFont="1" applyFill="1" applyBorder="1" applyAlignment="1" applyProtection="1">
      <alignment horizontal="center" vertical="center" wrapText="1"/>
    </xf>
    <xf numFmtId="195" fontId="4" fillId="0" borderId="0" xfId="0" applyNumberFormat="1" applyFont="1" applyAlignment="1">
      <alignment vertical="center"/>
    </xf>
    <xf numFmtId="195" fontId="8" fillId="0" borderId="0" xfId="0" applyNumberFormat="1" applyFont="1"/>
    <xf numFmtId="195" fontId="99" fillId="0" borderId="0" xfId="0" applyNumberFormat="1" applyFont="1"/>
    <xf numFmtId="195" fontId="100" fillId="0" borderId="0" xfId="3" applyNumberFormat="1" applyFont="1" applyFill="1" applyBorder="1" applyAlignment="1" applyProtection="1">
      <alignment horizontal="center" vertical="top"/>
    </xf>
    <xf numFmtId="195" fontId="100" fillId="0" borderId="0" xfId="3" applyNumberFormat="1" applyFont="1" applyFill="1" applyBorder="1" applyAlignment="1" applyProtection="1">
      <alignment vertical="top"/>
    </xf>
    <xf numFmtId="195" fontId="100" fillId="0" borderId="0" xfId="5" applyNumberFormat="1" applyFont="1" applyFill="1" applyBorder="1" applyAlignment="1" applyProtection="1">
      <alignment horizontal="center" vertical="top"/>
    </xf>
    <xf numFmtId="195" fontId="100" fillId="0" borderId="0" xfId="5" applyNumberFormat="1" applyFont="1" applyFill="1" applyBorder="1" applyAlignment="1" applyProtection="1">
      <alignment vertical="top"/>
    </xf>
    <xf numFmtId="195" fontId="15" fillId="0" borderId="0" xfId="5" applyNumberFormat="1" applyFont="1" applyFill="1" applyBorder="1" applyAlignment="1" applyProtection="1">
      <alignment vertical="top"/>
    </xf>
    <xf numFmtId="195" fontId="15" fillId="0" borderId="1" xfId="5" applyNumberFormat="1" applyFont="1" applyFill="1" applyBorder="1" applyAlignment="1" applyProtection="1">
      <alignment horizontal="center" vertical="center" wrapText="1"/>
      <protection locked="0"/>
    </xf>
    <xf numFmtId="195" fontId="14" fillId="0" borderId="0" xfId="0" applyNumberFormat="1" applyFont="1"/>
    <xf numFmtId="195" fontId="28" fillId="0" borderId="1" xfId="9" applyNumberFormat="1" applyFont="1" applyFill="1" applyBorder="1" applyAlignment="1" applyProtection="1">
      <alignment horizontal="center" vertical="center" wrapText="1"/>
    </xf>
    <xf numFmtId="195" fontId="28" fillId="0" borderId="0" xfId="9" applyNumberFormat="1" applyFont="1" applyFill="1" applyBorder="1" applyAlignment="1" applyProtection="1">
      <alignment vertical="top"/>
    </xf>
    <xf numFmtId="195" fontId="31" fillId="0" borderId="9" xfId="9" applyNumberFormat="1" applyFont="1" applyFill="1" applyBorder="1" applyAlignment="1" applyProtection="1">
      <alignment vertical="center"/>
    </xf>
    <xf numFmtId="195" fontId="28" fillId="3" borderId="5" xfId="0" applyNumberFormat="1" applyFont="1" applyFill="1" applyBorder="1" applyAlignment="1">
      <alignment horizontal="center" vertical="center" wrapText="1"/>
    </xf>
    <xf numFmtId="195" fontId="31" fillId="0" borderId="1" xfId="9" applyNumberFormat="1" applyFont="1" applyFill="1" applyBorder="1" applyAlignment="1" applyProtection="1">
      <alignment horizontal="center" vertical="center" wrapText="1"/>
    </xf>
    <xf numFmtId="195" fontId="31" fillId="20" borderId="1" xfId="9" applyNumberFormat="1" applyFont="1" applyFill="1" applyBorder="1" applyAlignment="1" applyProtection="1">
      <alignment horizontal="center" vertical="center" wrapText="1"/>
    </xf>
    <xf numFmtId="195" fontId="28" fillId="0" borderId="0" xfId="9" applyNumberFormat="1" applyFont="1" applyFill="1" applyBorder="1" applyAlignment="1" applyProtection="1">
      <alignment horizontal="center" vertical="center" wrapText="1"/>
    </xf>
    <xf numFmtId="195" fontId="15" fillId="0" borderId="0" xfId="9" applyNumberFormat="1" applyFont="1" applyFill="1" applyBorder="1" applyAlignment="1" applyProtection="1">
      <alignment vertical="top"/>
    </xf>
    <xf numFmtId="195" fontId="31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28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5" fillId="0" borderId="0" xfId="0" applyNumberFormat="1" applyFont="1" applyAlignment="1">
      <alignment horizontal="center" vertical="center" wrapText="1"/>
    </xf>
    <xf numFmtId="195" fontId="28" fillId="3" borderId="1" xfId="0" applyNumberFormat="1" applyFont="1" applyFill="1" applyBorder="1" applyAlignment="1">
      <alignment horizontal="center" vertical="center" wrapText="1"/>
    </xf>
    <xf numFmtId="195" fontId="28" fillId="0" borderId="0" xfId="9" applyNumberFormat="1" applyFont="1" applyFill="1" applyBorder="1" applyAlignment="1" applyProtection="1">
      <alignment horizontal="left" vertical="center" wrapText="1" indent="1"/>
    </xf>
    <xf numFmtId="195" fontId="28" fillId="0" borderId="0" xfId="10" applyNumberFormat="1" applyFont="1" applyFill="1" applyBorder="1" applyAlignment="1" applyProtection="1">
      <alignment horizontal="center" vertical="center" wrapText="1"/>
    </xf>
    <xf numFmtId="195" fontId="8" fillId="0" borderId="0" xfId="0" applyNumberFormat="1" applyFont="1" applyAlignment="1">
      <alignment vertical="center"/>
    </xf>
    <xf numFmtId="195" fontId="28" fillId="0" borderId="0" xfId="9" applyNumberFormat="1" applyFont="1" applyFill="1" applyBorder="1" applyAlignment="1" applyProtection="1">
      <alignment horizontal="center" vertical="center"/>
    </xf>
    <xf numFmtId="195" fontId="31" fillId="0" borderId="0" xfId="9" applyNumberFormat="1" applyFont="1" applyFill="1" applyBorder="1" applyAlignment="1" applyProtection="1">
      <alignment horizontal="center" vertical="center"/>
    </xf>
    <xf numFmtId="195" fontId="12" fillId="0" borderId="1" xfId="0" applyNumberFormat="1" applyFont="1" applyBorder="1" applyAlignment="1" applyProtection="1">
      <alignment vertical="center"/>
      <protection locked="0"/>
    </xf>
    <xf numFmtId="195" fontId="65" fillId="0" borderId="0" xfId="0" applyNumberFormat="1" applyFont="1"/>
    <xf numFmtId="195" fontId="40" fillId="0" borderId="0" xfId="0" applyNumberFormat="1" applyFont="1" applyAlignment="1">
      <alignment horizontal="centerContinuous"/>
    </xf>
    <xf numFmtId="195" fontId="26" fillId="0" borderId="0" xfId="0" applyNumberFormat="1" applyFont="1" applyAlignment="1">
      <alignment horizontal="centerContinuous"/>
    </xf>
    <xf numFmtId="195" fontId="33" fillId="3" borderId="1" xfId="0" applyNumberFormat="1" applyFont="1" applyFill="1" applyBorder="1" applyAlignment="1">
      <alignment horizontal="center" vertical="center" wrapText="1"/>
    </xf>
    <xf numFmtId="195" fontId="8" fillId="0" borderId="1" xfId="0" applyNumberFormat="1" applyFont="1" applyBorder="1" applyAlignment="1">
      <alignment vertical="center"/>
    </xf>
    <xf numFmtId="195" fontId="8" fillId="3" borderId="1" xfId="0" applyNumberFormat="1" applyFont="1" applyFill="1" applyBorder="1" applyAlignment="1">
      <alignment horizontal="center" vertical="center" wrapText="1"/>
    </xf>
    <xf numFmtId="195" fontId="5" fillId="3" borderId="1" xfId="0" applyNumberFormat="1" applyFont="1" applyFill="1" applyBorder="1" applyAlignment="1">
      <alignment horizontal="center" vertical="center" wrapText="1"/>
    </xf>
    <xf numFmtId="195" fontId="8" fillId="0" borderId="1" xfId="0" applyNumberFormat="1" applyFont="1" applyBorder="1" applyAlignment="1" applyProtection="1">
      <alignment horizontal="right" vertical="center"/>
      <protection locked="0"/>
    </xf>
    <xf numFmtId="195" fontId="39" fillId="0" borderId="0" xfId="0" applyNumberFormat="1" applyFont="1" applyAlignment="1">
      <alignment horizontal="centerContinuous"/>
    </xf>
    <xf numFmtId="195" fontId="11" fillId="0" borderId="0" xfId="0" applyNumberFormat="1" applyFont="1" applyAlignment="1">
      <alignment horizontal="centerContinuous"/>
    </xf>
    <xf numFmtId="195" fontId="5" fillId="0" borderId="0" xfId="0" applyNumberFormat="1" applyFont="1"/>
    <xf numFmtId="195" fontId="40" fillId="0" borderId="0" xfId="0" applyNumberFormat="1" applyFont="1"/>
    <xf numFmtId="195" fontId="39" fillId="0" borderId="0" xfId="0" applyNumberFormat="1" applyFont="1" applyAlignment="1">
      <alignment horizontal="center"/>
    </xf>
    <xf numFmtId="195" fontId="29" fillId="0" borderId="0" xfId="0" applyNumberFormat="1" applyFont="1" applyAlignment="1">
      <alignment horizontal="center"/>
    </xf>
    <xf numFmtId="195" fontId="26" fillId="0" borderId="0" xfId="0" applyNumberFormat="1" applyFont="1"/>
    <xf numFmtId="195" fontId="8" fillId="0" borderId="0" xfId="0" applyNumberFormat="1" applyFont="1" applyAlignment="1">
      <alignment vertical="top"/>
    </xf>
    <xf numFmtId="195" fontId="14" fillId="0" borderId="0" xfId="0" applyNumberFormat="1" applyFont="1" applyAlignment="1">
      <alignment vertical="center"/>
    </xf>
    <xf numFmtId="195" fontId="6" fillId="0" borderId="1" xfId="0" applyNumberFormat="1" applyFont="1" applyBorder="1" applyAlignment="1" applyProtection="1">
      <alignment vertical="center" wrapText="1"/>
      <protection locked="0"/>
    </xf>
    <xf numFmtId="195" fontId="0" fillId="0" borderId="1" xfId="0" applyNumberFormat="1" applyBorder="1" applyAlignment="1" applyProtection="1">
      <alignment vertical="center" wrapText="1"/>
      <protection locked="0"/>
    </xf>
    <xf numFmtId="195" fontId="12" fillId="0" borderId="0" xfId="0" applyNumberFormat="1" applyFont="1" applyAlignment="1">
      <alignment vertical="center"/>
    </xf>
    <xf numFmtId="195" fontId="6" fillId="0" borderId="1" xfId="0" applyNumberFormat="1" applyFont="1" applyBorder="1" applyAlignment="1" applyProtection="1">
      <alignment horizontal="center" vertical="center" wrapText="1"/>
      <protection locked="0"/>
    </xf>
    <xf numFmtId="195" fontId="0" fillId="0" borderId="1" xfId="0" applyNumberFormat="1" applyBorder="1" applyAlignment="1" applyProtection="1">
      <alignment horizontal="right" vertical="center" wrapText="1"/>
      <protection locked="0"/>
    </xf>
    <xf numFmtId="195" fontId="0" fillId="0" borderId="1" xfId="0" applyNumberFormat="1" applyBorder="1" applyAlignment="1">
      <alignment vertical="center"/>
    </xf>
    <xf numFmtId="195" fontId="4" fillId="0" borderId="1" xfId="0" applyNumberFormat="1" applyFont="1" applyBorder="1" applyAlignment="1">
      <alignment vertical="center"/>
    </xf>
    <xf numFmtId="195" fontId="0" fillId="0" borderId="1" xfId="0" applyNumberFormat="1" applyBorder="1" applyAlignment="1" applyProtection="1">
      <alignment horizontal="right" vertical="center"/>
      <protection locked="0"/>
    </xf>
    <xf numFmtId="195" fontId="6" fillId="0" borderId="1" xfId="0" applyNumberFormat="1" applyFont="1" applyBorder="1" applyAlignment="1">
      <alignment horizontal="right" vertical="center" wrapText="1"/>
    </xf>
    <xf numFmtId="195" fontId="12" fillId="0" borderId="1" xfId="0" applyNumberFormat="1" applyFont="1" applyBorder="1" applyAlignment="1">
      <alignment vertical="center"/>
    </xf>
    <xf numFmtId="195" fontId="12" fillId="0" borderId="0" xfId="0" applyNumberFormat="1" applyFont="1"/>
    <xf numFmtId="195" fontId="32" fillId="3" borderId="1" xfId="0" applyNumberFormat="1" applyFont="1" applyFill="1" applyBorder="1" applyAlignment="1">
      <alignment vertical="center"/>
    </xf>
    <xf numFmtId="195" fontId="32" fillId="0" borderId="0" xfId="0" applyNumberFormat="1" applyFont="1"/>
    <xf numFmtId="195" fontId="12" fillId="3" borderId="1" xfId="0" applyNumberFormat="1" applyFont="1" applyFill="1" applyBorder="1" applyAlignment="1">
      <alignment vertical="center"/>
    </xf>
    <xf numFmtId="195" fontId="12" fillId="3" borderId="1" xfId="2" applyNumberFormat="1" applyFont="1" applyFill="1" applyBorder="1" applyAlignment="1" applyProtection="1">
      <alignment vertical="center"/>
    </xf>
    <xf numFmtId="195" fontId="12" fillId="3" borderId="1" xfId="0" applyNumberFormat="1" applyFont="1" applyFill="1" applyBorder="1" applyAlignment="1" applyProtection="1">
      <alignment vertical="center"/>
      <protection locked="0"/>
    </xf>
    <xf numFmtId="195" fontId="12" fillId="3" borderId="1" xfId="2" applyNumberFormat="1" applyFont="1" applyFill="1" applyBorder="1" applyAlignment="1" applyProtection="1">
      <alignment vertical="center"/>
      <protection locked="0"/>
    </xf>
    <xf numFmtId="195" fontId="102" fillId="0" borderId="0" xfId="0" applyNumberFormat="1" applyFont="1"/>
    <xf numFmtId="0" fontId="41" fillId="0" borderId="0" xfId="4" applyNumberFormat="1" applyFont="1" applyFill="1" applyBorder="1" applyAlignment="1" applyProtection="1">
      <alignment horizontal="center" vertical="center"/>
    </xf>
    <xf numFmtId="3" fontId="108" fillId="0" borderId="0" xfId="4" applyNumberFormat="1" applyFont="1" applyFill="1" applyBorder="1" applyAlignment="1" applyProtection="1">
      <alignment horizontal="center" vertical="center"/>
    </xf>
    <xf numFmtId="167" fontId="15" fillId="0" borderId="0" xfId="3" applyFont="1" applyFill="1" applyBorder="1" applyAlignment="1" applyProtection="1">
      <alignment horizontal="center" vertical="center"/>
    </xf>
    <xf numFmtId="3" fontId="35" fillId="3" borderId="1" xfId="1291" applyNumberFormat="1" applyFont="1" applyFill="1" applyBorder="1" applyAlignment="1">
      <alignment horizontal="center" vertical="center" textRotation="90" wrapText="1"/>
    </xf>
    <xf numFmtId="49" fontId="18" fillId="0" borderId="1" xfId="1291" applyNumberFormat="1" applyFont="1" applyBorder="1" applyAlignment="1">
      <alignment horizontal="center" vertical="center"/>
    </xf>
    <xf numFmtId="0" fontId="18" fillId="0" borderId="1" xfId="1291" applyFont="1" applyBorder="1" applyAlignment="1">
      <alignment horizontal="left" vertical="center" wrapText="1" indent="1"/>
    </xf>
    <xf numFmtId="195" fontId="18" fillId="0" borderId="1" xfId="1291" applyNumberFormat="1" applyFont="1" applyBorder="1" applyAlignment="1">
      <alignment vertical="center"/>
    </xf>
    <xf numFmtId="49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 indent="1"/>
    </xf>
    <xf numFmtId="195" fontId="35" fillId="0" borderId="1" xfId="0" applyNumberFormat="1" applyFont="1" applyBorder="1" applyAlignment="1">
      <alignment vertical="center"/>
    </xf>
    <xf numFmtId="49" fontId="35" fillId="0" borderId="1" xfId="1291" applyNumberFormat="1" applyFont="1" applyBorder="1" applyAlignment="1">
      <alignment horizontal="center" vertical="center"/>
    </xf>
    <xf numFmtId="0" fontId="35" fillId="0" borderId="1" xfId="1291" applyFont="1" applyBorder="1" applyAlignment="1">
      <alignment horizontal="left" vertical="center" wrapText="1" indent="1"/>
    </xf>
    <xf numFmtId="195" fontId="35" fillId="0" borderId="1" xfId="1291" applyNumberFormat="1" applyFont="1" applyBorder="1" applyAlignment="1">
      <alignment vertical="center"/>
    </xf>
    <xf numFmtId="49" fontId="18" fillId="0" borderId="1" xfId="1291" quotePrefix="1" applyNumberFormat="1" applyFont="1" applyBorder="1" applyAlignment="1">
      <alignment horizontal="center" vertical="center"/>
    </xf>
    <xf numFmtId="3" fontId="18" fillId="0" borderId="1" xfId="1291" applyNumberFormat="1" applyFont="1" applyBorder="1" applyAlignment="1">
      <alignment horizontal="left" vertical="center" indent="1"/>
    </xf>
    <xf numFmtId="172" fontId="18" fillId="0" borderId="1" xfId="2" applyNumberFormat="1" applyFont="1" applyFill="1" applyBorder="1" applyAlignment="1" applyProtection="1">
      <alignment horizontal="center" vertical="center" wrapText="1"/>
    </xf>
    <xf numFmtId="49" fontId="18" fillId="0" borderId="1" xfId="0" quotePrefix="1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left" vertical="center" indent="1"/>
    </xf>
    <xf numFmtId="195" fontId="18" fillId="0" borderId="1" xfId="1291" applyNumberFormat="1" applyFont="1" applyBorder="1" applyAlignment="1">
      <alignment horizontal="center" vertical="center"/>
    </xf>
    <xf numFmtId="172" fontId="35" fillId="0" borderId="1" xfId="2" applyNumberFormat="1" applyFont="1" applyFill="1" applyBorder="1" applyAlignment="1" applyProtection="1">
      <alignment horizontal="center" vertical="center"/>
    </xf>
    <xf numFmtId="195" fontId="35" fillId="0" borderId="1" xfId="1291" applyNumberFormat="1" applyFont="1" applyBorder="1" applyAlignment="1">
      <alignment horizontal="center" vertical="center"/>
    </xf>
    <xf numFmtId="3" fontId="17" fillId="0" borderId="0" xfId="10" applyNumberFormat="1" applyFont="1" applyAlignment="1" applyProtection="1">
      <alignment horizontal="center" vertical="center"/>
    </xf>
    <xf numFmtId="9" fontId="35" fillId="0" borderId="1" xfId="2" applyFont="1" applyFill="1" applyBorder="1" applyAlignment="1" applyProtection="1">
      <alignment horizontal="center" vertical="center" wrapText="1"/>
    </xf>
    <xf numFmtId="0" fontId="18" fillId="0" borderId="0" xfId="1291" applyFont="1"/>
    <xf numFmtId="0" fontId="35" fillId="0" borderId="0" xfId="1291" applyFont="1"/>
    <xf numFmtId="170" fontId="18" fillId="0" borderId="0" xfId="3" applyNumberFormat="1" applyFont="1" applyFill="1" applyProtection="1"/>
    <xf numFmtId="170" fontId="35" fillId="0" borderId="0" xfId="3" applyNumberFormat="1" applyFont="1" applyFill="1" applyProtection="1"/>
    <xf numFmtId="196" fontId="23" fillId="0" borderId="9" xfId="4" applyNumberFormat="1" applyFont="1" applyFill="1" applyBorder="1" applyAlignment="1" applyProtection="1">
      <alignment horizontal="right" wrapText="1"/>
    </xf>
    <xf numFmtId="196" fontId="25" fillId="0" borderId="9" xfId="4" applyNumberFormat="1" applyFont="1" applyFill="1" applyBorder="1" applyAlignment="1" applyProtection="1">
      <alignment wrapText="1"/>
    </xf>
    <xf numFmtId="3" fontId="89" fillId="0" borderId="0" xfId="0" applyNumberFormat="1" applyFont="1" applyAlignment="1">
      <alignment horizontal="center" vertical="center"/>
    </xf>
    <xf numFmtId="0" fontId="35" fillId="0" borderId="0" xfId="1291" applyFont="1" applyAlignment="1">
      <alignment vertical="center"/>
    </xf>
    <xf numFmtId="170" fontId="35" fillId="0" borderId="0" xfId="3" applyNumberFormat="1" applyFont="1" applyAlignment="1" applyProtection="1">
      <alignment vertical="center"/>
    </xf>
    <xf numFmtId="0" fontId="35" fillId="0" borderId="0" xfId="1291" applyFont="1" applyAlignment="1">
      <alignment horizontal="center" vertical="center"/>
    </xf>
    <xf numFmtId="170" fontId="35" fillId="0" borderId="0" xfId="3" applyNumberFormat="1" applyFont="1" applyProtection="1"/>
    <xf numFmtId="195" fontId="35" fillId="0" borderId="1" xfId="7" applyNumberFormat="1" applyFont="1" applyFill="1" applyBorder="1" applyAlignment="1" applyProtection="1">
      <alignment horizontal="right" vertical="center" wrapText="1"/>
    </xf>
    <xf numFmtId="195" fontId="35" fillId="0" borderId="1" xfId="7" applyNumberFormat="1" applyFont="1" applyFill="1" applyBorder="1" applyAlignment="1" applyProtection="1">
      <alignment vertical="center" wrapText="1"/>
      <protection locked="0"/>
    </xf>
    <xf numFmtId="0" fontId="35" fillId="0" borderId="0" xfId="0" applyFont="1"/>
    <xf numFmtId="170" fontId="35" fillId="0" borderId="0" xfId="0" applyNumberFormat="1" applyFont="1"/>
    <xf numFmtId="195" fontId="18" fillId="0" borderId="1" xfId="7" applyNumberFormat="1" applyFont="1" applyFill="1" applyBorder="1" applyAlignment="1" applyProtection="1">
      <alignment horizontal="right" vertical="center" wrapText="1"/>
    </xf>
    <xf numFmtId="195" fontId="18" fillId="0" borderId="1" xfId="7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195" fontId="35" fillId="0" borderId="1" xfId="7" applyNumberFormat="1" applyFont="1" applyFill="1" applyBorder="1" applyAlignment="1" applyProtection="1">
      <alignment vertical="center" wrapText="1"/>
    </xf>
    <xf numFmtId="195" fontId="18" fillId="0" borderId="1" xfId="7" applyNumberFormat="1" applyFont="1" applyFill="1" applyBorder="1" applyAlignment="1" applyProtection="1">
      <alignment vertical="center" wrapText="1"/>
    </xf>
    <xf numFmtId="49" fontId="35" fillId="0" borderId="0" xfId="0" applyNumberFormat="1" applyFont="1"/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0" fontId="13" fillId="0" borderId="0" xfId="5" applyNumberFormat="1" applyFont="1" applyFill="1" applyBorder="1" applyAlignment="1" applyProtection="1">
      <alignment horizontal="center" vertical="top"/>
    </xf>
    <xf numFmtId="0" fontId="42" fillId="0" borderId="0" xfId="4" quotePrefix="1" applyNumberFormat="1" applyFont="1" applyFill="1" applyBorder="1" applyAlignment="1" applyProtection="1">
      <alignment horizontal="center"/>
      <protection locked="0"/>
    </xf>
    <xf numFmtId="9" fontId="35" fillId="0" borderId="1" xfId="0" applyNumberFormat="1" applyFont="1" applyBorder="1" applyAlignment="1" applyProtection="1">
      <alignment vertical="center"/>
      <protection locked="0"/>
    </xf>
    <xf numFmtId="9" fontId="35" fillId="0" borderId="1" xfId="0" applyNumberFormat="1" applyFont="1" applyBorder="1" applyAlignment="1">
      <alignment vertical="center"/>
    </xf>
    <xf numFmtId="0" fontId="111" fillId="0" borderId="0" xfId="0" applyFont="1" applyAlignment="1">
      <alignment horizontal="center"/>
    </xf>
    <xf numFmtId="3" fontId="4" fillId="0" borderId="1" xfId="0" quotePrefix="1" applyNumberFormat="1" applyFont="1" applyBorder="1" applyAlignment="1" applyProtection="1">
      <alignment horizontal="center" vertical="center"/>
      <protection locked="0"/>
    </xf>
    <xf numFmtId="3" fontId="28" fillId="0" borderId="1" xfId="9" applyNumberFormat="1" applyFont="1" applyFill="1" applyBorder="1" applyAlignment="1" applyProtection="1">
      <alignment horizontal="center" vertical="center" wrapText="1"/>
      <protection locked="0"/>
    </xf>
    <xf numFmtId="0" fontId="28" fillId="0" borderId="0" xfId="9" applyNumberFormat="1" applyFont="1" applyFill="1" applyBorder="1" applyAlignment="1" applyProtection="1">
      <alignment horizontal="center" vertical="center"/>
      <protection locked="0"/>
    </xf>
    <xf numFmtId="3" fontId="4" fillId="0" borderId="1" xfId="0" quotePrefix="1" applyNumberFormat="1" applyFont="1" applyBorder="1" applyAlignment="1" applyProtection="1">
      <alignment horizontal="right" vertical="center"/>
      <protection locked="0"/>
    </xf>
    <xf numFmtId="3" fontId="22" fillId="0" borderId="1" xfId="0" applyNumberFormat="1" applyFont="1" applyBorder="1" applyAlignment="1" applyProtection="1">
      <alignment horizontal="center" vertical="center" wrapText="1"/>
      <protection locked="0"/>
    </xf>
    <xf numFmtId="3" fontId="17" fillId="0" borderId="1" xfId="0" applyNumberFormat="1" applyFont="1" applyBorder="1" applyAlignment="1" applyProtection="1">
      <alignment vertical="center" wrapText="1"/>
      <protection locked="0"/>
    </xf>
    <xf numFmtId="0" fontId="88" fillId="0" borderId="0" xfId="4" applyNumberFormat="1" applyFont="1" applyFill="1" applyBorder="1" applyAlignment="1" applyProtection="1">
      <alignment horizontal="center" vertical="center" wrapText="1"/>
    </xf>
    <xf numFmtId="0" fontId="88" fillId="0" borderId="0" xfId="4" applyNumberFormat="1" applyFont="1" applyFill="1" applyBorder="1" applyAlignment="1" applyProtection="1">
      <alignment horizontal="center" vertical="center"/>
    </xf>
    <xf numFmtId="0" fontId="30" fillId="0" borderId="0" xfId="0" applyFont="1" applyAlignment="1">
      <alignment horizontal="center" vertical="center" wrapText="1"/>
    </xf>
    <xf numFmtId="3" fontId="30" fillId="3" borderId="5" xfId="0" applyNumberFormat="1" applyFont="1" applyFill="1" applyBorder="1" applyAlignment="1">
      <alignment horizontal="center" vertical="center" wrapText="1"/>
    </xf>
    <xf numFmtId="3" fontId="30" fillId="3" borderId="12" xfId="0" applyNumberFormat="1" applyFont="1" applyFill="1" applyBorder="1" applyAlignment="1">
      <alignment horizontal="center" vertical="center" wrapText="1"/>
    </xf>
    <xf numFmtId="3" fontId="30" fillId="3" borderId="3" xfId="0" applyNumberFormat="1" applyFont="1" applyFill="1" applyBorder="1" applyAlignment="1">
      <alignment horizontal="center" vertical="center" wrapText="1"/>
    </xf>
    <xf numFmtId="3" fontId="30" fillId="3" borderId="7" xfId="0" applyNumberFormat="1" applyFont="1" applyFill="1" applyBorder="1" applyAlignment="1">
      <alignment horizontal="center" vertical="center" wrapText="1"/>
    </xf>
    <xf numFmtId="3" fontId="30" fillId="3" borderId="11" xfId="0" applyNumberFormat="1" applyFont="1" applyFill="1" applyBorder="1" applyAlignment="1">
      <alignment horizontal="center" vertical="center" wrapText="1"/>
    </xf>
    <xf numFmtId="3" fontId="30" fillId="3" borderId="15" xfId="0" applyNumberFormat="1" applyFont="1" applyFill="1" applyBorder="1" applyAlignment="1">
      <alignment horizontal="center" vertical="center" wrapText="1"/>
    </xf>
    <xf numFmtId="3" fontId="30" fillId="3" borderId="10" xfId="0" applyNumberFormat="1" applyFont="1" applyFill="1" applyBorder="1" applyAlignment="1">
      <alignment horizontal="center" vertical="center" wrapText="1"/>
    </xf>
    <xf numFmtId="3" fontId="30" fillId="3" borderId="0" xfId="0" applyNumberFormat="1" applyFont="1" applyFill="1" applyAlignment="1">
      <alignment horizontal="center" vertical="center" wrapText="1"/>
    </xf>
    <xf numFmtId="3" fontId="30" fillId="3" borderId="13" xfId="0" applyNumberFormat="1" applyFont="1" applyFill="1" applyBorder="1" applyAlignment="1">
      <alignment horizontal="center" vertical="center" wrapText="1"/>
    </xf>
    <xf numFmtId="3" fontId="30" fillId="3" borderId="2" xfId="0" applyNumberFormat="1" applyFont="1" applyFill="1" applyBorder="1" applyAlignment="1">
      <alignment horizontal="center" vertical="center" wrapText="1"/>
    </xf>
    <xf numFmtId="3" fontId="30" fillId="3" borderId="9" xfId="0" applyNumberFormat="1" applyFont="1" applyFill="1" applyBorder="1" applyAlignment="1">
      <alignment horizontal="center" vertical="center" wrapText="1"/>
    </xf>
    <xf numFmtId="3" fontId="30" fillId="3" borderId="14" xfId="0" applyNumberFormat="1" applyFont="1" applyFill="1" applyBorder="1" applyAlignment="1">
      <alignment horizontal="center" vertical="center" wrapText="1"/>
    </xf>
    <xf numFmtId="3" fontId="30" fillId="3" borderId="4" xfId="0" applyNumberFormat="1" applyFont="1" applyFill="1" applyBorder="1" applyAlignment="1">
      <alignment horizontal="center" vertical="center" wrapText="1"/>
    </xf>
    <xf numFmtId="3" fontId="30" fillId="3" borderId="8" xfId="0" applyNumberFormat="1" applyFont="1" applyFill="1" applyBorder="1" applyAlignment="1">
      <alignment horizontal="center" vertical="center" wrapText="1"/>
    </xf>
    <xf numFmtId="3" fontId="30" fillId="3" borderId="6" xfId="0" applyNumberFormat="1" applyFont="1" applyFill="1" applyBorder="1" applyAlignment="1">
      <alignment horizontal="center" vertical="center" wrapText="1"/>
    </xf>
    <xf numFmtId="3" fontId="30" fillId="3" borderId="1" xfId="0" applyNumberFormat="1" applyFont="1" applyFill="1" applyBorder="1" applyAlignment="1">
      <alignment horizontal="center" vertical="center" wrapText="1"/>
    </xf>
    <xf numFmtId="196" fontId="28" fillId="0" borderId="9" xfId="4" applyNumberFormat="1" applyFont="1" applyFill="1" applyBorder="1" applyAlignment="1" applyProtection="1">
      <alignment horizontal="center" wrapText="1"/>
      <protection locked="0"/>
    </xf>
    <xf numFmtId="0" fontId="3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96" fontId="71" fillId="0" borderId="9" xfId="4" applyNumberFormat="1" applyFont="1" applyFill="1" applyBorder="1" applyAlignment="1" applyProtection="1">
      <alignment horizontal="center" wrapText="1"/>
    </xf>
    <xf numFmtId="3" fontId="12" fillId="3" borderId="1" xfId="0" applyNumberFormat="1" applyFont="1" applyFill="1" applyBorder="1" applyAlignment="1">
      <alignment horizontal="center" vertical="center" textRotation="90" wrapText="1"/>
    </xf>
    <xf numFmtId="3" fontId="12" fillId="3" borderId="1" xfId="0" applyNumberFormat="1" applyFont="1" applyFill="1" applyBorder="1" applyAlignment="1">
      <alignment horizontal="center" vertical="center"/>
    </xf>
    <xf numFmtId="3" fontId="12" fillId="3" borderId="5" xfId="0" applyNumberFormat="1" applyFont="1" applyFill="1" applyBorder="1" applyAlignment="1">
      <alignment horizontal="center" vertical="center" textRotation="90" wrapText="1"/>
    </xf>
    <xf numFmtId="3" fontId="12" fillId="3" borderId="3" xfId="0" applyNumberFormat="1" applyFont="1" applyFill="1" applyBorder="1" applyAlignment="1">
      <alignment horizontal="center" vertical="center" textRotation="90" wrapText="1"/>
    </xf>
    <xf numFmtId="3" fontId="12" fillId="3" borderId="1" xfId="0" applyNumberFormat="1" applyFont="1" applyFill="1" applyBorder="1" applyAlignment="1">
      <alignment horizontal="center" vertical="center" wrapText="1"/>
    </xf>
    <xf numFmtId="3" fontId="12" fillId="3" borderId="5" xfId="0" applyNumberFormat="1" applyFont="1" applyFill="1" applyBorder="1" applyAlignment="1">
      <alignment horizontal="center" vertical="center"/>
    </xf>
    <xf numFmtId="3" fontId="12" fillId="3" borderId="12" xfId="0" applyNumberFormat="1" applyFont="1" applyFill="1" applyBorder="1" applyAlignment="1">
      <alignment horizontal="center" vertical="center"/>
    </xf>
    <xf numFmtId="3" fontId="12" fillId="3" borderId="3" xfId="0" applyNumberFormat="1" applyFont="1" applyFill="1" applyBorder="1" applyAlignment="1">
      <alignment horizontal="center" vertical="center"/>
    </xf>
    <xf numFmtId="3" fontId="12" fillId="3" borderId="5" xfId="0" applyNumberFormat="1" applyFont="1" applyFill="1" applyBorder="1" applyAlignment="1">
      <alignment horizontal="center" vertical="center" wrapText="1"/>
    </xf>
    <xf numFmtId="3" fontId="12" fillId="3" borderId="12" xfId="0" applyNumberFormat="1" applyFont="1" applyFill="1" applyBorder="1" applyAlignment="1">
      <alignment horizontal="center" vertical="center" wrapText="1"/>
    </xf>
    <xf numFmtId="3" fontId="12" fillId="3" borderId="3" xfId="0" applyNumberFormat="1" applyFont="1" applyFill="1" applyBorder="1" applyAlignment="1">
      <alignment horizontal="center" vertical="center" wrapText="1"/>
    </xf>
    <xf numFmtId="3" fontId="12" fillId="3" borderId="4" xfId="0" applyNumberFormat="1" applyFont="1" applyFill="1" applyBorder="1" applyAlignment="1">
      <alignment horizontal="center" vertical="center" wrapText="1"/>
    </xf>
    <xf numFmtId="3" fontId="12" fillId="3" borderId="6" xfId="0" applyNumberFormat="1" applyFont="1" applyFill="1" applyBorder="1" applyAlignment="1">
      <alignment horizontal="center" vertical="center" wrapText="1"/>
    </xf>
    <xf numFmtId="196" fontId="15" fillId="0" borderId="9" xfId="4" applyNumberFormat="1" applyFont="1" applyFill="1" applyBorder="1" applyAlignment="1" applyProtection="1">
      <alignment horizontal="center" wrapText="1"/>
    </xf>
    <xf numFmtId="195" fontId="33" fillId="3" borderId="7" xfId="0" applyNumberFormat="1" applyFont="1" applyFill="1" applyBorder="1" applyAlignment="1">
      <alignment horizontal="center" vertical="center" wrapText="1"/>
    </xf>
    <xf numFmtId="195" fontId="33" fillId="3" borderId="15" xfId="0" applyNumberFormat="1" applyFont="1" applyFill="1" applyBorder="1" applyAlignment="1">
      <alignment horizontal="center" vertical="center" wrapText="1"/>
    </xf>
    <xf numFmtId="195" fontId="33" fillId="3" borderId="2" xfId="0" applyNumberFormat="1" applyFont="1" applyFill="1" applyBorder="1" applyAlignment="1">
      <alignment horizontal="center" vertical="center" wrapText="1"/>
    </xf>
    <xf numFmtId="195" fontId="33" fillId="3" borderId="14" xfId="0" applyNumberFormat="1" applyFont="1" applyFill="1" applyBorder="1" applyAlignment="1">
      <alignment horizontal="center" vertical="center" wrapText="1"/>
    </xf>
    <xf numFmtId="3" fontId="33" fillId="3" borderId="5" xfId="0" applyNumberFormat="1" applyFont="1" applyFill="1" applyBorder="1" applyAlignment="1">
      <alignment horizontal="center" vertical="center" wrapText="1"/>
    </xf>
    <xf numFmtId="3" fontId="33" fillId="3" borderId="12" xfId="0" applyNumberFormat="1" applyFont="1" applyFill="1" applyBorder="1" applyAlignment="1">
      <alignment horizontal="center" vertical="center" wrapText="1"/>
    </xf>
    <xf numFmtId="3" fontId="33" fillId="3" borderId="3" xfId="0" applyNumberFormat="1" applyFont="1" applyFill="1" applyBorder="1" applyAlignment="1">
      <alignment horizontal="center" vertical="center" wrapText="1"/>
    </xf>
    <xf numFmtId="195" fontId="33" fillId="3" borderId="5" xfId="0" applyNumberFormat="1" applyFont="1" applyFill="1" applyBorder="1" applyAlignment="1">
      <alignment horizontal="center" vertical="center" wrapText="1"/>
    </xf>
    <xf numFmtId="195" fontId="33" fillId="3" borderId="12" xfId="0" applyNumberFormat="1" applyFont="1" applyFill="1" applyBorder="1" applyAlignment="1">
      <alignment horizontal="center" vertical="center" wrapText="1"/>
    </xf>
    <xf numFmtId="195" fontId="33" fillId="3" borderId="3" xfId="0" applyNumberFormat="1" applyFont="1" applyFill="1" applyBorder="1" applyAlignment="1">
      <alignment horizontal="center" vertical="center" wrapText="1"/>
    </xf>
    <xf numFmtId="195" fontId="33" fillId="3" borderId="4" xfId="0" applyNumberFormat="1" applyFont="1" applyFill="1" applyBorder="1" applyAlignment="1">
      <alignment horizontal="center" vertical="center" wrapText="1"/>
    </xf>
    <xf numFmtId="195" fontId="33" fillId="3" borderId="6" xfId="0" applyNumberFormat="1" applyFont="1" applyFill="1" applyBorder="1" applyAlignment="1">
      <alignment horizontal="center" vertical="center" wrapText="1"/>
    </xf>
    <xf numFmtId="195" fontId="33" fillId="3" borderId="8" xfId="0" applyNumberFormat="1" applyFont="1" applyFill="1" applyBorder="1" applyAlignment="1">
      <alignment horizontal="center" vertical="center" wrapText="1"/>
    </xf>
    <xf numFmtId="196" fontId="71" fillId="0" borderId="9" xfId="4" applyNumberFormat="1" applyFont="1" applyFill="1" applyBorder="1" applyAlignment="1" applyProtection="1">
      <alignment horizontal="center" vertical="center" wrapText="1"/>
    </xf>
    <xf numFmtId="3" fontId="21" fillId="0" borderId="4" xfId="0" applyNumberFormat="1" applyFont="1" applyBorder="1" applyAlignment="1">
      <alignment horizontal="center" vertical="center" wrapText="1"/>
    </xf>
    <xf numFmtId="3" fontId="21" fillId="0" borderId="8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textRotation="90" wrapText="1"/>
    </xf>
    <xf numFmtId="3" fontId="6" fillId="0" borderId="3" xfId="0" applyNumberFormat="1" applyFont="1" applyBorder="1" applyAlignment="1">
      <alignment horizontal="center" vertical="center" textRotation="90" wrapText="1"/>
    </xf>
    <xf numFmtId="3" fontId="6" fillId="0" borderId="5" xfId="0" quotePrefix="1" applyNumberFormat="1" applyFont="1" applyBorder="1" applyAlignment="1">
      <alignment horizontal="center" vertical="center"/>
    </xf>
    <xf numFmtId="3" fontId="6" fillId="0" borderId="3" xfId="0" quotePrefix="1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left" vertical="center" wrapText="1" indent="1"/>
    </xf>
    <xf numFmtId="3" fontId="6" fillId="0" borderId="8" xfId="0" applyNumberFormat="1" applyFont="1" applyBorder="1" applyAlignment="1">
      <alignment horizontal="left" vertical="center" wrapText="1" indent="1"/>
    </xf>
    <xf numFmtId="3" fontId="6" fillId="0" borderId="6" xfId="0" applyNumberFormat="1" applyFont="1" applyBorder="1" applyAlignment="1">
      <alignment horizontal="left" vertical="center" wrapText="1" indent="1"/>
    </xf>
    <xf numFmtId="3" fontId="32" fillId="3" borderId="4" xfId="0" applyNumberFormat="1" applyFont="1" applyFill="1" applyBorder="1" applyAlignment="1">
      <alignment horizontal="center" vertical="center" wrapText="1"/>
    </xf>
    <xf numFmtId="3" fontId="32" fillId="3" borderId="6" xfId="0" applyNumberFormat="1" applyFont="1" applyFill="1" applyBorder="1" applyAlignment="1">
      <alignment horizontal="center" vertical="center" wrapText="1"/>
    </xf>
    <xf numFmtId="3" fontId="32" fillId="3" borderId="5" xfId="0" applyNumberFormat="1" applyFont="1" applyFill="1" applyBorder="1" applyAlignment="1">
      <alignment horizontal="center" vertical="center" textRotation="90" wrapText="1"/>
    </xf>
    <xf numFmtId="3" fontId="32" fillId="3" borderId="12" xfId="0" applyNumberFormat="1" applyFont="1" applyFill="1" applyBorder="1" applyAlignment="1">
      <alignment horizontal="center" vertical="center" textRotation="90" wrapText="1"/>
    </xf>
    <xf numFmtId="3" fontId="32" fillId="3" borderId="3" xfId="0" applyNumberFormat="1" applyFont="1" applyFill="1" applyBorder="1" applyAlignment="1">
      <alignment horizontal="center" vertical="center" textRotation="90" wrapText="1"/>
    </xf>
    <xf numFmtId="3" fontId="32" fillId="3" borderId="7" xfId="0" applyNumberFormat="1" applyFont="1" applyFill="1" applyBorder="1" applyAlignment="1">
      <alignment horizontal="center" vertical="center" wrapText="1"/>
    </xf>
    <xf numFmtId="3" fontId="32" fillId="3" borderId="15" xfId="0" applyNumberFormat="1" applyFont="1" applyFill="1" applyBorder="1" applyAlignment="1">
      <alignment horizontal="center" vertical="center" wrapText="1"/>
    </xf>
    <xf numFmtId="3" fontId="32" fillId="3" borderId="2" xfId="0" applyNumberFormat="1" applyFont="1" applyFill="1" applyBorder="1" applyAlignment="1">
      <alignment horizontal="center" vertical="center" wrapText="1"/>
    </xf>
    <xf numFmtId="3" fontId="32" fillId="3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indent="1"/>
    </xf>
    <xf numFmtId="3" fontId="4" fillId="0" borderId="9" xfId="0" applyNumberFormat="1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3" fontId="37" fillId="3" borderId="4" xfId="0" applyNumberFormat="1" applyFont="1" applyFill="1" applyBorder="1" applyAlignment="1">
      <alignment horizontal="center" vertical="center" wrapText="1"/>
    </xf>
    <xf numFmtId="3" fontId="37" fillId="3" borderId="8" xfId="0" applyNumberFormat="1" applyFont="1" applyFill="1" applyBorder="1" applyAlignment="1">
      <alignment horizontal="center" vertical="center" wrapText="1"/>
    </xf>
    <xf numFmtId="3" fontId="37" fillId="3" borderId="6" xfId="0" applyNumberFormat="1" applyFont="1" applyFill="1" applyBorder="1" applyAlignment="1">
      <alignment horizontal="center" vertical="center" wrapText="1"/>
    </xf>
    <xf numFmtId="3" fontId="32" fillId="3" borderId="5" xfId="0" applyNumberFormat="1" applyFont="1" applyFill="1" applyBorder="1" applyAlignment="1">
      <alignment horizontal="center" vertical="center" wrapText="1"/>
    </xf>
    <xf numFmtId="3" fontId="32" fillId="3" borderId="12" xfId="0" applyNumberFormat="1" applyFont="1" applyFill="1" applyBorder="1" applyAlignment="1">
      <alignment horizontal="center" vertical="center" wrapText="1"/>
    </xf>
    <xf numFmtId="3" fontId="32" fillId="3" borderId="3" xfId="0" applyNumberFormat="1" applyFont="1" applyFill="1" applyBorder="1" applyAlignment="1">
      <alignment horizontal="center" vertical="center" wrapText="1"/>
    </xf>
    <xf numFmtId="3" fontId="32" fillId="3" borderId="4" xfId="0" applyNumberFormat="1" applyFont="1" applyFill="1" applyBorder="1" applyAlignment="1">
      <alignment horizontal="center" vertical="center" textRotation="90" wrapText="1"/>
    </xf>
    <xf numFmtId="3" fontId="32" fillId="3" borderId="6" xfId="0" applyNumberFormat="1" applyFont="1" applyFill="1" applyBorder="1" applyAlignment="1">
      <alignment horizontal="center" vertical="center" textRotation="90" wrapText="1"/>
    </xf>
    <xf numFmtId="171" fontId="0" fillId="0" borderId="9" xfId="0" applyNumberFormat="1" applyBorder="1" applyAlignment="1">
      <alignment horizontal="center"/>
    </xf>
    <xf numFmtId="196" fontId="23" fillId="0" borderId="9" xfId="4" applyNumberFormat="1" applyFont="1" applyFill="1" applyBorder="1" applyAlignment="1" applyProtection="1">
      <alignment horizontal="center" wrapText="1"/>
    </xf>
    <xf numFmtId="3" fontId="6" fillId="0" borderId="4" xfId="0" applyNumberFormat="1" applyFont="1" applyBorder="1" applyAlignment="1">
      <alignment horizontal="left" wrapText="1" indent="2"/>
    </xf>
    <xf numFmtId="3" fontId="6" fillId="0" borderId="8" xfId="0" applyNumberFormat="1" applyFont="1" applyBorder="1" applyAlignment="1">
      <alignment horizontal="left" wrapText="1" indent="2"/>
    </xf>
    <xf numFmtId="3" fontId="6" fillId="0" borderId="6" xfId="0" applyNumberFormat="1" applyFont="1" applyBorder="1" applyAlignment="1">
      <alignment horizontal="left" wrapText="1" indent="2"/>
    </xf>
    <xf numFmtId="196" fontId="23" fillId="0" borderId="9" xfId="4" applyNumberFormat="1" applyFont="1" applyFill="1" applyBorder="1" applyAlignment="1" applyProtection="1">
      <alignment horizontal="center" vertical="center" wrapText="1"/>
    </xf>
    <xf numFmtId="3" fontId="15" fillId="3" borderId="5" xfId="0" applyNumberFormat="1" applyFont="1" applyFill="1" applyBorder="1" applyAlignment="1">
      <alignment horizontal="center" vertical="center" wrapText="1"/>
    </xf>
    <xf numFmtId="3" fontId="15" fillId="3" borderId="12" xfId="0" applyNumberFormat="1" applyFont="1" applyFill="1" applyBorder="1" applyAlignment="1">
      <alignment horizontal="center" vertical="center" wrapText="1"/>
    </xf>
    <xf numFmtId="3" fontId="15" fillId="3" borderId="3" xfId="0" applyNumberFormat="1" applyFont="1" applyFill="1" applyBorder="1" applyAlignment="1">
      <alignment horizontal="center" vertical="center" wrapText="1"/>
    </xf>
    <xf numFmtId="3" fontId="32" fillId="3" borderId="8" xfId="0" applyNumberFormat="1" applyFont="1" applyFill="1" applyBorder="1" applyAlignment="1">
      <alignment horizontal="center" vertical="center" wrapText="1"/>
    </xf>
    <xf numFmtId="3" fontId="32" fillId="3" borderId="10" xfId="0" applyNumberFormat="1" applyFont="1" applyFill="1" applyBorder="1" applyAlignment="1">
      <alignment horizontal="center" vertical="center" wrapText="1"/>
    </xf>
    <xf numFmtId="3" fontId="32" fillId="3" borderId="13" xfId="0" applyNumberFormat="1" applyFont="1" applyFill="1" applyBorder="1" applyAlignment="1">
      <alignment horizontal="center" vertical="center" wrapText="1"/>
    </xf>
    <xf numFmtId="3" fontId="32" fillId="3" borderId="9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4" fontId="32" fillId="3" borderId="5" xfId="0" applyNumberFormat="1" applyFont="1" applyFill="1" applyBorder="1" applyAlignment="1">
      <alignment horizontal="center" vertical="center" wrapText="1"/>
    </xf>
    <xf numFmtId="14" fontId="32" fillId="3" borderId="12" xfId="0" applyNumberFormat="1" applyFont="1" applyFill="1" applyBorder="1" applyAlignment="1">
      <alignment horizontal="center" vertical="center" wrapText="1"/>
    </xf>
    <xf numFmtId="14" fontId="32" fillId="3" borderId="3" xfId="0" applyNumberFormat="1" applyFont="1" applyFill="1" applyBorder="1" applyAlignment="1">
      <alignment horizontal="center" vertical="center" wrapText="1"/>
    </xf>
    <xf numFmtId="0" fontId="31" fillId="0" borderId="0" xfId="5" applyNumberFormat="1" applyFont="1" applyFill="1" applyBorder="1" applyAlignment="1" applyProtection="1">
      <alignment horizontal="center" vertical="center" wrapText="1"/>
    </xf>
    <xf numFmtId="0" fontId="13" fillId="0" borderId="0" xfId="5" applyNumberFormat="1" applyFont="1" applyFill="1" applyBorder="1" applyAlignment="1" applyProtection="1">
      <alignment horizontal="center" vertical="center"/>
    </xf>
    <xf numFmtId="3" fontId="15" fillId="3" borderId="7" xfId="0" applyNumberFormat="1" applyFont="1" applyFill="1" applyBorder="1" applyAlignment="1">
      <alignment horizontal="center" vertical="center" wrapText="1"/>
    </xf>
    <xf numFmtId="3" fontId="15" fillId="3" borderId="15" xfId="0" applyNumberFormat="1" applyFont="1" applyFill="1" applyBorder="1" applyAlignment="1">
      <alignment horizontal="center" vertical="center" wrapText="1"/>
    </xf>
    <xf numFmtId="3" fontId="15" fillId="3" borderId="2" xfId="0" applyNumberFormat="1" applyFont="1" applyFill="1" applyBorder="1" applyAlignment="1">
      <alignment horizontal="center" vertical="center" wrapText="1"/>
    </xf>
    <xf numFmtId="3" fontId="15" fillId="3" borderId="14" xfId="0" applyNumberFormat="1" applyFont="1" applyFill="1" applyBorder="1" applyAlignment="1">
      <alignment horizontal="center" vertical="center" wrapText="1"/>
    </xf>
    <xf numFmtId="3" fontId="15" fillId="3" borderId="4" xfId="0" applyNumberFormat="1" applyFont="1" applyFill="1" applyBorder="1" applyAlignment="1">
      <alignment horizontal="center" vertical="center" wrapText="1"/>
    </xf>
    <xf numFmtId="3" fontId="15" fillId="3" borderId="8" xfId="0" applyNumberFormat="1" applyFont="1" applyFill="1" applyBorder="1" applyAlignment="1">
      <alignment horizontal="center" vertical="center" wrapText="1"/>
    </xf>
    <xf numFmtId="3" fontId="15" fillId="3" borderId="6" xfId="0" applyNumberFormat="1" applyFont="1" applyFill="1" applyBorder="1" applyAlignment="1">
      <alignment horizontal="center" vertical="center" wrapText="1"/>
    </xf>
    <xf numFmtId="195" fontId="28" fillId="3" borderId="1" xfId="0" applyNumberFormat="1" applyFont="1" applyFill="1" applyBorder="1" applyAlignment="1">
      <alignment horizontal="center" vertical="center" wrapText="1"/>
    </xf>
    <xf numFmtId="0" fontId="94" fillId="0" borderId="0" xfId="9" applyNumberFormat="1" applyFont="1" applyFill="1" applyBorder="1" applyAlignment="1" applyProtection="1">
      <alignment horizontal="center" vertical="center" wrapText="1"/>
    </xf>
    <xf numFmtId="195" fontId="94" fillId="0" borderId="0" xfId="9" applyNumberFormat="1" applyFont="1" applyFill="1" applyBorder="1" applyAlignment="1" applyProtection="1">
      <alignment horizontal="center" vertical="center" wrapText="1"/>
    </xf>
    <xf numFmtId="3" fontId="28" fillId="3" borderId="5" xfId="0" applyNumberFormat="1" applyFont="1" applyFill="1" applyBorder="1" applyAlignment="1">
      <alignment horizontal="center" vertical="center" wrapText="1"/>
    </xf>
    <xf numFmtId="3" fontId="28" fillId="3" borderId="12" xfId="0" applyNumberFormat="1" applyFont="1" applyFill="1" applyBorder="1" applyAlignment="1">
      <alignment horizontal="center" vertical="center" wrapText="1"/>
    </xf>
    <xf numFmtId="3" fontId="28" fillId="3" borderId="3" xfId="0" applyNumberFormat="1" applyFont="1" applyFill="1" applyBorder="1" applyAlignment="1">
      <alignment horizontal="center" vertical="center" wrapText="1"/>
    </xf>
    <xf numFmtId="195" fontId="28" fillId="3" borderId="7" xfId="0" applyNumberFormat="1" applyFont="1" applyFill="1" applyBorder="1" applyAlignment="1">
      <alignment horizontal="center" vertical="center" wrapText="1"/>
    </xf>
    <xf numFmtId="3" fontId="28" fillId="3" borderId="11" xfId="0" applyNumberFormat="1" applyFont="1" applyFill="1" applyBorder="1" applyAlignment="1">
      <alignment horizontal="center" vertical="center" wrapText="1"/>
    </xf>
    <xf numFmtId="195" fontId="28" fillId="3" borderId="11" xfId="0" applyNumberFormat="1" applyFont="1" applyFill="1" applyBorder="1" applyAlignment="1">
      <alignment horizontal="center" vertical="center" wrapText="1"/>
    </xf>
    <xf numFmtId="3" fontId="28" fillId="3" borderId="15" xfId="0" applyNumberFormat="1" applyFont="1" applyFill="1" applyBorder="1" applyAlignment="1">
      <alignment horizontal="center" vertical="center" wrapText="1"/>
    </xf>
    <xf numFmtId="195" fontId="28" fillId="3" borderId="2" xfId="0" applyNumberFormat="1" applyFont="1" applyFill="1" applyBorder="1" applyAlignment="1">
      <alignment horizontal="center" vertical="center" wrapText="1"/>
    </xf>
    <xf numFmtId="3" fontId="28" fillId="3" borderId="9" xfId="0" applyNumberFormat="1" applyFont="1" applyFill="1" applyBorder="1" applyAlignment="1">
      <alignment horizontal="center" vertical="center" wrapText="1"/>
    </xf>
    <xf numFmtId="195" fontId="28" fillId="3" borderId="9" xfId="0" applyNumberFormat="1" applyFont="1" applyFill="1" applyBorder="1" applyAlignment="1">
      <alignment horizontal="center" vertical="center" wrapText="1"/>
    </xf>
    <xf numFmtId="3" fontId="28" fillId="3" borderId="14" xfId="0" applyNumberFormat="1" applyFont="1" applyFill="1" applyBorder="1" applyAlignment="1">
      <alignment horizontal="center" vertical="center" wrapText="1"/>
    </xf>
    <xf numFmtId="195" fontId="28" fillId="3" borderId="4" xfId="0" applyNumberFormat="1" applyFont="1" applyFill="1" applyBorder="1" applyAlignment="1">
      <alignment horizontal="center" vertical="center" wrapText="1"/>
    </xf>
    <xf numFmtId="195" fontId="28" fillId="3" borderId="8" xfId="0" applyNumberFormat="1" applyFont="1" applyFill="1" applyBorder="1" applyAlignment="1">
      <alignment horizontal="center" vertical="center" wrapText="1"/>
    </xf>
    <xf numFmtId="195" fontId="28" fillId="3" borderId="6" xfId="0" applyNumberFormat="1" applyFont="1" applyFill="1" applyBorder="1" applyAlignment="1">
      <alignment horizontal="center" vertical="center" wrapText="1"/>
    </xf>
    <xf numFmtId="195" fontId="28" fillId="3" borderId="15" xfId="0" applyNumberFormat="1" applyFont="1" applyFill="1" applyBorder="1" applyAlignment="1">
      <alignment horizontal="center" vertical="center" wrapText="1"/>
    </xf>
    <xf numFmtId="195" fontId="28" fillId="3" borderId="14" xfId="0" applyNumberFormat="1" applyFont="1" applyFill="1" applyBorder="1" applyAlignment="1">
      <alignment horizontal="center" vertical="center" wrapText="1"/>
    </xf>
    <xf numFmtId="195" fontId="28" fillId="3" borderId="5" xfId="0" applyNumberFormat="1" applyFont="1" applyFill="1" applyBorder="1" applyAlignment="1">
      <alignment horizontal="center" vertical="center" wrapText="1"/>
    </xf>
    <xf numFmtId="195" fontId="28" fillId="3" borderId="12" xfId="0" applyNumberFormat="1" applyFont="1" applyFill="1" applyBorder="1" applyAlignment="1">
      <alignment horizontal="center" vertical="center" wrapText="1"/>
    </xf>
    <xf numFmtId="195" fontId="28" fillId="3" borderId="3" xfId="0" applyNumberFormat="1" applyFont="1" applyFill="1" applyBorder="1" applyAlignment="1">
      <alignment horizontal="center" vertical="center" wrapText="1"/>
    </xf>
    <xf numFmtId="0" fontId="88" fillId="0" borderId="0" xfId="1291" applyFont="1" applyAlignment="1">
      <alignment horizontal="center" vertical="center"/>
    </xf>
    <xf numFmtId="3" fontId="13" fillId="0" borderId="0" xfId="1291" applyNumberFormat="1" applyFont="1" applyAlignment="1">
      <alignment horizontal="center" vertical="center" wrapText="1"/>
    </xf>
    <xf numFmtId="196" fontId="16" fillId="0" borderId="9" xfId="4" applyNumberFormat="1" applyFont="1" applyFill="1" applyBorder="1" applyAlignment="1" applyProtection="1">
      <alignment horizontal="center" wrapText="1"/>
    </xf>
    <xf numFmtId="3" fontId="35" fillId="3" borderId="1" xfId="1291" applyNumberFormat="1" applyFont="1" applyFill="1" applyBorder="1" applyAlignment="1">
      <alignment horizontal="center" vertical="center" wrapText="1"/>
    </xf>
    <xf numFmtId="3" fontId="35" fillId="3" borderId="10" xfId="1291" applyNumberFormat="1" applyFont="1" applyFill="1" applyBorder="1" applyAlignment="1">
      <alignment horizontal="center" vertical="center" wrapText="1"/>
    </xf>
    <xf numFmtId="3" fontId="35" fillId="3" borderId="0" xfId="1291" applyNumberFormat="1" applyFont="1" applyFill="1" applyAlignment="1">
      <alignment horizontal="center" vertical="center" wrapText="1"/>
    </xf>
    <xf numFmtId="3" fontId="35" fillId="3" borderId="11" xfId="1291" applyNumberFormat="1" applyFont="1" applyFill="1" applyBorder="1" applyAlignment="1">
      <alignment horizontal="center" vertical="center" wrapText="1"/>
    </xf>
    <xf numFmtId="3" fontId="35" fillId="3" borderId="15" xfId="1291" applyNumberFormat="1" applyFont="1" applyFill="1" applyBorder="1" applyAlignment="1">
      <alignment horizontal="center" vertical="center" wrapText="1"/>
    </xf>
    <xf numFmtId="3" fontId="35" fillId="3" borderId="2" xfId="1291" applyNumberFormat="1" applyFont="1" applyFill="1" applyBorder="1" applyAlignment="1">
      <alignment horizontal="center" vertical="center" wrapText="1"/>
    </xf>
    <xf numFmtId="3" fontId="35" fillId="3" borderId="9" xfId="1291" applyNumberFormat="1" applyFont="1" applyFill="1" applyBorder="1" applyAlignment="1">
      <alignment horizontal="center" vertical="center" wrapText="1"/>
    </xf>
    <xf numFmtId="3" fontId="35" fillId="3" borderId="14" xfId="1291" applyNumberFormat="1" applyFont="1" applyFill="1" applyBorder="1" applyAlignment="1">
      <alignment horizontal="center" vertical="center" wrapText="1"/>
    </xf>
    <xf numFmtId="3" fontId="35" fillId="3" borderId="5" xfId="1291" applyNumberFormat="1" applyFont="1" applyFill="1" applyBorder="1" applyAlignment="1">
      <alignment horizontal="center" vertical="center" textRotation="90" wrapText="1"/>
    </xf>
    <xf numFmtId="3" fontId="35" fillId="3" borderId="3" xfId="1291" applyNumberFormat="1" applyFont="1" applyFill="1" applyBorder="1" applyAlignment="1">
      <alignment horizontal="center" vertical="center" textRotation="90" wrapText="1"/>
    </xf>
    <xf numFmtId="3" fontId="35" fillId="3" borderId="4" xfId="1291" applyNumberFormat="1" applyFont="1" applyFill="1" applyBorder="1" applyAlignment="1">
      <alignment horizontal="center" vertical="center" wrapText="1"/>
    </xf>
    <xf numFmtId="3" fontId="35" fillId="3" borderId="8" xfId="1291" applyNumberFormat="1" applyFont="1" applyFill="1" applyBorder="1" applyAlignment="1">
      <alignment horizontal="center" vertical="center" wrapText="1"/>
    </xf>
    <xf numFmtId="3" fontId="35" fillId="3" borderId="6" xfId="1291" applyNumberFormat="1" applyFont="1" applyFill="1" applyBorder="1" applyAlignment="1">
      <alignment horizontal="center" vertical="center" wrapText="1"/>
    </xf>
    <xf numFmtId="169" fontId="7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0" fontId="92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92" fillId="0" borderId="4" xfId="0" applyFont="1" applyBorder="1" applyAlignment="1">
      <alignment horizontal="center" vertical="center" wrapText="1"/>
    </xf>
    <xf numFmtId="0" fontId="92" fillId="0" borderId="8" xfId="0" applyFont="1" applyBorder="1" applyAlignment="1">
      <alignment horizontal="center" vertical="center" wrapText="1"/>
    </xf>
    <xf numFmtId="0" fontId="92" fillId="0" borderId="6" xfId="0" applyFont="1" applyBorder="1" applyAlignment="1">
      <alignment horizontal="center" vertical="center" wrapText="1"/>
    </xf>
    <xf numFmtId="169" fontId="7" fillId="0" borderId="5" xfId="0" applyNumberFormat="1" applyFont="1" applyBorder="1" applyAlignment="1">
      <alignment horizontal="center" vertical="center"/>
    </xf>
    <xf numFmtId="169" fontId="7" fillId="0" borderId="3" xfId="0" applyNumberFormat="1" applyFont="1" applyBorder="1" applyAlignment="1">
      <alignment horizontal="center" vertical="center"/>
    </xf>
    <xf numFmtId="0" fontId="92" fillId="0" borderId="4" xfId="0" applyFont="1" applyBorder="1" applyAlignment="1">
      <alignment horizontal="center" vertical="center"/>
    </xf>
    <xf numFmtId="0" fontId="92" fillId="0" borderId="8" xfId="0" applyFont="1" applyBorder="1" applyAlignment="1">
      <alignment horizontal="center" vertical="center"/>
    </xf>
    <xf numFmtId="0" fontId="92" fillId="0" borderId="6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169" fontId="7" fillId="0" borderId="5" xfId="0" applyNumberFormat="1" applyFont="1" applyBorder="1" applyAlignment="1" applyProtection="1">
      <alignment horizontal="center" vertical="center"/>
      <protection locked="0"/>
    </xf>
    <xf numFmtId="169" fontId="4" fillId="0" borderId="3" xfId="0" applyNumberFormat="1" applyFont="1" applyBorder="1" applyAlignment="1" applyProtection="1">
      <alignment horizontal="center" vertical="center"/>
      <protection locked="0"/>
    </xf>
    <xf numFmtId="0" fontId="92" fillId="0" borderId="10" xfId="0" applyFont="1" applyBorder="1" applyAlignment="1">
      <alignment horizontal="center" vertical="center" wrapText="1"/>
    </xf>
    <xf numFmtId="0" fontId="92" fillId="0" borderId="0" xfId="0" quotePrefix="1" applyFont="1" applyAlignment="1">
      <alignment horizontal="center" vertical="center" wrapText="1"/>
    </xf>
    <xf numFmtId="0" fontId="92" fillId="0" borderId="13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9" fontId="4" fillId="0" borderId="3" xfId="0" applyNumberFormat="1" applyFont="1" applyBorder="1" applyAlignment="1">
      <alignment horizontal="center" vertical="center"/>
    </xf>
    <xf numFmtId="0" fontId="92" fillId="0" borderId="4" xfId="0" quotePrefix="1" applyFont="1" applyBorder="1" applyAlignment="1">
      <alignment horizontal="center" vertical="center" wrapText="1"/>
    </xf>
    <xf numFmtId="0" fontId="92" fillId="0" borderId="8" xfId="0" quotePrefix="1" applyFont="1" applyBorder="1" applyAlignment="1">
      <alignment horizontal="center" vertical="center" wrapText="1"/>
    </xf>
    <xf numFmtId="0" fontId="92" fillId="0" borderId="6" xfId="0" quotePrefix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0" fontId="92" fillId="0" borderId="7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2" fillId="0" borderId="2" xfId="0" quotePrefix="1" applyFont="1" applyBorder="1" applyAlignment="1">
      <alignment horizontal="center" vertical="center" wrapText="1"/>
    </xf>
    <xf numFmtId="0" fontId="92" fillId="0" borderId="9" xfId="0" applyFont="1" applyBorder="1" applyAlignment="1">
      <alignment horizontal="center" vertical="center" wrapText="1"/>
    </xf>
    <xf numFmtId="0" fontId="92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92" fillId="0" borderId="11" xfId="0" quotePrefix="1" applyFont="1" applyBorder="1" applyAlignment="1">
      <alignment horizontal="center" vertical="center" wrapText="1"/>
    </xf>
    <xf numFmtId="0" fontId="92" fillId="0" borderId="15" xfId="0" quotePrefix="1" applyFont="1" applyBorder="1" applyAlignment="1">
      <alignment horizontal="center" vertical="center" wrapText="1"/>
    </xf>
    <xf numFmtId="0" fontId="92" fillId="0" borderId="7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3" xfId="0" applyBorder="1"/>
    <xf numFmtId="0" fontId="92" fillId="0" borderId="10" xfId="0" quotePrefix="1" applyFont="1" applyBorder="1" applyAlignment="1">
      <alignment horizontal="center" vertical="center" wrapText="1"/>
    </xf>
    <xf numFmtId="0" fontId="92" fillId="0" borderId="9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92" fillId="0" borderId="4" xfId="0" applyFont="1" applyBorder="1" applyAlignment="1">
      <alignment horizontal="center"/>
    </xf>
    <xf numFmtId="0" fontId="92" fillId="0" borderId="8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9" fontId="4" fillId="0" borderId="12" xfId="0" applyNumberFormat="1" applyFont="1" applyBorder="1" applyAlignment="1">
      <alignment horizontal="center" vertical="center"/>
    </xf>
    <xf numFmtId="0" fontId="92" fillId="0" borderId="7" xfId="0" applyFont="1" applyBorder="1" applyAlignment="1">
      <alignment horizontal="center"/>
    </xf>
    <xf numFmtId="0" fontId="92" fillId="0" borderId="11" xfId="0" applyFont="1" applyBorder="1" applyAlignment="1">
      <alignment horizontal="center"/>
    </xf>
    <xf numFmtId="0" fontId="92" fillId="0" borderId="15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2" fillId="0" borderId="11" xfId="0" applyFont="1" applyBorder="1" applyAlignment="1">
      <alignment horizontal="center" vertical="center"/>
    </xf>
    <xf numFmtId="0" fontId="92" fillId="0" borderId="15" xfId="0" applyFont="1" applyBorder="1" applyAlignment="1">
      <alignment horizontal="center" vertical="center"/>
    </xf>
    <xf numFmtId="3" fontId="18" fillId="3" borderId="1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85" fillId="0" borderId="0" xfId="0" applyFont="1" applyAlignment="1">
      <alignment horizontal="center" vertical="center" wrapText="1"/>
    </xf>
  </cellXfs>
  <cellStyles count="1369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— акцент1 2" xfId="1310" xr:uid="{00000000-0005-0000-0000-000020000000}"/>
    <cellStyle name="20% - Акцент1 20" xfId="35" xr:uid="{00000000-0005-0000-0000-000021000000}"/>
    <cellStyle name="20% - Акцент1 21" xfId="36" xr:uid="{00000000-0005-0000-0000-000022000000}"/>
    <cellStyle name="20% - Акцент1 22" xfId="37" xr:uid="{00000000-0005-0000-0000-000023000000}"/>
    <cellStyle name="20% - Акцент1 23" xfId="38" xr:uid="{00000000-0005-0000-0000-000024000000}"/>
    <cellStyle name="20% - Акцент1 24" xfId="39" xr:uid="{00000000-0005-0000-0000-000025000000}"/>
    <cellStyle name="20% - Акцент1 25" xfId="40" xr:uid="{00000000-0005-0000-0000-000026000000}"/>
    <cellStyle name="20% - Акцент1 26" xfId="41" xr:uid="{00000000-0005-0000-0000-000027000000}"/>
    <cellStyle name="20% - Акцент1 3" xfId="42" xr:uid="{00000000-0005-0000-0000-000028000000}"/>
    <cellStyle name="20% — акцент1 3" xfId="1334" xr:uid="{00000000-0005-0000-0000-000029000000}"/>
    <cellStyle name="20% - Акцент1 4" xfId="43" xr:uid="{00000000-0005-0000-0000-00002A000000}"/>
    <cellStyle name="20% — акцент1 4" xfId="1346" xr:uid="{00000000-0005-0000-0000-00002B000000}"/>
    <cellStyle name="20% - Акцент1 5" xfId="44" xr:uid="{00000000-0005-0000-0000-00002C000000}"/>
    <cellStyle name="20% — акцент1 5" xfId="1357" xr:uid="{00000000-0005-0000-0000-00002D000000}"/>
    <cellStyle name="20% - Акцент1 6" xfId="45" xr:uid="{00000000-0005-0000-0000-00002E000000}"/>
    <cellStyle name="20% - Акцент1 7" xfId="46" xr:uid="{00000000-0005-0000-0000-00002F000000}"/>
    <cellStyle name="20% - Акцент1 8" xfId="47" xr:uid="{00000000-0005-0000-0000-000030000000}"/>
    <cellStyle name="20% - Акцент1 9" xfId="48" xr:uid="{00000000-0005-0000-0000-000031000000}"/>
    <cellStyle name="20% - Акцент2 10" xfId="49" xr:uid="{00000000-0005-0000-0000-000032000000}"/>
    <cellStyle name="20% - Акцент2 11" xfId="50" xr:uid="{00000000-0005-0000-0000-000033000000}"/>
    <cellStyle name="20% - Акцент2 12" xfId="51" xr:uid="{00000000-0005-0000-0000-000034000000}"/>
    <cellStyle name="20% - Акцент2 13" xfId="52" xr:uid="{00000000-0005-0000-0000-000035000000}"/>
    <cellStyle name="20% - Акцент2 14" xfId="53" xr:uid="{00000000-0005-0000-0000-000036000000}"/>
    <cellStyle name="20% - Акцент2 15" xfId="54" xr:uid="{00000000-0005-0000-0000-000037000000}"/>
    <cellStyle name="20% - Акцент2 16" xfId="55" xr:uid="{00000000-0005-0000-0000-000038000000}"/>
    <cellStyle name="20% - Акцент2 17" xfId="56" xr:uid="{00000000-0005-0000-0000-000039000000}"/>
    <cellStyle name="20% - Акцент2 18" xfId="57" xr:uid="{00000000-0005-0000-0000-00003A000000}"/>
    <cellStyle name="20% - Акцент2 19" xfId="58" xr:uid="{00000000-0005-0000-0000-00003B000000}"/>
    <cellStyle name="20% - Акцент2 2" xfId="59" xr:uid="{00000000-0005-0000-0000-00003C000000}"/>
    <cellStyle name="20% — акцент2 2" xfId="1314" xr:uid="{00000000-0005-0000-0000-00003D000000}"/>
    <cellStyle name="20% - Акцент2 20" xfId="60" xr:uid="{00000000-0005-0000-0000-00003E000000}"/>
    <cellStyle name="20% - Акцент2 21" xfId="61" xr:uid="{00000000-0005-0000-0000-00003F000000}"/>
    <cellStyle name="20% - Акцент2 22" xfId="62" xr:uid="{00000000-0005-0000-0000-000040000000}"/>
    <cellStyle name="20% - Акцент2 23" xfId="63" xr:uid="{00000000-0005-0000-0000-000041000000}"/>
    <cellStyle name="20% - Акцент2 24" xfId="64" xr:uid="{00000000-0005-0000-0000-000042000000}"/>
    <cellStyle name="20% - Акцент2 25" xfId="65" xr:uid="{00000000-0005-0000-0000-000043000000}"/>
    <cellStyle name="20% - Акцент2 26" xfId="66" xr:uid="{00000000-0005-0000-0000-000044000000}"/>
    <cellStyle name="20% - Акцент2 3" xfId="67" xr:uid="{00000000-0005-0000-0000-000045000000}"/>
    <cellStyle name="20% — акцент2 3" xfId="1337" xr:uid="{00000000-0005-0000-0000-000046000000}"/>
    <cellStyle name="20% - Акцент2 4" xfId="68" xr:uid="{00000000-0005-0000-0000-000047000000}"/>
    <cellStyle name="20% — акцент2 4" xfId="1333" xr:uid="{00000000-0005-0000-0000-000048000000}"/>
    <cellStyle name="20% - Акцент2 5" xfId="69" xr:uid="{00000000-0005-0000-0000-000049000000}"/>
    <cellStyle name="20% — акцент2 5" xfId="1350" xr:uid="{00000000-0005-0000-0000-00004A000000}"/>
    <cellStyle name="20% - Акцент2 6" xfId="70" xr:uid="{00000000-0005-0000-0000-00004B000000}"/>
    <cellStyle name="20% - Акцент2 7" xfId="71" xr:uid="{00000000-0005-0000-0000-00004C000000}"/>
    <cellStyle name="20% - Акцент2 8" xfId="72" xr:uid="{00000000-0005-0000-0000-00004D000000}"/>
    <cellStyle name="20% - Акцент2 9" xfId="73" xr:uid="{00000000-0005-0000-0000-00004E000000}"/>
    <cellStyle name="20% - Акцент3 10" xfId="74" xr:uid="{00000000-0005-0000-0000-00004F000000}"/>
    <cellStyle name="20% - Акцент3 11" xfId="75" xr:uid="{00000000-0005-0000-0000-000050000000}"/>
    <cellStyle name="20% - Акцент3 12" xfId="76" xr:uid="{00000000-0005-0000-0000-000051000000}"/>
    <cellStyle name="20% - Акцент3 13" xfId="77" xr:uid="{00000000-0005-0000-0000-000052000000}"/>
    <cellStyle name="20% - Акцент3 14" xfId="78" xr:uid="{00000000-0005-0000-0000-000053000000}"/>
    <cellStyle name="20% - Акцент3 15" xfId="79" xr:uid="{00000000-0005-0000-0000-000054000000}"/>
    <cellStyle name="20% - Акцент3 16" xfId="80" xr:uid="{00000000-0005-0000-0000-000055000000}"/>
    <cellStyle name="20% - Акцент3 17" xfId="81" xr:uid="{00000000-0005-0000-0000-000056000000}"/>
    <cellStyle name="20% - Акцент3 18" xfId="82" xr:uid="{00000000-0005-0000-0000-000057000000}"/>
    <cellStyle name="20% - Акцент3 19" xfId="83" xr:uid="{00000000-0005-0000-0000-000058000000}"/>
    <cellStyle name="20% - Акцент3 2" xfId="84" xr:uid="{00000000-0005-0000-0000-000059000000}"/>
    <cellStyle name="20% — акцент3 2" xfId="1318" xr:uid="{00000000-0005-0000-0000-00005A000000}"/>
    <cellStyle name="20% - Акцент3 20" xfId="85" xr:uid="{00000000-0005-0000-0000-00005B000000}"/>
    <cellStyle name="20% - Акцент3 21" xfId="86" xr:uid="{00000000-0005-0000-0000-00005C000000}"/>
    <cellStyle name="20% - Акцент3 22" xfId="87" xr:uid="{00000000-0005-0000-0000-00005D000000}"/>
    <cellStyle name="20% - Акцент3 23" xfId="88" xr:uid="{00000000-0005-0000-0000-00005E000000}"/>
    <cellStyle name="20% - Акцент3 24" xfId="89" xr:uid="{00000000-0005-0000-0000-00005F000000}"/>
    <cellStyle name="20% - Акцент3 25" xfId="90" xr:uid="{00000000-0005-0000-0000-000060000000}"/>
    <cellStyle name="20% - Акцент3 26" xfId="91" xr:uid="{00000000-0005-0000-0000-000061000000}"/>
    <cellStyle name="20% - Акцент3 3" xfId="92" xr:uid="{00000000-0005-0000-0000-000062000000}"/>
    <cellStyle name="20% — акцент3 3" xfId="1340" xr:uid="{00000000-0005-0000-0000-000063000000}"/>
    <cellStyle name="20% - Акцент3 4" xfId="93" xr:uid="{00000000-0005-0000-0000-000064000000}"/>
    <cellStyle name="20% — акцент3 4" xfId="1342" xr:uid="{00000000-0005-0000-0000-000065000000}"/>
    <cellStyle name="20% - Акцент3 5" xfId="94" xr:uid="{00000000-0005-0000-0000-000066000000}"/>
    <cellStyle name="20% — акцент3 5" xfId="1336" xr:uid="{00000000-0005-0000-0000-000067000000}"/>
    <cellStyle name="20% - Акцент3 6" xfId="95" xr:uid="{00000000-0005-0000-0000-000068000000}"/>
    <cellStyle name="20% - Акцент3 7" xfId="96" xr:uid="{00000000-0005-0000-0000-000069000000}"/>
    <cellStyle name="20% - Акцент3 8" xfId="97" xr:uid="{00000000-0005-0000-0000-00006A000000}"/>
    <cellStyle name="20% - Акцент3 9" xfId="98" xr:uid="{00000000-0005-0000-0000-00006B000000}"/>
    <cellStyle name="20% - Акцент4 10" xfId="99" xr:uid="{00000000-0005-0000-0000-00006C000000}"/>
    <cellStyle name="20% - Акцент4 11" xfId="100" xr:uid="{00000000-0005-0000-0000-00006D000000}"/>
    <cellStyle name="20% - Акцент4 12" xfId="101" xr:uid="{00000000-0005-0000-0000-00006E000000}"/>
    <cellStyle name="20% - Акцент4 13" xfId="102" xr:uid="{00000000-0005-0000-0000-00006F000000}"/>
    <cellStyle name="20% - Акцент4 14" xfId="103" xr:uid="{00000000-0005-0000-0000-000070000000}"/>
    <cellStyle name="20% - Акцент4 15" xfId="104" xr:uid="{00000000-0005-0000-0000-000071000000}"/>
    <cellStyle name="20% - Акцент4 16" xfId="105" xr:uid="{00000000-0005-0000-0000-000072000000}"/>
    <cellStyle name="20% - Акцент4 17" xfId="106" xr:uid="{00000000-0005-0000-0000-000073000000}"/>
    <cellStyle name="20% - Акцент4 18" xfId="107" xr:uid="{00000000-0005-0000-0000-000074000000}"/>
    <cellStyle name="20% - Акцент4 19" xfId="108" xr:uid="{00000000-0005-0000-0000-000075000000}"/>
    <cellStyle name="20% - Акцент4 2" xfId="109" xr:uid="{00000000-0005-0000-0000-000076000000}"/>
    <cellStyle name="20% — акцент4 2" xfId="1322" xr:uid="{00000000-0005-0000-0000-000077000000}"/>
    <cellStyle name="20% - Акцент4 20" xfId="110" xr:uid="{00000000-0005-0000-0000-000078000000}"/>
    <cellStyle name="20% - Акцент4 21" xfId="111" xr:uid="{00000000-0005-0000-0000-000079000000}"/>
    <cellStyle name="20% - Акцент4 22" xfId="112" xr:uid="{00000000-0005-0000-0000-00007A000000}"/>
    <cellStyle name="20% - Акцент4 23" xfId="113" xr:uid="{00000000-0005-0000-0000-00007B000000}"/>
    <cellStyle name="20% - Акцент4 24" xfId="114" xr:uid="{00000000-0005-0000-0000-00007C000000}"/>
    <cellStyle name="20% - Акцент4 25" xfId="115" xr:uid="{00000000-0005-0000-0000-00007D000000}"/>
    <cellStyle name="20% - Акцент4 26" xfId="116" xr:uid="{00000000-0005-0000-0000-00007E000000}"/>
    <cellStyle name="20% - Акцент4 3" xfId="117" xr:uid="{00000000-0005-0000-0000-00007F000000}"/>
    <cellStyle name="20% — акцент4 3" xfId="1344" xr:uid="{00000000-0005-0000-0000-000080000000}"/>
    <cellStyle name="20% - Акцент4 4" xfId="118" xr:uid="{00000000-0005-0000-0000-000081000000}"/>
    <cellStyle name="20% — акцент4 4" xfId="1355" xr:uid="{00000000-0005-0000-0000-000082000000}"/>
    <cellStyle name="20% - Акцент4 5" xfId="119" xr:uid="{00000000-0005-0000-0000-000083000000}"/>
    <cellStyle name="20% — акцент4 5" xfId="1363" xr:uid="{00000000-0005-0000-0000-000084000000}"/>
    <cellStyle name="20% - Акцент4 6" xfId="120" xr:uid="{00000000-0005-0000-0000-000085000000}"/>
    <cellStyle name="20% - Акцент4 7" xfId="121" xr:uid="{00000000-0005-0000-0000-000086000000}"/>
    <cellStyle name="20% - Акцент4 8" xfId="122" xr:uid="{00000000-0005-0000-0000-000087000000}"/>
    <cellStyle name="20% - Акцент4 9" xfId="123" xr:uid="{00000000-0005-0000-0000-000088000000}"/>
    <cellStyle name="20% - Акцент5 10" xfId="124" xr:uid="{00000000-0005-0000-0000-000089000000}"/>
    <cellStyle name="20% - Акцент5 11" xfId="125" xr:uid="{00000000-0005-0000-0000-00008A000000}"/>
    <cellStyle name="20% - Акцент5 12" xfId="126" xr:uid="{00000000-0005-0000-0000-00008B000000}"/>
    <cellStyle name="20% - Акцент5 13" xfId="127" xr:uid="{00000000-0005-0000-0000-00008C000000}"/>
    <cellStyle name="20% - Акцент5 14" xfId="128" xr:uid="{00000000-0005-0000-0000-00008D000000}"/>
    <cellStyle name="20% - Акцент5 15" xfId="129" xr:uid="{00000000-0005-0000-0000-00008E000000}"/>
    <cellStyle name="20% - Акцент5 16" xfId="130" xr:uid="{00000000-0005-0000-0000-00008F000000}"/>
    <cellStyle name="20% - Акцент5 17" xfId="131" xr:uid="{00000000-0005-0000-0000-000090000000}"/>
    <cellStyle name="20% - Акцент5 18" xfId="132" xr:uid="{00000000-0005-0000-0000-000091000000}"/>
    <cellStyle name="20% - Акцент5 19" xfId="133" xr:uid="{00000000-0005-0000-0000-000092000000}"/>
    <cellStyle name="20% - Акцент5 2" xfId="134" xr:uid="{00000000-0005-0000-0000-000093000000}"/>
    <cellStyle name="20% — акцент5 2" xfId="1326" xr:uid="{00000000-0005-0000-0000-000094000000}"/>
    <cellStyle name="20% - Акцент5 20" xfId="135" xr:uid="{00000000-0005-0000-0000-000095000000}"/>
    <cellStyle name="20% - Акцент5 21" xfId="136" xr:uid="{00000000-0005-0000-0000-000096000000}"/>
    <cellStyle name="20% - Акцент5 22" xfId="137" xr:uid="{00000000-0005-0000-0000-000097000000}"/>
    <cellStyle name="20% - Акцент5 23" xfId="138" xr:uid="{00000000-0005-0000-0000-000098000000}"/>
    <cellStyle name="20% - Акцент5 24" xfId="139" xr:uid="{00000000-0005-0000-0000-000099000000}"/>
    <cellStyle name="20% - Акцент5 25" xfId="140" xr:uid="{00000000-0005-0000-0000-00009A000000}"/>
    <cellStyle name="20% - Акцент5 26" xfId="141" xr:uid="{00000000-0005-0000-0000-00009B000000}"/>
    <cellStyle name="20% - Акцент5 3" xfId="142" xr:uid="{00000000-0005-0000-0000-00009C000000}"/>
    <cellStyle name="20% — акцент5 3" xfId="1347" xr:uid="{00000000-0005-0000-0000-00009D000000}"/>
    <cellStyle name="20% - Акцент5 4" xfId="143" xr:uid="{00000000-0005-0000-0000-00009E000000}"/>
    <cellStyle name="20% — акцент5 4" xfId="1358" xr:uid="{00000000-0005-0000-0000-00009F000000}"/>
    <cellStyle name="20% - Акцент5 5" xfId="144" xr:uid="{00000000-0005-0000-0000-0000A0000000}"/>
    <cellStyle name="20% — акцент5 5" xfId="1365" xr:uid="{00000000-0005-0000-0000-0000A1000000}"/>
    <cellStyle name="20% - Акцент5 6" xfId="145" xr:uid="{00000000-0005-0000-0000-0000A2000000}"/>
    <cellStyle name="20% - Акцент5 7" xfId="146" xr:uid="{00000000-0005-0000-0000-0000A3000000}"/>
    <cellStyle name="20% - Акцент5 8" xfId="147" xr:uid="{00000000-0005-0000-0000-0000A4000000}"/>
    <cellStyle name="20% - Акцент5 9" xfId="148" xr:uid="{00000000-0005-0000-0000-0000A5000000}"/>
    <cellStyle name="20% - Акцент6 10" xfId="149" xr:uid="{00000000-0005-0000-0000-0000A6000000}"/>
    <cellStyle name="20% - Акцент6 11" xfId="150" xr:uid="{00000000-0005-0000-0000-0000A7000000}"/>
    <cellStyle name="20% - Акцент6 12" xfId="151" xr:uid="{00000000-0005-0000-0000-0000A8000000}"/>
    <cellStyle name="20% - Акцент6 13" xfId="152" xr:uid="{00000000-0005-0000-0000-0000A9000000}"/>
    <cellStyle name="20% - Акцент6 14" xfId="153" xr:uid="{00000000-0005-0000-0000-0000AA000000}"/>
    <cellStyle name="20% - Акцент6 15" xfId="154" xr:uid="{00000000-0005-0000-0000-0000AB000000}"/>
    <cellStyle name="20% - Акцент6 16" xfId="155" xr:uid="{00000000-0005-0000-0000-0000AC000000}"/>
    <cellStyle name="20% - Акцент6 17" xfId="156" xr:uid="{00000000-0005-0000-0000-0000AD000000}"/>
    <cellStyle name="20% - Акцент6 18" xfId="157" xr:uid="{00000000-0005-0000-0000-0000AE000000}"/>
    <cellStyle name="20% - Акцент6 19" xfId="158" xr:uid="{00000000-0005-0000-0000-0000AF000000}"/>
    <cellStyle name="20% - Акцент6 2" xfId="159" xr:uid="{00000000-0005-0000-0000-0000B0000000}"/>
    <cellStyle name="20% — акцент6 2" xfId="1330" xr:uid="{00000000-0005-0000-0000-0000B1000000}"/>
    <cellStyle name="20% - Акцент6 20" xfId="160" xr:uid="{00000000-0005-0000-0000-0000B2000000}"/>
    <cellStyle name="20% - Акцент6 21" xfId="161" xr:uid="{00000000-0005-0000-0000-0000B3000000}"/>
    <cellStyle name="20% - Акцент6 22" xfId="162" xr:uid="{00000000-0005-0000-0000-0000B4000000}"/>
    <cellStyle name="20% - Акцент6 23" xfId="163" xr:uid="{00000000-0005-0000-0000-0000B5000000}"/>
    <cellStyle name="20% - Акцент6 24" xfId="164" xr:uid="{00000000-0005-0000-0000-0000B6000000}"/>
    <cellStyle name="20% - Акцент6 25" xfId="165" xr:uid="{00000000-0005-0000-0000-0000B7000000}"/>
    <cellStyle name="20% - Акцент6 26" xfId="166" xr:uid="{00000000-0005-0000-0000-0000B8000000}"/>
    <cellStyle name="20% - Акцент6 3" xfId="167" xr:uid="{00000000-0005-0000-0000-0000B9000000}"/>
    <cellStyle name="20% — акцент6 3" xfId="1351" xr:uid="{00000000-0005-0000-0000-0000BA000000}"/>
    <cellStyle name="20% - Акцент6 4" xfId="168" xr:uid="{00000000-0005-0000-0000-0000BB000000}"/>
    <cellStyle name="20% — акцент6 4" xfId="1360" xr:uid="{00000000-0005-0000-0000-0000BC000000}"/>
    <cellStyle name="20% - Акцент6 5" xfId="169" xr:uid="{00000000-0005-0000-0000-0000BD000000}"/>
    <cellStyle name="20% — акцент6 5" xfId="1367" xr:uid="{00000000-0005-0000-0000-0000BE000000}"/>
    <cellStyle name="20% - Акцент6 6" xfId="170" xr:uid="{00000000-0005-0000-0000-0000BF000000}"/>
    <cellStyle name="20% - Акцент6 7" xfId="171" xr:uid="{00000000-0005-0000-0000-0000C0000000}"/>
    <cellStyle name="20% - Акцент6 8" xfId="172" xr:uid="{00000000-0005-0000-0000-0000C1000000}"/>
    <cellStyle name="20% - Акцент6 9" xfId="173" xr:uid="{00000000-0005-0000-0000-0000C2000000}"/>
    <cellStyle name="4 indents" xfId="1234" xr:uid="{00000000-0005-0000-0000-0000C3000000}"/>
    <cellStyle name="40% - Accent1" xfId="1235" xr:uid="{00000000-0005-0000-0000-0000C4000000}"/>
    <cellStyle name="40% - Accent2" xfId="1236" xr:uid="{00000000-0005-0000-0000-0000C5000000}"/>
    <cellStyle name="40% - Accent3" xfId="1237" xr:uid="{00000000-0005-0000-0000-0000C6000000}"/>
    <cellStyle name="40% - Accent4" xfId="1238" xr:uid="{00000000-0005-0000-0000-0000C7000000}"/>
    <cellStyle name="40% - Accent5" xfId="1239" xr:uid="{00000000-0005-0000-0000-0000C8000000}"/>
    <cellStyle name="40% - Accent6" xfId="1240" xr:uid="{00000000-0005-0000-0000-0000C9000000}"/>
    <cellStyle name="40% - Акцент1 10" xfId="174" xr:uid="{00000000-0005-0000-0000-0000CA000000}"/>
    <cellStyle name="40% - Акцент1 11" xfId="175" xr:uid="{00000000-0005-0000-0000-0000CB000000}"/>
    <cellStyle name="40% - Акцент1 12" xfId="176" xr:uid="{00000000-0005-0000-0000-0000CC000000}"/>
    <cellStyle name="40% - Акцент1 13" xfId="177" xr:uid="{00000000-0005-0000-0000-0000CD000000}"/>
    <cellStyle name="40% - Акцент1 14" xfId="178" xr:uid="{00000000-0005-0000-0000-0000CE000000}"/>
    <cellStyle name="40% - Акцент1 15" xfId="179" xr:uid="{00000000-0005-0000-0000-0000CF000000}"/>
    <cellStyle name="40% - Акцент1 16" xfId="180" xr:uid="{00000000-0005-0000-0000-0000D0000000}"/>
    <cellStyle name="40% - Акцент1 17" xfId="181" xr:uid="{00000000-0005-0000-0000-0000D1000000}"/>
    <cellStyle name="40% - Акцент1 18" xfId="182" xr:uid="{00000000-0005-0000-0000-0000D2000000}"/>
    <cellStyle name="40% - Акцент1 19" xfId="183" xr:uid="{00000000-0005-0000-0000-0000D3000000}"/>
    <cellStyle name="40% - Акцент1 2" xfId="184" xr:uid="{00000000-0005-0000-0000-0000D4000000}"/>
    <cellStyle name="40% — акцент1 2" xfId="1311" xr:uid="{00000000-0005-0000-0000-0000D5000000}"/>
    <cellStyle name="40% - Акцент1 20" xfId="185" xr:uid="{00000000-0005-0000-0000-0000D6000000}"/>
    <cellStyle name="40% - Акцент1 21" xfId="186" xr:uid="{00000000-0005-0000-0000-0000D7000000}"/>
    <cellStyle name="40% - Акцент1 22" xfId="187" xr:uid="{00000000-0005-0000-0000-0000D8000000}"/>
    <cellStyle name="40% - Акцент1 23" xfId="188" xr:uid="{00000000-0005-0000-0000-0000D9000000}"/>
    <cellStyle name="40% - Акцент1 24" xfId="189" xr:uid="{00000000-0005-0000-0000-0000DA000000}"/>
    <cellStyle name="40% - Акцент1 25" xfId="190" xr:uid="{00000000-0005-0000-0000-0000DB000000}"/>
    <cellStyle name="40% - Акцент1 26" xfId="191" xr:uid="{00000000-0005-0000-0000-0000DC000000}"/>
    <cellStyle name="40% - Акцент1 3" xfId="192" xr:uid="{00000000-0005-0000-0000-0000DD000000}"/>
    <cellStyle name="40% — акцент1 3" xfId="1335" xr:uid="{00000000-0005-0000-0000-0000DE000000}"/>
    <cellStyle name="40% - Акцент1 4" xfId="193" xr:uid="{00000000-0005-0000-0000-0000DF000000}"/>
    <cellStyle name="40% — акцент1 4" xfId="1343" xr:uid="{00000000-0005-0000-0000-0000E0000000}"/>
    <cellStyle name="40% - Акцент1 5" xfId="194" xr:uid="{00000000-0005-0000-0000-0000E1000000}"/>
    <cellStyle name="40% — акцент1 5" xfId="1354" xr:uid="{00000000-0005-0000-0000-0000E2000000}"/>
    <cellStyle name="40% - Акцент1 6" xfId="195" xr:uid="{00000000-0005-0000-0000-0000E3000000}"/>
    <cellStyle name="40% - Акцент1 7" xfId="196" xr:uid="{00000000-0005-0000-0000-0000E4000000}"/>
    <cellStyle name="40% - Акцент1 8" xfId="197" xr:uid="{00000000-0005-0000-0000-0000E5000000}"/>
    <cellStyle name="40% - Акцент1 9" xfId="198" xr:uid="{00000000-0005-0000-0000-0000E6000000}"/>
    <cellStyle name="40% - Акцент2 10" xfId="199" xr:uid="{00000000-0005-0000-0000-0000E7000000}"/>
    <cellStyle name="40% - Акцент2 11" xfId="200" xr:uid="{00000000-0005-0000-0000-0000E8000000}"/>
    <cellStyle name="40% - Акцент2 12" xfId="201" xr:uid="{00000000-0005-0000-0000-0000E9000000}"/>
    <cellStyle name="40% - Акцент2 13" xfId="202" xr:uid="{00000000-0005-0000-0000-0000EA000000}"/>
    <cellStyle name="40% - Акцент2 14" xfId="203" xr:uid="{00000000-0005-0000-0000-0000EB000000}"/>
    <cellStyle name="40% - Акцент2 15" xfId="204" xr:uid="{00000000-0005-0000-0000-0000EC000000}"/>
    <cellStyle name="40% - Акцент2 16" xfId="205" xr:uid="{00000000-0005-0000-0000-0000ED000000}"/>
    <cellStyle name="40% - Акцент2 17" xfId="206" xr:uid="{00000000-0005-0000-0000-0000EE000000}"/>
    <cellStyle name="40% - Акцент2 18" xfId="207" xr:uid="{00000000-0005-0000-0000-0000EF000000}"/>
    <cellStyle name="40% - Акцент2 19" xfId="208" xr:uid="{00000000-0005-0000-0000-0000F0000000}"/>
    <cellStyle name="40% - Акцент2 2" xfId="209" xr:uid="{00000000-0005-0000-0000-0000F1000000}"/>
    <cellStyle name="40% — акцент2 2" xfId="1315" xr:uid="{00000000-0005-0000-0000-0000F2000000}"/>
    <cellStyle name="40% - Акцент2 20" xfId="210" xr:uid="{00000000-0005-0000-0000-0000F3000000}"/>
    <cellStyle name="40% - Акцент2 21" xfId="211" xr:uid="{00000000-0005-0000-0000-0000F4000000}"/>
    <cellStyle name="40% - Акцент2 22" xfId="212" xr:uid="{00000000-0005-0000-0000-0000F5000000}"/>
    <cellStyle name="40% - Акцент2 23" xfId="213" xr:uid="{00000000-0005-0000-0000-0000F6000000}"/>
    <cellStyle name="40% - Акцент2 24" xfId="214" xr:uid="{00000000-0005-0000-0000-0000F7000000}"/>
    <cellStyle name="40% - Акцент2 25" xfId="215" xr:uid="{00000000-0005-0000-0000-0000F8000000}"/>
    <cellStyle name="40% - Акцент2 26" xfId="216" xr:uid="{00000000-0005-0000-0000-0000F9000000}"/>
    <cellStyle name="40% - Акцент2 3" xfId="217" xr:uid="{00000000-0005-0000-0000-0000FA000000}"/>
    <cellStyle name="40% — акцент2 3" xfId="1338" xr:uid="{00000000-0005-0000-0000-0000FB000000}"/>
    <cellStyle name="40% - Акцент2 4" xfId="218" xr:uid="{00000000-0005-0000-0000-0000FC000000}"/>
    <cellStyle name="40% — акцент2 4" xfId="1353" xr:uid="{00000000-0005-0000-0000-0000FD000000}"/>
    <cellStyle name="40% - Акцент2 5" xfId="219" xr:uid="{00000000-0005-0000-0000-0000FE000000}"/>
    <cellStyle name="40% — акцент2 5" xfId="1362" xr:uid="{00000000-0005-0000-0000-0000FF000000}"/>
    <cellStyle name="40% - Акцент2 6" xfId="220" xr:uid="{00000000-0005-0000-0000-000000010000}"/>
    <cellStyle name="40% - Акцент2 7" xfId="221" xr:uid="{00000000-0005-0000-0000-000001010000}"/>
    <cellStyle name="40% - Акцент2 8" xfId="222" xr:uid="{00000000-0005-0000-0000-000002010000}"/>
    <cellStyle name="40% - Акцент2 9" xfId="223" xr:uid="{00000000-0005-0000-0000-000003010000}"/>
    <cellStyle name="40% - Акцент3 10" xfId="224" xr:uid="{00000000-0005-0000-0000-000004010000}"/>
    <cellStyle name="40% - Акцент3 11" xfId="225" xr:uid="{00000000-0005-0000-0000-000005010000}"/>
    <cellStyle name="40% - Акцент3 12" xfId="226" xr:uid="{00000000-0005-0000-0000-000006010000}"/>
    <cellStyle name="40% - Акцент3 13" xfId="227" xr:uid="{00000000-0005-0000-0000-000007010000}"/>
    <cellStyle name="40% - Акцент3 14" xfId="228" xr:uid="{00000000-0005-0000-0000-000008010000}"/>
    <cellStyle name="40% - Акцент3 15" xfId="229" xr:uid="{00000000-0005-0000-0000-000009010000}"/>
    <cellStyle name="40% - Акцент3 16" xfId="230" xr:uid="{00000000-0005-0000-0000-00000A010000}"/>
    <cellStyle name="40% - Акцент3 17" xfId="231" xr:uid="{00000000-0005-0000-0000-00000B010000}"/>
    <cellStyle name="40% - Акцент3 18" xfId="232" xr:uid="{00000000-0005-0000-0000-00000C010000}"/>
    <cellStyle name="40% - Акцент3 19" xfId="233" xr:uid="{00000000-0005-0000-0000-00000D010000}"/>
    <cellStyle name="40% - Акцент3 2" xfId="234" xr:uid="{00000000-0005-0000-0000-00000E010000}"/>
    <cellStyle name="40% — акцент3 2" xfId="1319" xr:uid="{00000000-0005-0000-0000-00000F010000}"/>
    <cellStyle name="40% - Акцент3 20" xfId="235" xr:uid="{00000000-0005-0000-0000-000010010000}"/>
    <cellStyle name="40% - Акцент3 21" xfId="236" xr:uid="{00000000-0005-0000-0000-000011010000}"/>
    <cellStyle name="40% - Акцент3 22" xfId="237" xr:uid="{00000000-0005-0000-0000-000012010000}"/>
    <cellStyle name="40% - Акцент3 23" xfId="238" xr:uid="{00000000-0005-0000-0000-000013010000}"/>
    <cellStyle name="40% - Акцент3 24" xfId="239" xr:uid="{00000000-0005-0000-0000-000014010000}"/>
    <cellStyle name="40% - Акцент3 25" xfId="240" xr:uid="{00000000-0005-0000-0000-000015010000}"/>
    <cellStyle name="40% - Акцент3 26" xfId="241" xr:uid="{00000000-0005-0000-0000-000016010000}"/>
    <cellStyle name="40% - Акцент3 3" xfId="242" xr:uid="{00000000-0005-0000-0000-000017010000}"/>
    <cellStyle name="40% — акцент3 3" xfId="1341" xr:uid="{00000000-0005-0000-0000-000018010000}"/>
    <cellStyle name="40% - Акцент3 4" xfId="243" xr:uid="{00000000-0005-0000-0000-000019010000}"/>
    <cellStyle name="40% — акцент3 4" xfId="1339" xr:uid="{00000000-0005-0000-0000-00001A010000}"/>
    <cellStyle name="40% - Акцент3 5" xfId="244" xr:uid="{00000000-0005-0000-0000-00001B010000}"/>
    <cellStyle name="40% — акцент3 5" xfId="1349" xr:uid="{00000000-0005-0000-0000-00001C010000}"/>
    <cellStyle name="40% - Акцент3 6" xfId="245" xr:uid="{00000000-0005-0000-0000-00001D010000}"/>
    <cellStyle name="40% - Акцент3 7" xfId="246" xr:uid="{00000000-0005-0000-0000-00001E010000}"/>
    <cellStyle name="40% - Акцент3 8" xfId="247" xr:uid="{00000000-0005-0000-0000-00001F010000}"/>
    <cellStyle name="40% - Акцент3 9" xfId="248" xr:uid="{00000000-0005-0000-0000-000020010000}"/>
    <cellStyle name="40% - Акцент4 10" xfId="249" xr:uid="{00000000-0005-0000-0000-000021010000}"/>
    <cellStyle name="40% - Акцент4 11" xfId="250" xr:uid="{00000000-0005-0000-0000-000022010000}"/>
    <cellStyle name="40% - Акцент4 12" xfId="251" xr:uid="{00000000-0005-0000-0000-000023010000}"/>
    <cellStyle name="40% - Акцент4 13" xfId="252" xr:uid="{00000000-0005-0000-0000-000024010000}"/>
    <cellStyle name="40% - Акцент4 14" xfId="253" xr:uid="{00000000-0005-0000-0000-000025010000}"/>
    <cellStyle name="40% - Акцент4 15" xfId="254" xr:uid="{00000000-0005-0000-0000-000026010000}"/>
    <cellStyle name="40% - Акцент4 16" xfId="255" xr:uid="{00000000-0005-0000-0000-000027010000}"/>
    <cellStyle name="40% - Акцент4 17" xfId="256" xr:uid="{00000000-0005-0000-0000-000028010000}"/>
    <cellStyle name="40% - Акцент4 18" xfId="257" xr:uid="{00000000-0005-0000-0000-000029010000}"/>
    <cellStyle name="40% - Акцент4 19" xfId="258" xr:uid="{00000000-0005-0000-0000-00002A010000}"/>
    <cellStyle name="40% - Акцент4 2" xfId="259" xr:uid="{00000000-0005-0000-0000-00002B010000}"/>
    <cellStyle name="40% — акцент4 2" xfId="1323" xr:uid="{00000000-0005-0000-0000-00002C010000}"/>
    <cellStyle name="40% - Акцент4 20" xfId="260" xr:uid="{00000000-0005-0000-0000-00002D010000}"/>
    <cellStyle name="40% - Акцент4 21" xfId="261" xr:uid="{00000000-0005-0000-0000-00002E010000}"/>
    <cellStyle name="40% - Акцент4 22" xfId="262" xr:uid="{00000000-0005-0000-0000-00002F010000}"/>
    <cellStyle name="40% - Акцент4 23" xfId="263" xr:uid="{00000000-0005-0000-0000-000030010000}"/>
    <cellStyle name="40% - Акцент4 24" xfId="264" xr:uid="{00000000-0005-0000-0000-000031010000}"/>
    <cellStyle name="40% - Акцент4 25" xfId="265" xr:uid="{00000000-0005-0000-0000-000032010000}"/>
    <cellStyle name="40% - Акцент4 26" xfId="266" xr:uid="{00000000-0005-0000-0000-000033010000}"/>
    <cellStyle name="40% - Акцент4 3" xfId="267" xr:uid="{00000000-0005-0000-0000-000034010000}"/>
    <cellStyle name="40% — акцент4 3" xfId="1345" xr:uid="{00000000-0005-0000-0000-000035010000}"/>
    <cellStyle name="40% - Акцент4 4" xfId="268" xr:uid="{00000000-0005-0000-0000-000036010000}"/>
    <cellStyle name="40% — акцент4 4" xfId="1356" xr:uid="{00000000-0005-0000-0000-000037010000}"/>
    <cellStyle name="40% - Акцент4 5" xfId="269" xr:uid="{00000000-0005-0000-0000-000038010000}"/>
    <cellStyle name="40% — акцент4 5" xfId="1364" xr:uid="{00000000-0005-0000-0000-000039010000}"/>
    <cellStyle name="40% - Акцент4 6" xfId="270" xr:uid="{00000000-0005-0000-0000-00003A010000}"/>
    <cellStyle name="40% - Акцент4 7" xfId="271" xr:uid="{00000000-0005-0000-0000-00003B010000}"/>
    <cellStyle name="40% - Акцент4 8" xfId="272" xr:uid="{00000000-0005-0000-0000-00003C010000}"/>
    <cellStyle name="40% - Акцент4 9" xfId="273" xr:uid="{00000000-0005-0000-0000-00003D010000}"/>
    <cellStyle name="40% - Акцент5 10" xfId="274" xr:uid="{00000000-0005-0000-0000-00003E010000}"/>
    <cellStyle name="40% - Акцент5 11" xfId="275" xr:uid="{00000000-0005-0000-0000-00003F010000}"/>
    <cellStyle name="40% - Акцент5 12" xfId="276" xr:uid="{00000000-0005-0000-0000-000040010000}"/>
    <cellStyle name="40% - Акцент5 13" xfId="277" xr:uid="{00000000-0005-0000-0000-000041010000}"/>
    <cellStyle name="40% - Акцент5 14" xfId="278" xr:uid="{00000000-0005-0000-0000-000042010000}"/>
    <cellStyle name="40% - Акцент5 15" xfId="279" xr:uid="{00000000-0005-0000-0000-000043010000}"/>
    <cellStyle name="40% - Акцент5 16" xfId="280" xr:uid="{00000000-0005-0000-0000-000044010000}"/>
    <cellStyle name="40% - Акцент5 17" xfId="281" xr:uid="{00000000-0005-0000-0000-000045010000}"/>
    <cellStyle name="40% - Акцент5 18" xfId="282" xr:uid="{00000000-0005-0000-0000-000046010000}"/>
    <cellStyle name="40% - Акцент5 19" xfId="283" xr:uid="{00000000-0005-0000-0000-000047010000}"/>
    <cellStyle name="40% - Акцент5 2" xfId="284" xr:uid="{00000000-0005-0000-0000-000048010000}"/>
    <cellStyle name="40% — акцент5 2" xfId="1327" xr:uid="{00000000-0005-0000-0000-000049010000}"/>
    <cellStyle name="40% - Акцент5 20" xfId="285" xr:uid="{00000000-0005-0000-0000-00004A010000}"/>
    <cellStyle name="40% - Акцент5 21" xfId="286" xr:uid="{00000000-0005-0000-0000-00004B010000}"/>
    <cellStyle name="40% - Акцент5 22" xfId="287" xr:uid="{00000000-0005-0000-0000-00004C010000}"/>
    <cellStyle name="40% - Акцент5 23" xfId="288" xr:uid="{00000000-0005-0000-0000-00004D010000}"/>
    <cellStyle name="40% - Акцент5 24" xfId="289" xr:uid="{00000000-0005-0000-0000-00004E010000}"/>
    <cellStyle name="40% - Акцент5 25" xfId="290" xr:uid="{00000000-0005-0000-0000-00004F010000}"/>
    <cellStyle name="40% - Акцент5 26" xfId="291" xr:uid="{00000000-0005-0000-0000-000050010000}"/>
    <cellStyle name="40% - Акцент5 3" xfId="292" xr:uid="{00000000-0005-0000-0000-000051010000}"/>
    <cellStyle name="40% — акцент5 3" xfId="1348" xr:uid="{00000000-0005-0000-0000-000052010000}"/>
    <cellStyle name="40% - Акцент5 4" xfId="293" xr:uid="{00000000-0005-0000-0000-000053010000}"/>
    <cellStyle name="40% — акцент5 4" xfId="1359" xr:uid="{00000000-0005-0000-0000-000054010000}"/>
    <cellStyle name="40% - Акцент5 5" xfId="294" xr:uid="{00000000-0005-0000-0000-000055010000}"/>
    <cellStyle name="40% — акцент5 5" xfId="1366" xr:uid="{00000000-0005-0000-0000-000056010000}"/>
    <cellStyle name="40% - Акцент5 6" xfId="295" xr:uid="{00000000-0005-0000-0000-000057010000}"/>
    <cellStyle name="40% - Акцент5 7" xfId="296" xr:uid="{00000000-0005-0000-0000-000058010000}"/>
    <cellStyle name="40% - Акцент5 8" xfId="297" xr:uid="{00000000-0005-0000-0000-000059010000}"/>
    <cellStyle name="40% - Акцент5 9" xfId="298" xr:uid="{00000000-0005-0000-0000-00005A010000}"/>
    <cellStyle name="40% - Акцент6 10" xfId="299" xr:uid="{00000000-0005-0000-0000-00005B010000}"/>
    <cellStyle name="40% - Акцент6 11" xfId="300" xr:uid="{00000000-0005-0000-0000-00005C010000}"/>
    <cellStyle name="40% - Акцент6 12" xfId="301" xr:uid="{00000000-0005-0000-0000-00005D010000}"/>
    <cellStyle name="40% - Акцент6 13" xfId="302" xr:uid="{00000000-0005-0000-0000-00005E010000}"/>
    <cellStyle name="40% - Акцент6 14" xfId="303" xr:uid="{00000000-0005-0000-0000-00005F010000}"/>
    <cellStyle name="40% - Акцент6 15" xfId="304" xr:uid="{00000000-0005-0000-0000-000060010000}"/>
    <cellStyle name="40% - Акцент6 16" xfId="305" xr:uid="{00000000-0005-0000-0000-000061010000}"/>
    <cellStyle name="40% - Акцент6 17" xfId="306" xr:uid="{00000000-0005-0000-0000-000062010000}"/>
    <cellStyle name="40% - Акцент6 18" xfId="307" xr:uid="{00000000-0005-0000-0000-000063010000}"/>
    <cellStyle name="40% - Акцент6 19" xfId="308" xr:uid="{00000000-0005-0000-0000-000064010000}"/>
    <cellStyle name="40% - Акцент6 2" xfId="309" xr:uid="{00000000-0005-0000-0000-000065010000}"/>
    <cellStyle name="40% — акцент6 2" xfId="1331" xr:uid="{00000000-0005-0000-0000-000066010000}"/>
    <cellStyle name="40% - Акцент6 20" xfId="310" xr:uid="{00000000-0005-0000-0000-000067010000}"/>
    <cellStyle name="40% - Акцент6 21" xfId="311" xr:uid="{00000000-0005-0000-0000-000068010000}"/>
    <cellStyle name="40% - Акцент6 22" xfId="312" xr:uid="{00000000-0005-0000-0000-000069010000}"/>
    <cellStyle name="40% - Акцент6 23" xfId="313" xr:uid="{00000000-0005-0000-0000-00006A010000}"/>
    <cellStyle name="40% - Акцент6 24" xfId="314" xr:uid="{00000000-0005-0000-0000-00006B010000}"/>
    <cellStyle name="40% - Акцент6 25" xfId="315" xr:uid="{00000000-0005-0000-0000-00006C010000}"/>
    <cellStyle name="40% - Акцент6 26" xfId="316" xr:uid="{00000000-0005-0000-0000-00006D010000}"/>
    <cellStyle name="40% - Акцент6 3" xfId="317" xr:uid="{00000000-0005-0000-0000-00006E010000}"/>
    <cellStyle name="40% — акцент6 3" xfId="1352" xr:uid="{00000000-0005-0000-0000-00006F010000}"/>
    <cellStyle name="40% - Акцент6 4" xfId="318" xr:uid="{00000000-0005-0000-0000-000070010000}"/>
    <cellStyle name="40% — акцент6 4" xfId="1361" xr:uid="{00000000-0005-0000-0000-000071010000}"/>
    <cellStyle name="40% - Акцент6 5" xfId="319" xr:uid="{00000000-0005-0000-0000-000072010000}"/>
    <cellStyle name="40% — акцент6 5" xfId="1368" xr:uid="{00000000-0005-0000-0000-000073010000}"/>
    <cellStyle name="40% - Акцент6 6" xfId="320" xr:uid="{00000000-0005-0000-0000-000074010000}"/>
    <cellStyle name="40% - Акцент6 7" xfId="321" xr:uid="{00000000-0005-0000-0000-000075010000}"/>
    <cellStyle name="40% - Акцент6 8" xfId="322" xr:uid="{00000000-0005-0000-0000-000076010000}"/>
    <cellStyle name="40% - Акцент6 9" xfId="323" xr:uid="{00000000-0005-0000-0000-000077010000}"/>
    <cellStyle name="60% - Accent1" xfId="1241" xr:uid="{00000000-0005-0000-0000-000078010000}"/>
    <cellStyle name="60% - Accent2" xfId="1242" xr:uid="{00000000-0005-0000-0000-000079010000}"/>
    <cellStyle name="60% - Accent3" xfId="1243" xr:uid="{00000000-0005-0000-0000-00007A010000}"/>
    <cellStyle name="60% - Accent4" xfId="1244" xr:uid="{00000000-0005-0000-0000-00007B010000}"/>
    <cellStyle name="60% - Accent5" xfId="1245" xr:uid="{00000000-0005-0000-0000-00007C010000}"/>
    <cellStyle name="60% - Accent6" xfId="1246" xr:uid="{00000000-0005-0000-0000-00007D010000}"/>
    <cellStyle name="60% — акцент1 2" xfId="1312" xr:uid="{00000000-0005-0000-0000-00007E010000}"/>
    <cellStyle name="60% — акцент2 2" xfId="1316" xr:uid="{00000000-0005-0000-0000-00007F010000}"/>
    <cellStyle name="60% — акцент3 2" xfId="1320" xr:uid="{00000000-0005-0000-0000-000080010000}"/>
    <cellStyle name="60% — акцент4 2" xfId="1324" xr:uid="{00000000-0005-0000-0000-000081010000}"/>
    <cellStyle name="60% — акцент5 2" xfId="1328" xr:uid="{00000000-0005-0000-0000-000082010000}"/>
    <cellStyle name="60% — акцент6 2" xfId="1332" xr:uid="{00000000-0005-0000-0000-000083010000}"/>
    <cellStyle name="Accent1" xfId="1247" xr:uid="{00000000-0005-0000-0000-000084010000}"/>
    <cellStyle name="Accent2" xfId="1248" xr:uid="{00000000-0005-0000-0000-000085010000}"/>
    <cellStyle name="Accent3" xfId="1249" xr:uid="{00000000-0005-0000-0000-000086010000}"/>
    <cellStyle name="Accent4" xfId="1250" xr:uid="{00000000-0005-0000-0000-000087010000}"/>
    <cellStyle name="Accent5" xfId="1251" xr:uid="{00000000-0005-0000-0000-000088010000}"/>
    <cellStyle name="Accent6" xfId="1252" xr:uid="{00000000-0005-0000-0000-000089010000}"/>
    <cellStyle name="Bad" xfId="1253" xr:uid="{00000000-0005-0000-0000-00008A010000}"/>
    <cellStyle name="Calculation" xfId="1254" xr:uid="{00000000-0005-0000-0000-00008B010000}"/>
    <cellStyle name="Check Cell" xfId="1255" xr:uid="{00000000-0005-0000-0000-00008C010000}"/>
    <cellStyle name="Column_Title" xfId="324" xr:uid="{00000000-0005-0000-0000-00008D010000}"/>
    <cellStyle name="Comma [0]_1 MAIN" xfId="325" xr:uid="{00000000-0005-0000-0000-00008E010000}"/>
    <cellStyle name="Comma 2" xfId="1256" xr:uid="{00000000-0005-0000-0000-00008F010000}"/>
    <cellStyle name="Comma_1 MAIN" xfId="326" xr:uid="{00000000-0005-0000-0000-000090010000}"/>
    <cellStyle name="Comma0" xfId="1257" xr:uid="{00000000-0005-0000-0000-000091010000}"/>
    <cellStyle name="common" xfId="1258" xr:uid="{00000000-0005-0000-0000-000092010000}"/>
    <cellStyle name="Currency_Copy of SEI1098d" xfId="1259" xr:uid="{00000000-0005-0000-0000-000093010000}"/>
    <cellStyle name="Currency0" xfId="1260" xr:uid="{00000000-0005-0000-0000-000094010000}"/>
    <cellStyle name="Date" xfId="1261" xr:uid="{00000000-0005-0000-0000-000095010000}"/>
    <cellStyle name="Euro" xfId="1262" xr:uid="{00000000-0005-0000-0000-000096010000}"/>
    <cellStyle name="Excel.Chart" xfId="1263" xr:uid="{00000000-0005-0000-0000-000097010000}"/>
    <cellStyle name="Explanatory Text" xfId="1264" xr:uid="{00000000-0005-0000-0000-000098010000}"/>
    <cellStyle name="Fixed" xfId="1265" xr:uid="{00000000-0005-0000-0000-000099010000}"/>
    <cellStyle name="Good" xfId="1266" xr:uid="{00000000-0005-0000-0000-00009A010000}"/>
    <cellStyle name="Heading 1" xfId="1267" xr:uid="{00000000-0005-0000-0000-00009B010000}"/>
    <cellStyle name="Heading 2" xfId="1268" xr:uid="{00000000-0005-0000-0000-00009C010000}"/>
    <cellStyle name="Heading 3" xfId="1269" xr:uid="{00000000-0005-0000-0000-00009D010000}"/>
    <cellStyle name="Heading 4" xfId="1270" xr:uid="{00000000-0005-0000-0000-00009E010000}"/>
    <cellStyle name="imf-one decimal" xfId="1271" xr:uid="{00000000-0005-0000-0000-00009F010000}"/>
    <cellStyle name="Input" xfId="1272" xr:uid="{00000000-0005-0000-0000-0000A0010000}"/>
    <cellStyle name="Linked Cell" xfId="1273" xr:uid="{00000000-0005-0000-0000-0000A1010000}"/>
    <cellStyle name="Millares [0]_11.1.3. bis" xfId="1274" xr:uid="{00000000-0005-0000-0000-0000A2010000}"/>
    <cellStyle name="Millares_11.1.3. bis" xfId="1275" xr:uid="{00000000-0005-0000-0000-0000A3010000}"/>
    <cellStyle name="Moneda [0]_11.1.3. bis" xfId="1276" xr:uid="{00000000-0005-0000-0000-0000A4010000}"/>
    <cellStyle name="Moneda_11.1.3. bis" xfId="1277" xr:uid="{00000000-0005-0000-0000-0000A5010000}"/>
    <cellStyle name="mystyle" xfId="1278" xr:uid="{00000000-0005-0000-0000-0000A6010000}"/>
    <cellStyle name="Neutral" xfId="1279" xr:uid="{00000000-0005-0000-0000-0000A7010000}"/>
    <cellStyle name="Normal - Style1" xfId="1280" xr:uid="{00000000-0005-0000-0000-0000A8010000}"/>
    <cellStyle name="Normal 2" xfId="327" xr:uid="{00000000-0005-0000-0000-0000A9010000}"/>
    <cellStyle name="Normal 2 2" xfId="1225" xr:uid="{00000000-0005-0000-0000-0000AA010000}"/>
    <cellStyle name="Normal_1 MAIN" xfId="328" xr:uid="{00000000-0005-0000-0000-0000AB010000}"/>
    <cellStyle name="Note" xfId="1281" xr:uid="{00000000-0005-0000-0000-0000AC010000}"/>
    <cellStyle name="Output" xfId="1282" xr:uid="{00000000-0005-0000-0000-0000AD010000}"/>
    <cellStyle name="Percent 2" xfId="329" xr:uid="{00000000-0005-0000-0000-0000AE010000}"/>
    <cellStyle name="Percent_Copy of SEI1098d" xfId="1283" xr:uid="{00000000-0005-0000-0000-0000AF010000}"/>
    <cellStyle name="percentage difference" xfId="1284" xr:uid="{00000000-0005-0000-0000-0000B0010000}"/>
    <cellStyle name="Title" xfId="1285" xr:uid="{00000000-0005-0000-0000-0000B1010000}"/>
    <cellStyle name="Total" xfId="1286" xr:uid="{00000000-0005-0000-0000-0000B2010000}"/>
    <cellStyle name="Warning Text" xfId="1287" xr:uid="{00000000-0005-0000-0000-0000B3010000}"/>
    <cellStyle name="Акцент1 2" xfId="1309" xr:uid="{00000000-0005-0000-0000-0000B4010000}"/>
    <cellStyle name="Акцент2 2" xfId="1313" xr:uid="{00000000-0005-0000-0000-0000B5010000}"/>
    <cellStyle name="Акцент3 2" xfId="1317" xr:uid="{00000000-0005-0000-0000-0000B6010000}"/>
    <cellStyle name="Акцент4 2" xfId="1321" xr:uid="{00000000-0005-0000-0000-0000B7010000}"/>
    <cellStyle name="Акцент5 2" xfId="1325" xr:uid="{00000000-0005-0000-0000-0000B8010000}"/>
    <cellStyle name="Акцент6 2" xfId="1329" xr:uid="{00000000-0005-0000-0000-0000B9010000}"/>
    <cellStyle name="Ввод  2" xfId="1300" xr:uid="{00000000-0005-0000-0000-0000BA010000}"/>
    <cellStyle name="Вывод 2" xfId="1301" xr:uid="{00000000-0005-0000-0000-0000BB010000}"/>
    <cellStyle name="Вычисление 2" xfId="1302" xr:uid="{00000000-0005-0000-0000-0000BC010000}"/>
    <cellStyle name="Заголовок 1 2" xfId="1293" xr:uid="{00000000-0005-0000-0000-0000BD010000}"/>
    <cellStyle name="Заголовок 2 2" xfId="1294" xr:uid="{00000000-0005-0000-0000-0000BE010000}"/>
    <cellStyle name="Заголовок 3 2" xfId="1295" xr:uid="{00000000-0005-0000-0000-0000BF010000}"/>
    <cellStyle name="Заголовок 4 2" xfId="1296" xr:uid="{00000000-0005-0000-0000-0000C0010000}"/>
    <cellStyle name="Итог 2" xfId="1308" xr:uid="{00000000-0005-0000-0000-0000C1010000}"/>
    <cellStyle name="Контрольная ячейка 2" xfId="1304" xr:uid="{00000000-0005-0000-0000-0000C2010000}"/>
    <cellStyle name="Название" xfId="1292" builtinId="15" customBuiltin="1"/>
    <cellStyle name="Нейтральный 2" xfId="1299" xr:uid="{00000000-0005-0000-0000-0000C4010000}"/>
    <cellStyle name="Обычный" xfId="0" builtinId="0"/>
    <cellStyle name="Обычный 10" xfId="330" xr:uid="{00000000-0005-0000-0000-0000C6010000}"/>
    <cellStyle name="Обычный 10 10" xfId="331" xr:uid="{00000000-0005-0000-0000-0000C7010000}"/>
    <cellStyle name="Обычный 10 11" xfId="332" xr:uid="{00000000-0005-0000-0000-0000C8010000}"/>
    <cellStyle name="Обычный 10 2" xfId="333" xr:uid="{00000000-0005-0000-0000-0000C9010000}"/>
    <cellStyle name="Обычный 10 2 2" xfId="334" xr:uid="{00000000-0005-0000-0000-0000CA010000}"/>
    <cellStyle name="Обычный 10 2 2 2" xfId="335" xr:uid="{00000000-0005-0000-0000-0000CB010000}"/>
    <cellStyle name="Обычный 10 2 3" xfId="336" xr:uid="{00000000-0005-0000-0000-0000CC010000}"/>
    <cellStyle name="Обычный 10 3" xfId="337" xr:uid="{00000000-0005-0000-0000-0000CD010000}"/>
    <cellStyle name="Обычный 10 3 2" xfId="338" xr:uid="{00000000-0005-0000-0000-0000CE010000}"/>
    <cellStyle name="Обычный 10 3 3" xfId="339" xr:uid="{00000000-0005-0000-0000-0000CF010000}"/>
    <cellStyle name="Обычный 10 4" xfId="340" xr:uid="{00000000-0005-0000-0000-0000D0010000}"/>
    <cellStyle name="Обычный 10 5" xfId="341" xr:uid="{00000000-0005-0000-0000-0000D1010000}"/>
    <cellStyle name="Обычный 10 6" xfId="342" xr:uid="{00000000-0005-0000-0000-0000D2010000}"/>
    <cellStyle name="Обычный 10 7" xfId="343" xr:uid="{00000000-0005-0000-0000-0000D3010000}"/>
    <cellStyle name="Обычный 10 8" xfId="344" xr:uid="{00000000-0005-0000-0000-0000D4010000}"/>
    <cellStyle name="Обычный 10 9" xfId="345" xr:uid="{00000000-0005-0000-0000-0000D5010000}"/>
    <cellStyle name="Обычный 100" xfId="346" xr:uid="{00000000-0005-0000-0000-0000D6010000}"/>
    <cellStyle name="Обычный 100 2" xfId="347" xr:uid="{00000000-0005-0000-0000-0000D7010000}"/>
    <cellStyle name="Обычный 100 2 2" xfId="348" xr:uid="{00000000-0005-0000-0000-0000D8010000}"/>
    <cellStyle name="Обычный 101" xfId="349" xr:uid="{00000000-0005-0000-0000-0000D9010000}"/>
    <cellStyle name="Обычный 102" xfId="350" xr:uid="{00000000-0005-0000-0000-0000DA010000}"/>
    <cellStyle name="Обычный 103" xfId="351" xr:uid="{00000000-0005-0000-0000-0000DB010000}"/>
    <cellStyle name="Обычный 104" xfId="352" xr:uid="{00000000-0005-0000-0000-0000DC010000}"/>
    <cellStyle name="Обычный 105" xfId="1289" xr:uid="{00000000-0005-0000-0000-0000DD010000}"/>
    <cellStyle name="Обычный 106" xfId="353" xr:uid="{00000000-0005-0000-0000-0000DE010000}"/>
    <cellStyle name="Обычный 107" xfId="354" xr:uid="{00000000-0005-0000-0000-0000DF010000}"/>
    <cellStyle name="Обычный 109" xfId="355" xr:uid="{00000000-0005-0000-0000-0000E0010000}"/>
    <cellStyle name="Обычный 11" xfId="356" xr:uid="{00000000-0005-0000-0000-0000E1010000}"/>
    <cellStyle name="Обычный 11 2" xfId="357" xr:uid="{00000000-0005-0000-0000-0000E2010000}"/>
    <cellStyle name="Обычный 11 2 2" xfId="358" xr:uid="{00000000-0005-0000-0000-0000E3010000}"/>
    <cellStyle name="Обычный 11 3" xfId="359" xr:uid="{00000000-0005-0000-0000-0000E4010000}"/>
    <cellStyle name="Обычный 11 4" xfId="360" xr:uid="{00000000-0005-0000-0000-0000E5010000}"/>
    <cellStyle name="Обычный 11 6" xfId="361" xr:uid="{00000000-0005-0000-0000-0000E6010000}"/>
    <cellStyle name="Обычный 110" xfId="362" xr:uid="{00000000-0005-0000-0000-0000E7010000}"/>
    <cellStyle name="Обычный 112" xfId="363" xr:uid="{00000000-0005-0000-0000-0000E8010000}"/>
    <cellStyle name="Обычный 113" xfId="364" xr:uid="{00000000-0005-0000-0000-0000E9010000}"/>
    <cellStyle name="Обычный 115" xfId="365" xr:uid="{00000000-0005-0000-0000-0000EA010000}"/>
    <cellStyle name="Обычный 116" xfId="366" xr:uid="{00000000-0005-0000-0000-0000EB010000}"/>
    <cellStyle name="Обычный 118" xfId="367" xr:uid="{00000000-0005-0000-0000-0000EC010000}"/>
    <cellStyle name="Обычный 12" xfId="368" xr:uid="{00000000-0005-0000-0000-0000ED010000}"/>
    <cellStyle name="Обычный 12 2" xfId="369" xr:uid="{00000000-0005-0000-0000-0000EE010000}"/>
    <cellStyle name="Обычный 12 2 2" xfId="370" xr:uid="{00000000-0005-0000-0000-0000EF010000}"/>
    <cellStyle name="Обычный 12 3" xfId="371" xr:uid="{00000000-0005-0000-0000-0000F0010000}"/>
    <cellStyle name="Обычный 12 4" xfId="372" xr:uid="{00000000-0005-0000-0000-0000F1010000}"/>
    <cellStyle name="Обычный 12 5" xfId="373" xr:uid="{00000000-0005-0000-0000-0000F2010000}"/>
    <cellStyle name="Обычный 12 6" xfId="374" xr:uid="{00000000-0005-0000-0000-0000F3010000}"/>
    <cellStyle name="Обычный 12 7" xfId="375" xr:uid="{00000000-0005-0000-0000-0000F4010000}"/>
    <cellStyle name="Обычный 12 8" xfId="376" xr:uid="{00000000-0005-0000-0000-0000F5010000}"/>
    <cellStyle name="Обычный 120" xfId="377" xr:uid="{00000000-0005-0000-0000-0000F6010000}"/>
    <cellStyle name="Обычный 121" xfId="378" xr:uid="{00000000-0005-0000-0000-0000F7010000}"/>
    <cellStyle name="Обычный 122" xfId="379" xr:uid="{00000000-0005-0000-0000-0000F8010000}"/>
    <cellStyle name="Обычный 123" xfId="380" xr:uid="{00000000-0005-0000-0000-0000F9010000}"/>
    <cellStyle name="Обычный 13" xfId="381" xr:uid="{00000000-0005-0000-0000-0000FA010000}"/>
    <cellStyle name="Обычный 13 2" xfId="382" xr:uid="{00000000-0005-0000-0000-0000FB010000}"/>
    <cellStyle name="Обычный 13 2 2" xfId="383" xr:uid="{00000000-0005-0000-0000-0000FC010000}"/>
    <cellStyle name="Обычный 14" xfId="384" xr:uid="{00000000-0005-0000-0000-0000FD010000}"/>
    <cellStyle name="Обычный 14 2" xfId="385" xr:uid="{00000000-0005-0000-0000-0000FE010000}"/>
    <cellStyle name="Обычный 14 2 2" xfId="386" xr:uid="{00000000-0005-0000-0000-0000FF010000}"/>
    <cellStyle name="Обычный 14 3" xfId="387" xr:uid="{00000000-0005-0000-0000-000000020000}"/>
    <cellStyle name="Обычный 14 4" xfId="388" xr:uid="{00000000-0005-0000-0000-000001020000}"/>
    <cellStyle name="Обычный 14 5" xfId="389" xr:uid="{00000000-0005-0000-0000-000002020000}"/>
    <cellStyle name="Обычный 144" xfId="390" xr:uid="{00000000-0005-0000-0000-000003020000}"/>
    <cellStyle name="Обычный 147" xfId="391" xr:uid="{00000000-0005-0000-0000-000004020000}"/>
    <cellStyle name="Обычный 148" xfId="392" xr:uid="{00000000-0005-0000-0000-000005020000}"/>
    <cellStyle name="Обычный 15" xfId="393" xr:uid="{00000000-0005-0000-0000-000006020000}"/>
    <cellStyle name="Обычный 15 2" xfId="394" xr:uid="{00000000-0005-0000-0000-000007020000}"/>
    <cellStyle name="Обычный 15 2 2" xfId="395" xr:uid="{00000000-0005-0000-0000-000008020000}"/>
    <cellStyle name="Обычный 15 2 3" xfId="396" xr:uid="{00000000-0005-0000-0000-000009020000}"/>
    <cellStyle name="Обычный 15 2 4" xfId="397" xr:uid="{00000000-0005-0000-0000-00000A020000}"/>
    <cellStyle name="Обычный 15 2 5" xfId="398" xr:uid="{00000000-0005-0000-0000-00000B020000}"/>
    <cellStyle name="Обычный 15 2 6" xfId="399" xr:uid="{00000000-0005-0000-0000-00000C020000}"/>
    <cellStyle name="Обычный 15 3" xfId="400" xr:uid="{00000000-0005-0000-0000-00000D020000}"/>
    <cellStyle name="Обычный 15 4" xfId="401" xr:uid="{00000000-0005-0000-0000-00000E020000}"/>
    <cellStyle name="Обычный 15 5" xfId="402" xr:uid="{00000000-0005-0000-0000-00000F020000}"/>
    <cellStyle name="Обычный 16" xfId="403" xr:uid="{00000000-0005-0000-0000-000010020000}"/>
    <cellStyle name="Обычный 16 10" xfId="404" xr:uid="{00000000-0005-0000-0000-000011020000}"/>
    <cellStyle name="Обычный 16 11" xfId="405" xr:uid="{00000000-0005-0000-0000-000012020000}"/>
    <cellStyle name="Обычный 16 12" xfId="406" xr:uid="{00000000-0005-0000-0000-000013020000}"/>
    <cellStyle name="Обычный 16 13" xfId="407" xr:uid="{00000000-0005-0000-0000-000014020000}"/>
    <cellStyle name="Обычный 16 14" xfId="408" xr:uid="{00000000-0005-0000-0000-000015020000}"/>
    <cellStyle name="Обычный 16 2" xfId="409" xr:uid="{00000000-0005-0000-0000-000016020000}"/>
    <cellStyle name="Обычный 16 2 2" xfId="410" xr:uid="{00000000-0005-0000-0000-000017020000}"/>
    <cellStyle name="Обычный 16 3" xfId="411" xr:uid="{00000000-0005-0000-0000-000018020000}"/>
    <cellStyle name="Обычный 16 3 2" xfId="412" xr:uid="{00000000-0005-0000-0000-000019020000}"/>
    <cellStyle name="Обычный 16 4" xfId="413" xr:uid="{00000000-0005-0000-0000-00001A020000}"/>
    <cellStyle name="Обычный 16 4 2" xfId="414" xr:uid="{00000000-0005-0000-0000-00001B020000}"/>
    <cellStyle name="Обычный 16 5" xfId="415" xr:uid="{00000000-0005-0000-0000-00001C020000}"/>
    <cellStyle name="Обычный 16 6" xfId="416" xr:uid="{00000000-0005-0000-0000-00001D020000}"/>
    <cellStyle name="Обычный 16 7" xfId="417" xr:uid="{00000000-0005-0000-0000-00001E020000}"/>
    <cellStyle name="Обычный 16 8" xfId="418" xr:uid="{00000000-0005-0000-0000-00001F020000}"/>
    <cellStyle name="Обычный 16 9" xfId="419" xr:uid="{00000000-0005-0000-0000-000020020000}"/>
    <cellStyle name="Обычный 17" xfId="420" xr:uid="{00000000-0005-0000-0000-000021020000}"/>
    <cellStyle name="Обычный 17 2" xfId="421" xr:uid="{00000000-0005-0000-0000-000022020000}"/>
    <cellStyle name="Обычный 17 2 2" xfId="422" xr:uid="{00000000-0005-0000-0000-000023020000}"/>
    <cellStyle name="Обычный 17 3" xfId="423" xr:uid="{00000000-0005-0000-0000-000024020000}"/>
    <cellStyle name="Обычный 17 4" xfId="424" xr:uid="{00000000-0005-0000-0000-000025020000}"/>
    <cellStyle name="Обычный 18" xfId="425" xr:uid="{00000000-0005-0000-0000-000026020000}"/>
    <cellStyle name="Обычный 18 2" xfId="426" xr:uid="{00000000-0005-0000-0000-000027020000}"/>
    <cellStyle name="Обычный 18 2 2" xfId="427" xr:uid="{00000000-0005-0000-0000-000028020000}"/>
    <cellStyle name="Обычный 18 2 2 2" xfId="428" xr:uid="{00000000-0005-0000-0000-000029020000}"/>
    <cellStyle name="Обычный 18 2 3" xfId="429" xr:uid="{00000000-0005-0000-0000-00002A020000}"/>
    <cellStyle name="Обычный 18 2 4" xfId="430" xr:uid="{00000000-0005-0000-0000-00002B020000}"/>
    <cellStyle name="Обычный 18 3" xfId="431" xr:uid="{00000000-0005-0000-0000-00002C020000}"/>
    <cellStyle name="Обычный 18 3 2" xfId="432" xr:uid="{00000000-0005-0000-0000-00002D020000}"/>
    <cellStyle name="Обычный 18 4" xfId="433" xr:uid="{00000000-0005-0000-0000-00002E020000}"/>
    <cellStyle name="Обычный 18 5" xfId="434" xr:uid="{00000000-0005-0000-0000-00002F020000}"/>
    <cellStyle name="Обычный 18 6" xfId="435" xr:uid="{00000000-0005-0000-0000-000030020000}"/>
    <cellStyle name="Обычный 188" xfId="436" xr:uid="{00000000-0005-0000-0000-000031020000}"/>
    <cellStyle name="Обычный 19" xfId="437" xr:uid="{00000000-0005-0000-0000-000032020000}"/>
    <cellStyle name="Обычный 19 2" xfId="438" xr:uid="{00000000-0005-0000-0000-000033020000}"/>
    <cellStyle name="Обычный 19 2 2" xfId="439" xr:uid="{00000000-0005-0000-0000-000034020000}"/>
    <cellStyle name="Обычный 19 2 3" xfId="440" xr:uid="{00000000-0005-0000-0000-000035020000}"/>
    <cellStyle name="Обычный 19 3" xfId="441" xr:uid="{00000000-0005-0000-0000-000036020000}"/>
    <cellStyle name="Обычный 190" xfId="442" xr:uid="{00000000-0005-0000-0000-000037020000}"/>
    <cellStyle name="Обычный 2" xfId="1" xr:uid="{00000000-0005-0000-0000-000038020000}"/>
    <cellStyle name="Обычный 2 10" xfId="443" xr:uid="{00000000-0005-0000-0000-000039020000}"/>
    <cellStyle name="Обычный 2 11" xfId="444" xr:uid="{00000000-0005-0000-0000-00003A020000}"/>
    <cellStyle name="Обычный 2 12" xfId="445" xr:uid="{00000000-0005-0000-0000-00003B020000}"/>
    <cellStyle name="Обычный 2 13" xfId="446" xr:uid="{00000000-0005-0000-0000-00003C020000}"/>
    <cellStyle name="Обычный 2 14" xfId="447" xr:uid="{00000000-0005-0000-0000-00003D020000}"/>
    <cellStyle name="Обычный 2 15" xfId="448" xr:uid="{00000000-0005-0000-0000-00003E020000}"/>
    <cellStyle name="Обычный 2 16" xfId="449" xr:uid="{00000000-0005-0000-0000-00003F020000}"/>
    <cellStyle name="Обычный 2 17" xfId="450" xr:uid="{00000000-0005-0000-0000-000040020000}"/>
    <cellStyle name="Обычный 2 18" xfId="451" xr:uid="{00000000-0005-0000-0000-000041020000}"/>
    <cellStyle name="Обычный 2 19" xfId="452" xr:uid="{00000000-0005-0000-0000-000042020000}"/>
    <cellStyle name="Обычный 2 2" xfId="453" xr:uid="{00000000-0005-0000-0000-000043020000}"/>
    <cellStyle name="Обычный 2 2 10" xfId="454" xr:uid="{00000000-0005-0000-0000-000044020000}"/>
    <cellStyle name="Обычный 2 2 10 2" xfId="455" xr:uid="{00000000-0005-0000-0000-000045020000}"/>
    <cellStyle name="Обычный 2 2 11" xfId="456" xr:uid="{00000000-0005-0000-0000-000046020000}"/>
    <cellStyle name="Обычный 2 2 11 2" xfId="457" xr:uid="{00000000-0005-0000-0000-000047020000}"/>
    <cellStyle name="Обычный 2 2 12" xfId="458" xr:uid="{00000000-0005-0000-0000-000048020000}"/>
    <cellStyle name="Обычный 2 2 12 2" xfId="459" xr:uid="{00000000-0005-0000-0000-000049020000}"/>
    <cellStyle name="Обычный 2 2 13" xfId="460" xr:uid="{00000000-0005-0000-0000-00004A020000}"/>
    <cellStyle name="Обычный 2 2 13 2" xfId="461" xr:uid="{00000000-0005-0000-0000-00004B020000}"/>
    <cellStyle name="Обычный 2 2 14" xfId="462" xr:uid="{00000000-0005-0000-0000-00004C020000}"/>
    <cellStyle name="Обычный 2 2 14 2" xfId="463" xr:uid="{00000000-0005-0000-0000-00004D020000}"/>
    <cellStyle name="Обычный 2 2 15" xfId="464" xr:uid="{00000000-0005-0000-0000-00004E020000}"/>
    <cellStyle name="Обычный 2 2 15 2" xfId="465" xr:uid="{00000000-0005-0000-0000-00004F020000}"/>
    <cellStyle name="Обычный 2 2 16" xfId="466" xr:uid="{00000000-0005-0000-0000-000050020000}"/>
    <cellStyle name="Обычный 2 2 16 2" xfId="467" xr:uid="{00000000-0005-0000-0000-000051020000}"/>
    <cellStyle name="Обычный 2 2 17" xfId="468" xr:uid="{00000000-0005-0000-0000-000052020000}"/>
    <cellStyle name="Обычный 2 2 17 2" xfId="469" xr:uid="{00000000-0005-0000-0000-000053020000}"/>
    <cellStyle name="Обычный 2 2 18" xfId="470" xr:uid="{00000000-0005-0000-0000-000054020000}"/>
    <cellStyle name="Обычный 2 2 18 2" xfId="471" xr:uid="{00000000-0005-0000-0000-000055020000}"/>
    <cellStyle name="Обычный 2 2 19" xfId="472" xr:uid="{00000000-0005-0000-0000-000056020000}"/>
    <cellStyle name="Обычный 2 2 19 2" xfId="473" xr:uid="{00000000-0005-0000-0000-000057020000}"/>
    <cellStyle name="Обычный 2 2 2" xfId="474" xr:uid="{00000000-0005-0000-0000-000058020000}"/>
    <cellStyle name="Обычный 2 2 2 10" xfId="475" xr:uid="{00000000-0005-0000-0000-000059020000}"/>
    <cellStyle name="Обычный 2 2 2 11" xfId="476" xr:uid="{00000000-0005-0000-0000-00005A020000}"/>
    <cellStyle name="Обычный 2 2 2 12" xfId="477" xr:uid="{00000000-0005-0000-0000-00005B020000}"/>
    <cellStyle name="Обычный 2 2 2 13" xfId="478" xr:uid="{00000000-0005-0000-0000-00005C020000}"/>
    <cellStyle name="Обычный 2 2 2 14" xfId="479" xr:uid="{00000000-0005-0000-0000-00005D020000}"/>
    <cellStyle name="Обычный 2 2 2 15" xfId="480" xr:uid="{00000000-0005-0000-0000-00005E020000}"/>
    <cellStyle name="Обычный 2 2 2 16" xfId="481" xr:uid="{00000000-0005-0000-0000-00005F020000}"/>
    <cellStyle name="Обычный 2 2 2 17" xfId="482" xr:uid="{00000000-0005-0000-0000-000060020000}"/>
    <cellStyle name="Обычный 2 2 2 18" xfId="483" xr:uid="{00000000-0005-0000-0000-000061020000}"/>
    <cellStyle name="Обычный 2 2 2 19" xfId="484" xr:uid="{00000000-0005-0000-0000-000062020000}"/>
    <cellStyle name="Обычный 2 2 2 2" xfId="485" xr:uid="{00000000-0005-0000-0000-000063020000}"/>
    <cellStyle name="Обычный 2 2 2 2 10" xfId="486" xr:uid="{00000000-0005-0000-0000-000064020000}"/>
    <cellStyle name="Обычный 2 2 2 2 11" xfId="487" xr:uid="{00000000-0005-0000-0000-000065020000}"/>
    <cellStyle name="Обычный 2 2 2 2 12" xfId="488" xr:uid="{00000000-0005-0000-0000-000066020000}"/>
    <cellStyle name="Обычный 2 2 2 2 13" xfId="489" xr:uid="{00000000-0005-0000-0000-000067020000}"/>
    <cellStyle name="Обычный 2 2 2 2 14" xfId="490" xr:uid="{00000000-0005-0000-0000-000068020000}"/>
    <cellStyle name="Обычный 2 2 2 2 15" xfId="491" xr:uid="{00000000-0005-0000-0000-000069020000}"/>
    <cellStyle name="Обычный 2 2 2 2 16" xfId="492" xr:uid="{00000000-0005-0000-0000-00006A020000}"/>
    <cellStyle name="Обычный 2 2 2 2 17" xfId="493" xr:uid="{00000000-0005-0000-0000-00006B020000}"/>
    <cellStyle name="Обычный 2 2 2 2 18" xfId="494" xr:uid="{00000000-0005-0000-0000-00006C020000}"/>
    <cellStyle name="Обычный 2 2 2 2 19" xfId="495" xr:uid="{00000000-0005-0000-0000-00006D020000}"/>
    <cellStyle name="Обычный 2 2 2 2 2" xfId="496" xr:uid="{00000000-0005-0000-0000-00006E020000}"/>
    <cellStyle name="Обычный 2 2 2 2 20" xfId="497" xr:uid="{00000000-0005-0000-0000-00006F020000}"/>
    <cellStyle name="Обычный 2 2 2 2 21" xfId="498" xr:uid="{00000000-0005-0000-0000-000070020000}"/>
    <cellStyle name="Обычный 2 2 2 2 22" xfId="499" xr:uid="{00000000-0005-0000-0000-000071020000}"/>
    <cellStyle name="Обычный 2 2 2 2 23" xfId="500" xr:uid="{00000000-0005-0000-0000-000072020000}"/>
    <cellStyle name="Обычный 2 2 2 2 24" xfId="501" xr:uid="{00000000-0005-0000-0000-000073020000}"/>
    <cellStyle name="Обычный 2 2 2 2 25" xfId="502" xr:uid="{00000000-0005-0000-0000-000074020000}"/>
    <cellStyle name="Обычный 2 2 2 2 26" xfId="503" xr:uid="{00000000-0005-0000-0000-000075020000}"/>
    <cellStyle name="Обычный 2 2 2 2 27" xfId="504" xr:uid="{00000000-0005-0000-0000-000076020000}"/>
    <cellStyle name="Обычный 2 2 2 2 28" xfId="505" xr:uid="{00000000-0005-0000-0000-000077020000}"/>
    <cellStyle name="Обычный 2 2 2 2 29" xfId="506" xr:uid="{00000000-0005-0000-0000-000078020000}"/>
    <cellStyle name="Обычный 2 2 2 2 3" xfId="507" xr:uid="{00000000-0005-0000-0000-000079020000}"/>
    <cellStyle name="Обычный 2 2 2 2 30" xfId="508" xr:uid="{00000000-0005-0000-0000-00007A020000}"/>
    <cellStyle name="Обычный 2 2 2 2 4" xfId="509" xr:uid="{00000000-0005-0000-0000-00007B020000}"/>
    <cellStyle name="Обычный 2 2 2 2 5" xfId="510" xr:uid="{00000000-0005-0000-0000-00007C020000}"/>
    <cellStyle name="Обычный 2 2 2 2 6" xfId="511" xr:uid="{00000000-0005-0000-0000-00007D020000}"/>
    <cellStyle name="Обычный 2 2 2 2 7" xfId="512" xr:uid="{00000000-0005-0000-0000-00007E020000}"/>
    <cellStyle name="Обычный 2 2 2 2 8" xfId="513" xr:uid="{00000000-0005-0000-0000-00007F020000}"/>
    <cellStyle name="Обычный 2 2 2 2 9" xfId="514" xr:uid="{00000000-0005-0000-0000-000080020000}"/>
    <cellStyle name="Обычный 2 2 2 20" xfId="515" xr:uid="{00000000-0005-0000-0000-000081020000}"/>
    <cellStyle name="Обычный 2 2 2 21" xfId="516" xr:uid="{00000000-0005-0000-0000-000082020000}"/>
    <cellStyle name="Обычный 2 2 2 22" xfId="517" xr:uid="{00000000-0005-0000-0000-000083020000}"/>
    <cellStyle name="Обычный 2 2 2 23" xfId="518" xr:uid="{00000000-0005-0000-0000-000084020000}"/>
    <cellStyle name="Обычный 2 2 2 24" xfId="519" xr:uid="{00000000-0005-0000-0000-000085020000}"/>
    <cellStyle name="Обычный 2 2 2 25" xfId="520" xr:uid="{00000000-0005-0000-0000-000086020000}"/>
    <cellStyle name="Обычный 2 2 2 26" xfId="521" xr:uid="{00000000-0005-0000-0000-000087020000}"/>
    <cellStyle name="Обычный 2 2 2 27" xfId="522" xr:uid="{00000000-0005-0000-0000-000088020000}"/>
    <cellStyle name="Обычный 2 2 2 28" xfId="523" xr:uid="{00000000-0005-0000-0000-000089020000}"/>
    <cellStyle name="Обычный 2 2 2 29" xfId="524" xr:uid="{00000000-0005-0000-0000-00008A020000}"/>
    <cellStyle name="Обычный 2 2 2 3" xfId="525" xr:uid="{00000000-0005-0000-0000-00008B020000}"/>
    <cellStyle name="Обычный 2 2 2 30" xfId="526" xr:uid="{00000000-0005-0000-0000-00008C020000}"/>
    <cellStyle name="Обычный 2 2 2 31" xfId="527" xr:uid="{00000000-0005-0000-0000-00008D020000}"/>
    <cellStyle name="Обычный 2 2 2 4" xfId="528" xr:uid="{00000000-0005-0000-0000-00008E020000}"/>
    <cellStyle name="Обычный 2 2 2 5" xfId="529" xr:uid="{00000000-0005-0000-0000-00008F020000}"/>
    <cellStyle name="Обычный 2 2 2 6" xfId="530" xr:uid="{00000000-0005-0000-0000-000090020000}"/>
    <cellStyle name="Обычный 2 2 2 7" xfId="531" xr:uid="{00000000-0005-0000-0000-000091020000}"/>
    <cellStyle name="Обычный 2 2 2 8" xfId="532" xr:uid="{00000000-0005-0000-0000-000092020000}"/>
    <cellStyle name="Обычный 2 2 2 9" xfId="533" xr:uid="{00000000-0005-0000-0000-000093020000}"/>
    <cellStyle name="Обычный 2 2 20" xfId="534" xr:uid="{00000000-0005-0000-0000-000094020000}"/>
    <cellStyle name="Обычный 2 2 20 2" xfId="535" xr:uid="{00000000-0005-0000-0000-000095020000}"/>
    <cellStyle name="Обычный 2 2 21" xfId="536" xr:uid="{00000000-0005-0000-0000-000096020000}"/>
    <cellStyle name="Обычный 2 2 21 2" xfId="537" xr:uid="{00000000-0005-0000-0000-000097020000}"/>
    <cellStyle name="Обычный 2 2 22" xfId="538" xr:uid="{00000000-0005-0000-0000-000098020000}"/>
    <cellStyle name="Обычный 2 2 22 2" xfId="539" xr:uid="{00000000-0005-0000-0000-000099020000}"/>
    <cellStyle name="Обычный 2 2 23" xfId="540" xr:uid="{00000000-0005-0000-0000-00009A020000}"/>
    <cellStyle name="Обычный 2 2 23 2" xfId="541" xr:uid="{00000000-0005-0000-0000-00009B020000}"/>
    <cellStyle name="Обычный 2 2 24" xfId="542" xr:uid="{00000000-0005-0000-0000-00009C020000}"/>
    <cellStyle name="Обычный 2 2 24 2" xfId="543" xr:uid="{00000000-0005-0000-0000-00009D020000}"/>
    <cellStyle name="Обычный 2 2 25" xfId="544" xr:uid="{00000000-0005-0000-0000-00009E020000}"/>
    <cellStyle name="Обычный 2 2 25 2" xfId="545" xr:uid="{00000000-0005-0000-0000-00009F020000}"/>
    <cellStyle name="Обычный 2 2 26" xfId="546" xr:uid="{00000000-0005-0000-0000-0000A0020000}"/>
    <cellStyle name="Обычный 2 2 26 2" xfId="547" xr:uid="{00000000-0005-0000-0000-0000A1020000}"/>
    <cellStyle name="Обычный 2 2 27" xfId="548" xr:uid="{00000000-0005-0000-0000-0000A2020000}"/>
    <cellStyle name="Обычный 2 2 27 2" xfId="549" xr:uid="{00000000-0005-0000-0000-0000A3020000}"/>
    <cellStyle name="Обычный 2 2 28" xfId="550" xr:uid="{00000000-0005-0000-0000-0000A4020000}"/>
    <cellStyle name="Обычный 2 2 28 2" xfId="551" xr:uid="{00000000-0005-0000-0000-0000A5020000}"/>
    <cellStyle name="Обычный 2 2 29" xfId="552" xr:uid="{00000000-0005-0000-0000-0000A6020000}"/>
    <cellStyle name="Обычный 2 2 29 2" xfId="553" xr:uid="{00000000-0005-0000-0000-0000A7020000}"/>
    <cellStyle name="Обычный 2 2 3" xfId="554" xr:uid="{00000000-0005-0000-0000-0000A8020000}"/>
    <cellStyle name="Обычный 2 2 3 2" xfId="555" xr:uid="{00000000-0005-0000-0000-0000A9020000}"/>
    <cellStyle name="Обычный 2 2 30" xfId="556" xr:uid="{00000000-0005-0000-0000-0000AA020000}"/>
    <cellStyle name="Обычный 2 2 30 2" xfId="557" xr:uid="{00000000-0005-0000-0000-0000AB020000}"/>
    <cellStyle name="Обычный 2 2 31" xfId="558" xr:uid="{00000000-0005-0000-0000-0000AC020000}"/>
    <cellStyle name="Обычный 2 2 31 2" xfId="559" xr:uid="{00000000-0005-0000-0000-0000AD020000}"/>
    <cellStyle name="Обычный 2 2 32" xfId="560" xr:uid="{00000000-0005-0000-0000-0000AE020000}"/>
    <cellStyle name="Обычный 2 2 4" xfId="561" xr:uid="{00000000-0005-0000-0000-0000AF020000}"/>
    <cellStyle name="Обычный 2 2 4 2" xfId="562" xr:uid="{00000000-0005-0000-0000-0000B0020000}"/>
    <cellStyle name="Обычный 2 2 5" xfId="563" xr:uid="{00000000-0005-0000-0000-0000B1020000}"/>
    <cellStyle name="Обычный 2 2 5 2" xfId="564" xr:uid="{00000000-0005-0000-0000-0000B2020000}"/>
    <cellStyle name="Обычный 2 2 6" xfId="565" xr:uid="{00000000-0005-0000-0000-0000B3020000}"/>
    <cellStyle name="Обычный 2 2 6 2" xfId="566" xr:uid="{00000000-0005-0000-0000-0000B4020000}"/>
    <cellStyle name="Обычный 2 2 7" xfId="567" xr:uid="{00000000-0005-0000-0000-0000B5020000}"/>
    <cellStyle name="Обычный 2 2 7 2" xfId="568" xr:uid="{00000000-0005-0000-0000-0000B6020000}"/>
    <cellStyle name="Обычный 2 2 8" xfId="569" xr:uid="{00000000-0005-0000-0000-0000B7020000}"/>
    <cellStyle name="Обычный 2 2 8 2" xfId="570" xr:uid="{00000000-0005-0000-0000-0000B8020000}"/>
    <cellStyle name="Обычный 2 2 9" xfId="571" xr:uid="{00000000-0005-0000-0000-0000B9020000}"/>
    <cellStyle name="Обычный 2 2 9 2" xfId="572" xr:uid="{00000000-0005-0000-0000-0000BA020000}"/>
    <cellStyle name="Обычный 2 20" xfId="573" xr:uid="{00000000-0005-0000-0000-0000BB020000}"/>
    <cellStyle name="Обычный 2 21" xfId="574" xr:uid="{00000000-0005-0000-0000-0000BC020000}"/>
    <cellStyle name="Обычный 2 22" xfId="575" xr:uid="{00000000-0005-0000-0000-0000BD020000}"/>
    <cellStyle name="Обычный 2 23" xfId="576" xr:uid="{00000000-0005-0000-0000-0000BE020000}"/>
    <cellStyle name="Обычный 2 24" xfId="577" xr:uid="{00000000-0005-0000-0000-0000BF020000}"/>
    <cellStyle name="Обычный 2 25" xfId="578" xr:uid="{00000000-0005-0000-0000-0000C0020000}"/>
    <cellStyle name="Обычный 2 26" xfId="579" xr:uid="{00000000-0005-0000-0000-0000C1020000}"/>
    <cellStyle name="Обычный 2 27" xfId="580" xr:uid="{00000000-0005-0000-0000-0000C2020000}"/>
    <cellStyle name="Обычный 2 28" xfId="581" xr:uid="{00000000-0005-0000-0000-0000C3020000}"/>
    <cellStyle name="Обычный 2 29" xfId="582" xr:uid="{00000000-0005-0000-0000-0000C4020000}"/>
    <cellStyle name="Обычный 2 3" xfId="583" xr:uid="{00000000-0005-0000-0000-0000C5020000}"/>
    <cellStyle name="Обычный 2 3 2" xfId="584" xr:uid="{00000000-0005-0000-0000-0000C6020000}"/>
    <cellStyle name="Обычный 2 3 3" xfId="585" xr:uid="{00000000-0005-0000-0000-0000C7020000}"/>
    <cellStyle name="Обычный 2 30" xfId="586" xr:uid="{00000000-0005-0000-0000-0000C8020000}"/>
    <cellStyle name="Обычный 2 31" xfId="587" xr:uid="{00000000-0005-0000-0000-0000C9020000}"/>
    <cellStyle name="Обычный 2 32" xfId="588" xr:uid="{00000000-0005-0000-0000-0000CA020000}"/>
    <cellStyle name="Обычный 2 33" xfId="589" xr:uid="{00000000-0005-0000-0000-0000CB020000}"/>
    <cellStyle name="Обычный 2 34" xfId="590" xr:uid="{00000000-0005-0000-0000-0000CC020000}"/>
    <cellStyle name="Обычный 2 34 2" xfId="591" xr:uid="{00000000-0005-0000-0000-0000CD020000}"/>
    <cellStyle name="Обычный 2 35" xfId="592" xr:uid="{00000000-0005-0000-0000-0000CE020000}"/>
    <cellStyle name="Обычный 2 36" xfId="593" xr:uid="{00000000-0005-0000-0000-0000CF020000}"/>
    <cellStyle name="Обычный 2 4" xfId="594" xr:uid="{00000000-0005-0000-0000-0000D0020000}"/>
    <cellStyle name="Обычный 2 4 2" xfId="595" xr:uid="{00000000-0005-0000-0000-0000D1020000}"/>
    <cellStyle name="Обычный 2 4 3" xfId="596" xr:uid="{00000000-0005-0000-0000-0000D2020000}"/>
    <cellStyle name="Обычный 2 5" xfId="597" xr:uid="{00000000-0005-0000-0000-0000D3020000}"/>
    <cellStyle name="Обычный 2 5 2" xfId="598" xr:uid="{00000000-0005-0000-0000-0000D4020000}"/>
    <cellStyle name="Обычный 2 5 3" xfId="599" xr:uid="{00000000-0005-0000-0000-0000D5020000}"/>
    <cellStyle name="Обычный 2 6" xfId="600" xr:uid="{00000000-0005-0000-0000-0000D6020000}"/>
    <cellStyle name="Обычный 2 7" xfId="601" xr:uid="{00000000-0005-0000-0000-0000D7020000}"/>
    <cellStyle name="Обычный 2 8" xfId="602" xr:uid="{00000000-0005-0000-0000-0000D8020000}"/>
    <cellStyle name="Обычный 2 9" xfId="603" xr:uid="{00000000-0005-0000-0000-0000D9020000}"/>
    <cellStyle name="Обычный 20" xfId="604" xr:uid="{00000000-0005-0000-0000-0000DA020000}"/>
    <cellStyle name="Обычный 20 10" xfId="605" xr:uid="{00000000-0005-0000-0000-0000DB020000}"/>
    <cellStyle name="Обычный 20 11" xfId="606" xr:uid="{00000000-0005-0000-0000-0000DC020000}"/>
    <cellStyle name="Обычный 20 12" xfId="607" xr:uid="{00000000-0005-0000-0000-0000DD020000}"/>
    <cellStyle name="Обычный 20 13" xfId="608" xr:uid="{00000000-0005-0000-0000-0000DE020000}"/>
    <cellStyle name="Обычный 20 14" xfId="609" xr:uid="{00000000-0005-0000-0000-0000DF020000}"/>
    <cellStyle name="Обычный 20 15" xfId="610" xr:uid="{00000000-0005-0000-0000-0000E0020000}"/>
    <cellStyle name="Обычный 20 16" xfId="611" xr:uid="{00000000-0005-0000-0000-0000E1020000}"/>
    <cellStyle name="Обычный 20 17" xfId="612" xr:uid="{00000000-0005-0000-0000-0000E2020000}"/>
    <cellStyle name="Обычный 20 18" xfId="613" xr:uid="{00000000-0005-0000-0000-0000E3020000}"/>
    <cellStyle name="Обычный 20 19" xfId="614" xr:uid="{00000000-0005-0000-0000-0000E4020000}"/>
    <cellStyle name="Обычный 20 2" xfId="615" xr:uid="{00000000-0005-0000-0000-0000E5020000}"/>
    <cellStyle name="Обычный 20 2 2" xfId="616" xr:uid="{00000000-0005-0000-0000-0000E6020000}"/>
    <cellStyle name="Обычный 20 2 2 2" xfId="617" xr:uid="{00000000-0005-0000-0000-0000E7020000}"/>
    <cellStyle name="Обычный 20 2 3" xfId="618" xr:uid="{00000000-0005-0000-0000-0000E8020000}"/>
    <cellStyle name="Обычный 20 2 4" xfId="619" xr:uid="{00000000-0005-0000-0000-0000E9020000}"/>
    <cellStyle name="Обычный 20 20" xfId="620" xr:uid="{00000000-0005-0000-0000-0000EA020000}"/>
    <cellStyle name="Обычный 20 21" xfId="621" xr:uid="{00000000-0005-0000-0000-0000EB020000}"/>
    <cellStyle name="Обычный 20 22" xfId="622" xr:uid="{00000000-0005-0000-0000-0000EC020000}"/>
    <cellStyle name="Обычный 20 23" xfId="623" xr:uid="{00000000-0005-0000-0000-0000ED020000}"/>
    <cellStyle name="Обычный 20 24" xfId="624" xr:uid="{00000000-0005-0000-0000-0000EE020000}"/>
    <cellStyle name="Обычный 20 25" xfId="625" xr:uid="{00000000-0005-0000-0000-0000EF020000}"/>
    <cellStyle name="Обычный 20 26" xfId="626" xr:uid="{00000000-0005-0000-0000-0000F0020000}"/>
    <cellStyle name="Обычный 20 27" xfId="627" xr:uid="{00000000-0005-0000-0000-0000F1020000}"/>
    <cellStyle name="Обычный 20 28" xfId="628" xr:uid="{00000000-0005-0000-0000-0000F2020000}"/>
    <cellStyle name="Обычный 20 29" xfId="629" xr:uid="{00000000-0005-0000-0000-0000F3020000}"/>
    <cellStyle name="Обычный 20 3" xfId="630" xr:uid="{00000000-0005-0000-0000-0000F4020000}"/>
    <cellStyle name="Обычный 20 3 2" xfId="631" xr:uid="{00000000-0005-0000-0000-0000F5020000}"/>
    <cellStyle name="Обычный 20 30" xfId="632" xr:uid="{00000000-0005-0000-0000-0000F6020000}"/>
    <cellStyle name="Обычный 20 31" xfId="633" xr:uid="{00000000-0005-0000-0000-0000F7020000}"/>
    <cellStyle name="Обычный 20 32" xfId="634" xr:uid="{00000000-0005-0000-0000-0000F8020000}"/>
    <cellStyle name="Обычный 20 4" xfId="635" xr:uid="{00000000-0005-0000-0000-0000F9020000}"/>
    <cellStyle name="Обычный 20 5" xfId="636" xr:uid="{00000000-0005-0000-0000-0000FA020000}"/>
    <cellStyle name="Обычный 20 6" xfId="637" xr:uid="{00000000-0005-0000-0000-0000FB020000}"/>
    <cellStyle name="Обычный 20 7" xfId="638" xr:uid="{00000000-0005-0000-0000-0000FC020000}"/>
    <cellStyle name="Обычный 20 8" xfId="639" xr:uid="{00000000-0005-0000-0000-0000FD020000}"/>
    <cellStyle name="Обычный 20 9" xfId="640" xr:uid="{00000000-0005-0000-0000-0000FE020000}"/>
    <cellStyle name="Обычный 21" xfId="641" xr:uid="{00000000-0005-0000-0000-0000FF020000}"/>
    <cellStyle name="Обычный 21 2" xfId="642" xr:uid="{00000000-0005-0000-0000-000000030000}"/>
    <cellStyle name="Обычный 21 2 2" xfId="643" xr:uid="{00000000-0005-0000-0000-000001030000}"/>
    <cellStyle name="Обычный 21 2 3" xfId="644" xr:uid="{00000000-0005-0000-0000-000002030000}"/>
    <cellStyle name="Обычный 21 2 4" xfId="645" xr:uid="{00000000-0005-0000-0000-000003030000}"/>
    <cellStyle name="Обычный 22" xfId="646" xr:uid="{00000000-0005-0000-0000-000004030000}"/>
    <cellStyle name="Обычный 22 10" xfId="647" xr:uid="{00000000-0005-0000-0000-000005030000}"/>
    <cellStyle name="Обычный 22 11" xfId="648" xr:uid="{00000000-0005-0000-0000-000006030000}"/>
    <cellStyle name="Обычный 22 12" xfId="649" xr:uid="{00000000-0005-0000-0000-000007030000}"/>
    <cellStyle name="Обычный 22 13" xfId="650" xr:uid="{00000000-0005-0000-0000-000008030000}"/>
    <cellStyle name="Обычный 22 14" xfId="651" xr:uid="{00000000-0005-0000-0000-000009030000}"/>
    <cellStyle name="Обычный 22 15" xfId="652" xr:uid="{00000000-0005-0000-0000-00000A030000}"/>
    <cellStyle name="Обычный 22 16" xfId="653" xr:uid="{00000000-0005-0000-0000-00000B030000}"/>
    <cellStyle name="Обычный 22 17" xfId="654" xr:uid="{00000000-0005-0000-0000-00000C030000}"/>
    <cellStyle name="Обычный 22 18" xfId="655" xr:uid="{00000000-0005-0000-0000-00000D030000}"/>
    <cellStyle name="Обычный 22 19" xfId="656" xr:uid="{00000000-0005-0000-0000-00000E030000}"/>
    <cellStyle name="Обычный 22 2" xfId="657" xr:uid="{00000000-0005-0000-0000-00000F030000}"/>
    <cellStyle name="Обычный 22 2 2" xfId="658" xr:uid="{00000000-0005-0000-0000-000010030000}"/>
    <cellStyle name="Обычный 22 2 3" xfId="659" xr:uid="{00000000-0005-0000-0000-000011030000}"/>
    <cellStyle name="Обычный 22 20" xfId="660" xr:uid="{00000000-0005-0000-0000-000012030000}"/>
    <cellStyle name="Обычный 22 21" xfId="661" xr:uid="{00000000-0005-0000-0000-000013030000}"/>
    <cellStyle name="Обычный 22 22" xfId="662" xr:uid="{00000000-0005-0000-0000-000014030000}"/>
    <cellStyle name="Обычный 22 23" xfId="663" xr:uid="{00000000-0005-0000-0000-000015030000}"/>
    <cellStyle name="Обычный 22 24" xfId="664" xr:uid="{00000000-0005-0000-0000-000016030000}"/>
    <cellStyle name="Обычный 22 25" xfId="665" xr:uid="{00000000-0005-0000-0000-000017030000}"/>
    <cellStyle name="Обычный 22 26" xfId="666" xr:uid="{00000000-0005-0000-0000-000018030000}"/>
    <cellStyle name="Обычный 22 27" xfId="667" xr:uid="{00000000-0005-0000-0000-000019030000}"/>
    <cellStyle name="Обычный 22 28" xfId="668" xr:uid="{00000000-0005-0000-0000-00001A030000}"/>
    <cellStyle name="Обычный 22 29" xfId="669" xr:uid="{00000000-0005-0000-0000-00001B030000}"/>
    <cellStyle name="Обычный 22 3" xfId="670" xr:uid="{00000000-0005-0000-0000-00001C030000}"/>
    <cellStyle name="Обычный 22 30" xfId="671" xr:uid="{00000000-0005-0000-0000-00001D030000}"/>
    <cellStyle name="Обычный 22 31" xfId="672" xr:uid="{00000000-0005-0000-0000-00001E030000}"/>
    <cellStyle name="Обычный 22 32" xfId="673" xr:uid="{00000000-0005-0000-0000-00001F030000}"/>
    <cellStyle name="Обычный 22 4" xfId="674" xr:uid="{00000000-0005-0000-0000-000020030000}"/>
    <cellStyle name="Обычный 22 5" xfId="675" xr:uid="{00000000-0005-0000-0000-000021030000}"/>
    <cellStyle name="Обычный 22 6" xfId="676" xr:uid="{00000000-0005-0000-0000-000022030000}"/>
    <cellStyle name="Обычный 22 7" xfId="677" xr:uid="{00000000-0005-0000-0000-000023030000}"/>
    <cellStyle name="Обычный 22 8" xfId="678" xr:uid="{00000000-0005-0000-0000-000024030000}"/>
    <cellStyle name="Обычный 22 9" xfId="679" xr:uid="{00000000-0005-0000-0000-000025030000}"/>
    <cellStyle name="Обычный 23" xfId="680" xr:uid="{00000000-0005-0000-0000-000026030000}"/>
    <cellStyle name="Обычный 24" xfId="681" xr:uid="{00000000-0005-0000-0000-000027030000}"/>
    <cellStyle name="Обычный 24 2" xfId="682" xr:uid="{00000000-0005-0000-0000-000028030000}"/>
    <cellStyle name="Обычный 24 3" xfId="683" xr:uid="{00000000-0005-0000-0000-000029030000}"/>
    <cellStyle name="Обычный 24 4" xfId="684" xr:uid="{00000000-0005-0000-0000-00002A030000}"/>
    <cellStyle name="Обычный 25" xfId="685" xr:uid="{00000000-0005-0000-0000-00002B030000}"/>
    <cellStyle name="Обычный 25 2" xfId="686" xr:uid="{00000000-0005-0000-0000-00002C030000}"/>
    <cellStyle name="Обычный 256" xfId="687" xr:uid="{00000000-0005-0000-0000-00002D030000}"/>
    <cellStyle name="Обычный 256 2" xfId="688" xr:uid="{00000000-0005-0000-0000-00002E030000}"/>
    <cellStyle name="Обычный 26" xfId="689" xr:uid="{00000000-0005-0000-0000-00002F030000}"/>
    <cellStyle name="Обычный 26 10" xfId="690" xr:uid="{00000000-0005-0000-0000-000030030000}"/>
    <cellStyle name="Обычный 26 11" xfId="691" xr:uid="{00000000-0005-0000-0000-000031030000}"/>
    <cellStyle name="Обычный 26 12" xfId="692" xr:uid="{00000000-0005-0000-0000-000032030000}"/>
    <cellStyle name="Обычный 26 13" xfId="693" xr:uid="{00000000-0005-0000-0000-000033030000}"/>
    <cellStyle name="Обычный 26 14" xfId="694" xr:uid="{00000000-0005-0000-0000-000034030000}"/>
    <cellStyle name="Обычный 26 15" xfId="695" xr:uid="{00000000-0005-0000-0000-000035030000}"/>
    <cellStyle name="Обычный 26 16" xfId="696" xr:uid="{00000000-0005-0000-0000-000036030000}"/>
    <cellStyle name="Обычный 26 17" xfId="697" xr:uid="{00000000-0005-0000-0000-000037030000}"/>
    <cellStyle name="Обычный 26 18" xfId="698" xr:uid="{00000000-0005-0000-0000-000038030000}"/>
    <cellStyle name="Обычный 26 19" xfId="699" xr:uid="{00000000-0005-0000-0000-000039030000}"/>
    <cellStyle name="Обычный 26 2" xfId="700" xr:uid="{00000000-0005-0000-0000-00003A030000}"/>
    <cellStyle name="Обычный 26 20" xfId="701" xr:uid="{00000000-0005-0000-0000-00003B030000}"/>
    <cellStyle name="Обычный 26 21" xfId="702" xr:uid="{00000000-0005-0000-0000-00003C030000}"/>
    <cellStyle name="Обычный 26 22" xfId="703" xr:uid="{00000000-0005-0000-0000-00003D030000}"/>
    <cellStyle name="Обычный 26 23" xfId="704" xr:uid="{00000000-0005-0000-0000-00003E030000}"/>
    <cellStyle name="Обычный 26 24" xfId="705" xr:uid="{00000000-0005-0000-0000-00003F030000}"/>
    <cellStyle name="Обычный 26 25" xfId="706" xr:uid="{00000000-0005-0000-0000-000040030000}"/>
    <cellStyle name="Обычный 26 26" xfId="707" xr:uid="{00000000-0005-0000-0000-000041030000}"/>
    <cellStyle name="Обычный 26 27" xfId="708" xr:uid="{00000000-0005-0000-0000-000042030000}"/>
    <cellStyle name="Обычный 26 28" xfId="709" xr:uid="{00000000-0005-0000-0000-000043030000}"/>
    <cellStyle name="Обычный 26 29" xfId="710" xr:uid="{00000000-0005-0000-0000-000044030000}"/>
    <cellStyle name="Обычный 26 3" xfId="711" xr:uid="{00000000-0005-0000-0000-000045030000}"/>
    <cellStyle name="Обычный 26 3 2" xfId="712" xr:uid="{00000000-0005-0000-0000-000046030000}"/>
    <cellStyle name="Обычный 26 30" xfId="713" xr:uid="{00000000-0005-0000-0000-000047030000}"/>
    <cellStyle name="Обычный 26 31" xfId="714" xr:uid="{00000000-0005-0000-0000-000048030000}"/>
    <cellStyle name="Обычный 26 32" xfId="715" xr:uid="{00000000-0005-0000-0000-000049030000}"/>
    <cellStyle name="Обычный 26 4" xfId="716" xr:uid="{00000000-0005-0000-0000-00004A030000}"/>
    <cellStyle name="Обычный 26 5" xfId="717" xr:uid="{00000000-0005-0000-0000-00004B030000}"/>
    <cellStyle name="Обычный 26 6" xfId="718" xr:uid="{00000000-0005-0000-0000-00004C030000}"/>
    <cellStyle name="Обычный 26 7" xfId="719" xr:uid="{00000000-0005-0000-0000-00004D030000}"/>
    <cellStyle name="Обычный 26 8" xfId="720" xr:uid="{00000000-0005-0000-0000-00004E030000}"/>
    <cellStyle name="Обычный 26 9" xfId="721" xr:uid="{00000000-0005-0000-0000-00004F030000}"/>
    <cellStyle name="Обычный 27" xfId="722" xr:uid="{00000000-0005-0000-0000-000050030000}"/>
    <cellStyle name="Обычный 27 2" xfId="723" xr:uid="{00000000-0005-0000-0000-000051030000}"/>
    <cellStyle name="Обычный 28" xfId="724" xr:uid="{00000000-0005-0000-0000-000052030000}"/>
    <cellStyle name="Обычный 29" xfId="725" xr:uid="{00000000-0005-0000-0000-000053030000}"/>
    <cellStyle name="Обычный 3" xfId="5" xr:uid="{00000000-0005-0000-0000-000054030000}"/>
    <cellStyle name="Обычный 3 2" xfId="726" xr:uid="{00000000-0005-0000-0000-000055030000}"/>
    <cellStyle name="Обычный 3 2 2" xfId="727" xr:uid="{00000000-0005-0000-0000-000056030000}"/>
    <cellStyle name="Обычный 3 2 2 2" xfId="728" xr:uid="{00000000-0005-0000-0000-000057030000}"/>
    <cellStyle name="Обычный 3 2 3" xfId="729" xr:uid="{00000000-0005-0000-0000-000058030000}"/>
    <cellStyle name="Обычный 3 2 4" xfId="730" xr:uid="{00000000-0005-0000-0000-000059030000}"/>
    <cellStyle name="Обычный 3 3" xfId="731" xr:uid="{00000000-0005-0000-0000-00005A030000}"/>
    <cellStyle name="Обычный 3 3 2" xfId="732" xr:uid="{00000000-0005-0000-0000-00005B030000}"/>
    <cellStyle name="Обычный 3 3 2 2" xfId="733" xr:uid="{00000000-0005-0000-0000-00005C030000}"/>
    <cellStyle name="Обычный 3 3 3" xfId="734" xr:uid="{00000000-0005-0000-0000-00005D030000}"/>
    <cellStyle name="Обычный 3 4" xfId="735" xr:uid="{00000000-0005-0000-0000-00005E030000}"/>
    <cellStyle name="Обычный 3 5" xfId="736" xr:uid="{00000000-0005-0000-0000-00005F030000}"/>
    <cellStyle name="Обычный 3 5 2" xfId="737" xr:uid="{00000000-0005-0000-0000-000060030000}"/>
    <cellStyle name="Обычный 3 6" xfId="738" xr:uid="{00000000-0005-0000-0000-000061030000}"/>
    <cellStyle name="Обычный 3 7" xfId="739" xr:uid="{00000000-0005-0000-0000-000062030000}"/>
    <cellStyle name="Обычный 3 8" xfId="9" xr:uid="{00000000-0005-0000-0000-000063030000}"/>
    <cellStyle name="Обычный 3 9" xfId="1291" xr:uid="{00000000-0005-0000-0000-000064030000}"/>
    <cellStyle name="Обычный 30" xfId="740" xr:uid="{00000000-0005-0000-0000-000065030000}"/>
    <cellStyle name="Обычный 30 2" xfId="741" xr:uid="{00000000-0005-0000-0000-000066030000}"/>
    <cellStyle name="Обычный 31" xfId="742" xr:uid="{00000000-0005-0000-0000-000067030000}"/>
    <cellStyle name="Обычный 31 2" xfId="743" xr:uid="{00000000-0005-0000-0000-000068030000}"/>
    <cellStyle name="Обычный 32" xfId="744" xr:uid="{00000000-0005-0000-0000-000069030000}"/>
    <cellStyle name="Обычный 32 2" xfId="745" xr:uid="{00000000-0005-0000-0000-00006A030000}"/>
    <cellStyle name="Обычный 33" xfId="746" xr:uid="{00000000-0005-0000-0000-00006B030000}"/>
    <cellStyle name="Обычный 33 2" xfId="747" xr:uid="{00000000-0005-0000-0000-00006C030000}"/>
    <cellStyle name="Обычный 34" xfId="748" xr:uid="{00000000-0005-0000-0000-00006D030000}"/>
    <cellStyle name="Обычный 34 2" xfId="749" xr:uid="{00000000-0005-0000-0000-00006E030000}"/>
    <cellStyle name="Обычный 35" xfId="750" xr:uid="{00000000-0005-0000-0000-00006F030000}"/>
    <cellStyle name="Обычный 35 10" xfId="751" xr:uid="{00000000-0005-0000-0000-000070030000}"/>
    <cellStyle name="Обычный 35 11" xfId="752" xr:uid="{00000000-0005-0000-0000-000071030000}"/>
    <cellStyle name="Обычный 35 12" xfId="753" xr:uid="{00000000-0005-0000-0000-000072030000}"/>
    <cellStyle name="Обычный 35 13" xfId="754" xr:uid="{00000000-0005-0000-0000-000073030000}"/>
    <cellStyle name="Обычный 35 14" xfId="755" xr:uid="{00000000-0005-0000-0000-000074030000}"/>
    <cellStyle name="Обычный 35 15" xfId="756" xr:uid="{00000000-0005-0000-0000-000075030000}"/>
    <cellStyle name="Обычный 35 16" xfId="757" xr:uid="{00000000-0005-0000-0000-000076030000}"/>
    <cellStyle name="Обычный 35 17" xfId="758" xr:uid="{00000000-0005-0000-0000-000077030000}"/>
    <cellStyle name="Обычный 35 18" xfId="759" xr:uid="{00000000-0005-0000-0000-000078030000}"/>
    <cellStyle name="Обычный 35 19" xfId="760" xr:uid="{00000000-0005-0000-0000-000079030000}"/>
    <cellStyle name="Обычный 35 2" xfId="761" xr:uid="{00000000-0005-0000-0000-00007A030000}"/>
    <cellStyle name="Обычный 35 2 2" xfId="762" xr:uid="{00000000-0005-0000-0000-00007B030000}"/>
    <cellStyle name="Обычный 35 20" xfId="763" xr:uid="{00000000-0005-0000-0000-00007C030000}"/>
    <cellStyle name="Обычный 35 21" xfId="764" xr:uid="{00000000-0005-0000-0000-00007D030000}"/>
    <cellStyle name="Обычный 35 22" xfId="765" xr:uid="{00000000-0005-0000-0000-00007E030000}"/>
    <cellStyle name="Обычный 35 23" xfId="766" xr:uid="{00000000-0005-0000-0000-00007F030000}"/>
    <cellStyle name="Обычный 35 24" xfId="767" xr:uid="{00000000-0005-0000-0000-000080030000}"/>
    <cellStyle name="Обычный 35 25" xfId="768" xr:uid="{00000000-0005-0000-0000-000081030000}"/>
    <cellStyle name="Обычный 35 26" xfId="769" xr:uid="{00000000-0005-0000-0000-000082030000}"/>
    <cellStyle name="Обычный 35 27" xfId="770" xr:uid="{00000000-0005-0000-0000-000083030000}"/>
    <cellStyle name="Обычный 35 28" xfId="771" xr:uid="{00000000-0005-0000-0000-000084030000}"/>
    <cellStyle name="Обычный 35 29" xfId="772" xr:uid="{00000000-0005-0000-0000-000085030000}"/>
    <cellStyle name="Обычный 35 3" xfId="773" xr:uid="{00000000-0005-0000-0000-000086030000}"/>
    <cellStyle name="Обычный 35 30" xfId="774" xr:uid="{00000000-0005-0000-0000-000087030000}"/>
    <cellStyle name="Обычный 35 31" xfId="775" xr:uid="{00000000-0005-0000-0000-000088030000}"/>
    <cellStyle name="Обычный 35 4" xfId="776" xr:uid="{00000000-0005-0000-0000-000089030000}"/>
    <cellStyle name="Обычный 35 5" xfId="777" xr:uid="{00000000-0005-0000-0000-00008A030000}"/>
    <cellStyle name="Обычный 35 6" xfId="778" xr:uid="{00000000-0005-0000-0000-00008B030000}"/>
    <cellStyle name="Обычный 35 7" xfId="779" xr:uid="{00000000-0005-0000-0000-00008C030000}"/>
    <cellStyle name="Обычный 35 8" xfId="780" xr:uid="{00000000-0005-0000-0000-00008D030000}"/>
    <cellStyle name="Обычный 35 9" xfId="781" xr:uid="{00000000-0005-0000-0000-00008E030000}"/>
    <cellStyle name="Обычный 36" xfId="782" xr:uid="{00000000-0005-0000-0000-00008F030000}"/>
    <cellStyle name="Обычный 36 2" xfId="783" xr:uid="{00000000-0005-0000-0000-000090030000}"/>
    <cellStyle name="Обычный 37" xfId="784" xr:uid="{00000000-0005-0000-0000-000091030000}"/>
    <cellStyle name="Обычный 37 2" xfId="785" xr:uid="{00000000-0005-0000-0000-000092030000}"/>
    <cellStyle name="Обычный 38" xfId="786" xr:uid="{00000000-0005-0000-0000-000093030000}"/>
    <cellStyle name="Обычный 38 2" xfId="787" xr:uid="{00000000-0005-0000-0000-000094030000}"/>
    <cellStyle name="Обычный 39" xfId="788" xr:uid="{00000000-0005-0000-0000-000095030000}"/>
    <cellStyle name="Обычный 39 2" xfId="789" xr:uid="{00000000-0005-0000-0000-000096030000}"/>
    <cellStyle name="Обычный 4" xfId="6" xr:uid="{00000000-0005-0000-0000-000097030000}"/>
    <cellStyle name="Обычный 4 2" xfId="4" xr:uid="{00000000-0005-0000-0000-000098030000}"/>
    <cellStyle name="Обычный 4 2 2" xfId="790" xr:uid="{00000000-0005-0000-0000-000099030000}"/>
    <cellStyle name="Обычный 4 2 3" xfId="791" xr:uid="{00000000-0005-0000-0000-00009A030000}"/>
    <cellStyle name="Обычный 4 3" xfId="792" xr:uid="{00000000-0005-0000-0000-00009B030000}"/>
    <cellStyle name="Обычный 4 3 2" xfId="793" xr:uid="{00000000-0005-0000-0000-00009C030000}"/>
    <cellStyle name="Обычный 4 4" xfId="794" xr:uid="{00000000-0005-0000-0000-00009D030000}"/>
    <cellStyle name="Обычный 4 4 2" xfId="795" xr:uid="{00000000-0005-0000-0000-00009E030000}"/>
    <cellStyle name="Обычный 4 5" xfId="796" xr:uid="{00000000-0005-0000-0000-00009F030000}"/>
    <cellStyle name="Обычный 40" xfId="797" xr:uid="{00000000-0005-0000-0000-0000A0030000}"/>
    <cellStyle name="Обычный 40 10" xfId="798" xr:uid="{00000000-0005-0000-0000-0000A1030000}"/>
    <cellStyle name="Обычный 40 11" xfId="799" xr:uid="{00000000-0005-0000-0000-0000A2030000}"/>
    <cellStyle name="Обычный 40 12" xfId="800" xr:uid="{00000000-0005-0000-0000-0000A3030000}"/>
    <cellStyle name="Обычный 40 13" xfId="801" xr:uid="{00000000-0005-0000-0000-0000A4030000}"/>
    <cellStyle name="Обычный 40 14" xfId="802" xr:uid="{00000000-0005-0000-0000-0000A5030000}"/>
    <cellStyle name="Обычный 40 15" xfId="803" xr:uid="{00000000-0005-0000-0000-0000A6030000}"/>
    <cellStyle name="Обычный 40 16" xfId="804" xr:uid="{00000000-0005-0000-0000-0000A7030000}"/>
    <cellStyle name="Обычный 40 17" xfId="805" xr:uid="{00000000-0005-0000-0000-0000A8030000}"/>
    <cellStyle name="Обычный 40 18" xfId="806" xr:uid="{00000000-0005-0000-0000-0000A9030000}"/>
    <cellStyle name="Обычный 40 19" xfId="807" xr:uid="{00000000-0005-0000-0000-0000AA030000}"/>
    <cellStyle name="Обычный 40 2" xfId="808" xr:uid="{00000000-0005-0000-0000-0000AB030000}"/>
    <cellStyle name="Обычный 40 2 2" xfId="809" xr:uid="{00000000-0005-0000-0000-0000AC030000}"/>
    <cellStyle name="Обычный 40 20" xfId="810" xr:uid="{00000000-0005-0000-0000-0000AD030000}"/>
    <cellStyle name="Обычный 40 21" xfId="811" xr:uid="{00000000-0005-0000-0000-0000AE030000}"/>
    <cellStyle name="Обычный 40 22" xfId="812" xr:uid="{00000000-0005-0000-0000-0000AF030000}"/>
    <cellStyle name="Обычный 40 23" xfId="813" xr:uid="{00000000-0005-0000-0000-0000B0030000}"/>
    <cellStyle name="Обычный 40 24" xfId="814" xr:uid="{00000000-0005-0000-0000-0000B1030000}"/>
    <cellStyle name="Обычный 40 25" xfId="815" xr:uid="{00000000-0005-0000-0000-0000B2030000}"/>
    <cellStyle name="Обычный 40 26" xfId="816" xr:uid="{00000000-0005-0000-0000-0000B3030000}"/>
    <cellStyle name="Обычный 40 27" xfId="817" xr:uid="{00000000-0005-0000-0000-0000B4030000}"/>
    <cellStyle name="Обычный 40 28" xfId="818" xr:uid="{00000000-0005-0000-0000-0000B5030000}"/>
    <cellStyle name="Обычный 40 29" xfId="819" xr:uid="{00000000-0005-0000-0000-0000B6030000}"/>
    <cellStyle name="Обычный 40 3" xfId="820" xr:uid="{00000000-0005-0000-0000-0000B7030000}"/>
    <cellStyle name="Обычный 40 30" xfId="821" xr:uid="{00000000-0005-0000-0000-0000B8030000}"/>
    <cellStyle name="Обычный 40 31" xfId="822" xr:uid="{00000000-0005-0000-0000-0000B9030000}"/>
    <cellStyle name="Обычный 40 32" xfId="823" xr:uid="{00000000-0005-0000-0000-0000BA030000}"/>
    <cellStyle name="Обычный 40 4" xfId="824" xr:uid="{00000000-0005-0000-0000-0000BB030000}"/>
    <cellStyle name="Обычный 40 5" xfId="825" xr:uid="{00000000-0005-0000-0000-0000BC030000}"/>
    <cellStyle name="Обычный 40 6" xfId="826" xr:uid="{00000000-0005-0000-0000-0000BD030000}"/>
    <cellStyle name="Обычный 40 7" xfId="827" xr:uid="{00000000-0005-0000-0000-0000BE030000}"/>
    <cellStyle name="Обычный 40 8" xfId="828" xr:uid="{00000000-0005-0000-0000-0000BF030000}"/>
    <cellStyle name="Обычный 40 9" xfId="829" xr:uid="{00000000-0005-0000-0000-0000C0030000}"/>
    <cellStyle name="Обычный 41" xfId="830" xr:uid="{00000000-0005-0000-0000-0000C1030000}"/>
    <cellStyle name="Обычный 41 10" xfId="831" xr:uid="{00000000-0005-0000-0000-0000C2030000}"/>
    <cellStyle name="Обычный 41 11" xfId="832" xr:uid="{00000000-0005-0000-0000-0000C3030000}"/>
    <cellStyle name="Обычный 41 12" xfId="833" xr:uid="{00000000-0005-0000-0000-0000C4030000}"/>
    <cellStyle name="Обычный 41 13" xfId="834" xr:uid="{00000000-0005-0000-0000-0000C5030000}"/>
    <cellStyle name="Обычный 41 14" xfId="835" xr:uid="{00000000-0005-0000-0000-0000C6030000}"/>
    <cellStyle name="Обычный 41 15" xfId="836" xr:uid="{00000000-0005-0000-0000-0000C7030000}"/>
    <cellStyle name="Обычный 41 16" xfId="837" xr:uid="{00000000-0005-0000-0000-0000C8030000}"/>
    <cellStyle name="Обычный 41 17" xfId="838" xr:uid="{00000000-0005-0000-0000-0000C9030000}"/>
    <cellStyle name="Обычный 41 18" xfId="839" xr:uid="{00000000-0005-0000-0000-0000CA030000}"/>
    <cellStyle name="Обычный 41 19" xfId="840" xr:uid="{00000000-0005-0000-0000-0000CB030000}"/>
    <cellStyle name="Обычный 41 2" xfId="841" xr:uid="{00000000-0005-0000-0000-0000CC030000}"/>
    <cellStyle name="Обычный 41 2 2" xfId="842" xr:uid="{00000000-0005-0000-0000-0000CD030000}"/>
    <cellStyle name="Обычный 41 20" xfId="843" xr:uid="{00000000-0005-0000-0000-0000CE030000}"/>
    <cellStyle name="Обычный 41 21" xfId="844" xr:uid="{00000000-0005-0000-0000-0000CF030000}"/>
    <cellStyle name="Обычный 41 22" xfId="845" xr:uid="{00000000-0005-0000-0000-0000D0030000}"/>
    <cellStyle name="Обычный 41 23" xfId="846" xr:uid="{00000000-0005-0000-0000-0000D1030000}"/>
    <cellStyle name="Обычный 41 24" xfId="847" xr:uid="{00000000-0005-0000-0000-0000D2030000}"/>
    <cellStyle name="Обычный 41 25" xfId="848" xr:uid="{00000000-0005-0000-0000-0000D3030000}"/>
    <cellStyle name="Обычный 41 26" xfId="849" xr:uid="{00000000-0005-0000-0000-0000D4030000}"/>
    <cellStyle name="Обычный 41 27" xfId="850" xr:uid="{00000000-0005-0000-0000-0000D5030000}"/>
    <cellStyle name="Обычный 41 28" xfId="851" xr:uid="{00000000-0005-0000-0000-0000D6030000}"/>
    <cellStyle name="Обычный 41 29" xfId="852" xr:uid="{00000000-0005-0000-0000-0000D7030000}"/>
    <cellStyle name="Обычный 41 3" xfId="853" xr:uid="{00000000-0005-0000-0000-0000D8030000}"/>
    <cellStyle name="Обычный 41 30" xfId="854" xr:uid="{00000000-0005-0000-0000-0000D9030000}"/>
    <cellStyle name="Обычный 41 31" xfId="855" xr:uid="{00000000-0005-0000-0000-0000DA030000}"/>
    <cellStyle name="Обычный 41 32" xfId="856" xr:uid="{00000000-0005-0000-0000-0000DB030000}"/>
    <cellStyle name="Обычный 41 4" xfId="857" xr:uid="{00000000-0005-0000-0000-0000DC030000}"/>
    <cellStyle name="Обычный 41 5" xfId="858" xr:uid="{00000000-0005-0000-0000-0000DD030000}"/>
    <cellStyle name="Обычный 41 6" xfId="859" xr:uid="{00000000-0005-0000-0000-0000DE030000}"/>
    <cellStyle name="Обычный 41 7" xfId="860" xr:uid="{00000000-0005-0000-0000-0000DF030000}"/>
    <cellStyle name="Обычный 41 8" xfId="861" xr:uid="{00000000-0005-0000-0000-0000E0030000}"/>
    <cellStyle name="Обычный 41 9" xfId="862" xr:uid="{00000000-0005-0000-0000-0000E1030000}"/>
    <cellStyle name="Обычный 42" xfId="863" xr:uid="{00000000-0005-0000-0000-0000E2030000}"/>
    <cellStyle name="Обычный 43" xfId="864" xr:uid="{00000000-0005-0000-0000-0000E3030000}"/>
    <cellStyle name="Обычный 44" xfId="865" xr:uid="{00000000-0005-0000-0000-0000E4030000}"/>
    <cellStyle name="Обычный 45" xfId="866" xr:uid="{00000000-0005-0000-0000-0000E5030000}"/>
    <cellStyle name="Обычный 46" xfId="867" xr:uid="{00000000-0005-0000-0000-0000E6030000}"/>
    <cellStyle name="Обычный 47" xfId="868" xr:uid="{00000000-0005-0000-0000-0000E7030000}"/>
    <cellStyle name="Обычный 47 2" xfId="869" xr:uid="{00000000-0005-0000-0000-0000E8030000}"/>
    <cellStyle name="Обычный 47 3" xfId="870" xr:uid="{00000000-0005-0000-0000-0000E9030000}"/>
    <cellStyle name="Обычный 47 4" xfId="871" xr:uid="{00000000-0005-0000-0000-0000EA030000}"/>
    <cellStyle name="Обычный 47 5" xfId="872" xr:uid="{00000000-0005-0000-0000-0000EB030000}"/>
    <cellStyle name="Обычный 47 6" xfId="873" xr:uid="{00000000-0005-0000-0000-0000EC030000}"/>
    <cellStyle name="Обычный 47 7" xfId="874" xr:uid="{00000000-0005-0000-0000-0000ED030000}"/>
    <cellStyle name="Обычный 48" xfId="875" xr:uid="{00000000-0005-0000-0000-0000EE030000}"/>
    <cellStyle name="Обычный 48 2" xfId="876" xr:uid="{00000000-0005-0000-0000-0000EF030000}"/>
    <cellStyle name="Обычный 48 3" xfId="877" xr:uid="{00000000-0005-0000-0000-0000F0030000}"/>
    <cellStyle name="Обычный 49" xfId="878" xr:uid="{00000000-0005-0000-0000-0000F1030000}"/>
    <cellStyle name="Обычный 5" xfId="879" xr:uid="{00000000-0005-0000-0000-0000F2030000}"/>
    <cellStyle name="Обычный 5 2" xfId="880" xr:uid="{00000000-0005-0000-0000-0000F3030000}"/>
    <cellStyle name="Обычный 5 2 2" xfId="881" xr:uid="{00000000-0005-0000-0000-0000F4030000}"/>
    <cellStyle name="Обычный 5 2 2 2" xfId="882" xr:uid="{00000000-0005-0000-0000-0000F5030000}"/>
    <cellStyle name="Обычный 5 2 3" xfId="883" xr:uid="{00000000-0005-0000-0000-0000F6030000}"/>
    <cellStyle name="Обычный 5 3" xfId="884" xr:uid="{00000000-0005-0000-0000-0000F7030000}"/>
    <cellStyle name="Обычный 5 3 2" xfId="885" xr:uid="{00000000-0005-0000-0000-0000F8030000}"/>
    <cellStyle name="Обычный 5 3 2 2" xfId="886" xr:uid="{00000000-0005-0000-0000-0000F9030000}"/>
    <cellStyle name="Обычный 5 3 3" xfId="887" xr:uid="{00000000-0005-0000-0000-0000FA030000}"/>
    <cellStyle name="Обычный 5 3 4" xfId="888" xr:uid="{00000000-0005-0000-0000-0000FB030000}"/>
    <cellStyle name="Обычный 5 4" xfId="889" xr:uid="{00000000-0005-0000-0000-0000FC030000}"/>
    <cellStyle name="Обычный 5 4 2" xfId="890" xr:uid="{00000000-0005-0000-0000-0000FD030000}"/>
    <cellStyle name="Обычный 5 5" xfId="891" xr:uid="{00000000-0005-0000-0000-0000FE030000}"/>
    <cellStyle name="Обычный 5 5 2" xfId="892" xr:uid="{00000000-0005-0000-0000-0000FF030000}"/>
    <cellStyle name="Обычный 5 6" xfId="893" xr:uid="{00000000-0005-0000-0000-000000040000}"/>
    <cellStyle name="Обычный 5 6 2" xfId="894" xr:uid="{00000000-0005-0000-0000-000001040000}"/>
    <cellStyle name="Обычный 5 7" xfId="895" xr:uid="{00000000-0005-0000-0000-000002040000}"/>
    <cellStyle name="Обычный 5 7 2" xfId="896" xr:uid="{00000000-0005-0000-0000-000003040000}"/>
    <cellStyle name="Обычный 5 8" xfId="897" xr:uid="{00000000-0005-0000-0000-000004040000}"/>
    <cellStyle name="Обычный 5 8 2" xfId="898" xr:uid="{00000000-0005-0000-0000-000005040000}"/>
    <cellStyle name="Обычный 50" xfId="899" xr:uid="{00000000-0005-0000-0000-000006040000}"/>
    <cellStyle name="Обычный 51" xfId="900" xr:uid="{00000000-0005-0000-0000-000007040000}"/>
    <cellStyle name="Обычный 52" xfId="901" xr:uid="{00000000-0005-0000-0000-000008040000}"/>
    <cellStyle name="Обычный 53" xfId="902" xr:uid="{00000000-0005-0000-0000-000009040000}"/>
    <cellStyle name="Обычный 54" xfId="903" xr:uid="{00000000-0005-0000-0000-00000A040000}"/>
    <cellStyle name="Обычный 55" xfId="904" xr:uid="{00000000-0005-0000-0000-00000B040000}"/>
    <cellStyle name="Обычный 56" xfId="905" xr:uid="{00000000-0005-0000-0000-00000C040000}"/>
    <cellStyle name="Обычный 57" xfId="906" xr:uid="{00000000-0005-0000-0000-00000D040000}"/>
    <cellStyle name="Обычный 58" xfId="907" xr:uid="{00000000-0005-0000-0000-00000E040000}"/>
    <cellStyle name="Обычный 59" xfId="908" xr:uid="{00000000-0005-0000-0000-00000F040000}"/>
    <cellStyle name="Обычный 6" xfId="909" xr:uid="{00000000-0005-0000-0000-000010040000}"/>
    <cellStyle name="Обычный 6 2" xfId="910" xr:uid="{00000000-0005-0000-0000-000011040000}"/>
    <cellStyle name="Обычный 6 2 2" xfId="911" xr:uid="{00000000-0005-0000-0000-000012040000}"/>
    <cellStyle name="Обычный 6 2 3" xfId="912" xr:uid="{00000000-0005-0000-0000-000013040000}"/>
    <cellStyle name="Обычный 6 3" xfId="913" xr:uid="{00000000-0005-0000-0000-000014040000}"/>
    <cellStyle name="Обычный 6 3 2" xfId="914" xr:uid="{00000000-0005-0000-0000-000015040000}"/>
    <cellStyle name="Обычный 6 4" xfId="915" xr:uid="{00000000-0005-0000-0000-000016040000}"/>
    <cellStyle name="Обычный 6 5" xfId="916" xr:uid="{00000000-0005-0000-0000-000017040000}"/>
    <cellStyle name="Обычный 6 6" xfId="917" xr:uid="{00000000-0005-0000-0000-000018040000}"/>
    <cellStyle name="Обычный 60" xfId="918" xr:uid="{00000000-0005-0000-0000-000019040000}"/>
    <cellStyle name="Обычный 61" xfId="919" xr:uid="{00000000-0005-0000-0000-00001A040000}"/>
    <cellStyle name="Обычный 62" xfId="920" xr:uid="{00000000-0005-0000-0000-00001B040000}"/>
    <cellStyle name="Обычный 63" xfId="921" xr:uid="{00000000-0005-0000-0000-00001C040000}"/>
    <cellStyle name="Обычный 64" xfId="922" xr:uid="{00000000-0005-0000-0000-00001D040000}"/>
    <cellStyle name="Обычный 65" xfId="923" xr:uid="{00000000-0005-0000-0000-00001E040000}"/>
    <cellStyle name="Обычный 65 2" xfId="924" xr:uid="{00000000-0005-0000-0000-00001F040000}"/>
    <cellStyle name="Обычный 66" xfId="925" xr:uid="{00000000-0005-0000-0000-000020040000}"/>
    <cellStyle name="Обычный 66 2" xfId="926" xr:uid="{00000000-0005-0000-0000-000021040000}"/>
    <cellStyle name="Обычный 66 3" xfId="927" xr:uid="{00000000-0005-0000-0000-000022040000}"/>
    <cellStyle name="Обычный 67" xfId="928" xr:uid="{00000000-0005-0000-0000-000023040000}"/>
    <cellStyle name="Обычный 68" xfId="929" xr:uid="{00000000-0005-0000-0000-000024040000}"/>
    <cellStyle name="Обычный 69" xfId="930" xr:uid="{00000000-0005-0000-0000-000025040000}"/>
    <cellStyle name="Обычный 7" xfId="931" xr:uid="{00000000-0005-0000-0000-000026040000}"/>
    <cellStyle name="Обычный 7 2" xfId="932" xr:uid="{00000000-0005-0000-0000-000027040000}"/>
    <cellStyle name="Обычный 7 2 2" xfId="933" xr:uid="{00000000-0005-0000-0000-000028040000}"/>
    <cellStyle name="Обычный 7 2 3" xfId="934" xr:uid="{00000000-0005-0000-0000-000029040000}"/>
    <cellStyle name="Обычный 7 3" xfId="935" xr:uid="{00000000-0005-0000-0000-00002A040000}"/>
    <cellStyle name="Обычный 7 3 2" xfId="936" xr:uid="{00000000-0005-0000-0000-00002B040000}"/>
    <cellStyle name="Обычный 7 4" xfId="937" xr:uid="{00000000-0005-0000-0000-00002C040000}"/>
    <cellStyle name="Обычный 7 4 2" xfId="938" xr:uid="{00000000-0005-0000-0000-00002D040000}"/>
    <cellStyle name="Обычный 7 5" xfId="939" xr:uid="{00000000-0005-0000-0000-00002E040000}"/>
    <cellStyle name="Обычный 70" xfId="940" xr:uid="{00000000-0005-0000-0000-00002F040000}"/>
    <cellStyle name="Обычный 71" xfId="941" xr:uid="{00000000-0005-0000-0000-000030040000}"/>
    <cellStyle name="Обычный 72" xfId="942" xr:uid="{00000000-0005-0000-0000-000031040000}"/>
    <cellStyle name="Обычный 73" xfId="943" xr:uid="{00000000-0005-0000-0000-000032040000}"/>
    <cellStyle name="Обычный 73 2" xfId="944" xr:uid="{00000000-0005-0000-0000-000033040000}"/>
    <cellStyle name="Обычный 73 3" xfId="945" xr:uid="{00000000-0005-0000-0000-000034040000}"/>
    <cellStyle name="Обычный 73 4" xfId="946" xr:uid="{00000000-0005-0000-0000-000035040000}"/>
    <cellStyle name="Обычный 74" xfId="947" xr:uid="{00000000-0005-0000-0000-000036040000}"/>
    <cellStyle name="Обычный 75" xfId="948" xr:uid="{00000000-0005-0000-0000-000037040000}"/>
    <cellStyle name="Обычный 75 2" xfId="949" xr:uid="{00000000-0005-0000-0000-000038040000}"/>
    <cellStyle name="Обычный 76" xfId="950" xr:uid="{00000000-0005-0000-0000-000039040000}"/>
    <cellStyle name="Обычный 77" xfId="951" xr:uid="{00000000-0005-0000-0000-00003A040000}"/>
    <cellStyle name="Обычный 78" xfId="952" xr:uid="{00000000-0005-0000-0000-00003B040000}"/>
    <cellStyle name="Обычный 78 2" xfId="953" xr:uid="{00000000-0005-0000-0000-00003C040000}"/>
    <cellStyle name="Обычный 78 3" xfId="954" xr:uid="{00000000-0005-0000-0000-00003D040000}"/>
    <cellStyle name="Обычный 79" xfId="955" xr:uid="{00000000-0005-0000-0000-00003E040000}"/>
    <cellStyle name="Обычный 8" xfId="956" xr:uid="{00000000-0005-0000-0000-00003F040000}"/>
    <cellStyle name="Обычный 8 2" xfId="957" xr:uid="{00000000-0005-0000-0000-000040040000}"/>
    <cellStyle name="Обычный 8 2 2" xfId="958" xr:uid="{00000000-0005-0000-0000-000041040000}"/>
    <cellStyle name="Обычный 8 2 3" xfId="959" xr:uid="{00000000-0005-0000-0000-000042040000}"/>
    <cellStyle name="Обычный 8 3" xfId="960" xr:uid="{00000000-0005-0000-0000-000043040000}"/>
    <cellStyle name="Обычный 8 3 2" xfId="961" xr:uid="{00000000-0005-0000-0000-000044040000}"/>
    <cellStyle name="Обычный 8 4" xfId="962" xr:uid="{00000000-0005-0000-0000-000045040000}"/>
    <cellStyle name="Обычный 8 5" xfId="963" xr:uid="{00000000-0005-0000-0000-000046040000}"/>
    <cellStyle name="Обычный 8 6" xfId="964" xr:uid="{00000000-0005-0000-0000-000047040000}"/>
    <cellStyle name="Обычный 80" xfId="965" xr:uid="{00000000-0005-0000-0000-000048040000}"/>
    <cellStyle name="Обычный 81" xfId="966" xr:uid="{00000000-0005-0000-0000-000049040000}"/>
    <cellStyle name="Обычный 82" xfId="967" xr:uid="{00000000-0005-0000-0000-00004A040000}"/>
    <cellStyle name="Обычный 83" xfId="968" xr:uid="{00000000-0005-0000-0000-00004B040000}"/>
    <cellStyle name="Обычный 84" xfId="969" xr:uid="{00000000-0005-0000-0000-00004C040000}"/>
    <cellStyle name="Обычный 85" xfId="970" xr:uid="{00000000-0005-0000-0000-00004D040000}"/>
    <cellStyle name="Обычный 86" xfId="971" xr:uid="{00000000-0005-0000-0000-00004E040000}"/>
    <cellStyle name="Обычный 87" xfId="972" xr:uid="{00000000-0005-0000-0000-00004F040000}"/>
    <cellStyle name="Обычный 87 2" xfId="973" xr:uid="{00000000-0005-0000-0000-000050040000}"/>
    <cellStyle name="Обычный 87 3" xfId="974" xr:uid="{00000000-0005-0000-0000-000051040000}"/>
    <cellStyle name="Обычный 88" xfId="975" xr:uid="{00000000-0005-0000-0000-000052040000}"/>
    <cellStyle name="Обычный 88 2" xfId="976" xr:uid="{00000000-0005-0000-0000-000053040000}"/>
    <cellStyle name="Обычный 88 3" xfId="977" xr:uid="{00000000-0005-0000-0000-000054040000}"/>
    <cellStyle name="Обычный 89" xfId="978" xr:uid="{00000000-0005-0000-0000-000055040000}"/>
    <cellStyle name="Обычный 9" xfId="979" xr:uid="{00000000-0005-0000-0000-000056040000}"/>
    <cellStyle name="Обычный 9 2" xfId="980" xr:uid="{00000000-0005-0000-0000-000057040000}"/>
    <cellStyle name="Обычный 9 2 2" xfId="981" xr:uid="{00000000-0005-0000-0000-000058040000}"/>
    <cellStyle name="Обычный 9 2 3" xfId="982" xr:uid="{00000000-0005-0000-0000-000059040000}"/>
    <cellStyle name="Обычный 9 3" xfId="983" xr:uid="{00000000-0005-0000-0000-00005A040000}"/>
    <cellStyle name="Обычный 9 3 2" xfId="984" xr:uid="{00000000-0005-0000-0000-00005B040000}"/>
    <cellStyle name="Обычный 9 4" xfId="985" xr:uid="{00000000-0005-0000-0000-00005C040000}"/>
    <cellStyle name="Обычный 90" xfId="986" xr:uid="{00000000-0005-0000-0000-00005D040000}"/>
    <cellStyle name="Обычный 90 2" xfId="987" xr:uid="{00000000-0005-0000-0000-00005E040000}"/>
    <cellStyle name="Обычный 91" xfId="988" xr:uid="{00000000-0005-0000-0000-00005F040000}"/>
    <cellStyle name="Обычный 92" xfId="989" xr:uid="{00000000-0005-0000-0000-000060040000}"/>
    <cellStyle name="Обычный 92 2" xfId="990" xr:uid="{00000000-0005-0000-0000-000061040000}"/>
    <cellStyle name="Обычный 93" xfId="991" xr:uid="{00000000-0005-0000-0000-000062040000}"/>
    <cellStyle name="Обычный 93 2" xfId="992" xr:uid="{00000000-0005-0000-0000-000063040000}"/>
    <cellStyle name="Обычный 93 3" xfId="993" xr:uid="{00000000-0005-0000-0000-000064040000}"/>
    <cellStyle name="Обычный 94" xfId="994" xr:uid="{00000000-0005-0000-0000-000065040000}"/>
    <cellStyle name="Обычный 94 2" xfId="995" xr:uid="{00000000-0005-0000-0000-000066040000}"/>
    <cellStyle name="Обычный 94 3" xfId="996" xr:uid="{00000000-0005-0000-0000-000067040000}"/>
    <cellStyle name="Обычный 95" xfId="997" xr:uid="{00000000-0005-0000-0000-000068040000}"/>
    <cellStyle name="Обычный 95 2" xfId="998" xr:uid="{00000000-0005-0000-0000-000069040000}"/>
    <cellStyle name="Обычный 96" xfId="999" xr:uid="{00000000-0005-0000-0000-00006A040000}"/>
    <cellStyle name="Обычный 97" xfId="1000" xr:uid="{00000000-0005-0000-0000-00006B040000}"/>
    <cellStyle name="Обычный 97 2" xfId="1001" xr:uid="{00000000-0005-0000-0000-00006C040000}"/>
    <cellStyle name="Обычный 98" xfId="1002" xr:uid="{00000000-0005-0000-0000-00006D040000}"/>
    <cellStyle name="Обычный 99" xfId="1003" xr:uid="{00000000-0005-0000-0000-00006E040000}"/>
    <cellStyle name="Обычный 99 2" xfId="1004" xr:uid="{00000000-0005-0000-0000-00006F040000}"/>
    <cellStyle name="Обычный 99 2 2" xfId="1005" xr:uid="{00000000-0005-0000-0000-000070040000}"/>
    <cellStyle name="Обычный_Книга3" xfId="1288" xr:uid="{00000000-0005-0000-0000-000071040000}"/>
    <cellStyle name="Плохой 2" xfId="1298" xr:uid="{00000000-0005-0000-0000-000072040000}"/>
    <cellStyle name="Пояснение 2" xfId="1307" xr:uid="{00000000-0005-0000-0000-000073040000}"/>
    <cellStyle name="Примечание 10" xfId="1006" xr:uid="{00000000-0005-0000-0000-000074040000}"/>
    <cellStyle name="Примечание 11" xfId="1007" xr:uid="{00000000-0005-0000-0000-000075040000}"/>
    <cellStyle name="Примечание 12" xfId="1008" xr:uid="{00000000-0005-0000-0000-000076040000}"/>
    <cellStyle name="Примечание 13" xfId="1009" xr:uid="{00000000-0005-0000-0000-000077040000}"/>
    <cellStyle name="Примечание 14" xfId="1010" xr:uid="{00000000-0005-0000-0000-000078040000}"/>
    <cellStyle name="Примечание 15" xfId="1011" xr:uid="{00000000-0005-0000-0000-000079040000}"/>
    <cellStyle name="Примечание 16" xfId="1012" xr:uid="{00000000-0005-0000-0000-00007A040000}"/>
    <cellStyle name="Примечание 17" xfId="1013" xr:uid="{00000000-0005-0000-0000-00007B040000}"/>
    <cellStyle name="Примечание 18" xfId="1014" xr:uid="{00000000-0005-0000-0000-00007C040000}"/>
    <cellStyle name="Примечание 19" xfId="1015" xr:uid="{00000000-0005-0000-0000-00007D040000}"/>
    <cellStyle name="Примечание 2" xfId="1016" xr:uid="{00000000-0005-0000-0000-00007E040000}"/>
    <cellStyle name="Примечание 2 2" xfId="1017" xr:uid="{00000000-0005-0000-0000-00007F040000}"/>
    <cellStyle name="Примечание 2 3" xfId="1018" xr:uid="{00000000-0005-0000-0000-000080040000}"/>
    <cellStyle name="Примечание 20" xfId="1019" xr:uid="{00000000-0005-0000-0000-000081040000}"/>
    <cellStyle name="Примечание 21" xfId="1020" xr:uid="{00000000-0005-0000-0000-000082040000}"/>
    <cellStyle name="Примечание 22" xfId="1021" xr:uid="{00000000-0005-0000-0000-000083040000}"/>
    <cellStyle name="Примечание 23" xfId="1022" xr:uid="{00000000-0005-0000-0000-000084040000}"/>
    <cellStyle name="Примечание 24" xfId="1023" xr:uid="{00000000-0005-0000-0000-000085040000}"/>
    <cellStyle name="Примечание 25" xfId="1024" xr:uid="{00000000-0005-0000-0000-000086040000}"/>
    <cellStyle name="Примечание 26" xfId="1025" xr:uid="{00000000-0005-0000-0000-000087040000}"/>
    <cellStyle name="Примечание 27" xfId="1026" xr:uid="{00000000-0005-0000-0000-000088040000}"/>
    <cellStyle name="Примечание 28" xfId="1027" xr:uid="{00000000-0005-0000-0000-000089040000}"/>
    <cellStyle name="Примечание 29" xfId="1028" xr:uid="{00000000-0005-0000-0000-00008A040000}"/>
    <cellStyle name="Примечание 3" xfId="1029" xr:uid="{00000000-0005-0000-0000-00008B040000}"/>
    <cellStyle name="Примечание 3 2" xfId="1030" xr:uid="{00000000-0005-0000-0000-00008C040000}"/>
    <cellStyle name="Примечание 3 3" xfId="1031" xr:uid="{00000000-0005-0000-0000-00008D040000}"/>
    <cellStyle name="Примечание 30" xfId="1032" xr:uid="{00000000-0005-0000-0000-00008E040000}"/>
    <cellStyle name="Примечание 31" xfId="1306" xr:uid="{00000000-0005-0000-0000-00008F040000}"/>
    <cellStyle name="Примечание 4" xfId="1033" xr:uid="{00000000-0005-0000-0000-000090040000}"/>
    <cellStyle name="Примечание 4 2" xfId="1034" xr:uid="{00000000-0005-0000-0000-000091040000}"/>
    <cellStyle name="Примечание 4 3" xfId="1035" xr:uid="{00000000-0005-0000-0000-000092040000}"/>
    <cellStyle name="Примечание 5" xfId="1036" xr:uid="{00000000-0005-0000-0000-000093040000}"/>
    <cellStyle name="Примечание 5 2" xfId="1037" xr:uid="{00000000-0005-0000-0000-000094040000}"/>
    <cellStyle name="Примечание 5 3" xfId="1038" xr:uid="{00000000-0005-0000-0000-000095040000}"/>
    <cellStyle name="Примечание 6" xfId="1039" xr:uid="{00000000-0005-0000-0000-000096040000}"/>
    <cellStyle name="Примечание 6 2" xfId="1040" xr:uid="{00000000-0005-0000-0000-000097040000}"/>
    <cellStyle name="Примечание 6 3" xfId="1041" xr:uid="{00000000-0005-0000-0000-000098040000}"/>
    <cellStyle name="Примечание 7" xfId="1042" xr:uid="{00000000-0005-0000-0000-000099040000}"/>
    <cellStyle name="Примечание 7 2" xfId="1043" xr:uid="{00000000-0005-0000-0000-00009A040000}"/>
    <cellStyle name="Примечание 7 3" xfId="1044" xr:uid="{00000000-0005-0000-0000-00009B040000}"/>
    <cellStyle name="Примечание 8" xfId="1045" xr:uid="{00000000-0005-0000-0000-00009C040000}"/>
    <cellStyle name="Примечание 8 2" xfId="1046" xr:uid="{00000000-0005-0000-0000-00009D040000}"/>
    <cellStyle name="Примечание 8 3" xfId="1047" xr:uid="{00000000-0005-0000-0000-00009E040000}"/>
    <cellStyle name="Примечание 9" xfId="1048" xr:uid="{00000000-0005-0000-0000-00009F040000}"/>
    <cellStyle name="Примечание 9 2" xfId="1049" xr:uid="{00000000-0005-0000-0000-0000A0040000}"/>
    <cellStyle name="Процентный" xfId="2" builtinId="5"/>
    <cellStyle name="Процентный 2" xfId="8" xr:uid="{00000000-0005-0000-0000-0000A2040000}"/>
    <cellStyle name="Процентный 2 2" xfId="1050" xr:uid="{00000000-0005-0000-0000-0000A3040000}"/>
    <cellStyle name="Процентный 2 2 2" xfId="10" xr:uid="{00000000-0005-0000-0000-0000A4040000}"/>
    <cellStyle name="Процентный 2 2 3" xfId="1051" xr:uid="{00000000-0005-0000-0000-0000A5040000}"/>
    <cellStyle name="Процентный 2 3" xfId="1052" xr:uid="{00000000-0005-0000-0000-0000A6040000}"/>
    <cellStyle name="Процентный 2 4" xfId="1053" xr:uid="{00000000-0005-0000-0000-0000A7040000}"/>
    <cellStyle name="Процентный 2 5" xfId="1054" xr:uid="{00000000-0005-0000-0000-0000A8040000}"/>
    <cellStyle name="Процентный 2 6" xfId="1055" xr:uid="{00000000-0005-0000-0000-0000A9040000}"/>
    <cellStyle name="Процентный 2 7" xfId="1056" xr:uid="{00000000-0005-0000-0000-0000AA040000}"/>
    <cellStyle name="Процентный 3" xfId="1057" xr:uid="{00000000-0005-0000-0000-0000AB040000}"/>
    <cellStyle name="Процентный 4" xfId="1058" xr:uid="{00000000-0005-0000-0000-0000AC040000}"/>
    <cellStyle name="Связанная ячейка 2" xfId="1303" xr:uid="{00000000-0005-0000-0000-0000AD040000}"/>
    <cellStyle name="Стиль 1" xfId="1059" xr:uid="{00000000-0005-0000-0000-0000AE040000}"/>
    <cellStyle name="Текст предупреждения 2" xfId="1305" xr:uid="{00000000-0005-0000-0000-0000AF040000}"/>
    <cellStyle name="Финансовый" xfId="3" builtinId="3"/>
    <cellStyle name="Финансовый [0] 2" xfId="1060" xr:uid="{00000000-0005-0000-0000-0000B1040000}"/>
    <cellStyle name="Финансовый [0] 2 2" xfId="1061" xr:uid="{00000000-0005-0000-0000-0000B2040000}"/>
    <cellStyle name="Финансовый [0] 67" xfId="1062" xr:uid="{00000000-0005-0000-0000-0000B3040000}"/>
    <cellStyle name="Финансовый 10" xfId="1063" xr:uid="{00000000-0005-0000-0000-0000B4040000}"/>
    <cellStyle name="Финансовый 10 2" xfId="1064" xr:uid="{00000000-0005-0000-0000-0000B5040000}"/>
    <cellStyle name="Финансовый 11" xfId="1065" xr:uid="{00000000-0005-0000-0000-0000B6040000}"/>
    <cellStyle name="Финансовый 11 2" xfId="1066" xr:uid="{00000000-0005-0000-0000-0000B7040000}"/>
    <cellStyle name="Финансовый 12" xfId="1290" xr:uid="{00000000-0005-0000-0000-0000B8040000}"/>
    <cellStyle name="Финансовый 13" xfId="1067" xr:uid="{00000000-0005-0000-0000-0000B9040000}"/>
    <cellStyle name="Финансовый 13 2" xfId="1068" xr:uid="{00000000-0005-0000-0000-0000BA040000}"/>
    <cellStyle name="Финансовый 13 3" xfId="1069" xr:uid="{00000000-0005-0000-0000-0000BB040000}"/>
    <cellStyle name="Финансовый 17" xfId="1070" xr:uid="{00000000-0005-0000-0000-0000BC040000}"/>
    <cellStyle name="Финансовый 19" xfId="1071" xr:uid="{00000000-0005-0000-0000-0000BD040000}"/>
    <cellStyle name="Финансовый 19 2" xfId="1072" xr:uid="{00000000-0005-0000-0000-0000BE040000}"/>
    <cellStyle name="Финансовый 19 3" xfId="1073" xr:uid="{00000000-0005-0000-0000-0000BF040000}"/>
    <cellStyle name="Финансовый 2" xfId="7" xr:uid="{00000000-0005-0000-0000-0000C0040000}"/>
    <cellStyle name="Финансовый 2 10" xfId="1074" xr:uid="{00000000-0005-0000-0000-0000C1040000}"/>
    <cellStyle name="Финансовый 2 11" xfId="1075" xr:uid="{00000000-0005-0000-0000-0000C2040000}"/>
    <cellStyle name="Финансовый 2 12" xfId="1076" xr:uid="{00000000-0005-0000-0000-0000C3040000}"/>
    <cellStyle name="Финансовый 2 13" xfId="1077" xr:uid="{00000000-0005-0000-0000-0000C4040000}"/>
    <cellStyle name="Финансовый 2 14" xfId="1078" xr:uid="{00000000-0005-0000-0000-0000C5040000}"/>
    <cellStyle name="Финансовый 2 15" xfId="1079" xr:uid="{00000000-0005-0000-0000-0000C6040000}"/>
    <cellStyle name="Финансовый 2 16" xfId="1080" xr:uid="{00000000-0005-0000-0000-0000C7040000}"/>
    <cellStyle name="Финансовый 2 17" xfId="1081" xr:uid="{00000000-0005-0000-0000-0000C8040000}"/>
    <cellStyle name="Финансовый 2 18" xfId="1082" xr:uid="{00000000-0005-0000-0000-0000C9040000}"/>
    <cellStyle name="Финансовый 2 19" xfId="1083" xr:uid="{00000000-0005-0000-0000-0000CA040000}"/>
    <cellStyle name="Финансовый 2 2" xfId="1084" xr:uid="{00000000-0005-0000-0000-0000CB040000}"/>
    <cellStyle name="Финансовый 2 2 2" xfId="1085" xr:uid="{00000000-0005-0000-0000-0000CC040000}"/>
    <cellStyle name="Финансовый 2 2 2 2" xfId="1086" xr:uid="{00000000-0005-0000-0000-0000CD040000}"/>
    <cellStyle name="Финансовый 2 2 2 3" xfId="1087" xr:uid="{00000000-0005-0000-0000-0000CE040000}"/>
    <cellStyle name="Финансовый 2 2 3" xfId="1088" xr:uid="{00000000-0005-0000-0000-0000CF040000}"/>
    <cellStyle name="Финансовый 2 2 4" xfId="1089" xr:uid="{00000000-0005-0000-0000-0000D0040000}"/>
    <cellStyle name="Финансовый 2 20" xfId="1090" xr:uid="{00000000-0005-0000-0000-0000D1040000}"/>
    <cellStyle name="Финансовый 2 21" xfId="1091" xr:uid="{00000000-0005-0000-0000-0000D2040000}"/>
    <cellStyle name="Финансовый 2 22" xfId="1092" xr:uid="{00000000-0005-0000-0000-0000D3040000}"/>
    <cellStyle name="Финансовый 2 23" xfId="1093" xr:uid="{00000000-0005-0000-0000-0000D4040000}"/>
    <cellStyle name="Финансовый 2 24" xfId="1094" xr:uid="{00000000-0005-0000-0000-0000D5040000}"/>
    <cellStyle name="Финансовый 2 25" xfId="1095" xr:uid="{00000000-0005-0000-0000-0000D6040000}"/>
    <cellStyle name="Финансовый 2 26" xfId="1096" xr:uid="{00000000-0005-0000-0000-0000D7040000}"/>
    <cellStyle name="Финансовый 2 27" xfId="1097" xr:uid="{00000000-0005-0000-0000-0000D8040000}"/>
    <cellStyle name="Финансовый 2 28" xfId="1098" xr:uid="{00000000-0005-0000-0000-0000D9040000}"/>
    <cellStyle name="Финансовый 2 29" xfId="1099" xr:uid="{00000000-0005-0000-0000-0000DA040000}"/>
    <cellStyle name="Финансовый 2 3" xfId="1100" xr:uid="{00000000-0005-0000-0000-0000DB040000}"/>
    <cellStyle name="Финансовый 2 3 2" xfId="1101" xr:uid="{00000000-0005-0000-0000-0000DC040000}"/>
    <cellStyle name="Финансовый 2 3 3" xfId="1102" xr:uid="{00000000-0005-0000-0000-0000DD040000}"/>
    <cellStyle name="Финансовый 2 3 4" xfId="1103" xr:uid="{00000000-0005-0000-0000-0000DE040000}"/>
    <cellStyle name="Финансовый 2 30" xfId="1104" xr:uid="{00000000-0005-0000-0000-0000DF040000}"/>
    <cellStyle name="Финансовый 2 4" xfId="1105" xr:uid="{00000000-0005-0000-0000-0000E0040000}"/>
    <cellStyle name="Финансовый 2 4 2" xfId="1106" xr:uid="{00000000-0005-0000-0000-0000E1040000}"/>
    <cellStyle name="Финансовый 2 4 3" xfId="1107" xr:uid="{00000000-0005-0000-0000-0000E2040000}"/>
    <cellStyle name="Финансовый 2 4 4" xfId="1108" xr:uid="{00000000-0005-0000-0000-0000E3040000}"/>
    <cellStyle name="Финансовый 2 5" xfId="1109" xr:uid="{00000000-0005-0000-0000-0000E4040000}"/>
    <cellStyle name="Финансовый 2 5 2" xfId="1110" xr:uid="{00000000-0005-0000-0000-0000E5040000}"/>
    <cellStyle name="Финансовый 2 6" xfId="1111" xr:uid="{00000000-0005-0000-0000-0000E6040000}"/>
    <cellStyle name="Финансовый 2 6 2" xfId="1112" xr:uid="{00000000-0005-0000-0000-0000E7040000}"/>
    <cellStyle name="Финансовый 2 7" xfId="1113" xr:uid="{00000000-0005-0000-0000-0000E8040000}"/>
    <cellStyle name="Финансовый 2 8" xfId="1114" xr:uid="{00000000-0005-0000-0000-0000E9040000}"/>
    <cellStyle name="Финансовый 2 9" xfId="1115" xr:uid="{00000000-0005-0000-0000-0000EA040000}"/>
    <cellStyle name="Финансовый 20" xfId="1116" xr:uid="{00000000-0005-0000-0000-0000EB040000}"/>
    <cellStyle name="Финансовый 21" xfId="1117" xr:uid="{00000000-0005-0000-0000-0000EC040000}"/>
    <cellStyle name="Финансовый 23" xfId="1118" xr:uid="{00000000-0005-0000-0000-0000ED040000}"/>
    <cellStyle name="Финансовый 24" xfId="1119" xr:uid="{00000000-0005-0000-0000-0000EE040000}"/>
    <cellStyle name="Финансовый 25" xfId="1120" xr:uid="{00000000-0005-0000-0000-0000EF040000}"/>
    <cellStyle name="Финансовый 26" xfId="1121" xr:uid="{00000000-0005-0000-0000-0000F0040000}"/>
    <cellStyle name="Финансовый 27" xfId="1122" xr:uid="{00000000-0005-0000-0000-0000F1040000}"/>
    <cellStyle name="Финансовый 28" xfId="1123" xr:uid="{00000000-0005-0000-0000-0000F2040000}"/>
    <cellStyle name="Финансовый 3" xfId="1124" xr:uid="{00000000-0005-0000-0000-0000F3040000}"/>
    <cellStyle name="Финансовый 3 10" xfId="1125" xr:uid="{00000000-0005-0000-0000-0000F4040000}"/>
    <cellStyle name="Финансовый 3 11" xfId="1126" xr:uid="{00000000-0005-0000-0000-0000F5040000}"/>
    <cellStyle name="Финансовый 3 12" xfId="1127" xr:uid="{00000000-0005-0000-0000-0000F6040000}"/>
    <cellStyle name="Финансовый 3 13" xfId="1128" xr:uid="{00000000-0005-0000-0000-0000F7040000}"/>
    <cellStyle name="Финансовый 3 14" xfId="1129" xr:uid="{00000000-0005-0000-0000-0000F8040000}"/>
    <cellStyle name="Финансовый 3 15" xfId="1130" xr:uid="{00000000-0005-0000-0000-0000F9040000}"/>
    <cellStyle name="Финансовый 3 16" xfId="1131" xr:uid="{00000000-0005-0000-0000-0000FA040000}"/>
    <cellStyle name="Финансовый 3 17" xfId="1132" xr:uid="{00000000-0005-0000-0000-0000FB040000}"/>
    <cellStyle name="Финансовый 3 18" xfId="1133" xr:uid="{00000000-0005-0000-0000-0000FC040000}"/>
    <cellStyle name="Финансовый 3 19" xfId="1134" xr:uid="{00000000-0005-0000-0000-0000FD040000}"/>
    <cellStyle name="Финансовый 3 2" xfId="1135" xr:uid="{00000000-0005-0000-0000-0000FE040000}"/>
    <cellStyle name="Финансовый 3 2 2" xfId="1136" xr:uid="{00000000-0005-0000-0000-0000FF040000}"/>
    <cellStyle name="Финансовый 3 2 2 2" xfId="1137" xr:uid="{00000000-0005-0000-0000-000000050000}"/>
    <cellStyle name="Финансовый 3 2 2 3" xfId="1138" xr:uid="{00000000-0005-0000-0000-000001050000}"/>
    <cellStyle name="Финансовый 3 2 3" xfId="1139" xr:uid="{00000000-0005-0000-0000-000002050000}"/>
    <cellStyle name="Финансовый 3 2 3 2" xfId="1140" xr:uid="{00000000-0005-0000-0000-000003050000}"/>
    <cellStyle name="Финансовый 3 2 4" xfId="1141" xr:uid="{00000000-0005-0000-0000-000004050000}"/>
    <cellStyle name="Финансовый 3 2 5" xfId="1142" xr:uid="{00000000-0005-0000-0000-000005050000}"/>
    <cellStyle name="Финансовый 3 2 6" xfId="1143" xr:uid="{00000000-0005-0000-0000-000006050000}"/>
    <cellStyle name="Финансовый 3 20" xfId="1144" xr:uid="{00000000-0005-0000-0000-000007050000}"/>
    <cellStyle name="Финансовый 3 21" xfId="1145" xr:uid="{00000000-0005-0000-0000-000008050000}"/>
    <cellStyle name="Финансовый 3 22" xfId="1146" xr:uid="{00000000-0005-0000-0000-000009050000}"/>
    <cellStyle name="Финансовый 3 3" xfId="1147" xr:uid="{00000000-0005-0000-0000-00000A050000}"/>
    <cellStyle name="Финансовый 3 3 2" xfId="1148" xr:uid="{00000000-0005-0000-0000-00000B050000}"/>
    <cellStyle name="Финансовый 3 3 3" xfId="1149" xr:uid="{00000000-0005-0000-0000-00000C050000}"/>
    <cellStyle name="Финансовый 3 4" xfId="1150" xr:uid="{00000000-0005-0000-0000-00000D050000}"/>
    <cellStyle name="Финансовый 3 4 2" xfId="1151" xr:uid="{00000000-0005-0000-0000-00000E050000}"/>
    <cellStyle name="Финансовый 3 4 3" xfId="1152" xr:uid="{00000000-0005-0000-0000-00000F050000}"/>
    <cellStyle name="Финансовый 3 5" xfId="1153" xr:uid="{00000000-0005-0000-0000-000010050000}"/>
    <cellStyle name="Финансовый 3 5 2" xfId="1154" xr:uid="{00000000-0005-0000-0000-000011050000}"/>
    <cellStyle name="Финансовый 3 5 3" xfId="1155" xr:uid="{00000000-0005-0000-0000-000012050000}"/>
    <cellStyle name="Финансовый 3 5 4" xfId="1156" xr:uid="{00000000-0005-0000-0000-000013050000}"/>
    <cellStyle name="Финансовый 3 6" xfId="1157" xr:uid="{00000000-0005-0000-0000-000014050000}"/>
    <cellStyle name="Финансовый 3 6 2" xfId="1158" xr:uid="{00000000-0005-0000-0000-000015050000}"/>
    <cellStyle name="Финансовый 3 7" xfId="1159" xr:uid="{00000000-0005-0000-0000-000016050000}"/>
    <cellStyle name="Финансовый 3 7 2" xfId="1160" xr:uid="{00000000-0005-0000-0000-000017050000}"/>
    <cellStyle name="Финансовый 3 8" xfId="1161" xr:uid="{00000000-0005-0000-0000-000018050000}"/>
    <cellStyle name="Финансовый 3 9" xfId="1162" xr:uid="{00000000-0005-0000-0000-000019050000}"/>
    <cellStyle name="Финансовый 30" xfId="1163" xr:uid="{00000000-0005-0000-0000-00001A050000}"/>
    <cellStyle name="Финансовый 31" xfId="1164" xr:uid="{00000000-0005-0000-0000-00001B050000}"/>
    <cellStyle name="Финансовый 31 2" xfId="1165" xr:uid="{00000000-0005-0000-0000-00001C050000}"/>
    <cellStyle name="Финансовый 32" xfId="1166" xr:uid="{00000000-0005-0000-0000-00001D050000}"/>
    <cellStyle name="Финансовый 32 2" xfId="1167" xr:uid="{00000000-0005-0000-0000-00001E050000}"/>
    <cellStyle name="Финансовый 33" xfId="1168" xr:uid="{00000000-0005-0000-0000-00001F050000}"/>
    <cellStyle name="Финансовый 33 2" xfId="1169" xr:uid="{00000000-0005-0000-0000-000020050000}"/>
    <cellStyle name="Финансовый 34" xfId="1170" xr:uid="{00000000-0005-0000-0000-000021050000}"/>
    <cellStyle name="Финансовый 34 2" xfId="1171" xr:uid="{00000000-0005-0000-0000-000022050000}"/>
    <cellStyle name="Финансовый 35" xfId="1172" xr:uid="{00000000-0005-0000-0000-000023050000}"/>
    <cellStyle name="Финансовый 35 2" xfId="1173" xr:uid="{00000000-0005-0000-0000-000024050000}"/>
    <cellStyle name="Финансовый 36" xfId="1174" xr:uid="{00000000-0005-0000-0000-000025050000}"/>
    <cellStyle name="Финансовый 36 2" xfId="1175" xr:uid="{00000000-0005-0000-0000-000026050000}"/>
    <cellStyle name="Финансовый 37" xfId="1176" xr:uid="{00000000-0005-0000-0000-000027050000}"/>
    <cellStyle name="Финансовый 37 2" xfId="1177" xr:uid="{00000000-0005-0000-0000-000028050000}"/>
    <cellStyle name="Финансовый 38" xfId="1178" xr:uid="{00000000-0005-0000-0000-000029050000}"/>
    <cellStyle name="Финансовый 38 2" xfId="1179" xr:uid="{00000000-0005-0000-0000-00002A050000}"/>
    <cellStyle name="Финансовый 39" xfId="1180" xr:uid="{00000000-0005-0000-0000-00002B050000}"/>
    <cellStyle name="Финансовый 4" xfId="1181" xr:uid="{00000000-0005-0000-0000-00002C050000}"/>
    <cellStyle name="Финансовый 4 2" xfId="1182" xr:uid="{00000000-0005-0000-0000-00002D050000}"/>
    <cellStyle name="Финансовый 4 2 2" xfId="1183" xr:uid="{00000000-0005-0000-0000-00002E050000}"/>
    <cellStyle name="Финансовый 4 2 2 2" xfId="1184" xr:uid="{00000000-0005-0000-0000-00002F050000}"/>
    <cellStyle name="Финансовый 4 2 3" xfId="1185" xr:uid="{00000000-0005-0000-0000-000030050000}"/>
    <cellStyle name="Финансовый 4 3" xfId="1186" xr:uid="{00000000-0005-0000-0000-000031050000}"/>
    <cellStyle name="Финансовый 4 3 2" xfId="1187" xr:uid="{00000000-0005-0000-0000-000032050000}"/>
    <cellStyle name="Финансовый 4 4" xfId="1188" xr:uid="{00000000-0005-0000-0000-000033050000}"/>
    <cellStyle name="Финансовый 4 4 2" xfId="1189" xr:uid="{00000000-0005-0000-0000-000034050000}"/>
    <cellStyle name="Финансовый 4 5" xfId="1190" xr:uid="{00000000-0005-0000-0000-000035050000}"/>
    <cellStyle name="Финансовый 4 6" xfId="1191" xr:uid="{00000000-0005-0000-0000-000036050000}"/>
    <cellStyle name="Финансовый 4 7" xfId="1192" xr:uid="{00000000-0005-0000-0000-000037050000}"/>
    <cellStyle name="Финансовый 4 8" xfId="1193" xr:uid="{00000000-0005-0000-0000-000038050000}"/>
    <cellStyle name="Финансовый 4 9" xfId="1194" xr:uid="{00000000-0005-0000-0000-000039050000}"/>
    <cellStyle name="Финансовый 40" xfId="1195" xr:uid="{00000000-0005-0000-0000-00003A050000}"/>
    <cellStyle name="Финансовый 41" xfId="1196" xr:uid="{00000000-0005-0000-0000-00003B050000}"/>
    <cellStyle name="Финансовый 42" xfId="1197" xr:uid="{00000000-0005-0000-0000-00003C050000}"/>
    <cellStyle name="Финансовый 42 2" xfId="1198" xr:uid="{00000000-0005-0000-0000-00003D050000}"/>
    <cellStyle name="Финансовый 44" xfId="1199" xr:uid="{00000000-0005-0000-0000-00003E050000}"/>
    <cellStyle name="Финансовый 46" xfId="1200" xr:uid="{00000000-0005-0000-0000-00003F050000}"/>
    <cellStyle name="Финансовый 47" xfId="1201" xr:uid="{00000000-0005-0000-0000-000040050000}"/>
    <cellStyle name="Финансовый 5" xfId="1202" xr:uid="{00000000-0005-0000-0000-000041050000}"/>
    <cellStyle name="Финансовый 5 2" xfId="1203" xr:uid="{00000000-0005-0000-0000-000042050000}"/>
    <cellStyle name="Финансовый 5 2 2" xfId="1204" xr:uid="{00000000-0005-0000-0000-000043050000}"/>
    <cellStyle name="Финансовый 5 3" xfId="1205" xr:uid="{00000000-0005-0000-0000-000044050000}"/>
    <cellStyle name="Финансовый 5 3 2" xfId="1206" xr:uid="{00000000-0005-0000-0000-000045050000}"/>
    <cellStyle name="Финансовый 5 3 3" xfId="1207" xr:uid="{00000000-0005-0000-0000-000046050000}"/>
    <cellStyle name="Финансовый 5 4" xfId="1208" xr:uid="{00000000-0005-0000-0000-000047050000}"/>
    <cellStyle name="Финансовый 5 5" xfId="1209" xr:uid="{00000000-0005-0000-0000-000048050000}"/>
    <cellStyle name="Финансовый 6" xfId="1210" xr:uid="{00000000-0005-0000-0000-000049050000}"/>
    <cellStyle name="Финансовый 6 2" xfId="1211" xr:uid="{00000000-0005-0000-0000-00004A050000}"/>
    <cellStyle name="Финансовый 6 2 2" xfId="1212" xr:uid="{00000000-0005-0000-0000-00004B050000}"/>
    <cellStyle name="Финансовый 6 2 3" xfId="1213" xr:uid="{00000000-0005-0000-0000-00004C050000}"/>
    <cellStyle name="Финансовый 6 3" xfId="1214" xr:uid="{00000000-0005-0000-0000-00004D050000}"/>
    <cellStyle name="Финансовый 6 4" xfId="1215" xr:uid="{00000000-0005-0000-0000-00004E050000}"/>
    <cellStyle name="Финансовый 7" xfId="1216" xr:uid="{00000000-0005-0000-0000-00004F050000}"/>
    <cellStyle name="Финансовый 7 2" xfId="1217" xr:uid="{00000000-0005-0000-0000-000050050000}"/>
    <cellStyle name="Финансовый 7 2 2" xfId="1218" xr:uid="{00000000-0005-0000-0000-000051050000}"/>
    <cellStyle name="Финансовый 7 2 3" xfId="1219" xr:uid="{00000000-0005-0000-0000-000052050000}"/>
    <cellStyle name="Финансовый 7 3" xfId="1220" xr:uid="{00000000-0005-0000-0000-000053050000}"/>
    <cellStyle name="Финансовый 8" xfId="1221" xr:uid="{00000000-0005-0000-0000-000054050000}"/>
    <cellStyle name="Финансовый 8 2" xfId="1222" xr:uid="{00000000-0005-0000-0000-000055050000}"/>
    <cellStyle name="Финансовый 9" xfId="1223" xr:uid="{00000000-0005-0000-0000-000056050000}"/>
    <cellStyle name="Хороший 2" xfId="1297" xr:uid="{00000000-0005-0000-0000-000057050000}"/>
    <cellStyle name="Џђћ–…ќ’ќ›‰" xfId="1224" xr:uid="{00000000-0005-0000-0000-000058050000}"/>
  </cellStyles>
  <dxfs count="281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CC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)%20BOBURJON\01.%20&#1053;&#1086;&#1088;&#1084;&#1072;&#1090;&#1080;&#1074;&#1082;&#1072;%20(&#1090;)\01)%2001,01,2026\crs005L.XLSX" TargetMode="External"/><Relationship Id="rId1" Type="http://schemas.openxmlformats.org/officeDocument/2006/relationships/externalLinkPath" Target="crs005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)%20BOBURJON\01.%20&#1053;&#1086;&#1088;&#1084;&#1072;&#1090;&#1080;&#1074;&#1082;&#1072;%20(&#1090;)\01)%2001,01,2026\crs005C.XLSX" TargetMode="External"/><Relationship Id="rId1" Type="http://schemas.openxmlformats.org/officeDocument/2006/relationships/externalLinkPath" Target="crs005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Лист1"/>
      <sheetName val="Тегишилмасин"/>
      <sheetName val="тегилмасин"/>
      <sheetName val="Субстандарт "/>
      <sheetName val="Харакатсиз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1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Анализ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er"/>
      <sheetName val="wb"/>
      <sheetName val="T17_T18_MSURC"/>
      <sheetName val="Tit"/>
      <sheetName val="Analysis of Interest"/>
      <sheetName val="Changes in Equity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>
        <row r="5">
          <cell r="C5">
            <v>597958561</v>
          </cell>
        </row>
      </sheetData>
      <sheetData sheetId="68" refreshError="1"/>
      <sheetData sheetId="69" refreshError="1"/>
      <sheetData sheetId="70" refreshError="1"/>
      <sheetData sheetId="71"/>
      <sheetData sheetId="72">
        <row r="5">
          <cell r="C5">
            <v>597958561</v>
          </cell>
        </row>
      </sheetData>
      <sheetData sheetId="73">
        <row r="5">
          <cell r="C5">
            <v>597958561</v>
          </cell>
        </row>
      </sheetData>
      <sheetData sheetId="74">
        <row r="5">
          <cell r="C5">
            <v>597958561</v>
          </cell>
        </row>
      </sheetData>
      <sheetData sheetId="75">
        <row r="5">
          <cell r="C5">
            <v>597958561</v>
          </cell>
        </row>
      </sheetData>
      <sheetData sheetId="76">
        <row r="5">
          <cell r="C5">
            <v>597958561</v>
          </cell>
        </row>
      </sheetData>
      <sheetData sheetId="77">
        <row r="5">
          <cell r="C5">
            <v>597958561</v>
          </cell>
        </row>
      </sheetData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>
        <row r="5">
          <cell r="C5">
            <v>597958561</v>
          </cell>
        </row>
      </sheetData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>
        <row r="38">
          <cell r="C38">
            <v>0</v>
          </cell>
        </row>
      </sheetData>
      <sheetData sheetId="5"/>
      <sheetData sheetId="6"/>
      <sheetData sheetId="7">
        <row r="38">
          <cell r="C38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28">
          <cell r="H28">
            <v>0</v>
          </cell>
        </row>
      </sheetData>
      <sheetData sheetId="14"/>
      <sheetData sheetId="15"/>
      <sheetData sheetId="16">
        <row r="28">
          <cell r="H28">
            <v>0</v>
          </cell>
        </row>
      </sheetData>
      <sheetData sheetId="17"/>
      <sheetData sheetId="18">
        <row r="38">
          <cell r="C38">
            <v>3118777057</v>
          </cell>
        </row>
      </sheetData>
      <sheetData sheetId="19"/>
      <sheetData sheetId="20">
        <row r="28">
          <cell r="H28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>
        <row r="38">
          <cell r="C38">
            <v>3118777057</v>
          </cell>
        </row>
      </sheetData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  <sheetName val="Results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20277891345</v>
          </cell>
          <cell r="D25">
            <v>16539892398</v>
          </cell>
          <cell r="E25">
            <v>3737998947</v>
          </cell>
        </row>
        <row r="26">
          <cell r="C26">
            <v>127696612</v>
          </cell>
        </row>
        <row r="39">
          <cell r="C39">
            <v>123374035</v>
          </cell>
        </row>
        <row r="47">
          <cell r="C47">
            <v>30728787180</v>
          </cell>
        </row>
        <row r="61">
          <cell r="C61">
            <v>0</v>
          </cell>
        </row>
        <row r="76">
          <cell r="C76">
            <v>160802633</v>
          </cell>
        </row>
        <row r="77">
          <cell r="C77">
            <v>5739210946</v>
          </cell>
        </row>
      </sheetData>
      <sheetData sheetId="1">
        <row r="18">
          <cell r="C18">
            <v>0.12334470234044558</v>
          </cell>
        </row>
        <row r="24">
          <cell r="C24">
            <v>2.3192898327438054</v>
          </cell>
          <cell r="D24">
            <v>1.1756690240067305</v>
          </cell>
          <cell r="E24">
            <v>8.9521131830222451</v>
          </cell>
        </row>
        <row r="29">
          <cell r="C29">
            <v>1.1303172827433772</v>
          </cell>
          <cell r="D29">
            <v>1.0960871206492637</v>
          </cell>
          <cell r="E29">
            <v>1.2784470830686978</v>
          </cell>
        </row>
        <row r="51">
          <cell r="C51">
            <v>703550721</v>
          </cell>
        </row>
        <row r="52">
          <cell r="C52">
            <v>584034134</v>
          </cell>
        </row>
        <row r="53">
          <cell r="C53">
            <v>1998666149</v>
          </cell>
        </row>
        <row r="54">
          <cell r="C54">
            <v>385311765</v>
          </cell>
        </row>
        <row r="55">
          <cell r="C55">
            <v>508169320</v>
          </cell>
        </row>
        <row r="58">
          <cell r="C58">
            <v>10000000</v>
          </cell>
        </row>
        <row r="59">
          <cell r="C59">
            <v>0</v>
          </cell>
        </row>
        <row r="60">
          <cell r="C60">
            <v>4189732089</v>
          </cell>
        </row>
      </sheetData>
      <sheetData sheetId="2">
        <row r="23">
          <cell r="S23">
            <v>10000000</v>
          </cell>
        </row>
        <row r="24">
          <cell r="S24">
            <v>0</v>
          </cell>
        </row>
        <row r="26">
          <cell r="S26">
            <v>38191497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19982231496</v>
          </cell>
        </row>
        <row r="31">
          <cell r="S31">
            <v>8406486387</v>
          </cell>
        </row>
        <row r="32">
          <cell r="S32">
            <v>167963237</v>
          </cell>
        </row>
      </sheetData>
      <sheetData sheetId="3"/>
      <sheetData sheetId="4">
        <row r="12">
          <cell r="S12">
            <v>8810218869</v>
          </cell>
        </row>
        <row r="13">
          <cell r="S13">
            <v>2894748034</v>
          </cell>
        </row>
        <row r="20">
          <cell r="S20">
            <v>9726669160</v>
          </cell>
        </row>
        <row r="30">
          <cell r="S30">
            <v>12083353501</v>
          </cell>
        </row>
        <row r="31">
          <cell r="S31">
            <v>0</v>
          </cell>
        </row>
        <row r="32">
          <cell r="S32">
            <v>703058234</v>
          </cell>
        </row>
        <row r="42">
          <cell r="C42">
            <v>1114567261</v>
          </cell>
          <cell r="E42">
            <v>276249165</v>
          </cell>
          <cell r="G42">
            <v>403785749</v>
          </cell>
          <cell r="I42">
            <v>1837247814</v>
          </cell>
          <cell r="K42">
            <v>3583563565</v>
          </cell>
          <cell r="M42">
            <v>5105093264</v>
          </cell>
        </row>
      </sheetData>
      <sheetData sheetId="5"/>
      <sheetData sheetId="6"/>
      <sheetData sheetId="7"/>
      <sheetData sheetId="8">
        <row r="5">
          <cell r="B5">
            <v>0</v>
          </cell>
        </row>
        <row r="6">
          <cell r="B6">
            <v>0</v>
          </cell>
        </row>
        <row r="15">
          <cell r="B15">
            <v>925002773</v>
          </cell>
        </row>
        <row r="22">
          <cell r="B22">
            <v>10000000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5566847506</v>
          </cell>
        </row>
        <row r="44">
          <cell r="C44">
            <v>6269666509</v>
          </cell>
        </row>
        <row r="45">
          <cell r="C45">
            <v>33966335392.417309</v>
          </cell>
        </row>
        <row r="49">
          <cell r="C49">
            <v>0.16388791403863695</v>
          </cell>
        </row>
        <row r="50">
          <cell r="C50">
            <v>0.16389308536483305</v>
          </cell>
        </row>
        <row r="51">
          <cell r="C51">
            <v>0.18458472003428575</v>
          </cell>
        </row>
        <row r="57">
          <cell r="C57">
            <v>0.16816535479393871</v>
          </cell>
        </row>
      </sheetData>
      <sheetData sheetId="1"/>
      <sheetData sheetId="2"/>
      <sheetData sheetId="3"/>
      <sheetData sheetId="4"/>
      <sheetData sheetId="5">
        <row r="26">
          <cell r="C26">
            <v>9167292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D80"/>
  <sheetViews>
    <sheetView tabSelected="1" view="pageBreakPreview" zoomScale="70" zoomScaleNormal="55" zoomScaleSheetLayoutView="70" workbookViewId="0">
      <pane xSplit="3" ySplit="9" topLeftCell="D37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W59" sqref="W59"/>
    </sheetView>
  </sheetViews>
  <sheetFormatPr defaultRowHeight="15.75"/>
  <cols>
    <col min="1" max="1" width="8" style="8" customWidth="1"/>
    <col min="2" max="2" width="108.7109375" style="9" customWidth="1"/>
    <col min="3" max="3" width="19.42578125" style="29" customWidth="1"/>
    <col min="4" max="8" width="18.28515625" style="8" customWidth="1"/>
    <col min="9" max="9" width="19.42578125" style="8" customWidth="1"/>
    <col min="10" max="14" width="18" style="8" customWidth="1"/>
    <col min="15" max="15" width="19.42578125" style="8" customWidth="1"/>
    <col min="16" max="20" width="16" style="8" customWidth="1"/>
    <col min="21" max="21" width="9.140625" style="8"/>
    <col min="22" max="22" width="14.85546875" style="8" customWidth="1"/>
    <col min="23" max="23" width="16.7109375" style="175" customWidth="1"/>
    <col min="24" max="16384" width="9.140625" style="8"/>
  </cols>
  <sheetData>
    <row r="1" spans="1:24" s="28" customFormat="1" ht="27.75" customHeight="1">
      <c r="A1" s="559" t="s">
        <v>174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1" t="s">
        <v>175</v>
      </c>
      <c r="T1" s="561"/>
      <c r="V1" s="552" t="s">
        <v>799</v>
      </c>
    </row>
    <row r="2" spans="1:24" ht="8.25" customHeight="1"/>
    <row r="3" spans="1:24" s="55" customFormat="1" ht="26.25">
      <c r="B3" s="549" t="s">
        <v>798</v>
      </c>
      <c r="C3" s="56"/>
      <c r="N3" s="530"/>
      <c r="Q3" s="578">
        <v>46021</v>
      </c>
      <c r="R3" s="578"/>
      <c r="S3" s="165"/>
      <c r="T3" s="166" t="s">
        <v>176</v>
      </c>
      <c r="W3" s="501"/>
    </row>
    <row r="4" spans="1:24" s="47" customFormat="1" ht="30.75" customHeight="1">
      <c r="A4" s="562" t="s">
        <v>23</v>
      </c>
      <c r="B4" s="562" t="s">
        <v>161</v>
      </c>
      <c r="C4" s="562" t="s">
        <v>162</v>
      </c>
      <c r="D4" s="565" t="s">
        <v>163</v>
      </c>
      <c r="E4" s="566"/>
      <c r="F4" s="566"/>
      <c r="G4" s="566"/>
      <c r="H4" s="567"/>
      <c r="I4" s="574" t="s">
        <v>164</v>
      </c>
      <c r="J4" s="575"/>
      <c r="K4" s="575"/>
      <c r="L4" s="575"/>
      <c r="M4" s="575"/>
      <c r="N4" s="576"/>
      <c r="O4" s="577" t="s">
        <v>165</v>
      </c>
      <c r="P4" s="577"/>
      <c r="Q4" s="577"/>
      <c r="R4" s="577"/>
      <c r="S4" s="577"/>
      <c r="T4" s="577"/>
    </row>
    <row r="5" spans="1:24" s="47" customFormat="1" ht="30.75" customHeight="1">
      <c r="A5" s="563"/>
      <c r="B5" s="563"/>
      <c r="C5" s="563"/>
      <c r="D5" s="568"/>
      <c r="E5" s="569"/>
      <c r="F5" s="569"/>
      <c r="G5" s="569"/>
      <c r="H5" s="570"/>
      <c r="I5" s="562" t="s">
        <v>166</v>
      </c>
      <c r="J5" s="562" t="s">
        <v>167</v>
      </c>
      <c r="K5" s="562" t="s">
        <v>168</v>
      </c>
      <c r="L5" s="562" t="s">
        <v>169</v>
      </c>
      <c r="M5" s="562" t="s">
        <v>170</v>
      </c>
      <c r="N5" s="562" t="s">
        <v>171</v>
      </c>
      <c r="O5" s="577" t="s">
        <v>172</v>
      </c>
      <c r="P5" s="577"/>
      <c r="Q5" s="577"/>
      <c r="R5" s="577"/>
      <c r="S5" s="577"/>
      <c r="T5" s="577"/>
    </row>
    <row r="6" spans="1:24" s="47" customFormat="1" ht="30.75" customHeight="1">
      <c r="A6" s="563"/>
      <c r="B6" s="563"/>
      <c r="C6" s="563"/>
      <c r="D6" s="571"/>
      <c r="E6" s="572"/>
      <c r="F6" s="572"/>
      <c r="G6" s="572"/>
      <c r="H6" s="573"/>
      <c r="I6" s="563"/>
      <c r="J6" s="563"/>
      <c r="K6" s="563"/>
      <c r="L6" s="563"/>
      <c r="M6" s="563"/>
      <c r="N6" s="563"/>
      <c r="O6" s="577" t="s">
        <v>166</v>
      </c>
      <c r="P6" s="577" t="s">
        <v>173</v>
      </c>
      <c r="Q6" s="577"/>
      <c r="R6" s="577"/>
      <c r="S6" s="577"/>
      <c r="T6" s="577"/>
    </row>
    <row r="7" spans="1:24" s="47" customFormat="1" ht="21" customHeight="1">
      <c r="A7" s="564"/>
      <c r="B7" s="564"/>
      <c r="C7" s="564"/>
      <c r="D7" s="306" t="s">
        <v>72</v>
      </c>
      <c r="E7" s="306" t="s">
        <v>19</v>
      </c>
      <c r="F7" s="306" t="s">
        <v>20</v>
      </c>
      <c r="G7" s="306" t="s">
        <v>21</v>
      </c>
      <c r="H7" s="306" t="s">
        <v>22</v>
      </c>
      <c r="I7" s="564"/>
      <c r="J7" s="564"/>
      <c r="K7" s="564"/>
      <c r="L7" s="564"/>
      <c r="M7" s="564"/>
      <c r="N7" s="564"/>
      <c r="O7" s="577"/>
      <c r="P7" s="353" t="s">
        <v>72</v>
      </c>
      <c r="Q7" s="353" t="s">
        <v>19</v>
      </c>
      <c r="R7" s="353" t="s">
        <v>20</v>
      </c>
      <c r="S7" s="353" t="s">
        <v>21</v>
      </c>
      <c r="T7" s="353" t="s">
        <v>22</v>
      </c>
    </row>
    <row r="8" spans="1:24" s="10" customFormat="1">
      <c r="A8" s="167" t="s">
        <v>40</v>
      </c>
      <c r="B8" s="168" t="s">
        <v>41</v>
      </c>
      <c r="C8" s="169" t="s">
        <v>51</v>
      </c>
      <c r="D8" s="168" t="s">
        <v>42</v>
      </c>
      <c r="E8" s="168" t="s">
        <v>43</v>
      </c>
      <c r="F8" s="168" t="s">
        <v>52</v>
      </c>
      <c r="G8" s="168" t="s">
        <v>44</v>
      </c>
      <c r="H8" s="168" t="s">
        <v>45</v>
      </c>
      <c r="I8" s="168" t="s">
        <v>46</v>
      </c>
      <c r="J8" s="168" t="s">
        <v>47</v>
      </c>
      <c r="K8" s="168" t="s">
        <v>48</v>
      </c>
      <c r="L8" s="168" t="s">
        <v>49</v>
      </c>
      <c r="M8" s="168" t="s">
        <v>50</v>
      </c>
      <c r="N8" s="168" t="s">
        <v>91</v>
      </c>
      <c r="O8" s="168" t="s">
        <v>92</v>
      </c>
      <c r="P8" s="168" t="s">
        <v>93</v>
      </c>
      <c r="Q8" s="168" t="s">
        <v>94</v>
      </c>
      <c r="R8" s="168" t="s">
        <v>115</v>
      </c>
      <c r="S8" s="168" t="s">
        <v>122</v>
      </c>
      <c r="T8" s="168" t="s">
        <v>125</v>
      </c>
    </row>
    <row r="9" spans="1:24" s="10" customFormat="1" ht="29.25" customHeight="1">
      <c r="A9" s="170"/>
      <c r="B9" s="171" t="s">
        <v>213</v>
      </c>
      <c r="C9" s="428">
        <f>SUM(C10:C58)+C60-C59</f>
        <v>30728787180</v>
      </c>
      <c r="D9" s="428">
        <f>SUM(D10:D58)-D59+D60</f>
        <v>26949179754</v>
      </c>
      <c r="E9" s="428">
        <f>SUM(E10:E58)-E59+E60</f>
        <v>2058382184</v>
      </c>
      <c r="F9" s="428">
        <f>SUM(F10:F58)-F59+F60</f>
        <v>338634441</v>
      </c>
      <c r="G9" s="428">
        <f>SUM(G10:G58)-G59+G60</f>
        <v>768752525</v>
      </c>
      <c r="H9" s="428">
        <f>SUM(H10:H58)-H59+H60</f>
        <v>802744728</v>
      </c>
      <c r="I9" s="428">
        <f t="shared" ref="I9:T9" si="0">SUM(I10:I60)</f>
        <v>798938437</v>
      </c>
      <c r="J9" s="428">
        <f t="shared" si="0"/>
        <v>57876232</v>
      </c>
      <c r="K9" s="428">
        <f t="shared" si="0"/>
        <v>175356163</v>
      </c>
      <c r="L9" s="428">
        <f t="shared" si="0"/>
        <v>67914859</v>
      </c>
      <c r="M9" s="428">
        <f t="shared" si="0"/>
        <v>102226018</v>
      </c>
      <c r="N9" s="428">
        <f t="shared" si="0"/>
        <v>395565165</v>
      </c>
      <c r="O9" s="428">
        <f t="shared" si="0"/>
        <v>312280487</v>
      </c>
      <c r="P9" s="428">
        <f t="shared" si="0"/>
        <v>123374035</v>
      </c>
      <c r="Q9" s="428">
        <f t="shared" si="0"/>
        <v>38115830</v>
      </c>
      <c r="R9" s="428">
        <f t="shared" si="0"/>
        <v>2703700</v>
      </c>
      <c r="S9" s="428">
        <f t="shared" si="0"/>
        <v>51557958</v>
      </c>
      <c r="T9" s="428">
        <f t="shared" si="0"/>
        <v>96528964</v>
      </c>
      <c r="V9" s="345"/>
      <c r="W9" s="502"/>
    </row>
    <row r="10" spans="1:24" s="7" customFormat="1" ht="23.25" customHeight="1">
      <c r="A10" s="172" t="s">
        <v>0</v>
      </c>
      <c r="B10" s="43" t="s">
        <v>177</v>
      </c>
      <c r="C10" s="429">
        <f>SUM(D10:H10)-O10+P10</f>
        <v>703550546</v>
      </c>
      <c r="D10" s="430">
        <v>703550546</v>
      </c>
      <c r="E10" s="430">
        <v>0</v>
      </c>
      <c r="F10" s="430">
        <v>0</v>
      </c>
      <c r="G10" s="430">
        <v>0</v>
      </c>
      <c r="H10" s="430">
        <v>0</v>
      </c>
      <c r="I10" s="429">
        <f t="shared" ref="I10:I11" si="1">SUM(J10:N10)</f>
        <v>0</v>
      </c>
      <c r="J10" s="430"/>
      <c r="K10" s="430"/>
      <c r="L10" s="430"/>
      <c r="M10" s="430"/>
      <c r="N10" s="430"/>
      <c r="O10" s="429">
        <f>SUM(P10:T10)</f>
        <v>0</v>
      </c>
      <c r="P10" s="430">
        <v>0</v>
      </c>
      <c r="Q10" s="430">
        <v>0</v>
      </c>
      <c r="R10" s="430">
        <v>0</v>
      </c>
      <c r="S10" s="430">
        <v>0</v>
      </c>
      <c r="T10" s="430">
        <v>0</v>
      </c>
      <c r="U10" s="7">
        <v>10100</v>
      </c>
      <c r="V10" s="346"/>
      <c r="W10" s="503"/>
      <c r="X10" s="305"/>
    </row>
    <row r="11" spans="1:24" s="7" customFormat="1" ht="23.25" customHeight="1">
      <c r="A11" s="172" t="s">
        <v>3</v>
      </c>
      <c r="B11" s="43" t="s">
        <v>662</v>
      </c>
      <c r="C11" s="429">
        <f t="shared" ref="C11:C60" si="2">SUM(D11:H11)-O11+P11</f>
        <v>584034134</v>
      </c>
      <c r="D11" s="430">
        <v>584034134</v>
      </c>
      <c r="E11" s="430">
        <v>0</v>
      </c>
      <c r="F11" s="430">
        <v>0</v>
      </c>
      <c r="G11" s="430">
        <v>0</v>
      </c>
      <c r="H11" s="430">
        <v>0</v>
      </c>
      <c r="I11" s="429">
        <f t="shared" si="1"/>
        <v>0</v>
      </c>
      <c r="J11" s="430"/>
      <c r="K11" s="430"/>
      <c r="L11" s="430"/>
      <c r="M11" s="430"/>
      <c r="N11" s="430"/>
      <c r="O11" s="429">
        <f t="shared" ref="O11:O60" si="3">SUM(P11:T11)</f>
        <v>0</v>
      </c>
      <c r="P11" s="430">
        <v>0</v>
      </c>
      <c r="Q11" s="430">
        <v>0</v>
      </c>
      <c r="R11" s="430">
        <v>0</v>
      </c>
      <c r="S11" s="430">
        <v>0</v>
      </c>
      <c r="T11" s="430">
        <v>0</v>
      </c>
      <c r="U11" s="45">
        <v>10300</v>
      </c>
      <c r="V11" s="346"/>
      <c r="W11" s="345"/>
      <c r="X11" s="305"/>
    </row>
    <row r="12" spans="1:24" s="7" customFormat="1" ht="23.25" customHeight="1">
      <c r="A12" s="172" t="s">
        <v>4</v>
      </c>
      <c r="B12" s="43" t="s">
        <v>663</v>
      </c>
      <c r="C12" s="429">
        <f t="shared" si="2"/>
        <v>3466881057</v>
      </c>
      <c r="D12" s="430">
        <v>3466881057</v>
      </c>
      <c r="E12" s="430">
        <v>0</v>
      </c>
      <c r="F12" s="430">
        <v>0</v>
      </c>
      <c r="G12" s="430">
        <v>0</v>
      </c>
      <c r="H12" s="430">
        <v>0</v>
      </c>
      <c r="I12" s="429">
        <f>SUM(J12:N12)</f>
        <v>0</v>
      </c>
      <c r="J12" s="430"/>
      <c r="K12" s="430"/>
      <c r="L12" s="430"/>
      <c r="M12" s="430"/>
      <c r="N12" s="430"/>
      <c r="O12" s="429">
        <f t="shared" si="3"/>
        <v>0</v>
      </c>
      <c r="P12" s="430">
        <v>0</v>
      </c>
      <c r="Q12" s="430">
        <v>0</v>
      </c>
      <c r="R12" s="430">
        <v>0</v>
      </c>
      <c r="S12" s="430">
        <v>0</v>
      </c>
      <c r="T12" s="430">
        <v>0</v>
      </c>
      <c r="U12" s="45">
        <v>10500</v>
      </c>
      <c r="V12" s="305"/>
      <c r="W12" s="175"/>
      <c r="X12" s="305"/>
    </row>
    <row r="13" spans="1:24" s="7" customFormat="1" ht="23.25" customHeight="1">
      <c r="A13" s="172" t="s">
        <v>2</v>
      </c>
      <c r="B13" s="43" t="s">
        <v>670</v>
      </c>
      <c r="C13" s="429">
        <f t="shared" si="2"/>
        <v>508169320</v>
      </c>
      <c r="D13" s="430">
        <v>508169320</v>
      </c>
      <c r="E13" s="430">
        <v>0</v>
      </c>
      <c r="F13" s="430">
        <v>0</v>
      </c>
      <c r="G13" s="430">
        <v>0</v>
      </c>
      <c r="H13" s="430">
        <v>0</v>
      </c>
      <c r="I13" s="429">
        <f t="shared" ref="I13:I60" si="4">SUM(J13:N13)</f>
        <v>0</v>
      </c>
      <c r="J13" s="430"/>
      <c r="K13" s="430"/>
      <c r="L13" s="430"/>
      <c r="M13" s="430"/>
      <c r="N13" s="430"/>
      <c r="O13" s="429">
        <f t="shared" si="3"/>
        <v>0</v>
      </c>
      <c r="P13" s="430">
        <v>0</v>
      </c>
      <c r="Q13" s="430">
        <v>0</v>
      </c>
      <c r="R13" s="430">
        <v>0</v>
      </c>
      <c r="S13" s="430">
        <v>0</v>
      </c>
      <c r="T13" s="430">
        <v>0</v>
      </c>
      <c r="U13" s="7">
        <v>10700</v>
      </c>
      <c r="V13" s="305"/>
      <c r="W13" s="175"/>
      <c r="X13" s="305"/>
    </row>
    <row r="14" spans="1:24" s="7" customFormat="1" ht="35.25" customHeight="1">
      <c r="A14" s="172" t="s">
        <v>1</v>
      </c>
      <c r="B14" s="43" t="s">
        <v>671</v>
      </c>
      <c r="C14" s="429">
        <f t="shared" si="2"/>
        <v>10000000</v>
      </c>
      <c r="D14" s="430">
        <v>10000000</v>
      </c>
      <c r="E14" s="430">
        <v>0</v>
      </c>
      <c r="F14" s="430">
        <v>0</v>
      </c>
      <c r="G14" s="430">
        <v>0</v>
      </c>
      <c r="H14" s="430">
        <v>0</v>
      </c>
      <c r="I14" s="429">
        <f t="shared" si="4"/>
        <v>0</v>
      </c>
      <c r="J14" s="430"/>
      <c r="K14" s="430"/>
      <c r="L14" s="430"/>
      <c r="M14" s="430"/>
      <c r="N14" s="430"/>
      <c r="O14" s="429">
        <f t="shared" si="3"/>
        <v>0</v>
      </c>
      <c r="P14" s="430">
        <v>0</v>
      </c>
      <c r="Q14" s="430">
        <v>0</v>
      </c>
      <c r="R14" s="430">
        <v>0</v>
      </c>
      <c r="S14" s="430">
        <v>0</v>
      </c>
      <c r="T14" s="430">
        <v>0</v>
      </c>
      <c r="U14" s="7">
        <v>10800</v>
      </c>
      <c r="V14" s="305"/>
      <c r="W14" s="175"/>
      <c r="X14" s="305"/>
    </row>
    <row r="15" spans="1:24" s="7" customFormat="1" ht="23.25" customHeight="1">
      <c r="A15" s="172" t="s">
        <v>6</v>
      </c>
      <c r="B15" s="43" t="s">
        <v>178</v>
      </c>
      <c r="C15" s="429">
        <f t="shared" si="2"/>
        <v>175</v>
      </c>
      <c r="D15" s="430">
        <v>175</v>
      </c>
      <c r="E15" s="430">
        <v>0</v>
      </c>
      <c r="F15" s="430">
        <v>0</v>
      </c>
      <c r="G15" s="430">
        <v>0</v>
      </c>
      <c r="H15" s="430">
        <v>0</v>
      </c>
      <c r="I15" s="429">
        <f t="shared" si="4"/>
        <v>0</v>
      </c>
      <c r="J15" s="430"/>
      <c r="K15" s="430"/>
      <c r="L15" s="430"/>
      <c r="M15" s="430"/>
      <c r="N15" s="430"/>
      <c r="O15" s="429">
        <f t="shared" si="3"/>
        <v>0</v>
      </c>
      <c r="P15" s="430">
        <v>0</v>
      </c>
      <c r="Q15" s="430">
        <v>0</v>
      </c>
      <c r="R15" s="430">
        <v>0</v>
      </c>
      <c r="S15" s="430">
        <v>0</v>
      </c>
      <c r="T15" s="430">
        <v>0</v>
      </c>
      <c r="U15" s="7">
        <v>10900</v>
      </c>
      <c r="V15" s="305"/>
      <c r="W15" s="175"/>
      <c r="X15" s="305"/>
    </row>
    <row r="16" spans="1:24" s="7" customFormat="1" ht="23.25" customHeight="1">
      <c r="A16" s="172" t="s">
        <v>5</v>
      </c>
      <c r="B16" s="43" t="s">
        <v>672</v>
      </c>
      <c r="C16" s="429">
        <f t="shared" si="2"/>
        <v>316939901</v>
      </c>
      <c r="D16" s="430">
        <v>313277456</v>
      </c>
      <c r="E16" s="430">
        <v>3662445</v>
      </c>
      <c r="F16" s="430">
        <v>0</v>
      </c>
      <c r="G16" s="430">
        <v>0</v>
      </c>
      <c r="H16" s="430">
        <v>0</v>
      </c>
      <c r="I16" s="429">
        <f t="shared" si="4"/>
        <v>17295876</v>
      </c>
      <c r="J16" s="430">
        <v>2836334</v>
      </c>
      <c r="K16" s="430">
        <v>10207771</v>
      </c>
      <c r="L16" s="430">
        <v>3291628</v>
      </c>
      <c r="M16" s="430">
        <v>960143</v>
      </c>
      <c r="N16" s="430">
        <v>0</v>
      </c>
      <c r="O16" s="429">
        <f t="shared" si="3"/>
        <v>739490</v>
      </c>
      <c r="P16" s="430">
        <v>739490</v>
      </c>
      <c r="Q16" s="430">
        <v>0</v>
      </c>
      <c r="R16" s="430">
        <v>0</v>
      </c>
      <c r="S16" s="430">
        <v>0</v>
      </c>
      <c r="T16" s="430">
        <v>0</v>
      </c>
      <c r="U16" s="7">
        <v>11100</v>
      </c>
      <c r="V16" s="305"/>
      <c r="W16" s="175"/>
      <c r="X16" s="305"/>
    </row>
    <row r="17" spans="1:24" ht="36.75" customHeight="1">
      <c r="A17" s="42">
        <v>8</v>
      </c>
      <c r="B17" s="43" t="s">
        <v>179</v>
      </c>
      <c r="C17" s="429">
        <f t="shared" si="2"/>
        <v>38191497</v>
      </c>
      <c r="D17" s="430">
        <v>38191497</v>
      </c>
      <c r="E17" s="430">
        <v>0</v>
      </c>
      <c r="F17" s="430">
        <v>0</v>
      </c>
      <c r="G17" s="430">
        <v>0</v>
      </c>
      <c r="H17" s="430">
        <v>0</v>
      </c>
      <c r="I17" s="429">
        <f t="shared" si="4"/>
        <v>0</v>
      </c>
      <c r="J17" s="430">
        <v>0</v>
      </c>
      <c r="K17" s="430">
        <v>0</v>
      </c>
      <c r="L17" s="430">
        <v>0</v>
      </c>
      <c r="M17" s="430">
        <v>0</v>
      </c>
      <c r="N17" s="430">
        <v>0</v>
      </c>
      <c r="O17" s="429">
        <f t="shared" si="3"/>
        <v>0</v>
      </c>
      <c r="P17" s="430"/>
      <c r="Q17" s="430"/>
      <c r="R17" s="430"/>
      <c r="S17" s="430"/>
      <c r="T17" s="430"/>
      <c r="U17" s="45">
        <v>11500</v>
      </c>
      <c r="V17" s="305"/>
      <c r="X17" s="305"/>
    </row>
    <row r="18" spans="1:24" ht="26.25" customHeight="1">
      <c r="A18" s="42">
        <v>9</v>
      </c>
      <c r="B18" s="43" t="s">
        <v>180</v>
      </c>
      <c r="C18" s="429">
        <f t="shared" si="2"/>
        <v>0</v>
      </c>
      <c r="D18" s="430">
        <v>0</v>
      </c>
      <c r="E18" s="430">
        <v>0</v>
      </c>
      <c r="F18" s="430">
        <v>0</v>
      </c>
      <c r="G18" s="430">
        <v>0</v>
      </c>
      <c r="H18" s="430">
        <v>0</v>
      </c>
      <c r="I18" s="429">
        <f t="shared" si="4"/>
        <v>0</v>
      </c>
      <c r="J18" s="430">
        <v>0</v>
      </c>
      <c r="K18" s="430">
        <v>0</v>
      </c>
      <c r="L18" s="430">
        <v>0</v>
      </c>
      <c r="M18" s="430">
        <v>0</v>
      </c>
      <c r="N18" s="430">
        <v>0</v>
      </c>
      <c r="O18" s="429">
        <f t="shared" si="3"/>
        <v>0</v>
      </c>
      <c r="P18" s="430"/>
      <c r="Q18" s="430"/>
      <c r="R18" s="430"/>
      <c r="S18" s="430"/>
      <c r="T18" s="430"/>
      <c r="U18" s="45">
        <v>11700</v>
      </c>
      <c r="V18" s="305"/>
      <c r="X18" s="305"/>
    </row>
    <row r="19" spans="1:24" ht="23.25" customHeight="1">
      <c r="A19" s="42">
        <v>10</v>
      </c>
      <c r="B19" s="174" t="s">
        <v>181</v>
      </c>
      <c r="C19" s="429">
        <f t="shared" si="2"/>
        <v>0</v>
      </c>
      <c r="D19" s="430">
        <v>0</v>
      </c>
      <c r="E19" s="430">
        <v>0</v>
      </c>
      <c r="F19" s="430">
        <v>0</v>
      </c>
      <c r="G19" s="430">
        <v>0</v>
      </c>
      <c r="H19" s="430">
        <v>0</v>
      </c>
      <c r="I19" s="429">
        <f t="shared" si="4"/>
        <v>0</v>
      </c>
      <c r="J19" s="430">
        <v>0</v>
      </c>
      <c r="K19" s="430">
        <v>0</v>
      </c>
      <c r="L19" s="430">
        <v>0</v>
      </c>
      <c r="M19" s="430">
        <v>0</v>
      </c>
      <c r="N19" s="430">
        <v>0</v>
      </c>
      <c r="O19" s="429">
        <f t="shared" si="3"/>
        <v>0</v>
      </c>
      <c r="P19" s="430"/>
      <c r="Q19" s="430"/>
      <c r="R19" s="430"/>
      <c r="S19" s="430"/>
      <c r="T19" s="430"/>
      <c r="U19" s="45">
        <v>11800</v>
      </c>
      <c r="V19" s="305"/>
      <c r="X19" s="305"/>
    </row>
    <row r="20" spans="1:24" ht="23.25" customHeight="1">
      <c r="A20" s="42">
        <v>11</v>
      </c>
      <c r="B20" s="43" t="s">
        <v>182</v>
      </c>
      <c r="C20" s="429">
        <f t="shared" si="2"/>
        <v>0</v>
      </c>
      <c r="D20" s="430">
        <v>0</v>
      </c>
      <c r="E20" s="430">
        <v>0</v>
      </c>
      <c r="F20" s="430">
        <v>0</v>
      </c>
      <c r="G20" s="430">
        <v>0</v>
      </c>
      <c r="H20" s="430">
        <v>0</v>
      </c>
      <c r="I20" s="429">
        <f t="shared" si="4"/>
        <v>0</v>
      </c>
      <c r="J20" s="430">
        <v>0</v>
      </c>
      <c r="K20" s="430">
        <v>0</v>
      </c>
      <c r="L20" s="430">
        <v>0</v>
      </c>
      <c r="M20" s="430">
        <v>0</v>
      </c>
      <c r="N20" s="430">
        <v>0</v>
      </c>
      <c r="O20" s="429">
        <f t="shared" si="3"/>
        <v>0</v>
      </c>
      <c r="P20" s="430"/>
      <c r="Q20" s="430"/>
      <c r="R20" s="430"/>
      <c r="S20" s="430"/>
      <c r="T20" s="430"/>
      <c r="U20" s="45">
        <v>11900</v>
      </c>
      <c r="V20" s="305"/>
      <c r="X20" s="305"/>
    </row>
    <row r="21" spans="1:24" ht="23.25" customHeight="1">
      <c r="A21" s="42">
        <v>12</v>
      </c>
      <c r="B21" s="43" t="s">
        <v>183</v>
      </c>
      <c r="C21" s="429">
        <f t="shared" si="2"/>
        <v>0</v>
      </c>
      <c r="D21" s="430">
        <v>0</v>
      </c>
      <c r="E21" s="430">
        <v>0</v>
      </c>
      <c r="F21" s="430">
        <v>0</v>
      </c>
      <c r="G21" s="430">
        <v>0</v>
      </c>
      <c r="H21" s="430">
        <v>0</v>
      </c>
      <c r="I21" s="429">
        <f t="shared" si="4"/>
        <v>0</v>
      </c>
      <c r="J21" s="430">
        <v>0</v>
      </c>
      <c r="K21" s="430">
        <v>0</v>
      </c>
      <c r="L21" s="430">
        <v>0</v>
      </c>
      <c r="M21" s="430">
        <v>0</v>
      </c>
      <c r="N21" s="430">
        <v>0</v>
      </c>
      <c r="O21" s="429">
        <f t="shared" si="3"/>
        <v>0</v>
      </c>
      <c r="P21" s="430"/>
      <c r="Q21" s="430"/>
      <c r="R21" s="430"/>
      <c r="S21" s="430"/>
      <c r="T21" s="430"/>
      <c r="U21" s="45">
        <v>12100</v>
      </c>
      <c r="V21" s="305"/>
      <c r="X21" s="305"/>
    </row>
    <row r="22" spans="1:24" ht="23.25" customHeight="1">
      <c r="A22" s="42">
        <v>13</v>
      </c>
      <c r="B22" s="43" t="s">
        <v>184</v>
      </c>
      <c r="C22" s="429">
        <f t="shared" si="2"/>
        <v>0</v>
      </c>
      <c r="D22" s="430">
        <v>0</v>
      </c>
      <c r="E22" s="430">
        <v>0</v>
      </c>
      <c r="F22" s="430">
        <v>0</v>
      </c>
      <c r="G22" s="430">
        <v>0</v>
      </c>
      <c r="H22" s="430">
        <v>0</v>
      </c>
      <c r="I22" s="429">
        <f t="shared" si="4"/>
        <v>0</v>
      </c>
      <c r="J22" s="430">
        <v>0</v>
      </c>
      <c r="K22" s="430">
        <v>0</v>
      </c>
      <c r="L22" s="430">
        <v>0</v>
      </c>
      <c r="M22" s="430">
        <v>0</v>
      </c>
      <c r="N22" s="430">
        <v>0</v>
      </c>
      <c r="O22" s="429">
        <f t="shared" si="3"/>
        <v>0</v>
      </c>
      <c r="P22" s="430"/>
      <c r="Q22" s="430"/>
      <c r="R22" s="430"/>
      <c r="S22" s="430"/>
      <c r="T22" s="430"/>
      <c r="U22" s="45">
        <v>12300</v>
      </c>
      <c r="V22" s="305"/>
      <c r="X22" s="305"/>
    </row>
    <row r="23" spans="1:24" ht="23.25" customHeight="1">
      <c r="A23" s="42">
        <v>14</v>
      </c>
      <c r="B23" s="43" t="s">
        <v>185</v>
      </c>
      <c r="C23" s="429">
        <f t="shared" si="2"/>
        <v>0</v>
      </c>
      <c r="D23" s="430">
        <v>0</v>
      </c>
      <c r="E23" s="430">
        <v>0</v>
      </c>
      <c r="F23" s="430">
        <v>0</v>
      </c>
      <c r="G23" s="430">
        <v>0</v>
      </c>
      <c r="H23" s="430">
        <v>0</v>
      </c>
      <c r="I23" s="429">
        <f t="shared" si="4"/>
        <v>0</v>
      </c>
      <c r="J23" s="430">
        <v>0</v>
      </c>
      <c r="K23" s="430">
        <v>0</v>
      </c>
      <c r="L23" s="430">
        <v>0</v>
      </c>
      <c r="M23" s="430">
        <v>0</v>
      </c>
      <c r="N23" s="430">
        <v>0</v>
      </c>
      <c r="O23" s="429">
        <f t="shared" si="3"/>
        <v>0</v>
      </c>
      <c r="P23" s="430"/>
      <c r="Q23" s="430"/>
      <c r="R23" s="430"/>
      <c r="S23" s="430"/>
      <c r="T23" s="430"/>
      <c r="U23" s="45">
        <v>12400</v>
      </c>
      <c r="V23" s="305"/>
      <c r="X23" s="305"/>
    </row>
    <row r="24" spans="1:24" ht="23.25" customHeight="1">
      <c r="A24" s="42">
        <v>15</v>
      </c>
      <c r="B24" s="43" t="s">
        <v>186</v>
      </c>
      <c r="C24" s="429">
        <f>SUM(D24:H24)-O24+P24</f>
        <v>288868264</v>
      </c>
      <c r="D24" s="430">
        <v>46959486</v>
      </c>
      <c r="E24" s="430">
        <v>54118027</v>
      </c>
      <c r="F24" s="430">
        <v>55773811</v>
      </c>
      <c r="G24" s="430">
        <v>59803354</v>
      </c>
      <c r="H24" s="430">
        <v>72300689</v>
      </c>
      <c r="I24" s="429">
        <f t="shared" si="4"/>
        <v>6344634</v>
      </c>
      <c r="J24" s="430">
        <v>173866</v>
      </c>
      <c r="K24" s="430">
        <v>844828</v>
      </c>
      <c r="L24" s="430">
        <v>441327</v>
      </c>
      <c r="M24" s="430">
        <v>736406</v>
      </c>
      <c r="N24" s="430">
        <v>4148207</v>
      </c>
      <c r="O24" s="429">
        <f t="shared" si="3"/>
        <v>470082</v>
      </c>
      <c r="P24" s="430">
        <v>382979</v>
      </c>
      <c r="Q24" s="430">
        <v>42102</v>
      </c>
      <c r="R24" s="430">
        <v>28991</v>
      </c>
      <c r="S24" s="430">
        <v>10900</v>
      </c>
      <c r="T24" s="430">
        <v>5110</v>
      </c>
      <c r="U24" s="45">
        <v>12500</v>
      </c>
      <c r="V24" s="305"/>
      <c r="X24" s="305"/>
    </row>
    <row r="25" spans="1:24" ht="23.25" customHeight="1">
      <c r="A25" s="42">
        <v>16</v>
      </c>
      <c r="B25" s="43" t="s">
        <v>187</v>
      </c>
      <c r="C25" s="429">
        <f t="shared" si="2"/>
        <v>23250199</v>
      </c>
      <c r="D25" s="430">
        <v>13803502</v>
      </c>
      <c r="E25" s="430">
        <v>4261147</v>
      </c>
      <c r="F25" s="430">
        <v>670535</v>
      </c>
      <c r="G25" s="430">
        <v>1273145</v>
      </c>
      <c r="H25" s="430">
        <v>3401166</v>
      </c>
      <c r="I25" s="429">
        <f t="shared" si="4"/>
        <v>727333</v>
      </c>
      <c r="J25" s="430">
        <v>11278</v>
      </c>
      <c r="K25" s="430">
        <v>66344</v>
      </c>
      <c r="L25" s="430">
        <v>13017</v>
      </c>
      <c r="M25" s="430">
        <v>43089</v>
      </c>
      <c r="N25" s="430">
        <v>593605</v>
      </c>
      <c r="O25" s="429">
        <f t="shared" si="3"/>
        <v>300461</v>
      </c>
      <c r="P25" s="430">
        <v>141165</v>
      </c>
      <c r="Q25" s="430">
        <v>5256</v>
      </c>
      <c r="R25" s="430">
        <v>0</v>
      </c>
      <c r="S25" s="430">
        <v>0</v>
      </c>
      <c r="T25" s="430">
        <v>154040</v>
      </c>
      <c r="U25" s="45">
        <v>12600</v>
      </c>
      <c r="V25" s="305"/>
      <c r="X25" s="305"/>
    </row>
    <row r="26" spans="1:24" ht="23.25" customHeight="1">
      <c r="A26" s="42">
        <v>17</v>
      </c>
      <c r="B26" s="43" t="s">
        <v>673</v>
      </c>
      <c r="C26" s="429">
        <f>SUM(D26:H26)-O26+P26</f>
        <v>28334386</v>
      </c>
      <c r="D26" s="430">
        <v>19676174</v>
      </c>
      <c r="E26" s="430">
        <v>0</v>
      </c>
      <c r="F26" s="430">
        <v>8658212</v>
      </c>
      <c r="G26" s="430">
        <v>0</v>
      </c>
      <c r="H26" s="430">
        <v>0</v>
      </c>
      <c r="I26" s="429">
        <f t="shared" si="4"/>
        <v>0</v>
      </c>
      <c r="J26" s="430">
        <v>0</v>
      </c>
      <c r="K26" s="430">
        <v>0</v>
      </c>
      <c r="L26" s="430">
        <v>0</v>
      </c>
      <c r="M26" s="430">
        <v>0</v>
      </c>
      <c r="N26" s="430">
        <v>0</v>
      </c>
      <c r="O26" s="429">
        <f t="shared" si="3"/>
        <v>3853</v>
      </c>
      <c r="P26" s="430">
        <v>3853</v>
      </c>
      <c r="Q26" s="430">
        <v>0</v>
      </c>
      <c r="R26" s="430">
        <v>0</v>
      </c>
      <c r="S26" s="430">
        <v>0</v>
      </c>
      <c r="T26" s="430">
        <v>0</v>
      </c>
      <c r="U26" s="45">
        <v>12700</v>
      </c>
      <c r="V26" s="305"/>
      <c r="W26" s="10"/>
      <c r="X26" s="305"/>
    </row>
    <row r="27" spans="1:24" ht="33.75" customHeight="1">
      <c r="A27" s="42">
        <v>18</v>
      </c>
      <c r="B27" s="43" t="s">
        <v>674</v>
      </c>
      <c r="C27" s="429">
        <f t="shared" si="2"/>
        <v>0</v>
      </c>
      <c r="D27" s="430">
        <v>0</v>
      </c>
      <c r="E27" s="430">
        <v>0</v>
      </c>
      <c r="F27" s="430">
        <v>0</v>
      </c>
      <c r="G27" s="430">
        <v>0</v>
      </c>
      <c r="H27" s="430">
        <v>0</v>
      </c>
      <c r="I27" s="429">
        <f t="shared" si="4"/>
        <v>0</v>
      </c>
      <c r="J27" s="430"/>
      <c r="K27" s="430"/>
      <c r="L27" s="430"/>
      <c r="M27" s="430"/>
      <c r="N27" s="430"/>
      <c r="O27" s="429">
        <f t="shared" si="3"/>
        <v>0</v>
      </c>
      <c r="P27" s="430">
        <v>0</v>
      </c>
      <c r="Q27" s="430">
        <v>0</v>
      </c>
      <c r="R27" s="430">
        <v>0</v>
      </c>
      <c r="S27" s="430">
        <v>0</v>
      </c>
      <c r="T27" s="430">
        <v>0</v>
      </c>
      <c r="U27" s="45">
        <v>12800</v>
      </c>
      <c r="V27" s="305"/>
      <c r="W27" s="10"/>
      <c r="X27" s="309"/>
    </row>
    <row r="28" spans="1:24" ht="23.25" customHeight="1">
      <c r="A28" s="42">
        <v>19</v>
      </c>
      <c r="B28" s="43" t="s">
        <v>188</v>
      </c>
      <c r="C28" s="429">
        <f t="shared" si="2"/>
        <v>13707566</v>
      </c>
      <c r="D28" s="430">
        <v>8016879</v>
      </c>
      <c r="E28" s="430">
        <v>5013058</v>
      </c>
      <c r="F28" s="430">
        <v>0</v>
      </c>
      <c r="G28" s="430">
        <v>74778</v>
      </c>
      <c r="H28" s="430">
        <v>602851</v>
      </c>
      <c r="I28" s="429">
        <f t="shared" si="4"/>
        <v>0</v>
      </c>
      <c r="J28" s="430">
        <v>0</v>
      </c>
      <c r="K28" s="430">
        <v>0</v>
      </c>
      <c r="L28" s="430">
        <v>0</v>
      </c>
      <c r="M28" s="430">
        <v>0</v>
      </c>
      <c r="N28" s="430">
        <v>0</v>
      </c>
      <c r="O28" s="429">
        <f t="shared" si="3"/>
        <v>0</v>
      </c>
      <c r="P28" s="430">
        <v>0</v>
      </c>
      <c r="Q28" s="430">
        <v>0</v>
      </c>
      <c r="R28" s="430">
        <v>0</v>
      </c>
      <c r="S28" s="430">
        <v>0</v>
      </c>
      <c r="T28" s="430">
        <v>0</v>
      </c>
      <c r="U28" s="45">
        <v>12900</v>
      </c>
      <c r="V28" s="305"/>
      <c r="X28" s="305"/>
    </row>
    <row r="29" spans="1:24" ht="24" customHeight="1">
      <c r="A29" s="42">
        <v>20</v>
      </c>
      <c r="B29" s="43" t="s">
        <v>189</v>
      </c>
      <c r="C29" s="429">
        <f t="shared" si="2"/>
        <v>63030</v>
      </c>
      <c r="D29" s="430">
        <v>63030</v>
      </c>
      <c r="E29" s="430">
        <v>0</v>
      </c>
      <c r="F29" s="430">
        <v>0</v>
      </c>
      <c r="G29" s="430">
        <v>0</v>
      </c>
      <c r="H29" s="430">
        <v>0</v>
      </c>
      <c r="I29" s="429">
        <f t="shared" si="4"/>
        <v>0</v>
      </c>
      <c r="J29" s="430">
        <v>0</v>
      </c>
      <c r="K29" s="430">
        <v>0</v>
      </c>
      <c r="L29" s="430">
        <v>0</v>
      </c>
      <c r="M29" s="430">
        <v>0</v>
      </c>
      <c r="N29" s="430">
        <v>0</v>
      </c>
      <c r="O29" s="429">
        <f t="shared" si="3"/>
        <v>364</v>
      </c>
      <c r="P29" s="430">
        <v>364</v>
      </c>
      <c r="Q29" s="430">
        <v>0</v>
      </c>
      <c r="R29" s="430">
        <v>0</v>
      </c>
      <c r="S29" s="430">
        <v>0</v>
      </c>
      <c r="T29" s="430">
        <v>0</v>
      </c>
      <c r="U29" s="45">
        <v>13000</v>
      </c>
      <c r="V29" s="305"/>
      <c r="X29" s="305"/>
    </row>
    <row r="30" spans="1:24" ht="33.75" customHeight="1">
      <c r="A30" s="42">
        <v>21</v>
      </c>
      <c r="B30" s="43" t="s">
        <v>190</v>
      </c>
      <c r="C30" s="429">
        <f t="shared" si="2"/>
        <v>974736697</v>
      </c>
      <c r="D30" s="430">
        <v>610647453</v>
      </c>
      <c r="E30" s="430">
        <v>113823681</v>
      </c>
      <c r="F30" s="430">
        <v>12320480</v>
      </c>
      <c r="G30" s="430">
        <v>153127608</v>
      </c>
      <c r="H30" s="430">
        <v>90064314</v>
      </c>
      <c r="I30" s="429">
        <f t="shared" si="4"/>
        <v>20700370</v>
      </c>
      <c r="J30" s="430">
        <v>519010</v>
      </c>
      <c r="K30" s="430">
        <v>2648771</v>
      </c>
      <c r="L30" s="430">
        <v>305637</v>
      </c>
      <c r="M30" s="430">
        <v>4225954</v>
      </c>
      <c r="N30" s="430">
        <v>13000998</v>
      </c>
      <c r="O30" s="429">
        <f t="shared" si="3"/>
        <v>6198235</v>
      </c>
      <c r="P30" s="430">
        <v>951396</v>
      </c>
      <c r="Q30" s="430">
        <v>110814</v>
      </c>
      <c r="R30" s="430">
        <v>0</v>
      </c>
      <c r="S30" s="430">
        <v>2483632</v>
      </c>
      <c r="T30" s="430">
        <v>2652393</v>
      </c>
      <c r="U30" s="45">
        <v>13100</v>
      </c>
      <c r="V30" s="305"/>
      <c r="X30" s="305"/>
    </row>
    <row r="31" spans="1:24" ht="23.25" customHeight="1">
      <c r="A31" s="42">
        <v>22</v>
      </c>
      <c r="B31" s="43" t="s">
        <v>191</v>
      </c>
      <c r="C31" s="429">
        <f t="shared" si="2"/>
        <v>5000000</v>
      </c>
      <c r="D31" s="430">
        <v>5000000</v>
      </c>
      <c r="E31" s="430">
        <v>0</v>
      </c>
      <c r="F31" s="430">
        <v>0</v>
      </c>
      <c r="G31" s="430">
        <v>0</v>
      </c>
      <c r="H31" s="430">
        <v>0</v>
      </c>
      <c r="I31" s="429">
        <f t="shared" si="4"/>
        <v>0</v>
      </c>
      <c r="J31" s="430">
        <v>0</v>
      </c>
      <c r="K31" s="430">
        <v>0</v>
      </c>
      <c r="L31" s="430">
        <v>0</v>
      </c>
      <c r="M31" s="430">
        <v>0</v>
      </c>
      <c r="N31" s="430">
        <v>0</v>
      </c>
      <c r="O31" s="429">
        <f t="shared" si="3"/>
        <v>20000</v>
      </c>
      <c r="P31" s="430">
        <v>20000</v>
      </c>
      <c r="Q31" s="430">
        <v>0</v>
      </c>
      <c r="R31" s="430">
        <v>0</v>
      </c>
      <c r="S31" s="430">
        <v>0</v>
      </c>
      <c r="T31" s="430">
        <v>0</v>
      </c>
      <c r="U31" s="45">
        <v>13200</v>
      </c>
      <c r="V31" s="305"/>
      <c r="X31" s="305"/>
    </row>
    <row r="32" spans="1:24" ht="32.25" customHeight="1">
      <c r="A32" s="42">
        <v>23</v>
      </c>
      <c r="B32" s="43" t="s">
        <v>192</v>
      </c>
      <c r="C32" s="429">
        <f t="shared" si="2"/>
        <v>35367443</v>
      </c>
      <c r="D32" s="430">
        <v>28454671</v>
      </c>
      <c r="E32" s="430">
        <v>6029304</v>
      </c>
      <c r="F32" s="430">
        <v>350946</v>
      </c>
      <c r="G32" s="430">
        <v>532522</v>
      </c>
      <c r="H32" s="430">
        <v>0</v>
      </c>
      <c r="I32" s="429">
        <f t="shared" ref="I32:I33" si="5">SUM(J32:N32)</f>
        <v>1672764</v>
      </c>
      <c r="J32" s="430">
        <v>121656</v>
      </c>
      <c r="K32" s="430">
        <v>998498</v>
      </c>
      <c r="L32" s="430">
        <v>489166</v>
      </c>
      <c r="M32" s="430">
        <v>0</v>
      </c>
      <c r="N32" s="430">
        <v>63444</v>
      </c>
      <c r="O32" s="429">
        <f t="shared" si="3"/>
        <v>296110</v>
      </c>
      <c r="P32" s="430">
        <v>296110</v>
      </c>
      <c r="Q32" s="430">
        <v>0</v>
      </c>
      <c r="R32" s="430">
        <v>0</v>
      </c>
      <c r="S32" s="430">
        <v>0</v>
      </c>
      <c r="T32" s="430">
        <v>0</v>
      </c>
      <c r="U32" s="45">
        <v>13300</v>
      </c>
      <c r="V32" s="305"/>
      <c r="X32" s="305"/>
    </row>
    <row r="33" spans="1:24" ht="32.25" customHeight="1">
      <c r="A33" s="42">
        <v>24</v>
      </c>
      <c r="B33" s="43" t="s">
        <v>675</v>
      </c>
      <c r="C33" s="429">
        <f t="shared" si="2"/>
        <v>13446162</v>
      </c>
      <c r="D33" s="430">
        <v>13732792</v>
      </c>
      <c r="E33" s="430">
        <v>327166</v>
      </c>
      <c r="F33" s="430">
        <v>0</v>
      </c>
      <c r="G33" s="430">
        <v>0</v>
      </c>
      <c r="H33" s="430">
        <v>0</v>
      </c>
      <c r="I33" s="429">
        <f t="shared" si="5"/>
        <v>5755944</v>
      </c>
      <c r="J33" s="430">
        <v>0</v>
      </c>
      <c r="K33" s="430">
        <v>0</v>
      </c>
      <c r="L33" s="430">
        <v>3104992</v>
      </c>
      <c r="M33" s="430">
        <v>2650952</v>
      </c>
      <c r="N33" s="430">
        <v>0</v>
      </c>
      <c r="O33" s="429">
        <f t="shared" si="3"/>
        <v>811955</v>
      </c>
      <c r="P33" s="430">
        <v>198159</v>
      </c>
      <c r="Q33" s="430">
        <v>613796</v>
      </c>
      <c r="R33" s="430">
        <v>0</v>
      </c>
      <c r="S33" s="430">
        <v>0</v>
      </c>
      <c r="T33" s="430">
        <v>0</v>
      </c>
      <c r="U33" s="45">
        <v>14300</v>
      </c>
      <c r="V33" s="305"/>
      <c r="W33" s="10"/>
      <c r="X33" s="305"/>
    </row>
    <row r="34" spans="1:24" ht="33.75" customHeight="1">
      <c r="A34" s="42">
        <v>25</v>
      </c>
      <c r="B34" s="43" t="s">
        <v>676</v>
      </c>
      <c r="C34" s="429">
        <f t="shared" si="2"/>
        <v>66976461</v>
      </c>
      <c r="D34" s="430">
        <v>63180329</v>
      </c>
      <c r="E34" s="430">
        <v>938508</v>
      </c>
      <c r="F34" s="430">
        <v>0</v>
      </c>
      <c r="G34" s="430">
        <v>4222222</v>
      </c>
      <c r="H34" s="430">
        <v>0</v>
      </c>
      <c r="I34" s="429">
        <f t="shared" si="4"/>
        <v>3765742</v>
      </c>
      <c r="J34" s="430">
        <v>56225</v>
      </c>
      <c r="K34" s="430">
        <v>911912</v>
      </c>
      <c r="L34" s="430">
        <v>264559</v>
      </c>
      <c r="M34" s="430">
        <v>209356</v>
      </c>
      <c r="N34" s="430">
        <v>2323690</v>
      </c>
      <c r="O34" s="429">
        <f t="shared" si="3"/>
        <v>1498952</v>
      </c>
      <c r="P34" s="430">
        <v>134354</v>
      </c>
      <c r="Q34" s="430">
        <v>0</v>
      </c>
      <c r="R34" s="430">
        <v>0</v>
      </c>
      <c r="S34" s="430">
        <v>829566</v>
      </c>
      <c r="T34" s="430">
        <v>535032</v>
      </c>
      <c r="U34" s="45">
        <v>14400</v>
      </c>
      <c r="V34" s="305"/>
      <c r="W34" s="10"/>
      <c r="X34" s="305"/>
    </row>
    <row r="35" spans="1:24" ht="23.25" customHeight="1">
      <c r="A35" s="42">
        <v>26</v>
      </c>
      <c r="B35" s="43" t="s">
        <v>193</v>
      </c>
      <c r="C35" s="429">
        <f t="shared" si="2"/>
        <v>0</v>
      </c>
      <c r="D35" s="430">
        <v>0</v>
      </c>
      <c r="E35" s="430">
        <v>0</v>
      </c>
      <c r="F35" s="430">
        <v>0</v>
      </c>
      <c r="G35" s="430">
        <v>0</v>
      </c>
      <c r="H35" s="430">
        <v>0</v>
      </c>
      <c r="I35" s="429">
        <f t="shared" si="4"/>
        <v>0</v>
      </c>
      <c r="J35" s="430"/>
      <c r="K35" s="430"/>
      <c r="L35" s="430"/>
      <c r="M35" s="430"/>
      <c r="N35" s="430"/>
      <c r="O35" s="429">
        <f t="shared" si="3"/>
        <v>0</v>
      </c>
      <c r="P35" s="430">
        <v>0</v>
      </c>
      <c r="Q35" s="430">
        <v>0</v>
      </c>
      <c r="R35" s="430">
        <v>0</v>
      </c>
      <c r="S35" s="430">
        <v>0</v>
      </c>
      <c r="T35" s="430">
        <v>0</v>
      </c>
      <c r="U35" s="45">
        <v>14500</v>
      </c>
      <c r="V35" s="305"/>
      <c r="X35" s="305"/>
    </row>
    <row r="36" spans="1:24" ht="23.25" customHeight="1">
      <c r="A36" s="42">
        <v>27</v>
      </c>
      <c r="B36" s="43" t="s">
        <v>194</v>
      </c>
      <c r="C36" s="429">
        <f t="shared" si="2"/>
        <v>0</v>
      </c>
      <c r="D36" s="430">
        <v>0</v>
      </c>
      <c r="E36" s="430">
        <v>0</v>
      </c>
      <c r="F36" s="430">
        <v>0</v>
      </c>
      <c r="G36" s="430">
        <v>0</v>
      </c>
      <c r="H36" s="430">
        <v>0</v>
      </c>
      <c r="I36" s="429">
        <f t="shared" si="4"/>
        <v>0</v>
      </c>
      <c r="J36" s="430"/>
      <c r="K36" s="430"/>
      <c r="L36" s="430"/>
      <c r="M36" s="430"/>
      <c r="N36" s="430"/>
      <c r="O36" s="429">
        <f t="shared" si="3"/>
        <v>0</v>
      </c>
      <c r="P36" s="430">
        <v>0</v>
      </c>
      <c r="Q36" s="430">
        <v>0</v>
      </c>
      <c r="R36" s="430">
        <v>0</v>
      </c>
      <c r="S36" s="430">
        <v>0</v>
      </c>
      <c r="T36" s="430">
        <v>0</v>
      </c>
      <c r="U36" s="45">
        <v>14700</v>
      </c>
      <c r="V36" s="305"/>
      <c r="X36" s="305"/>
    </row>
    <row r="37" spans="1:24" ht="23.25" customHeight="1">
      <c r="A37" s="42">
        <v>28</v>
      </c>
      <c r="B37" s="43" t="s">
        <v>195</v>
      </c>
      <c r="C37" s="429">
        <f t="shared" si="2"/>
        <v>0</v>
      </c>
      <c r="D37" s="430">
        <v>0</v>
      </c>
      <c r="E37" s="430">
        <v>0</v>
      </c>
      <c r="F37" s="430">
        <v>0</v>
      </c>
      <c r="G37" s="430">
        <v>0</v>
      </c>
      <c r="H37" s="430">
        <v>0</v>
      </c>
      <c r="I37" s="429">
        <f t="shared" si="4"/>
        <v>0</v>
      </c>
      <c r="J37" s="430"/>
      <c r="K37" s="430"/>
      <c r="L37" s="430"/>
      <c r="M37" s="430"/>
      <c r="N37" s="430"/>
      <c r="O37" s="429">
        <f t="shared" si="3"/>
        <v>0</v>
      </c>
      <c r="P37" s="430">
        <v>0</v>
      </c>
      <c r="Q37" s="430">
        <v>0</v>
      </c>
      <c r="R37" s="430">
        <v>0</v>
      </c>
      <c r="S37" s="430">
        <v>0</v>
      </c>
      <c r="T37" s="430">
        <v>0</v>
      </c>
      <c r="U37" s="45">
        <v>14800</v>
      </c>
      <c r="V37" s="305"/>
      <c r="X37" s="305"/>
    </row>
    <row r="38" spans="1:24" ht="23.25" customHeight="1">
      <c r="A38" s="42">
        <v>29</v>
      </c>
      <c r="B38" s="43" t="s">
        <v>196</v>
      </c>
      <c r="C38" s="429">
        <f t="shared" si="2"/>
        <v>8117618124</v>
      </c>
      <c r="D38" s="430">
        <v>7019070951</v>
      </c>
      <c r="E38" s="430">
        <v>891855355</v>
      </c>
      <c r="F38" s="430">
        <v>116902770</v>
      </c>
      <c r="G38" s="430">
        <v>49497828</v>
      </c>
      <c r="H38" s="430">
        <v>49218249</v>
      </c>
      <c r="I38" s="429">
        <f t="shared" si="4"/>
        <v>252593173</v>
      </c>
      <c r="J38" s="430">
        <v>11416967</v>
      </c>
      <c r="K38" s="430">
        <v>59536088</v>
      </c>
      <c r="L38" s="430">
        <v>16477746</v>
      </c>
      <c r="M38" s="430">
        <v>47560275</v>
      </c>
      <c r="N38" s="430">
        <v>117602097</v>
      </c>
      <c r="O38" s="429">
        <f t="shared" si="3"/>
        <v>92735728</v>
      </c>
      <c r="P38" s="430">
        <v>83808699</v>
      </c>
      <c r="Q38" s="430">
        <v>5646748</v>
      </c>
      <c r="R38" s="430">
        <v>2111145</v>
      </c>
      <c r="S38" s="430">
        <v>822978</v>
      </c>
      <c r="T38" s="430">
        <v>346158</v>
      </c>
      <c r="U38" s="45">
        <v>14900</v>
      </c>
      <c r="V38" s="305"/>
      <c r="X38" s="305"/>
    </row>
    <row r="39" spans="1:24" ht="23.25" customHeight="1">
      <c r="A39" s="42">
        <v>30</v>
      </c>
      <c r="B39" s="43" t="s">
        <v>197</v>
      </c>
      <c r="C39" s="429">
        <f t="shared" si="2"/>
        <v>766807801</v>
      </c>
      <c r="D39" s="430">
        <v>572177119</v>
      </c>
      <c r="E39" s="430">
        <v>188722113</v>
      </c>
      <c r="F39" s="430">
        <v>1678739</v>
      </c>
      <c r="G39" s="430">
        <v>2554602</v>
      </c>
      <c r="H39" s="430">
        <v>3430650</v>
      </c>
      <c r="I39" s="429">
        <f t="shared" si="4"/>
        <v>9341336</v>
      </c>
      <c r="J39" s="430">
        <v>381635</v>
      </c>
      <c r="K39" s="430">
        <v>3455537</v>
      </c>
      <c r="L39" s="430">
        <v>612214</v>
      </c>
      <c r="M39" s="430">
        <v>1083013</v>
      </c>
      <c r="N39" s="430">
        <v>3808937</v>
      </c>
      <c r="O39" s="429">
        <f t="shared" si="3"/>
        <v>9536337</v>
      </c>
      <c r="P39" s="430">
        <v>7780915</v>
      </c>
      <c r="Q39" s="430">
        <v>615101</v>
      </c>
      <c r="R39" s="430">
        <v>3453</v>
      </c>
      <c r="S39" s="430">
        <v>433</v>
      </c>
      <c r="T39" s="430">
        <v>1136435</v>
      </c>
      <c r="U39" s="45">
        <v>15000</v>
      </c>
      <c r="V39" s="305"/>
      <c r="X39" s="305"/>
    </row>
    <row r="40" spans="1:24" ht="33.75" customHeight="1">
      <c r="A40" s="42">
        <v>31</v>
      </c>
      <c r="B40" s="43" t="s">
        <v>677</v>
      </c>
      <c r="C40" s="429">
        <f t="shared" si="2"/>
        <v>239866103</v>
      </c>
      <c r="D40" s="430">
        <v>239866103</v>
      </c>
      <c r="E40" s="430">
        <v>0</v>
      </c>
      <c r="F40" s="430">
        <v>0</v>
      </c>
      <c r="G40" s="430">
        <v>0</v>
      </c>
      <c r="H40" s="430">
        <v>0</v>
      </c>
      <c r="I40" s="429">
        <f t="shared" si="4"/>
        <v>28109740</v>
      </c>
      <c r="J40" s="430">
        <v>19112125</v>
      </c>
      <c r="K40" s="430">
        <v>339403</v>
      </c>
      <c r="L40" s="430">
        <v>0</v>
      </c>
      <c r="M40" s="430">
        <v>8658212</v>
      </c>
      <c r="N40" s="430">
        <v>0</v>
      </c>
      <c r="O40" s="429">
        <f t="shared" si="3"/>
        <v>78666</v>
      </c>
      <c r="P40" s="430">
        <v>78666</v>
      </c>
      <c r="Q40" s="430">
        <v>0</v>
      </c>
      <c r="R40" s="430">
        <v>0</v>
      </c>
      <c r="S40" s="430">
        <v>0</v>
      </c>
      <c r="T40" s="430">
        <v>0</v>
      </c>
      <c r="U40" s="45">
        <v>15100</v>
      </c>
      <c r="V40" s="305"/>
      <c r="W40" s="10"/>
      <c r="X40" s="305"/>
    </row>
    <row r="41" spans="1:24" ht="23.25" customHeight="1">
      <c r="A41" s="42">
        <v>32</v>
      </c>
      <c r="B41" s="43" t="s">
        <v>198</v>
      </c>
      <c r="C41" s="429">
        <f t="shared" si="2"/>
        <v>3772042</v>
      </c>
      <c r="D41" s="430">
        <v>3772042</v>
      </c>
      <c r="E41" s="430">
        <v>0</v>
      </c>
      <c r="F41" s="430">
        <v>0</v>
      </c>
      <c r="G41" s="430">
        <v>0</v>
      </c>
      <c r="H41" s="430">
        <v>0</v>
      </c>
      <c r="I41" s="429">
        <f t="shared" si="4"/>
        <v>26667</v>
      </c>
      <c r="J41" s="430">
        <v>26667</v>
      </c>
      <c r="K41" s="430">
        <v>0</v>
      </c>
      <c r="L41" s="430">
        <v>0</v>
      </c>
      <c r="M41" s="430">
        <v>0</v>
      </c>
      <c r="N41" s="430">
        <v>0</v>
      </c>
      <c r="O41" s="429">
        <f t="shared" si="3"/>
        <v>37987</v>
      </c>
      <c r="P41" s="430">
        <v>37987</v>
      </c>
      <c r="Q41" s="430">
        <v>0</v>
      </c>
      <c r="R41" s="430">
        <v>0</v>
      </c>
      <c r="S41" s="430">
        <v>0</v>
      </c>
      <c r="T41" s="430">
        <v>0</v>
      </c>
      <c r="U41" s="45">
        <v>15200</v>
      </c>
      <c r="V41" s="305"/>
      <c r="X41" s="305"/>
    </row>
    <row r="42" spans="1:24" ht="23.25" customHeight="1">
      <c r="A42" s="42">
        <v>33</v>
      </c>
      <c r="B42" s="43" t="s">
        <v>199</v>
      </c>
      <c r="C42" s="429">
        <f t="shared" si="2"/>
        <v>191226772</v>
      </c>
      <c r="D42" s="430">
        <v>150444752</v>
      </c>
      <c r="E42" s="430">
        <v>40963783</v>
      </c>
      <c r="F42" s="430">
        <v>0</v>
      </c>
      <c r="G42" s="430">
        <v>314103</v>
      </c>
      <c r="H42" s="430">
        <v>0</v>
      </c>
      <c r="I42" s="429">
        <f t="shared" si="4"/>
        <v>5690687</v>
      </c>
      <c r="J42" s="430">
        <v>74778</v>
      </c>
      <c r="K42" s="430">
        <v>0</v>
      </c>
      <c r="L42" s="430">
        <v>5013058</v>
      </c>
      <c r="M42" s="430">
        <v>0</v>
      </c>
      <c r="N42" s="430">
        <v>602851</v>
      </c>
      <c r="O42" s="429">
        <f t="shared" si="3"/>
        <v>516930</v>
      </c>
      <c r="P42" s="430">
        <v>21064</v>
      </c>
      <c r="Q42" s="430">
        <v>0</v>
      </c>
      <c r="R42" s="430">
        <v>0</v>
      </c>
      <c r="S42" s="430">
        <v>194441</v>
      </c>
      <c r="T42" s="430">
        <v>301425</v>
      </c>
      <c r="U42" s="45">
        <v>15300</v>
      </c>
      <c r="V42" s="305"/>
      <c r="X42" s="305"/>
    </row>
    <row r="43" spans="1:24" ht="23.25" customHeight="1">
      <c r="A43" s="42">
        <v>34</v>
      </c>
      <c r="B43" s="43" t="s">
        <v>200</v>
      </c>
      <c r="C43" s="429">
        <f t="shared" si="2"/>
        <v>10516667</v>
      </c>
      <c r="D43" s="430">
        <v>10516667</v>
      </c>
      <c r="E43" s="430">
        <v>0</v>
      </c>
      <c r="F43" s="430">
        <v>0</v>
      </c>
      <c r="G43" s="430">
        <v>0</v>
      </c>
      <c r="H43" s="430">
        <v>0</v>
      </c>
      <c r="I43" s="429">
        <f t="shared" si="4"/>
        <v>0</v>
      </c>
      <c r="J43" s="430">
        <v>0</v>
      </c>
      <c r="K43" s="430">
        <v>0</v>
      </c>
      <c r="L43" s="430">
        <v>0</v>
      </c>
      <c r="M43" s="430">
        <v>0</v>
      </c>
      <c r="N43" s="430">
        <v>0</v>
      </c>
      <c r="O43" s="429">
        <f t="shared" si="3"/>
        <v>31833</v>
      </c>
      <c r="P43" s="430">
        <v>31833</v>
      </c>
      <c r="Q43" s="430">
        <v>0</v>
      </c>
      <c r="R43" s="430">
        <v>0</v>
      </c>
      <c r="S43" s="430">
        <v>0</v>
      </c>
      <c r="T43" s="430">
        <v>0</v>
      </c>
      <c r="U43" s="45">
        <v>15400</v>
      </c>
      <c r="V43" s="305"/>
      <c r="X43" s="305"/>
    </row>
    <row r="44" spans="1:24" ht="33.75" customHeight="1">
      <c r="A44" s="42">
        <v>35</v>
      </c>
      <c r="B44" s="43" t="s">
        <v>201</v>
      </c>
      <c r="C44" s="429">
        <f t="shared" si="2"/>
        <v>8860733878</v>
      </c>
      <c r="D44" s="430">
        <v>8407999479</v>
      </c>
      <c r="E44" s="430">
        <v>367050809</v>
      </c>
      <c r="F44" s="430">
        <v>50958898</v>
      </c>
      <c r="G44" s="430">
        <v>86271588</v>
      </c>
      <c r="H44" s="430">
        <v>34432383</v>
      </c>
      <c r="I44" s="429">
        <f t="shared" si="4"/>
        <v>441693323</v>
      </c>
      <c r="J44" s="430">
        <v>18145691</v>
      </c>
      <c r="K44" s="430">
        <v>96347011</v>
      </c>
      <c r="L44" s="430">
        <v>37901515</v>
      </c>
      <c r="M44" s="430">
        <v>36098618</v>
      </c>
      <c r="N44" s="430">
        <v>253200488</v>
      </c>
      <c r="O44" s="429">
        <f t="shared" si="3"/>
        <v>114724072</v>
      </c>
      <c r="P44" s="430">
        <v>28744793</v>
      </c>
      <c r="Q44" s="430">
        <v>6336452</v>
      </c>
      <c r="R44" s="430">
        <v>357593</v>
      </c>
      <c r="S44" s="430">
        <v>35924814</v>
      </c>
      <c r="T44" s="430">
        <v>43360420</v>
      </c>
      <c r="U44" s="45">
        <v>15500</v>
      </c>
      <c r="V44" s="305"/>
      <c r="X44" s="305"/>
    </row>
    <row r="45" spans="1:24" ht="18" customHeight="1">
      <c r="A45" s="42">
        <v>36</v>
      </c>
      <c r="B45" s="43" t="s">
        <v>202</v>
      </c>
      <c r="C45" s="429">
        <f t="shared" si="2"/>
        <v>25000000</v>
      </c>
      <c r="D45" s="430">
        <v>25000000</v>
      </c>
      <c r="E45" s="430">
        <v>0</v>
      </c>
      <c r="F45" s="430">
        <v>0</v>
      </c>
      <c r="G45" s="430">
        <v>220848</v>
      </c>
      <c r="H45" s="430">
        <v>0</v>
      </c>
      <c r="I45" s="429">
        <f t="shared" si="4"/>
        <v>5220848</v>
      </c>
      <c r="J45" s="430">
        <v>5000000</v>
      </c>
      <c r="K45" s="430">
        <v>0</v>
      </c>
      <c r="L45" s="430">
        <v>0</v>
      </c>
      <c r="M45" s="430">
        <v>0</v>
      </c>
      <c r="N45" s="430">
        <v>220848</v>
      </c>
      <c r="O45" s="429">
        <f t="shared" si="3"/>
        <v>223056</v>
      </c>
      <c r="P45" s="430">
        <v>2208</v>
      </c>
      <c r="Q45" s="430">
        <v>0</v>
      </c>
      <c r="R45" s="430">
        <v>0</v>
      </c>
      <c r="S45" s="430">
        <v>220848</v>
      </c>
      <c r="T45" s="430">
        <v>0</v>
      </c>
      <c r="U45" s="45">
        <v>15600</v>
      </c>
      <c r="V45" s="305"/>
      <c r="X45" s="305"/>
    </row>
    <row r="46" spans="1:24" ht="23.25" customHeight="1">
      <c r="A46" s="42">
        <v>37</v>
      </c>
      <c r="B46" s="43" t="s">
        <v>684</v>
      </c>
      <c r="C46" s="429">
        <f t="shared" si="2"/>
        <v>167963237</v>
      </c>
      <c r="D46" s="430">
        <v>0</v>
      </c>
      <c r="E46" s="430">
        <v>155463211</v>
      </c>
      <c r="F46" s="430">
        <v>6837757</v>
      </c>
      <c r="G46" s="430">
        <v>16072804</v>
      </c>
      <c r="H46" s="430">
        <v>12436001</v>
      </c>
      <c r="I46" s="429">
        <f t="shared" si="4"/>
        <v>0</v>
      </c>
      <c r="J46" s="430"/>
      <c r="K46" s="430"/>
      <c r="L46" s="430"/>
      <c r="M46" s="430"/>
      <c r="N46" s="430"/>
      <c r="O46" s="429">
        <f t="shared" si="3"/>
        <v>22846536</v>
      </c>
      <c r="P46" s="430"/>
      <c r="Q46" s="430">
        <v>8242264</v>
      </c>
      <c r="R46" s="430">
        <v>165717</v>
      </c>
      <c r="S46" s="430">
        <v>6678015</v>
      </c>
      <c r="T46" s="430">
        <v>7760540</v>
      </c>
      <c r="U46" s="45">
        <v>15700</v>
      </c>
      <c r="V46" s="305"/>
      <c r="W46" s="10"/>
      <c r="X46" s="305"/>
    </row>
    <row r="47" spans="1:24" ht="33.75" customHeight="1">
      <c r="A47" s="42">
        <v>38</v>
      </c>
      <c r="B47" s="43" t="s">
        <v>685</v>
      </c>
      <c r="C47" s="429">
        <f t="shared" si="2"/>
        <v>925002773</v>
      </c>
      <c r="D47" s="430">
        <v>925002773</v>
      </c>
      <c r="E47" s="430"/>
      <c r="F47" s="430"/>
      <c r="G47" s="430"/>
      <c r="H47" s="430"/>
      <c r="I47" s="429">
        <f t="shared" si="4"/>
        <v>0</v>
      </c>
      <c r="J47" s="430"/>
      <c r="K47" s="430"/>
      <c r="L47" s="430"/>
      <c r="M47" s="430"/>
      <c r="N47" s="430"/>
      <c r="O47" s="429">
        <f t="shared" si="3"/>
        <v>0</v>
      </c>
      <c r="P47" s="430"/>
      <c r="Q47" s="430"/>
      <c r="R47" s="430"/>
      <c r="S47" s="430"/>
      <c r="T47" s="430"/>
      <c r="U47" s="45">
        <v>15800</v>
      </c>
      <c r="V47" s="305"/>
      <c r="W47" s="10"/>
      <c r="X47" s="305"/>
    </row>
    <row r="48" spans="1:24" ht="23.25" customHeight="1">
      <c r="A48" s="42">
        <v>39</v>
      </c>
      <c r="B48" s="43" t="s">
        <v>682</v>
      </c>
      <c r="C48" s="429">
        <f t="shared" si="2"/>
        <v>0</v>
      </c>
      <c r="D48" s="430">
        <v>0</v>
      </c>
      <c r="E48" s="430"/>
      <c r="F48" s="430"/>
      <c r="G48" s="430"/>
      <c r="H48" s="430"/>
      <c r="I48" s="429">
        <f t="shared" si="4"/>
        <v>0</v>
      </c>
      <c r="J48" s="430"/>
      <c r="K48" s="430"/>
      <c r="L48" s="430"/>
      <c r="M48" s="430"/>
      <c r="N48" s="430"/>
      <c r="O48" s="429">
        <f t="shared" si="3"/>
        <v>0</v>
      </c>
      <c r="P48" s="430"/>
      <c r="Q48" s="430"/>
      <c r="R48" s="430"/>
      <c r="S48" s="430"/>
      <c r="T48" s="430"/>
      <c r="U48" s="45">
        <v>15900</v>
      </c>
      <c r="V48" s="305"/>
      <c r="W48" s="10"/>
      <c r="X48" s="305"/>
    </row>
    <row r="49" spans="1:30" ht="23.25" customHeight="1">
      <c r="A49" s="42">
        <v>40</v>
      </c>
      <c r="B49" s="43" t="s">
        <v>683</v>
      </c>
      <c r="C49" s="429">
        <f t="shared" si="2"/>
        <v>1870489235</v>
      </c>
      <c r="D49" s="430">
        <v>1058789915</v>
      </c>
      <c r="E49" s="430">
        <v>226153577</v>
      </c>
      <c r="F49" s="430">
        <v>60833127</v>
      </c>
      <c r="G49" s="430">
        <v>343002726</v>
      </c>
      <c r="H49" s="430">
        <v>188504567</v>
      </c>
      <c r="I49" s="429">
        <f t="shared" si="4"/>
        <v>0</v>
      </c>
      <c r="J49" s="430"/>
      <c r="K49" s="430"/>
      <c r="L49" s="430"/>
      <c r="M49" s="430"/>
      <c r="N49" s="430"/>
      <c r="O49" s="429">
        <f t="shared" si="3"/>
        <v>6794677</v>
      </c>
      <c r="P49" s="430"/>
      <c r="Q49" s="430">
        <v>8297</v>
      </c>
      <c r="R49" s="430">
        <v>49</v>
      </c>
      <c r="S49" s="430">
        <v>4392331</v>
      </c>
      <c r="T49" s="430">
        <v>2394000</v>
      </c>
      <c r="U49" s="45">
        <v>16300</v>
      </c>
      <c r="V49" s="305"/>
      <c r="W49" s="10"/>
      <c r="X49" s="305"/>
    </row>
    <row r="50" spans="1:30" ht="23.25" customHeight="1">
      <c r="A50" s="42">
        <v>41</v>
      </c>
      <c r="B50" s="43" t="s">
        <v>681</v>
      </c>
      <c r="C50" s="429">
        <f t="shared" si="2"/>
        <v>2431865</v>
      </c>
      <c r="D50" s="430">
        <v>2431865</v>
      </c>
      <c r="E50" s="430"/>
      <c r="F50" s="430"/>
      <c r="G50" s="430"/>
      <c r="H50" s="430"/>
      <c r="I50" s="429">
        <f t="shared" si="4"/>
        <v>0</v>
      </c>
      <c r="J50" s="430"/>
      <c r="K50" s="430"/>
      <c r="L50" s="430"/>
      <c r="M50" s="430"/>
      <c r="N50" s="430"/>
      <c r="O50" s="429">
        <f t="shared" si="3"/>
        <v>0</v>
      </c>
      <c r="P50" s="430"/>
      <c r="Q50" s="430"/>
      <c r="R50" s="430"/>
      <c r="S50" s="430"/>
      <c r="T50" s="430"/>
      <c r="U50" s="45">
        <v>16400</v>
      </c>
      <c r="V50" s="305"/>
      <c r="W50" s="10"/>
      <c r="X50" s="305"/>
    </row>
    <row r="51" spans="1:30" ht="23.25" customHeight="1">
      <c r="A51" s="42">
        <v>42</v>
      </c>
      <c r="B51" s="43" t="s">
        <v>203</v>
      </c>
      <c r="C51" s="429">
        <f t="shared" si="2"/>
        <v>888291934</v>
      </c>
      <c r="D51" s="430">
        <v>888291934</v>
      </c>
      <c r="E51" s="430"/>
      <c r="F51" s="430"/>
      <c r="G51" s="430"/>
      <c r="H51" s="430"/>
      <c r="I51" s="429">
        <f t="shared" si="4"/>
        <v>0</v>
      </c>
      <c r="J51" s="430"/>
      <c r="K51" s="430"/>
      <c r="L51" s="430"/>
      <c r="M51" s="430"/>
      <c r="N51" s="430"/>
      <c r="O51" s="429">
        <f t="shared" si="3"/>
        <v>0</v>
      </c>
      <c r="P51" s="430"/>
      <c r="Q51" s="430"/>
      <c r="R51" s="430"/>
      <c r="S51" s="430"/>
      <c r="T51" s="430"/>
      <c r="U51" s="45">
        <v>16500</v>
      </c>
      <c r="V51" s="305"/>
      <c r="W51" s="10"/>
      <c r="X51" s="305"/>
    </row>
    <row r="52" spans="1:30" ht="23.25" customHeight="1">
      <c r="A52" s="42">
        <v>43</v>
      </c>
      <c r="B52" s="43" t="s">
        <v>204</v>
      </c>
      <c r="C52" s="429">
        <f t="shared" si="2"/>
        <v>15707718</v>
      </c>
      <c r="D52" s="430">
        <v>15707718</v>
      </c>
      <c r="E52" s="430"/>
      <c r="F52" s="430"/>
      <c r="G52" s="430"/>
      <c r="H52" s="430"/>
      <c r="I52" s="429">
        <f t="shared" si="4"/>
        <v>0</v>
      </c>
      <c r="J52" s="430"/>
      <c r="K52" s="430"/>
      <c r="L52" s="430"/>
      <c r="M52" s="430"/>
      <c r="N52" s="430"/>
      <c r="O52" s="429">
        <f t="shared" si="3"/>
        <v>0</v>
      </c>
      <c r="P52" s="430"/>
      <c r="Q52" s="430"/>
      <c r="R52" s="430"/>
      <c r="S52" s="430"/>
      <c r="T52" s="430"/>
      <c r="U52" s="45">
        <v>16600</v>
      </c>
      <c r="V52" s="305"/>
      <c r="W52" s="10"/>
      <c r="X52" s="305"/>
    </row>
    <row r="53" spans="1:30" ht="23.25" customHeight="1">
      <c r="A53" s="42">
        <v>44</v>
      </c>
      <c r="B53" s="43" t="s">
        <v>205</v>
      </c>
      <c r="C53" s="429">
        <f t="shared" si="2"/>
        <v>790493963</v>
      </c>
      <c r="D53" s="430">
        <v>633555723</v>
      </c>
      <c r="E53" s="430">
        <v>0</v>
      </c>
      <c r="F53" s="430">
        <v>0</v>
      </c>
      <c r="G53" s="430">
        <v>0</v>
      </c>
      <c r="H53" s="430">
        <v>206981651</v>
      </c>
      <c r="I53" s="429">
        <f t="shared" si="4"/>
        <v>0</v>
      </c>
      <c r="J53" s="430"/>
      <c r="K53" s="430"/>
      <c r="L53" s="430"/>
      <c r="M53" s="430"/>
      <c r="N53" s="430"/>
      <c r="O53" s="429">
        <f t="shared" si="3"/>
        <v>50043411</v>
      </c>
      <c r="P53" s="430"/>
      <c r="Q53" s="430">
        <v>12160000</v>
      </c>
      <c r="R53" s="430">
        <v>0</v>
      </c>
      <c r="S53" s="430">
        <v>0</v>
      </c>
      <c r="T53" s="430">
        <v>37883411</v>
      </c>
      <c r="U53" s="45">
        <v>16700</v>
      </c>
      <c r="V53" s="305"/>
      <c r="W53" s="10"/>
      <c r="X53" s="305"/>
    </row>
    <row r="54" spans="1:30" ht="23.25" customHeight="1">
      <c r="A54" s="42">
        <v>45</v>
      </c>
      <c r="B54" s="43" t="s">
        <v>680</v>
      </c>
      <c r="C54" s="429">
        <f t="shared" ref="C54" si="6">SUM(D54:H54)-O54+P54</f>
        <v>494425221</v>
      </c>
      <c r="D54" s="430">
        <v>277656203</v>
      </c>
      <c r="E54" s="430">
        <v>0</v>
      </c>
      <c r="F54" s="430">
        <v>23649166</v>
      </c>
      <c r="G54" s="430">
        <v>51784397</v>
      </c>
      <c r="H54" s="430">
        <v>141372207</v>
      </c>
      <c r="I54" s="429">
        <f t="shared" ref="I54" si="7">SUM(J54:N54)</f>
        <v>0</v>
      </c>
      <c r="J54" s="430"/>
      <c r="K54" s="430"/>
      <c r="L54" s="430"/>
      <c r="M54" s="430"/>
      <c r="N54" s="430"/>
      <c r="O54" s="429">
        <f t="shared" ref="O54" si="8">SUM(P54:T54)</f>
        <v>36752</v>
      </c>
      <c r="P54" s="430"/>
      <c r="Q54" s="430">
        <v>0</v>
      </c>
      <c r="R54" s="430">
        <v>36752</v>
      </c>
      <c r="S54" s="430">
        <v>0</v>
      </c>
      <c r="T54" s="430">
        <v>0</v>
      </c>
      <c r="U54" s="45">
        <v>16800</v>
      </c>
      <c r="V54" s="305"/>
      <c r="W54" s="10"/>
      <c r="X54" s="305"/>
    </row>
    <row r="55" spans="1:30" ht="23.25" customHeight="1">
      <c r="A55" s="42">
        <v>46</v>
      </c>
      <c r="B55" s="43" t="s">
        <v>206</v>
      </c>
      <c r="C55" s="429">
        <f t="shared" si="2"/>
        <v>0</v>
      </c>
      <c r="D55" s="430">
        <v>0</v>
      </c>
      <c r="E55" s="430"/>
      <c r="F55" s="430"/>
      <c r="G55" s="430"/>
      <c r="H55" s="430"/>
      <c r="I55" s="429">
        <f t="shared" si="4"/>
        <v>0</v>
      </c>
      <c r="J55" s="430"/>
      <c r="K55" s="430"/>
      <c r="L55" s="430"/>
      <c r="M55" s="430"/>
      <c r="N55" s="430"/>
      <c r="O55" s="429">
        <f t="shared" si="3"/>
        <v>0</v>
      </c>
      <c r="P55" s="430"/>
      <c r="Q55" s="430"/>
      <c r="R55" s="430"/>
      <c r="S55" s="430"/>
      <c r="T55" s="430"/>
      <c r="U55" s="45">
        <v>16900</v>
      </c>
      <c r="V55" s="305"/>
      <c r="W55" s="10"/>
      <c r="X55" s="305"/>
    </row>
    <row r="56" spans="1:30" ht="23.25" customHeight="1">
      <c r="A56" s="42">
        <v>47</v>
      </c>
      <c r="B56" s="43" t="s">
        <v>679</v>
      </c>
      <c r="C56" s="429">
        <f t="shared" si="2"/>
        <v>0</v>
      </c>
      <c r="D56" s="430">
        <v>0</v>
      </c>
      <c r="E56" s="430"/>
      <c r="F56" s="430"/>
      <c r="G56" s="430"/>
      <c r="H56" s="430"/>
      <c r="I56" s="429">
        <f t="shared" si="4"/>
        <v>0</v>
      </c>
      <c r="J56" s="430"/>
      <c r="K56" s="430"/>
      <c r="L56" s="430"/>
      <c r="M56" s="430"/>
      <c r="N56" s="430"/>
      <c r="O56" s="429">
        <f t="shared" si="3"/>
        <v>0</v>
      </c>
      <c r="P56" s="430"/>
      <c r="Q56" s="430"/>
      <c r="R56" s="430"/>
      <c r="S56" s="430"/>
      <c r="T56" s="430"/>
      <c r="U56" s="45">
        <v>17100</v>
      </c>
      <c r="V56" s="305"/>
      <c r="W56" s="10"/>
      <c r="X56" s="305"/>
    </row>
    <row r="57" spans="1:30" ht="23.25" customHeight="1">
      <c r="A57" s="42">
        <v>48</v>
      </c>
      <c r="B57" s="43" t="s">
        <v>207</v>
      </c>
      <c r="C57" s="429">
        <f t="shared" si="2"/>
        <v>0</v>
      </c>
      <c r="D57" s="430">
        <v>0</v>
      </c>
      <c r="E57" s="430"/>
      <c r="F57" s="430"/>
      <c r="G57" s="430"/>
      <c r="H57" s="430"/>
      <c r="I57" s="429">
        <f t="shared" si="4"/>
        <v>0</v>
      </c>
      <c r="J57" s="430"/>
      <c r="K57" s="430"/>
      <c r="L57" s="430"/>
      <c r="M57" s="430"/>
      <c r="N57" s="430"/>
      <c r="O57" s="429">
        <f t="shared" si="3"/>
        <v>0</v>
      </c>
      <c r="P57" s="430"/>
      <c r="Q57" s="430"/>
      <c r="R57" s="430"/>
      <c r="S57" s="430"/>
      <c r="T57" s="430"/>
      <c r="U57" s="45">
        <v>17300</v>
      </c>
      <c r="V57" s="305"/>
      <c r="W57" s="10"/>
      <c r="X57" s="305"/>
    </row>
    <row r="58" spans="1:30" ht="35.25" customHeight="1">
      <c r="A58" s="42">
        <v>49</v>
      </c>
      <c r="B58" s="43" t="s">
        <v>678</v>
      </c>
      <c r="C58" s="429">
        <f t="shared" si="2"/>
        <v>14023423</v>
      </c>
      <c r="D58" s="430">
        <v>14023423</v>
      </c>
      <c r="E58" s="430"/>
      <c r="F58" s="430"/>
      <c r="G58" s="430"/>
      <c r="H58" s="430"/>
      <c r="I58" s="429">
        <f t="shared" si="4"/>
        <v>0</v>
      </c>
      <c r="J58" s="430"/>
      <c r="K58" s="430"/>
      <c r="L58" s="430"/>
      <c r="M58" s="430"/>
      <c r="N58" s="430"/>
      <c r="O58" s="429">
        <f t="shared" si="3"/>
        <v>0</v>
      </c>
      <c r="P58" s="430"/>
      <c r="Q58" s="430"/>
      <c r="R58" s="430"/>
      <c r="S58" s="430"/>
      <c r="T58" s="430"/>
      <c r="U58" s="45">
        <v>17400</v>
      </c>
      <c r="V58" s="305"/>
      <c r="W58" s="10"/>
      <c r="X58" s="305"/>
      <c r="Y58" s="175"/>
      <c r="Z58" s="175"/>
      <c r="AA58" s="175"/>
      <c r="AB58" s="175"/>
      <c r="AC58" s="175"/>
      <c r="AD58" s="175"/>
    </row>
    <row r="59" spans="1:30" ht="23.25" customHeight="1">
      <c r="A59" s="42">
        <v>50</v>
      </c>
      <c r="B59" s="43" t="s">
        <v>669</v>
      </c>
      <c r="C59" s="429">
        <f>SUM(D59:H59)-O59</f>
        <v>123374035</v>
      </c>
      <c r="D59" s="430">
        <v>123374035</v>
      </c>
      <c r="E59" s="430"/>
      <c r="F59" s="430"/>
      <c r="G59" s="430"/>
      <c r="H59" s="430"/>
      <c r="I59" s="429">
        <f t="shared" si="4"/>
        <v>0</v>
      </c>
      <c r="J59" s="430"/>
      <c r="K59" s="430"/>
      <c r="L59" s="430"/>
      <c r="M59" s="430"/>
      <c r="N59" s="430"/>
      <c r="O59" s="429">
        <f t="shared" si="3"/>
        <v>0</v>
      </c>
      <c r="P59" s="430"/>
      <c r="Q59" s="430"/>
      <c r="R59" s="430"/>
      <c r="S59" s="430"/>
      <c r="T59" s="430"/>
      <c r="U59" s="45">
        <v>17700</v>
      </c>
      <c r="V59" s="305"/>
      <c r="W59" s="502">
        <f>+[8]Balance!$C$39</f>
        <v>123374035</v>
      </c>
      <c r="X59" s="305"/>
    </row>
    <row r="60" spans="1:30" s="175" customFormat="1" ht="23.25" customHeight="1">
      <c r="A60" s="42">
        <v>51</v>
      </c>
      <c r="B60" s="43" t="s">
        <v>208</v>
      </c>
      <c r="C60" s="429">
        <f t="shared" si="2"/>
        <v>390273621</v>
      </c>
      <c r="D60" s="430">
        <v>394608621</v>
      </c>
      <c r="E60" s="430"/>
      <c r="F60" s="430"/>
      <c r="G60" s="430"/>
      <c r="H60" s="430"/>
      <c r="I60" s="429">
        <f t="shared" si="4"/>
        <v>0</v>
      </c>
      <c r="J60" s="430"/>
      <c r="K60" s="430"/>
      <c r="L60" s="430"/>
      <c r="M60" s="430"/>
      <c r="N60" s="430"/>
      <c r="O60" s="429">
        <f t="shared" si="3"/>
        <v>4335000</v>
      </c>
      <c r="P60" s="430"/>
      <c r="Q60" s="430">
        <v>4335000</v>
      </c>
      <c r="R60" s="430"/>
      <c r="S60" s="430"/>
      <c r="T60" s="430"/>
      <c r="U60" s="45">
        <v>19900</v>
      </c>
      <c r="V60" s="305"/>
      <c r="W60" s="502"/>
      <c r="X60" s="305"/>
      <c r="Y60" s="7"/>
      <c r="Z60" s="7"/>
      <c r="AA60" s="7"/>
      <c r="AB60" s="7"/>
      <c r="AC60" s="7"/>
      <c r="AD60" s="7"/>
    </row>
    <row r="61" spans="1:30" s="175" customFormat="1" ht="15" customHeight="1">
      <c r="A61" s="172"/>
      <c r="B61" s="43"/>
      <c r="C61" s="429"/>
      <c r="D61" s="429"/>
      <c r="E61" s="429"/>
      <c r="F61" s="429"/>
      <c r="G61" s="429"/>
      <c r="H61" s="429"/>
      <c r="I61" s="429"/>
      <c r="J61" s="430"/>
      <c r="K61" s="430"/>
      <c r="L61" s="430"/>
      <c r="M61" s="430"/>
      <c r="N61" s="430"/>
      <c r="O61" s="429"/>
      <c r="P61" s="431"/>
      <c r="Q61" s="431"/>
      <c r="R61" s="431"/>
      <c r="S61" s="431"/>
      <c r="T61" s="431"/>
      <c r="U61" s="45"/>
      <c r="V61" s="173"/>
      <c r="W61" s="502"/>
      <c r="X61" s="7"/>
      <c r="Y61" s="7"/>
      <c r="Z61" s="7"/>
      <c r="AA61" s="7"/>
      <c r="AB61" s="7"/>
      <c r="AC61" s="7"/>
      <c r="AD61" s="7"/>
    </row>
    <row r="62" spans="1:30" s="7" customFormat="1" ht="23.25" customHeight="1">
      <c r="A62" s="46"/>
      <c r="B62" s="171" t="s">
        <v>209</v>
      </c>
      <c r="C62" s="432">
        <f t="shared" ref="C62:H62" si="9">SUM(C63:C66)</f>
        <v>2708564696</v>
      </c>
      <c r="D62" s="432">
        <f t="shared" si="9"/>
        <v>2675890672</v>
      </c>
      <c r="E62" s="432">
        <f t="shared" si="9"/>
        <v>24936398</v>
      </c>
      <c r="F62" s="432">
        <f t="shared" si="9"/>
        <v>3659348</v>
      </c>
      <c r="G62" s="432">
        <f t="shared" si="9"/>
        <v>3577589</v>
      </c>
      <c r="H62" s="432">
        <f t="shared" si="9"/>
        <v>500689</v>
      </c>
      <c r="I62" s="432">
        <f t="shared" ref="I62:I63" si="10">SUM(J62:N62)</f>
        <v>0</v>
      </c>
      <c r="J62" s="432">
        <f>SUM(J63:J66)</f>
        <v>0</v>
      </c>
      <c r="K62" s="432">
        <f t="shared" ref="K62:L62" si="11">SUM(K63:K66)</f>
        <v>0</v>
      </c>
      <c r="L62" s="432">
        <f t="shared" si="11"/>
        <v>0</v>
      </c>
      <c r="M62" s="432">
        <f t="shared" ref="M62:T62" si="12">SUM(M63:M66)</f>
        <v>0</v>
      </c>
      <c r="N62" s="432">
        <f t="shared" si="12"/>
        <v>0</v>
      </c>
      <c r="O62" s="432">
        <f t="shared" si="12"/>
        <v>0</v>
      </c>
      <c r="P62" s="432">
        <f t="shared" si="12"/>
        <v>0</v>
      </c>
      <c r="Q62" s="432">
        <f t="shared" si="12"/>
        <v>0</v>
      </c>
      <c r="R62" s="432">
        <f t="shared" si="12"/>
        <v>0</v>
      </c>
      <c r="S62" s="432">
        <f t="shared" si="12"/>
        <v>0</v>
      </c>
      <c r="T62" s="432">
        <f t="shared" si="12"/>
        <v>0</v>
      </c>
      <c r="U62" s="8"/>
      <c r="V62" s="8"/>
      <c r="W62" s="502">
        <f>+([8]Balance!$C$61)</f>
        <v>0</v>
      </c>
      <c r="X62" s="8"/>
      <c r="Y62" s="8"/>
      <c r="Z62" s="8"/>
      <c r="AA62" s="8"/>
      <c r="AB62" s="8"/>
      <c r="AC62" s="8"/>
      <c r="AD62" s="8"/>
    </row>
    <row r="63" spans="1:30" ht="26.25" customHeight="1">
      <c r="A63" s="172" t="s">
        <v>0</v>
      </c>
      <c r="B63" s="43" t="s">
        <v>210</v>
      </c>
      <c r="C63" s="429">
        <f t="shared" ref="C63" si="13">SUM(D63:H63)-O63+P63</f>
        <v>1029438692</v>
      </c>
      <c r="D63" s="430">
        <v>1029438692</v>
      </c>
      <c r="E63" s="430"/>
      <c r="F63" s="430"/>
      <c r="G63" s="430"/>
      <c r="H63" s="430"/>
      <c r="I63" s="429">
        <f t="shared" si="10"/>
        <v>0</v>
      </c>
      <c r="J63" s="431"/>
      <c r="K63" s="431"/>
      <c r="L63" s="431"/>
      <c r="M63" s="431"/>
      <c r="N63" s="431"/>
      <c r="O63" s="429">
        <f t="shared" ref="O63" si="14">SUM(P63:T63)</f>
        <v>0</v>
      </c>
      <c r="P63" s="430"/>
      <c r="Q63" s="431"/>
      <c r="R63" s="431"/>
      <c r="S63" s="431"/>
      <c r="T63" s="431"/>
      <c r="U63" s="45" t="s">
        <v>130</v>
      </c>
      <c r="W63" s="502">
        <f>+(W62*70%)</f>
        <v>0</v>
      </c>
    </row>
    <row r="64" spans="1:30" ht="26.25" customHeight="1">
      <c r="A64" s="172" t="s">
        <v>3</v>
      </c>
      <c r="B64" s="43" t="s">
        <v>211</v>
      </c>
      <c r="C64" s="429">
        <f>SUM(D64:H64)-O64+P64</f>
        <v>445106241</v>
      </c>
      <c r="D64" s="430">
        <v>445106241</v>
      </c>
      <c r="E64" s="430"/>
      <c r="F64" s="430"/>
      <c r="G64" s="430"/>
      <c r="H64" s="430"/>
      <c r="I64" s="429">
        <f>SUM(J64:N64)</f>
        <v>0</v>
      </c>
      <c r="J64" s="431"/>
      <c r="K64" s="431"/>
      <c r="L64" s="431"/>
      <c r="M64" s="431"/>
      <c r="N64" s="431"/>
      <c r="O64" s="429">
        <f>SUM(P64:T64)</f>
        <v>0</v>
      </c>
      <c r="P64" s="430"/>
      <c r="Q64" s="431"/>
      <c r="R64" s="431"/>
      <c r="S64" s="431"/>
      <c r="T64" s="431"/>
      <c r="U64" s="8">
        <v>90993</v>
      </c>
    </row>
    <row r="65" spans="1:30" ht="26.25" customHeight="1">
      <c r="A65" s="172" t="s">
        <v>4</v>
      </c>
      <c r="B65" s="43" t="s">
        <v>212</v>
      </c>
      <c r="C65" s="429">
        <f t="shared" ref="C65:C66" si="15">SUM(D65:H65)-O65+P65</f>
        <v>906971873</v>
      </c>
      <c r="D65" s="430">
        <v>874297849</v>
      </c>
      <c r="E65" s="430">
        <v>24936398</v>
      </c>
      <c r="F65" s="430">
        <v>3659348</v>
      </c>
      <c r="G65" s="430">
        <v>3577589</v>
      </c>
      <c r="H65" s="430">
        <v>500689</v>
      </c>
      <c r="I65" s="429">
        <f>SUM(J65:N65)</f>
        <v>0</v>
      </c>
      <c r="J65" s="431"/>
      <c r="K65" s="431"/>
      <c r="L65" s="431"/>
      <c r="M65" s="431"/>
      <c r="N65" s="431"/>
      <c r="O65" s="429">
        <f>SUM(P65:T65)</f>
        <v>0</v>
      </c>
      <c r="P65" s="430"/>
      <c r="Q65" s="430"/>
      <c r="R65" s="431"/>
      <c r="S65" s="431"/>
      <c r="T65" s="431"/>
      <c r="U65" s="8">
        <v>91809</v>
      </c>
    </row>
    <row r="66" spans="1:30" ht="26.25" customHeight="1">
      <c r="A66" s="172" t="s">
        <v>2</v>
      </c>
      <c r="B66" s="43" t="s">
        <v>720</v>
      </c>
      <c r="C66" s="429">
        <f t="shared" si="15"/>
        <v>327047890</v>
      </c>
      <c r="D66" s="430">
        <v>327047890</v>
      </c>
      <c r="E66" s="430"/>
      <c r="F66" s="430"/>
      <c r="G66" s="430"/>
      <c r="H66" s="430"/>
      <c r="I66" s="429">
        <f>SUM(J66:N66)</f>
        <v>0</v>
      </c>
      <c r="J66" s="431"/>
      <c r="K66" s="431"/>
      <c r="L66" s="431"/>
      <c r="M66" s="431"/>
      <c r="N66" s="431"/>
      <c r="O66" s="429">
        <f>SUM(P66:T66)</f>
        <v>0</v>
      </c>
      <c r="P66" s="430"/>
      <c r="Q66" s="430"/>
      <c r="R66" s="431"/>
      <c r="S66" s="431"/>
      <c r="T66" s="431"/>
      <c r="U66" s="8">
        <v>90966</v>
      </c>
    </row>
    <row r="68" spans="1:30" s="24" customFormat="1" ht="15" customHeight="1">
      <c r="B68" s="23" t="s">
        <v>690</v>
      </c>
      <c r="F68" s="81"/>
      <c r="G68" s="81"/>
      <c r="H68" s="81"/>
      <c r="I68" s="81"/>
      <c r="J68" s="81"/>
      <c r="K68" s="81"/>
      <c r="L68" s="81"/>
      <c r="M68" s="81"/>
      <c r="W68" s="100"/>
    </row>
    <row r="69" spans="1:30" s="24" customFormat="1" ht="11.25" customHeight="1">
      <c r="B69" s="23"/>
      <c r="F69" s="81"/>
      <c r="G69" s="81"/>
      <c r="H69" s="81"/>
      <c r="I69" s="81"/>
      <c r="J69" s="81"/>
      <c r="K69" s="81"/>
      <c r="L69" s="81"/>
      <c r="M69" s="81"/>
      <c r="W69" s="100"/>
    </row>
    <row r="70" spans="1:30" s="24" customFormat="1" ht="15" customHeight="1">
      <c r="B70" s="23" t="s">
        <v>691</v>
      </c>
      <c r="F70" s="81"/>
      <c r="G70" s="81"/>
      <c r="H70" s="81"/>
      <c r="I70" s="81"/>
      <c r="J70" s="81"/>
      <c r="K70" s="81"/>
      <c r="L70" s="81"/>
      <c r="M70" s="81"/>
      <c r="W70" s="100"/>
    </row>
    <row r="71" spans="1:30" s="24" customFormat="1" ht="15" customHeight="1">
      <c r="B71" s="98"/>
      <c r="F71" s="81"/>
      <c r="G71" s="81"/>
      <c r="U71" s="8"/>
      <c r="V71" s="8"/>
      <c r="W71" s="175"/>
      <c r="X71" s="8"/>
      <c r="Y71" s="8"/>
      <c r="Z71" s="8"/>
      <c r="AA71" s="8"/>
      <c r="AB71" s="8"/>
      <c r="AC71" s="8"/>
      <c r="AD71" s="8"/>
    </row>
    <row r="74" spans="1:30">
      <c r="C74" s="427">
        <f>+[8]Balance!$C$47</f>
        <v>30728787180</v>
      </c>
      <c r="D74" s="404">
        <f>+'loans type'!N8</f>
        <v>17551658885</v>
      </c>
      <c r="E74" s="404">
        <f>+'loans type'!O8</f>
        <v>1832228607</v>
      </c>
      <c r="F74" s="404">
        <f>+'loans type'!P8</f>
        <v>254152148</v>
      </c>
      <c r="G74" s="404">
        <f>+'loans type'!Q8</f>
        <v>373965402</v>
      </c>
      <c r="H74" s="404">
        <f>+'loans type'!R8</f>
        <v>265886303</v>
      </c>
      <c r="I74" s="405"/>
      <c r="J74" s="405"/>
      <c r="K74" s="405"/>
      <c r="L74" s="405"/>
      <c r="M74" s="405"/>
      <c r="N74" s="405"/>
      <c r="O74" s="405"/>
      <c r="P74" s="404">
        <f>+'loans type'!T8</f>
        <v>123374035</v>
      </c>
      <c r="Q74" s="404">
        <f>+'loans type'!U8</f>
        <v>21612533</v>
      </c>
      <c r="R74" s="404">
        <f>+'loans type'!V8</f>
        <v>2666899</v>
      </c>
      <c r="S74" s="404">
        <f>+'loans type'!W8</f>
        <v>47165627</v>
      </c>
      <c r="T74" s="404">
        <f>+'loans type'!X8</f>
        <v>56251553</v>
      </c>
      <c r="U74" s="405"/>
    </row>
    <row r="75" spans="1:30">
      <c r="D75" s="404">
        <f>+D16+D20+D21+D22+D23+D24+D25+D26+D27+D28+D29+D30+D31+D32+D33+D34+D35+D36+D37+D38+D39+D40+D41+D42+D43+D44+D45+D46</f>
        <v>17551658885</v>
      </c>
      <c r="E75" s="404">
        <f t="shared" ref="E75:H75" si="16">+E16+E19+E20+E21+E22+E23+E24+E25+E26+E27+E28+E29+E30+E31+E32+E33+E34+E35+E36+E37+E38+E39+E40+E41+E42+E43+E44+E45+E46</f>
        <v>1832228607</v>
      </c>
      <c r="F75" s="404">
        <f t="shared" si="16"/>
        <v>254152148</v>
      </c>
      <c r="G75" s="404">
        <f t="shared" si="16"/>
        <v>373965402</v>
      </c>
      <c r="H75" s="404">
        <f t="shared" si="16"/>
        <v>265886303</v>
      </c>
      <c r="I75" s="405"/>
      <c r="J75" s="405"/>
      <c r="K75" s="405"/>
      <c r="L75" s="405"/>
      <c r="M75" s="405"/>
      <c r="N75" s="405"/>
      <c r="O75" s="405"/>
      <c r="P75" s="404">
        <f>+P16+P19+P20+P21+P22+P23+P24+P25+P26+P27+P28+P29+P30+P31+P32+P33+P34+P35+P36+P37+P38+P39+P40+P41+P42+P43+P44+P45+P46</f>
        <v>123374035</v>
      </c>
      <c r="Q75" s="404">
        <f>+Q16+Q19+Q20+Q21+Q22+Q23+Q24+Q25+Q26+Q27+Q28+Q29+Q30+Q31+Q32+Q33+Q34+Q35+Q36+Q37+Q38+Q39+Q40+Q41+Q42+Q43+Q44+Q45+Q46</f>
        <v>21612533</v>
      </c>
      <c r="R75" s="404">
        <f>+R16+R19+R20+R21+R22+R23+R24+R25+R26+R27+R28+R29+R30+R31+R32+R33+R34+R35+R36+R37+R38+R39+R40+R41+R42+R43+R44+R45+R46</f>
        <v>2666899</v>
      </c>
      <c r="S75" s="404">
        <f>+S16+S19+S20+S21+S22+S23+S24+S25+S26+S27+S28+S29+S30+S31+S32+S33+S34+S35+S36+S37+S38+S39+S40+S41+S42+S43+S44+S45+S46</f>
        <v>47165627</v>
      </c>
      <c r="T75" s="404">
        <f>+T16+T19+T20+T21+T22+T23+T24+T25+T26+T27+T28+T29+T30+T31+T32+T33+T34+T35+T36+T37+T38+T39+T40+T41+T42+T43+T44+T45+T46</f>
        <v>56251553</v>
      </c>
      <c r="U75" s="405"/>
    </row>
    <row r="76" spans="1:30">
      <c r="D76" s="406">
        <f>+D74-D75</f>
        <v>0</v>
      </c>
      <c r="E76" s="406">
        <f t="shared" ref="E76:H76" si="17">+E74-E75</f>
        <v>0</v>
      </c>
      <c r="F76" s="406">
        <f t="shared" si="17"/>
        <v>0</v>
      </c>
      <c r="G76" s="406">
        <f t="shared" si="17"/>
        <v>0</v>
      </c>
      <c r="H76" s="406">
        <f t="shared" si="17"/>
        <v>0</v>
      </c>
      <c r="I76" s="406"/>
      <c r="J76" s="406"/>
      <c r="K76" s="406"/>
      <c r="L76" s="406"/>
      <c r="M76" s="406"/>
      <c r="N76" s="406"/>
      <c r="O76" s="406"/>
      <c r="P76" s="406">
        <f>+P74-P75</f>
        <v>0</v>
      </c>
      <c r="Q76" s="406">
        <f>+Q74-Q75</f>
        <v>0</v>
      </c>
      <c r="R76" s="406">
        <f>+R74-R75</f>
        <v>0</v>
      </c>
      <c r="S76" s="406">
        <f>+S74-S75</f>
        <v>0</v>
      </c>
      <c r="T76" s="406">
        <f>+T74-T75</f>
        <v>0</v>
      </c>
      <c r="U76" s="405"/>
    </row>
    <row r="77" spans="1:30"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405"/>
      <c r="R77" s="405"/>
      <c r="S77" s="405"/>
      <c r="T77" s="405"/>
      <c r="U77" s="405"/>
    </row>
    <row r="78" spans="1:30">
      <c r="D78" s="405"/>
      <c r="E78" s="405"/>
      <c r="F78" s="405"/>
      <c r="G78" s="405"/>
      <c r="H78" s="405"/>
      <c r="I78" s="405"/>
      <c r="J78" s="405"/>
      <c r="K78" s="405"/>
      <c r="L78" s="405"/>
      <c r="M78" s="405"/>
      <c r="N78" s="405"/>
      <c r="O78" s="405"/>
      <c r="P78" s="405"/>
      <c r="Q78" s="405"/>
      <c r="R78" s="405"/>
      <c r="S78" s="405"/>
      <c r="T78" s="405"/>
      <c r="U78" s="405"/>
    </row>
    <row r="79" spans="1:30">
      <c r="D79" s="405"/>
      <c r="E79" s="405"/>
      <c r="F79" s="405"/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405"/>
      <c r="R79" s="405"/>
      <c r="S79" s="405"/>
      <c r="T79" s="405"/>
      <c r="U79" s="405"/>
    </row>
    <row r="80" spans="1:30"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5"/>
    </row>
  </sheetData>
  <sheetProtection algorithmName="SHA-512" hashValue="qoCdTi2Z0OfpmLZf/p2v6hy2CU/1ebWJKl6yjzbvPCp/Ly2pdODCiKa3AxX1NcfL3TT1OFC5qJVkx+nkec1kpA==" saltValue="PMEi6iSdRQg+EYMLAdrccg==" spinCount="100000" sheet="1" objects="1" scenarios="1"/>
  <mergeCells count="18"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  <mergeCell ref="K5:K7"/>
    <mergeCell ref="Q3:R3"/>
  </mergeCells>
  <conditionalFormatting sqref="C9">
    <cfRule type="cellIs" dxfId="280" priority="7" operator="notEqual">
      <formula>$C$74</formula>
    </cfRule>
  </conditionalFormatting>
  <conditionalFormatting sqref="C59">
    <cfRule type="cellIs" dxfId="279" priority="4" operator="notEqual">
      <formula>$W$59</formula>
    </cfRule>
  </conditionalFormatting>
  <conditionalFormatting sqref="P9">
    <cfRule type="cellIs" dxfId="278" priority="3" operator="notEqual">
      <formula>$C$59</formula>
    </cfRule>
  </conditionalFormatting>
  <conditionalFormatting sqref="P62">
    <cfRule type="cellIs" dxfId="277" priority="1" operator="greaterThan">
      <formula>$W$62</formula>
    </cfRule>
    <cfRule type="cellIs" dxfId="276" priority="2" operator="lessThan">
      <formula>$W$63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7 C67 R67:T67 R62:T62 Q67 D62:H62 H64 I49:I53 H63 D67:H67 D61:H61 I17:I18 I15:I16 I12:I14 I19:I35" unlockedFormula="1"/>
    <ignoredError sqref="R63:T64 Q64 O49:O53 Q62 O17:O18 O12:O16 O19:O35" formulaRange="1" unlockedFormula="1"/>
    <ignoredError sqref="O36:O48 O10:O11 O65:O66" formulaRange="1"/>
    <ignoredError sqref="I60 I54:I58 I61 I59 I67:J67 L67:P67 I62 I64:N64 J62:N62 I63:N63 K67" formula="1" unlockedFormula="1"/>
    <ignoredError sqref="O54:O58 P62 O59 O60 O61 O63:O64 O62" formula="1" formulaRange="1" unlockedFormula="1"/>
    <ignoredError sqref="C59:C61 C54:C58" formula="1"/>
    <ignoredError sqref="A10:B10 A15:B15 A11 A12 A13 A14 B17:B25 A16 B28:B32 B35:B39 B41:B45 B51:B53 B55 B57 B59:B60 A63:B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M92"/>
  <sheetViews>
    <sheetView view="pageBreakPreview" zoomScaleSheetLayoutView="100" workbookViewId="0">
      <pane xSplit="2" ySplit="4" topLeftCell="C36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D68" sqref="D68"/>
    </sheetView>
  </sheetViews>
  <sheetFormatPr defaultRowHeight="15" customHeight="1"/>
  <cols>
    <col min="1" max="1" width="5.7109375" style="402" customWidth="1"/>
    <col min="2" max="2" width="80.28515625" customWidth="1"/>
    <col min="3" max="3" width="16.85546875" customWidth="1"/>
    <col min="4" max="4" width="17.7109375" customWidth="1"/>
    <col min="5" max="5" width="16.85546875" customWidth="1"/>
    <col min="6" max="6" width="7.42578125" customWidth="1"/>
    <col min="7" max="7" width="18.5703125" style="380" customWidth="1"/>
    <col min="8" max="10" width="7.42578125" customWidth="1"/>
  </cols>
  <sheetData>
    <row r="1" spans="1:7" ht="18.75" customHeight="1">
      <c r="A1" s="579" t="s">
        <v>214</v>
      </c>
      <c r="B1" s="579"/>
      <c r="C1" s="579"/>
      <c r="D1" s="579"/>
      <c r="E1" s="379" t="s">
        <v>215</v>
      </c>
    </row>
    <row r="2" spans="1:7" ht="7.5" customHeight="1">
      <c r="A2" s="381"/>
      <c r="B2" s="105"/>
      <c r="C2" s="379"/>
      <c r="D2" s="379"/>
      <c r="E2" s="379"/>
    </row>
    <row r="3" spans="1:7" ht="15" customHeight="1">
      <c r="A3" s="382"/>
      <c r="B3" s="31" t="str">
        <f>+'Asset quality'!B3</f>
        <v>MKBANK</v>
      </c>
      <c r="D3" s="529">
        <f>+'Asset quality'!Q3</f>
        <v>46021</v>
      </c>
      <c r="E3" s="176" t="str">
        <f>+'Asset quality'!T3</f>
        <v>минг. сўмда</v>
      </c>
    </row>
    <row r="4" spans="1:7" ht="42" customHeight="1">
      <c r="A4" s="41" t="s">
        <v>23</v>
      </c>
      <c r="B4" s="41" t="s">
        <v>216</v>
      </c>
      <c r="C4" s="41" t="s">
        <v>166</v>
      </c>
      <c r="D4" s="41" t="s">
        <v>689</v>
      </c>
      <c r="E4" s="41" t="s">
        <v>218</v>
      </c>
    </row>
    <row r="5" spans="1:7" ht="15" customHeight="1">
      <c r="A5" s="307" t="s">
        <v>219</v>
      </c>
      <c r="B5" s="383" t="s">
        <v>220</v>
      </c>
      <c r="C5" s="41"/>
      <c r="D5" s="41"/>
      <c r="E5" s="41"/>
    </row>
    <row r="6" spans="1:7" ht="15" customHeight="1">
      <c r="A6" s="384" t="s">
        <v>221</v>
      </c>
      <c r="B6" s="343" t="s">
        <v>222</v>
      </c>
      <c r="C6" s="375">
        <f>+D6+E6</f>
        <v>23192521</v>
      </c>
      <c r="D6" s="390">
        <v>23192521</v>
      </c>
      <c r="E6" s="390">
        <v>0</v>
      </c>
      <c r="G6" s="380">
        <f>+'Analysis of Interest'!C17</f>
        <v>23192521</v>
      </c>
    </row>
    <row r="7" spans="1:7" ht="15" customHeight="1">
      <c r="A7" s="384" t="s">
        <v>223</v>
      </c>
      <c r="B7" s="343" t="s">
        <v>224</v>
      </c>
      <c r="C7" s="375">
        <f t="shared" ref="C7:C14" si="0">+D7+E7</f>
        <v>73993010</v>
      </c>
      <c r="D7" s="390">
        <v>9263965</v>
      </c>
      <c r="E7" s="390">
        <v>64729045</v>
      </c>
      <c r="G7" s="380">
        <f>+'Analysis of Interest'!C18</f>
        <v>73993010</v>
      </c>
    </row>
    <row r="8" spans="1:7" ht="25.5">
      <c r="A8" s="384" t="s">
        <v>225</v>
      </c>
      <c r="B8" s="385" t="s">
        <v>240</v>
      </c>
      <c r="C8" s="375">
        <f t="shared" si="0"/>
        <v>0</v>
      </c>
      <c r="D8" s="390">
        <v>0</v>
      </c>
      <c r="E8" s="390">
        <v>0</v>
      </c>
    </row>
    <row r="9" spans="1:7" ht="15" customHeight="1">
      <c r="A9" s="384" t="s">
        <v>226</v>
      </c>
      <c r="B9" s="385" t="s">
        <v>227</v>
      </c>
      <c r="C9" s="375">
        <f t="shared" ref="C9" si="1">+D9+E9</f>
        <v>40706058</v>
      </c>
      <c r="D9" s="390">
        <v>40706058</v>
      </c>
      <c r="E9" s="390">
        <v>0</v>
      </c>
      <c r="G9" s="380">
        <f>+'Analysis of Interest'!C28</f>
        <v>40706058</v>
      </c>
    </row>
    <row r="10" spans="1:7" ht="15" customHeight="1">
      <c r="A10" s="386" t="s">
        <v>228</v>
      </c>
      <c r="B10" s="387" t="s">
        <v>229</v>
      </c>
      <c r="C10" s="375">
        <f t="shared" si="0"/>
        <v>0</v>
      </c>
      <c r="D10" s="390">
        <v>0</v>
      </c>
      <c r="E10" s="390">
        <v>0</v>
      </c>
    </row>
    <row r="11" spans="1:7" ht="25.5">
      <c r="A11" s="386" t="s">
        <v>230</v>
      </c>
      <c r="B11" s="387" t="s">
        <v>231</v>
      </c>
      <c r="C11" s="375">
        <f t="shared" si="0"/>
        <v>0</v>
      </c>
      <c r="D11" s="390">
        <v>0</v>
      </c>
      <c r="E11" s="390">
        <v>0</v>
      </c>
    </row>
    <row r="12" spans="1:7" ht="15" customHeight="1">
      <c r="A12" s="386" t="s">
        <v>232</v>
      </c>
      <c r="B12" s="388" t="s">
        <v>233</v>
      </c>
      <c r="C12" s="375">
        <f t="shared" si="0"/>
        <v>3389629534</v>
      </c>
      <c r="D12" s="390">
        <v>2963318225</v>
      </c>
      <c r="E12" s="390">
        <v>426311309</v>
      </c>
      <c r="G12" s="380">
        <f>+'Analysis of Interest'!C14</f>
        <v>3389629534</v>
      </c>
    </row>
    <row r="13" spans="1:7" ht="25.5">
      <c r="A13" s="308" t="s">
        <v>234</v>
      </c>
      <c r="B13" s="389" t="s">
        <v>235</v>
      </c>
      <c r="C13" s="375">
        <f t="shared" si="0"/>
        <v>0</v>
      </c>
      <c r="D13" s="390">
        <v>0</v>
      </c>
      <c r="E13" s="390">
        <v>0</v>
      </c>
      <c r="G13" s="380">
        <f>+'Analysis of Interest'!C39</f>
        <v>0</v>
      </c>
    </row>
    <row r="14" spans="1:7" ht="15" customHeight="1">
      <c r="A14" s="308" t="s">
        <v>236</v>
      </c>
      <c r="B14" s="178" t="s">
        <v>237</v>
      </c>
      <c r="C14" s="375">
        <f t="shared" si="0"/>
        <v>1773738283</v>
      </c>
      <c r="D14" s="390">
        <v>1605058975</v>
      </c>
      <c r="E14" s="390">
        <v>168679308</v>
      </c>
      <c r="G14" s="380">
        <f>+'Analysis of Interest'!C40</f>
        <v>1773738283</v>
      </c>
    </row>
    <row r="15" spans="1:7" ht="15" customHeight="1">
      <c r="A15" s="307" t="s">
        <v>238</v>
      </c>
      <c r="B15" s="391" t="s">
        <v>239</v>
      </c>
      <c r="C15" s="44">
        <f>SUM(C6:C14)</f>
        <v>5301259406</v>
      </c>
      <c r="D15" s="44">
        <f>SUM(D6:D14)</f>
        <v>4641539744</v>
      </c>
      <c r="E15" s="44">
        <f>SUM(E6:E14)</f>
        <v>659719662</v>
      </c>
      <c r="G15" s="380">
        <f>+'Analysis of Interest'!C42</f>
        <v>5301259406</v>
      </c>
    </row>
    <row r="16" spans="1:7" ht="7.5" customHeight="1">
      <c r="A16" s="307"/>
      <c r="B16" s="383"/>
      <c r="C16" s="392"/>
      <c r="D16" s="392"/>
      <c r="E16" s="392"/>
    </row>
    <row r="17" spans="1:7" ht="15" customHeight="1">
      <c r="A17" s="307" t="s">
        <v>241</v>
      </c>
      <c r="B17" s="383" t="s">
        <v>242</v>
      </c>
      <c r="C17" s="41"/>
      <c r="D17" s="41"/>
      <c r="E17" s="41"/>
    </row>
    <row r="18" spans="1:7" ht="15" customHeight="1">
      <c r="A18" s="384" t="s">
        <v>243</v>
      </c>
      <c r="B18" s="343" t="s">
        <v>244</v>
      </c>
      <c r="C18" s="375">
        <f t="shared" ref="C18:C21" si="2">+D18+E18</f>
        <v>14389513</v>
      </c>
      <c r="D18" s="390">
        <v>14389513</v>
      </c>
      <c r="E18" s="390">
        <v>0</v>
      </c>
      <c r="G18" s="380">
        <f>+'Analysis of Interest'!C52</f>
        <v>14389513</v>
      </c>
    </row>
    <row r="19" spans="1:7" ht="15" customHeight="1">
      <c r="A19" s="384" t="s">
        <v>223</v>
      </c>
      <c r="B19" s="343" t="s">
        <v>245</v>
      </c>
      <c r="C19" s="375">
        <f t="shared" si="2"/>
        <v>1370099872</v>
      </c>
      <c r="D19" s="390">
        <v>1325792304</v>
      </c>
      <c r="E19" s="390">
        <v>44307568</v>
      </c>
      <c r="G19" s="380">
        <f>+'Analysis of Interest'!C61</f>
        <v>1370099872</v>
      </c>
    </row>
    <row r="20" spans="1:7" ht="15" customHeight="1">
      <c r="A20" s="384" t="s">
        <v>225</v>
      </c>
      <c r="B20" s="343" t="s">
        <v>246</v>
      </c>
      <c r="C20" s="375">
        <f t="shared" si="2"/>
        <v>0</v>
      </c>
      <c r="D20" s="390">
        <v>0</v>
      </c>
      <c r="E20" s="390">
        <v>0</v>
      </c>
    </row>
    <row r="21" spans="1:7" ht="15" customHeight="1">
      <c r="A21" s="384" t="s">
        <v>226</v>
      </c>
      <c r="B21" s="343" t="s">
        <v>247</v>
      </c>
      <c r="C21" s="375">
        <f t="shared" si="2"/>
        <v>157366850</v>
      </c>
      <c r="D21" s="390">
        <v>144714807</v>
      </c>
      <c r="E21" s="390">
        <v>12652043</v>
      </c>
    </row>
    <row r="22" spans="1:7" s="143" customFormat="1" ht="15" customHeight="1">
      <c r="A22" s="307" t="s">
        <v>228</v>
      </c>
      <c r="B22" s="383" t="s">
        <v>248</v>
      </c>
      <c r="C22" s="44">
        <f>SUM(C18:C21)</f>
        <v>1541856235</v>
      </c>
      <c r="D22" s="44">
        <f>SUM(D18:D21)</f>
        <v>1484896624</v>
      </c>
      <c r="E22" s="44">
        <f>SUM(E18:E21)</f>
        <v>56959611</v>
      </c>
      <c r="G22" s="393"/>
    </row>
    <row r="23" spans="1:7" ht="15.75" customHeight="1">
      <c r="A23" s="384" t="s">
        <v>230</v>
      </c>
      <c r="B23" s="343" t="s">
        <v>249</v>
      </c>
      <c r="C23" s="375">
        <f t="shared" ref="C23:C25" si="3">+D23+E23</f>
        <v>1155174509</v>
      </c>
      <c r="D23" s="390">
        <v>710518517</v>
      </c>
      <c r="E23" s="390">
        <v>444655992</v>
      </c>
      <c r="G23" s="380">
        <f>+'Analysis of Interest'!C67</f>
        <v>1155174509</v>
      </c>
    </row>
    <row r="24" spans="1:7" ht="15.75" customHeight="1">
      <c r="A24" s="308" t="s">
        <v>232</v>
      </c>
      <c r="B24" s="178" t="s">
        <v>250</v>
      </c>
      <c r="C24" s="375">
        <f t="shared" si="3"/>
        <v>0</v>
      </c>
      <c r="D24" s="390">
        <v>0</v>
      </c>
      <c r="E24" s="390">
        <v>0</v>
      </c>
      <c r="G24" s="380">
        <f>+'Analysis of Interest'!C68</f>
        <v>0</v>
      </c>
    </row>
    <row r="25" spans="1:7" ht="15.75" customHeight="1">
      <c r="A25" s="308" t="s">
        <v>234</v>
      </c>
      <c r="B25" s="178" t="s">
        <v>251</v>
      </c>
      <c r="C25" s="375">
        <f t="shared" si="3"/>
        <v>1843001988</v>
      </c>
      <c r="D25" s="390">
        <v>1700157973</v>
      </c>
      <c r="E25" s="390">
        <v>142844015</v>
      </c>
    </row>
    <row r="26" spans="1:7" ht="15" customHeight="1">
      <c r="A26" s="394" t="s">
        <v>236</v>
      </c>
      <c r="B26" s="391" t="s">
        <v>252</v>
      </c>
      <c r="C26" s="44">
        <f>SUM(C23:C25)</f>
        <v>2998176497</v>
      </c>
      <c r="D26" s="44">
        <f>SUM(D23:D25)</f>
        <v>2410676490</v>
      </c>
      <c r="E26" s="44">
        <f>SUM(E23:E25)</f>
        <v>587500007</v>
      </c>
    </row>
    <row r="27" spans="1:7" ht="15" customHeight="1">
      <c r="A27" s="394" t="s">
        <v>238</v>
      </c>
      <c r="B27" s="391" t="s">
        <v>253</v>
      </c>
      <c r="C27" s="44">
        <f>C26+C22</f>
        <v>4540032732</v>
      </c>
      <c r="D27" s="44">
        <f>D26+D22</f>
        <v>3895573114</v>
      </c>
      <c r="E27" s="44">
        <f>E26+E22</f>
        <v>644459618</v>
      </c>
      <c r="G27" s="380">
        <f>+'Analysis of Interest'!C72</f>
        <v>4540032732</v>
      </c>
    </row>
    <row r="28" spans="1:7" ht="7.5" customHeight="1">
      <c r="A28" s="384"/>
      <c r="B28" s="343"/>
      <c r="C28" s="392"/>
      <c r="D28" s="392"/>
      <c r="E28" s="392"/>
    </row>
    <row r="29" spans="1:7" s="143" customFormat="1" ht="25.5">
      <c r="A29" s="307" t="s">
        <v>53</v>
      </c>
      <c r="B29" s="177" t="s">
        <v>254</v>
      </c>
      <c r="C29" s="44">
        <f>C15-C27</f>
        <v>761226674</v>
      </c>
      <c r="D29" s="44">
        <f>D15-D27</f>
        <v>745966630</v>
      </c>
      <c r="E29" s="44">
        <f>E15-E27</f>
        <v>15260044</v>
      </c>
      <c r="G29" s="393"/>
    </row>
    <row r="30" spans="1:7" ht="15.75" customHeight="1">
      <c r="A30" s="308" t="s">
        <v>243</v>
      </c>
      <c r="B30" s="178" t="s">
        <v>255</v>
      </c>
      <c r="C30" s="375">
        <f t="shared" ref="C30:C33" si="4">+D30+E30</f>
        <v>400806350</v>
      </c>
      <c r="D30" s="390">
        <v>301565942</v>
      </c>
      <c r="E30" s="390">
        <v>99240408</v>
      </c>
    </row>
    <row r="31" spans="1:7" ht="15.75" customHeight="1">
      <c r="A31" s="308" t="s">
        <v>223</v>
      </c>
      <c r="B31" s="178" t="s">
        <v>256</v>
      </c>
      <c r="C31" s="375">
        <f t="shared" si="4"/>
        <v>0</v>
      </c>
      <c r="D31" s="390">
        <v>0</v>
      </c>
      <c r="E31" s="390">
        <v>0</v>
      </c>
    </row>
    <row r="32" spans="1:7" ht="15.75" customHeight="1">
      <c r="A32" s="308" t="s">
        <v>225</v>
      </c>
      <c r="B32" s="178" t="s">
        <v>257</v>
      </c>
      <c r="C32" s="375">
        <f t="shared" si="4"/>
        <v>0</v>
      </c>
      <c r="D32" s="390">
        <v>0</v>
      </c>
      <c r="E32" s="390">
        <v>0</v>
      </c>
    </row>
    <row r="33" spans="1:8" ht="15.75" customHeight="1">
      <c r="A33" s="308" t="s">
        <v>226</v>
      </c>
      <c r="B33" s="178" t="s">
        <v>258</v>
      </c>
      <c r="C33" s="375">
        <f t="shared" si="4"/>
        <v>23688414</v>
      </c>
      <c r="D33" s="390">
        <v>23688414</v>
      </c>
      <c r="E33" s="390"/>
    </row>
    <row r="34" spans="1:8" ht="12.75">
      <c r="A34" s="307" t="s">
        <v>228</v>
      </c>
      <c r="B34" s="177" t="s">
        <v>259</v>
      </c>
      <c r="C34" s="44">
        <f>C29-C30-C31-C32-C33</f>
        <v>336731910</v>
      </c>
      <c r="D34" s="44">
        <f>D29-D30-D31-D32-D33</f>
        <v>420712274</v>
      </c>
      <c r="E34" s="44">
        <f>E29-E30-E31-E32-E33</f>
        <v>-83980364</v>
      </c>
    </row>
    <row r="35" spans="1:8" ht="7.5" customHeight="1">
      <c r="A35" s="384"/>
      <c r="B35" s="343"/>
      <c r="C35" s="392"/>
      <c r="D35" s="392"/>
      <c r="E35" s="392"/>
    </row>
    <row r="36" spans="1:8" ht="15" customHeight="1">
      <c r="A36" s="307" t="s">
        <v>260</v>
      </c>
      <c r="B36" s="383" t="s">
        <v>261</v>
      </c>
      <c r="C36" s="41"/>
      <c r="D36" s="41"/>
      <c r="E36" s="41"/>
    </row>
    <row r="37" spans="1:8" ht="15" customHeight="1">
      <c r="A37" s="384" t="s">
        <v>243</v>
      </c>
      <c r="B37" s="343" t="s">
        <v>695</v>
      </c>
      <c r="C37" s="375">
        <f t="shared" ref="C37:C43" si="5">+D37+E37</f>
        <v>337123005</v>
      </c>
      <c r="D37" s="390">
        <v>302049173</v>
      </c>
      <c r="E37" s="390">
        <v>35073832</v>
      </c>
      <c r="H37" s="395"/>
    </row>
    <row r="38" spans="1:8" ht="15" customHeight="1">
      <c r="A38" s="384" t="s">
        <v>223</v>
      </c>
      <c r="B38" s="343" t="s">
        <v>262</v>
      </c>
      <c r="C38" s="375">
        <f t="shared" si="5"/>
        <v>372949273</v>
      </c>
      <c r="D38" s="390">
        <v>319454996</v>
      </c>
      <c r="E38" s="390">
        <v>53494277</v>
      </c>
    </row>
    <row r="39" spans="1:8" ht="15" customHeight="1">
      <c r="A39" s="384" t="s">
        <v>225</v>
      </c>
      <c r="B39" s="343" t="s">
        <v>263</v>
      </c>
      <c r="C39" s="375">
        <f t="shared" si="5"/>
        <v>0</v>
      </c>
      <c r="D39" s="390">
        <v>0</v>
      </c>
      <c r="E39" s="390">
        <v>0</v>
      </c>
    </row>
    <row r="40" spans="1:8" ht="15" customHeight="1">
      <c r="A40" s="384" t="s">
        <v>226</v>
      </c>
      <c r="B40" s="343" t="s">
        <v>264</v>
      </c>
      <c r="C40" s="375">
        <f t="shared" si="5"/>
        <v>6577763</v>
      </c>
      <c r="D40" s="390">
        <v>6577763</v>
      </c>
      <c r="E40" s="390">
        <v>0</v>
      </c>
    </row>
    <row r="41" spans="1:8" ht="15" customHeight="1">
      <c r="A41" s="384" t="s">
        <v>228</v>
      </c>
      <c r="B41" s="343" t="s">
        <v>717</v>
      </c>
      <c r="C41" s="375">
        <f>+D41+E41</f>
        <v>4246910</v>
      </c>
      <c r="D41" s="390">
        <v>4246910</v>
      </c>
      <c r="E41" s="390">
        <v>0</v>
      </c>
    </row>
    <row r="42" spans="1:8" ht="15" customHeight="1">
      <c r="A42" s="384" t="s">
        <v>230</v>
      </c>
      <c r="B42" s="343" t="s">
        <v>267</v>
      </c>
      <c r="C42" s="375">
        <f>+D42+E42</f>
        <v>606560308</v>
      </c>
      <c r="D42" s="390">
        <v>420298731</v>
      </c>
      <c r="E42" s="390">
        <v>186261577</v>
      </c>
    </row>
    <row r="43" spans="1:8" ht="15" customHeight="1">
      <c r="A43" s="384" t="s">
        <v>232</v>
      </c>
      <c r="B43" s="343" t="s">
        <v>265</v>
      </c>
      <c r="C43" s="375">
        <f t="shared" si="5"/>
        <v>98963266</v>
      </c>
      <c r="D43" s="390">
        <v>98963266</v>
      </c>
      <c r="E43" s="390">
        <v>0</v>
      </c>
    </row>
    <row r="44" spans="1:8" ht="15" customHeight="1">
      <c r="A44" s="307" t="s">
        <v>234</v>
      </c>
      <c r="B44" s="383" t="s">
        <v>268</v>
      </c>
      <c r="C44" s="44">
        <f>SUM(C37:C43)</f>
        <v>1426420525</v>
      </c>
      <c r="D44" s="44">
        <f>SUM(D37:D43)</f>
        <v>1151590839</v>
      </c>
      <c r="E44" s="44">
        <f>SUM(E37:E43)</f>
        <v>274829686</v>
      </c>
    </row>
    <row r="45" spans="1:8" ht="7.5" customHeight="1">
      <c r="A45" s="384"/>
      <c r="B45" s="343"/>
      <c r="C45" s="392"/>
      <c r="D45" s="392"/>
      <c r="E45" s="392"/>
    </row>
    <row r="46" spans="1:8" ht="15" customHeight="1">
      <c r="A46" s="307" t="s">
        <v>269</v>
      </c>
      <c r="B46" s="383" t="s">
        <v>270</v>
      </c>
      <c r="C46" s="41"/>
      <c r="D46" s="41"/>
      <c r="E46" s="41"/>
    </row>
    <row r="47" spans="1:8" ht="15" customHeight="1">
      <c r="A47" s="384" t="s">
        <v>243</v>
      </c>
      <c r="B47" s="343" t="s">
        <v>696</v>
      </c>
      <c r="C47" s="375">
        <f t="shared" ref="C47:C51" si="6">+D47+E47</f>
        <v>148201699</v>
      </c>
      <c r="D47" s="390">
        <v>148065051</v>
      </c>
      <c r="E47" s="390">
        <v>136648</v>
      </c>
    </row>
    <row r="48" spans="1:8" ht="15" customHeight="1">
      <c r="A48" s="384" t="s">
        <v>223</v>
      </c>
      <c r="B48" s="343" t="s">
        <v>271</v>
      </c>
      <c r="C48" s="375">
        <f t="shared" si="6"/>
        <v>346743618</v>
      </c>
      <c r="D48" s="390">
        <v>346348519</v>
      </c>
      <c r="E48" s="390">
        <v>395099</v>
      </c>
    </row>
    <row r="49" spans="1:5" ht="15" customHeight="1">
      <c r="A49" s="384" t="s">
        <v>225</v>
      </c>
      <c r="B49" s="343" t="s">
        <v>272</v>
      </c>
      <c r="C49" s="375">
        <f t="shared" si="6"/>
        <v>0</v>
      </c>
      <c r="D49" s="390">
        <v>0</v>
      </c>
      <c r="E49" s="390">
        <v>0</v>
      </c>
    </row>
    <row r="50" spans="1:5" ht="15" customHeight="1">
      <c r="A50" s="384" t="s">
        <v>226</v>
      </c>
      <c r="B50" s="343" t="s">
        <v>273</v>
      </c>
      <c r="C50" s="375">
        <f t="shared" si="6"/>
        <v>0</v>
      </c>
      <c r="D50" s="390">
        <v>0</v>
      </c>
      <c r="E50" s="390">
        <v>0</v>
      </c>
    </row>
    <row r="51" spans="1:5" ht="15" customHeight="1">
      <c r="A51" s="384" t="s">
        <v>228</v>
      </c>
      <c r="B51" s="343" t="s">
        <v>274</v>
      </c>
      <c r="C51" s="375">
        <f t="shared" si="6"/>
        <v>3795638</v>
      </c>
      <c r="D51" s="390">
        <v>3795638</v>
      </c>
      <c r="E51" s="390">
        <v>0</v>
      </c>
    </row>
    <row r="52" spans="1:5" ht="15" customHeight="1">
      <c r="A52" s="307" t="s">
        <v>230</v>
      </c>
      <c r="B52" s="383" t="s">
        <v>275</v>
      </c>
      <c r="C52" s="44">
        <f>SUM(C47:C51)</f>
        <v>498740955</v>
      </c>
      <c r="D52" s="44">
        <f>SUM(D47:D51)</f>
        <v>498209208</v>
      </c>
      <c r="E52" s="44">
        <f>SUM(E47:E51)</f>
        <v>531747</v>
      </c>
    </row>
    <row r="53" spans="1:5" ht="7.5" customHeight="1">
      <c r="A53" s="307"/>
      <c r="B53" s="383"/>
      <c r="C53" s="375"/>
      <c r="D53" s="375"/>
      <c r="E53" s="375"/>
    </row>
    <row r="54" spans="1:5" ht="15" customHeight="1">
      <c r="A54" s="307" t="s">
        <v>276</v>
      </c>
      <c r="B54" s="383" t="s">
        <v>277</v>
      </c>
      <c r="C54" s="44">
        <f>C34+C44-C52</f>
        <v>1264411480</v>
      </c>
      <c r="D54" s="44">
        <f>D34+D44-D52</f>
        <v>1074093905</v>
      </c>
      <c r="E54" s="44">
        <f>E34+E44-E52</f>
        <v>190317575</v>
      </c>
    </row>
    <row r="55" spans="1:5" ht="7.5" customHeight="1">
      <c r="A55" s="307"/>
      <c r="B55" s="383"/>
      <c r="C55" s="375"/>
      <c r="D55" s="375"/>
      <c r="E55" s="375"/>
    </row>
    <row r="56" spans="1:5" ht="15" customHeight="1">
      <c r="A56" s="307" t="s">
        <v>278</v>
      </c>
      <c r="B56" s="383" t="s">
        <v>279</v>
      </c>
      <c r="C56" s="41"/>
      <c r="D56" s="41"/>
      <c r="E56" s="41"/>
    </row>
    <row r="57" spans="1:5" ht="15" customHeight="1">
      <c r="A57" s="384" t="s">
        <v>243</v>
      </c>
      <c r="B57" s="343" t="s">
        <v>280</v>
      </c>
      <c r="C57" s="390">
        <v>675835918</v>
      </c>
      <c r="D57" s="390">
        <v>675835918</v>
      </c>
      <c r="E57" s="396"/>
    </row>
    <row r="58" spans="1:5" ht="15" customHeight="1">
      <c r="A58" s="385" t="s">
        <v>281</v>
      </c>
      <c r="B58" s="343" t="s">
        <v>282</v>
      </c>
      <c r="C58" s="390">
        <v>6212942</v>
      </c>
      <c r="D58" s="390">
        <v>6212942</v>
      </c>
      <c r="E58" s="396"/>
    </row>
    <row r="59" spans="1:5" ht="15" customHeight="1">
      <c r="A59" s="384" t="s">
        <v>223</v>
      </c>
      <c r="B59" s="343" t="s">
        <v>283</v>
      </c>
      <c r="C59" s="390">
        <v>111140574</v>
      </c>
      <c r="D59" s="390">
        <v>111140574</v>
      </c>
      <c r="E59" s="396"/>
    </row>
    <row r="60" spans="1:5" ht="15" customHeight="1">
      <c r="A60" s="384" t="s">
        <v>225</v>
      </c>
      <c r="B60" s="343" t="s">
        <v>284</v>
      </c>
      <c r="C60" s="390">
        <v>14138168</v>
      </c>
      <c r="D60" s="390">
        <v>13069844</v>
      </c>
      <c r="E60" s="396"/>
    </row>
    <row r="61" spans="1:5" ht="15" customHeight="1">
      <c r="A61" s="384" t="s">
        <v>226</v>
      </c>
      <c r="B61" s="343" t="s">
        <v>285</v>
      </c>
      <c r="C61" s="390">
        <v>29032922</v>
      </c>
      <c r="D61" s="390">
        <v>29032922</v>
      </c>
      <c r="E61" s="396"/>
    </row>
    <row r="62" spans="1:5" ht="15" customHeight="1">
      <c r="A62" s="384" t="s">
        <v>228</v>
      </c>
      <c r="B62" s="343" t="s">
        <v>286</v>
      </c>
      <c r="C62" s="390">
        <v>56872903</v>
      </c>
      <c r="D62" s="390">
        <v>56872903</v>
      </c>
      <c r="E62" s="396"/>
    </row>
    <row r="63" spans="1:5" ht="15" customHeight="1">
      <c r="A63" s="384" t="s">
        <v>230</v>
      </c>
      <c r="B63" s="343" t="s">
        <v>287</v>
      </c>
      <c r="C63" s="390">
        <v>111873634</v>
      </c>
      <c r="D63" s="390">
        <v>111873634</v>
      </c>
      <c r="E63" s="396"/>
    </row>
    <row r="64" spans="1:5" ht="15" customHeight="1">
      <c r="A64" s="384" t="s">
        <v>232</v>
      </c>
      <c r="B64" s="343" t="s">
        <v>288</v>
      </c>
      <c r="C64" s="390">
        <v>51032695</v>
      </c>
      <c r="D64" s="390">
        <v>51032695</v>
      </c>
      <c r="E64" s="396"/>
    </row>
    <row r="65" spans="1:13" ht="15" customHeight="1">
      <c r="A65" s="384" t="s">
        <v>234</v>
      </c>
      <c r="B65" s="343" t="s">
        <v>289</v>
      </c>
      <c r="C65" s="390">
        <v>30661123</v>
      </c>
      <c r="D65" s="390">
        <v>30661123</v>
      </c>
      <c r="E65" s="396"/>
    </row>
    <row r="66" spans="1:13" ht="15" customHeight="1">
      <c r="A66" s="384" t="s">
        <v>236</v>
      </c>
      <c r="B66" s="343" t="s">
        <v>290</v>
      </c>
      <c r="C66" s="390">
        <v>0</v>
      </c>
      <c r="D66" s="390">
        <v>0</v>
      </c>
      <c r="E66" s="396"/>
    </row>
    <row r="67" spans="1:13" ht="15" customHeight="1">
      <c r="A67" s="384" t="s">
        <v>238</v>
      </c>
      <c r="B67" s="343" t="s">
        <v>291</v>
      </c>
      <c r="C67" s="390">
        <v>23020910</v>
      </c>
      <c r="D67" s="390">
        <v>22814039</v>
      </c>
      <c r="E67" s="396"/>
    </row>
    <row r="68" spans="1:13" ht="15" customHeight="1">
      <c r="A68" s="307" t="s">
        <v>292</v>
      </c>
      <c r="B68" s="383" t="s">
        <v>293</v>
      </c>
      <c r="C68" s="44">
        <f>SUM(C57:C67)-C58</f>
        <v>1103608847</v>
      </c>
      <c r="D68" s="44">
        <f>SUM(D57:D67)-D58</f>
        <v>1102333652</v>
      </c>
      <c r="E68" s="396"/>
      <c r="G68" s="397"/>
    </row>
    <row r="69" spans="1:13" ht="7.5" customHeight="1">
      <c r="A69" s="384" t="s">
        <v>7</v>
      </c>
      <c r="B69" s="343" t="s">
        <v>7</v>
      </c>
      <c r="C69" s="392"/>
      <c r="D69" s="392"/>
      <c r="E69" s="392"/>
    </row>
    <row r="70" spans="1:13" ht="15" customHeight="1">
      <c r="A70" s="307" t="s">
        <v>294</v>
      </c>
      <c r="B70" s="383" t="s">
        <v>295</v>
      </c>
      <c r="C70" s="44">
        <f>C54-C68</f>
        <v>160802633</v>
      </c>
      <c r="D70" s="44">
        <f>D54-D68</f>
        <v>-28239747</v>
      </c>
      <c r="E70" s="44">
        <f>+E54-(C68-D68)</f>
        <v>189042380</v>
      </c>
      <c r="G70" s="397"/>
    </row>
    <row r="71" spans="1:13" ht="15" customHeight="1">
      <c r="A71" s="384" t="s">
        <v>243</v>
      </c>
      <c r="B71" s="343" t="s">
        <v>296</v>
      </c>
      <c r="C71" s="375">
        <f>+D71+E71</f>
        <v>0</v>
      </c>
      <c r="D71" s="390">
        <v>0</v>
      </c>
      <c r="E71" s="390">
        <v>0</v>
      </c>
    </row>
    <row r="72" spans="1:13" ht="7.5" customHeight="1">
      <c r="A72" s="384"/>
      <c r="B72" s="343"/>
      <c r="C72" s="375"/>
      <c r="D72" s="375"/>
      <c r="E72" s="375"/>
    </row>
    <row r="73" spans="1:13" ht="15" customHeight="1">
      <c r="A73" s="307" t="s">
        <v>297</v>
      </c>
      <c r="B73" s="383" t="s">
        <v>298</v>
      </c>
      <c r="C73" s="44">
        <f>C70-C71</f>
        <v>160802633</v>
      </c>
      <c r="D73" s="44">
        <f>D70-D71</f>
        <v>-28239747</v>
      </c>
      <c r="E73" s="44">
        <f>E70-E71</f>
        <v>189042380</v>
      </c>
      <c r="G73" s="397"/>
    </row>
    <row r="74" spans="1:13" ht="15" customHeight="1">
      <c r="A74" s="384" t="s">
        <v>243</v>
      </c>
      <c r="B74" s="343" t="s">
        <v>299</v>
      </c>
      <c r="C74" s="375">
        <f t="shared" ref="C74:C75" si="7">+D74+E74</f>
        <v>0</v>
      </c>
      <c r="D74" s="390">
        <v>0</v>
      </c>
      <c r="E74" s="390">
        <v>0</v>
      </c>
    </row>
    <row r="75" spans="1:13" ht="15" customHeight="1">
      <c r="A75" s="384" t="s">
        <v>223</v>
      </c>
      <c r="B75" s="343" t="s">
        <v>300</v>
      </c>
      <c r="C75" s="375">
        <f t="shared" si="7"/>
        <v>0</v>
      </c>
      <c r="D75" s="390">
        <v>0</v>
      </c>
      <c r="E75" s="390">
        <v>0</v>
      </c>
    </row>
    <row r="76" spans="1:13" ht="7.5" customHeight="1">
      <c r="A76" s="307"/>
      <c r="B76" s="383"/>
      <c r="C76" s="392"/>
      <c r="D76" s="392"/>
      <c r="E76" s="392"/>
    </row>
    <row r="77" spans="1:13" ht="15" customHeight="1">
      <c r="A77" s="307" t="s">
        <v>301</v>
      </c>
      <c r="B77" s="383" t="s">
        <v>302</v>
      </c>
      <c r="C77" s="44">
        <f>C73+C74+C75</f>
        <v>160802633</v>
      </c>
      <c r="D77" s="44">
        <f>D73+D74+D75</f>
        <v>-28239747</v>
      </c>
      <c r="E77" s="44">
        <f>E73+E74+E75</f>
        <v>189042380</v>
      </c>
      <c r="G77" s="397"/>
    </row>
    <row r="78" spans="1:13" ht="15" customHeight="1">
      <c r="A78"/>
    </row>
    <row r="79" spans="1:13" ht="19.5" customHeight="1">
      <c r="A79"/>
      <c r="B79" s="143" t="s">
        <v>690</v>
      </c>
      <c r="F79" s="398"/>
      <c r="G79" s="399"/>
      <c r="H79" s="398"/>
      <c r="I79" s="398"/>
      <c r="J79" s="398"/>
      <c r="K79" s="398"/>
      <c r="L79" s="398"/>
      <c r="M79" s="398"/>
    </row>
    <row r="80" spans="1:13" ht="12.75" customHeight="1">
      <c r="A80"/>
      <c r="B80" s="143"/>
      <c r="F80" s="398"/>
      <c r="G80" s="399"/>
      <c r="H80" s="398"/>
      <c r="I80" s="398"/>
      <c r="J80" s="398"/>
      <c r="K80" s="398"/>
      <c r="L80" s="398"/>
      <c r="M80" s="398"/>
    </row>
    <row r="81" spans="1:13" ht="19.5" customHeight="1">
      <c r="A81"/>
      <c r="B81" s="143" t="s">
        <v>691</v>
      </c>
      <c r="F81" s="398"/>
      <c r="G81" s="399"/>
      <c r="H81" s="398"/>
      <c r="I81" s="398"/>
      <c r="J81" s="398"/>
      <c r="K81" s="398"/>
      <c r="L81" s="398"/>
      <c r="M81" s="398"/>
    </row>
    <row r="82" spans="1:13" ht="15" customHeight="1">
      <c r="A82"/>
    </row>
    <row r="83" spans="1:13" ht="15" customHeight="1">
      <c r="A83"/>
    </row>
    <row r="84" spans="1:13" ht="15" customHeight="1">
      <c r="A84"/>
    </row>
    <row r="85" spans="1:13" ht="15" customHeight="1">
      <c r="A85"/>
    </row>
    <row r="86" spans="1:13" ht="15" customHeight="1">
      <c r="A86"/>
    </row>
    <row r="87" spans="1:13" ht="15" customHeight="1">
      <c r="A87" s="400"/>
    </row>
    <row r="88" spans="1:13" ht="15" customHeight="1">
      <c r="A88" s="400"/>
    </row>
    <row r="92" spans="1:13" ht="15" customHeight="1">
      <c r="A92" s="401"/>
    </row>
  </sheetData>
  <sheetProtection password="CACA" sheet="1" objects="1" scenarios="1"/>
  <dataConsolidate/>
  <mergeCells count="1">
    <mergeCell ref="A1:D1"/>
  </mergeCells>
  <phoneticPr fontId="14" type="noConversion"/>
  <conditionalFormatting sqref="C6:C7">
    <cfRule type="cellIs" dxfId="275" priority="21" operator="notEqual">
      <formula>G6</formula>
    </cfRule>
    <cfRule type="cellIs" dxfId="274" priority="22" operator="notEqual">
      <formula>G6</formula>
    </cfRule>
  </conditionalFormatting>
  <conditionalFormatting sqref="C9">
    <cfRule type="cellIs" dxfId="273" priority="19" operator="notEqual">
      <formula>G9</formula>
    </cfRule>
    <cfRule type="cellIs" dxfId="272" priority="20" operator="notEqual">
      <formula>G9</formula>
    </cfRule>
  </conditionalFormatting>
  <conditionalFormatting sqref="C12:C13">
    <cfRule type="cellIs" dxfId="271" priority="15" operator="notEqual">
      <formula>G12</formula>
    </cfRule>
    <cfRule type="cellIs" dxfId="270" priority="16" operator="notEqual">
      <formula>G12</formula>
    </cfRule>
  </conditionalFormatting>
  <conditionalFormatting sqref="C18:C19">
    <cfRule type="cellIs" dxfId="269" priority="9" operator="notEqual">
      <formula>G18</formula>
    </cfRule>
    <cfRule type="cellIs" dxfId="268" priority="10" operator="notEqual">
      <formula>G18</formula>
    </cfRule>
  </conditionalFormatting>
  <conditionalFormatting sqref="C23:C24">
    <cfRule type="cellIs" dxfId="267" priority="5" operator="notEqual">
      <formula>G23</formula>
    </cfRule>
    <cfRule type="cellIs" dxfId="266" priority="6" operator="notEqual">
      <formula>G23</formula>
    </cfRule>
  </conditionalFormatting>
  <conditionalFormatting sqref="C27">
    <cfRule type="cellIs" dxfId="265" priority="3" operator="notEqual">
      <formula>G27</formula>
    </cfRule>
    <cfRule type="cellIs" dxfId="264" priority="4" operator="notEqual">
      <formula>G27</formula>
    </cfRule>
  </conditionalFormatting>
  <conditionalFormatting sqref="G15">
    <cfRule type="cellIs" dxfId="263" priority="69" operator="notEqual">
      <formula>$C$15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7:E67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SheetLayoutView="100" workbookViewId="0">
      <pane xSplit="2" ySplit="4" topLeftCell="C5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C5" sqref="C5"/>
    </sheetView>
  </sheetViews>
  <sheetFormatPr defaultRowHeight="12.75"/>
  <cols>
    <col min="1" max="1" width="7.140625" style="100" customWidth="1"/>
    <col min="2" max="2" width="82.140625" style="24" customWidth="1"/>
    <col min="3" max="3" width="19" style="24" customWidth="1"/>
    <col min="4" max="4" width="6.42578125" style="24" customWidth="1"/>
    <col min="5" max="5" width="17.7109375" style="24" customWidth="1"/>
    <col min="6" max="10" width="6.42578125" style="24" customWidth="1"/>
    <col min="11" max="16384" width="9.140625" style="24"/>
  </cols>
  <sheetData>
    <row r="1" spans="1:20" s="12" customFormat="1" ht="21" customHeight="1">
      <c r="A1" s="2"/>
      <c r="B1" s="187" t="s">
        <v>304</v>
      </c>
      <c r="C1" s="13" t="s">
        <v>303</v>
      </c>
      <c r="D1" s="188"/>
      <c r="E1" s="188"/>
      <c r="F1" s="188"/>
      <c r="G1" s="188"/>
      <c r="H1" s="188"/>
    </row>
    <row r="2" spans="1:20" ht="9" customHeight="1">
      <c r="A2" s="2"/>
      <c r="B2" s="1"/>
      <c r="C2" s="13"/>
      <c r="D2" s="189"/>
      <c r="E2" s="189"/>
      <c r="F2" s="189"/>
      <c r="G2" s="189"/>
      <c r="H2" s="189"/>
    </row>
    <row r="3" spans="1:20" ht="15">
      <c r="A3" s="286"/>
      <c r="B3" s="31" t="str">
        <f>+'Asset quality'!B3</f>
        <v>MKBANK</v>
      </c>
      <c r="C3" s="528">
        <f>+'Asset quality'!Q3</f>
        <v>46021</v>
      </c>
      <c r="D3" s="189"/>
      <c r="E3" s="189"/>
      <c r="F3" s="189"/>
      <c r="G3" s="189"/>
      <c r="H3" s="189"/>
    </row>
    <row r="4" spans="1:20" ht="24" customHeight="1">
      <c r="A4" s="41" t="s">
        <v>23</v>
      </c>
      <c r="B4" s="41" t="s">
        <v>216</v>
      </c>
      <c r="C4" s="41" t="str">
        <f>+'Asset quality'!T3</f>
        <v>минг. сўмда</v>
      </c>
      <c r="D4" s="189"/>
      <c r="E4" s="189"/>
      <c r="F4" s="189"/>
      <c r="G4" s="189"/>
      <c r="H4" s="189"/>
    </row>
    <row r="5" spans="1:20">
      <c r="A5" s="287" t="s">
        <v>219</v>
      </c>
      <c r="B5" s="190" t="s">
        <v>305</v>
      </c>
      <c r="C5" s="41"/>
      <c r="D5" s="189"/>
      <c r="E5" s="189"/>
      <c r="F5" s="189"/>
      <c r="G5" s="189"/>
      <c r="H5" s="189"/>
    </row>
    <row r="6" spans="1:20">
      <c r="A6" s="288" t="s">
        <v>221</v>
      </c>
      <c r="B6" s="368" t="s">
        <v>182</v>
      </c>
      <c r="C6" s="191">
        <v>0</v>
      </c>
      <c r="D6" s="189"/>
      <c r="E6" s="189"/>
      <c r="F6" s="189"/>
      <c r="G6" s="189"/>
      <c r="H6" s="189"/>
    </row>
    <row r="7" spans="1:20">
      <c r="A7" s="288" t="s">
        <v>223</v>
      </c>
      <c r="B7" s="368" t="s">
        <v>706</v>
      </c>
      <c r="C7" s="191">
        <v>47664</v>
      </c>
      <c r="D7" s="189"/>
      <c r="E7" s="189"/>
      <c r="F7" s="189"/>
      <c r="G7" s="189"/>
      <c r="H7" s="189"/>
    </row>
    <row r="8" spans="1:20">
      <c r="A8" s="289" t="s">
        <v>225</v>
      </c>
      <c r="B8" s="368" t="s">
        <v>707</v>
      </c>
      <c r="C8" s="191">
        <v>0</v>
      </c>
      <c r="D8" s="189"/>
      <c r="E8" s="376"/>
      <c r="F8" s="189"/>
      <c r="G8" s="189"/>
      <c r="H8" s="189"/>
    </row>
    <row r="9" spans="1:20">
      <c r="A9" s="289" t="s">
        <v>226</v>
      </c>
      <c r="B9" s="368" t="s">
        <v>708</v>
      </c>
      <c r="C9" s="191">
        <v>1598177879</v>
      </c>
      <c r="D9" s="189"/>
      <c r="E9" s="376"/>
      <c r="F9" s="189"/>
      <c r="G9" s="189"/>
      <c r="H9" s="189"/>
    </row>
    <row r="10" spans="1:20">
      <c r="A10" s="290" t="s">
        <v>228</v>
      </c>
      <c r="B10" s="369" t="s">
        <v>709</v>
      </c>
      <c r="C10" s="191">
        <v>3839867</v>
      </c>
      <c r="D10" s="189"/>
      <c r="E10" s="376"/>
      <c r="F10" s="189"/>
      <c r="G10" s="189"/>
      <c r="H10" s="189"/>
    </row>
    <row r="11" spans="1:20">
      <c r="A11" s="290" t="s">
        <v>230</v>
      </c>
      <c r="B11" s="369" t="s">
        <v>710</v>
      </c>
      <c r="C11" s="191">
        <v>11246925</v>
      </c>
      <c r="D11" s="189"/>
      <c r="E11" s="376"/>
      <c r="F11" s="189"/>
      <c r="G11" s="189"/>
      <c r="H11" s="189"/>
    </row>
    <row r="12" spans="1:20" ht="15.75" customHeight="1">
      <c r="A12" s="289" t="s">
        <v>232</v>
      </c>
      <c r="B12" s="369" t="s">
        <v>711</v>
      </c>
      <c r="C12" s="191">
        <v>1636726704</v>
      </c>
      <c r="D12" s="189"/>
      <c r="E12" s="376"/>
      <c r="F12" s="189"/>
      <c r="G12" s="189"/>
      <c r="H12" s="189"/>
    </row>
    <row r="13" spans="1:20">
      <c r="A13" s="289" t="s">
        <v>234</v>
      </c>
      <c r="B13" s="368" t="s">
        <v>712</v>
      </c>
      <c r="C13" s="191">
        <v>139590495</v>
      </c>
      <c r="D13" s="189"/>
      <c r="E13" s="376"/>
      <c r="F13" s="189"/>
      <c r="G13" s="189"/>
      <c r="H13" s="189"/>
    </row>
    <row r="14" spans="1:20">
      <c r="A14" s="271" t="s">
        <v>236</v>
      </c>
      <c r="B14" s="193" t="s">
        <v>306</v>
      </c>
      <c r="C14" s="320">
        <f>SUM(C6:C13)</f>
        <v>3389629534</v>
      </c>
      <c r="D14" s="189"/>
      <c r="E14" s="377">
        <f>+'Income '!C12</f>
        <v>3389629534</v>
      </c>
      <c r="F14" s="189"/>
      <c r="G14" s="189"/>
      <c r="H14" s="189"/>
    </row>
    <row r="15" spans="1:20" ht="7.5" customHeight="1">
      <c r="A15" s="6"/>
      <c r="B15" s="194"/>
      <c r="C15" s="195"/>
      <c r="D15" s="189"/>
      <c r="E15" s="376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</row>
    <row r="16" spans="1:20">
      <c r="A16" s="271" t="s">
        <v>241</v>
      </c>
      <c r="B16" s="193" t="s">
        <v>307</v>
      </c>
      <c r="C16" s="41"/>
      <c r="D16" s="189"/>
      <c r="E16" s="376"/>
      <c r="F16" s="189"/>
      <c r="G16" s="189"/>
      <c r="H16" s="189"/>
    </row>
    <row r="17" spans="1:20">
      <c r="A17" s="289" t="s">
        <v>221</v>
      </c>
      <c r="B17" s="192" t="s">
        <v>222</v>
      </c>
      <c r="C17" s="403">
        <v>23192521</v>
      </c>
      <c r="D17" s="189"/>
      <c r="E17" s="377">
        <f>+'Income '!C6</f>
        <v>23192521</v>
      </c>
      <c r="F17" s="189"/>
      <c r="G17" s="189"/>
      <c r="H17" s="189"/>
    </row>
    <row r="18" spans="1:20">
      <c r="A18" s="289" t="s">
        <v>223</v>
      </c>
      <c r="B18" s="192" t="s">
        <v>224</v>
      </c>
      <c r="C18" s="403">
        <v>73993010</v>
      </c>
      <c r="D18" s="189"/>
      <c r="E18" s="377">
        <f>+'Income '!C7</f>
        <v>73993010</v>
      </c>
      <c r="F18" s="189"/>
      <c r="G18" s="189"/>
      <c r="H18" s="189"/>
    </row>
    <row r="19" spans="1:20">
      <c r="A19" s="271"/>
      <c r="B19" s="193" t="s">
        <v>308</v>
      </c>
      <c r="C19" s="320">
        <f>SUM(C17:C18)</f>
        <v>97185531</v>
      </c>
      <c r="D19" s="189"/>
      <c r="E19" s="376"/>
      <c r="F19" s="189"/>
      <c r="G19" s="189"/>
      <c r="H19" s="189"/>
    </row>
    <row r="20" spans="1:20" ht="7.5" customHeight="1">
      <c r="A20" s="6"/>
      <c r="B20" s="194"/>
      <c r="C20" s="195"/>
      <c r="D20" s="189"/>
      <c r="E20" s="376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</row>
    <row r="21" spans="1:20" ht="25.5">
      <c r="A21" s="291" t="s">
        <v>53</v>
      </c>
      <c r="B21" s="196" t="s">
        <v>309</v>
      </c>
      <c r="C21" s="41"/>
      <c r="D21" s="189"/>
      <c r="E21" s="376"/>
      <c r="F21" s="189"/>
      <c r="G21" s="189"/>
      <c r="H21" s="189"/>
    </row>
    <row r="22" spans="1:20">
      <c r="A22" s="290" t="s">
        <v>221</v>
      </c>
      <c r="B22" s="192" t="s">
        <v>310</v>
      </c>
      <c r="C22" s="191">
        <v>12725429</v>
      </c>
      <c r="D22" s="189"/>
      <c r="E22" s="376"/>
      <c r="F22" s="189"/>
      <c r="G22" s="189"/>
      <c r="H22" s="189"/>
    </row>
    <row r="23" spans="1:20">
      <c r="A23" s="289" t="s">
        <v>223</v>
      </c>
      <c r="B23" s="192" t="s">
        <v>311</v>
      </c>
      <c r="C23" s="191">
        <v>26080629</v>
      </c>
      <c r="D23" s="189"/>
      <c r="E23" s="376"/>
      <c r="F23" s="189"/>
      <c r="G23" s="189"/>
      <c r="H23" s="189"/>
    </row>
    <row r="24" spans="1:20">
      <c r="A24" s="289" t="s">
        <v>225</v>
      </c>
      <c r="B24" s="192" t="s">
        <v>312</v>
      </c>
      <c r="C24" s="191">
        <v>1900000</v>
      </c>
      <c r="D24" s="189"/>
      <c r="E24" s="376"/>
      <c r="F24" s="189"/>
      <c r="G24" s="189"/>
      <c r="H24" s="189"/>
    </row>
    <row r="25" spans="1:20">
      <c r="A25" s="289" t="s">
        <v>226</v>
      </c>
      <c r="B25" s="192" t="s">
        <v>313</v>
      </c>
      <c r="C25" s="191">
        <v>0</v>
      </c>
      <c r="D25" s="189"/>
      <c r="E25" s="376"/>
      <c r="F25" s="189"/>
      <c r="G25" s="189"/>
      <c r="H25" s="189"/>
    </row>
    <row r="26" spans="1:20">
      <c r="A26" s="289" t="s">
        <v>228</v>
      </c>
      <c r="B26" s="192" t="s">
        <v>314</v>
      </c>
      <c r="C26" s="191">
        <v>0</v>
      </c>
      <c r="D26" s="189"/>
      <c r="E26" s="376"/>
      <c r="F26" s="189"/>
      <c r="G26" s="189"/>
      <c r="H26" s="189"/>
    </row>
    <row r="27" spans="1:20">
      <c r="A27" s="289" t="s">
        <v>230</v>
      </c>
      <c r="B27" s="192" t="s">
        <v>315</v>
      </c>
      <c r="C27" s="191">
        <v>0</v>
      </c>
      <c r="D27" s="189"/>
      <c r="E27" s="376"/>
      <c r="F27" s="189"/>
      <c r="G27" s="189"/>
      <c r="H27" s="189"/>
    </row>
    <row r="28" spans="1:20">
      <c r="A28" s="289" t="s">
        <v>232</v>
      </c>
      <c r="B28" s="193" t="s">
        <v>316</v>
      </c>
      <c r="C28" s="320">
        <f>SUM(C22:C27)</f>
        <v>40706058</v>
      </c>
      <c r="D28" s="189"/>
      <c r="E28" s="377">
        <f>+'Income '!C9</f>
        <v>40706058</v>
      </c>
      <c r="F28" s="189"/>
      <c r="G28" s="189"/>
      <c r="H28" s="189"/>
    </row>
    <row r="29" spans="1:20" ht="7.5" customHeight="1">
      <c r="A29" s="6"/>
      <c r="B29" s="194"/>
      <c r="C29" s="195"/>
      <c r="D29" s="189"/>
      <c r="E29" s="376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</row>
    <row r="30" spans="1:20">
      <c r="A30" s="271" t="s">
        <v>260</v>
      </c>
      <c r="B30" s="193" t="s">
        <v>317</v>
      </c>
      <c r="C30" s="41"/>
      <c r="D30" s="189"/>
      <c r="E30" s="376"/>
      <c r="F30" s="189"/>
      <c r="G30" s="189"/>
      <c r="H30" s="189"/>
    </row>
    <row r="31" spans="1:20">
      <c r="A31" s="289" t="s">
        <v>221</v>
      </c>
      <c r="B31" s="192" t="s">
        <v>310</v>
      </c>
      <c r="C31" s="191">
        <v>0</v>
      </c>
      <c r="D31" s="189"/>
      <c r="E31" s="376"/>
      <c r="F31" s="189"/>
      <c r="G31" s="189"/>
      <c r="H31" s="189"/>
    </row>
    <row r="32" spans="1:20" ht="25.5">
      <c r="A32" s="290" t="s">
        <v>223</v>
      </c>
      <c r="B32" s="76" t="s">
        <v>318</v>
      </c>
      <c r="C32" s="191">
        <v>0</v>
      </c>
      <c r="D32" s="189"/>
      <c r="E32" s="376"/>
      <c r="F32" s="189"/>
      <c r="G32" s="189"/>
      <c r="H32" s="189"/>
    </row>
    <row r="33" spans="1:20" ht="25.5">
      <c r="A33" s="290" t="s">
        <v>225</v>
      </c>
      <c r="B33" s="76" t="s">
        <v>319</v>
      </c>
      <c r="C33" s="191">
        <v>0</v>
      </c>
      <c r="D33" s="189"/>
      <c r="E33" s="376"/>
      <c r="F33" s="189"/>
      <c r="G33" s="189"/>
      <c r="H33" s="189"/>
    </row>
    <row r="34" spans="1:20">
      <c r="A34" s="289" t="s">
        <v>226</v>
      </c>
      <c r="B34" s="192" t="s">
        <v>320</v>
      </c>
      <c r="C34" s="191">
        <v>0</v>
      </c>
      <c r="D34" s="189"/>
      <c r="E34" s="376"/>
      <c r="F34" s="189"/>
      <c r="G34" s="189"/>
      <c r="H34" s="189"/>
    </row>
    <row r="35" spans="1:20">
      <c r="A35" s="289" t="s">
        <v>228</v>
      </c>
      <c r="B35" s="192" t="s">
        <v>315</v>
      </c>
      <c r="C35" s="191">
        <v>0</v>
      </c>
      <c r="D35" s="189"/>
      <c r="E35" s="376"/>
      <c r="F35" s="189"/>
      <c r="G35" s="189"/>
      <c r="H35" s="189"/>
    </row>
    <row r="36" spans="1:20">
      <c r="A36" s="289" t="s">
        <v>230</v>
      </c>
      <c r="B36" s="193" t="s">
        <v>321</v>
      </c>
      <c r="C36" s="320">
        <f>SUM(C31:C35)</f>
        <v>0</v>
      </c>
      <c r="D36" s="189"/>
      <c r="E36" s="376"/>
      <c r="F36" s="189"/>
      <c r="G36" s="189"/>
      <c r="H36" s="189"/>
    </row>
    <row r="37" spans="1:20" ht="7.5" customHeight="1">
      <c r="A37" s="6"/>
      <c r="B37" s="194"/>
      <c r="C37" s="195"/>
      <c r="D37" s="189"/>
      <c r="E37" s="376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</row>
    <row r="38" spans="1:20">
      <c r="A38" s="271" t="s">
        <v>269</v>
      </c>
      <c r="B38" s="193" t="s">
        <v>322</v>
      </c>
      <c r="C38" s="41"/>
      <c r="D38" s="189"/>
      <c r="E38" s="376"/>
      <c r="F38" s="189"/>
      <c r="G38" s="189"/>
      <c r="H38" s="189"/>
    </row>
    <row r="39" spans="1:20">
      <c r="A39" s="289" t="s">
        <v>221</v>
      </c>
      <c r="B39" s="197" t="s">
        <v>323</v>
      </c>
      <c r="C39" s="191">
        <v>0</v>
      </c>
      <c r="D39" s="189"/>
      <c r="E39" s="376"/>
      <c r="F39" s="189"/>
      <c r="G39" s="189"/>
      <c r="H39" s="189"/>
    </row>
    <row r="40" spans="1:20">
      <c r="A40" s="289" t="s">
        <v>223</v>
      </c>
      <c r="B40" s="197" t="s">
        <v>237</v>
      </c>
      <c r="C40" s="403">
        <v>1773738283</v>
      </c>
      <c r="D40" s="189"/>
      <c r="E40" s="377">
        <f>+'Income '!C14</f>
        <v>1773738283</v>
      </c>
      <c r="F40" s="189"/>
      <c r="G40" s="189"/>
      <c r="H40" s="189"/>
    </row>
    <row r="41" spans="1:20" ht="7.5" customHeight="1">
      <c r="A41" s="6"/>
      <c r="B41" s="194"/>
      <c r="C41" s="195"/>
      <c r="D41" s="189"/>
      <c r="E41" s="376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</row>
    <row r="42" spans="1:20">
      <c r="A42" s="271" t="s">
        <v>276</v>
      </c>
      <c r="B42" s="193" t="s">
        <v>324</v>
      </c>
      <c r="C42" s="320">
        <f>C14+C19+C28+C36+C39+C40</f>
        <v>5301259406</v>
      </c>
      <c r="D42" s="189"/>
      <c r="E42" s="377">
        <f>+'Income '!C15</f>
        <v>5301259406</v>
      </c>
      <c r="F42" s="189"/>
      <c r="G42" s="189"/>
      <c r="H42" s="189"/>
    </row>
    <row r="43" spans="1:20" ht="7.5" customHeight="1">
      <c r="A43" s="6"/>
      <c r="B43" s="194"/>
      <c r="C43" s="195"/>
      <c r="D43" s="189"/>
      <c r="E43" s="376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</row>
    <row r="44" spans="1:20">
      <c r="A44" s="271" t="s">
        <v>278</v>
      </c>
      <c r="B44" s="193" t="s">
        <v>325</v>
      </c>
      <c r="C44" s="41"/>
      <c r="D44" s="189"/>
      <c r="E44" s="376"/>
      <c r="F44" s="189"/>
      <c r="G44" s="189"/>
      <c r="H44" s="189"/>
    </row>
    <row r="45" spans="1:20">
      <c r="A45" s="271" t="s">
        <v>326</v>
      </c>
      <c r="B45" s="193" t="s">
        <v>327</v>
      </c>
      <c r="C45" s="191"/>
      <c r="D45" s="189"/>
      <c r="E45" s="376"/>
      <c r="F45" s="189"/>
      <c r="G45" s="189"/>
      <c r="H45" s="189"/>
    </row>
    <row r="46" spans="1:20">
      <c r="A46" s="289" t="s">
        <v>221</v>
      </c>
      <c r="B46" s="192" t="s">
        <v>328</v>
      </c>
      <c r="C46" s="191">
        <v>0</v>
      </c>
      <c r="D46" s="189"/>
      <c r="E46" s="376"/>
      <c r="F46" s="189"/>
      <c r="G46" s="189"/>
      <c r="H46" s="189"/>
    </row>
    <row r="47" spans="1:20">
      <c r="A47" s="289" t="s">
        <v>223</v>
      </c>
      <c r="B47" s="192" t="s">
        <v>329</v>
      </c>
      <c r="C47" s="191">
        <v>0</v>
      </c>
      <c r="D47" s="189"/>
      <c r="E47" s="376"/>
      <c r="F47" s="189"/>
      <c r="G47" s="189"/>
      <c r="H47" s="189"/>
    </row>
    <row r="48" spans="1:20">
      <c r="A48" s="289" t="s">
        <v>225</v>
      </c>
      <c r="B48" s="192" t="s">
        <v>330</v>
      </c>
      <c r="C48" s="191">
        <v>14036383</v>
      </c>
      <c r="D48" s="189"/>
      <c r="E48" s="376"/>
      <c r="F48" s="189"/>
      <c r="G48" s="189"/>
      <c r="H48" s="189"/>
    </row>
    <row r="49" spans="1:20">
      <c r="A49" s="289" t="s">
        <v>226</v>
      </c>
      <c r="B49" s="192" t="s">
        <v>331</v>
      </c>
      <c r="C49" s="191">
        <v>0</v>
      </c>
      <c r="D49" s="189"/>
      <c r="E49" s="376"/>
      <c r="F49" s="189"/>
      <c r="G49" s="189"/>
      <c r="H49" s="189"/>
    </row>
    <row r="50" spans="1:20">
      <c r="A50" s="289" t="s">
        <v>228</v>
      </c>
      <c r="B50" s="192" t="s">
        <v>332</v>
      </c>
      <c r="C50" s="191">
        <v>0</v>
      </c>
      <c r="D50" s="189"/>
      <c r="E50" s="376"/>
      <c r="F50" s="189"/>
      <c r="G50" s="189"/>
      <c r="H50" s="189"/>
    </row>
    <row r="51" spans="1:20">
      <c r="A51" s="289" t="s">
        <v>230</v>
      </c>
      <c r="B51" s="192" t="s">
        <v>333</v>
      </c>
      <c r="C51" s="191">
        <v>353130</v>
      </c>
      <c r="D51" s="189"/>
      <c r="E51" s="376"/>
      <c r="F51" s="189"/>
      <c r="G51" s="189"/>
      <c r="H51" s="189"/>
    </row>
    <row r="52" spans="1:20">
      <c r="A52" s="287" t="s">
        <v>232</v>
      </c>
      <c r="B52" s="190" t="s">
        <v>334</v>
      </c>
      <c r="C52" s="320">
        <f>SUM(C46:C51)</f>
        <v>14389513</v>
      </c>
      <c r="D52" s="189"/>
      <c r="E52" s="377">
        <f>+'Income '!C18</f>
        <v>14389513</v>
      </c>
      <c r="F52" s="189"/>
      <c r="G52" s="189"/>
      <c r="H52" s="189"/>
    </row>
    <row r="53" spans="1:20" ht="7.5" customHeight="1">
      <c r="A53" s="6"/>
      <c r="B53" s="194"/>
      <c r="C53" s="195"/>
      <c r="D53" s="189"/>
      <c r="E53" s="378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</row>
    <row r="54" spans="1:20">
      <c r="A54" s="271" t="s">
        <v>335</v>
      </c>
      <c r="B54" s="193" t="s">
        <v>336</v>
      </c>
      <c r="C54" s="41"/>
      <c r="D54" s="189"/>
      <c r="E54" s="376"/>
      <c r="F54" s="189"/>
      <c r="G54" s="189"/>
      <c r="H54" s="189"/>
    </row>
    <row r="55" spans="1:20">
      <c r="A55" s="289" t="s">
        <v>221</v>
      </c>
      <c r="B55" s="192" t="s">
        <v>328</v>
      </c>
      <c r="C55" s="191">
        <v>630828990</v>
      </c>
      <c r="D55" s="189"/>
      <c r="E55" s="376"/>
      <c r="F55" s="189"/>
      <c r="G55" s="189"/>
      <c r="H55" s="189"/>
    </row>
    <row r="56" spans="1:20">
      <c r="A56" s="289" t="s">
        <v>223</v>
      </c>
      <c r="B56" s="192" t="s">
        <v>329</v>
      </c>
      <c r="C56" s="191">
        <v>547928430</v>
      </c>
      <c r="D56" s="189"/>
      <c r="E56" s="376"/>
      <c r="F56" s="189"/>
      <c r="G56" s="189"/>
      <c r="H56" s="189"/>
    </row>
    <row r="57" spans="1:20">
      <c r="A57" s="289" t="s">
        <v>225</v>
      </c>
      <c r="B57" s="192" t="s">
        <v>330</v>
      </c>
      <c r="C57" s="191">
        <v>140017116</v>
      </c>
      <c r="D57" s="189"/>
      <c r="E57" s="376"/>
      <c r="F57" s="189"/>
      <c r="G57" s="189"/>
      <c r="H57" s="189"/>
    </row>
    <row r="58" spans="1:20">
      <c r="A58" s="289" t="s">
        <v>226</v>
      </c>
      <c r="B58" s="192" t="s">
        <v>331</v>
      </c>
      <c r="C58" s="191">
        <v>12904457</v>
      </c>
      <c r="D58" s="189"/>
      <c r="E58" s="376"/>
      <c r="F58" s="189"/>
      <c r="G58" s="189"/>
      <c r="H58" s="189"/>
    </row>
    <row r="59" spans="1:20">
      <c r="A59" s="289" t="s">
        <v>228</v>
      </c>
      <c r="B59" s="192" t="s">
        <v>332</v>
      </c>
      <c r="C59" s="191">
        <v>22315073</v>
      </c>
      <c r="D59" s="189"/>
      <c r="E59" s="376"/>
      <c r="F59" s="189"/>
      <c r="G59" s="189"/>
      <c r="H59" s="189"/>
    </row>
    <row r="60" spans="1:20">
      <c r="A60" s="289" t="s">
        <v>230</v>
      </c>
      <c r="B60" s="192" t="s">
        <v>333</v>
      </c>
      <c r="C60" s="191">
        <v>16105806</v>
      </c>
      <c r="D60" s="189"/>
      <c r="E60" s="376"/>
      <c r="F60" s="189"/>
      <c r="G60" s="189"/>
      <c r="H60" s="189"/>
    </row>
    <row r="61" spans="1:20" ht="13.5" customHeight="1">
      <c r="A61" s="287" t="s">
        <v>232</v>
      </c>
      <c r="B61" s="190" t="s">
        <v>337</v>
      </c>
      <c r="C61" s="320">
        <f>SUM(C55:C60)</f>
        <v>1370099872</v>
      </c>
      <c r="D61" s="189"/>
      <c r="E61" s="377">
        <f>+'Income '!C19</f>
        <v>1370099872</v>
      </c>
      <c r="F61" s="189"/>
      <c r="G61" s="189"/>
      <c r="H61" s="189"/>
    </row>
    <row r="62" spans="1:20" ht="7.5" customHeight="1">
      <c r="A62" s="6"/>
      <c r="B62" s="194"/>
      <c r="C62" s="195"/>
      <c r="D62" s="189"/>
      <c r="E62" s="376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</row>
    <row r="63" spans="1:20">
      <c r="A63" s="271" t="s">
        <v>338</v>
      </c>
      <c r="B63" s="193" t="s">
        <v>339</v>
      </c>
      <c r="C63" s="320">
        <f>C52+C61</f>
        <v>1384489385</v>
      </c>
      <c r="D63" s="189"/>
      <c r="E63" s="376"/>
      <c r="F63" s="189"/>
      <c r="G63" s="189"/>
      <c r="H63" s="189"/>
    </row>
    <row r="64" spans="1:20" ht="7.5" customHeight="1">
      <c r="A64" s="6"/>
      <c r="B64" s="194"/>
      <c r="C64" s="195"/>
      <c r="D64" s="189"/>
      <c r="E64" s="376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</row>
    <row r="65" spans="1:20">
      <c r="A65" s="271" t="s">
        <v>294</v>
      </c>
      <c r="B65" s="193" t="s">
        <v>340</v>
      </c>
      <c r="C65" s="41"/>
      <c r="D65" s="189"/>
      <c r="E65" s="376"/>
      <c r="F65" s="189"/>
      <c r="G65" s="189"/>
      <c r="H65" s="189"/>
    </row>
    <row r="66" spans="1:20">
      <c r="A66" s="289" t="s">
        <v>243</v>
      </c>
      <c r="B66" s="192" t="s">
        <v>341</v>
      </c>
      <c r="C66" s="191">
        <v>0</v>
      </c>
      <c r="D66" s="189"/>
      <c r="E66" s="376"/>
      <c r="F66" s="189"/>
      <c r="G66" s="189"/>
      <c r="H66" s="189"/>
    </row>
    <row r="67" spans="1:20">
      <c r="A67" s="289" t="s">
        <v>223</v>
      </c>
      <c r="B67" s="197" t="s">
        <v>249</v>
      </c>
      <c r="C67" s="403">
        <v>1155174509</v>
      </c>
      <c r="D67" s="189"/>
      <c r="E67" s="377">
        <f>+'Income '!C23</f>
        <v>1155174509</v>
      </c>
      <c r="F67" s="189"/>
      <c r="G67" s="189"/>
      <c r="H67" s="189"/>
    </row>
    <row r="68" spans="1:20">
      <c r="A68" s="289" t="s">
        <v>225</v>
      </c>
      <c r="B68" s="197" t="s">
        <v>250</v>
      </c>
      <c r="C68" s="403">
        <v>0</v>
      </c>
      <c r="D68" s="189"/>
      <c r="E68" s="377">
        <f>+'Income '!C24</f>
        <v>0</v>
      </c>
      <c r="F68" s="189"/>
      <c r="G68" s="189"/>
      <c r="H68" s="189"/>
    </row>
    <row r="69" spans="1:20">
      <c r="A69" s="289" t="s">
        <v>226</v>
      </c>
      <c r="B69" s="197" t="s">
        <v>251</v>
      </c>
      <c r="C69" s="403">
        <v>2000368838</v>
      </c>
      <c r="D69" s="189"/>
      <c r="E69" s="377">
        <f>+'Income '!C25+'Income '!C21</f>
        <v>2000368838</v>
      </c>
      <c r="F69" s="189"/>
      <c r="G69" s="189"/>
      <c r="H69" s="189"/>
    </row>
    <row r="70" spans="1:20">
      <c r="A70" s="271" t="s">
        <v>228</v>
      </c>
      <c r="B70" s="198" t="s">
        <v>342</v>
      </c>
      <c r="C70" s="320">
        <f>SUM(C66:C69)</f>
        <v>3155543347</v>
      </c>
      <c r="D70" s="189"/>
      <c r="E70" s="376"/>
      <c r="F70" s="189"/>
      <c r="G70" s="189"/>
      <c r="H70" s="189"/>
    </row>
    <row r="71" spans="1:20" ht="7.5" customHeight="1">
      <c r="A71" s="6"/>
      <c r="B71" s="194"/>
      <c r="C71" s="321"/>
      <c r="D71" s="189"/>
      <c r="E71" s="376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</row>
    <row r="72" spans="1:20">
      <c r="A72" s="271" t="s">
        <v>297</v>
      </c>
      <c r="B72" s="193" t="s">
        <v>343</v>
      </c>
      <c r="C72" s="320">
        <f>C63+C70</f>
        <v>4540032732</v>
      </c>
      <c r="D72" s="189"/>
      <c r="E72" s="377">
        <f>+'Income '!C27</f>
        <v>4540032732</v>
      </c>
      <c r="F72" s="189"/>
      <c r="G72" s="189"/>
      <c r="H72" s="189"/>
    </row>
    <row r="73" spans="1:20">
      <c r="D73" s="189"/>
      <c r="E73" s="376"/>
      <c r="F73" s="189"/>
      <c r="G73" s="189"/>
      <c r="H73" s="189"/>
    </row>
    <row r="74" spans="1:20" ht="15" customHeight="1">
      <c r="A74" s="24"/>
      <c r="B74" s="98" t="s">
        <v>690</v>
      </c>
      <c r="E74" s="378"/>
      <c r="F74" s="81"/>
      <c r="G74" s="81"/>
      <c r="H74" s="81"/>
      <c r="I74" s="81"/>
      <c r="J74" s="81"/>
      <c r="K74" s="81"/>
      <c r="L74" s="81"/>
      <c r="M74" s="81"/>
    </row>
    <row r="75" spans="1:20" ht="11.25" customHeight="1">
      <c r="A75" s="24"/>
      <c r="B75" s="98"/>
      <c r="E75" s="378"/>
      <c r="F75" s="81"/>
      <c r="G75" s="81"/>
      <c r="H75" s="81"/>
      <c r="I75" s="81"/>
      <c r="J75" s="81"/>
      <c r="K75" s="81"/>
      <c r="L75" s="81"/>
      <c r="M75" s="81"/>
    </row>
    <row r="76" spans="1:20" ht="15" customHeight="1">
      <c r="A76" s="24"/>
      <c r="B76" s="98" t="s">
        <v>691</v>
      </c>
      <c r="E76" s="378"/>
      <c r="F76" s="81"/>
      <c r="G76" s="81"/>
      <c r="H76" s="81"/>
      <c r="I76" s="81"/>
      <c r="J76" s="81"/>
      <c r="K76" s="81"/>
      <c r="L76" s="81"/>
      <c r="M76" s="81"/>
    </row>
    <row r="77" spans="1:20">
      <c r="D77" s="189"/>
      <c r="E77" s="376"/>
      <c r="F77" s="189"/>
      <c r="G77" s="189"/>
      <c r="H77" s="189"/>
    </row>
    <row r="78" spans="1:20">
      <c r="A78" s="292"/>
      <c r="D78" s="189"/>
      <c r="E78" s="376"/>
      <c r="F78" s="189"/>
      <c r="G78" s="189"/>
      <c r="H78" s="189"/>
    </row>
    <row r="79" spans="1:20">
      <c r="A79" s="292"/>
      <c r="D79" s="189"/>
      <c r="E79" s="376"/>
      <c r="F79" s="189"/>
      <c r="G79" s="189"/>
      <c r="H79" s="189"/>
    </row>
    <row r="80" spans="1:20">
      <c r="D80" s="189"/>
      <c r="E80" s="376"/>
      <c r="F80" s="189"/>
      <c r="G80" s="189"/>
      <c r="H80" s="189"/>
    </row>
    <row r="81" spans="4:8">
      <c r="D81" s="189"/>
      <c r="E81" s="189"/>
      <c r="F81" s="189"/>
      <c r="G81" s="189"/>
      <c r="H81" s="189"/>
    </row>
    <row r="82" spans="4:8">
      <c r="D82" s="189"/>
      <c r="E82" s="189"/>
      <c r="F82" s="189"/>
      <c r="G82" s="189"/>
      <c r="H82" s="189"/>
    </row>
    <row r="83" spans="4:8">
      <c r="D83" s="189"/>
      <c r="E83" s="189"/>
      <c r="F83" s="189"/>
      <c r="G83" s="189"/>
      <c r="H83" s="189"/>
    </row>
    <row r="84" spans="4:8">
      <c r="D84" s="189"/>
      <c r="E84" s="189"/>
      <c r="F84" s="189"/>
      <c r="G84" s="189"/>
      <c r="H84" s="189"/>
    </row>
    <row r="85" spans="4:8">
      <c r="D85" s="189"/>
      <c r="E85" s="189"/>
      <c r="F85" s="189"/>
      <c r="G85" s="189"/>
      <c r="H85" s="189"/>
    </row>
    <row r="86" spans="4:8">
      <c r="D86" s="189"/>
      <c r="E86" s="189"/>
      <c r="F86" s="189"/>
      <c r="G86" s="189"/>
      <c r="H86" s="189"/>
    </row>
    <row r="87" spans="4:8">
      <c r="D87" s="189"/>
      <c r="E87" s="189"/>
      <c r="F87" s="189"/>
      <c r="G87" s="189"/>
      <c r="H87" s="189"/>
    </row>
    <row r="88" spans="4:8">
      <c r="D88" s="189"/>
      <c r="E88" s="189"/>
      <c r="F88" s="189"/>
      <c r="G88" s="189"/>
      <c r="H88" s="189"/>
    </row>
    <row r="89" spans="4:8">
      <c r="D89" s="189"/>
      <c r="E89" s="189"/>
      <c r="F89" s="189"/>
      <c r="G89" s="189"/>
      <c r="H89" s="189"/>
    </row>
    <row r="90" spans="4:8">
      <c r="D90" s="189"/>
      <c r="E90" s="189"/>
      <c r="F90" s="189"/>
      <c r="G90" s="189"/>
      <c r="H90" s="189"/>
    </row>
    <row r="91" spans="4:8">
      <c r="D91" s="189"/>
      <c r="E91" s="189"/>
      <c r="F91" s="189"/>
      <c r="G91" s="189"/>
      <c r="H91" s="189"/>
    </row>
    <row r="92" spans="4:8">
      <c r="D92" s="189"/>
      <c r="E92" s="189"/>
      <c r="F92" s="189"/>
      <c r="G92" s="189"/>
      <c r="H92" s="189"/>
    </row>
    <row r="93" spans="4:8">
      <c r="D93" s="189"/>
      <c r="E93" s="189"/>
      <c r="F93" s="189"/>
      <c r="G93" s="189"/>
      <c r="H93" s="189"/>
    </row>
    <row r="94" spans="4:8">
      <c r="D94" s="189"/>
      <c r="E94" s="189"/>
      <c r="F94" s="189"/>
      <c r="G94" s="189"/>
      <c r="H94" s="189"/>
    </row>
    <row r="95" spans="4:8">
      <c r="D95" s="189"/>
      <c r="E95" s="189"/>
      <c r="F95" s="189"/>
      <c r="G95" s="189"/>
      <c r="H95" s="189"/>
    </row>
    <row r="96" spans="4:8">
      <c r="D96" s="189"/>
      <c r="E96" s="189"/>
      <c r="F96" s="189"/>
      <c r="G96" s="189"/>
      <c r="H96" s="189"/>
    </row>
    <row r="97" spans="4:8">
      <c r="D97" s="189"/>
      <c r="E97" s="189"/>
      <c r="F97" s="189"/>
      <c r="G97" s="189"/>
      <c r="H97" s="189"/>
    </row>
    <row r="98" spans="4:8">
      <c r="D98" s="189"/>
      <c r="E98" s="189"/>
      <c r="F98" s="189"/>
      <c r="G98" s="189"/>
      <c r="H98" s="189"/>
    </row>
  </sheetData>
  <sheetProtection password="CACA" sheet="1" objects="1" scenarios="1"/>
  <phoneticPr fontId="14" type="noConversion"/>
  <conditionalFormatting sqref="C14">
    <cfRule type="cellIs" dxfId="262" priority="14" operator="notEqual">
      <formula>E14</formula>
    </cfRule>
  </conditionalFormatting>
  <conditionalFormatting sqref="C17:C18">
    <cfRule type="cellIs" dxfId="261" priority="6" operator="notEqual">
      <formula>E17</formula>
    </cfRule>
  </conditionalFormatting>
  <conditionalFormatting sqref="C28">
    <cfRule type="cellIs" dxfId="260" priority="11" operator="notEqual">
      <formula>E28</formula>
    </cfRule>
  </conditionalFormatting>
  <conditionalFormatting sqref="C42">
    <cfRule type="cellIs" dxfId="259" priority="10" operator="notEqual">
      <formula>E42</formula>
    </cfRule>
  </conditionalFormatting>
  <conditionalFormatting sqref="C52">
    <cfRule type="cellIs" dxfId="258" priority="9" operator="notEqual">
      <formula>E52</formula>
    </cfRule>
  </conditionalFormatting>
  <conditionalFormatting sqref="C61">
    <cfRule type="cellIs" dxfId="257" priority="8" operator="notEqual">
      <formula>E61</formula>
    </cfRule>
  </conditionalFormatting>
  <conditionalFormatting sqref="C67:C68">
    <cfRule type="cellIs" dxfId="256" priority="2" operator="notEqual">
      <formula>E67</formula>
    </cfRule>
  </conditionalFormatting>
  <conditionalFormatting sqref="C72">
    <cfRule type="cellIs" dxfId="255" priority="7" operator="notEqual">
      <formula>E72</formula>
    </cfRule>
  </conditionalFormatting>
  <dataValidations disablePrompts="1"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M28"/>
  <sheetViews>
    <sheetView view="pageBreakPreview" zoomScaleSheetLayoutView="100" workbookViewId="0">
      <selection sqref="A1:B1"/>
    </sheetView>
  </sheetViews>
  <sheetFormatPr defaultRowHeight="12.75"/>
  <cols>
    <col min="1" max="1" width="5.85546875" style="115" customWidth="1"/>
    <col min="2" max="2" width="89.42578125" style="24" customWidth="1"/>
    <col min="3" max="3" width="27.42578125" style="24" customWidth="1"/>
    <col min="4" max="4" width="15.7109375" style="24" customWidth="1"/>
    <col min="5" max="5" width="18.7109375" style="24" customWidth="1"/>
    <col min="6" max="8" width="9.140625" style="24"/>
    <col min="9" max="9" width="10.28515625" style="24" bestFit="1" customWidth="1"/>
    <col min="10" max="16384" width="9.140625" style="24"/>
  </cols>
  <sheetData>
    <row r="1" spans="1:13" ht="15.75">
      <c r="A1" s="580" t="s">
        <v>344</v>
      </c>
      <c r="B1" s="580"/>
      <c r="C1" s="13" t="s">
        <v>345</v>
      </c>
    </row>
    <row r="2" spans="1:13" ht="8.25" customHeight="1">
      <c r="A2" s="2"/>
      <c r="B2" s="2"/>
      <c r="C2" s="13"/>
    </row>
    <row r="3" spans="1:13" ht="15.75">
      <c r="A3" s="112"/>
      <c r="B3" s="113" t="str">
        <f>+'Asset quality'!B3</f>
        <v>MKBANK</v>
      </c>
      <c r="C3" s="528">
        <f>+'Asset quality'!Q3</f>
        <v>46021</v>
      </c>
    </row>
    <row r="4" spans="1:13" s="12" customFormat="1" ht="33.75" customHeight="1">
      <c r="A4" s="131" t="s">
        <v>23</v>
      </c>
      <c r="B4" s="131" t="s">
        <v>216</v>
      </c>
      <c r="C4" s="131" t="str">
        <f>+'Asset quality'!T3</f>
        <v>минг. сўмда</v>
      </c>
    </row>
    <row r="5" spans="1:13" ht="18.75" customHeight="1">
      <c r="A5" s="199" t="s">
        <v>84</v>
      </c>
      <c r="B5" s="200" t="s">
        <v>346</v>
      </c>
      <c r="C5" s="140">
        <v>3550613724</v>
      </c>
    </row>
    <row r="6" spans="1:13" ht="18.75" customHeight="1">
      <c r="A6" s="201" t="s">
        <v>85</v>
      </c>
      <c r="B6" s="202" t="s">
        <v>347</v>
      </c>
      <c r="C6" s="140">
        <v>0</v>
      </c>
    </row>
    <row r="7" spans="1:13" ht="18.75" customHeight="1">
      <c r="A7" s="201" t="s">
        <v>96</v>
      </c>
      <c r="B7" s="203" t="s">
        <v>348</v>
      </c>
      <c r="C7" s="179">
        <f>SUM(C5:C6)</f>
        <v>3550613724</v>
      </c>
      <c r="D7" s="378"/>
      <c r="E7" s="378"/>
    </row>
    <row r="8" spans="1:13" ht="18.75" customHeight="1">
      <c r="A8" s="201" t="s">
        <v>86</v>
      </c>
      <c r="B8" s="203" t="s">
        <v>349</v>
      </c>
      <c r="C8" s="179">
        <f>+'Income '!C77</f>
        <v>160802633</v>
      </c>
      <c r="D8" s="407">
        <f>+[8]Balance!$C$76</f>
        <v>160802633</v>
      </c>
      <c r="E8" s="425">
        <f>+C8-D8</f>
        <v>0</v>
      </c>
    </row>
    <row r="9" spans="1:13" ht="18.75" customHeight="1">
      <c r="A9" s="201" t="s">
        <v>87</v>
      </c>
      <c r="B9" s="202" t="s">
        <v>350</v>
      </c>
      <c r="C9" s="204">
        <v>2027852065</v>
      </c>
      <c r="D9" s="408"/>
      <c r="E9" s="426"/>
    </row>
    <row r="10" spans="1:13" ht="18.75" customHeight="1">
      <c r="A10" s="201" t="s">
        <v>97</v>
      </c>
      <c r="B10" s="203" t="s">
        <v>351</v>
      </c>
      <c r="C10" s="204">
        <v>-546609</v>
      </c>
      <c r="D10" s="408"/>
      <c r="E10" s="426"/>
      <c r="I10" s="120"/>
    </row>
    <row r="11" spans="1:13" ht="18.75" customHeight="1">
      <c r="A11" s="201" t="s">
        <v>88</v>
      </c>
      <c r="B11" s="203" t="s">
        <v>352</v>
      </c>
      <c r="C11" s="205">
        <v>0</v>
      </c>
      <c r="D11" s="408"/>
      <c r="E11" s="426"/>
    </row>
    <row r="12" spans="1:13" ht="18.75" customHeight="1">
      <c r="A12" s="201" t="s">
        <v>95</v>
      </c>
      <c r="B12" s="203" t="s">
        <v>353</v>
      </c>
      <c r="C12" s="204">
        <v>0</v>
      </c>
      <c r="D12" s="408"/>
      <c r="E12" s="426"/>
    </row>
    <row r="13" spans="1:13" ht="18.75" customHeight="1">
      <c r="A13" s="201" t="s">
        <v>89</v>
      </c>
      <c r="B13" s="203" t="s">
        <v>354</v>
      </c>
      <c r="C13" s="204">
        <v>489133</v>
      </c>
      <c r="D13" s="408"/>
      <c r="E13" s="426"/>
    </row>
    <row r="14" spans="1:13" ht="18.75" customHeight="1">
      <c r="A14" s="201" t="s">
        <v>90</v>
      </c>
      <c r="B14" s="203" t="s">
        <v>355</v>
      </c>
      <c r="C14" s="179">
        <f>C7+SUM(C8:C10)-SUM(C11:C12)+C13</f>
        <v>5739210946</v>
      </c>
      <c r="D14" s="407">
        <f>+[8]Balance!$C$77</f>
        <v>5739210946</v>
      </c>
      <c r="E14" s="425">
        <f>+C14-D14</f>
        <v>0</v>
      </c>
      <c r="I14" s="206"/>
    </row>
    <row r="15" spans="1:13">
      <c r="A15" s="100"/>
      <c r="D15" s="378"/>
      <c r="E15" s="409"/>
    </row>
    <row r="16" spans="1:13" ht="15" customHeight="1">
      <c r="A16" s="24"/>
      <c r="B16" s="98" t="s">
        <v>690</v>
      </c>
      <c r="D16" s="378"/>
      <c r="E16" s="410"/>
      <c r="F16" s="81"/>
      <c r="G16" s="81"/>
      <c r="H16" s="81"/>
      <c r="I16" s="81"/>
      <c r="J16" s="81"/>
      <c r="K16" s="81"/>
      <c r="L16" s="81"/>
      <c r="M16" s="81"/>
    </row>
    <row r="17" spans="1:13" ht="11.25" customHeight="1">
      <c r="A17" s="24"/>
      <c r="B17" s="98"/>
      <c r="D17" s="378"/>
      <c r="E17" s="410"/>
      <c r="F17" s="81"/>
      <c r="G17" s="81"/>
      <c r="H17" s="81"/>
      <c r="I17" s="81"/>
      <c r="J17" s="81"/>
      <c r="K17" s="81"/>
      <c r="L17" s="81"/>
      <c r="M17" s="81"/>
    </row>
    <row r="18" spans="1:13" ht="15" customHeight="1">
      <c r="A18" s="24"/>
      <c r="B18" s="98" t="s">
        <v>691</v>
      </c>
      <c r="D18" s="378"/>
      <c r="E18" s="410"/>
      <c r="F18" s="81"/>
      <c r="G18" s="81"/>
      <c r="H18" s="81"/>
      <c r="I18" s="81"/>
      <c r="J18" s="81"/>
      <c r="K18" s="81"/>
      <c r="L18" s="81"/>
      <c r="M18" s="81"/>
    </row>
    <row r="20" spans="1:13" ht="12.75" customHeight="1">
      <c r="A20" s="114"/>
    </row>
    <row r="21" spans="1:13">
      <c r="A21" s="114"/>
    </row>
    <row r="27" spans="1:13" ht="12.75" customHeight="1"/>
    <row r="28" spans="1:13" ht="12.75" customHeight="1"/>
  </sheetData>
  <sheetProtection password="CACA" sheet="1" objects="1" scenarios="1"/>
  <mergeCells count="1">
    <mergeCell ref="A1:B1"/>
  </mergeCells>
  <phoneticPr fontId="14" type="noConversion"/>
  <conditionalFormatting sqref="C14">
    <cfRule type="cellIs" dxfId="254" priority="7" operator="notEqual">
      <formula>$D$14</formula>
    </cfRule>
  </conditionalFormatting>
  <dataValidations disablePrompts="1"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  <ignoredErrors>
    <ignoredError sqref="C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B95"/>
  <sheetViews>
    <sheetView view="pageBreakPreview" zoomScale="75" zoomScaleNormal="70" zoomScaleSheetLayoutView="75" workbookViewId="0">
      <pane xSplit="2" ySplit="8" topLeftCell="C9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C9" sqref="C9"/>
    </sheetView>
  </sheetViews>
  <sheetFormatPr defaultRowHeight="12.75"/>
  <cols>
    <col min="1" max="1" width="7" style="24" customWidth="1"/>
    <col min="2" max="2" width="57.5703125" style="24" customWidth="1"/>
    <col min="3" max="3" width="18.42578125" style="24" customWidth="1"/>
    <col min="4" max="9" width="17.140625" style="24" customWidth="1"/>
    <col min="10" max="10" width="16" style="24" customWidth="1"/>
    <col min="11" max="11" width="17" style="24" customWidth="1"/>
    <col min="12" max="12" width="25.28515625" style="24" bestFit="1" customWidth="1"/>
    <col min="13" max="13" width="16.85546875" style="24" customWidth="1"/>
    <col min="14" max="25" width="17.140625" style="24" customWidth="1"/>
    <col min="26" max="16384" width="9.140625" style="24"/>
  </cols>
  <sheetData>
    <row r="1" spans="1:28" s="103" customFormat="1" ht="31.5" customHeight="1">
      <c r="A1" s="101" t="s">
        <v>616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2" t="s">
        <v>615</v>
      </c>
      <c r="X1" s="3"/>
      <c r="Y1" s="102"/>
    </row>
    <row r="2" spans="1:28" ht="9" customHeight="1">
      <c r="A2" s="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3"/>
      <c r="X2" s="104"/>
      <c r="Y2" s="104"/>
    </row>
    <row r="3" spans="1:28" ht="15.75">
      <c r="A3" s="118"/>
      <c r="B3" s="105" t="str">
        <f>+'Asset quality'!B3</f>
        <v>MKBANK</v>
      </c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581">
        <f>+'Asset quality'!Q3</f>
        <v>46021</v>
      </c>
      <c r="U3" s="581"/>
      <c r="V3" s="106"/>
      <c r="W3" s="106"/>
      <c r="X3" s="207" t="str">
        <f>+'Asset quality'!T3</f>
        <v>минг. сўмда</v>
      </c>
      <c r="Y3" s="120"/>
    </row>
    <row r="4" spans="1:28" s="107" customFormat="1" ht="32.25" customHeight="1">
      <c r="A4" s="587" t="s">
        <v>23</v>
      </c>
      <c r="B4" s="587" t="s">
        <v>617</v>
      </c>
      <c r="C4" s="590" t="s">
        <v>618</v>
      </c>
      <c r="D4" s="593" t="s">
        <v>266</v>
      </c>
      <c r="E4" s="594"/>
      <c r="F4" s="586" t="s">
        <v>622</v>
      </c>
      <c r="G4" s="586"/>
      <c r="H4" s="586"/>
      <c r="I4" s="586"/>
      <c r="J4" s="583" t="s">
        <v>266</v>
      </c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83"/>
      <c r="W4" s="583"/>
      <c r="X4" s="583"/>
      <c r="Y4" s="583"/>
    </row>
    <row r="5" spans="1:28" s="107" customFormat="1" ht="18" customHeight="1">
      <c r="A5" s="588"/>
      <c r="B5" s="588"/>
      <c r="C5" s="591"/>
      <c r="D5" s="590" t="s">
        <v>217</v>
      </c>
      <c r="E5" s="590" t="s">
        <v>218</v>
      </c>
      <c r="F5" s="586" t="s">
        <v>623</v>
      </c>
      <c r="G5" s="586" t="s">
        <v>266</v>
      </c>
      <c r="H5" s="586"/>
      <c r="I5" s="586"/>
      <c r="J5" s="582" t="s">
        <v>626</v>
      </c>
      <c r="K5" s="582" t="s">
        <v>627</v>
      </c>
      <c r="L5" s="294" t="s">
        <v>266</v>
      </c>
      <c r="M5" s="584" t="s">
        <v>629</v>
      </c>
      <c r="N5" s="584" t="s">
        <v>630</v>
      </c>
      <c r="O5" s="584" t="s">
        <v>631</v>
      </c>
      <c r="P5" s="583" t="s">
        <v>266</v>
      </c>
      <c r="Q5" s="583"/>
      <c r="R5" s="582" t="s">
        <v>634</v>
      </c>
      <c r="S5" s="582" t="s">
        <v>635</v>
      </c>
      <c r="T5" s="582" t="s">
        <v>636</v>
      </c>
      <c r="U5" s="582" t="s">
        <v>637</v>
      </c>
      <c r="V5" s="582" t="s">
        <v>638</v>
      </c>
      <c r="W5" s="582" t="s">
        <v>639</v>
      </c>
      <c r="X5" s="582" t="s">
        <v>640</v>
      </c>
      <c r="Y5" s="582" t="s">
        <v>641</v>
      </c>
    </row>
    <row r="6" spans="1:28" s="107" customFormat="1" ht="102" customHeight="1">
      <c r="A6" s="589"/>
      <c r="B6" s="589"/>
      <c r="C6" s="592"/>
      <c r="D6" s="592"/>
      <c r="E6" s="592"/>
      <c r="F6" s="586"/>
      <c r="G6" s="293" t="s">
        <v>561</v>
      </c>
      <c r="H6" s="293" t="s">
        <v>563</v>
      </c>
      <c r="I6" s="293" t="s">
        <v>565</v>
      </c>
      <c r="J6" s="582"/>
      <c r="K6" s="582"/>
      <c r="L6" s="293" t="s">
        <v>628</v>
      </c>
      <c r="M6" s="585"/>
      <c r="N6" s="585"/>
      <c r="O6" s="585"/>
      <c r="P6" s="293" t="s">
        <v>632</v>
      </c>
      <c r="Q6" s="293" t="s">
        <v>633</v>
      </c>
      <c r="R6" s="582"/>
      <c r="S6" s="582"/>
      <c r="T6" s="582"/>
      <c r="U6" s="582"/>
      <c r="V6" s="582"/>
      <c r="W6" s="582"/>
      <c r="X6" s="582"/>
      <c r="Y6" s="582"/>
      <c r="AA6" s="108"/>
    </row>
    <row r="7" spans="1:28" s="110" customFormat="1" ht="15">
      <c r="A7" s="109" t="s">
        <v>27</v>
      </c>
      <c r="B7" s="208" t="s">
        <v>28</v>
      </c>
      <c r="C7" s="208" t="s">
        <v>12</v>
      </c>
      <c r="D7" s="208" t="s">
        <v>116</v>
      </c>
      <c r="E7" s="208" t="s">
        <v>117</v>
      </c>
      <c r="F7" s="208" t="s">
        <v>13</v>
      </c>
      <c r="G7" s="208" t="s">
        <v>624</v>
      </c>
      <c r="H7" s="209" t="s">
        <v>625</v>
      </c>
      <c r="I7" s="209" t="s">
        <v>642</v>
      </c>
      <c r="J7" s="209" t="s">
        <v>14</v>
      </c>
      <c r="K7" s="209" t="s">
        <v>24</v>
      </c>
      <c r="L7" s="208" t="s">
        <v>643</v>
      </c>
      <c r="M7" s="209" t="s">
        <v>25</v>
      </c>
      <c r="N7" s="209" t="s">
        <v>26</v>
      </c>
      <c r="O7" s="209" t="s">
        <v>29</v>
      </c>
      <c r="P7" s="208" t="s">
        <v>103</v>
      </c>
      <c r="Q7" s="208" t="s">
        <v>644</v>
      </c>
      <c r="R7" s="209" t="s">
        <v>30</v>
      </c>
      <c r="S7" s="209" t="s">
        <v>31</v>
      </c>
      <c r="T7" s="209" t="s">
        <v>32</v>
      </c>
      <c r="U7" s="209" t="s">
        <v>33</v>
      </c>
      <c r="V7" s="209" t="s">
        <v>34</v>
      </c>
      <c r="W7" s="209" t="s">
        <v>35</v>
      </c>
      <c r="X7" s="209" t="s">
        <v>36</v>
      </c>
      <c r="Y7" s="210" t="s">
        <v>37</v>
      </c>
    </row>
    <row r="8" spans="1:28" s="107" customFormat="1" ht="15.75" customHeight="1">
      <c r="A8" s="297"/>
      <c r="B8" s="298" t="s">
        <v>397</v>
      </c>
      <c r="C8" s="299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</row>
    <row r="9" spans="1:28" s="107" customFormat="1" ht="15.75" customHeight="1">
      <c r="A9" s="300">
        <v>10</v>
      </c>
      <c r="B9" s="301" t="s">
        <v>574</v>
      </c>
      <c r="C9" s="492">
        <f t="shared" ref="C9:C10" si="0">SUM(J9:Y9)-L9-P9-Q9</f>
        <v>224140522</v>
      </c>
      <c r="D9" s="465">
        <v>3964904</v>
      </c>
      <c r="E9" s="465">
        <v>220175618</v>
      </c>
      <c r="F9" s="492">
        <f>+G9+H9+I9</f>
        <v>8818842</v>
      </c>
      <c r="G9" s="465">
        <v>8658212</v>
      </c>
      <c r="H9" s="465">
        <v>160630</v>
      </c>
      <c r="I9" s="465">
        <v>0</v>
      </c>
      <c r="J9" s="465">
        <v>0</v>
      </c>
      <c r="K9" s="465">
        <v>0</v>
      </c>
      <c r="L9" s="465">
        <v>0</v>
      </c>
      <c r="M9" s="465">
        <v>1250688</v>
      </c>
      <c r="N9" s="465">
        <v>0</v>
      </c>
      <c r="O9" s="492">
        <f t="shared" ref="O9:O13" si="1">+P9+Q9</f>
        <v>220336247</v>
      </c>
      <c r="P9" s="465">
        <v>160630</v>
      </c>
      <c r="Q9" s="465">
        <v>220175617</v>
      </c>
      <c r="R9" s="465">
        <v>0</v>
      </c>
      <c r="S9" s="465">
        <v>0</v>
      </c>
      <c r="T9" s="465">
        <v>0</v>
      </c>
      <c r="U9" s="465">
        <v>0</v>
      </c>
      <c r="V9" s="465">
        <v>0</v>
      </c>
      <c r="W9" s="465">
        <v>0</v>
      </c>
      <c r="X9" s="465">
        <v>0</v>
      </c>
      <c r="Y9" s="465">
        <v>2553587</v>
      </c>
      <c r="Z9" s="493"/>
      <c r="AB9" s="111"/>
    </row>
    <row r="10" spans="1:28" s="107" customFormat="1" ht="15.75" customHeight="1">
      <c r="A10" s="300">
        <f t="shared" ref="A10:A66" si="2">A9+10</f>
        <v>20</v>
      </c>
      <c r="B10" s="301" t="s">
        <v>331</v>
      </c>
      <c r="C10" s="492">
        <f t="shared" si="0"/>
        <v>94705062</v>
      </c>
      <c r="D10" s="465">
        <v>0</v>
      </c>
      <c r="E10" s="465">
        <v>94705062</v>
      </c>
      <c r="F10" s="492">
        <f t="shared" ref="F10:F14" si="3">+G10+H10+I10</f>
        <v>602851</v>
      </c>
      <c r="G10" s="465">
        <v>0</v>
      </c>
      <c r="H10" s="465">
        <v>0</v>
      </c>
      <c r="I10" s="465">
        <v>602851</v>
      </c>
      <c r="J10" s="465">
        <v>0</v>
      </c>
      <c r="K10" s="465">
        <v>0</v>
      </c>
      <c r="L10" s="465">
        <v>0</v>
      </c>
      <c r="M10" s="465">
        <v>0</v>
      </c>
      <c r="N10" s="465">
        <v>0</v>
      </c>
      <c r="O10" s="492">
        <f t="shared" si="1"/>
        <v>94705062</v>
      </c>
      <c r="P10" s="465">
        <v>26736313</v>
      </c>
      <c r="Q10" s="465">
        <v>67968749</v>
      </c>
      <c r="R10" s="465">
        <v>0</v>
      </c>
      <c r="S10" s="465">
        <v>0</v>
      </c>
      <c r="T10" s="465">
        <v>0</v>
      </c>
      <c r="U10" s="465">
        <v>0</v>
      </c>
      <c r="V10" s="465">
        <v>0</v>
      </c>
      <c r="W10" s="465">
        <v>0</v>
      </c>
      <c r="X10" s="465">
        <v>0</v>
      </c>
      <c r="Y10" s="465">
        <v>0</v>
      </c>
      <c r="Z10" s="493"/>
      <c r="AB10" s="111"/>
    </row>
    <row r="11" spans="1:28" s="107" customFormat="1" ht="15.75" customHeight="1">
      <c r="A11" s="300">
        <f t="shared" si="2"/>
        <v>30</v>
      </c>
      <c r="B11" s="301" t="s">
        <v>332</v>
      </c>
      <c r="C11" s="492">
        <f>SUM(J11:Y11)-L11-P11-Q11</f>
        <v>3611022653</v>
      </c>
      <c r="D11" s="465">
        <v>2071216518</v>
      </c>
      <c r="E11" s="465">
        <v>1539806135</v>
      </c>
      <c r="F11" s="492">
        <f t="shared" si="3"/>
        <v>144589453</v>
      </c>
      <c r="G11" s="465">
        <v>17854792</v>
      </c>
      <c r="H11" s="465">
        <v>92498264</v>
      </c>
      <c r="I11" s="465">
        <v>34236397</v>
      </c>
      <c r="J11" s="465">
        <v>0</v>
      </c>
      <c r="K11" s="465">
        <v>0</v>
      </c>
      <c r="L11" s="465">
        <v>0</v>
      </c>
      <c r="M11" s="465">
        <v>63038769</v>
      </c>
      <c r="N11" s="465">
        <v>0</v>
      </c>
      <c r="O11" s="492">
        <f t="shared" si="1"/>
        <v>1881427097</v>
      </c>
      <c r="P11" s="465">
        <v>275934216</v>
      </c>
      <c r="Q11" s="465">
        <v>1605492881</v>
      </c>
      <c r="R11" s="465">
        <v>0</v>
      </c>
      <c r="S11" s="465">
        <v>0</v>
      </c>
      <c r="T11" s="465">
        <v>0</v>
      </c>
      <c r="U11" s="465">
        <v>0</v>
      </c>
      <c r="V11" s="465">
        <v>140660096</v>
      </c>
      <c r="W11" s="465">
        <v>1088319177</v>
      </c>
      <c r="X11" s="465">
        <v>257946137</v>
      </c>
      <c r="Y11" s="465">
        <v>179631377</v>
      </c>
      <c r="Z11" s="493"/>
      <c r="AB11" s="111"/>
    </row>
    <row r="12" spans="1:28" s="107" customFormat="1" ht="15.75" customHeight="1">
      <c r="A12" s="300">
        <f t="shared" si="2"/>
        <v>40</v>
      </c>
      <c r="B12" s="301" t="s">
        <v>328</v>
      </c>
      <c r="C12" s="492">
        <f t="shared" ref="C12:C13" si="4">SUM(J12:Y12)-L12-P12-Q12</f>
        <v>0</v>
      </c>
      <c r="D12" s="465">
        <v>0</v>
      </c>
      <c r="E12" s="465">
        <v>0</v>
      </c>
      <c r="F12" s="492">
        <f t="shared" si="3"/>
        <v>0</v>
      </c>
      <c r="G12" s="465">
        <v>0</v>
      </c>
      <c r="H12" s="465">
        <v>0</v>
      </c>
      <c r="I12" s="465">
        <v>0</v>
      </c>
      <c r="J12" s="465">
        <v>0</v>
      </c>
      <c r="K12" s="465">
        <v>0</v>
      </c>
      <c r="L12" s="465">
        <v>0</v>
      </c>
      <c r="M12" s="465">
        <v>0</v>
      </c>
      <c r="N12" s="465">
        <v>0</v>
      </c>
      <c r="O12" s="492">
        <f t="shared" si="1"/>
        <v>0</v>
      </c>
      <c r="P12" s="465">
        <v>0</v>
      </c>
      <c r="Q12" s="465">
        <v>0</v>
      </c>
      <c r="R12" s="465">
        <v>0</v>
      </c>
      <c r="S12" s="465">
        <v>0</v>
      </c>
      <c r="T12" s="465">
        <v>0</v>
      </c>
      <c r="U12" s="465">
        <v>0</v>
      </c>
      <c r="V12" s="465">
        <v>0</v>
      </c>
      <c r="W12" s="465">
        <v>0</v>
      </c>
      <c r="X12" s="465">
        <v>0</v>
      </c>
      <c r="Y12" s="465">
        <v>0</v>
      </c>
      <c r="Z12" s="493"/>
      <c r="AB12" s="111"/>
    </row>
    <row r="13" spans="1:28" s="107" customFormat="1" ht="15.75" customHeight="1">
      <c r="A13" s="300">
        <f>A12+10</f>
        <v>50</v>
      </c>
      <c r="B13" s="301" t="s">
        <v>579</v>
      </c>
      <c r="C13" s="492">
        <f t="shared" si="4"/>
        <v>0</v>
      </c>
      <c r="D13" s="465">
        <v>0</v>
      </c>
      <c r="E13" s="465">
        <v>0</v>
      </c>
      <c r="F13" s="492">
        <f t="shared" si="3"/>
        <v>0</v>
      </c>
      <c r="G13" s="465">
        <v>0</v>
      </c>
      <c r="H13" s="465">
        <v>0</v>
      </c>
      <c r="I13" s="465">
        <v>0</v>
      </c>
      <c r="J13" s="465">
        <v>0</v>
      </c>
      <c r="K13" s="465">
        <v>0</v>
      </c>
      <c r="L13" s="465">
        <v>0</v>
      </c>
      <c r="M13" s="465">
        <v>0</v>
      </c>
      <c r="N13" s="465">
        <v>0</v>
      </c>
      <c r="O13" s="492">
        <f t="shared" si="1"/>
        <v>0</v>
      </c>
      <c r="P13" s="465">
        <v>0</v>
      </c>
      <c r="Q13" s="465">
        <v>0</v>
      </c>
      <c r="R13" s="465">
        <v>0</v>
      </c>
      <c r="S13" s="465">
        <v>0</v>
      </c>
      <c r="T13" s="465">
        <v>0</v>
      </c>
      <c r="U13" s="465">
        <v>0</v>
      </c>
      <c r="V13" s="465">
        <v>0</v>
      </c>
      <c r="W13" s="465">
        <v>0</v>
      </c>
      <c r="X13" s="465">
        <v>0</v>
      </c>
      <c r="Y13" s="465">
        <v>0</v>
      </c>
      <c r="Z13" s="493"/>
      <c r="AB13" s="111"/>
    </row>
    <row r="14" spans="1:28" s="337" customFormat="1" ht="15.75" customHeight="1">
      <c r="A14" s="336">
        <f>A13+10</f>
        <v>60</v>
      </c>
      <c r="B14" s="336" t="s">
        <v>166</v>
      </c>
      <c r="C14" s="494">
        <f t="shared" ref="C14" si="5">SUM(J14:Y14)-L14-P14-Q14</f>
        <v>3929868237</v>
      </c>
      <c r="D14" s="494">
        <f>SUM(D9:D13)</f>
        <v>2075181422</v>
      </c>
      <c r="E14" s="494">
        <f>SUM(E9:E13)</f>
        <v>1854686815</v>
      </c>
      <c r="F14" s="494">
        <f t="shared" si="3"/>
        <v>154011146</v>
      </c>
      <c r="G14" s="494">
        <f t="shared" ref="G14" si="6">SUM(G9:G13)</f>
        <v>26513004</v>
      </c>
      <c r="H14" s="494">
        <f t="shared" ref="H14:Y14" si="7">SUM(H9:H13)</f>
        <v>92658894</v>
      </c>
      <c r="I14" s="494">
        <f t="shared" si="7"/>
        <v>34839248</v>
      </c>
      <c r="J14" s="494">
        <f t="shared" si="7"/>
        <v>0</v>
      </c>
      <c r="K14" s="494">
        <f t="shared" si="7"/>
        <v>0</v>
      </c>
      <c r="L14" s="494">
        <f t="shared" si="7"/>
        <v>0</v>
      </c>
      <c r="M14" s="494">
        <f t="shared" si="7"/>
        <v>64289457</v>
      </c>
      <c r="N14" s="494">
        <f t="shared" si="7"/>
        <v>0</v>
      </c>
      <c r="O14" s="494">
        <f t="shared" si="7"/>
        <v>2196468406</v>
      </c>
      <c r="P14" s="494">
        <f t="shared" si="7"/>
        <v>302831159</v>
      </c>
      <c r="Q14" s="494">
        <f t="shared" si="7"/>
        <v>1893637247</v>
      </c>
      <c r="R14" s="494">
        <f t="shared" si="7"/>
        <v>0</v>
      </c>
      <c r="S14" s="494">
        <f t="shared" si="7"/>
        <v>0</v>
      </c>
      <c r="T14" s="494">
        <f t="shared" si="7"/>
        <v>0</v>
      </c>
      <c r="U14" s="494">
        <f t="shared" si="7"/>
        <v>0</v>
      </c>
      <c r="V14" s="494">
        <f t="shared" si="7"/>
        <v>140660096</v>
      </c>
      <c r="W14" s="494">
        <f t="shared" si="7"/>
        <v>1088319177</v>
      </c>
      <c r="X14" s="494">
        <f t="shared" si="7"/>
        <v>257946137</v>
      </c>
      <c r="Y14" s="494">
        <f t="shared" si="7"/>
        <v>182184964</v>
      </c>
      <c r="Z14" s="495"/>
      <c r="AB14" s="338"/>
    </row>
    <row r="15" spans="1:28" s="107" customFormat="1" ht="15.75" customHeight="1">
      <c r="A15" s="294"/>
      <c r="B15" s="298" t="s">
        <v>398</v>
      </c>
      <c r="C15" s="496"/>
      <c r="D15" s="496"/>
      <c r="E15" s="496"/>
      <c r="F15" s="496"/>
      <c r="G15" s="497"/>
      <c r="H15" s="496"/>
      <c r="I15" s="496"/>
      <c r="J15" s="496"/>
      <c r="K15" s="496"/>
      <c r="L15" s="496"/>
      <c r="M15" s="496"/>
      <c r="N15" s="496"/>
      <c r="O15" s="496"/>
      <c r="P15" s="496"/>
      <c r="Q15" s="496"/>
      <c r="R15" s="496"/>
      <c r="S15" s="496"/>
      <c r="T15" s="496"/>
      <c r="U15" s="496"/>
      <c r="V15" s="496"/>
      <c r="W15" s="496"/>
      <c r="X15" s="496"/>
      <c r="Y15" s="496"/>
      <c r="Z15" s="493"/>
      <c r="AB15" s="111"/>
    </row>
    <row r="16" spans="1:28" s="107" customFormat="1" ht="15.75" customHeight="1">
      <c r="A16" s="300">
        <v>70</v>
      </c>
      <c r="B16" s="301" t="s">
        <v>574</v>
      </c>
      <c r="C16" s="492">
        <f t="shared" ref="C16:C22" si="8">SUM(J16:Y16)-L16-P16-Q16</f>
        <v>6784810</v>
      </c>
      <c r="D16" s="465">
        <v>6784810</v>
      </c>
      <c r="E16" s="465">
        <v>0</v>
      </c>
      <c r="F16" s="492">
        <f t="shared" ref="F16:F22" si="9">+G16+H16+I16</f>
        <v>0</v>
      </c>
      <c r="G16" s="465">
        <v>0</v>
      </c>
      <c r="H16" s="465">
        <v>0</v>
      </c>
      <c r="I16" s="465">
        <v>0</v>
      </c>
      <c r="J16" s="465">
        <v>0</v>
      </c>
      <c r="K16" s="465">
        <v>0</v>
      </c>
      <c r="L16" s="465">
        <v>0</v>
      </c>
      <c r="M16" s="465">
        <v>0</v>
      </c>
      <c r="N16" s="465">
        <v>0</v>
      </c>
      <c r="O16" s="492">
        <f t="shared" ref="O16:O20" si="10">+P16+Q16</f>
        <v>6784810</v>
      </c>
      <c r="P16" s="465">
        <v>0</v>
      </c>
      <c r="Q16" s="465">
        <v>6784810</v>
      </c>
      <c r="R16" s="465">
        <v>0</v>
      </c>
      <c r="S16" s="465">
        <v>0</v>
      </c>
      <c r="T16" s="465">
        <v>0</v>
      </c>
      <c r="U16" s="465">
        <v>0</v>
      </c>
      <c r="V16" s="465">
        <v>0</v>
      </c>
      <c r="W16" s="465">
        <v>0</v>
      </c>
      <c r="X16" s="465">
        <v>0</v>
      </c>
      <c r="Y16" s="465">
        <v>0</v>
      </c>
      <c r="Z16" s="493"/>
      <c r="AB16" s="111"/>
    </row>
    <row r="17" spans="1:28" s="107" customFormat="1" ht="15.75" customHeight="1">
      <c r="A17" s="300">
        <f t="shared" si="2"/>
        <v>80</v>
      </c>
      <c r="B17" s="301" t="s">
        <v>331</v>
      </c>
      <c r="C17" s="492">
        <f t="shared" si="8"/>
        <v>101145756</v>
      </c>
      <c r="D17" s="465">
        <v>61413116</v>
      </c>
      <c r="E17" s="465">
        <v>39732640</v>
      </c>
      <c r="F17" s="492">
        <f t="shared" si="9"/>
        <v>0</v>
      </c>
      <c r="G17" s="465">
        <v>0</v>
      </c>
      <c r="H17" s="465">
        <v>0</v>
      </c>
      <c r="I17" s="465">
        <v>0</v>
      </c>
      <c r="J17" s="465">
        <v>0</v>
      </c>
      <c r="K17" s="465">
        <v>0</v>
      </c>
      <c r="L17" s="465">
        <v>0</v>
      </c>
      <c r="M17" s="465">
        <v>0</v>
      </c>
      <c r="N17" s="465">
        <v>0</v>
      </c>
      <c r="O17" s="492">
        <f t="shared" si="10"/>
        <v>101145756</v>
      </c>
      <c r="P17" s="465">
        <v>10552370</v>
      </c>
      <c r="Q17" s="465">
        <v>90593386</v>
      </c>
      <c r="R17" s="465">
        <v>0</v>
      </c>
      <c r="S17" s="465">
        <v>0</v>
      </c>
      <c r="T17" s="465">
        <v>0</v>
      </c>
      <c r="U17" s="465">
        <v>0</v>
      </c>
      <c r="V17" s="465">
        <v>0</v>
      </c>
      <c r="W17" s="465">
        <v>0</v>
      </c>
      <c r="X17" s="465">
        <v>0</v>
      </c>
      <c r="Y17" s="465">
        <v>0</v>
      </c>
      <c r="Z17" s="493"/>
      <c r="AB17" s="111"/>
    </row>
    <row r="18" spans="1:28" s="107" customFormat="1" ht="15.75" customHeight="1">
      <c r="A18" s="300">
        <f t="shared" si="2"/>
        <v>90</v>
      </c>
      <c r="B18" s="301" t="s">
        <v>332</v>
      </c>
      <c r="C18" s="492">
        <f t="shared" si="8"/>
        <v>3686671166</v>
      </c>
      <c r="D18" s="465">
        <v>2744499321</v>
      </c>
      <c r="E18" s="465">
        <v>942171845</v>
      </c>
      <c r="F18" s="492">
        <f t="shared" si="9"/>
        <v>134825507</v>
      </c>
      <c r="G18" s="465">
        <v>13026886</v>
      </c>
      <c r="H18" s="465">
        <v>69911550</v>
      </c>
      <c r="I18" s="465">
        <v>51887071</v>
      </c>
      <c r="J18" s="465">
        <v>0</v>
      </c>
      <c r="K18" s="465">
        <v>0</v>
      </c>
      <c r="L18" s="465">
        <v>0</v>
      </c>
      <c r="M18" s="465">
        <v>45085291</v>
      </c>
      <c r="N18" s="465">
        <v>0</v>
      </c>
      <c r="O18" s="492">
        <f t="shared" si="10"/>
        <v>3073924663</v>
      </c>
      <c r="P18" s="465">
        <v>556452619</v>
      </c>
      <c r="Q18" s="465">
        <v>2517472044</v>
      </c>
      <c r="R18" s="465">
        <v>0</v>
      </c>
      <c r="S18" s="465">
        <v>0</v>
      </c>
      <c r="T18" s="465">
        <v>0</v>
      </c>
      <c r="U18" s="465">
        <v>0</v>
      </c>
      <c r="V18" s="465">
        <v>281280181</v>
      </c>
      <c r="W18" s="465">
        <v>123907345</v>
      </c>
      <c r="X18" s="465">
        <v>98122413</v>
      </c>
      <c r="Y18" s="465">
        <v>64351273</v>
      </c>
      <c r="Z18" s="493"/>
      <c r="AB18" s="111"/>
    </row>
    <row r="19" spans="1:28" s="107" customFormat="1" ht="15.75" customHeight="1">
      <c r="A19" s="300">
        <f>A18+10</f>
        <v>100</v>
      </c>
      <c r="B19" s="301" t="s">
        <v>575</v>
      </c>
      <c r="C19" s="492">
        <f t="shared" si="8"/>
        <v>339848885</v>
      </c>
      <c r="D19" s="465">
        <v>319019450</v>
      </c>
      <c r="E19" s="465">
        <v>20829435</v>
      </c>
      <c r="F19" s="492">
        <f t="shared" si="9"/>
        <v>24759951</v>
      </c>
      <c r="G19" s="465">
        <v>4150709</v>
      </c>
      <c r="H19" s="465">
        <v>13619621</v>
      </c>
      <c r="I19" s="465">
        <v>6989621</v>
      </c>
      <c r="J19" s="465">
        <v>0</v>
      </c>
      <c r="K19" s="465">
        <v>0</v>
      </c>
      <c r="L19" s="465">
        <v>0</v>
      </c>
      <c r="M19" s="465">
        <v>6464007</v>
      </c>
      <c r="N19" s="465">
        <v>0</v>
      </c>
      <c r="O19" s="492">
        <f t="shared" si="10"/>
        <v>260314790</v>
      </c>
      <c r="P19" s="465">
        <v>57301660</v>
      </c>
      <c r="Q19" s="465">
        <v>203013130</v>
      </c>
      <c r="R19" s="465">
        <v>0</v>
      </c>
      <c r="S19" s="465">
        <v>0</v>
      </c>
      <c r="T19" s="465">
        <v>0</v>
      </c>
      <c r="U19" s="465">
        <v>0</v>
      </c>
      <c r="V19" s="465">
        <v>5224395</v>
      </c>
      <c r="W19" s="465">
        <v>48231354</v>
      </c>
      <c r="X19" s="465">
        <v>9414658</v>
      </c>
      <c r="Y19" s="465">
        <v>10199681</v>
      </c>
      <c r="Z19" s="493"/>
      <c r="AB19" s="111"/>
    </row>
    <row r="20" spans="1:28" s="107" customFormat="1" ht="15.75" customHeight="1">
      <c r="A20" s="300">
        <f t="shared" si="2"/>
        <v>110</v>
      </c>
      <c r="B20" s="301" t="s">
        <v>328</v>
      </c>
      <c r="C20" s="492">
        <f t="shared" si="8"/>
        <v>0</v>
      </c>
      <c r="D20" s="465">
        <v>0</v>
      </c>
      <c r="E20" s="465">
        <v>0</v>
      </c>
      <c r="F20" s="492">
        <f t="shared" si="9"/>
        <v>0</v>
      </c>
      <c r="G20" s="465">
        <v>0</v>
      </c>
      <c r="H20" s="465">
        <v>0</v>
      </c>
      <c r="I20" s="465">
        <v>0</v>
      </c>
      <c r="J20" s="465">
        <v>0</v>
      </c>
      <c r="K20" s="465">
        <v>0</v>
      </c>
      <c r="L20" s="465">
        <v>0</v>
      </c>
      <c r="M20" s="465">
        <v>0</v>
      </c>
      <c r="N20" s="465">
        <v>0</v>
      </c>
      <c r="O20" s="492">
        <f t="shared" si="10"/>
        <v>0</v>
      </c>
      <c r="P20" s="465">
        <v>0</v>
      </c>
      <c r="Q20" s="465">
        <v>0</v>
      </c>
      <c r="R20" s="465">
        <v>0</v>
      </c>
      <c r="S20" s="465">
        <v>0</v>
      </c>
      <c r="T20" s="465">
        <v>0</v>
      </c>
      <c r="U20" s="465">
        <v>0</v>
      </c>
      <c r="V20" s="465">
        <v>0</v>
      </c>
      <c r="W20" s="465">
        <v>0</v>
      </c>
      <c r="X20" s="465">
        <v>0</v>
      </c>
      <c r="Y20" s="465">
        <v>0</v>
      </c>
      <c r="Z20" s="493"/>
      <c r="AB20" s="111"/>
    </row>
    <row r="21" spans="1:28" s="107" customFormat="1" ht="15.75" customHeight="1">
      <c r="A21" s="300">
        <f>A20+10</f>
        <v>120</v>
      </c>
      <c r="B21" s="301" t="s">
        <v>579</v>
      </c>
      <c r="C21" s="492">
        <f t="shared" si="8"/>
        <v>0</v>
      </c>
      <c r="D21" s="465">
        <v>0</v>
      </c>
      <c r="E21" s="465">
        <v>0</v>
      </c>
      <c r="F21" s="492">
        <f t="shared" si="9"/>
        <v>0</v>
      </c>
      <c r="G21" s="465">
        <v>0</v>
      </c>
      <c r="H21" s="465">
        <v>0</v>
      </c>
      <c r="I21" s="465">
        <v>0</v>
      </c>
      <c r="J21" s="465">
        <v>0</v>
      </c>
      <c r="K21" s="465">
        <v>0</v>
      </c>
      <c r="L21" s="465">
        <v>0</v>
      </c>
      <c r="M21" s="465">
        <v>0</v>
      </c>
      <c r="N21" s="465">
        <v>0</v>
      </c>
      <c r="O21" s="492">
        <f>+P21+Q21</f>
        <v>0</v>
      </c>
      <c r="P21" s="465">
        <v>0</v>
      </c>
      <c r="Q21" s="465">
        <v>0</v>
      </c>
      <c r="R21" s="465">
        <v>0</v>
      </c>
      <c r="S21" s="465">
        <v>0</v>
      </c>
      <c r="T21" s="465">
        <v>0</v>
      </c>
      <c r="U21" s="465">
        <v>0</v>
      </c>
      <c r="V21" s="465">
        <v>0</v>
      </c>
      <c r="W21" s="465">
        <v>0</v>
      </c>
      <c r="X21" s="465">
        <v>0</v>
      </c>
      <c r="Y21" s="465">
        <v>0</v>
      </c>
      <c r="Z21" s="493"/>
      <c r="AB21" s="111"/>
    </row>
    <row r="22" spans="1:28" s="337" customFormat="1" ht="15.75" customHeight="1">
      <c r="A22" s="336">
        <f>A21+10</f>
        <v>130</v>
      </c>
      <c r="B22" s="336" t="s">
        <v>166</v>
      </c>
      <c r="C22" s="494">
        <f t="shared" si="8"/>
        <v>4134450617</v>
      </c>
      <c r="D22" s="494">
        <f>SUM(D16:D21)</f>
        <v>3131716697</v>
      </c>
      <c r="E22" s="494">
        <f>SUM(E16:E21)</f>
        <v>1002733920</v>
      </c>
      <c r="F22" s="494">
        <f t="shared" si="9"/>
        <v>159585458</v>
      </c>
      <c r="G22" s="494">
        <f t="shared" ref="G22:I22" si="11">SUM(G17:G21)</f>
        <v>17177595</v>
      </c>
      <c r="H22" s="494">
        <f t="shared" si="11"/>
        <v>83531171</v>
      </c>
      <c r="I22" s="494">
        <f t="shared" si="11"/>
        <v>58876692</v>
      </c>
      <c r="J22" s="494">
        <f t="shared" ref="J22:Y22" si="12">SUM(J16:J21)</f>
        <v>0</v>
      </c>
      <c r="K22" s="494">
        <f t="shared" si="12"/>
        <v>0</v>
      </c>
      <c r="L22" s="494">
        <f t="shared" si="12"/>
        <v>0</v>
      </c>
      <c r="M22" s="494">
        <f t="shared" si="12"/>
        <v>51549298</v>
      </c>
      <c r="N22" s="494">
        <f t="shared" si="12"/>
        <v>0</v>
      </c>
      <c r="O22" s="494">
        <f t="shared" si="12"/>
        <v>3442170019</v>
      </c>
      <c r="P22" s="494">
        <f t="shared" si="12"/>
        <v>624306649</v>
      </c>
      <c r="Q22" s="494">
        <f t="shared" si="12"/>
        <v>2817863370</v>
      </c>
      <c r="R22" s="494">
        <f t="shared" si="12"/>
        <v>0</v>
      </c>
      <c r="S22" s="494">
        <f t="shared" si="12"/>
        <v>0</v>
      </c>
      <c r="T22" s="494">
        <f t="shared" si="12"/>
        <v>0</v>
      </c>
      <c r="U22" s="494">
        <f t="shared" si="12"/>
        <v>0</v>
      </c>
      <c r="V22" s="494">
        <f t="shared" si="12"/>
        <v>286504576</v>
      </c>
      <c r="W22" s="494">
        <f t="shared" si="12"/>
        <v>172138699</v>
      </c>
      <c r="X22" s="494">
        <f t="shared" si="12"/>
        <v>107537071</v>
      </c>
      <c r="Y22" s="494">
        <f t="shared" si="12"/>
        <v>74550954</v>
      </c>
      <c r="Z22" s="495"/>
      <c r="AB22" s="338"/>
    </row>
    <row r="23" spans="1:28" s="107" customFormat="1" ht="15.75" customHeight="1">
      <c r="A23" s="294"/>
      <c r="B23" s="298" t="s">
        <v>399</v>
      </c>
      <c r="C23" s="496"/>
      <c r="D23" s="496"/>
      <c r="E23" s="496"/>
      <c r="F23" s="496"/>
      <c r="G23" s="497"/>
      <c r="H23" s="496"/>
      <c r="I23" s="496"/>
      <c r="J23" s="496"/>
      <c r="K23" s="496"/>
      <c r="L23" s="496"/>
      <c r="M23" s="496"/>
      <c r="N23" s="496"/>
      <c r="O23" s="496"/>
      <c r="P23" s="496"/>
      <c r="Q23" s="496"/>
      <c r="R23" s="496"/>
      <c r="S23" s="496"/>
      <c r="T23" s="496"/>
      <c r="U23" s="496"/>
      <c r="V23" s="496"/>
      <c r="W23" s="496"/>
      <c r="X23" s="496"/>
      <c r="Y23" s="496"/>
      <c r="Z23" s="493"/>
      <c r="AB23" s="111"/>
    </row>
    <row r="24" spans="1:28" s="107" customFormat="1" ht="15.75" customHeight="1">
      <c r="A24" s="300">
        <v>140</v>
      </c>
      <c r="B24" s="301" t="s">
        <v>574</v>
      </c>
      <c r="C24" s="492">
        <f t="shared" ref="C24:C29" si="13">SUM(J24:Y24)-L24-P24-Q24</f>
        <v>0</v>
      </c>
      <c r="D24" s="465">
        <v>0</v>
      </c>
      <c r="E24" s="465">
        <v>0</v>
      </c>
      <c r="F24" s="492">
        <f>+G24+H24+I24</f>
        <v>0</v>
      </c>
      <c r="G24" s="465">
        <v>0</v>
      </c>
      <c r="H24" s="465">
        <v>0</v>
      </c>
      <c r="I24" s="465">
        <v>0</v>
      </c>
      <c r="J24" s="465">
        <v>0</v>
      </c>
      <c r="K24" s="465">
        <v>0</v>
      </c>
      <c r="L24" s="465">
        <v>0</v>
      </c>
      <c r="M24" s="465">
        <v>0</v>
      </c>
      <c r="N24" s="465">
        <v>0</v>
      </c>
      <c r="O24" s="492">
        <f t="shared" ref="O24:O28" si="14">+P24+Q24</f>
        <v>0</v>
      </c>
      <c r="P24" s="465">
        <v>0</v>
      </c>
      <c r="Q24" s="465">
        <v>0</v>
      </c>
      <c r="R24" s="465">
        <v>0</v>
      </c>
      <c r="S24" s="465">
        <v>0</v>
      </c>
      <c r="T24" s="465">
        <v>0</v>
      </c>
      <c r="U24" s="465">
        <v>0</v>
      </c>
      <c r="V24" s="465">
        <v>0</v>
      </c>
      <c r="W24" s="465">
        <v>0</v>
      </c>
      <c r="X24" s="465">
        <v>0</v>
      </c>
      <c r="Y24" s="465">
        <v>0</v>
      </c>
      <c r="Z24" s="493"/>
      <c r="AB24" s="111"/>
    </row>
    <row r="25" spans="1:28" s="107" customFormat="1" ht="15.75" customHeight="1">
      <c r="A25" s="300">
        <f t="shared" si="2"/>
        <v>150</v>
      </c>
      <c r="B25" s="301" t="s">
        <v>331</v>
      </c>
      <c r="C25" s="492">
        <f t="shared" si="13"/>
        <v>3631752</v>
      </c>
      <c r="D25" s="465">
        <v>0</v>
      </c>
      <c r="E25" s="465">
        <v>3631752</v>
      </c>
      <c r="F25" s="492">
        <f t="shared" ref="F25:F29" si="15">+G25+H25+I25</f>
        <v>0</v>
      </c>
      <c r="G25" s="465">
        <v>0</v>
      </c>
      <c r="H25" s="465">
        <v>0</v>
      </c>
      <c r="I25" s="465">
        <v>0</v>
      </c>
      <c r="J25" s="465">
        <v>0</v>
      </c>
      <c r="K25" s="465">
        <v>0</v>
      </c>
      <c r="L25" s="465">
        <v>0</v>
      </c>
      <c r="M25" s="465">
        <v>3631752</v>
      </c>
      <c r="N25" s="465">
        <v>0</v>
      </c>
      <c r="O25" s="492">
        <f t="shared" si="14"/>
        <v>0</v>
      </c>
      <c r="P25" s="465">
        <v>0</v>
      </c>
      <c r="Q25" s="465">
        <v>0</v>
      </c>
      <c r="R25" s="465">
        <v>0</v>
      </c>
      <c r="S25" s="465">
        <v>0</v>
      </c>
      <c r="T25" s="465">
        <v>0</v>
      </c>
      <c r="U25" s="465">
        <v>0</v>
      </c>
      <c r="V25" s="465">
        <v>0</v>
      </c>
      <c r="W25" s="465">
        <v>0</v>
      </c>
      <c r="X25" s="465">
        <v>0</v>
      </c>
      <c r="Y25" s="465">
        <v>0</v>
      </c>
      <c r="Z25" s="493"/>
      <c r="AB25" s="111"/>
    </row>
    <row r="26" spans="1:28" s="107" customFormat="1" ht="15.75" customHeight="1">
      <c r="A26" s="300">
        <f t="shared" si="2"/>
        <v>160</v>
      </c>
      <c r="B26" s="301" t="s">
        <v>332</v>
      </c>
      <c r="C26" s="492">
        <f t="shared" si="13"/>
        <v>252295118</v>
      </c>
      <c r="D26" s="465">
        <v>227387556</v>
      </c>
      <c r="E26" s="465">
        <v>24907562</v>
      </c>
      <c r="F26" s="492">
        <f t="shared" si="15"/>
        <v>6941489</v>
      </c>
      <c r="G26" s="465">
        <v>49614</v>
      </c>
      <c r="H26" s="465">
        <v>2419059</v>
      </c>
      <c r="I26" s="465">
        <v>4472816</v>
      </c>
      <c r="J26" s="465">
        <v>0</v>
      </c>
      <c r="K26" s="465">
        <v>0</v>
      </c>
      <c r="L26" s="465">
        <v>0</v>
      </c>
      <c r="M26" s="465">
        <v>31365097</v>
      </c>
      <c r="N26" s="465">
        <v>0</v>
      </c>
      <c r="O26" s="492">
        <f t="shared" si="14"/>
        <v>205195745</v>
      </c>
      <c r="P26" s="465">
        <v>48218029</v>
      </c>
      <c r="Q26" s="465">
        <v>156977716</v>
      </c>
      <c r="R26" s="465">
        <v>0</v>
      </c>
      <c r="S26" s="465">
        <v>0</v>
      </c>
      <c r="T26" s="465">
        <v>0</v>
      </c>
      <c r="U26" s="465">
        <v>0</v>
      </c>
      <c r="V26" s="465">
        <v>2993794</v>
      </c>
      <c r="W26" s="465">
        <v>659373</v>
      </c>
      <c r="X26" s="465">
        <v>7848056</v>
      </c>
      <c r="Y26" s="465">
        <v>4233053</v>
      </c>
      <c r="Z26" s="493"/>
      <c r="AB26" s="111"/>
    </row>
    <row r="27" spans="1:28" s="107" customFormat="1" ht="15.75" customHeight="1">
      <c r="A27" s="300">
        <f t="shared" si="2"/>
        <v>170</v>
      </c>
      <c r="B27" s="301" t="s">
        <v>328</v>
      </c>
      <c r="C27" s="492">
        <f t="shared" si="13"/>
        <v>0</v>
      </c>
      <c r="D27" s="465">
        <v>0</v>
      </c>
      <c r="E27" s="465">
        <v>0</v>
      </c>
      <c r="F27" s="492">
        <f t="shared" si="15"/>
        <v>0</v>
      </c>
      <c r="G27" s="465">
        <v>0</v>
      </c>
      <c r="H27" s="465">
        <v>0</v>
      </c>
      <c r="I27" s="465">
        <v>0</v>
      </c>
      <c r="J27" s="465">
        <v>0</v>
      </c>
      <c r="K27" s="465">
        <v>0</v>
      </c>
      <c r="L27" s="465">
        <v>0</v>
      </c>
      <c r="M27" s="465">
        <v>0</v>
      </c>
      <c r="N27" s="465">
        <v>0</v>
      </c>
      <c r="O27" s="492">
        <f t="shared" si="14"/>
        <v>0</v>
      </c>
      <c r="P27" s="465">
        <v>0</v>
      </c>
      <c r="Q27" s="465">
        <v>0</v>
      </c>
      <c r="R27" s="465">
        <v>0</v>
      </c>
      <c r="S27" s="465">
        <v>0</v>
      </c>
      <c r="T27" s="465">
        <v>0</v>
      </c>
      <c r="U27" s="465">
        <v>0</v>
      </c>
      <c r="V27" s="465">
        <v>0</v>
      </c>
      <c r="W27" s="465">
        <v>0</v>
      </c>
      <c r="X27" s="465">
        <v>0</v>
      </c>
      <c r="Y27" s="465">
        <v>0</v>
      </c>
      <c r="Z27" s="493"/>
      <c r="AB27" s="111"/>
    </row>
    <row r="28" spans="1:28" s="107" customFormat="1" ht="15.75" customHeight="1">
      <c r="A28" s="300">
        <f>A27+10</f>
        <v>180</v>
      </c>
      <c r="B28" s="302" t="s">
        <v>579</v>
      </c>
      <c r="C28" s="492">
        <f t="shared" si="13"/>
        <v>0</v>
      </c>
      <c r="D28" s="465">
        <v>0</v>
      </c>
      <c r="E28" s="465">
        <v>0</v>
      </c>
      <c r="F28" s="492">
        <f t="shared" si="15"/>
        <v>0</v>
      </c>
      <c r="G28" s="465">
        <v>0</v>
      </c>
      <c r="H28" s="465">
        <v>0</v>
      </c>
      <c r="I28" s="465">
        <v>0</v>
      </c>
      <c r="J28" s="465">
        <v>0</v>
      </c>
      <c r="K28" s="465">
        <v>0</v>
      </c>
      <c r="L28" s="465">
        <v>0</v>
      </c>
      <c r="M28" s="465">
        <v>0</v>
      </c>
      <c r="N28" s="465">
        <v>0</v>
      </c>
      <c r="O28" s="492">
        <f t="shared" si="14"/>
        <v>0</v>
      </c>
      <c r="P28" s="465">
        <v>0</v>
      </c>
      <c r="Q28" s="465">
        <v>0</v>
      </c>
      <c r="R28" s="465">
        <v>0</v>
      </c>
      <c r="S28" s="465">
        <v>0</v>
      </c>
      <c r="T28" s="465">
        <v>0</v>
      </c>
      <c r="U28" s="465">
        <v>0</v>
      </c>
      <c r="V28" s="465">
        <v>0</v>
      </c>
      <c r="W28" s="465">
        <v>0</v>
      </c>
      <c r="X28" s="465">
        <v>0</v>
      </c>
      <c r="Y28" s="465">
        <v>0</v>
      </c>
      <c r="Z28" s="493"/>
      <c r="AB28" s="111"/>
    </row>
    <row r="29" spans="1:28" s="337" customFormat="1" ht="15.75" customHeight="1">
      <c r="A29" s="336">
        <f>A28+10</f>
        <v>190</v>
      </c>
      <c r="B29" s="336" t="s">
        <v>166</v>
      </c>
      <c r="C29" s="494">
        <f t="shared" si="13"/>
        <v>255926870</v>
      </c>
      <c r="D29" s="494">
        <f>SUM(D24:D28)</f>
        <v>227387556</v>
      </c>
      <c r="E29" s="494">
        <f>SUM(E24:E28)</f>
        <v>28539314</v>
      </c>
      <c r="F29" s="494">
        <f t="shared" si="15"/>
        <v>6941489</v>
      </c>
      <c r="G29" s="494">
        <f t="shared" ref="G29:I29" si="16">SUM(G24:G28)</f>
        <v>49614</v>
      </c>
      <c r="H29" s="494">
        <f t="shared" si="16"/>
        <v>2419059</v>
      </c>
      <c r="I29" s="494">
        <f t="shared" si="16"/>
        <v>4472816</v>
      </c>
      <c r="J29" s="494">
        <f t="shared" ref="J29:Y29" si="17">SUM(J24:J28)</f>
        <v>0</v>
      </c>
      <c r="K29" s="494">
        <f t="shared" si="17"/>
        <v>0</v>
      </c>
      <c r="L29" s="494">
        <f t="shared" si="17"/>
        <v>0</v>
      </c>
      <c r="M29" s="494">
        <f t="shared" si="17"/>
        <v>34996849</v>
      </c>
      <c r="N29" s="494">
        <f t="shared" si="17"/>
        <v>0</v>
      </c>
      <c r="O29" s="494">
        <f t="shared" si="17"/>
        <v>205195745</v>
      </c>
      <c r="P29" s="494">
        <f t="shared" si="17"/>
        <v>48218029</v>
      </c>
      <c r="Q29" s="494">
        <f t="shared" si="17"/>
        <v>156977716</v>
      </c>
      <c r="R29" s="494">
        <f t="shared" si="17"/>
        <v>0</v>
      </c>
      <c r="S29" s="494">
        <f t="shared" si="17"/>
        <v>0</v>
      </c>
      <c r="T29" s="494">
        <f t="shared" si="17"/>
        <v>0</v>
      </c>
      <c r="U29" s="494">
        <f t="shared" si="17"/>
        <v>0</v>
      </c>
      <c r="V29" s="494">
        <f t="shared" si="17"/>
        <v>2993794</v>
      </c>
      <c r="W29" s="494">
        <f t="shared" si="17"/>
        <v>659373</v>
      </c>
      <c r="X29" s="494">
        <f t="shared" si="17"/>
        <v>7848056</v>
      </c>
      <c r="Y29" s="494">
        <f t="shared" si="17"/>
        <v>4233053</v>
      </c>
      <c r="Z29" s="495"/>
      <c r="AB29" s="338"/>
    </row>
    <row r="30" spans="1:28" s="107" customFormat="1" ht="15.75" customHeight="1">
      <c r="A30" s="294"/>
      <c r="B30" s="298" t="s">
        <v>400</v>
      </c>
      <c r="C30" s="496"/>
      <c r="D30" s="496"/>
      <c r="E30" s="496"/>
      <c r="F30" s="496"/>
      <c r="G30" s="497"/>
      <c r="H30" s="496"/>
      <c r="I30" s="496"/>
      <c r="J30" s="496"/>
      <c r="K30" s="496"/>
      <c r="L30" s="496"/>
      <c r="M30" s="496"/>
      <c r="N30" s="496"/>
      <c r="O30" s="496"/>
      <c r="P30" s="496"/>
      <c r="Q30" s="496"/>
      <c r="R30" s="496"/>
      <c r="S30" s="496"/>
      <c r="T30" s="496"/>
      <c r="U30" s="496"/>
      <c r="V30" s="496"/>
      <c r="W30" s="496"/>
      <c r="X30" s="496"/>
      <c r="Y30" s="496"/>
      <c r="Z30" s="493"/>
      <c r="AB30" s="111"/>
    </row>
    <row r="31" spans="1:28" s="107" customFormat="1" ht="15.75" customHeight="1">
      <c r="A31" s="300">
        <v>200</v>
      </c>
      <c r="B31" s="301" t="s">
        <v>574</v>
      </c>
      <c r="C31" s="492">
        <f t="shared" ref="C31:C36" si="18">SUM(J31:Y31)-L31-P31-Q31</f>
        <v>2060681</v>
      </c>
      <c r="D31" s="465">
        <v>2060681</v>
      </c>
      <c r="E31" s="465">
        <v>0</v>
      </c>
      <c r="F31" s="492">
        <f>+G31+H31+I31</f>
        <v>0</v>
      </c>
      <c r="G31" s="465">
        <v>0</v>
      </c>
      <c r="H31" s="465">
        <v>0</v>
      </c>
      <c r="I31" s="465">
        <v>0</v>
      </c>
      <c r="J31" s="465">
        <v>0</v>
      </c>
      <c r="K31" s="465">
        <v>0</v>
      </c>
      <c r="L31" s="465">
        <v>0</v>
      </c>
      <c r="M31" s="465">
        <v>0</v>
      </c>
      <c r="N31" s="465">
        <v>0</v>
      </c>
      <c r="O31" s="492">
        <f t="shared" ref="O31:O35" si="19">+P31+Q31</f>
        <v>1000000</v>
      </c>
      <c r="P31" s="465">
        <v>0</v>
      </c>
      <c r="Q31" s="465">
        <v>1000000</v>
      </c>
      <c r="R31" s="465">
        <v>0</v>
      </c>
      <c r="S31" s="465">
        <v>0</v>
      </c>
      <c r="T31" s="465">
        <v>0</v>
      </c>
      <c r="U31" s="465">
        <v>0</v>
      </c>
      <c r="V31" s="465">
        <v>0</v>
      </c>
      <c r="W31" s="465">
        <v>0</v>
      </c>
      <c r="X31" s="465">
        <v>0</v>
      </c>
      <c r="Y31" s="465">
        <v>1060681</v>
      </c>
      <c r="Z31" s="493"/>
      <c r="AB31" s="111"/>
    </row>
    <row r="32" spans="1:28" s="107" customFormat="1" ht="15.75" customHeight="1">
      <c r="A32" s="300">
        <f t="shared" si="2"/>
        <v>210</v>
      </c>
      <c r="B32" s="301" t="s">
        <v>331</v>
      </c>
      <c r="C32" s="492">
        <f t="shared" si="18"/>
        <v>0</v>
      </c>
      <c r="D32" s="465">
        <v>0</v>
      </c>
      <c r="E32" s="465">
        <v>0</v>
      </c>
      <c r="F32" s="492">
        <f t="shared" ref="F32:F36" si="20">+G32+H32+I32</f>
        <v>0</v>
      </c>
      <c r="G32" s="465">
        <v>0</v>
      </c>
      <c r="H32" s="465">
        <v>0</v>
      </c>
      <c r="I32" s="465">
        <v>0</v>
      </c>
      <c r="J32" s="465">
        <v>0</v>
      </c>
      <c r="K32" s="465">
        <v>0</v>
      </c>
      <c r="L32" s="465">
        <v>0</v>
      </c>
      <c r="M32" s="465">
        <v>0</v>
      </c>
      <c r="N32" s="465">
        <v>0</v>
      </c>
      <c r="O32" s="492">
        <f t="shared" si="19"/>
        <v>0</v>
      </c>
      <c r="P32" s="465">
        <v>0</v>
      </c>
      <c r="Q32" s="465">
        <v>0</v>
      </c>
      <c r="R32" s="465">
        <v>0</v>
      </c>
      <c r="S32" s="465">
        <v>0</v>
      </c>
      <c r="T32" s="465">
        <v>0</v>
      </c>
      <c r="U32" s="465">
        <v>0</v>
      </c>
      <c r="V32" s="465">
        <v>0</v>
      </c>
      <c r="W32" s="465">
        <v>0</v>
      </c>
      <c r="X32" s="465">
        <v>0</v>
      </c>
      <c r="Y32" s="465">
        <v>0</v>
      </c>
      <c r="Z32" s="493"/>
      <c r="AB32" s="111"/>
    </row>
    <row r="33" spans="1:28" s="107" customFormat="1" ht="15.75" customHeight="1">
      <c r="A33" s="300">
        <f t="shared" si="2"/>
        <v>220</v>
      </c>
      <c r="B33" s="301" t="s">
        <v>332</v>
      </c>
      <c r="C33" s="492">
        <f t="shared" si="18"/>
        <v>1318906219</v>
      </c>
      <c r="D33" s="465">
        <v>787977240</v>
      </c>
      <c r="E33" s="465">
        <v>530928979</v>
      </c>
      <c r="F33" s="492">
        <f t="shared" si="20"/>
        <v>19809453</v>
      </c>
      <c r="G33" s="465">
        <v>1092783</v>
      </c>
      <c r="H33" s="465">
        <v>16569528</v>
      </c>
      <c r="I33" s="465">
        <v>2147142</v>
      </c>
      <c r="J33" s="465">
        <v>0</v>
      </c>
      <c r="K33" s="465">
        <v>0</v>
      </c>
      <c r="L33" s="465">
        <v>0</v>
      </c>
      <c r="M33" s="465">
        <v>5761102</v>
      </c>
      <c r="N33" s="465">
        <v>0</v>
      </c>
      <c r="O33" s="492">
        <f t="shared" si="19"/>
        <v>1277706359</v>
      </c>
      <c r="P33" s="465">
        <v>127837299</v>
      </c>
      <c r="Q33" s="465">
        <v>1149869060</v>
      </c>
      <c r="R33" s="465">
        <v>0</v>
      </c>
      <c r="S33" s="465">
        <v>0</v>
      </c>
      <c r="T33" s="465">
        <v>0</v>
      </c>
      <c r="U33" s="465">
        <v>0</v>
      </c>
      <c r="V33" s="465">
        <v>15214096</v>
      </c>
      <c r="W33" s="465">
        <v>702386</v>
      </c>
      <c r="X33" s="465">
        <v>5288561</v>
      </c>
      <c r="Y33" s="465">
        <v>14233715</v>
      </c>
      <c r="Z33" s="493"/>
      <c r="AB33" s="111"/>
    </row>
    <row r="34" spans="1:28" s="107" customFormat="1" ht="15.75" customHeight="1">
      <c r="A34" s="300">
        <f t="shared" si="2"/>
        <v>230</v>
      </c>
      <c r="B34" s="301" t="s">
        <v>328</v>
      </c>
      <c r="C34" s="492">
        <f t="shared" si="18"/>
        <v>0</v>
      </c>
      <c r="D34" s="465">
        <v>0</v>
      </c>
      <c r="E34" s="465">
        <v>0</v>
      </c>
      <c r="F34" s="492">
        <f t="shared" si="20"/>
        <v>0</v>
      </c>
      <c r="G34" s="465">
        <v>0</v>
      </c>
      <c r="H34" s="465">
        <v>0</v>
      </c>
      <c r="I34" s="465">
        <v>0</v>
      </c>
      <c r="J34" s="465">
        <v>0</v>
      </c>
      <c r="K34" s="465">
        <v>0</v>
      </c>
      <c r="L34" s="465">
        <v>0</v>
      </c>
      <c r="M34" s="465">
        <v>0</v>
      </c>
      <c r="N34" s="465">
        <v>0</v>
      </c>
      <c r="O34" s="492">
        <f t="shared" si="19"/>
        <v>0</v>
      </c>
      <c r="P34" s="465">
        <v>0</v>
      </c>
      <c r="Q34" s="465">
        <v>0</v>
      </c>
      <c r="R34" s="465">
        <v>0</v>
      </c>
      <c r="S34" s="465">
        <v>0</v>
      </c>
      <c r="T34" s="465">
        <v>0</v>
      </c>
      <c r="U34" s="465">
        <v>0</v>
      </c>
      <c r="V34" s="465">
        <v>0</v>
      </c>
      <c r="W34" s="465">
        <v>0</v>
      </c>
      <c r="X34" s="465">
        <v>0</v>
      </c>
      <c r="Y34" s="465">
        <v>0</v>
      </c>
      <c r="Z34" s="493"/>
      <c r="AB34" s="111"/>
    </row>
    <row r="35" spans="1:28" s="107" customFormat="1" ht="15.75" customHeight="1">
      <c r="A35" s="300">
        <f>A34+10</f>
        <v>240</v>
      </c>
      <c r="B35" s="301" t="s">
        <v>579</v>
      </c>
      <c r="C35" s="492">
        <f t="shared" si="18"/>
        <v>0</v>
      </c>
      <c r="D35" s="465">
        <v>0</v>
      </c>
      <c r="E35" s="465">
        <v>0</v>
      </c>
      <c r="F35" s="492">
        <f t="shared" si="20"/>
        <v>0</v>
      </c>
      <c r="G35" s="465">
        <v>0</v>
      </c>
      <c r="H35" s="465">
        <v>0</v>
      </c>
      <c r="I35" s="465">
        <v>0</v>
      </c>
      <c r="J35" s="465">
        <v>0</v>
      </c>
      <c r="K35" s="465">
        <v>0</v>
      </c>
      <c r="L35" s="465">
        <v>0</v>
      </c>
      <c r="M35" s="465">
        <v>0</v>
      </c>
      <c r="N35" s="465">
        <v>0</v>
      </c>
      <c r="O35" s="492">
        <f t="shared" si="19"/>
        <v>0</v>
      </c>
      <c r="P35" s="465">
        <v>0</v>
      </c>
      <c r="Q35" s="465">
        <v>0</v>
      </c>
      <c r="R35" s="465">
        <v>0</v>
      </c>
      <c r="S35" s="465">
        <v>0</v>
      </c>
      <c r="T35" s="465">
        <v>0</v>
      </c>
      <c r="U35" s="465">
        <v>0</v>
      </c>
      <c r="V35" s="465">
        <v>0</v>
      </c>
      <c r="W35" s="465">
        <v>0</v>
      </c>
      <c r="X35" s="465">
        <v>0</v>
      </c>
      <c r="Y35" s="465">
        <v>0</v>
      </c>
      <c r="Z35" s="493"/>
      <c r="AB35" s="111"/>
    </row>
    <row r="36" spans="1:28" s="337" customFormat="1" ht="15.75" customHeight="1">
      <c r="A36" s="336">
        <f>A35+10</f>
        <v>250</v>
      </c>
      <c r="B36" s="336" t="s">
        <v>166</v>
      </c>
      <c r="C36" s="494">
        <f t="shared" si="18"/>
        <v>1320966900</v>
      </c>
      <c r="D36" s="494">
        <f>SUM(D31:D35)</f>
        <v>790037921</v>
      </c>
      <c r="E36" s="494">
        <f>SUM(E31:E35)</f>
        <v>530928979</v>
      </c>
      <c r="F36" s="494">
        <f t="shared" si="20"/>
        <v>19809453</v>
      </c>
      <c r="G36" s="494">
        <f t="shared" ref="G36:I36" si="21">SUM(G31:G35)</f>
        <v>1092783</v>
      </c>
      <c r="H36" s="494">
        <f t="shared" si="21"/>
        <v>16569528</v>
      </c>
      <c r="I36" s="494">
        <f t="shared" si="21"/>
        <v>2147142</v>
      </c>
      <c r="J36" s="494">
        <f t="shared" ref="J36:Y36" si="22">SUM(J31:J35)</f>
        <v>0</v>
      </c>
      <c r="K36" s="494">
        <f t="shared" si="22"/>
        <v>0</v>
      </c>
      <c r="L36" s="494">
        <f t="shared" si="22"/>
        <v>0</v>
      </c>
      <c r="M36" s="494">
        <f t="shared" si="22"/>
        <v>5761102</v>
      </c>
      <c r="N36" s="494">
        <f t="shared" si="22"/>
        <v>0</v>
      </c>
      <c r="O36" s="494">
        <f t="shared" si="22"/>
        <v>1278706359</v>
      </c>
      <c r="P36" s="494">
        <f t="shared" si="22"/>
        <v>127837299</v>
      </c>
      <c r="Q36" s="494">
        <f t="shared" si="22"/>
        <v>1150869060</v>
      </c>
      <c r="R36" s="494">
        <f t="shared" si="22"/>
        <v>0</v>
      </c>
      <c r="S36" s="494">
        <f t="shared" si="22"/>
        <v>0</v>
      </c>
      <c r="T36" s="494">
        <f t="shared" si="22"/>
        <v>0</v>
      </c>
      <c r="U36" s="494">
        <f t="shared" si="22"/>
        <v>0</v>
      </c>
      <c r="V36" s="494">
        <f t="shared" si="22"/>
        <v>15214096</v>
      </c>
      <c r="W36" s="494">
        <f t="shared" si="22"/>
        <v>702386</v>
      </c>
      <c r="X36" s="494">
        <f t="shared" si="22"/>
        <v>5288561</v>
      </c>
      <c r="Y36" s="494">
        <f t="shared" si="22"/>
        <v>15294396</v>
      </c>
      <c r="Z36" s="495"/>
      <c r="AB36" s="338"/>
    </row>
    <row r="37" spans="1:28" s="107" customFormat="1" ht="15.75" customHeight="1">
      <c r="A37" s="294"/>
      <c r="B37" s="298" t="s">
        <v>401</v>
      </c>
      <c r="C37" s="496"/>
      <c r="D37" s="496"/>
      <c r="E37" s="496"/>
      <c r="F37" s="496"/>
      <c r="G37" s="497"/>
      <c r="H37" s="496"/>
      <c r="I37" s="496"/>
      <c r="J37" s="496"/>
      <c r="K37" s="496"/>
      <c r="L37" s="496"/>
      <c r="M37" s="496"/>
      <c r="N37" s="496"/>
      <c r="O37" s="496"/>
      <c r="P37" s="496"/>
      <c r="Q37" s="496"/>
      <c r="R37" s="496"/>
      <c r="S37" s="496"/>
      <c r="T37" s="496"/>
      <c r="U37" s="496"/>
      <c r="V37" s="496"/>
      <c r="W37" s="496"/>
      <c r="X37" s="496"/>
      <c r="Y37" s="496"/>
      <c r="Z37" s="493"/>
      <c r="AB37" s="111"/>
    </row>
    <row r="38" spans="1:28" s="107" customFormat="1" ht="15.75" customHeight="1">
      <c r="A38" s="300">
        <v>260</v>
      </c>
      <c r="B38" s="301" t="s">
        <v>574</v>
      </c>
      <c r="C38" s="492">
        <f t="shared" ref="C38:C42" si="23">SUM(J38:Y38)-L38-P38-Q38</f>
        <v>272646</v>
      </c>
      <c r="D38" s="465">
        <v>272646</v>
      </c>
      <c r="E38" s="465">
        <v>0</v>
      </c>
      <c r="F38" s="492">
        <f>+G38+H38+I38</f>
        <v>0</v>
      </c>
      <c r="G38" s="465">
        <v>0</v>
      </c>
      <c r="H38" s="465">
        <v>0</v>
      </c>
      <c r="I38" s="465">
        <v>0</v>
      </c>
      <c r="J38" s="465">
        <v>0</v>
      </c>
      <c r="K38" s="465">
        <v>0</v>
      </c>
      <c r="L38" s="465">
        <v>0</v>
      </c>
      <c r="M38" s="465">
        <v>0</v>
      </c>
      <c r="N38" s="465">
        <v>0</v>
      </c>
      <c r="O38" s="492">
        <f t="shared" ref="O38:O42" si="24">+P38+Q38</f>
        <v>224646</v>
      </c>
      <c r="P38" s="465">
        <v>224646</v>
      </c>
      <c r="Q38" s="465">
        <v>0</v>
      </c>
      <c r="R38" s="465">
        <v>0</v>
      </c>
      <c r="S38" s="465">
        <v>0</v>
      </c>
      <c r="T38" s="465">
        <v>0</v>
      </c>
      <c r="U38" s="465">
        <v>0</v>
      </c>
      <c r="V38" s="465">
        <v>0</v>
      </c>
      <c r="W38" s="465">
        <v>48000</v>
      </c>
      <c r="X38" s="465">
        <v>0</v>
      </c>
      <c r="Y38" s="465">
        <v>0</v>
      </c>
      <c r="Z38" s="493"/>
      <c r="AB38" s="111"/>
    </row>
    <row r="39" spans="1:28" s="107" customFormat="1" ht="15.75" customHeight="1">
      <c r="A39" s="300">
        <f t="shared" si="2"/>
        <v>270</v>
      </c>
      <c r="B39" s="301" t="s">
        <v>331</v>
      </c>
      <c r="C39" s="492">
        <f t="shared" si="23"/>
        <v>702135</v>
      </c>
      <c r="D39" s="465">
        <v>702135</v>
      </c>
      <c r="E39" s="465">
        <v>0</v>
      </c>
      <c r="F39" s="492">
        <f t="shared" ref="F39:F43" si="25">+G39+H39+I39</f>
        <v>0</v>
      </c>
      <c r="G39" s="465">
        <v>0</v>
      </c>
      <c r="H39" s="465">
        <v>0</v>
      </c>
      <c r="I39" s="465">
        <v>0</v>
      </c>
      <c r="J39" s="465">
        <v>0</v>
      </c>
      <c r="K39" s="465">
        <v>0</v>
      </c>
      <c r="L39" s="465">
        <v>0</v>
      </c>
      <c r="M39" s="465">
        <v>702135</v>
      </c>
      <c r="N39" s="465">
        <v>0</v>
      </c>
      <c r="O39" s="492">
        <f t="shared" si="24"/>
        <v>0</v>
      </c>
      <c r="P39" s="465">
        <v>0</v>
      </c>
      <c r="Q39" s="465">
        <v>0</v>
      </c>
      <c r="R39" s="465">
        <v>0</v>
      </c>
      <c r="S39" s="465">
        <v>0</v>
      </c>
      <c r="T39" s="465">
        <v>0</v>
      </c>
      <c r="U39" s="465">
        <v>0</v>
      </c>
      <c r="V39" s="465">
        <v>0</v>
      </c>
      <c r="W39" s="465">
        <v>0</v>
      </c>
      <c r="X39" s="465">
        <v>0</v>
      </c>
      <c r="Y39" s="465">
        <v>0</v>
      </c>
      <c r="Z39" s="493"/>
      <c r="AB39" s="111"/>
    </row>
    <row r="40" spans="1:28" s="107" customFormat="1" ht="15.75" customHeight="1">
      <c r="A40" s="300">
        <f t="shared" si="2"/>
        <v>280</v>
      </c>
      <c r="B40" s="301" t="s">
        <v>332</v>
      </c>
      <c r="C40" s="492">
        <f t="shared" si="23"/>
        <v>1443890608</v>
      </c>
      <c r="D40" s="465">
        <v>1234041648</v>
      </c>
      <c r="E40" s="465">
        <v>209848960</v>
      </c>
      <c r="F40" s="492">
        <f t="shared" si="25"/>
        <v>96865938</v>
      </c>
      <c r="G40" s="465">
        <v>29782795</v>
      </c>
      <c r="H40" s="465">
        <v>39906082</v>
      </c>
      <c r="I40" s="465">
        <v>27177061</v>
      </c>
      <c r="J40" s="465">
        <v>0</v>
      </c>
      <c r="K40" s="465">
        <v>0</v>
      </c>
      <c r="L40" s="465">
        <v>0</v>
      </c>
      <c r="M40" s="465">
        <v>36317712</v>
      </c>
      <c r="N40" s="465">
        <v>0</v>
      </c>
      <c r="O40" s="492">
        <f t="shared" si="24"/>
        <v>890231782</v>
      </c>
      <c r="P40" s="465">
        <v>214885571</v>
      </c>
      <c r="Q40" s="465">
        <v>675346211</v>
      </c>
      <c r="R40" s="465">
        <v>0</v>
      </c>
      <c r="S40" s="465">
        <v>0</v>
      </c>
      <c r="T40" s="465">
        <v>0</v>
      </c>
      <c r="U40" s="465">
        <v>0</v>
      </c>
      <c r="V40" s="465">
        <v>83317059</v>
      </c>
      <c r="W40" s="465">
        <v>178752223</v>
      </c>
      <c r="X40" s="465">
        <v>115960437</v>
      </c>
      <c r="Y40" s="465">
        <v>139311395</v>
      </c>
      <c r="Z40" s="493"/>
      <c r="AB40" s="111"/>
    </row>
    <row r="41" spans="1:28" s="107" customFormat="1" ht="15.75" customHeight="1">
      <c r="A41" s="300">
        <f t="shared" si="2"/>
        <v>290</v>
      </c>
      <c r="B41" s="301" t="s">
        <v>328</v>
      </c>
      <c r="C41" s="492">
        <f t="shared" si="23"/>
        <v>0</v>
      </c>
      <c r="D41" s="465">
        <v>0</v>
      </c>
      <c r="E41" s="465">
        <v>0</v>
      </c>
      <c r="F41" s="492">
        <f t="shared" si="25"/>
        <v>0</v>
      </c>
      <c r="G41" s="465">
        <v>0</v>
      </c>
      <c r="H41" s="465">
        <v>0</v>
      </c>
      <c r="I41" s="465">
        <v>0</v>
      </c>
      <c r="J41" s="465">
        <v>0</v>
      </c>
      <c r="K41" s="465">
        <v>0</v>
      </c>
      <c r="L41" s="465">
        <v>0</v>
      </c>
      <c r="M41" s="465">
        <v>0</v>
      </c>
      <c r="N41" s="465">
        <v>0</v>
      </c>
      <c r="O41" s="492">
        <f t="shared" si="24"/>
        <v>0</v>
      </c>
      <c r="P41" s="465">
        <v>0</v>
      </c>
      <c r="Q41" s="465">
        <v>0</v>
      </c>
      <c r="R41" s="465">
        <v>0</v>
      </c>
      <c r="S41" s="465">
        <v>0</v>
      </c>
      <c r="T41" s="465">
        <v>0</v>
      </c>
      <c r="U41" s="465">
        <v>0</v>
      </c>
      <c r="V41" s="465">
        <v>0</v>
      </c>
      <c r="W41" s="465">
        <v>0</v>
      </c>
      <c r="X41" s="465">
        <v>0</v>
      </c>
      <c r="Y41" s="465">
        <v>0</v>
      </c>
      <c r="Z41" s="493"/>
      <c r="AB41" s="111"/>
    </row>
    <row r="42" spans="1:28" s="107" customFormat="1" ht="15.75" customHeight="1">
      <c r="A42" s="300">
        <f>A41+10</f>
        <v>300</v>
      </c>
      <c r="B42" s="301" t="s">
        <v>579</v>
      </c>
      <c r="C42" s="492">
        <f t="shared" si="23"/>
        <v>0</v>
      </c>
      <c r="D42" s="465">
        <v>0</v>
      </c>
      <c r="E42" s="465">
        <v>0</v>
      </c>
      <c r="F42" s="492">
        <f t="shared" si="25"/>
        <v>0</v>
      </c>
      <c r="G42" s="465">
        <v>0</v>
      </c>
      <c r="H42" s="465">
        <v>0</v>
      </c>
      <c r="I42" s="465">
        <v>0</v>
      </c>
      <c r="J42" s="465">
        <v>0</v>
      </c>
      <c r="K42" s="465">
        <v>0</v>
      </c>
      <c r="L42" s="465">
        <v>0</v>
      </c>
      <c r="M42" s="465">
        <v>0</v>
      </c>
      <c r="N42" s="465">
        <v>0</v>
      </c>
      <c r="O42" s="492">
        <f t="shared" si="24"/>
        <v>0</v>
      </c>
      <c r="P42" s="465">
        <v>0</v>
      </c>
      <c r="Q42" s="465">
        <v>0</v>
      </c>
      <c r="R42" s="465">
        <v>0</v>
      </c>
      <c r="S42" s="465">
        <v>0</v>
      </c>
      <c r="T42" s="465">
        <v>0</v>
      </c>
      <c r="U42" s="465">
        <v>0</v>
      </c>
      <c r="V42" s="465">
        <v>0</v>
      </c>
      <c r="W42" s="465">
        <v>0</v>
      </c>
      <c r="X42" s="465">
        <v>0</v>
      </c>
      <c r="Y42" s="465">
        <v>0</v>
      </c>
      <c r="Z42" s="493"/>
      <c r="AB42" s="111"/>
    </row>
    <row r="43" spans="1:28" s="337" customFormat="1" ht="15.75" customHeight="1">
      <c r="A43" s="336">
        <f>A42+10</f>
        <v>310</v>
      </c>
      <c r="B43" s="336" t="s">
        <v>166</v>
      </c>
      <c r="C43" s="494">
        <f t="shared" ref="C43" si="26">SUM(J43:Y43)-L43-P43-Q43</f>
        <v>1444865389</v>
      </c>
      <c r="D43" s="494">
        <f>SUM(D38:D42)</f>
        <v>1235016429</v>
      </c>
      <c r="E43" s="494">
        <f>SUM(E38:E42)</f>
        <v>209848960</v>
      </c>
      <c r="F43" s="494">
        <f t="shared" si="25"/>
        <v>96865938</v>
      </c>
      <c r="G43" s="494">
        <f t="shared" ref="G43:I43" si="27">SUM(G38:G42)</f>
        <v>29782795</v>
      </c>
      <c r="H43" s="494">
        <f t="shared" si="27"/>
        <v>39906082</v>
      </c>
      <c r="I43" s="494">
        <f t="shared" si="27"/>
        <v>27177061</v>
      </c>
      <c r="J43" s="494">
        <f t="shared" ref="J43:Y43" si="28">SUM(J38:J42)</f>
        <v>0</v>
      </c>
      <c r="K43" s="494">
        <f t="shared" si="28"/>
        <v>0</v>
      </c>
      <c r="L43" s="494">
        <f t="shared" si="28"/>
        <v>0</v>
      </c>
      <c r="M43" s="494">
        <f t="shared" si="28"/>
        <v>37019847</v>
      </c>
      <c r="N43" s="494">
        <f t="shared" si="28"/>
        <v>0</v>
      </c>
      <c r="O43" s="494">
        <f t="shared" si="28"/>
        <v>890456428</v>
      </c>
      <c r="P43" s="494">
        <f t="shared" si="28"/>
        <v>215110217</v>
      </c>
      <c r="Q43" s="494">
        <f t="shared" si="28"/>
        <v>675346211</v>
      </c>
      <c r="R43" s="494">
        <f t="shared" si="28"/>
        <v>0</v>
      </c>
      <c r="S43" s="494">
        <f t="shared" si="28"/>
        <v>0</v>
      </c>
      <c r="T43" s="494">
        <f t="shared" si="28"/>
        <v>0</v>
      </c>
      <c r="U43" s="494">
        <f t="shared" si="28"/>
        <v>0</v>
      </c>
      <c r="V43" s="494">
        <f t="shared" si="28"/>
        <v>83317059</v>
      </c>
      <c r="W43" s="494">
        <f t="shared" si="28"/>
        <v>178800223</v>
      </c>
      <c r="X43" s="494">
        <f t="shared" si="28"/>
        <v>115960437</v>
      </c>
      <c r="Y43" s="494">
        <f t="shared" si="28"/>
        <v>139311395</v>
      </c>
      <c r="Z43" s="495"/>
      <c r="AB43" s="338"/>
    </row>
    <row r="44" spans="1:28" s="107" customFormat="1" ht="15.75" customHeight="1">
      <c r="A44" s="294"/>
      <c r="B44" s="298" t="s">
        <v>402</v>
      </c>
      <c r="C44" s="496"/>
      <c r="D44" s="496"/>
      <c r="E44" s="496"/>
      <c r="F44" s="496"/>
      <c r="G44" s="497"/>
      <c r="H44" s="496"/>
      <c r="I44" s="496"/>
      <c r="J44" s="496"/>
      <c r="K44" s="496"/>
      <c r="L44" s="496"/>
      <c r="M44" s="496"/>
      <c r="N44" s="496"/>
      <c r="O44" s="496"/>
      <c r="P44" s="496"/>
      <c r="Q44" s="496"/>
      <c r="R44" s="496"/>
      <c r="S44" s="496"/>
      <c r="T44" s="496"/>
      <c r="U44" s="496"/>
      <c r="V44" s="496"/>
      <c r="W44" s="496"/>
      <c r="X44" s="496"/>
      <c r="Y44" s="496"/>
      <c r="Z44" s="493"/>
      <c r="AB44" s="111"/>
    </row>
    <row r="45" spans="1:28" s="107" customFormat="1" ht="15.75" customHeight="1">
      <c r="A45" s="300">
        <v>320</v>
      </c>
      <c r="B45" s="301" t="s">
        <v>574</v>
      </c>
      <c r="C45" s="492">
        <f t="shared" ref="C45:C50" si="29">SUM(J45:Y45)-L45-P45-Q45</f>
        <v>34718467</v>
      </c>
      <c r="D45" s="465">
        <v>34718467</v>
      </c>
      <c r="E45" s="465">
        <v>0</v>
      </c>
      <c r="F45" s="492">
        <f>+G45+H45+I45</f>
        <v>0</v>
      </c>
      <c r="G45" s="465">
        <v>0</v>
      </c>
      <c r="H45" s="465">
        <v>0</v>
      </c>
      <c r="I45" s="465">
        <v>0</v>
      </c>
      <c r="J45" s="465">
        <v>0</v>
      </c>
      <c r="K45" s="465">
        <v>0</v>
      </c>
      <c r="L45" s="465">
        <v>0</v>
      </c>
      <c r="M45" s="465">
        <v>0</v>
      </c>
      <c r="N45" s="465">
        <v>0</v>
      </c>
      <c r="O45" s="492">
        <f t="shared" ref="O45:O49" si="30">+P45+Q45</f>
        <v>0</v>
      </c>
      <c r="P45" s="465">
        <v>0</v>
      </c>
      <c r="Q45" s="465">
        <v>0</v>
      </c>
      <c r="R45" s="465">
        <v>0</v>
      </c>
      <c r="S45" s="465">
        <v>0</v>
      </c>
      <c r="T45" s="465">
        <v>0</v>
      </c>
      <c r="U45" s="465">
        <v>0</v>
      </c>
      <c r="V45" s="465">
        <v>34718467</v>
      </c>
      <c r="W45" s="465">
        <v>0</v>
      </c>
      <c r="X45" s="465">
        <v>0</v>
      </c>
      <c r="Y45" s="465">
        <v>0</v>
      </c>
      <c r="Z45" s="493"/>
      <c r="AB45" s="111"/>
    </row>
    <row r="46" spans="1:28" s="107" customFormat="1" ht="15.75" customHeight="1">
      <c r="A46" s="300">
        <f t="shared" si="2"/>
        <v>330</v>
      </c>
      <c r="B46" s="301" t="s">
        <v>331</v>
      </c>
      <c r="C46" s="492">
        <f t="shared" si="29"/>
        <v>5245498</v>
      </c>
      <c r="D46" s="465">
        <v>801381</v>
      </c>
      <c r="E46" s="465">
        <v>4444117</v>
      </c>
      <c r="F46" s="492">
        <f t="shared" ref="F46:F50" si="31">+G46+H46+I46</f>
        <v>388881</v>
      </c>
      <c r="G46" s="465">
        <v>0</v>
      </c>
      <c r="H46" s="465">
        <v>388881</v>
      </c>
      <c r="I46" s="465">
        <v>0</v>
      </c>
      <c r="J46" s="465">
        <v>0</v>
      </c>
      <c r="K46" s="465">
        <v>0</v>
      </c>
      <c r="L46" s="465">
        <v>0</v>
      </c>
      <c r="M46" s="465">
        <v>0</v>
      </c>
      <c r="N46" s="465">
        <v>0</v>
      </c>
      <c r="O46" s="492">
        <f t="shared" si="30"/>
        <v>5245498</v>
      </c>
      <c r="P46" s="465">
        <v>4444117</v>
      </c>
      <c r="Q46" s="465">
        <v>801381</v>
      </c>
      <c r="R46" s="465">
        <v>0</v>
      </c>
      <c r="S46" s="465">
        <v>0</v>
      </c>
      <c r="T46" s="465">
        <v>0</v>
      </c>
      <c r="U46" s="465">
        <v>0</v>
      </c>
      <c r="V46" s="465">
        <v>0</v>
      </c>
      <c r="W46" s="465">
        <v>0</v>
      </c>
      <c r="X46" s="465">
        <v>0</v>
      </c>
      <c r="Y46" s="465">
        <v>0</v>
      </c>
      <c r="Z46" s="493"/>
      <c r="AB46" s="111"/>
    </row>
    <row r="47" spans="1:28" s="107" customFormat="1" ht="15.75" customHeight="1">
      <c r="A47" s="300">
        <f t="shared" si="2"/>
        <v>340</v>
      </c>
      <c r="B47" s="301" t="s">
        <v>332</v>
      </c>
      <c r="C47" s="492">
        <f t="shared" si="29"/>
        <v>140018581</v>
      </c>
      <c r="D47" s="465">
        <v>132834714</v>
      </c>
      <c r="E47" s="465">
        <v>7183867</v>
      </c>
      <c r="F47" s="492">
        <f t="shared" si="31"/>
        <v>10817563</v>
      </c>
      <c r="G47" s="465">
        <v>1900035</v>
      </c>
      <c r="H47" s="465">
        <v>6571245</v>
      </c>
      <c r="I47" s="465">
        <v>2346283</v>
      </c>
      <c r="J47" s="465">
        <v>0</v>
      </c>
      <c r="K47" s="465">
        <v>0</v>
      </c>
      <c r="L47" s="465">
        <v>0</v>
      </c>
      <c r="M47" s="465">
        <v>5088509</v>
      </c>
      <c r="N47" s="465">
        <v>0</v>
      </c>
      <c r="O47" s="492">
        <f t="shared" si="30"/>
        <v>69402633</v>
      </c>
      <c r="P47" s="465">
        <v>8473163</v>
      </c>
      <c r="Q47" s="465">
        <v>60929470</v>
      </c>
      <c r="R47" s="465">
        <v>0</v>
      </c>
      <c r="S47" s="465">
        <v>0</v>
      </c>
      <c r="T47" s="465">
        <v>0</v>
      </c>
      <c r="U47" s="465">
        <v>0</v>
      </c>
      <c r="V47" s="465">
        <v>11433604</v>
      </c>
      <c r="W47" s="465">
        <v>4171233</v>
      </c>
      <c r="X47" s="465">
        <v>29114431</v>
      </c>
      <c r="Y47" s="465">
        <v>20808171</v>
      </c>
      <c r="Z47" s="493"/>
      <c r="AB47" s="111"/>
    </row>
    <row r="48" spans="1:28" s="107" customFormat="1" ht="15.75" customHeight="1">
      <c r="A48" s="300">
        <f t="shared" si="2"/>
        <v>350</v>
      </c>
      <c r="B48" s="301" t="s">
        <v>328</v>
      </c>
      <c r="C48" s="492">
        <f t="shared" si="29"/>
        <v>0</v>
      </c>
      <c r="D48" s="465">
        <v>0</v>
      </c>
      <c r="E48" s="465">
        <v>0</v>
      </c>
      <c r="F48" s="492">
        <f t="shared" si="31"/>
        <v>0</v>
      </c>
      <c r="G48" s="465">
        <v>0</v>
      </c>
      <c r="H48" s="465">
        <v>0</v>
      </c>
      <c r="I48" s="465">
        <v>0</v>
      </c>
      <c r="J48" s="465">
        <v>0</v>
      </c>
      <c r="K48" s="465">
        <v>0</v>
      </c>
      <c r="L48" s="465">
        <v>0</v>
      </c>
      <c r="M48" s="465">
        <v>0</v>
      </c>
      <c r="N48" s="465">
        <v>0</v>
      </c>
      <c r="O48" s="492">
        <f t="shared" si="30"/>
        <v>0</v>
      </c>
      <c r="P48" s="465">
        <v>0</v>
      </c>
      <c r="Q48" s="465">
        <v>0</v>
      </c>
      <c r="R48" s="465">
        <v>0</v>
      </c>
      <c r="S48" s="465">
        <v>0</v>
      </c>
      <c r="T48" s="465">
        <v>0</v>
      </c>
      <c r="U48" s="465">
        <v>0</v>
      </c>
      <c r="V48" s="465">
        <v>0</v>
      </c>
      <c r="W48" s="465">
        <v>0</v>
      </c>
      <c r="X48" s="465">
        <v>0</v>
      </c>
      <c r="Y48" s="465">
        <v>0</v>
      </c>
      <c r="Z48" s="493"/>
      <c r="AB48" s="111"/>
    </row>
    <row r="49" spans="1:28" s="107" customFormat="1" ht="15.75" customHeight="1">
      <c r="A49" s="300">
        <f>A48+10</f>
        <v>360</v>
      </c>
      <c r="B49" s="301" t="s">
        <v>579</v>
      </c>
      <c r="C49" s="492">
        <f t="shared" si="29"/>
        <v>0</v>
      </c>
      <c r="D49" s="465">
        <v>0</v>
      </c>
      <c r="E49" s="465">
        <v>0</v>
      </c>
      <c r="F49" s="492">
        <f t="shared" si="31"/>
        <v>0</v>
      </c>
      <c r="G49" s="465">
        <v>0</v>
      </c>
      <c r="H49" s="465">
        <v>0</v>
      </c>
      <c r="I49" s="465">
        <v>0</v>
      </c>
      <c r="J49" s="465">
        <v>0</v>
      </c>
      <c r="K49" s="465">
        <v>0</v>
      </c>
      <c r="L49" s="465">
        <v>0</v>
      </c>
      <c r="M49" s="465">
        <v>0</v>
      </c>
      <c r="N49" s="465">
        <v>0</v>
      </c>
      <c r="O49" s="492">
        <f t="shared" si="30"/>
        <v>0</v>
      </c>
      <c r="P49" s="465">
        <v>0</v>
      </c>
      <c r="Q49" s="465">
        <v>0</v>
      </c>
      <c r="R49" s="465">
        <v>0</v>
      </c>
      <c r="S49" s="465">
        <v>0</v>
      </c>
      <c r="T49" s="465">
        <v>0</v>
      </c>
      <c r="U49" s="465">
        <v>0</v>
      </c>
      <c r="V49" s="465">
        <v>0</v>
      </c>
      <c r="W49" s="465">
        <v>0</v>
      </c>
      <c r="X49" s="465">
        <v>0</v>
      </c>
      <c r="Y49" s="465">
        <v>0</v>
      </c>
      <c r="Z49" s="493"/>
      <c r="AB49" s="111"/>
    </row>
    <row r="50" spans="1:28" s="337" customFormat="1" ht="15.75" customHeight="1">
      <c r="A50" s="336">
        <f>A49+10</f>
        <v>370</v>
      </c>
      <c r="B50" s="336" t="s">
        <v>166</v>
      </c>
      <c r="C50" s="494">
        <f t="shared" si="29"/>
        <v>179982546</v>
      </c>
      <c r="D50" s="494">
        <f>SUM(D45:D49)</f>
        <v>168354562</v>
      </c>
      <c r="E50" s="494">
        <f>SUM(E45:E49)</f>
        <v>11627984</v>
      </c>
      <c r="F50" s="494">
        <f t="shared" si="31"/>
        <v>11206444</v>
      </c>
      <c r="G50" s="494">
        <f t="shared" ref="G50:I50" si="32">SUM(G45:G49)</f>
        <v>1900035</v>
      </c>
      <c r="H50" s="494">
        <f t="shared" si="32"/>
        <v>6960126</v>
      </c>
      <c r="I50" s="494">
        <f t="shared" si="32"/>
        <v>2346283</v>
      </c>
      <c r="J50" s="494">
        <f t="shared" ref="J50:Y50" si="33">SUM(J45:J49)</f>
        <v>0</v>
      </c>
      <c r="K50" s="494">
        <f t="shared" si="33"/>
        <v>0</v>
      </c>
      <c r="L50" s="494">
        <f t="shared" si="33"/>
        <v>0</v>
      </c>
      <c r="M50" s="494">
        <f t="shared" si="33"/>
        <v>5088509</v>
      </c>
      <c r="N50" s="494">
        <f t="shared" si="33"/>
        <v>0</v>
      </c>
      <c r="O50" s="494">
        <f t="shared" si="33"/>
        <v>74648131</v>
      </c>
      <c r="P50" s="494">
        <f t="shared" si="33"/>
        <v>12917280</v>
      </c>
      <c r="Q50" s="494">
        <f t="shared" si="33"/>
        <v>61730851</v>
      </c>
      <c r="R50" s="494">
        <f t="shared" si="33"/>
        <v>0</v>
      </c>
      <c r="S50" s="494">
        <f t="shared" si="33"/>
        <v>0</v>
      </c>
      <c r="T50" s="494">
        <f t="shared" si="33"/>
        <v>0</v>
      </c>
      <c r="U50" s="494">
        <f t="shared" si="33"/>
        <v>0</v>
      </c>
      <c r="V50" s="494">
        <f t="shared" si="33"/>
        <v>46152071</v>
      </c>
      <c r="W50" s="494">
        <f t="shared" si="33"/>
        <v>4171233</v>
      </c>
      <c r="X50" s="494">
        <f t="shared" si="33"/>
        <v>29114431</v>
      </c>
      <c r="Y50" s="494">
        <f t="shared" si="33"/>
        <v>20808171</v>
      </c>
      <c r="Z50" s="495"/>
      <c r="AB50" s="338"/>
    </row>
    <row r="51" spans="1:28" s="107" customFormat="1" ht="15.75" customHeight="1">
      <c r="A51" s="294"/>
      <c r="B51" s="298" t="s">
        <v>403</v>
      </c>
      <c r="C51" s="496"/>
      <c r="D51" s="496"/>
      <c r="E51" s="496"/>
      <c r="F51" s="496"/>
      <c r="G51" s="497"/>
      <c r="H51" s="496"/>
      <c r="I51" s="496"/>
      <c r="J51" s="496"/>
      <c r="K51" s="496"/>
      <c r="L51" s="496"/>
      <c r="M51" s="496"/>
      <c r="N51" s="496"/>
      <c r="O51" s="496"/>
      <c r="P51" s="496"/>
      <c r="Q51" s="496"/>
      <c r="R51" s="496"/>
      <c r="S51" s="496"/>
      <c r="T51" s="496"/>
      <c r="U51" s="496"/>
      <c r="V51" s="496"/>
      <c r="W51" s="496"/>
      <c r="X51" s="496"/>
      <c r="Y51" s="496"/>
      <c r="Z51" s="493"/>
      <c r="AB51" s="111"/>
    </row>
    <row r="52" spans="1:28" s="107" customFormat="1" ht="15.75" customHeight="1">
      <c r="A52" s="300">
        <v>380</v>
      </c>
      <c r="B52" s="301" t="s">
        <v>574</v>
      </c>
      <c r="C52" s="492">
        <f t="shared" ref="C52:C57" si="34">SUM(J52:Y52)-L52-P52-Q52</f>
        <v>383994</v>
      </c>
      <c r="D52" s="465">
        <v>383994</v>
      </c>
      <c r="E52" s="465">
        <v>0</v>
      </c>
      <c r="F52" s="492">
        <f t="shared" ref="F52" si="35">+G52+H52+I52</f>
        <v>0</v>
      </c>
      <c r="G52" s="465">
        <v>0</v>
      </c>
      <c r="H52" s="465">
        <v>0</v>
      </c>
      <c r="I52" s="465">
        <v>0</v>
      </c>
      <c r="J52" s="465">
        <v>0</v>
      </c>
      <c r="K52" s="465">
        <v>0</v>
      </c>
      <c r="L52" s="465">
        <v>0</v>
      </c>
      <c r="M52" s="465">
        <v>0</v>
      </c>
      <c r="N52" s="465">
        <v>0</v>
      </c>
      <c r="O52" s="492">
        <f t="shared" ref="O52:O57" si="36">+P52+Q52</f>
        <v>0</v>
      </c>
      <c r="P52" s="465">
        <v>0</v>
      </c>
      <c r="Q52" s="465">
        <v>0</v>
      </c>
      <c r="R52" s="465">
        <v>0</v>
      </c>
      <c r="S52" s="465">
        <v>0</v>
      </c>
      <c r="T52" s="465">
        <v>0</v>
      </c>
      <c r="U52" s="465">
        <v>0</v>
      </c>
      <c r="V52" s="465">
        <v>0</v>
      </c>
      <c r="W52" s="465">
        <v>0</v>
      </c>
      <c r="X52" s="465">
        <v>0</v>
      </c>
      <c r="Y52" s="465">
        <v>383994</v>
      </c>
      <c r="Z52" s="493"/>
      <c r="AB52" s="111"/>
    </row>
    <row r="53" spans="1:28" s="107" customFormat="1" ht="15.75" customHeight="1">
      <c r="A53" s="300">
        <f t="shared" si="2"/>
        <v>390</v>
      </c>
      <c r="B53" s="301" t="s">
        <v>331</v>
      </c>
      <c r="C53" s="492">
        <f t="shared" si="34"/>
        <v>0</v>
      </c>
      <c r="D53" s="465">
        <v>0</v>
      </c>
      <c r="E53" s="465">
        <v>0</v>
      </c>
      <c r="F53" s="492">
        <f>+G53+H53+I53</f>
        <v>0</v>
      </c>
      <c r="G53" s="465">
        <v>0</v>
      </c>
      <c r="H53" s="465">
        <v>0</v>
      </c>
      <c r="I53" s="465">
        <v>0</v>
      </c>
      <c r="J53" s="465">
        <v>0</v>
      </c>
      <c r="K53" s="465">
        <v>0</v>
      </c>
      <c r="L53" s="465">
        <v>0</v>
      </c>
      <c r="M53" s="465">
        <v>0</v>
      </c>
      <c r="N53" s="465">
        <v>0</v>
      </c>
      <c r="O53" s="492">
        <f t="shared" si="36"/>
        <v>0</v>
      </c>
      <c r="P53" s="465">
        <v>0</v>
      </c>
      <c r="Q53" s="465">
        <v>0</v>
      </c>
      <c r="R53" s="465">
        <v>0</v>
      </c>
      <c r="S53" s="465">
        <v>0</v>
      </c>
      <c r="T53" s="465">
        <v>0</v>
      </c>
      <c r="U53" s="465">
        <v>0</v>
      </c>
      <c r="V53" s="465">
        <v>0</v>
      </c>
      <c r="W53" s="465">
        <v>0</v>
      </c>
      <c r="X53" s="465">
        <v>0</v>
      </c>
      <c r="Y53" s="465">
        <v>0</v>
      </c>
      <c r="Z53" s="493"/>
      <c r="AB53" s="111"/>
    </row>
    <row r="54" spans="1:28" s="107" customFormat="1" ht="15.75" customHeight="1">
      <c r="A54" s="300">
        <f t="shared" si="2"/>
        <v>400</v>
      </c>
      <c r="B54" s="301" t="s">
        <v>332</v>
      </c>
      <c r="C54" s="492">
        <f t="shared" si="34"/>
        <v>585260571</v>
      </c>
      <c r="D54" s="465">
        <v>485627596</v>
      </c>
      <c r="E54" s="465">
        <v>99632975</v>
      </c>
      <c r="F54" s="492">
        <f t="shared" ref="F54:F58" si="37">+G54+H54+I54</f>
        <v>38419928</v>
      </c>
      <c r="G54" s="465">
        <v>3692979</v>
      </c>
      <c r="H54" s="465">
        <v>21766074</v>
      </c>
      <c r="I54" s="465">
        <v>12960875</v>
      </c>
      <c r="J54" s="465">
        <v>0</v>
      </c>
      <c r="K54" s="465">
        <v>0</v>
      </c>
      <c r="L54" s="465">
        <v>0</v>
      </c>
      <c r="M54" s="465">
        <v>8300216</v>
      </c>
      <c r="N54" s="465">
        <v>0</v>
      </c>
      <c r="O54" s="492">
        <f t="shared" si="36"/>
        <v>370427535</v>
      </c>
      <c r="P54" s="465">
        <v>96344833</v>
      </c>
      <c r="Q54" s="465">
        <v>274082702</v>
      </c>
      <c r="R54" s="465">
        <v>0</v>
      </c>
      <c r="S54" s="465">
        <v>0</v>
      </c>
      <c r="T54" s="465">
        <v>0</v>
      </c>
      <c r="U54" s="465">
        <v>0</v>
      </c>
      <c r="V54" s="465">
        <v>27694504</v>
      </c>
      <c r="W54" s="465">
        <v>18443967</v>
      </c>
      <c r="X54" s="465">
        <v>82972949</v>
      </c>
      <c r="Y54" s="465">
        <v>77421400</v>
      </c>
      <c r="Z54" s="493"/>
      <c r="AB54" s="111"/>
    </row>
    <row r="55" spans="1:28" s="107" customFormat="1" ht="15.75" customHeight="1">
      <c r="A55" s="300">
        <f t="shared" si="2"/>
        <v>410</v>
      </c>
      <c r="B55" s="301" t="s">
        <v>328</v>
      </c>
      <c r="C55" s="492">
        <f t="shared" si="34"/>
        <v>0</v>
      </c>
      <c r="D55" s="465">
        <v>0</v>
      </c>
      <c r="E55" s="465">
        <v>0</v>
      </c>
      <c r="F55" s="492">
        <f t="shared" si="37"/>
        <v>0</v>
      </c>
      <c r="G55" s="465">
        <v>0</v>
      </c>
      <c r="H55" s="465">
        <v>0</v>
      </c>
      <c r="I55" s="465">
        <v>0</v>
      </c>
      <c r="J55" s="465">
        <v>0</v>
      </c>
      <c r="K55" s="465">
        <v>0</v>
      </c>
      <c r="L55" s="465">
        <v>0</v>
      </c>
      <c r="M55" s="465">
        <v>0</v>
      </c>
      <c r="N55" s="465">
        <v>0</v>
      </c>
      <c r="O55" s="492">
        <f t="shared" si="36"/>
        <v>0</v>
      </c>
      <c r="P55" s="465">
        <v>0</v>
      </c>
      <c r="Q55" s="465">
        <v>0</v>
      </c>
      <c r="R55" s="465">
        <v>0</v>
      </c>
      <c r="S55" s="465">
        <v>0</v>
      </c>
      <c r="T55" s="465">
        <v>0</v>
      </c>
      <c r="U55" s="465">
        <v>0</v>
      </c>
      <c r="V55" s="465">
        <v>0</v>
      </c>
      <c r="W55" s="465">
        <v>0</v>
      </c>
      <c r="X55" s="465">
        <v>0</v>
      </c>
      <c r="Y55" s="465">
        <v>0</v>
      </c>
      <c r="Z55" s="493"/>
      <c r="AB55" s="111"/>
    </row>
    <row r="56" spans="1:28" s="107" customFormat="1" ht="15.75" customHeight="1">
      <c r="A56" s="300">
        <v>485</v>
      </c>
      <c r="B56" s="301" t="s">
        <v>577</v>
      </c>
      <c r="C56" s="492">
        <f t="shared" ref="C56" si="38">SUM(J56:Y56)-L56-P56-Q56</f>
        <v>3835072</v>
      </c>
      <c r="D56" s="465">
        <v>3835072</v>
      </c>
      <c r="E56" s="465">
        <v>0</v>
      </c>
      <c r="F56" s="492">
        <f t="shared" si="37"/>
        <v>0</v>
      </c>
      <c r="G56" s="465">
        <v>0</v>
      </c>
      <c r="H56" s="465">
        <v>0</v>
      </c>
      <c r="I56" s="465">
        <v>0</v>
      </c>
      <c r="J56" s="465">
        <v>0</v>
      </c>
      <c r="K56" s="465">
        <v>0</v>
      </c>
      <c r="L56" s="465">
        <v>0</v>
      </c>
      <c r="M56" s="465">
        <v>0</v>
      </c>
      <c r="N56" s="465">
        <v>0</v>
      </c>
      <c r="O56" s="492">
        <f t="shared" si="36"/>
        <v>2513333</v>
      </c>
      <c r="P56" s="465">
        <v>2313333</v>
      </c>
      <c r="Q56" s="465">
        <v>200000</v>
      </c>
      <c r="R56" s="465">
        <v>0</v>
      </c>
      <c r="S56" s="465">
        <v>0</v>
      </c>
      <c r="T56" s="465">
        <v>0</v>
      </c>
      <c r="U56" s="465">
        <v>0</v>
      </c>
      <c r="V56" s="465">
        <v>36364</v>
      </c>
      <c r="W56" s="465">
        <v>0</v>
      </c>
      <c r="X56" s="465">
        <v>0</v>
      </c>
      <c r="Y56" s="465">
        <v>1285375</v>
      </c>
      <c r="Z56" s="493"/>
      <c r="AB56" s="111"/>
    </row>
    <row r="57" spans="1:28" s="107" customFormat="1" ht="15.75" customHeight="1">
      <c r="A57" s="300">
        <f>A55+10</f>
        <v>420</v>
      </c>
      <c r="B57" s="301" t="s">
        <v>579</v>
      </c>
      <c r="C57" s="492">
        <f t="shared" si="34"/>
        <v>3183333</v>
      </c>
      <c r="D57" s="465">
        <v>3183333</v>
      </c>
      <c r="E57" s="465">
        <v>0</v>
      </c>
      <c r="F57" s="492">
        <f t="shared" si="37"/>
        <v>0</v>
      </c>
      <c r="G57" s="465">
        <v>0</v>
      </c>
      <c r="H57" s="465">
        <v>0</v>
      </c>
      <c r="I57" s="465">
        <v>0</v>
      </c>
      <c r="J57" s="465">
        <v>0</v>
      </c>
      <c r="K57" s="465">
        <v>0</v>
      </c>
      <c r="L57" s="465">
        <v>0</v>
      </c>
      <c r="M57" s="465">
        <v>0</v>
      </c>
      <c r="N57" s="465">
        <v>0</v>
      </c>
      <c r="O57" s="492">
        <f t="shared" si="36"/>
        <v>1733333</v>
      </c>
      <c r="P57" s="465">
        <v>1733333</v>
      </c>
      <c r="Q57" s="465">
        <v>0</v>
      </c>
      <c r="R57" s="465">
        <v>0</v>
      </c>
      <c r="S57" s="465">
        <v>0</v>
      </c>
      <c r="T57" s="465">
        <v>0</v>
      </c>
      <c r="U57" s="465">
        <v>0</v>
      </c>
      <c r="V57" s="465">
        <v>0</v>
      </c>
      <c r="W57" s="465">
        <v>0</v>
      </c>
      <c r="X57" s="465">
        <v>0</v>
      </c>
      <c r="Y57" s="465">
        <v>1450000</v>
      </c>
      <c r="Z57" s="493"/>
      <c r="AB57" s="111"/>
    </row>
    <row r="58" spans="1:28" s="337" customFormat="1" ht="15.75" customHeight="1">
      <c r="A58" s="336">
        <f>A57+10</f>
        <v>430</v>
      </c>
      <c r="B58" s="336" t="s">
        <v>166</v>
      </c>
      <c r="C58" s="494">
        <f t="shared" ref="C58:C71" si="39">SUM(J58:Y58)-L58-P58-Q58</f>
        <v>592662970</v>
      </c>
      <c r="D58" s="494">
        <f>SUM(D52:D57)</f>
        <v>493029995</v>
      </c>
      <c r="E58" s="494">
        <f>SUM(E52:E57)</f>
        <v>99632975</v>
      </c>
      <c r="F58" s="494">
        <f t="shared" si="37"/>
        <v>38419928</v>
      </c>
      <c r="G58" s="494">
        <f t="shared" ref="G58:I58" si="40">SUM(G53:G57)</f>
        <v>3692979</v>
      </c>
      <c r="H58" s="494">
        <f t="shared" si="40"/>
        <v>21766074</v>
      </c>
      <c r="I58" s="494">
        <f t="shared" si="40"/>
        <v>12960875</v>
      </c>
      <c r="J58" s="494">
        <f t="shared" ref="J58:Y58" si="41">SUM(J52:J57)</f>
        <v>0</v>
      </c>
      <c r="K58" s="494">
        <f t="shared" si="41"/>
        <v>0</v>
      </c>
      <c r="L58" s="494">
        <f t="shared" si="41"/>
        <v>0</v>
      </c>
      <c r="M58" s="494">
        <f t="shared" si="41"/>
        <v>8300216</v>
      </c>
      <c r="N58" s="494">
        <f t="shared" si="41"/>
        <v>0</v>
      </c>
      <c r="O58" s="494">
        <f t="shared" si="41"/>
        <v>374674201</v>
      </c>
      <c r="P58" s="494">
        <f t="shared" si="41"/>
        <v>100391499</v>
      </c>
      <c r="Q58" s="494">
        <f t="shared" si="41"/>
        <v>274282702</v>
      </c>
      <c r="R58" s="494">
        <f t="shared" si="41"/>
        <v>0</v>
      </c>
      <c r="S58" s="494">
        <f t="shared" si="41"/>
        <v>0</v>
      </c>
      <c r="T58" s="494">
        <f t="shared" si="41"/>
        <v>0</v>
      </c>
      <c r="U58" s="494">
        <f t="shared" si="41"/>
        <v>0</v>
      </c>
      <c r="V58" s="494">
        <f t="shared" si="41"/>
        <v>27730868</v>
      </c>
      <c r="W58" s="494">
        <f t="shared" si="41"/>
        <v>18443967</v>
      </c>
      <c r="X58" s="494">
        <f t="shared" si="41"/>
        <v>82972949</v>
      </c>
      <c r="Y58" s="494">
        <f t="shared" si="41"/>
        <v>80540769</v>
      </c>
      <c r="Z58" s="495"/>
      <c r="AB58" s="338"/>
    </row>
    <row r="59" spans="1:28" s="107" customFormat="1" ht="15.75" customHeight="1">
      <c r="A59" s="294"/>
      <c r="B59" s="298" t="s">
        <v>404</v>
      </c>
      <c r="C59" s="496"/>
      <c r="D59" s="498"/>
      <c r="E59" s="498"/>
      <c r="F59" s="496"/>
      <c r="G59" s="499"/>
      <c r="H59" s="498"/>
      <c r="I59" s="498"/>
      <c r="J59" s="498"/>
      <c r="K59" s="498"/>
      <c r="L59" s="498"/>
      <c r="M59" s="498"/>
      <c r="N59" s="498"/>
      <c r="O59" s="496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3"/>
      <c r="AB59" s="111"/>
    </row>
    <row r="60" spans="1:28" s="107" customFormat="1" ht="15.75" customHeight="1">
      <c r="A60" s="300">
        <v>440</v>
      </c>
      <c r="B60" s="301" t="s">
        <v>574</v>
      </c>
      <c r="C60" s="492">
        <f t="shared" si="39"/>
        <v>0</v>
      </c>
      <c r="D60" s="465"/>
      <c r="E60" s="465"/>
      <c r="F60" s="492">
        <f t="shared" ref="F60:F65" si="42">+G60+H60+I60</f>
        <v>0</v>
      </c>
      <c r="G60" s="465"/>
      <c r="H60" s="465"/>
      <c r="I60" s="465"/>
      <c r="J60" s="465"/>
      <c r="K60" s="465"/>
      <c r="L60" s="465"/>
      <c r="M60" s="465"/>
      <c r="N60" s="465"/>
      <c r="O60" s="492">
        <f t="shared" ref="O60:O71" si="43">+P60+Q60</f>
        <v>0</v>
      </c>
      <c r="P60" s="465"/>
      <c r="Q60" s="465"/>
      <c r="R60" s="465"/>
      <c r="S60" s="465"/>
      <c r="T60" s="465"/>
      <c r="U60" s="465"/>
      <c r="V60" s="465"/>
      <c r="W60" s="465"/>
      <c r="X60" s="465"/>
      <c r="Y60" s="465"/>
      <c r="Z60" s="493"/>
      <c r="AB60" s="111"/>
    </row>
    <row r="61" spans="1:28" s="107" customFormat="1" ht="15.75" customHeight="1">
      <c r="A61" s="300">
        <f t="shared" si="2"/>
        <v>450</v>
      </c>
      <c r="B61" s="301" t="s">
        <v>331</v>
      </c>
      <c r="C61" s="492">
        <f t="shared" si="39"/>
        <v>0</v>
      </c>
      <c r="D61" s="465"/>
      <c r="E61" s="465"/>
      <c r="F61" s="492">
        <f t="shared" si="42"/>
        <v>0</v>
      </c>
      <c r="G61" s="465"/>
      <c r="H61" s="465"/>
      <c r="I61" s="465"/>
      <c r="J61" s="465"/>
      <c r="K61" s="465"/>
      <c r="L61" s="465"/>
      <c r="M61" s="465"/>
      <c r="N61" s="465"/>
      <c r="O61" s="492">
        <f t="shared" si="43"/>
        <v>0</v>
      </c>
      <c r="P61" s="465"/>
      <c r="Q61" s="465"/>
      <c r="R61" s="465"/>
      <c r="S61" s="465"/>
      <c r="T61" s="465"/>
      <c r="U61" s="465"/>
      <c r="V61" s="465"/>
      <c r="W61" s="465"/>
      <c r="X61" s="465"/>
      <c r="Y61" s="465"/>
      <c r="Z61" s="493"/>
      <c r="AB61" s="111"/>
    </row>
    <row r="62" spans="1:28" s="107" customFormat="1" ht="15.75" customHeight="1">
      <c r="A62" s="300">
        <f t="shared" si="2"/>
        <v>460</v>
      </c>
      <c r="B62" s="301" t="s">
        <v>332</v>
      </c>
      <c r="C62" s="492">
        <f t="shared" si="39"/>
        <v>0</v>
      </c>
      <c r="D62" s="465"/>
      <c r="E62" s="465"/>
      <c r="F62" s="492">
        <f t="shared" si="42"/>
        <v>0</v>
      </c>
      <c r="G62" s="465"/>
      <c r="H62" s="465"/>
      <c r="I62" s="465"/>
      <c r="J62" s="465"/>
      <c r="K62" s="465"/>
      <c r="L62" s="465"/>
      <c r="M62" s="465"/>
      <c r="N62" s="465"/>
      <c r="O62" s="492">
        <f t="shared" si="43"/>
        <v>0</v>
      </c>
      <c r="P62" s="465"/>
      <c r="Q62" s="465"/>
      <c r="R62" s="465"/>
      <c r="S62" s="465"/>
      <c r="T62" s="465"/>
      <c r="U62" s="465"/>
      <c r="V62" s="465"/>
      <c r="W62" s="465"/>
      <c r="X62" s="465"/>
      <c r="Y62" s="465"/>
      <c r="Z62" s="493"/>
      <c r="AB62" s="111"/>
    </row>
    <row r="63" spans="1:28" s="107" customFormat="1" ht="15.75" customHeight="1">
      <c r="A63" s="300">
        <f t="shared" si="2"/>
        <v>470</v>
      </c>
      <c r="B63" s="301" t="s">
        <v>571</v>
      </c>
      <c r="C63" s="492">
        <f t="shared" si="39"/>
        <v>0</v>
      </c>
      <c r="D63" s="465"/>
      <c r="E63" s="465"/>
      <c r="F63" s="492">
        <f t="shared" si="42"/>
        <v>0</v>
      </c>
      <c r="G63" s="465"/>
      <c r="H63" s="465"/>
      <c r="I63" s="465"/>
      <c r="J63" s="465"/>
      <c r="K63" s="465"/>
      <c r="L63" s="465"/>
      <c r="M63" s="465"/>
      <c r="N63" s="465"/>
      <c r="O63" s="492">
        <f t="shared" si="43"/>
        <v>0</v>
      </c>
      <c r="P63" s="465"/>
      <c r="Q63" s="465"/>
      <c r="R63" s="465"/>
      <c r="S63" s="465"/>
      <c r="T63" s="465"/>
      <c r="U63" s="465"/>
      <c r="V63" s="465"/>
      <c r="W63" s="465"/>
      <c r="X63" s="465"/>
      <c r="Y63" s="465"/>
      <c r="Z63" s="493"/>
      <c r="AB63" s="111"/>
    </row>
    <row r="64" spans="1:28" s="107" customFormat="1" ht="15.75" customHeight="1">
      <c r="A64" s="300">
        <f t="shared" si="2"/>
        <v>480</v>
      </c>
      <c r="B64" s="301" t="s">
        <v>573</v>
      </c>
      <c r="C64" s="492">
        <f t="shared" si="39"/>
        <v>0</v>
      </c>
      <c r="D64" s="465"/>
      <c r="E64" s="465"/>
      <c r="F64" s="492">
        <f t="shared" si="42"/>
        <v>0</v>
      </c>
      <c r="G64" s="465"/>
      <c r="H64" s="465"/>
      <c r="I64" s="465"/>
      <c r="J64" s="465"/>
      <c r="K64" s="465"/>
      <c r="L64" s="465"/>
      <c r="M64" s="465"/>
      <c r="N64" s="465"/>
      <c r="O64" s="492">
        <f t="shared" si="43"/>
        <v>0</v>
      </c>
      <c r="P64" s="465"/>
      <c r="Q64" s="465"/>
      <c r="R64" s="465"/>
      <c r="S64" s="465"/>
      <c r="T64" s="465"/>
      <c r="U64" s="465"/>
      <c r="V64" s="465"/>
      <c r="W64" s="465"/>
      <c r="X64" s="465"/>
      <c r="Y64" s="465"/>
      <c r="Z64" s="493"/>
      <c r="AB64" s="111"/>
    </row>
    <row r="65" spans="1:28" s="107" customFormat="1" ht="15.75" customHeight="1">
      <c r="A65" s="300">
        <f t="shared" si="2"/>
        <v>490</v>
      </c>
      <c r="B65" s="301" t="s">
        <v>328</v>
      </c>
      <c r="C65" s="492">
        <f t="shared" si="39"/>
        <v>0</v>
      </c>
      <c r="D65" s="465"/>
      <c r="E65" s="465"/>
      <c r="F65" s="492">
        <f t="shared" si="42"/>
        <v>0</v>
      </c>
      <c r="G65" s="465"/>
      <c r="H65" s="465"/>
      <c r="I65" s="465"/>
      <c r="J65" s="465"/>
      <c r="K65" s="465"/>
      <c r="L65" s="465"/>
      <c r="M65" s="465"/>
      <c r="N65" s="465"/>
      <c r="O65" s="492">
        <f t="shared" si="43"/>
        <v>0</v>
      </c>
      <c r="P65" s="465"/>
      <c r="Q65" s="465"/>
      <c r="R65" s="465"/>
      <c r="S65" s="465"/>
      <c r="T65" s="465"/>
      <c r="U65" s="465"/>
      <c r="V65" s="465"/>
      <c r="W65" s="465"/>
      <c r="X65" s="465"/>
      <c r="Y65" s="465"/>
      <c r="Z65" s="493"/>
      <c r="AB65" s="111"/>
    </row>
    <row r="66" spans="1:28" s="107" customFormat="1" ht="15.75" customHeight="1">
      <c r="A66" s="300">
        <f t="shared" si="2"/>
        <v>500</v>
      </c>
      <c r="B66" s="301" t="s">
        <v>621</v>
      </c>
      <c r="C66" s="492">
        <f t="shared" si="39"/>
        <v>0</v>
      </c>
      <c r="D66" s="465"/>
      <c r="E66" s="465"/>
      <c r="F66" s="492">
        <f t="shared" ref="F66:F71" si="44">+G66+H66+I66</f>
        <v>0</v>
      </c>
      <c r="G66" s="465"/>
      <c r="H66" s="465"/>
      <c r="I66" s="465"/>
      <c r="J66" s="465"/>
      <c r="K66" s="465"/>
      <c r="L66" s="465"/>
      <c r="M66" s="465"/>
      <c r="N66" s="465"/>
      <c r="O66" s="492">
        <f t="shared" si="43"/>
        <v>0</v>
      </c>
      <c r="P66" s="465"/>
      <c r="Q66" s="465"/>
      <c r="R66" s="465"/>
      <c r="S66" s="465"/>
      <c r="T66" s="465"/>
      <c r="U66" s="465"/>
      <c r="V66" s="465"/>
      <c r="W66" s="465"/>
      <c r="X66" s="465"/>
      <c r="Y66" s="465"/>
      <c r="Z66" s="493"/>
      <c r="AB66" s="111"/>
    </row>
    <row r="67" spans="1:28" s="107" customFormat="1" ht="15.75" customHeight="1">
      <c r="A67" s="300">
        <f t="shared" ref="A67:A85" si="45">A66+10</f>
        <v>510</v>
      </c>
      <c r="B67" s="301" t="s">
        <v>577</v>
      </c>
      <c r="C67" s="492">
        <f t="shared" si="39"/>
        <v>0</v>
      </c>
      <c r="D67" s="465"/>
      <c r="E67" s="465"/>
      <c r="F67" s="492">
        <f t="shared" si="44"/>
        <v>0</v>
      </c>
      <c r="G67" s="465"/>
      <c r="H67" s="465"/>
      <c r="I67" s="465"/>
      <c r="J67" s="465"/>
      <c r="K67" s="465"/>
      <c r="L67" s="465"/>
      <c r="M67" s="465"/>
      <c r="N67" s="465"/>
      <c r="O67" s="492">
        <f t="shared" si="43"/>
        <v>0</v>
      </c>
      <c r="P67" s="465"/>
      <c r="Q67" s="465"/>
      <c r="R67" s="465"/>
      <c r="S67" s="465"/>
      <c r="T67" s="465"/>
      <c r="U67" s="465"/>
      <c r="V67" s="465"/>
      <c r="W67" s="465"/>
      <c r="X67" s="465"/>
      <c r="Y67" s="465"/>
      <c r="Z67" s="493"/>
      <c r="AB67" s="111"/>
    </row>
    <row r="68" spans="1:28" s="107" customFormat="1" ht="15.75" customHeight="1">
      <c r="A68" s="300">
        <f t="shared" si="45"/>
        <v>520</v>
      </c>
      <c r="B68" s="301" t="s">
        <v>578</v>
      </c>
      <c r="C68" s="492">
        <f t="shared" si="39"/>
        <v>0</v>
      </c>
      <c r="D68" s="465"/>
      <c r="E68" s="465"/>
      <c r="F68" s="492">
        <f t="shared" si="44"/>
        <v>0</v>
      </c>
      <c r="G68" s="465"/>
      <c r="H68" s="465"/>
      <c r="I68" s="465"/>
      <c r="J68" s="465"/>
      <c r="K68" s="465"/>
      <c r="L68" s="465"/>
      <c r="M68" s="465"/>
      <c r="N68" s="465"/>
      <c r="O68" s="492">
        <f t="shared" si="43"/>
        <v>0</v>
      </c>
      <c r="P68" s="465"/>
      <c r="Q68" s="465"/>
      <c r="R68" s="465"/>
      <c r="S68" s="465"/>
      <c r="T68" s="465"/>
      <c r="U68" s="465"/>
      <c r="V68" s="465"/>
      <c r="W68" s="465"/>
      <c r="X68" s="465"/>
      <c r="Y68" s="465"/>
      <c r="Z68" s="493"/>
      <c r="AB68" s="111"/>
    </row>
    <row r="69" spans="1:28" s="107" customFormat="1" ht="15.75" customHeight="1">
      <c r="A69" s="300">
        <f>A68+10</f>
        <v>530</v>
      </c>
      <c r="B69" s="301" t="s">
        <v>579</v>
      </c>
      <c r="C69" s="492">
        <f t="shared" si="39"/>
        <v>0</v>
      </c>
      <c r="D69" s="465"/>
      <c r="E69" s="465"/>
      <c r="F69" s="492">
        <f t="shared" si="44"/>
        <v>0</v>
      </c>
      <c r="G69" s="465"/>
      <c r="H69" s="465"/>
      <c r="I69" s="465"/>
      <c r="J69" s="465"/>
      <c r="K69" s="465"/>
      <c r="L69" s="465"/>
      <c r="M69" s="465"/>
      <c r="N69" s="465"/>
      <c r="O69" s="492">
        <f t="shared" si="43"/>
        <v>0</v>
      </c>
      <c r="P69" s="465"/>
      <c r="Q69" s="465"/>
      <c r="R69" s="465"/>
      <c r="S69" s="465"/>
      <c r="T69" s="465"/>
      <c r="U69" s="465"/>
      <c r="V69" s="465"/>
      <c r="W69" s="465"/>
      <c r="X69" s="465"/>
      <c r="Y69" s="465"/>
      <c r="Z69" s="493"/>
      <c r="AB69" s="111"/>
    </row>
    <row r="70" spans="1:28" s="337" customFormat="1" ht="15.75" customHeight="1">
      <c r="A70" s="336">
        <f>A69+10</f>
        <v>540</v>
      </c>
      <c r="B70" s="336" t="s">
        <v>166</v>
      </c>
      <c r="C70" s="494">
        <f t="shared" si="39"/>
        <v>0</v>
      </c>
      <c r="D70" s="494">
        <f>SUM(D60:D69)</f>
        <v>0</v>
      </c>
      <c r="E70" s="494">
        <f>SUM(E60:E69)</f>
        <v>0</v>
      </c>
      <c r="F70" s="494">
        <f t="shared" si="44"/>
        <v>0</v>
      </c>
      <c r="G70" s="494">
        <f>SUM(G60:G69)</f>
        <v>0</v>
      </c>
      <c r="H70" s="494">
        <f>SUM(H60:H69)</f>
        <v>0</v>
      </c>
      <c r="I70" s="494">
        <f>SUM(I60:I69)</f>
        <v>0</v>
      </c>
      <c r="J70" s="494">
        <f t="shared" ref="J70:Y70" si="46">SUM(J60:J69)</f>
        <v>0</v>
      </c>
      <c r="K70" s="494">
        <f t="shared" si="46"/>
        <v>0</v>
      </c>
      <c r="L70" s="494">
        <f t="shared" si="46"/>
        <v>0</v>
      </c>
      <c r="M70" s="494">
        <f t="shared" si="46"/>
        <v>0</v>
      </c>
      <c r="N70" s="494">
        <f t="shared" si="46"/>
        <v>0</v>
      </c>
      <c r="O70" s="494">
        <f t="shared" si="46"/>
        <v>0</v>
      </c>
      <c r="P70" s="494">
        <f t="shared" si="46"/>
        <v>0</v>
      </c>
      <c r="Q70" s="494">
        <f t="shared" si="46"/>
        <v>0</v>
      </c>
      <c r="R70" s="494">
        <f t="shared" si="46"/>
        <v>0</v>
      </c>
      <c r="S70" s="494">
        <f t="shared" si="46"/>
        <v>0</v>
      </c>
      <c r="T70" s="494">
        <f t="shared" si="46"/>
        <v>0</v>
      </c>
      <c r="U70" s="494">
        <f t="shared" si="46"/>
        <v>0</v>
      </c>
      <c r="V70" s="494">
        <f t="shared" si="46"/>
        <v>0</v>
      </c>
      <c r="W70" s="494">
        <f t="shared" si="46"/>
        <v>0</v>
      </c>
      <c r="X70" s="494">
        <f t="shared" si="46"/>
        <v>0</v>
      </c>
      <c r="Y70" s="494">
        <f t="shared" si="46"/>
        <v>0</v>
      </c>
      <c r="Z70" s="495"/>
      <c r="AB70" s="338"/>
    </row>
    <row r="71" spans="1:28" s="107" customFormat="1" ht="17.25" customHeight="1">
      <c r="A71" s="300">
        <v>550</v>
      </c>
      <c r="B71" s="303" t="s">
        <v>619</v>
      </c>
      <c r="C71" s="492">
        <f t="shared" si="39"/>
        <v>8419167816</v>
      </c>
      <c r="D71" s="465">
        <v>8419167816</v>
      </c>
      <c r="E71" s="465">
        <v>0</v>
      </c>
      <c r="F71" s="492">
        <f t="shared" si="44"/>
        <v>407163997</v>
      </c>
      <c r="G71" s="465">
        <v>173943343</v>
      </c>
      <c r="H71" s="465">
        <v>110154468</v>
      </c>
      <c r="I71" s="465">
        <v>123066186</v>
      </c>
      <c r="J71" s="465">
        <v>0</v>
      </c>
      <c r="K71" s="465">
        <v>0</v>
      </c>
      <c r="L71" s="465">
        <v>0</v>
      </c>
      <c r="M71" s="465">
        <v>820198083</v>
      </c>
      <c r="N71" s="465">
        <v>0</v>
      </c>
      <c r="O71" s="492">
        <f t="shared" si="43"/>
        <v>1479073317</v>
      </c>
      <c r="P71" s="465">
        <v>1441760298</v>
      </c>
      <c r="Q71" s="465">
        <v>37313019</v>
      </c>
      <c r="R71" s="465">
        <v>0</v>
      </c>
      <c r="S71" s="465">
        <v>0</v>
      </c>
      <c r="T71" s="465">
        <v>0</v>
      </c>
      <c r="U71" s="465">
        <v>0</v>
      </c>
      <c r="V71" s="465">
        <v>1677280030</v>
      </c>
      <c r="W71" s="465">
        <v>4425886516</v>
      </c>
      <c r="X71" s="465">
        <v>16258450</v>
      </c>
      <c r="Y71" s="465">
        <v>471420</v>
      </c>
      <c r="Z71" s="493"/>
    </row>
    <row r="72" spans="1:28" s="107" customFormat="1" ht="15.75" customHeight="1">
      <c r="A72" s="294"/>
      <c r="B72" s="298" t="s">
        <v>620</v>
      </c>
      <c r="C72" s="496"/>
      <c r="D72" s="496"/>
      <c r="E72" s="496"/>
      <c r="F72" s="496"/>
      <c r="G72" s="497"/>
      <c r="H72" s="496"/>
      <c r="I72" s="496"/>
      <c r="J72" s="496"/>
      <c r="K72" s="496"/>
      <c r="L72" s="496"/>
      <c r="M72" s="496"/>
      <c r="N72" s="496"/>
      <c r="O72" s="496"/>
      <c r="P72" s="496"/>
      <c r="Q72" s="496"/>
      <c r="R72" s="496"/>
      <c r="S72" s="496"/>
      <c r="T72" s="496"/>
      <c r="U72" s="496"/>
      <c r="V72" s="496"/>
      <c r="W72" s="496"/>
      <c r="X72" s="496"/>
      <c r="Y72" s="496"/>
      <c r="Z72" s="493"/>
      <c r="AB72" s="111"/>
    </row>
    <row r="73" spans="1:28" s="107" customFormat="1" ht="15.75" customHeight="1">
      <c r="A73" s="300">
        <f>A71+10</f>
        <v>560</v>
      </c>
      <c r="B73" s="301" t="s">
        <v>329</v>
      </c>
      <c r="C73" s="492">
        <f t="shared" ref="C73:C85" si="47">SUM(J73:Y73)-L73-P73-Q73</f>
        <v>8419167816</v>
      </c>
      <c r="D73" s="492">
        <f t="shared" ref="D73:Y73" si="48">+D71</f>
        <v>8419167816</v>
      </c>
      <c r="E73" s="492">
        <f t="shared" ref="E73" si="49">+E71</f>
        <v>0</v>
      </c>
      <c r="F73" s="492">
        <f t="shared" si="48"/>
        <v>407163997</v>
      </c>
      <c r="G73" s="492">
        <f t="shared" ref="G73" si="50">+G71</f>
        <v>173943343</v>
      </c>
      <c r="H73" s="492">
        <f t="shared" si="48"/>
        <v>110154468</v>
      </c>
      <c r="I73" s="492">
        <f t="shared" si="48"/>
        <v>123066186</v>
      </c>
      <c r="J73" s="492">
        <f t="shared" si="48"/>
        <v>0</v>
      </c>
      <c r="K73" s="492">
        <f t="shared" si="48"/>
        <v>0</v>
      </c>
      <c r="L73" s="492">
        <f t="shared" si="48"/>
        <v>0</v>
      </c>
      <c r="M73" s="492">
        <f t="shared" si="48"/>
        <v>820198083</v>
      </c>
      <c r="N73" s="492">
        <f t="shared" si="48"/>
        <v>0</v>
      </c>
      <c r="O73" s="492">
        <f t="shared" si="48"/>
        <v>1479073317</v>
      </c>
      <c r="P73" s="492">
        <f t="shared" si="48"/>
        <v>1441760298</v>
      </c>
      <c r="Q73" s="492">
        <f t="shared" si="48"/>
        <v>37313019</v>
      </c>
      <c r="R73" s="492">
        <f t="shared" si="48"/>
        <v>0</v>
      </c>
      <c r="S73" s="492">
        <f t="shared" si="48"/>
        <v>0</v>
      </c>
      <c r="T73" s="492">
        <f t="shared" si="48"/>
        <v>0</v>
      </c>
      <c r="U73" s="492">
        <f t="shared" si="48"/>
        <v>0</v>
      </c>
      <c r="V73" s="492">
        <f t="shared" si="48"/>
        <v>1677280030</v>
      </c>
      <c r="W73" s="492">
        <f t="shared" si="48"/>
        <v>4425886516</v>
      </c>
      <c r="X73" s="492">
        <f t="shared" si="48"/>
        <v>16258450</v>
      </c>
      <c r="Y73" s="492">
        <f t="shared" si="48"/>
        <v>471420</v>
      </c>
      <c r="Z73" s="493"/>
      <c r="AB73" s="111"/>
    </row>
    <row r="74" spans="1:28" s="107" customFormat="1" ht="15.75" customHeight="1">
      <c r="A74" s="300">
        <f t="shared" si="45"/>
        <v>570</v>
      </c>
      <c r="B74" s="301" t="s">
        <v>574</v>
      </c>
      <c r="C74" s="492">
        <f t="shared" si="47"/>
        <v>268361120</v>
      </c>
      <c r="D74" s="492">
        <f t="shared" ref="D74:F76" si="51">D9+D16+D24+D31+D38+D45+D52+D60</f>
        <v>48185502</v>
      </c>
      <c r="E74" s="492">
        <f t="shared" si="51"/>
        <v>220175618</v>
      </c>
      <c r="F74" s="492">
        <f t="shared" si="51"/>
        <v>8818842</v>
      </c>
      <c r="G74" s="492">
        <f t="shared" ref="G74" si="52">G9+G16+G24+G31+G38+G45+G52+G60</f>
        <v>8658212</v>
      </c>
      <c r="H74" s="492">
        <f t="shared" ref="H74:Y74" si="53">H9+H16+H24+H31+H38+H45+H52+H60</f>
        <v>160630</v>
      </c>
      <c r="I74" s="492">
        <f t="shared" si="53"/>
        <v>0</v>
      </c>
      <c r="J74" s="492">
        <f t="shared" si="53"/>
        <v>0</v>
      </c>
      <c r="K74" s="492">
        <f t="shared" si="53"/>
        <v>0</v>
      </c>
      <c r="L74" s="492">
        <f t="shared" si="53"/>
        <v>0</v>
      </c>
      <c r="M74" s="492">
        <f t="shared" si="53"/>
        <v>1250688</v>
      </c>
      <c r="N74" s="492">
        <f t="shared" si="53"/>
        <v>0</v>
      </c>
      <c r="O74" s="492">
        <f t="shared" si="53"/>
        <v>228345703</v>
      </c>
      <c r="P74" s="492">
        <f t="shared" si="53"/>
        <v>385276</v>
      </c>
      <c r="Q74" s="492">
        <f t="shared" si="53"/>
        <v>227960427</v>
      </c>
      <c r="R74" s="492">
        <f t="shared" si="53"/>
        <v>0</v>
      </c>
      <c r="S74" s="492">
        <f t="shared" si="53"/>
        <v>0</v>
      </c>
      <c r="T74" s="492">
        <f t="shared" si="53"/>
        <v>0</v>
      </c>
      <c r="U74" s="492">
        <f t="shared" si="53"/>
        <v>0</v>
      </c>
      <c r="V74" s="492">
        <f t="shared" si="53"/>
        <v>34718467</v>
      </c>
      <c r="W74" s="492">
        <f t="shared" si="53"/>
        <v>48000</v>
      </c>
      <c r="X74" s="492">
        <f t="shared" si="53"/>
        <v>0</v>
      </c>
      <c r="Y74" s="492">
        <f t="shared" si="53"/>
        <v>3998262</v>
      </c>
      <c r="Z74" s="493"/>
      <c r="AB74" s="111"/>
    </row>
    <row r="75" spans="1:28" s="107" customFormat="1" ht="15.75" customHeight="1">
      <c r="A75" s="300">
        <f t="shared" si="45"/>
        <v>580</v>
      </c>
      <c r="B75" s="301" t="s">
        <v>331</v>
      </c>
      <c r="C75" s="492">
        <f t="shared" si="47"/>
        <v>205430203</v>
      </c>
      <c r="D75" s="492">
        <f t="shared" si="51"/>
        <v>62916632</v>
      </c>
      <c r="E75" s="492">
        <f t="shared" si="51"/>
        <v>142513571</v>
      </c>
      <c r="F75" s="492">
        <f t="shared" si="51"/>
        <v>991732</v>
      </c>
      <c r="G75" s="492">
        <f t="shared" ref="G75" si="54">G10+G17+G25+G32+G39+G46+G53+G61</f>
        <v>0</v>
      </c>
      <c r="H75" s="492">
        <f t="shared" ref="H75:Y75" si="55">H10+H17+H25+H32+H39+H46+H53+H61</f>
        <v>388881</v>
      </c>
      <c r="I75" s="492">
        <f t="shared" si="55"/>
        <v>602851</v>
      </c>
      <c r="J75" s="492">
        <f t="shared" si="55"/>
        <v>0</v>
      </c>
      <c r="K75" s="492">
        <f t="shared" si="55"/>
        <v>0</v>
      </c>
      <c r="L75" s="492">
        <f t="shared" si="55"/>
        <v>0</v>
      </c>
      <c r="M75" s="492">
        <f t="shared" si="55"/>
        <v>4333887</v>
      </c>
      <c r="N75" s="492">
        <f t="shared" si="55"/>
        <v>0</v>
      </c>
      <c r="O75" s="492">
        <f t="shared" si="55"/>
        <v>201096316</v>
      </c>
      <c r="P75" s="492">
        <f t="shared" si="55"/>
        <v>41732800</v>
      </c>
      <c r="Q75" s="492">
        <f t="shared" si="55"/>
        <v>159363516</v>
      </c>
      <c r="R75" s="492">
        <f t="shared" si="55"/>
        <v>0</v>
      </c>
      <c r="S75" s="492">
        <f t="shared" si="55"/>
        <v>0</v>
      </c>
      <c r="T75" s="492">
        <f t="shared" si="55"/>
        <v>0</v>
      </c>
      <c r="U75" s="492">
        <f t="shared" si="55"/>
        <v>0</v>
      </c>
      <c r="V75" s="492">
        <f t="shared" si="55"/>
        <v>0</v>
      </c>
      <c r="W75" s="492">
        <f t="shared" si="55"/>
        <v>0</v>
      </c>
      <c r="X75" s="492">
        <f t="shared" si="55"/>
        <v>0</v>
      </c>
      <c r="Y75" s="492">
        <f t="shared" si="55"/>
        <v>0</v>
      </c>
      <c r="Z75" s="493"/>
      <c r="AB75" s="111"/>
    </row>
    <row r="76" spans="1:28" s="107" customFormat="1" ht="15.75" customHeight="1">
      <c r="A76" s="300">
        <f t="shared" si="45"/>
        <v>590</v>
      </c>
      <c r="B76" s="301" t="s">
        <v>332</v>
      </c>
      <c r="C76" s="492">
        <f t="shared" si="47"/>
        <v>11038064916</v>
      </c>
      <c r="D76" s="492">
        <f t="shared" si="51"/>
        <v>7683584593</v>
      </c>
      <c r="E76" s="492">
        <f t="shared" si="51"/>
        <v>3354480323</v>
      </c>
      <c r="F76" s="492">
        <f t="shared" si="51"/>
        <v>452269331</v>
      </c>
      <c r="G76" s="492">
        <f t="shared" ref="G76" si="56">G11+G18+G26+G33+G40+G47+G54+G62</f>
        <v>67399884</v>
      </c>
      <c r="H76" s="492">
        <f t="shared" ref="H76:Y76" si="57">H11+H18+H26+H33+H40+H47+H54+H62</f>
        <v>249641802</v>
      </c>
      <c r="I76" s="492">
        <f t="shared" si="57"/>
        <v>135227645</v>
      </c>
      <c r="J76" s="492">
        <f t="shared" si="57"/>
        <v>0</v>
      </c>
      <c r="K76" s="492">
        <f t="shared" si="57"/>
        <v>0</v>
      </c>
      <c r="L76" s="492">
        <f t="shared" si="57"/>
        <v>0</v>
      </c>
      <c r="M76" s="492">
        <f t="shared" si="57"/>
        <v>194956696</v>
      </c>
      <c r="N76" s="492">
        <f t="shared" si="57"/>
        <v>0</v>
      </c>
      <c r="O76" s="492">
        <f t="shared" si="57"/>
        <v>7768315814</v>
      </c>
      <c r="P76" s="492">
        <f t="shared" si="57"/>
        <v>1328145730</v>
      </c>
      <c r="Q76" s="492">
        <f t="shared" si="57"/>
        <v>6440170084</v>
      </c>
      <c r="R76" s="492">
        <f t="shared" si="57"/>
        <v>0</v>
      </c>
      <c r="S76" s="492">
        <f t="shared" si="57"/>
        <v>0</v>
      </c>
      <c r="T76" s="492">
        <f t="shared" si="57"/>
        <v>0</v>
      </c>
      <c r="U76" s="492">
        <f t="shared" si="57"/>
        <v>0</v>
      </c>
      <c r="V76" s="492">
        <f t="shared" si="57"/>
        <v>562593334</v>
      </c>
      <c r="W76" s="492">
        <f t="shared" si="57"/>
        <v>1414955704</v>
      </c>
      <c r="X76" s="492">
        <f t="shared" si="57"/>
        <v>597252984</v>
      </c>
      <c r="Y76" s="492">
        <f t="shared" si="57"/>
        <v>499990384</v>
      </c>
      <c r="Z76" s="493"/>
      <c r="AB76" s="111"/>
    </row>
    <row r="77" spans="1:28" s="107" customFormat="1" ht="15.75" customHeight="1">
      <c r="A77" s="300">
        <f t="shared" si="45"/>
        <v>600</v>
      </c>
      <c r="B77" s="301" t="s">
        <v>575</v>
      </c>
      <c r="C77" s="492">
        <f t="shared" si="47"/>
        <v>339848885</v>
      </c>
      <c r="D77" s="492">
        <f>D19</f>
        <v>319019450</v>
      </c>
      <c r="E77" s="492">
        <f>E19</f>
        <v>20829435</v>
      </c>
      <c r="F77" s="492">
        <f>F19</f>
        <v>24759951</v>
      </c>
      <c r="G77" s="492">
        <f t="shared" ref="G77" si="58">G19</f>
        <v>4150709</v>
      </c>
      <c r="H77" s="492">
        <f t="shared" ref="H77:Y77" si="59">H19</f>
        <v>13619621</v>
      </c>
      <c r="I77" s="492">
        <f t="shared" si="59"/>
        <v>6989621</v>
      </c>
      <c r="J77" s="492">
        <f t="shared" si="59"/>
        <v>0</v>
      </c>
      <c r="K77" s="492">
        <f t="shared" si="59"/>
        <v>0</v>
      </c>
      <c r="L77" s="492">
        <f t="shared" si="59"/>
        <v>0</v>
      </c>
      <c r="M77" s="492">
        <f t="shared" si="59"/>
        <v>6464007</v>
      </c>
      <c r="N77" s="492">
        <f t="shared" si="59"/>
        <v>0</v>
      </c>
      <c r="O77" s="492">
        <f t="shared" si="59"/>
        <v>260314790</v>
      </c>
      <c r="P77" s="492">
        <f t="shared" si="59"/>
        <v>57301660</v>
      </c>
      <c r="Q77" s="492">
        <f t="shared" si="59"/>
        <v>203013130</v>
      </c>
      <c r="R77" s="492">
        <f t="shared" si="59"/>
        <v>0</v>
      </c>
      <c r="S77" s="492">
        <f t="shared" si="59"/>
        <v>0</v>
      </c>
      <c r="T77" s="492">
        <f t="shared" si="59"/>
        <v>0</v>
      </c>
      <c r="U77" s="492">
        <f t="shared" si="59"/>
        <v>0</v>
      </c>
      <c r="V77" s="492">
        <f t="shared" si="59"/>
        <v>5224395</v>
      </c>
      <c r="W77" s="492">
        <f t="shared" si="59"/>
        <v>48231354</v>
      </c>
      <c r="X77" s="492">
        <f t="shared" si="59"/>
        <v>9414658</v>
      </c>
      <c r="Y77" s="492">
        <f t="shared" si="59"/>
        <v>10199681</v>
      </c>
      <c r="Z77" s="493"/>
      <c r="AB77" s="111"/>
    </row>
    <row r="78" spans="1:28" s="107" customFormat="1" ht="15.75" customHeight="1">
      <c r="A78" s="300">
        <f t="shared" si="45"/>
        <v>610</v>
      </c>
      <c r="B78" s="301" t="s">
        <v>573</v>
      </c>
      <c r="C78" s="492">
        <f t="shared" si="47"/>
        <v>0</v>
      </c>
      <c r="D78" s="492">
        <f t="shared" ref="D78:Y78" si="60">D64</f>
        <v>0</v>
      </c>
      <c r="E78" s="492">
        <f t="shared" ref="E78" si="61">E64</f>
        <v>0</v>
      </c>
      <c r="F78" s="492">
        <f t="shared" si="60"/>
        <v>0</v>
      </c>
      <c r="G78" s="492">
        <f t="shared" ref="G78" si="62">G64</f>
        <v>0</v>
      </c>
      <c r="H78" s="492">
        <f t="shared" si="60"/>
        <v>0</v>
      </c>
      <c r="I78" s="492">
        <f t="shared" si="60"/>
        <v>0</v>
      </c>
      <c r="J78" s="492">
        <f t="shared" si="60"/>
        <v>0</v>
      </c>
      <c r="K78" s="492">
        <f t="shared" si="60"/>
        <v>0</v>
      </c>
      <c r="L78" s="492">
        <f t="shared" si="60"/>
        <v>0</v>
      </c>
      <c r="M78" s="492">
        <f t="shared" si="60"/>
        <v>0</v>
      </c>
      <c r="N78" s="492">
        <f t="shared" si="60"/>
        <v>0</v>
      </c>
      <c r="O78" s="492">
        <f t="shared" si="60"/>
        <v>0</v>
      </c>
      <c r="P78" s="492">
        <f t="shared" si="60"/>
        <v>0</v>
      </c>
      <c r="Q78" s="492">
        <f t="shared" si="60"/>
        <v>0</v>
      </c>
      <c r="R78" s="492">
        <f t="shared" si="60"/>
        <v>0</v>
      </c>
      <c r="S78" s="492">
        <f t="shared" si="60"/>
        <v>0</v>
      </c>
      <c r="T78" s="492">
        <f t="shared" si="60"/>
        <v>0</v>
      </c>
      <c r="U78" s="492">
        <f t="shared" si="60"/>
        <v>0</v>
      </c>
      <c r="V78" s="492">
        <f t="shared" si="60"/>
        <v>0</v>
      </c>
      <c r="W78" s="492">
        <f t="shared" si="60"/>
        <v>0</v>
      </c>
      <c r="X78" s="492">
        <f t="shared" si="60"/>
        <v>0</v>
      </c>
      <c r="Y78" s="492">
        <f t="shared" si="60"/>
        <v>0</v>
      </c>
      <c r="Z78" s="493"/>
      <c r="AB78" s="111"/>
    </row>
    <row r="79" spans="1:28" s="107" customFormat="1" ht="15.75" customHeight="1">
      <c r="A79" s="300">
        <f t="shared" si="45"/>
        <v>620</v>
      </c>
      <c r="B79" s="301" t="s">
        <v>571</v>
      </c>
      <c r="C79" s="492">
        <f t="shared" si="47"/>
        <v>0</v>
      </c>
      <c r="D79" s="492">
        <f t="shared" ref="D79:Y79" si="63">D63</f>
        <v>0</v>
      </c>
      <c r="E79" s="492">
        <f t="shared" ref="E79" si="64">E63</f>
        <v>0</v>
      </c>
      <c r="F79" s="492">
        <f t="shared" si="63"/>
        <v>0</v>
      </c>
      <c r="G79" s="492">
        <f t="shared" ref="G79" si="65">G63</f>
        <v>0</v>
      </c>
      <c r="H79" s="492">
        <f t="shared" si="63"/>
        <v>0</v>
      </c>
      <c r="I79" s="492">
        <f t="shared" si="63"/>
        <v>0</v>
      </c>
      <c r="J79" s="492">
        <f t="shared" si="63"/>
        <v>0</v>
      </c>
      <c r="K79" s="492">
        <f t="shared" si="63"/>
        <v>0</v>
      </c>
      <c r="L79" s="492">
        <f t="shared" si="63"/>
        <v>0</v>
      </c>
      <c r="M79" s="492">
        <f t="shared" si="63"/>
        <v>0</v>
      </c>
      <c r="N79" s="492">
        <f t="shared" si="63"/>
        <v>0</v>
      </c>
      <c r="O79" s="492">
        <f t="shared" si="63"/>
        <v>0</v>
      </c>
      <c r="P79" s="492">
        <f t="shared" si="63"/>
        <v>0</v>
      </c>
      <c r="Q79" s="492">
        <f t="shared" si="63"/>
        <v>0</v>
      </c>
      <c r="R79" s="492">
        <f t="shared" si="63"/>
        <v>0</v>
      </c>
      <c r="S79" s="492">
        <f t="shared" si="63"/>
        <v>0</v>
      </c>
      <c r="T79" s="492">
        <f t="shared" si="63"/>
        <v>0</v>
      </c>
      <c r="U79" s="492">
        <f t="shared" si="63"/>
        <v>0</v>
      </c>
      <c r="V79" s="492">
        <f t="shared" si="63"/>
        <v>0</v>
      </c>
      <c r="W79" s="492">
        <f t="shared" si="63"/>
        <v>0</v>
      </c>
      <c r="X79" s="492">
        <f t="shared" si="63"/>
        <v>0</v>
      </c>
      <c r="Y79" s="492">
        <f t="shared" si="63"/>
        <v>0</v>
      </c>
      <c r="Z79" s="493"/>
      <c r="AB79" s="111"/>
    </row>
    <row r="80" spans="1:28" s="107" customFormat="1" ht="15.75" customHeight="1">
      <c r="A80" s="300">
        <f t="shared" si="45"/>
        <v>630</v>
      </c>
      <c r="B80" s="301" t="s">
        <v>328</v>
      </c>
      <c r="C80" s="492">
        <f t="shared" si="47"/>
        <v>0</v>
      </c>
      <c r="D80" s="492">
        <f>D12+D20+D27+D34+D41+D48+D55+D65</f>
        <v>0</v>
      </c>
      <c r="E80" s="492">
        <f>E12+E20+E27+E34+E41+E48+E55+E65</f>
        <v>0</v>
      </c>
      <c r="F80" s="492">
        <f>F12+F20+F27+F34+F41+F48+F55+F65</f>
        <v>0</v>
      </c>
      <c r="G80" s="492">
        <f t="shared" ref="G80" si="66">G12+G20+G27+G34+G41+G48+G55+G65</f>
        <v>0</v>
      </c>
      <c r="H80" s="492">
        <f t="shared" ref="H80:Y80" si="67">H12+H20+H27+H34+H41+H48+H55+H65</f>
        <v>0</v>
      </c>
      <c r="I80" s="492">
        <f t="shared" si="67"/>
        <v>0</v>
      </c>
      <c r="J80" s="492">
        <f t="shared" si="67"/>
        <v>0</v>
      </c>
      <c r="K80" s="492">
        <f t="shared" si="67"/>
        <v>0</v>
      </c>
      <c r="L80" s="492">
        <f t="shared" si="67"/>
        <v>0</v>
      </c>
      <c r="M80" s="492">
        <f t="shared" si="67"/>
        <v>0</v>
      </c>
      <c r="N80" s="492">
        <f t="shared" si="67"/>
        <v>0</v>
      </c>
      <c r="O80" s="492">
        <f t="shared" si="67"/>
        <v>0</v>
      </c>
      <c r="P80" s="492">
        <f t="shared" si="67"/>
        <v>0</v>
      </c>
      <c r="Q80" s="492">
        <f t="shared" si="67"/>
        <v>0</v>
      </c>
      <c r="R80" s="492">
        <f t="shared" si="67"/>
        <v>0</v>
      </c>
      <c r="S80" s="492">
        <f t="shared" si="67"/>
        <v>0</v>
      </c>
      <c r="T80" s="492">
        <f t="shared" si="67"/>
        <v>0</v>
      </c>
      <c r="U80" s="492">
        <f t="shared" si="67"/>
        <v>0</v>
      </c>
      <c r="V80" s="492">
        <f t="shared" si="67"/>
        <v>0</v>
      </c>
      <c r="W80" s="492">
        <f t="shared" si="67"/>
        <v>0</v>
      </c>
      <c r="X80" s="492">
        <f t="shared" si="67"/>
        <v>0</v>
      </c>
      <c r="Y80" s="492">
        <f t="shared" si="67"/>
        <v>0</v>
      </c>
      <c r="Z80" s="493"/>
      <c r="AB80" s="111"/>
    </row>
    <row r="81" spans="1:28" s="107" customFormat="1" ht="15.75" customHeight="1">
      <c r="A81" s="300">
        <f t="shared" si="45"/>
        <v>640</v>
      </c>
      <c r="B81" s="301" t="s">
        <v>621</v>
      </c>
      <c r="C81" s="492">
        <f t="shared" si="47"/>
        <v>0</v>
      </c>
      <c r="D81" s="492">
        <f t="shared" ref="D81:Y81" si="68">D66</f>
        <v>0</v>
      </c>
      <c r="E81" s="492">
        <f t="shared" ref="E81" si="69">E66</f>
        <v>0</v>
      </c>
      <c r="F81" s="492">
        <f t="shared" si="68"/>
        <v>0</v>
      </c>
      <c r="G81" s="492">
        <f t="shared" ref="G81" si="70">G66</f>
        <v>0</v>
      </c>
      <c r="H81" s="492">
        <f t="shared" si="68"/>
        <v>0</v>
      </c>
      <c r="I81" s="492">
        <f t="shared" si="68"/>
        <v>0</v>
      </c>
      <c r="J81" s="492">
        <f t="shared" si="68"/>
        <v>0</v>
      </c>
      <c r="K81" s="492">
        <f t="shared" si="68"/>
        <v>0</v>
      </c>
      <c r="L81" s="492">
        <f t="shared" si="68"/>
        <v>0</v>
      </c>
      <c r="M81" s="492">
        <f t="shared" si="68"/>
        <v>0</v>
      </c>
      <c r="N81" s="492">
        <f t="shared" si="68"/>
        <v>0</v>
      </c>
      <c r="O81" s="492">
        <f t="shared" si="68"/>
        <v>0</v>
      </c>
      <c r="P81" s="492">
        <f t="shared" si="68"/>
        <v>0</v>
      </c>
      <c r="Q81" s="492">
        <f t="shared" si="68"/>
        <v>0</v>
      </c>
      <c r="R81" s="492">
        <f t="shared" si="68"/>
        <v>0</v>
      </c>
      <c r="S81" s="492">
        <f t="shared" si="68"/>
        <v>0</v>
      </c>
      <c r="T81" s="492">
        <f t="shared" si="68"/>
        <v>0</v>
      </c>
      <c r="U81" s="492">
        <f t="shared" si="68"/>
        <v>0</v>
      </c>
      <c r="V81" s="492">
        <f t="shared" si="68"/>
        <v>0</v>
      </c>
      <c r="W81" s="492">
        <f t="shared" si="68"/>
        <v>0</v>
      </c>
      <c r="X81" s="492">
        <f t="shared" si="68"/>
        <v>0</v>
      </c>
      <c r="Y81" s="492">
        <f t="shared" si="68"/>
        <v>0</v>
      </c>
      <c r="Z81" s="493"/>
      <c r="AB81" s="111"/>
    </row>
    <row r="82" spans="1:28" s="107" customFormat="1" ht="15.75" customHeight="1">
      <c r="A82" s="300">
        <f t="shared" si="45"/>
        <v>650</v>
      </c>
      <c r="B82" s="301" t="s">
        <v>577</v>
      </c>
      <c r="C82" s="492">
        <f>SUM(J82:Y82)-L82-P82-Q82</f>
        <v>3835072</v>
      </c>
      <c r="D82" s="492">
        <f>+D56+D67</f>
        <v>3835072</v>
      </c>
      <c r="E82" s="492">
        <f>+E56+E67</f>
        <v>0</v>
      </c>
      <c r="F82" s="492">
        <f>+F56+F67</f>
        <v>0</v>
      </c>
      <c r="G82" s="492">
        <f t="shared" ref="G82" si="71">+G56+G67</f>
        <v>0</v>
      </c>
      <c r="H82" s="492">
        <f t="shared" ref="H82:Y82" si="72">+H56+H67</f>
        <v>0</v>
      </c>
      <c r="I82" s="492">
        <f t="shared" si="72"/>
        <v>0</v>
      </c>
      <c r="J82" s="492">
        <f t="shared" si="72"/>
        <v>0</v>
      </c>
      <c r="K82" s="492">
        <f t="shared" si="72"/>
        <v>0</v>
      </c>
      <c r="L82" s="492">
        <f t="shared" si="72"/>
        <v>0</v>
      </c>
      <c r="M82" s="492">
        <f t="shared" si="72"/>
        <v>0</v>
      </c>
      <c r="N82" s="492">
        <f t="shared" si="72"/>
        <v>0</v>
      </c>
      <c r="O82" s="492">
        <f t="shared" si="72"/>
        <v>2513333</v>
      </c>
      <c r="P82" s="492">
        <f t="shared" si="72"/>
        <v>2313333</v>
      </c>
      <c r="Q82" s="492">
        <f t="shared" si="72"/>
        <v>200000</v>
      </c>
      <c r="R82" s="492">
        <f t="shared" si="72"/>
        <v>0</v>
      </c>
      <c r="S82" s="492">
        <f t="shared" si="72"/>
        <v>0</v>
      </c>
      <c r="T82" s="492">
        <f t="shared" si="72"/>
        <v>0</v>
      </c>
      <c r="U82" s="492">
        <f t="shared" si="72"/>
        <v>0</v>
      </c>
      <c r="V82" s="492">
        <f t="shared" si="72"/>
        <v>36364</v>
      </c>
      <c r="W82" s="492">
        <f t="shared" si="72"/>
        <v>0</v>
      </c>
      <c r="X82" s="492">
        <f t="shared" si="72"/>
        <v>0</v>
      </c>
      <c r="Y82" s="492">
        <f t="shared" si="72"/>
        <v>1285375</v>
      </c>
      <c r="Z82" s="493"/>
      <c r="AB82" s="111"/>
    </row>
    <row r="83" spans="1:28" s="107" customFormat="1" ht="15.75" customHeight="1">
      <c r="A83" s="300">
        <f t="shared" si="45"/>
        <v>660</v>
      </c>
      <c r="B83" s="301" t="s">
        <v>578</v>
      </c>
      <c r="C83" s="492">
        <f t="shared" si="47"/>
        <v>0</v>
      </c>
      <c r="D83" s="492">
        <f t="shared" ref="D83:Y83" si="73">D68</f>
        <v>0</v>
      </c>
      <c r="E83" s="492">
        <f t="shared" ref="E83" si="74">E68</f>
        <v>0</v>
      </c>
      <c r="F83" s="492">
        <f t="shared" si="73"/>
        <v>0</v>
      </c>
      <c r="G83" s="492">
        <f t="shared" ref="G83" si="75">G68</f>
        <v>0</v>
      </c>
      <c r="H83" s="492">
        <f t="shared" si="73"/>
        <v>0</v>
      </c>
      <c r="I83" s="492">
        <f t="shared" si="73"/>
        <v>0</v>
      </c>
      <c r="J83" s="492">
        <f t="shared" si="73"/>
        <v>0</v>
      </c>
      <c r="K83" s="492">
        <f t="shared" si="73"/>
        <v>0</v>
      </c>
      <c r="L83" s="492">
        <f t="shared" si="73"/>
        <v>0</v>
      </c>
      <c r="M83" s="492">
        <f t="shared" si="73"/>
        <v>0</v>
      </c>
      <c r="N83" s="492">
        <f t="shared" si="73"/>
        <v>0</v>
      </c>
      <c r="O83" s="492">
        <f t="shared" si="73"/>
        <v>0</v>
      </c>
      <c r="P83" s="492">
        <f t="shared" si="73"/>
        <v>0</v>
      </c>
      <c r="Q83" s="492">
        <f t="shared" si="73"/>
        <v>0</v>
      </c>
      <c r="R83" s="492">
        <f t="shared" si="73"/>
        <v>0</v>
      </c>
      <c r="S83" s="492">
        <f t="shared" si="73"/>
        <v>0</v>
      </c>
      <c r="T83" s="492">
        <f t="shared" si="73"/>
        <v>0</v>
      </c>
      <c r="U83" s="492">
        <f t="shared" si="73"/>
        <v>0</v>
      </c>
      <c r="V83" s="492">
        <f t="shared" si="73"/>
        <v>0</v>
      </c>
      <c r="W83" s="492">
        <f t="shared" si="73"/>
        <v>0</v>
      </c>
      <c r="X83" s="492">
        <f t="shared" si="73"/>
        <v>0</v>
      </c>
      <c r="Y83" s="492">
        <f t="shared" si="73"/>
        <v>0</v>
      </c>
      <c r="Z83" s="493"/>
      <c r="AB83" s="111"/>
    </row>
    <row r="84" spans="1:28" s="107" customFormat="1" ht="15.75" customHeight="1">
      <c r="A84" s="300">
        <f>A83+10</f>
        <v>670</v>
      </c>
      <c r="B84" s="301" t="s">
        <v>579</v>
      </c>
      <c r="C84" s="492">
        <f t="shared" si="47"/>
        <v>3183333</v>
      </c>
      <c r="D84" s="492">
        <f>D13+D21+D28+D35+D42+D49+D57+D69</f>
        <v>3183333</v>
      </c>
      <c r="E84" s="492">
        <f>E13+E21+E28+E35+E42+E49+E57+E69</f>
        <v>0</v>
      </c>
      <c r="F84" s="492">
        <f>F13+F21+F28+F35+F42+F49+F57+F69</f>
        <v>0</v>
      </c>
      <c r="G84" s="492">
        <f t="shared" ref="G84" si="76">G13+G21+G28+G35+G42+G49+G57+G69</f>
        <v>0</v>
      </c>
      <c r="H84" s="492">
        <f t="shared" ref="H84:Y84" si="77">H13+H21+H28+H35+H42+H49+H57+H69</f>
        <v>0</v>
      </c>
      <c r="I84" s="492">
        <f t="shared" si="77"/>
        <v>0</v>
      </c>
      <c r="J84" s="492">
        <f t="shared" si="77"/>
        <v>0</v>
      </c>
      <c r="K84" s="492">
        <f t="shared" si="77"/>
        <v>0</v>
      </c>
      <c r="L84" s="492">
        <f t="shared" si="77"/>
        <v>0</v>
      </c>
      <c r="M84" s="492">
        <f t="shared" si="77"/>
        <v>0</v>
      </c>
      <c r="N84" s="492">
        <f t="shared" si="77"/>
        <v>0</v>
      </c>
      <c r="O84" s="492">
        <f t="shared" si="77"/>
        <v>1733333</v>
      </c>
      <c r="P84" s="492">
        <f t="shared" si="77"/>
        <v>1733333</v>
      </c>
      <c r="Q84" s="492">
        <f t="shared" si="77"/>
        <v>0</v>
      </c>
      <c r="R84" s="492">
        <f t="shared" si="77"/>
        <v>0</v>
      </c>
      <c r="S84" s="492">
        <f t="shared" si="77"/>
        <v>0</v>
      </c>
      <c r="T84" s="492">
        <f t="shared" si="77"/>
        <v>0</v>
      </c>
      <c r="U84" s="492">
        <f t="shared" si="77"/>
        <v>0</v>
      </c>
      <c r="V84" s="492">
        <f t="shared" si="77"/>
        <v>0</v>
      </c>
      <c r="W84" s="492">
        <f t="shared" si="77"/>
        <v>0</v>
      </c>
      <c r="X84" s="492">
        <f t="shared" si="77"/>
        <v>0</v>
      </c>
      <c r="Y84" s="492">
        <f t="shared" si="77"/>
        <v>1450000</v>
      </c>
      <c r="Z84" s="493"/>
      <c r="AB84" s="111"/>
    </row>
    <row r="85" spans="1:28" s="337" customFormat="1" ht="15.75" customHeight="1">
      <c r="A85" s="336">
        <f t="shared" si="45"/>
        <v>680</v>
      </c>
      <c r="B85" s="336" t="s">
        <v>580</v>
      </c>
      <c r="C85" s="494">
        <f t="shared" si="47"/>
        <v>20277891345</v>
      </c>
      <c r="D85" s="494">
        <f>SUM(D73:D84)</f>
        <v>16539892398</v>
      </c>
      <c r="E85" s="494">
        <f>SUM(E73:E84)</f>
        <v>3737998947</v>
      </c>
      <c r="F85" s="494">
        <f>SUM(F73:F84)</f>
        <v>894003853</v>
      </c>
      <c r="G85" s="494">
        <f t="shared" ref="G85" si="78">SUM(G73:G84)</f>
        <v>254152148</v>
      </c>
      <c r="H85" s="494">
        <f t="shared" ref="H85:Y85" si="79">SUM(H73:H84)</f>
        <v>373965402</v>
      </c>
      <c r="I85" s="494">
        <f t="shared" si="79"/>
        <v>265886303</v>
      </c>
      <c r="J85" s="494">
        <f t="shared" si="79"/>
        <v>0</v>
      </c>
      <c r="K85" s="494">
        <f t="shared" si="79"/>
        <v>0</v>
      </c>
      <c r="L85" s="494">
        <f t="shared" si="79"/>
        <v>0</v>
      </c>
      <c r="M85" s="494">
        <f t="shared" si="79"/>
        <v>1027203361</v>
      </c>
      <c r="N85" s="494">
        <f t="shared" si="79"/>
        <v>0</v>
      </c>
      <c r="O85" s="494">
        <f t="shared" si="79"/>
        <v>9941392606</v>
      </c>
      <c r="P85" s="494">
        <f t="shared" si="79"/>
        <v>2873372430</v>
      </c>
      <c r="Q85" s="494">
        <f t="shared" si="79"/>
        <v>7068020176</v>
      </c>
      <c r="R85" s="494">
        <f t="shared" si="79"/>
        <v>0</v>
      </c>
      <c r="S85" s="494">
        <f t="shared" si="79"/>
        <v>0</v>
      </c>
      <c r="T85" s="494">
        <f t="shared" si="79"/>
        <v>0</v>
      </c>
      <c r="U85" s="494">
        <f t="shared" si="79"/>
        <v>0</v>
      </c>
      <c r="V85" s="494">
        <f t="shared" si="79"/>
        <v>2279852590</v>
      </c>
      <c r="W85" s="494">
        <f t="shared" si="79"/>
        <v>5889121574</v>
      </c>
      <c r="X85" s="494">
        <f t="shared" si="79"/>
        <v>622926092</v>
      </c>
      <c r="Y85" s="494">
        <f t="shared" si="79"/>
        <v>517395122</v>
      </c>
      <c r="Z85" s="495"/>
      <c r="AB85" s="338"/>
    </row>
    <row r="86" spans="1:28" ht="19.5" customHeight="1">
      <c r="A86" s="120"/>
      <c r="B86" s="120"/>
      <c r="C86" s="374"/>
      <c r="D86" s="374"/>
      <c r="E86" s="374"/>
      <c r="F86" s="374"/>
      <c r="G86" s="374"/>
      <c r="H86" s="374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</row>
    <row r="87" spans="1:28" ht="15.75" customHeight="1">
      <c r="B87" s="327" t="s">
        <v>690</v>
      </c>
      <c r="C87" s="374"/>
      <c r="D87" s="374"/>
      <c r="E87" s="374"/>
      <c r="F87" s="447"/>
      <c r="G87" s="447"/>
      <c r="H87" s="447"/>
      <c r="I87" s="447"/>
      <c r="J87" s="447"/>
      <c r="K87" s="447"/>
      <c r="L87" s="447"/>
      <c r="M87" s="447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  <c r="Y87" s="374"/>
      <c r="Z87" s="374"/>
    </row>
    <row r="88" spans="1:28" ht="15.75" customHeight="1">
      <c r="B88" s="327"/>
      <c r="C88" s="374"/>
      <c r="D88" s="374"/>
      <c r="E88" s="374"/>
      <c r="F88" s="447"/>
      <c r="G88" s="447"/>
      <c r="H88" s="447"/>
      <c r="I88" s="447"/>
      <c r="J88" s="447"/>
      <c r="K88" s="447"/>
      <c r="L88" s="447"/>
      <c r="M88" s="447"/>
      <c r="N88" s="374"/>
      <c r="O88" s="374"/>
      <c r="P88" s="374"/>
      <c r="Q88" s="374"/>
      <c r="R88" s="374"/>
      <c r="S88" s="374"/>
      <c r="T88" s="374"/>
      <c r="U88" s="374"/>
      <c r="V88" s="374"/>
      <c r="W88" s="374"/>
      <c r="X88" s="374"/>
      <c r="Y88" s="374"/>
      <c r="Z88" s="374"/>
    </row>
    <row r="89" spans="1:28" ht="15.75" customHeight="1">
      <c r="B89" s="327" t="s">
        <v>691</v>
      </c>
      <c r="C89" s="374"/>
      <c r="D89" s="374"/>
      <c r="E89" s="374"/>
      <c r="F89" s="447"/>
      <c r="G89" s="447"/>
      <c r="H89" s="447"/>
      <c r="I89" s="447"/>
      <c r="J89" s="447"/>
      <c r="K89" s="447"/>
      <c r="L89" s="447"/>
      <c r="M89" s="447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</row>
    <row r="90" spans="1:28">
      <c r="B90" s="98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4"/>
      <c r="P90" s="374"/>
      <c r="Q90" s="374"/>
      <c r="R90" s="374"/>
      <c r="S90" s="374"/>
      <c r="T90" s="374"/>
      <c r="U90" s="374"/>
      <c r="V90" s="374"/>
      <c r="W90" s="374"/>
      <c r="X90" s="374"/>
      <c r="Y90" s="374"/>
      <c r="Z90" s="374"/>
    </row>
    <row r="91" spans="1:28">
      <c r="C91" s="500"/>
      <c r="D91" s="500"/>
      <c r="E91" s="500"/>
      <c r="F91" s="500"/>
      <c r="G91" s="500"/>
      <c r="H91" s="500"/>
      <c r="I91" s="500"/>
      <c r="J91" s="500"/>
      <c r="K91" s="374"/>
      <c r="L91" s="374"/>
      <c r="M91" s="374"/>
      <c r="N91" s="374"/>
      <c r="O91" s="374"/>
      <c r="P91" s="374"/>
      <c r="Q91" s="374"/>
      <c r="R91" s="374"/>
      <c r="S91" s="374"/>
      <c r="T91" s="374"/>
      <c r="U91" s="374"/>
      <c r="V91" s="374"/>
      <c r="W91" s="374"/>
      <c r="X91" s="374"/>
      <c r="Y91" s="374"/>
      <c r="Z91" s="374"/>
    </row>
    <row r="92" spans="1:28">
      <c r="C92" s="500">
        <f>+[8]Balance!C25</f>
        <v>20277891345</v>
      </c>
      <c r="D92" s="500">
        <f>+[8]Balance!D25</f>
        <v>16539892398</v>
      </c>
      <c r="E92" s="500">
        <f>+[8]Balance!E25</f>
        <v>3737998947</v>
      </c>
      <c r="F92" s="500">
        <f>+'Asset Classification'!M31+'Asset Classification'!Q31+'Asset Classification'!U31</f>
        <v>894003853</v>
      </c>
      <c r="G92" s="500">
        <f>+'Asset Classification'!M31</f>
        <v>254152148</v>
      </c>
      <c r="H92" s="500">
        <f>+'Asset Classification'!Q31</f>
        <v>373965402</v>
      </c>
      <c r="I92" s="500">
        <f>+'Asset Classification'!U31</f>
        <v>265886303</v>
      </c>
      <c r="J92" s="500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</row>
    <row r="93" spans="1:28">
      <c r="C93" s="433">
        <f t="shared" ref="C93:I93" si="80">+C85-C92</f>
        <v>0</v>
      </c>
      <c r="D93" s="433">
        <f t="shared" si="80"/>
        <v>0</v>
      </c>
      <c r="E93" s="433">
        <f t="shared" si="80"/>
        <v>0</v>
      </c>
      <c r="F93" s="433">
        <f t="shared" si="80"/>
        <v>0</v>
      </c>
      <c r="G93" s="433">
        <f t="shared" si="80"/>
        <v>0</v>
      </c>
      <c r="H93" s="433">
        <f t="shared" si="80"/>
        <v>0</v>
      </c>
      <c r="I93" s="433">
        <f t="shared" si="80"/>
        <v>0</v>
      </c>
      <c r="J93" s="411"/>
    </row>
    <row r="94" spans="1:28">
      <c r="C94" s="433"/>
      <c r="D94" s="433"/>
      <c r="E94" s="433"/>
      <c r="F94" s="433"/>
      <c r="G94" s="433"/>
      <c r="H94" s="433"/>
      <c r="I94" s="433"/>
      <c r="J94" s="412"/>
    </row>
    <row r="95" spans="1:28">
      <c r="C95" s="359"/>
      <c r="D95" s="359"/>
      <c r="E95" s="359"/>
      <c r="F95" s="359"/>
      <c r="G95" s="359"/>
      <c r="H95" s="359"/>
      <c r="I95" s="359"/>
    </row>
  </sheetData>
  <sheetProtection password="CACA" sheet="1" objects="1" scenarios="1"/>
  <mergeCells count="25">
    <mergeCell ref="F5:F6"/>
    <mergeCell ref="F4:I4"/>
    <mergeCell ref="G5:I5"/>
    <mergeCell ref="A4:A6"/>
    <mergeCell ref="B4:B6"/>
    <mergeCell ref="C4:C6"/>
    <mergeCell ref="D4:E4"/>
    <mergeCell ref="D5:D6"/>
    <mergeCell ref="E5:E6"/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</mergeCells>
  <phoneticPr fontId="19" type="noConversion"/>
  <conditionalFormatting sqref="C9:C13">
    <cfRule type="cellIs" dxfId="253" priority="20" operator="notEqual">
      <formula>D9+E9</formula>
    </cfRule>
  </conditionalFormatting>
  <conditionalFormatting sqref="C16:C21">
    <cfRule type="cellIs" dxfId="252" priority="17" operator="notEqual">
      <formula>D16+E16</formula>
    </cfRule>
  </conditionalFormatting>
  <conditionalFormatting sqref="C24:C28">
    <cfRule type="cellIs" dxfId="251" priority="16" operator="notEqual">
      <formula>D24+E24</formula>
    </cfRule>
  </conditionalFormatting>
  <conditionalFormatting sqref="C31:C35">
    <cfRule type="cellIs" dxfId="250" priority="15" operator="notEqual">
      <formula>D31+E31</formula>
    </cfRule>
  </conditionalFormatting>
  <conditionalFormatting sqref="C38:C42">
    <cfRule type="cellIs" dxfId="249" priority="14" operator="notEqual">
      <formula>D38+E38</formula>
    </cfRule>
  </conditionalFormatting>
  <conditionalFormatting sqref="C45:C49">
    <cfRule type="cellIs" dxfId="248" priority="13" operator="notEqual">
      <formula>D45+E45</formula>
    </cfRule>
  </conditionalFormatting>
  <conditionalFormatting sqref="C52:C57">
    <cfRule type="cellIs" dxfId="247" priority="12" operator="notEqual">
      <formula>D52+E52</formula>
    </cfRule>
  </conditionalFormatting>
  <conditionalFormatting sqref="C60:C69">
    <cfRule type="cellIs" dxfId="246" priority="11" operator="notEqual">
      <formula>D60+E60</formula>
    </cfRule>
  </conditionalFormatting>
  <conditionalFormatting sqref="C71">
    <cfRule type="cellIs" dxfId="245" priority="9" operator="notEqual">
      <formula>D71+E71</formula>
    </cfRule>
  </conditionalFormatting>
  <conditionalFormatting sqref="C73:C84">
    <cfRule type="cellIs" dxfId="244" priority="10" operator="notEqual">
      <formula>D73+E73</formula>
    </cfRule>
  </conditionalFormatting>
  <conditionalFormatting sqref="C85:I85">
    <cfRule type="cellIs" dxfId="243" priority="1" operator="notEqual">
      <formula>C92</formula>
    </cfRule>
  </conditionalFormatting>
  <dataValidations disablePrompts="1"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AA42"/>
  <sheetViews>
    <sheetView view="pageBreakPreview" zoomScale="80" zoomScaleNormal="71" zoomScaleSheetLayoutView="80" workbookViewId="0">
      <pane xSplit="4" ySplit="8" topLeftCell="E9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E9" sqref="E9"/>
    </sheetView>
  </sheetViews>
  <sheetFormatPr defaultRowHeight="15"/>
  <cols>
    <col min="1" max="1" width="5" style="4" customWidth="1"/>
    <col min="2" max="2" width="48.140625" style="4" customWidth="1"/>
    <col min="3" max="3" width="19.140625" style="439" customWidth="1"/>
    <col min="4" max="4" width="7.140625" style="4" customWidth="1"/>
    <col min="5" max="5" width="21.85546875" style="439" customWidth="1"/>
    <col min="6" max="6" width="8.5703125" style="4" customWidth="1"/>
    <col min="7" max="7" width="21.85546875" style="439" customWidth="1"/>
    <col min="8" max="8" width="7.140625" style="4" customWidth="1"/>
    <col min="9" max="10" width="17.28515625" style="439" customWidth="1"/>
    <col min="11" max="11" width="8.7109375" style="4" customWidth="1"/>
    <col min="12" max="25" width="17.140625" style="439" customWidth="1"/>
    <col min="26" max="26" width="14.28515625" style="447" bestFit="1" customWidth="1"/>
    <col min="27" max="16384" width="9.140625" style="4"/>
  </cols>
  <sheetData>
    <row r="1" spans="1:27" s="54" customFormat="1" ht="36.75" customHeight="1">
      <c r="A1" s="52" t="s">
        <v>599</v>
      </c>
      <c r="B1" s="53"/>
      <c r="C1" s="467"/>
      <c r="D1" s="53"/>
      <c r="E1" s="467"/>
      <c r="F1" s="53"/>
      <c r="G1" s="467"/>
      <c r="H1" s="53"/>
      <c r="I1" s="474"/>
      <c r="J1" s="474"/>
      <c r="K1" s="52"/>
      <c r="L1" s="474"/>
      <c r="M1" s="474"/>
      <c r="N1" s="474"/>
      <c r="O1" s="474"/>
      <c r="P1" s="474"/>
      <c r="Q1" s="474"/>
      <c r="R1" s="467"/>
      <c r="S1" s="467"/>
      <c r="T1" s="467"/>
      <c r="U1" s="467"/>
      <c r="V1" s="477"/>
      <c r="W1" s="478"/>
      <c r="X1" s="479" t="s">
        <v>600</v>
      </c>
      <c r="Y1" s="467"/>
      <c r="Z1" s="477"/>
    </row>
    <row r="2" spans="1:27" s="17" customFormat="1" ht="18">
      <c r="A2" s="51"/>
      <c r="B2" s="18"/>
      <c r="C2" s="468"/>
      <c r="D2" s="18"/>
      <c r="E2" s="468"/>
      <c r="F2" s="18"/>
      <c r="G2" s="468"/>
      <c r="H2" s="18"/>
      <c r="I2" s="475"/>
      <c r="J2" s="475"/>
      <c r="K2" s="3"/>
      <c r="L2" s="468"/>
      <c r="M2" s="468"/>
      <c r="N2" s="468"/>
      <c r="O2" s="468"/>
      <c r="P2" s="468"/>
      <c r="Q2" s="468"/>
      <c r="R2" s="468"/>
      <c r="S2" s="468"/>
      <c r="T2" s="480"/>
      <c r="U2" s="468"/>
      <c r="V2" s="468"/>
      <c r="W2" s="468"/>
      <c r="X2" s="468"/>
      <c r="Y2" s="480"/>
      <c r="Z2" s="480"/>
    </row>
    <row r="3" spans="1:27" ht="18">
      <c r="A3" s="48"/>
      <c r="B3" s="96" t="str">
        <f>+'Asset quality'!B3</f>
        <v>MKBANK</v>
      </c>
      <c r="D3" s="49"/>
      <c r="F3" s="49"/>
      <c r="H3" s="49"/>
      <c r="J3" s="476"/>
      <c r="K3" s="50"/>
      <c r="L3" s="476"/>
      <c r="T3" s="595">
        <f>+'Asset quality'!Q3</f>
        <v>46021</v>
      </c>
      <c r="U3" s="595"/>
      <c r="X3" s="481" t="str">
        <f>+'Asset quality'!T3</f>
        <v>минг. сўмда</v>
      </c>
      <c r="Z3" s="439"/>
    </row>
    <row r="4" spans="1:27" ht="30" customHeight="1">
      <c r="A4" s="600" t="s">
        <v>23</v>
      </c>
      <c r="B4" s="600" t="s">
        <v>216</v>
      </c>
      <c r="C4" s="603" t="s">
        <v>601</v>
      </c>
      <c r="D4" s="600" t="s">
        <v>38</v>
      </c>
      <c r="E4" s="603" t="s">
        <v>602</v>
      </c>
      <c r="F4" s="600" t="s">
        <v>38</v>
      </c>
      <c r="G4" s="603" t="s">
        <v>603</v>
      </c>
      <c r="H4" s="600" t="s">
        <v>38</v>
      </c>
      <c r="I4" s="596" t="s">
        <v>604</v>
      </c>
      <c r="J4" s="597"/>
      <c r="K4" s="600" t="s">
        <v>38</v>
      </c>
      <c r="L4" s="606" t="s">
        <v>605</v>
      </c>
      <c r="M4" s="608"/>
      <c r="N4" s="608"/>
      <c r="O4" s="608"/>
      <c r="P4" s="608"/>
      <c r="Q4" s="608"/>
      <c r="R4" s="608"/>
      <c r="S4" s="608"/>
      <c r="T4" s="608"/>
      <c r="U4" s="608"/>
      <c r="V4" s="608"/>
      <c r="W4" s="608"/>
      <c r="X4" s="608"/>
      <c r="Y4" s="607"/>
    </row>
    <row r="5" spans="1:27" ht="25.5" customHeight="1">
      <c r="A5" s="601"/>
      <c r="B5" s="601"/>
      <c r="C5" s="604"/>
      <c r="D5" s="601"/>
      <c r="E5" s="604"/>
      <c r="F5" s="601"/>
      <c r="G5" s="604"/>
      <c r="H5" s="601"/>
      <c r="I5" s="598"/>
      <c r="J5" s="599"/>
      <c r="K5" s="601"/>
      <c r="L5" s="606" t="s">
        <v>606</v>
      </c>
      <c r="M5" s="607"/>
      <c r="N5" s="606" t="s">
        <v>607</v>
      </c>
      <c r="O5" s="607"/>
      <c r="P5" s="606" t="s">
        <v>608</v>
      </c>
      <c r="Q5" s="607"/>
      <c r="R5" s="606" t="s">
        <v>463</v>
      </c>
      <c r="S5" s="607"/>
      <c r="T5" s="606" t="s">
        <v>464</v>
      </c>
      <c r="U5" s="607"/>
      <c r="V5" s="606" t="s">
        <v>465</v>
      </c>
      <c r="W5" s="607"/>
      <c r="X5" s="606" t="s">
        <v>466</v>
      </c>
      <c r="Y5" s="607"/>
    </row>
    <row r="6" spans="1:27" ht="41.25" customHeight="1">
      <c r="A6" s="602"/>
      <c r="B6" s="602"/>
      <c r="C6" s="605"/>
      <c r="D6" s="602"/>
      <c r="E6" s="605"/>
      <c r="F6" s="602"/>
      <c r="G6" s="605"/>
      <c r="H6" s="602"/>
      <c r="I6" s="469" t="s">
        <v>609</v>
      </c>
      <c r="J6" s="469" t="s">
        <v>610</v>
      </c>
      <c r="K6" s="602"/>
      <c r="L6" s="469" t="s">
        <v>609</v>
      </c>
      <c r="M6" s="469" t="s">
        <v>610</v>
      </c>
      <c r="N6" s="469" t="s">
        <v>609</v>
      </c>
      <c r="O6" s="469" t="s">
        <v>610</v>
      </c>
      <c r="P6" s="469" t="s">
        <v>609</v>
      </c>
      <c r="Q6" s="469" t="s">
        <v>610</v>
      </c>
      <c r="R6" s="469" t="s">
        <v>609</v>
      </c>
      <c r="S6" s="469" t="s">
        <v>610</v>
      </c>
      <c r="T6" s="469" t="s">
        <v>609</v>
      </c>
      <c r="U6" s="469" t="s">
        <v>610</v>
      </c>
      <c r="V6" s="469" t="s">
        <v>609</v>
      </c>
      <c r="W6" s="469" t="s">
        <v>610</v>
      </c>
      <c r="X6" s="469" t="s">
        <v>609</v>
      </c>
      <c r="Y6" s="469" t="s">
        <v>610</v>
      </c>
    </row>
    <row r="7" spans="1:27" ht="15.75">
      <c r="A7" s="40"/>
      <c r="B7" s="40" t="s">
        <v>28</v>
      </c>
      <c r="C7" s="469" t="s">
        <v>12</v>
      </c>
      <c r="D7" s="40" t="s">
        <v>13</v>
      </c>
      <c r="E7" s="469" t="s">
        <v>14</v>
      </c>
      <c r="F7" s="40" t="s">
        <v>24</v>
      </c>
      <c r="G7" s="469" t="s">
        <v>25</v>
      </c>
      <c r="H7" s="40" t="s">
        <v>26</v>
      </c>
      <c r="I7" s="469" t="s">
        <v>29</v>
      </c>
      <c r="J7" s="469" t="s">
        <v>103</v>
      </c>
      <c r="K7" s="40" t="s">
        <v>30</v>
      </c>
      <c r="L7" s="469" t="s">
        <v>31</v>
      </c>
      <c r="M7" s="469" t="s">
        <v>102</v>
      </c>
      <c r="N7" s="469" t="s">
        <v>32</v>
      </c>
      <c r="O7" s="469" t="s">
        <v>104</v>
      </c>
      <c r="P7" s="469" t="s">
        <v>33</v>
      </c>
      <c r="Q7" s="469" t="s">
        <v>105</v>
      </c>
      <c r="R7" s="469" t="s">
        <v>34</v>
      </c>
      <c r="S7" s="469" t="s">
        <v>106</v>
      </c>
      <c r="T7" s="469" t="s">
        <v>35</v>
      </c>
      <c r="U7" s="469" t="s">
        <v>107</v>
      </c>
      <c r="V7" s="469" t="s">
        <v>36</v>
      </c>
      <c r="W7" s="469" t="s">
        <v>108</v>
      </c>
      <c r="X7" s="469" t="s">
        <v>37</v>
      </c>
      <c r="Y7" s="469" t="s">
        <v>109</v>
      </c>
    </row>
    <row r="8" spans="1:27" s="19" customFormat="1" ht="27.75" customHeight="1">
      <c r="A8" s="40"/>
      <c r="B8" s="40" t="s">
        <v>570</v>
      </c>
      <c r="C8" s="469"/>
      <c r="D8" s="40"/>
      <c r="E8" s="469"/>
      <c r="F8" s="40"/>
      <c r="G8" s="469"/>
      <c r="H8" s="40"/>
      <c r="I8" s="469"/>
      <c r="J8" s="469"/>
      <c r="K8" s="40"/>
      <c r="L8" s="469"/>
      <c r="M8" s="469"/>
      <c r="N8" s="469"/>
      <c r="O8" s="469"/>
      <c r="P8" s="469"/>
      <c r="Q8" s="469"/>
      <c r="R8" s="469"/>
      <c r="S8" s="469"/>
      <c r="T8" s="469"/>
      <c r="U8" s="469"/>
      <c r="V8" s="469"/>
      <c r="W8" s="469"/>
      <c r="X8" s="469"/>
      <c r="Y8" s="469"/>
      <c r="Z8" s="482"/>
    </row>
    <row r="9" spans="1:27" s="19" customFormat="1" ht="26.25" customHeight="1">
      <c r="A9" s="211">
        <v>1</v>
      </c>
      <c r="B9" s="212" t="s">
        <v>571</v>
      </c>
      <c r="C9" s="470">
        <f>+'Loans Receivable'!C79</f>
        <v>0</v>
      </c>
      <c r="D9" s="37">
        <f t="shared" ref="D9:D20" si="0">IF(C$22=0,"",C9/C$22)</f>
        <v>0</v>
      </c>
      <c r="E9" s="473">
        <v>0</v>
      </c>
      <c r="F9" s="37">
        <f t="shared" ref="F9:F20" si="1">IF(E$22=0,"",E9/E$22)</f>
        <v>0</v>
      </c>
      <c r="G9" s="473"/>
      <c r="H9" s="37">
        <f t="shared" ref="H9:H20" si="2">IF($G$22=0,"",G9/$G$22)</f>
        <v>0</v>
      </c>
      <c r="I9" s="470">
        <f t="shared" ref="I9:J20" si="3">+L9+N9+P9+R9+T9+V9+X9</f>
        <v>0</v>
      </c>
      <c r="J9" s="470">
        <f>+M9+O9+T9+S9+U9+W9+Y9</f>
        <v>0</v>
      </c>
      <c r="K9" s="37">
        <f t="shared" ref="K9:K20" si="4">IF($Z$22=0,"",Z9/$Z$22)</f>
        <v>0</v>
      </c>
      <c r="L9" s="473">
        <v>0</v>
      </c>
      <c r="M9" s="473">
        <v>0</v>
      </c>
      <c r="N9" s="473">
        <v>0</v>
      </c>
      <c r="O9" s="473">
        <v>0</v>
      </c>
      <c r="P9" s="473">
        <v>0</v>
      </c>
      <c r="Q9" s="473">
        <v>0</v>
      </c>
      <c r="R9" s="473">
        <v>0</v>
      </c>
      <c r="S9" s="473">
        <v>0</v>
      </c>
      <c r="T9" s="473">
        <v>0</v>
      </c>
      <c r="U9" s="473">
        <v>0</v>
      </c>
      <c r="V9" s="473">
        <v>0</v>
      </c>
      <c r="W9" s="473">
        <v>0</v>
      </c>
      <c r="X9" s="473">
        <v>0</v>
      </c>
      <c r="Y9" s="473">
        <v>0</v>
      </c>
      <c r="Z9" s="482">
        <f>+I9+J9</f>
        <v>0</v>
      </c>
      <c r="AA9" s="413">
        <f>+C9-Z9</f>
        <v>0</v>
      </c>
    </row>
    <row r="10" spans="1:27" s="19" customFormat="1" ht="26.25" customHeight="1">
      <c r="A10" s="211">
        <v>2</v>
      </c>
      <c r="B10" s="212" t="s">
        <v>573</v>
      </c>
      <c r="C10" s="470">
        <f>+'Loans Receivable'!C78</f>
        <v>0</v>
      </c>
      <c r="D10" s="37">
        <f t="shared" si="0"/>
        <v>0</v>
      </c>
      <c r="E10" s="473">
        <v>0</v>
      </c>
      <c r="F10" s="37">
        <f t="shared" si="1"/>
        <v>0</v>
      </c>
      <c r="G10" s="473"/>
      <c r="H10" s="37">
        <f t="shared" si="2"/>
        <v>0</v>
      </c>
      <c r="I10" s="470">
        <f t="shared" si="3"/>
        <v>0</v>
      </c>
      <c r="J10" s="470">
        <f t="shared" si="3"/>
        <v>0</v>
      </c>
      <c r="K10" s="37">
        <f t="shared" si="4"/>
        <v>0</v>
      </c>
      <c r="L10" s="473">
        <v>0</v>
      </c>
      <c r="M10" s="473">
        <v>0</v>
      </c>
      <c r="N10" s="473">
        <v>0</v>
      </c>
      <c r="O10" s="473">
        <v>0</v>
      </c>
      <c r="P10" s="473">
        <v>0</v>
      </c>
      <c r="Q10" s="473">
        <v>0</v>
      </c>
      <c r="R10" s="473">
        <v>0</v>
      </c>
      <c r="S10" s="473">
        <v>0</v>
      </c>
      <c r="T10" s="473">
        <v>0</v>
      </c>
      <c r="U10" s="473">
        <v>0</v>
      </c>
      <c r="V10" s="473">
        <v>0</v>
      </c>
      <c r="W10" s="473">
        <v>0</v>
      </c>
      <c r="X10" s="473">
        <v>0</v>
      </c>
      <c r="Y10" s="473">
        <v>0</v>
      </c>
      <c r="Z10" s="482">
        <f t="shared" ref="Z10:Z35" si="5">+I10+J10</f>
        <v>0</v>
      </c>
    </row>
    <row r="11" spans="1:27" s="19" customFormat="1" ht="26.25" customHeight="1">
      <c r="A11" s="211">
        <v>3</v>
      </c>
      <c r="B11" s="212" t="s">
        <v>328</v>
      </c>
      <c r="C11" s="470">
        <f>+'Loans Receivable'!C80</f>
        <v>0</v>
      </c>
      <c r="D11" s="37">
        <f t="shared" si="0"/>
        <v>0</v>
      </c>
      <c r="E11" s="473">
        <v>0</v>
      </c>
      <c r="F11" s="37">
        <f t="shared" si="1"/>
        <v>0</v>
      </c>
      <c r="G11" s="473"/>
      <c r="H11" s="37">
        <f t="shared" si="2"/>
        <v>0</v>
      </c>
      <c r="I11" s="470">
        <f t="shared" si="3"/>
        <v>0</v>
      </c>
      <c r="J11" s="470">
        <f t="shared" si="3"/>
        <v>0</v>
      </c>
      <c r="K11" s="37">
        <f t="shared" si="4"/>
        <v>0</v>
      </c>
      <c r="L11" s="473">
        <v>0</v>
      </c>
      <c r="M11" s="473">
        <v>0</v>
      </c>
      <c r="N11" s="473">
        <v>0</v>
      </c>
      <c r="O11" s="473">
        <v>0</v>
      </c>
      <c r="P11" s="473">
        <v>0</v>
      </c>
      <c r="Q11" s="473">
        <v>0</v>
      </c>
      <c r="R11" s="473">
        <v>0</v>
      </c>
      <c r="S11" s="473">
        <v>0</v>
      </c>
      <c r="T11" s="473">
        <v>0</v>
      </c>
      <c r="U11" s="473">
        <v>0</v>
      </c>
      <c r="V11" s="473">
        <v>0</v>
      </c>
      <c r="W11" s="473">
        <v>0</v>
      </c>
      <c r="X11" s="473">
        <v>0</v>
      </c>
      <c r="Y11" s="473">
        <v>0</v>
      </c>
      <c r="Z11" s="482">
        <f t="shared" si="5"/>
        <v>0</v>
      </c>
    </row>
    <row r="12" spans="1:27" s="19" customFormat="1" ht="26.25" customHeight="1">
      <c r="A12" s="211">
        <v>4</v>
      </c>
      <c r="B12" s="212" t="s">
        <v>329</v>
      </c>
      <c r="C12" s="470">
        <f>+'Loans Receivable'!C73</f>
        <v>8419167816</v>
      </c>
      <c r="D12" s="37">
        <f t="shared" si="0"/>
        <v>0.41518951220122535</v>
      </c>
      <c r="E12" s="473">
        <v>0</v>
      </c>
      <c r="F12" s="37">
        <f t="shared" si="1"/>
        <v>0</v>
      </c>
      <c r="G12" s="473">
        <v>3667296</v>
      </c>
      <c r="H12" s="37">
        <f t="shared" si="2"/>
        <v>1.92196444780635E-2</v>
      </c>
      <c r="I12" s="470">
        <f t="shared" si="3"/>
        <v>258937806</v>
      </c>
      <c r="J12" s="470">
        <f t="shared" si="3"/>
        <v>147359454</v>
      </c>
      <c r="K12" s="37">
        <f t="shared" si="4"/>
        <v>0.29509307872245122</v>
      </c>
      <c r="L12" s="473">
        <v>11590833</v>
      </c>
      <c r="M12" s="473">
        <v>10251684</v>
      </c>
      <c r="N12" s="473">
        <v>16212529</v>
      </c>
      <c r="O12" s="473">
        <v>10407699</v>
      </c>
      <c r="P12" s="473">
        <v>44168387</v>
      </c>
      <c r="Q12" s="473">
        <v>22151834</v>
      </c>
      <c r="R12" s="473">
        <v>16919073</v>
      </c>
      <c r="S12" s="473">
        <v>7254021</v>
      </c>
      <c r="T12" s="473">
        <v>48296680</v>
      </c>
      <c r="U12" s="473">
        <v>18515597</v>
      </c>
      <c r="V12" s="473">
        <v>92443432</v>
      </c>
      <c r="W12" s="473">
        <v>45230181</v>
      </c>
      <c r="X12" s="473">
        <v>29306872</v>
      </c>
      <c r="Y12" s="473">
        <v>33548438</v>
      </c>
      <c r="Z12" s="482">
        <f t="shared" si="5"/>
        <v>406297260</v>
      </c>
    </row>
    <row r="13" spans="1:27" s="19" customFormat="1" ht="26.25" customHeight="1">
      <c r="A13" s="211">
        <v>5</v>
      </c>
      <c r="B13" s="212" t="s">
        <v>330</v>
      </c>
      <c r="C13" s="470">
        <f>+'Loans Receivable'!C74</f>
        <v>268361120</v>
      </c>
      <c r="D13" s="37">
        <f t="shared" si="0"/>
        <v>1.3234172894716238E-2</v>
      </c>
      <c r="E13" s="473">
        <v>0</v>
      </c>
      <c r="F13" s="37">
        <f t="shared" si="1"/>
        <v>0</v>
      </c>
      <c r="G13" s="473">
        <v>160630</v>
      </c>
      <c r="H13" s="37">
        <f t="shared" si="2"/>
        <v>8.4183319058819903E-4</v>
      </c>
      <c r="I13" s="470">
        <f t="shared" si="3"/>
        <v>28109740</v>
      </c>
      <c r="J13" s="470">
        <f t="shared" si="3"/>
        <v>2563488</v>
      </c>
      <c r="K13" s="37">
        <f t="shared" si="4"/>
        <v>2.2277918598012932E-2</v>
      </c>
      <c r="L13" s="473">
        <v>19112125</v>
      </c>
      <c r="M13" s="473">
        <v>518619</v>
      </c>
      <c r="N13" s="473">
        <v>339403</v>
      </c>
      <c r="O13" s="473">
        <v>131197</v>
      </c>
      <c r="P13" s="473">
        <v>0</v>
      </c>
      <c r="Q13" s="473">
        <v>0</v>
      </c>
      <c r="R13" s="473">
        <v>0</v>
      </c>
      <c r="S13" s="473">
        <v>0</v>
      </c>
      <c r="T13" s="473">
        <v>8658212</v>
      </c>
      <c r="U13" s="473">
        <v>1913672</v>
      </c>
      <c r="V13" s="473">
        <v>0</v>
      </c>
      <c r="W13" s="473">
        <v>0</v>
      </c>
      <c r="X13" s="473">
        <v>0</v>
      </c>
      <c r="Y13" s="473">
        <v>0</v>
      </c>
      <c r="Z13" s="482">
        <f t="shared" si="5"/>
        <v>30673228</v>
      </c>
    </row>
    <row r="14" spans="1:27" s="19" customFormat="1" ht="26.25" customHeight="1">
      <c r="A14" s="211">
        <v>6</v>
      </c>
      <c r="B14" s="212" t="s">
        <v>331</v>
      </c>
      <c r="C14" s="470">
        <f>+'Loans Receivable'!C75</f>
        <v>205430203</v>
      </c>
      <c r="D14" s="37">
        <f t="shared" si="0"/>
        <v>1.0130747793490557E-2</v>
      </c>
      <c r="E14" s="473">
        <v>34201632</v>
      </c>
      <c r="F14" s="37">
        <f t="shared" si="1"/>
        <v>3.0221896229333321E-2</v>
      </c>
      <c r="G14" s="473"/>
      <c r="H14" s="37">
        <f t="shared" si="2"/>
        <v>0</v>
      </c>
      <c r="I14" s="470">
        <f t="shared" si="3"/>
        <v>5690687</v>
      </c>
      <c r="J14" s="470">
        <f t="shared" si="3"/>
        <v>14022530</v>
      </c>
      <c r="K14" s="37">
        <f t="shared" si="4"/>
        <v>1.4317679366220101E-2</v>
      </c>
      <c r="L14" s="473">
        <v>74778</v>
      </c>
      <c r="M14" s="473">
        <v>1487075</v>
      </c>
      <c r="N14" s="473">
        <v>0</v>
      </c>
      <c r="O14" s="473">
        <v>0</v>
      </c>
      <c r="P14" s="473">
        <v>0</v>
      </c>
      <c r="Q14" s="473">
        <v>0</v>
      </c>
      <c r="R14" s="473">
        <v>5013058</v>
      </c>
      <c r="S14" s="473">
        <v>12310279</v>
      </c>
      <c r="T14" s="473">
        <v>0</v>
      </c>
      <c r="U14" s="473">
        <v>0</v>
      </c>
      <c r="V14" s="473">
        <v>0</v>
      </c>
      <c r="W14" s="473">
        <v>0</v>
      </c>
      <c r="X14" s="473">
        <v>602851</v>
      </c>
      <c r="Y14" s="473">
        <v>225176</v>
      </c>
      <c r="Z14" s="482">
        <f t="shared" si="5"/>
        <v>19713217</v>
      </c>
    </row>
    <row r="15" spans="1:27" s="19" customFormat="1" ht="26.25" customHeight="1">
      <c r="A15" s="211">
        <v>7</v>
      </c>
      <c r="B15" s="212" t="s">
        <v>332</v>
      </c>
      <c r="C15" s="470">
        <f>+'Loans Receivable'!C76</f>
        <v>11038064916</v>
      </c>
      <c r="D15" s="37">
        <f t="shared" si="0"/>
        <v>0.5443398787478807</v>
      </c>
      <c r="E15" s="473">
        <v>1084523012</v>
      </c>
      <c r="F15" s="37">
        <f t="shared" si="1"/>
        <v>0.95832684028025372</v>
      </c>
      <c r="G15" s="473">
        <v>185820766</v>
      </c>
      <c r="H15" s="37">
        <f t="shared" si="2"/>
        <v>0.97385350382446079</v>
      </c>
      <c r="I15" s="470">
        <f t="shared" si="3"/>
        <v>484725859</v>
      </c>
      <c r="J15" s="470">
        <f t="shared" si="3"/>
        <v>399232199</v>
      </c>
      <c r="K15" s="37">
        <f t="shared" si="4"/>
        <v>0.64201738598172953</v>
      </c>
      <c r="L15" s="473">
        <v>26828042</v>
      </c>
      <c r="M15" s="473">
        <v>47933170</v>
      </c>
      <c r="N15" s="473">
        <v>56105988</v>
      </c>
      <c r="O15" s="473">
        <v>34657482</v>
      </c>
      <c r="P15" s="473">
        <v>55373433</v>
      </c>
      <c r="Q15" s="473">
        <v>43948140</v>
      </c>
      <c r="R15" s="473">
        <v>41691608</v>
      </c>
      <c r="S15" s="473">
        <v>26707920</v>
      </c>
      <c r="T15" s="473">
        <v>42182760</v>
      </c>
      <c r="U15" s="473">
        <v>32932582</v>
      </c>
      <c r="V15" s="473">
        <v>172425697</v>
      </c>
      <c r="W15" s="473">
        <v>120992747</v>
      </c>
      <c r="X15" s="473">
        <v>90118331</v>
      </c>
      <c r="Y15" s="473">
        <v>92060158</v>
      </c>
      <c r="Z15" s="482">
        <f t="shared" si="5"/>
        <v>883958058</v>
      </c>
    </row>
    <row r="16" spans="1:27" s="19" customFormat="1" ht="26.25" customHeight="1">
      <c r="A16" s="211">
        <v>8</v>
      </c>
      <c r="B16" s="212" t="s">
        <v>611</v>
      </c>
      <c r="C16" s="470">
        <f>+'Loans Receivable'!C77</f>
        <v>339848885</v>
      </c>
      <c r="D16" s="37">
        <f t="shared" si="0"/>
        <v>1.6759577177821196E-2</v>
      </c>
      <c r="E16" s="473">
        <v>12959210</v>
      </c>
      <c r="F16" s="37">
        <f t="shared" si="1"/>
        <v>1.1451263490412932E-2</v>
      </c>
      <c r="G16" s="473">
        <v>1161081</v>
      </c>
      <c r="H16" s="37">
        <f t="shared" si="2"/>
        <v>6.0850185068874853E-3</v>
      </c>
      <c r="I16" s="470">
        <f t="shared" si="3"/>
        <v>21447678</v>
      </c>
      <c r="J16" s="470">
        <f t="shared" si="3"/>
        <v>14709334</v>
      </c>
      <c r="K16" s="37">
        <f t="shared" si="4"/>
        <v>2.6260782532682138E-2</v>
      </c>
      <c r="L16" s="473">
        <v>243787</v>
      </c>
      <c r="M16" s="473">
        <v>1232914</v>
      </c>
      <c r="N16" s="473">
        <v>691210</v>
      </c>
      <c r="O16" s="473">
        <v>415687</v>
      </c>
      <c r="P16" s="473">
        <v>2465213</v>
      </c>
      <c r="Q16" s="473">
        <v>1370846</v>
      </c>
      <c r="R16" s="473">
        <v>4291120</v>
      </c>
      <c r="S16" s="473">
        <v>1883338</v>
      </c>
      <c r="T16" s="473">
        <v>3088366</v>
      </c>
      <c r="U16" s="473">
        <v>670382</v>
      </c>
      <c r="V16" s="473">
        <v>4984817</v>
      </c>
      <c r="W16" s="473">
        <v>3527880</v>
      </c>
      <c r="X16" s="473">
        <v>5683165</v>
      </c>
      <c r="Y16" s="473">
        <v>5608287</v>
      </c>
      <c r="Z16" s="482">
        <f t="shared" si="5"/>
        <v>36157012</v>
      </c>
    </row>
    <row r="17" spans="1:26" s="19" customFormat="1" ht="26.25" customHeight="1">
      <c r="A17" s="211">
        <v>9</v>
      </c>
      <c r="B17" s="213" t="s">
        <v>612</v>
      </c>
      <c r="C17" s="470">
        <f>+'Loans Receivable'!C81</f>
        <v>0</v>
      </c>
      <c r="D17" s="37">
        <f t="shared" si="0"/>
        <v>0</v>
      </c>
      <c r="E17" s="473">
        <v>0</v>
      </c>
      <c r="F17" s="37">
        <f t="shared" si="1"/>
        <v>0</v>
      </c>
      <c r="G17" s="473"/>
      <c r="H17" s="37">
        <f t="shared" si="2"/>
        <v>0</v>
      </c>
      <c r="I17" s="470">
        <f t="shared" si="3"/>
        <v>0</v>
      </c>
      <c r="J17" s="470">
        <f t="shared" si="3"/>
        <v>0</v>
      </c>
      <c r="K17" s="37">
        <f t="shared" si="4"/>
        <v>0</v>
      </c>
      <c r="L17" s="473">
        <v>0</v>
      </c>
      <c r="M17" s="473">
        <v>0</v>
      </c>
      <c r="N17" s="473">
        <v>0</v>
      </c>
      <c r="O17" s="473">
        <v>0</v>
      </c>
      <c r="P17" s="473">
        <v>0</v>
      </c>
      <c r="Q17" s="473">
        <v>0</v>
      </c>
      <c r="R17" s="473">
        <v>0</v>
      </c>
      <c r="S17" s="473">
        <v>0</v>
      </c>
      <c r="T17" s="473">
        <v>0</v>
      </c>
      <c r="U17" s="473">
        <v>0</v>
      </c>
      <c r="V17" s="473">
        <v>0</v>
      </c>
      <c r="W17" s="473">
        <v>0</v>
      </c>
      <c r="X17" s="473">
        <v>0</v>
      </c>
      <c r="Y17" s="473">
        <v>0</v>
      </c>
      <c r="Z17" s="482">
        <f t="shared" si="5"/>
        <v>0</v>
      </c>
    </row>
    <row r="18" spans="1:26" s="19" customFormat="1" ht="38.25" customHeight="1">
      <c r="A18" s="211">
        <v>10</v>
      </c>
      <c r="B18" s="213" t="s">
        <v>577</v>
      </c>
      <c r="C18" s="470">
        <f>+'Loans Receivable'!C82</f>
        <v>3835072</v>
      </c>
      <c r="D18" s="37">
        <f t="shared" si="0"/>
        <v>1.8912577914298909E-4</v>
      </c>
      <c r="E18" s="473">
        <v>0</v>
      </c>
      <c r="F18" s="37">
        <f t="shared" si="1"/>
        <v>0</v>
      </c>
      <c r="G18" s="473"/>
      <c r="H18" s="37">
        <f t="shared" si="2"/>
        <v>0</v>
      </c>
      <c r="I18" s="470">
        <f t="shared" si="3"/>
        <v>26667</v>
      </c>
      <c r="J18" s="470">
        <f t="shared" si="3"/>
        <v>18982</v>
      </c>
      <c r="K18" s="37">
        <f t="shared" si="4"/>
        <v>3.3154798904135298E-5</v>
      </c>
      <c r="L18" s="473">
        <v>26667</v>
      </c>
      <c r="M18" s="473">
        <v>18982</v>
      </c>
      <c r="N18" s="473">
        <v>0</v>
      </c>
      <c r="O18" s="473">
        <v>0</v>
      </c>
      <c r="P18" s="473">
        <v>0</v>
      </c>
      <c r="Q18" s="473">
        <v>0</v>
      </c>
      <c r="R18" s="473">
        <v>0</v>
      </c>
      <c r="S18" s="473">
        <v>0</v>
      </c>
      <c r="T18" s="473">
        <v>0</v>
      </c>
      <c r="U18" s="473">
        <v>0</v>
      </c>
      <c r="V18" s="473">
        <v>0</v>
      </c>
      <c r="W18" s="473">
        <v>0</v>
      </c>
      <c r="X18" s="473">
        <v>0</v>
      </c>
      <c r="Y18" s="473">
        <v>0</v>
      </c>
      <c r="Z18" s="482">
        <f t="shared" si="5"/>
        <v>45649</v>
      </c>
    </row>
    <row r="19" spans="1:26" s="19" customFormat="1" ht="26.25" customHeight="1">
      <c r="A19" s="211">
        <v>11</v>
      </c>
      <c r="B19" s="213" t="s">
        <v>578</v>
      </c>
      <c r="C19" s="470">
        <f>+'Loans Receivable'!C83</f>
        <v>0</v>
      </c>
      <c r="D19" s="37">
        <f t="shared" si="0"/>
        <v>0</v>
      </c>
      <c r="E19" s="473">
        <v>0</v>
      </c>
      <c r="F19" s="37">
        <f t="shared" si="1"/>
        <v>0</v>
      </c>
      <c r="G19" s="473"/>
      <c r="H19" s="37">
        <f t="shared" si="2"/>
        <v>0</v>
      </c>
      <c r="I19" s="470">
        <f t="shared" si="3"/>
        <v>0</v>
      </c>
      <c r="J19" s="470">
        <f t="shared" si="3"/>
        <v>0</v>
      </c>
      <c r="K19" s="37">
        <f t="shared" si="4"/>
        <v>0</v>
      </c>
      <c r="L19" s="473">
        <v>0</v>
      </c>
      <c r="M19" s="473">
        <v>0</v>
      </c>
      <c r="N19" s="473">
        <v>0</v>
      </c>
      <c r="O19" s="473">
        <v>0</v>
      </c>
      <c r="P19" s="473">
        <v>0</v>
      </c>
      <c r="Q19" s="473">
        <v>0</v>
      </c>
      <c r="R19" s="473">
        <v>0</v>
      </c>
      <c r="S19" s="473">
        <v>0</v>
      </c>
      <c r="T19" s="473">
        <v>0</v>
      </c>
      <c r="U19" s="473">
        <v>0</v>
      </c>
      <c r="V19" s="473">
        <v>0</v>
      </c>
      <c r="W19" s="473">
        <v>0</v>
      </c>
      <c r="X19" s="473">
        <v>0</v>
      </c>
      <c r="Y19" s="473">
        <v>0</v>
      </c>
      <c r="Z19" s="482">
        <f t="shared" si="5"/>
        <v>0</v>
      </c>
    </row>
    <row r="20" spans="1:26" s="19" customFormat="1" ht="26.25" customHeight="1">
      <c r="A20" s="211">
        <v>12</v>
      </c>
      <c r="B20" s="213" t="s">
        <v>579</v>
      </c>
      <c r="C20" s="470">
        <f>+'Loans Receivable'!C84</f>
        <v>3183333</v>
      </c>
      <c r="D20" s="37">
        <f t="shared" si="0"/>
        <v>1.5698540572291444E-4</v>
      </c>
      <c r="E20" s="473">
        <v>0</v>
      </c>
      <c r="F20" s="37">
        <f t="shared" si="1"/>
        <v>0</v>
      </c>
      <c r="G20" s="473"/>
      <c r="H20" s="37">
        <f t="shared" si="2"/>
        <v>0</v>
      </c>
      <c r="I20" s="470">
        <f t="shared" si="3"/>
        <v>0</v>
      </c>
      <c r="J20" s="470">
        <f t="shared" si="3"/>
        <v>0</v>
      </c>
      <c r="K20" s="37">
        <f t="shared" si="4"/>
        <v>0</v>
      </c>
      <c r="L20" s="473">
        <v>0</v>
      </c>
      <c r="M20" s="473">
        <v>0</v>
      </c>
      <c r="N20" s="473">
        <v>0</v>
      </c>
      <c r="O20" s="473">
        <v>0</v>
      </c>
      <c r="P20" s="473">
        <v>0</v>
      </c>
      <c r="Q20" s="473">
        <v>0</v>
      </c>
      <c r="R20" s="473">
        <v>0</v>
      </c>
      <c r="S20" s="473">
        <v>0</v>
      </c>
      <c r="T20" s="473">
        <v>0</v>
      </c>
      <c r="U20" s="473">
        <v>0</v>
      </c>
      <c r="V20" s="473">
        <v>0</v>
      </c>
      <c r="W20" s="473">
        <v>0</v>
      </c>
      <c r="X20" s="473">
        <v>0</v>
      </c>
      <c r="Y20" s="473">
        <v>0</v>
      </c>
      <c r="Z20" s="482">
        <f t="shared" si="5"/>
        <v>0</v>
      </c>
    </row>
    <row r="21" spans="1:26" s="19" customFormat="1" ht="18.75" customHeight="1">
      <c r="A21" s="20"/>
      <c r="B21" s="21"/>
      <c r="C21" s="470"/>
      <c r="D21" s="37"/>
      <c r="E21" s="470"/>
      <c r="F21" s="37"/>
      <c r="G21" s="470"/>
      <c r="H21" s="37"/>
      <c r="I21" s="470"/>
      <c r="J21" s="470"/>
      <c r="K21" s="37"/>
      <c r="L21" s="473"/>
      <c r="M21" s="473"/>
      <c r="N21" s="473"/>
      <c r="O21" s="473"/>
      <c r="P21" s="473"/>
      <c r="Q21" s="473"/>
      <c r="R21" s="473"/>
      <c r="S21" s="473"/>
      <c r="T21" s="473"/>
      <c r="U21" s="473"/>
      <c r="V21" s="473"/>
      <c r="W21" s="473"/>
      <c r="X21" s="473"/>
      <c r="Y21" s="473"/>
      <c r="Z21" s="482">
        <f>+I21+J21</f>
        <v>0</v>
      </c>
    </row>
    <row r="22" spans="1:26" s="19" customFormat="1" ht="27.75" customHeight="1">
      <c r="A22" s="40">
        <v>13</v>
      </c>
      <c r="B22" s="40" t="s">
        <v>580</v>
      </c>
      <c r="C22" s="471">
        <f>SUM(C9:C20)</f>
        <v>20277891345</v>
      </c>
      <c r="D22" s="339">
        <f>IF(C$22=0,"",C22/C$22)</f>
        <v>1</v>
      </c>
      <c r="E22" s="471">
        <f>SUM(E9:E20)</f>
        <v>1131683854</v>
      </c>
      <c r="F22" s="339">
        <f>IF(E$22=0,"",E22/E$22)</f>
        <v>1</v>
      </c>
      <c r="G22" s="471">
        <f>SUM(G9:G20)</f>
        <v>190809773</v>
      </c>
      <c r="H22" s="339">
        <f>IF($G$22=0,"",G22/$G$22)</f>
        <v>1</v>
      </c>
      <c r="I22" s="471">
        <f>SUM(I9:I20)</f>
        <v>798938437</v>
      </c>
      <c r="J22" s="471">
        <f>SUM(J9:J20)</f>
        <v>577905987</v>
      </c>
      <c r="K22" s="339">
        <f>IF($Z$22=0,"",Z22/$Z$22)</f>
        <v>1</v>
      </c>
      <c r="L22" s="471">
        <f t="shared" ref="L22:Y22" si="6">SUM(L9:L20)</f>
        <v>57876232</v>
      </c>
      <c r="M22" s="471">
        <f t="shared" si="6"/>
        <v>61442444</v>
      </c>
      <c r="N22" s="471">
        <f t="shared" si="6"/>
        <v>73349130</v>
      </c>
      <c r="O22" s="471">
        <f t="shared" si="6"/>
        <v>45612065</v>
      </c>
      <c r="P22" s="471">
        <f t="shared" si="6"/>
        <v>102007033</v>
      </c>
      <c r="Q22" s="471">
        <f t="shared" si="6"/>
        <v>67470820</v>
      </c>
      <c r="R22" s="471">
        <f t="shared" si="6"/>
        <v>67914859</v>
      </c>
      <c r="S22" s="471">
        <f t="shared" si="6"/>
        <v>48155558</v>
      </c>
      <c r="T22" s="471">
        <f t="shared" si="6"/>
        <v>102226018</v>
      </c>
      <c r="U22" s="471">
        <f t="shared" si="6"/>
        <v>54032233</v>
      </c>
      <c r="V22" s="471">
        <f t="shared" si="6"/>
        <v>269853946</v>
      </c>
      <c r="W22" s="471">
        <f t="shared" si="6"/>
        <v>169750808</v>
      </c>
      <c r="X22" s="471">
        <f t="shared" si="6"/>
        <v>125711219</v>
      </c>
      <c r="Y22" s="471">
        <f t="shared" si="6"/>
        <v>131442059</v>
      </c>
      <c r="Z22" s="482">
        <f t="shared" si="5"/>
        <v>1376844424</v>
      </c>
    </row>
    <row r="23" spans="1:26" s="19" customFormat="1" ht="18.75" customHeight="1">
      <c r="A23" s="211"/>
      <c r="B23" s="212"/>
      <c r="C23" s="470"/>
      <c r="D23" s="340"/>
      <c r="E23" s="470"/>
      <c r="F23" s="37"/>
      <c r="G23" s="470"/>
      <c r="H23" s="340"/>
      <c r="I23" s="470"/>
      <c r="J23" s="470"/>
      <c r="K23" s="340"/>
      <c r="L23" s="473"/>
      <c r="M23" s="473"/>
      <c r="N23" s="473"/>
      <c r="O23" s="473"/>
      <c r="P23" s="473"/>
      <c r="Q23" s="473"/>
      <c r="R23" s="473"/>
      <c r="S23" s="473"/>
      <c r="T23" s="473"/>
      <c r="U23" s="473"/>
      <c r="V23" s="473"/>
      <c r="W23" s="473"/>
      <c r="X23" s="473"/>
      <c r="Y23" s="473"/>
      <c r="Z23" s="482">
        <f t="shared" si="5"/>
        <v>0</v>
      </c>
    </row>
    <row r="24" spans="1:26" s="19" customFormat="1" ht="27.75" customHeight="1">
      <c r="A24" s="40"/>
      <c r="B24" s="40" t="s">
        <v>581</v>
      </c>
      <c r="C24" s="472"/>
      <c r="D24" s="214"/>
      <c r="E24" s="472"/>
      <c r="F24" s="214"/>
      <c r="G24" s="472"/>
      <c r="H24" s="214"/>
      <c r="I24" s="472"/>
      <c r="J24" s="472"/>
      <c r="K24" s="214"/>
      <c r="L24" s="472"/>
      <c r="M24" s="472"/>
      <c r="N24" s="472"/>
      <c r="O24" s="472"/>
      <c r="P24" s="472"/>
      <c r="Q24" s="472"/>
      <c r="R24" s="472"/>
      <c r="S24" s="472"/>
      <c r="T24" s="472"/>
      <c r="U24" s="472"/>
      <c r="V24" s="472"/>
      <c r="W24" s="472"/>
      <c r="X24" s="472"/>
      <c r="Y24" s="472"/>
      <c r="Z24" s="482">
        <f t="shared" si="5"/>
        <v>0</v>
      </c>
    </row>
    <row r="25" spans="1:26" s="19" customFormat="1" ht="26.25" customHeight="1">
      <c r="A25" s="20">
        <v>14</v>
      </c>
      <c r="B25" s="295" t="s">
        <v>397</v>
      </c>
      <c r="C25" s="470">
        <f>+'Loans Receivable'!C14</f>
        <v>3929868237</v>
      </c>
      <c r="D25" s="37">
        <f t="shared" ref="D25:D32" si="7">IF(C$35=0,"",C25/C$35)</f>
        <v>0.19380063588164967</v>
      </c>
      <c r="E25" s="473">
        <v>850543605</v>
      </c>
      <c r="F25" s="37">
        <f t="shared" ref="F25:F33" si="8">IF($E$35=0,"",E25/$E$35)</f>
        <v>0.75157350879727225</v>
      </c>
      <c r="G25" s="473">
        <v>103328007</v>
      </c>
      <c r="H25" s="37">
        <f t="shared" ref="H25:H33" si="9">IF($G$35=0,"",G25/$G$35)</f>
        <v>0.54152366189335599</v>
      </c>
      <c r="I25" s="470">
        <f t="shared" ref="I25:J32" si="10">+L25+N25+P25+R25+T25+V25+X25</f>
        <v>217421178</v>
      </c>
      <c r="J25" s="470">
        <f t="shared" si="10"/>
        <v>125354320</v>
      </c>
      <c r="K25" s="37">
        <f t="shared" ref="K25:K33" si="11">IF($Z$35=0,"",Z25/$Z$35)</f>
        <v>0.24895732010459884</v>
      </c>
      <c r="L25" s="473">
        <v>22614613</v>
      </c>
      <c r="M25" s="473">
        <v>2130860</v>
      </c>
      <c r="N25" s="473">
        <v>10626320</v>
      </c>
      <c r="O25" s="473">
        <v>4285049</v>
      </c>
      <c r="P25" s="473">
        <v>21608851</v>
      </c>
      <c r="Q25" s="473">
        <v>17289480</v>
      </c>
      <c r="R25" s="473">
        <v>12676966</v>
      </c>
      <c r="S25" s="473">
        <v>15496773</v>
      </c>
      <c r="T25" s="473">
        <v>22488719</v>
      </c>
      <c r="U25" s="473">
        <v>9143325</v>
      </c>
      <c r="V25" s="473">
        <v>105289573</v>
      </c>
      <c r="W25" s="473">
        <v>52238110</v>
      </c>
      <c r="X25" s="473">
        <v>22116136</v>
      </c>
      <c r="Y25" s="473">
        <v>24770723</v>
      </c>
      <c r="Z25" s="482">
        <f t="shared" si="5"/>
        <v>342775498</v>
      </c>
    </row>
    <row r="26" spans="1:26" s="19" customFormat="1" ht="26.25" customHeight="1">
      <c r="A26" s="20">
        <v>15</v>
      </c>
      <c r="B26" s="295" t="s">
        <v>398</v>
      </c>
      <c r="C26" s="470">
        <f>+'Loans Receivable'!C22</f>
        <v>4134450617</v>
      </c>
      <c r="D26" s="37">
        <f t="shared" si="7"/>
        <v>0.2038895734599864</v>
      </c>
      <c r="E26" s="473">
        <v>105927233</v>
      </c>
      <c r="F26" s="37">
        <f t="shared" si="8"/>
        <v>9.3601435264446212E-2</v>
      </c>
      <c r="G26" s="473">
        <v>41576060</v>
      </c>
      <c r="H26" s="37">
        <f t="shared" si="9"/>
        <v>0.21789271768590177</v>
      </c>
      <c r="I26" s="470">
        <f t="shared" si="10"/>
        <v>124856529</v>
      </c>
      <c r="J26" s="470">
        <f t="shared" si="10"/>
        <v>135083500</v>
      </c>
      <c r="K26" s="37">
        <f t="shared" si="11"/>
        <v>0.18879404562268831</v>
      </c>
      <c r="L26" s="473">
        <v>8341146</v>
      </c>
      <c r="M26" s="473">
        <v>22026844</v>
      </c>
      <c r="N26" s="473">
        <v>5483928</v>
      </c>
      <c r="O26" s="473">
        <v>5882358</v>
      </c>
      <c r="P26" s="473">
        <v>14828962</v>
      </c>
      <c r="Q26" s="473">
        <v>13498484</v>
      </c>
      <c r="R26" s="473">
        <v>9112001</v>
      </c>
      <c r="S26" s="473">
        <v>7824318</v>
      </c>
      <c r="T26" s="473">
        <v>18358631</v>
      </c>
      <c r="U26" s="473">
        <v>15899998</v>
      </c>
      <c r="V26" s="473">
        <v>37379601</v>
      </c>
      <c r="W26" s="473">
        <v>37939485</v>
      </c>
      <c r="X26" s="473">
        <v>31352260</v>
      </c>
      <c r="Y26" s="473">
        <v>32012013</v>
      </c>
      <c r="Z26" s="482">
        <f t="shared" si="5"/>
        <v>259940029</v>
      </c>
    </row>
    <row r="27" spans="1:26" s="19" customFormat="1" ht="26.25" customHeight="1">
      <c r="A27" s="20">
        <v>16</v>
      </c>
      <c r="B27" s="295" t="s">
        <v>399</v>
      </c>
      <c r="C27" s="470">
        <f>+'Loans Receivable'!C29</f>
        <v>255926870</v>
      </c>
      <c r="D27" s="37">
        <f t="shared" si="7"/>
        <v>1.262098043853583E-2</v>
      </c>
      <c r="E27" s="473">
        <v>8672875</v>
      </c>
      <c r="F27" s="37">
        <f t="shared" si="8"/>
        <v>7.6636906759297106E-3</v>
      </c>
      <c r="G27" s="473">
        <v>3379292</v>
      </c>
      <c r="H27" s="37">
        <f t="shared" si="9"/>
        <v>1.7710266863532196E-2</v>
      </c>
      <c r="I27" s="470">
        <f t="shared" si="10"/>
        <v>10038042</v>
      </c>
      <c r="J27" s="470">
        <f t="shared" si="10"/>
        <v>7301289</v>
      </c>
      <c r="K27" s="37">
        <f t="shared" si="11"/>
        <v>1.2593529594016063E-2</v>
      </c>
      <c r="L27" s="473">
        <v>368761</v>
      </c>
      <c r="M27" s="473">
        <v>376253</v>
      </c>
      <c r="N27" s="473">
        <v>491181</v>
      </c>
      <c r="O27" s="473">
        <v>334901</v>
      </c>
      <c r="P27" s="473">
        <v>2393452</v>
      </c>
      <c r="Q27" s="473">
        <v>1372512</v>
      </c>
      <c r="R27" s="473">
        <v>1019209</v>
      </c>
      <c r="S27" s="473">
        <v>216732</v>
      </c>
      <c r="T27" s="473">
        <v>108731</v>
      </c>
      <c r="U27" s="473">
        <v>66874</v>
      </c>
      <c r="V27" s="473">
        <v>1393666</v>
      </c>
      <c r="W27" s="473">
        <v>963308</v>
      </c>
      <c r="X27" s="473">
        <v>4263042</v>
      </c>
      <c r="Y27" s="473">
        <v>3970709</v>
      </c>
      <c r="Z27" s="482">
        <f t="shared" si="5"/>
        <v>17339331</v>
      </c>
    </row>
    <row r="28" spans="1:26" s="19" customFormat="1" ht="26.25" customHeight="1">
      <c r="A28" s="20">
        <v>17</v>
      </c>
      <c r="B28" s="295" t="s">
        <v>400</v>
      </c>
      <c r="C28" s="470">
        <f>+'Loans Receivable'!C36</f>
        <v>1320966900</v>
      </c>
      <c r="D28" s="37">
        <f t="shared" si="7"/>
        <v>6.5143208311238737E-2</v>
      </c>
      <c r="E28" s="473">
        <v>34793691</v>
      </c>
      <c r="F28" s="37">
        <f t="shared" si="8"/>
        <v>3.0745062657755298E-2</v>
      </c>
      <c r="G28" s="473">
        <v>6272879</v>
      </c>
      <c r="H28" s="37">
        <f t="shared" si="9"/>
        <v>3.287504042049251E-2</v>
      </c>
      <c r="I28" s="470">
        <f t="shared" si="10"/>
        <v>80062835</v>
      </c>
      <c r="J28" s="470">
        <f t="shared" si="10"/>
        <v>53719889</v>
      </c>
      <c r="K28" s="37">
        <f t="shared" si="11"/>
        <v>9.7166187891682965E-2</v>
      </c>
      <c r="L28" s="473">
        <v>5950064</v>
      </c>
      <c r="M28" s="473">
        <v>2201293</v>
      </c>
      <c r="N28" s="473">
        <v>31366353</v>
      </c>
      <c r="O28" s="473">
        <v>20784978</v>
      </c>
      <c r="P28" s="473">
        <v>5913641</v>
      </c>
      <c r="Q28" s="473">
        <v>2467834</v>
      </c>
      <c r="R28" s="473">
        <v>24340496</v>
      </c>
      <c r="S28" s="473">
        <v>13091041</v>
      </c>
      <c r="T28" s="473">
        <v>1619276</v>
      </c>
      <c r="U28" s="473">
        <v>456244</v>
      </c>
      <c r="V28" s="473">
        <v>8128329</v>
      </c>
      <c r="W28" s="473">
        <v>10445653</v>
      </c>
      <c r="X28" s="473">
        <v>2744676</v>
      </c>
      <c r="Y28" s="473">
        <v>4272846</v>
      </c>
      <c r="Z28" s="482">
        <f t="shared" si="5"/>
        <v>133782724</v>
      </c>
    </row>
    <row r="29" spans="1:26" s="19" customFormat="1" ht="26.25" customHeight="1">
      <c r="A29" s="20">
        <v>18</v>
      </c>
      <c r="B29" s="296" t="s">
        <v>613</v>
      </c>
      <c r="C29" s="470">
        <f>+'Loans Receivable'!C43</f>
        <v>1444865389</v>
      </c>
      <c r="D29" s="37">
        <f t="shared" si="7"/>
        <v>7.1253236562798042E-2</v>
      </c>
      <c r="E29" s="473">
        <v>68704797</v>
      </c>
      <c r="F29" s="37">
        <f t="shared" si="8"/>
        <v>6.0710238780167312E-2</v>
      </c>
      <c r="G29" s="473">
        <v>31217538</v>
      </c>
      <c r="H29" s="37">
        <f t="shared" si="9"/>
        <v>0.16360555074922709</v>
      </c>
      <c r="I29" s="470">
        <f t="shared" si="10"/>
        <v>64519912</v>
      </c>
      <c r="J29" s="470">
        <f t="shared" si="10"/>
        <v>70575569</v>
      </c>
      <c r="K29" s="37">
        <f t="shared" si="11"/>
        <v>9.8119641293619386E-2</v>
      </c>
      <c r="L29" s="473">
        <v>8335693</v>
      </c>
      <c r="M29" s="473">
        <v>22254219</v>
      </c>
      <c r="N29" s="473">
        <v>6799573</v>
      </c>
      <c r="O29" s="473">
        <v>2411640</v>
      </c>
      <c r="P29" s="473">
        <v>6460426</v>
      </c>
      <c r="Q29" s="473">
        <v>7207643</v>
      </c>
      <c r="R29" s="473">
        <v>3002590</v>
      </c>
      <c r="S29" s="473">
        <v>3346948</v>
      </c>
      <c r="T29" s="473">
        <v>4652758</v>
      </c>
      <c r="U29" s="473">
        <v>3968152</v>
      </c>
      <c r="V29" s="473">
        <v>15110981</v>
      </c>
      <c r="W29" s="473">
        <v>10410899</v>
      </c>
      <c r="X29" s="473">
        <v>20157891</v>
      </c>
      <c r="Y29" s="473">
        <v>20976068</v>
      </c>
      <c r="Z29" s="482">
        <f t="shared" si="5"/>
        <v>135095481</v>
      </c>
    </row>
    <row r="30" spans="1:26" s="19" customFormat="1" ht="38.25" customHeight="1">
      <c r="A30" s="20">
        <v>19</v>
      </c>
      <c r="B30" s="296" t="s">
        <v>402</v>
      </c>
      <c r="C30" s="470">
        <f>+'Loans Receivable'!C50</f>
        <v>179982546</v>
      </c>
      <c r="D30" s="37">
        <f t="shared" si="7"/>
        <v>8.8758018739645232E-3</v>
      </c>
      <c r="E30" s="473">
        <v>987043</v>
      </c>
      <c r="F30" s="37">
        <f t="shared" si="8"/>
        <v>8.7218969901465074E-4</v>
      </c>
      <c r="G30" s="473">
        <v>505122</v>
      </c>
      <c r="H30" s="37">
        <f t="shared" si="9"/>
        <v>2.6472543416316521E-3</v>
      </c>
      <c r="I30" s="470">
        <f t="shared" si="10"/>
        <v>9330175</v>
      </c>
      <c r="J30" s="470">
        <f t="shared" si="10"/>
        <v>9804753</v>
      </c>
      <c r="K30" s="37">
        <f t="shared" si="11"/>
        <v>1.3897668949705533E-2</v>
      </c>
      <c r="L30" s="473">
        <v>200275</v>
      </c>
      <c r="M30" s="473">
        <v>1558826</v>
      </c>
      <c r="N30" s="473">
        <v>1202945</v>
      </c>
      <c r="O30" s="473">
        <v>1089590</v>
      </c>
      <c r="P30" s="473">
        <v>2401082</v>
      </c>
      <c r="Q30" s="473">
        <v>889117</v>
      </c>
      <c r="R30" s="473">
        <v>72271</v>
      </c>
      <c r="S30" s="473">
        <v>35490</v>
      </c>
      <c r="T30" s="473">
        <v>2973470</v>
      </c>
      <c r="U30" s="473">
        <v>3622842</v>
      </c>
      <c r="V30" s="473">
        <v>1423200</v>
      </c>
      <c r="W30" s="473">
        <v>1210960</v>
      </c>
      <c r="X30" s="473">
        <v>1056932</v>
      </c>
      <c r="Y30" s="473">
        <v>1397928</v>
      </c>
      <c r="Z30" s="482">
        <f t="shared" si="5"/>
        <v>19134928</v>
      </c>
    </row>
    <row r="31" spans="1:26" s="19" customFormat="1" ht="26.25" customHeight="1">
      <c r="A31" s="20">
        <v>20</v>
      </c>
      <c r="B31" s="295" t="s">
        <v>614</v>
      </c>
      <c r="C31" s="470">
        <f>+'Loans Receivable'!C58</f>
        <v>592662970</v>
      </c>
      <c r="D31" s="37">
        <f t="shared" si="7"/>
        <v>2.9227051270601431E-2</v>
      </c>
      <c r="E31" s="473">
        <v>62054610</v>
      </c>
      <c r="F31" s="37">
        <f t="shared" si="8"/>
        <v>5.4833874125414538E-2</v>
      </c>
      <c r="G31" s="473">
        <v>863579</v>
      </c>
      <c r="H31" s="37">
        <f t="shared" si="9"/>
        <v>4.5258635677953452E-3</v>
      </c>
      <c r="I31" s="470">
        <f t="shared" si="10"/>
        <v>33771960</v>
      </c>
      <c r="J31" s="470">
        <f t="shared" si="10"/>
        <v>28707213</v>
      </c>
      <c r="K31" s="37">
        <f t="shared" si="11"/>
        <v>4.5378527821237705E-2</v>
      </c>
      <c r="L31" s="473">
        <v>474847</v>
      </c>
      <c r="M31" s="473">
        <v>642465</v>
      </c>
      <c r="N31" s="473">
        <v>1166300</v>
      </c>
      <c r="O31" s="473">
        <v>415850</v>
      </c>
      <c r="P31" s="473">
        <v>4232233</v>
      </c>
      <c r="Q31" s="473">
        <v>2593917</v>
      </c>
      <c r="R31" s="473">
        <v>772253</v>
      </c>
      <c r="S31" s="473">
        <v>890235</v>
      </c>
      <c r="T31" s="473">
        <v>3727753</v>
      </c>
      <c r="U31" s="473">
        <v>2359201</v>
      </c>
      <c r="V31" s="473">
        <v>8685164</v>
      </c>
      <c r="W31" s="473">
        <v>11312211</v>
      </c>
      <c r="X31" s="473">
        <v>14713410</v>
      </c>
      <c r="Y31" s="473">
        <v>10493334</v>
      </c>
      <c r="Z31" s="482">
        <f t="shared" si="5"/>
        <v>62479173</v>
      </c>
    </row>
    <row r="32" spans="1:26" s="19" customFormat="1" ht="26.25" customHeight="1">
      <c r="A32" s="20">
        <v>21</v>
      </c>
      <c r="B32" s="295" t="s">
        <v>404</v>
      </c>
      <c r="C32" s="470">
        <f>+'Loans Receivable'!C70</f>
        <v>0</v>
      </c>
      <c r="D32" s="37">
        <f t="shared" si="7"/>
        <v>0</v>
      </c>
      <c r="E32" s="473">
        <v>0</v>
      </c>
      <c r="F32" s="37">
        <f t="shared" si="8"/>
        <v>0</v>
      </c>
      <c r="G32" s="473">
        <v>0</v>
      </c>
      <c r="H32" s="37">
        <f t="shared" si="9"/>
        <v>0</v>
      </c>
      <c r="I32" s="470">
        <f t="shared" si="10"/>
        <v>0</v>
      </c>
      <c r="J32" s="470">
        <f t="shared" si="10"/>
        <v>0</v>
      </c>
      <c r="K32" s="37">
        <f t="shared" si="11"/>
        <v>0</v>
      </c>
      <c r="L32" s="473">
        <v>0</v>
      </c>
      <c r="M32" s="473">
        <v>0</v>
      </c>
      <c r="N32" s="473">
        <v>0</v>
      </c>
      <c r="O32" s="473">
        <v>0</v>
      </c>
      <c r="P32" s="473">
        <v>0</v>
      </c>
      <c r="Q32" s="473">
        <v>0</v>
      </c>
      <c r="R32" s="473">
        <v>0</v>
      </c>
      <c r="S32" s="473">
        <v>0</v>
      </c>
      <c r="T32" s="473">
        <v>0</v>
      </c>
      <c r="U32" s="473">
        <v>0</v>
      </c>
      <c r="V32" s="473">
        <v>0</v>
      </c>
      <c r="W32" s="473">
        <v>0</v>
      </c>
      <c r="X32" s="473">
        <v>0</v>
      </c>
      <c r="Y32" s="473">
        <v>0</v>
      </c>
      <c r="Z32" s="482">
        <f t="shared" si="5"/>
        <v>0</v>
      </c>
    </row>
    <row r="33" spans="1:26" s="19" customFormat="1" ht="26.25" customHeight="1">
      <c r="A33" s="20">
        <v>22</v>
      </c>
      <c r="B33" s="295" t="s">
        <v>329</v>
      </c>
      <c r="C33" s="470">
        <f>+'Loans Receivable'!C71</f>
        <v>8419167816</v>
      </c>
      <c r="D33" s="37">
        <f t="shared" ref="D33" si="12">IF(C$35=0,"",C33/C$35)</f>
        <v>0.41518951220122535</v>
      </c>
      <c r="E33" s="473">
        <v>0</v>
      </c>
      <c r="F33" s="37">
        <f t="shared" si="8"/>
        <v>0</v>
      </c>
      <c r="G33" s="473">
        <v>3667296</v>
      </c>
      <c r="H33" s="37">
        <f t="shared" si="9"/>
        <v>1.92196444780635E-2</v>
      </c>
      <c r="I33" s="470">
        <f t="shared" ref="I33" si="13">+L33+N33+P33+R33+T33+V33+X33</f>
        <v>258937806</v>
      </c>
      <c r="J33" s="470">
        <f t="shared" ref="J33" si="14">+M33+O33+Q33+S33+U33+W33+Y33</f>
        <v>147359454</v>
      </c>
      <c r="K33" s="37">
        <f t="shared" si="11"/>
        <v>0.29509307872245122</v>
      </c>
      <c r="L33" s="473">
        <v>11590833</v>
      </c>
      <c r="M33" s="473">
        <v>10251684</v>
      </c>
      <c r="N33" s="473">
        <v>16212530</v>
      </c>
      <c r="O33" s="473">
        <v>10407699</v>
      </c>
      <c r="P33" s="473">
        <v>44168386</v>
      </c>
      <c r="Q33" s="473">
        <v>22151833</v>
      </c>
      <c r="R33" s="473">
        <v>16919073</v>
      </c>
      <c r="S33" s="473">
        <v>7254021</v>
      </c>
      <c r="T33" s="473">
        <v>48296680</v>
      </c>
      <c r="U33" s="473">
        <v>18515597</v>
      </c>
      <c r="V33" s="473">
        <v>92443432</v>
      </c>
      <c r="W33" s="473">
        <v>45230182</v>
      </c>
      <c r="X33" s="473">
        <v>29306872</v>
      </c>
      <c r="Y33" s="473">
        <v>33548438</v>
      </c>
      <c r="Z33" s="482">
        <f t="shared" si="5"/>
        <v>406297260</v>
      </c>
    </row>
    <row r="34" spans="1:26" s="19" customFormat="1" ht="18.75" customHeight="1">
      <c r="A34" s="20"/>
      <c r="B34" s="21"/>
      <c r="C34" s="470"/>
      <c r="D34" s="37"/>
      <c r="E34" s="470"/>
      <c r="F34" s="37"/>
      <c r="G34" s="470"/>
      <c r="H34" s="37"/>
      <c r="I34" s="470"/>
      <c r="J34" s="470"/>
      <c r="K34" s="37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  <c r="Y34" s="473"/>
      <c r="Z34" s="482">
        <f t="shared" si="5"/>
        <v>0</v>
      </c>
    </row>
    <row r="35" spans="1:26" s="19" customFormat="1" ht="27.75" customHeight="1">
      <c r="A35" s="214">
        <v>23</v>
      </c>
      <c r="B35" s="214" t="s">
        <v>580</v>
      </c>
      <c r="C35" s="471">
        <f>SUM(C25:C33)</f>
        <v>20277891345</v>
      </c>
      <c r="D35" s="339">
        <f>IF(C$35=0,"",C35/C$35)</f>
        <v>1</v>
      </c>
      <c r="E35" s="471">
        <f>SUM(E25:E33)</f>
        <v>1131683854</v>
      </c>
      <c r="F35" s="339">
        <f>IF($E$35=0,"",E35/$E$35)</f>
        <v>1</v>
      </c>
      <c r="G35" s="471">
        <f>SUM(G25:G33)</f>
        <v>190809773</v>
      </c>
      <c r="H35" s="339">
        <f>IF($G$35=0,"",G35/$G$35)</f>
        <v>1</v>
      </c>
      <c r="I35" s="471">
        <f t="shared" ref="I35:J35" si="15">SUM(I25:I33)</f>
        <v>798938437</v>
      </c>
      <c r="J35" s="471">
        <f t="shared" si="15"/>
        <v>577905987</v>
      </c>
      <c r="K35" s="339">
        <f>IF($Z$35=0,"",Z35/$Z$35)</f>
        <v>1</v>
      </c>
      <c r="L35" s="471">
        <f t="shared" ref="L35:Y35" si="16">SUM(L25:L33)</f>
        <v>57876232</v>
      </c>
      <c r="M35" s="471">
        <f t="shared" si="16"/>
        <v>61442444</v>
      </c>
      <c r="N35" s="471">
        <f t="shared" si="16"/>
        <v>73349130</v>
      </c>
      <c r="O35" s="471">
        <f t="shared" si="16"/>
        <v>45612065</v>
      </c>
      <c r="P35" s="471">
        <f t="shared" si="16"/>
        <v>102007033</v>
      </c>
      <c r="Q35" s="471">
        <f t="shared" si="16"/>
        <v>67470820</v>
      </c>
      <c r="R35" s="471">
        <f t="shared" si="16"/>
        <v>67914859</v>
      </c>
      <c r="S35" s="471">
        <f t="shared" si="16"/>
        <v>48155558</v>
      </c>
      <c r="T35" s="471">
        <f t="shared" si="16"/>
        <v>102226018</v>
      </c>
      <c r="U35" s="471">
        <f t="shared" si="16"/>
        <v>54032233</v>
      </c>
      <c r="V35" s="471">
        <f t="shared" si="16"/>
        <v>269853946</v>
      </c>
      <c r="W35" s="471">
        <f t="shared" si="16"/>
        <v>169750808</v>
      </c>
      <c r="X35" s="471">
        <f t="shared" si="16"/>
        <v>125711219</v>
      </c>
      <c r="Y35" s="471">
        <f t="shared" si="16"/>
        <v>131442059</v>
      </c>
      <c r="Z35" s="482">
        <f t="shared" si="5"/>
        <v>1376844424</v>
      </c>
    </row>
    <row r="36" spans="1:26" ht="22.5" customHeight="1">
      <c r="A36" s="22"/>
    </row>
    <row r="37" spans="1:26" s="24" customFormat="1" ht="18.75" customHeight="1">
      <c r="B37" s="23" t="s">
        <v>690</v>
      </c>
      <c r="C37" s="374"/>
      <c r="E37" s="374"/>
      <c r="F37" s="81"/>
      <c r="G37" s="447"/>
      <c r="H37" s="81"/>
      <c r="I37" s="447"/>
      <c r="J37" s="447"/>
      <c r="K37" s="81"/>
      <c r="L37" s="447"/>
      <c r="M37" s="447"/>
      <c r="N37" s="374"/>
      <c r="O37" s="374"/>
      <c r="P37" s="374"/>
      <c r="Q37" s="374"/>
      <c r="R37" s="374"/>
      <c r="S37" s="374"/>
      <c r="T37" s="374"/>
      <c r="U37" s="374"/>
      <c r="V37" s="374"/>
      <c r="W37" s="374"/>
      <c r="X37" s="374"/>
      <c r="Y37" s="374"/>
      <c r="Z37" s="374"/>
    </row>
    <row r="38" spans="1:26" s="24" customFormat="1" ht="18.75" customHeight="1">
      <c r="B38" s="23"/>
      <c r="C38" s="374"/>
      <c r="E38" s="374"/>
      <c r="F38" s="81"/>
      <c r="G38" s="447"/>
      <c r="H38" s="81"/>
      <c r="I38" s="447"/>
      <c r="J38" s="447"/>
      <c r="K38" s="81"/>
      <c r="L38" s="447"/>
      <c r="M38" s="447"/>
      <c r="N38" s="374"/>
      <c r="O38" s="374"/>
      <c r="P38" s="374"/>
      <c r="Q38" s="374"/>
      <c r="R38" s="374"/>
      <c r="S38" s="374"/>
      <c r="T38" s="374"/>
      <c r="U38" s="374"/>
      <c r="V38" s="374"/>
      <c r="W38" s="374"/>
      <c r="X38" s="374"/>
      <c r="Y38" s="374"/>
      <c r="Z38" s="374"/>
    </row>
    <row r="39" spans="1:26" s="24" customFormat="1" ht="18.75" customHeight="1">
      <c r="B39" s="23" t="s">
        <v>691</v>
      </c>
      <c r="C39" s="374"/>
      <c r="E39" s="374"/>
      <c r="F39" s="81"/>
      <c r="G39" s="447"/>
      <c r="H39" s="81"/>
      <c r="I39" s="447"/>
      <c r="J39" s="447"/>
      <c r="K39" s="81"/>
      <c r="L39" s="447"/>
      <c r="M39" s="447"/>
      <c r="N39" s="374"/>
      <c r="O39" s="374"/>
      <c r="P39" s="374"/>
      <c r="Q39" s="374"/>
      <c r="R39" s="374"/>
      <c r="S39" s="374"/>
      <c r="T39" s="374"/>
      <c r="U39" s="374"/>
      <c r="V39" s="374"/>
      <c r="W39" s="374"/>
      <c r="X39" s="374"/>
      <c r="Y39" s="374"/>
      <c r="Z39" s="374"/>
    </row>
    <row r="40" spans="1:26" ht="15.75">
      <c r="A40" s="22"/>
      <c r="B40" s="23"/>
    </row>
    <row r="42" spans="1:26">
      <c r="G42" s="439">
        <f>+'[8]Bank Assets Analysis'!$S$32</f>
        <v>167963237</v>
      </c>
    </row>
  </sheetData>
  <sheetProtection password="CACA" sheet="1" objects="1" scenarios="1"/>
  <mergeCells count="19">
    <mergeCell ref="X5:Y5"/>
    <mergeCell ref="L4:Y4"/>
    <mergeCell ref="N5:O5"/>
    <mergeCell ref="P5:Q5"/>
    <mergeCell ref="R5:S5"/>
    <mergeCell ref="T5:U5"/>
    <mergeCell ref="V5:W5"/>
    <mergeCell ref="L5:M5"/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</mergeCells>
  <phoneticPr fontId="14" type="noConversion"/>
  <conditionalFormatting sqref="C35">
    <cfRule type="cellIs" dxfId="242" priority="5" operator="notEqual">
      <formula>C22</formula>
    </cfRule>
  </conditionalFormatting>
  <conditionalFormatting sqref="E35">
    <cfRule type="cellIs" dxfId="241" priority="4" operator="notEqual">
      <formula>E22</formula>
    </cfRule>
  </conditionalFormatting>
  <conditionalFormatting sqref="G35">
    <cfRule type="cellIs" dxfId="240" priority="3" operator="notEqual">
      <formula>G22</formula>
    </cfRule>
  </conditionalFormatting>
  <conditionalFormatting sqref="I35:J35">
    <cfRule type="cellIs" dxfId="239" priority="2" operator="notEqual">
      <formula>I22</formula>
    </cfRule>
  </conditionalFormatting>
  <conditionalFormatting sqref="L35:Y35">
    <cfRule type="cellIs" dxfId="238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topLeftCell="A29" zoomScale="70" zoomScaleNormal="62" zoomScaleSheetLayoutView="70" workbookViewId="0"/>
  </sheetViews>
  <sheetFormatPr defaultColWidth="9.42578125" defaultRowHeight="12.75"/>
  <cols>
    <col min="1" max="1" width="5" style="24" customWidth="1"/>
    <col min="2" max="2" width="47.42578125" style="24" customWidth="1"/>
    <col min="3" max="4" width="21.28515625" style="24" customWidth="1"/>
    <col min="5" max="7" width="18.7109375" style="24" customWidth="1"/>
    <col min="8" max="8" width="17" style="24" customWidth="1"/>
    <col min="9" max="11" width="18" style="24" customWidth="1"/>
    <col min="12" max="12" width="17" style="24" customWidth="1"/>
    <col min="13" max="13" width="16.7109375" style="24" customWidth="1"/>
    <col min="14" max="14" width="14.7109375" style="24" customWidth="1"/>
    <col min="15" max="15" width="13.7109375" style="24" customWidth="1"/>
    <col min="16" max="16" width="17" style="24" customWidth="1"/>
    <col min="17" max="17" width="16.5703125" style="24" customWidth="1"/>
    <col min="18" max="19" width="14.7109375" style="24" customWidth="1"/>
    <col min="20" max="20" width="17" style="24" customWidth="1"/>
    <col min="21" max="21" width="18" style="24" customWidth="1"/>
    <col min="22" max="22" width="17" style="24" customWidth="1"/>
    <col min="23" max="24" width="16.5703125" style="24" customWidth="1"/>
    <col min="25" max="25" width="17" style="24" bestFit="1" customWidth="1"/>
    <col min="26" max="26" width="16.5703125" style="24" customWidth="1"/>
    <col min="27" max="28" width="14.7109375" style="24" customWidth="1"/>
    <col min="29" max="29" width="19.140625" style="81" customWidth="1"/>
    <col min="30" max="30" width="19" style="81" customWidth="1"/>
    <col min="31" max="36" width="9.42578125" style="81"/>
    <col min="37" max="16384" width="9.42578125" style="24"/>
  </cols>
  <sheetData>
    <row r="1" spans="1:36" ht="21" customHeight="1">
      <c r="A1" s="215" t="s">
        <v>554</v>
      </c>
      <c r="B1" s="122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X1" s="117"/>
      <c r="Y1" s="117"/>
      <c r="Z1" s="216" t="s">
        <v>555</v>
      </c>
      <c r="AA1" s="117"/>
    </row>
    <row r="2" spans="1:36" ht="12.75" customHeight="1">
      <c r="A2" s="215"/>
      <c r="B2" s="122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X2" s="117"/>
      <c r="Y2" s="117"/>
      <c r="Z2" s="216"/>
      <c r="AA2" s="117"/>
    </row>
    <row r="3" spans="1:36" ht="15.75">
      <c r="A3" s="120"/>
      <c r="B3" s="33" t="str">
        <f>+'Asset quality'!B3</f>
        <v>MKBANK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609">
        <f>+'Asset quality'!Q3</f>
        <v>46021</v>
      </c>
      <c r="V3" s="609"/>
      <c r="W3" s="32"/>
      <c r="X3" s="120"/>
      <c r="Y3" s="120"/>
      <c r="AA3" s="118"/>
      <c r="AB3" s="217" t="str">
        <f>+'Asset quality'!T3</f>
        <v>минг. сўмда</v>
      </c>
    </row>
    <row r="4" spans="1:36" ht="125.25" customHeight="1">
      <c r="A4" s="218" t="s">
        <v>23</v>
      </c>
      <c r="B4" s="219" t="s">
        <v>216</v>
      </c>
      <c r="C4" s="220" t="s">
        <v>556</v>
      </c>
      <c r="D4" s="220" t="s">
        <v>557</v>
      </c>
      <c r="E4" s="220" t="s">
        <v>558</v>
      </c>
      <c r="F4" s="220" t="s">
        <v>557</v>
      </c>
      <c r="G4" s="220" t="s">
        <v>692</v>
      </c>
      <c r="H4" s="220" t="s">
        <v>557</v>
      </c>
      <c r="I4" s="220" t="s">
        <v>559</v>
      </c>
      <c r="J4" s="220" t="s">
        <v>557</v>
      </c>
      <c r="K4" s="220" t="s">
        <v>560</v>
      </c>
      <c r="L4" s="220" t="s">
        <v>557</v>
      </c>
      <c r="M4" s="220" t="s">
        <v>561</v>
      </c>
      <c r="N4" s="220" t="s">
        <v>557</v>
      </c>
      <c r="O4" s="220" t="s">
        <v>562</v>
      </c>
      <c r="P4" s="220" t="s">
        <v>557</v>
      </c>
      <c r="Q4" s="220" t="s">
        <v>563</v>
      </c>
      <c r="R4" s="220" t="s">
        <v>557</v>
      </c>
      <c r="S4" s="220" t="s">
        <v>564</v>
      </c>
      <c r="T4" s="220" t="s">
        <v>557</v>
      </c>
      <c r="U4" s="220" t="s">
        <v>565</v>
      </c>
      <c r="V4" s="220" t="s">
        <v>557</v>
      </c>
      <c r="W4" s="220" t="s">
        <v>566</v>
      </c>
      <c r="X4" s="220" t="s">
        <v>557</v>
      </c>
      <c r="Y4" s="220" t="s">
        <v>567</v>
      </c>
      <c r="Z4" s="220" t="s">
        <v>557</v>
      </c>
      <c r="AA4" s="220" t="s">
        <v>568</v>
      </c>
      <c r="AB4" s="220" t="s">
        <v>569</v>
      </c>
    </row>
    <row r="5" spans="1:36" s="12" customFormat="1" ht="25.5">
      <c r="A5" s="11" t="s">
        <v>28</v>
      </c>
      <c r="B5" s="11" t="s">
        <v>12</v>
      </c>
      <c r="C5" s="11" t="s">
        <v>13</v>
      </c>
      <c r="D5" s="11" t="s">
        <v>645</v>
      </c>
      <c r="E5" s="11" t="s">
        <v>14</v>
      </c>
      <c r="F5" s="11" t="s">
        <v>646</v>
      </c>
      <c r="G5" s="11" t="s">
        <v>24</v>
      </c>
      <c r="H5" s="11" t="s">
        <v>647</v>
      </c>
      <c r="I5" s="11" t="s">
        <v>25</v>
      </c>
      <c r="J5" s="11" t="s">
        <v>648</v>
      </c>
      <c r="K5" s="11" t="s">
        <v>26</v>
      </c>
      <c r="L5" s="11" t="s">
        <v>649</v>
      </c>
      <c r="M5" s="11" t="s">
        <v>29</v>
      </c>
      <c r="N5" s="11" t="s">
        <v>650</v>
      </c>
      <c r="O5" s="11" t="s">
        <v>30</v>
      </c>
      <c r="P5" s="11" t="s">
        <v>651</v>
      </c>
      <c r="Q5" s="11" t="s">
        <v>31</v>
      </c>
      <c r="R5" s="11" t="s">
        <v>652</v>
      </c>
      <c r="S5" s="11" t="s">
        <v>32</v>
      </c>
      <c r="T5" s="11" t="s">
        <v>653</v>
      </c>
      <c r="U5" s="11" t="s">
        <v>33</v>
      </c>
      <c r="V5" s="11" t="s">
        <v>654</v>
      </c>
      <c r="W5" s="11" t="s">
        <v>34</v>
      </c>
      <c r="X5" s="11" t="s">
        <v>655</v>
      </c>
      <c r="Y5" s="11" t="s">
        <v>10</v>
      </c>
      <c r="Z5" s="11" t="s">
        <v>656</v>
      </c>
      <c r="AA5" s="11" t="s">
        <v>92</v>
      </c>
      <c r="AB5" s="11" t="s">
        <v>93</v>
      </c>
      <c r="AC5" s="130"/>
      <c r="AD5" s="130"/>
      <c r="AE5" s="130"/>
      <c r="AF5" s="130"/>
      <c r="AG5" s="130"/>
      <c r="AH5" s="130"/>
      <c r="AI5" s="130"/>
      <c r="AJ5" s="130"/>
    </row>
    <row r="6" spans="1:36" s="348" customFormat="1" ht="27.75" customHeight="1">
      <c r="A6" s="347"/>
      <c r="B6" s="347" t="s">
        <v>570</v>
      </c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D6" s="414"/>
    </row>
    <row r="7" spans="1:36" s="12" customFormat="1" ht="23.25" customHeight="1">
      <c r="A7" s="219">
        <v>1</v>
      </c>
      <c r="B7" s="57" t="s">
        <v>571</v>
      </c>
      <c r="C7" s="334">
        <f t="shared" ref="C7:C30" si="0">E7+I7+M7+Q7+U7</f>
        <v>0</v>
      </c>
      <c r="D7" s="332">
        <f>F7+J7+N7+R7+V7</f>
        <v>0</v>
      </c>
      <c r="E7" s="333"/>
      <c r="F7" s="333"/>
      <c r="G7" s="333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1">
        <f t="shared" ref="Y7:Y30" si="1">+W7+S7+O7+K7</f>
        <v>0</v>
      </c>
      <c r="Z7" s="332">
        <f t="shared" ref="Z7:Z30" si="2">+X7+T7+P7+L7</f>
        <v>0</v>
      </c>
      <c r="AA7" s="14"/>
      <c r="AB7" s="14"/>
      <c r="AC7" s="132">
        <f>+'Aging Analysis'!C9</f>
        <v>0</v>
      </c>
      <c r="AD7" s="414">
        <f>+C7-AC7</f>
        <v>0</v>
      </c>
      <c r="AE7" s="130"/>
      <c r="AF7" s="130"/>
      <c r="AG7" s="130"/>
      <c r="AH7" s="130"/>
      <c r="AI7" s="130"/>
      <c r="AJ7" s="130"/>
    </row>
    <row r="8" spans="1:36" s="12" customFormat="1" ht="14.25" customHeight="1">
      <c r="A8" s="219"/>
      <c r="B8" s="221" t="s">
        <v>572</v>
      </c>
      <c r="C8" s="334">
        <f t="shared" si="0"/>
        <v>0</v>
      </c>
      <c r="D8" s="332">
        <f t="shared" ref="D8:D30" si="3">F8+J8+N8+R8+V8</f>
        <v>0</v>
      </c>
      <c r="E8" s="335"/>
      <c r="F8" s="333"/>
      <c r="G8" s="335"/>
      <c r="H8" s="333"/>
      <c r="I8" s="335"/>
      <c r="J8" s="333"/>
      <c r="K8" s="335"/>
      <c r="L8" s="333"/>
      <c r="M8" s="335"/>
      <c r="N8" s="333"/>
      <c r="O8" s="335"/>
      <c r="P8" s="333"/>
      <c r="Q8" s="335"/>
      <c r="R8" s="333"/>
      <c r="S8" s="335"/>
      <c r="T8" s="333"/>
      <c r="U8" s="335"/>
      <c r="V8" s="333"/>
      <c r="W8" s="335"/>
      <c r="X8" s="333"/>
      <c r="Y8" s="331">
        <f t="shared" si="1"/>
        <v>0</v>
      </c>
      <c r="Z8" s="332">
        <f t="shared" si="2"/>
        <v>0</v>
      </c>
      <c r="AA8" s="14"/>
      <c r="AB8" s="14"/>
      <c r="AD8" s="414"/>
      <c r="AE8" s="130"/>
      <c r="AF8" s="130"/>
      <c r="AG8" s="130"/>
      <c r="AH8" s="130"/>
      <c r="AI8" s="130"/>
      <c r="AJ8" s="130"/>
    </row>
    <row r="9" spans="1:36" s="12" customFormat="1" ht="23.25" customHeight="1">
      <c r="A9" s="219">
        <v>2</v>
      </c>
      <c r="B9" s="57" t="s">
        <v>573</v>
      </c>
      <c r="C9" s="334">
        <f t="shared" si="0"/>
        <v>0</v>
      </c>
      <c r="D9" s="332">
        <f t="shared" si="3"/>
        <v>0</v>
      </c>
      <c r="E9" s="335"/>
      <c r="F9" s="333"/>
      <c r="G9" s="335"/>
      <c r="H9" s="333"/>
      <c r="I9" s="335"/>
      <c r="J9" s="333"/>
      <c r="K9" s="335"/>
      <c r="L9" s="333"/>
      <c r="M9" s="335"/>
      <c r="N9" s="333"/>
      <c r="O9" s="335"/>
      <c r="P9" s="333"/>
      <c r="Q9" s="335"/>
      <c r="R9" s="333"/>
      <c r="S9" s="335"/>
      <c r="T9" s="333"/>
      <c r="U9" s="335"/>
      <c r="V9" s="333"/>
      <c r="W9" s="335"/>
      <c r="X9" s="333"/>
      <c r="Y9" s="331">
        <f t="shared" si="1"/>
        <v>0</v>
      </c>
      <c r="Z9" s="332">
        <f t="shared" si="2"/>
        <v>0</v>
      </c>
      <c r="AA9" s="14"/>
      <c r="AB9" s="14"/>
      <c r="AC9" s="132">
        <f>+'Aging Analysis'!C10</f>
        <v>0</v>
      </c>
      <c r="AD9" s="414">
        <f>+C9-AC9</f>
        <v>0</v>
      </c>
      <c r="AE9" s="130"/>
      <c r="AF9" s="130"/>
      <c r="AG9" s="130"/>
      <c r="AH9" s="130"/>
      <c r="AI9" s="130"/>
      <c r="AJ9" s="130"/>
    </row>
    <row r="10" spans="1:36" s="12" customFormat="1" ht="14.25" customHeight="1">
      <c r="A10" s="219"/>
      <c r="B10" s="221" t="s">
        <v>572</v>
      </c>
      <c r="C10" s="361">
        <f t="shared" si="0"/>
        <v>0</v>
      </c>
      <c r="D10" s="362">
        <f t="shared" si="3"/>
        <v>0</v>
      </c>
      <c r="E10" s="483"/>
      <c r="F10" s="484"/>
      <c r="G10" s="483"/>
      <c r="H10" s="484"/>
      <c r="I10" s="483"/>
      <c r="J10" s="484"/>
      <c r="K10" s="483"/>
      <c r="L10" s="484"/>
      <c r="M10" s="483"/>
      <c r="N10" s="484"/>
      <c r="O10" s="483"/>
      <c r="P10" s="484"/>
      <c r="Q10" s="483"/>
      <c r="R10" s="484"/>
      <c r="S10" s="483"/>
      <c r="T10" s="484"/>
      <c r="U10" s="483"/>
      <c r="V10" s="484"/>
      <c r="W10" s="483"/>
      <c r="X10" s="484"/>
      <c r="Y10" s="357">
        <f t="shared" si="1"/>
        <v>0</v>
      </c>
      <c r="Z10" s="362">
        <f t="shared" si="2"/>
        <v>0</v>
      </c>
      <c r="AA10" s="147"/>
      <c r="AB10" s="147"/>
      <c r="AC10" s="438"/>
      <c r="AD10" s="414"/>
      <c r="AE10" s="130"/>
      <c r="AF10" s="130"/>
      <c r="AG10" s="130"/>
      <c r="AH10" s="130"/>
      <c r="AI10" s="130"/>
      <c r="AJ10" s="130"/>
    </row>
    <row r="11" spans="1:36" s="12" customFormat="1" ht="23.25" customHeight="1">
      <c r="A11" s="219">
        <v>3</v>
      </c>
      <c r="B11" s="57" t="s">
        <v>328</v>
      </c>
      <c r="C11" s="361">
        <f t="shared" si="0"/>
        <v>0</v>
      </c>
      <c r="D11" s="362">
        <f t="shared" si="3"/>
        <v>0</v>
      </c>
      <c r="E11" s="483"/>
      <c r="F11" s="484"/>
      <c r="G11" s="483"/>
      <c r="H11" s="484"/>
      <c r="I11" s="483"/>
      <c r="J11" s="484"/>
      <c r="K11" s="483"/>
      <c r="L11" s="484"/>
      <c r="M11" s="483"/>
      <c r="N11" s="484"/>
      <c r="O11" s="483"/>
      <c r="P11" s="484"/>
      <c r="Q11" s="483"/>
      <c r="R11" s="484"/>
      <c r="S11" s="483"/>
      <c r="T11" s="484"/>
      <c r="U11" s="483"/>
      <c r="V11" s="484"/>
      <c r="W11" s="483"/>
      <c r="X11" s="484"/>
      <c r="Y11" s="357">
        <f t="shared" si="1"/>
        <v>0</v>
      </c>
      <c r="Z11" s="362">
        <f t="shared" si="2"/>
        <v>0</v>
      </c>
      <c r="AA11" s="147"/>
      <c r="AB11" s="147"/>
      <c r="AC11" s="482">
        <f>+'Aging Analysis'!C11</f>
        <v>0</v>
      </c>
      <c r="AD11" s="414">
        <f>+C11-AC11</f>
        <v>0</v>
      </c>
      <c r="AE11" s="130"/>
      <c r="AF11" s="130"/>
      <c r="AG11" s="130"/>
      <c r="AH11" s="130"/>
      <c r="AI11" s="130"/>
      <c r="AJ11" s="130"/>
    </row>
    <row r="12" spans="1:36" s="12" customFormat="1" ht="14.25" customHeight="1">
      <c r="A12" s="219"/>
      <c r="B12" s="221" t="s">
        <v>572</v>
      </c>
      <c r="C12" s="361">
        <f t="shared" si="0"/>
        <v>0</v>
      </c>
      <c r="D12" s="362">
        <f t="shared" si="3"/>
        <v>0</v>
      </c>
      <c r="E12" s="483"/>
      <c r="F12" s="484"/>
      <c r="G12" s="483"/>
      <c r="H12" s="484"/>
      <c r="I12" s="483"/>
      <c r="J12" s="484"/>
      <c r="K12" s="483"/>
      <c r="L12" s="484"/>
      <c r="M12" s="483"/>
      <c r="N12" s="484"/>
      <c r="O12" s="483"/>
      <c r="P12" s="484"/>
      <c r="Q12" s="483"/>
      <c r="R12" s="484"/>
      <c r="S12" s="483"/>
      <c r="T12" s="484"/>
      <c r="U12" s="483"/>
      <c r="V12" s="484"/>
      <c r="W12" s="483"/>
      <c r="X12" s="484"/>
      <c r="Y12" s="357">
        <f t="shared" si="1"/>
        <v>0</v>
      </c>
      <c r="Z12" s="362">
        <f t="shared" si="2"/>
        <v>0</v>
      </c>
      <c r="AA12" s="147"/>
      <c r="AB12" s="147"/>
      <c r="AC12" s="438"/>
      <c r="AD12" s="414"/>
      <c r="AE12" s="130"/>
      <c r="AF12" s="130"/>
      <c r="AG12" s="130"/>
      <c r="AH12" s="130"/>
      <c r="AI12" s="130"/>
      <c r="AJ12" s="130"/>
    </row>
    <row r="13" spans="1:36" s="12" customFormat="1" ht="23.25" customHeight="1">
      <c r="A13" s="219">
        <v>4</v>
      </c>
      <c r="B13" s="57" t="s">
        <v>329</v>
      </c>
      <c r="C13" s="361">
        <f t="shared" si="0"/>
        <v>8419167816</v>
      </c>
      <c r="D13" s="362">
        <f t="shared" si="3"/>
        <v>0</v>
      </c>
      <c r="E13" s="483">
        <v>7066030436</v>
      </c>
      <c r="F13" s="484">
        <v>0</v>
      </c>
      <c r="G13" s="483">
        <v>84191679</v>
      </c>
      <c r="H13" s="484">
        <v>0</v>
      </c>
      <c r="I13" s="483">
        <v>945973383</v>
      </c>
      <c r="J13" s="484">
        <v>0</v>
      </c>
      <c r="K13" s="483">
        <v>5688849</v>
      </c>
      <c r="L13" s="484">
        <v>0</v>
      </c>
      <c r="M13" s="483">
        <v>173943343</v>
      </c>
      <c r="N13" s="484">
        <v>0</v>
      </c>
      <c r="O13" s="483">
        <v>2184405</v>
      </c>
      <c r="P13" s="484">
        <v>0</v>
      </c>
      <c r="Q13" s="483">
        <v>110154468</v>
      </c>
      <c r="R13" s="484">
        <v>0</v>
      </c>
      <c r="S13" s="483">
        <v>853013</v>
      </c>
      <c r="T13" s="484">
        <v>0</v>
      </c>
      <c r="U13" s="483">
        <v>123066186</v>
      </c>
      <c r="V13" s="484">
        <v>0</v>
      </c>
      <c r="W13" s="483">
        <v>351268</v>
      </c>
      <c r="X13" s="484">
        <v>0</v>
      </c>
      <c r="Y13" s="357">
        <f t="shared" si="1"/>
        <v>9077535</v>
      </c>
      <c r="Z13" s="362">
        <f t="shared" si="2"/>
        <v>0</v>
      </c>
      <c r="AA13" s="147"/>
      <c r="AB13" s="147"/>
      <c r="AC13" s="482">
        <f>+'Aging Analysis'!C12</f>
        <v>8419167816</v>
      </c>
      <c r="AD13" s="414">
        <f>+C13-AC13</f>
        <v>0</v>
      </c>
      <c r="AE13" s="130"/>
      <c r="AF13" s="130"/>
      <c r="AG13" s="130"/>
      <c r="AH13" s="130"/>
      <c r="AI13" s="130"/>
      <c r="AJ13" s="130"/>
    </row>
    <row r="14" spans="1:36" s="12" customFormat="1" ht="14.25" customHeight="1">
      <c r="A14" s="219"/>
      <c r="B14" s="221" t="s">
        <v>572</v>
      </c>
      <c r="C14" s="361">
        <f t="shared" si="0"/>
        <v>0</v>
      </c>
      <c r="D14" s="362">
        <f t="shared" si="3"/>
        <v>0</v>
      </c>
      <c r="E14" s="483"/>
      <c r="F14" s="484"/>
      <c r="G14" s="483"/>
      <c r="H14" s="484"/>
      <c r="I14" s="483"/>
      <c r="J14" s="484"/>
      <c r="K14" s="483"/>
      <c r="L14" s="484"/>
      <c r="M14" s="483"/>
      <c r="N14" s="484"/>
      <c r="O14" s="483"/>
      <c r="P14" s="484"/>
      <c r="Q14" s="483"/>
      <c r="R14" s="484"/>
      <c r="S14" s="483"/>
      <c r="T14" s="484"/>
      <c r="U14" s="483"/>
      <c r="V14" s="484"/>
      <c r="W14" s="483"/>
      <c r="X14" s="484"/>
      <c r="Y14" s="357">
        <f t="shared" si="1"/>
        <v>0</v>
      </c>
      <c r="Z14" s="362">
        <f t="shared" si="2"/>
        <v>0</v>
      </c>
      <c r="AA14" s="147"/>
      <c r="AB14" s="147"/>
      <c r="AC14" s="438"/>
      <c r="AD14" s="414"/>
      <c r="AE14" s="130"/>
      <c r="AF14" s="130"/>
      <c r="AG14" s="130"/>
      <c r="AH14" s="130"/>
      <c r="AI14" s="130"/>
      <c r="AJ14" s="130"/>
    </row>
    <row r="15" spans="1:36" s="12" customFormat="1" ht="23.25" customHeight="1">
      <c r="A15" s="219">
        <v>5</v>
      </c>
      <c r="B15" s="57" t="s">
        <v>574</v>
      </c>
      <c r="C15" s="361">
        <f t="shared" si="0"/>
        <v>268361120</v>
      </c>
      <c r="D15" s="362">
        <f t="shared" si="3"/>
        <v>220175617</v>
      </c>
      <c r="E15" s="483">
        <v>259542278</v>
      </c>
      <c r="F15" s="484">
        <v>211517405</v>
      </c>
      <c r="G15" s="483">
        <v>82518</v>
      </c>
      <c r="H15" s="484">
        <v>0</v>
      </c>
      <c r="I15" s="483">
        <v>0</v>
      </c>
      <c r="J15" s="484">
        <v>0</v>
      </c>
      <c r="K15" s="483">
        <v>0</v>
      </c>
      <c r="L15" s="484">
        <v>0</v>
      </c>
      <c r="M15" s="483">
        <v>8658212</v>
      </c>
      <c r="N15" s="484">
        <v>8658212</v>
      </c>
      <c r="O15" s="483">
        <v>0</v>
      </c>
      <c r="P15" s="484">
        <v>0</v>
      </c>
      <c r="Q15" s="483">
        <v>160630</v>
      </c>
      <c r="R15" s="484">
        <v>0</v>
      </c>
      <c r="S15" s="483">
        <v>160630</v>
      </c>
      <c r="T15" s="484">
        <v>0</v>
      </c>
      <c r="U15" s="483">
        <v>0</v>
      </c>
      <c r="V15" s="484">
        <v>0</v>
      </c>
      <c r="W15" s="483">
        <v>0</v>
      </c>
      <c r="X15" s="484">
        <v>0</v>
      </c>
      <c r="Y15" s="357">
        <f t="shared" si="1"/>
        <v>160630</v>
      </c>
      <c r="Z15" s="362">
        <f t="shared" si="2"/>
        <v>0</v>
      </c>
      <c r="AA15" s="147"/>
      <c r="AB15" s="147"/>
      <c r="AC15" s="482">
        <f>+'Aging Analysis'!C13</f>
        <v>268361120</v>
      </c>
      <c r="AD15" s="414">
        <f>+C15-AC15</f>
        <v>0</v>
      </c>
      <c r="AE15" s="130"/>
      <c r="AF15" s="130"/>
      <c r="AG15" s="130"/>
      <c r="AH15" s="130"/>
      <c r="AI15" s="130"/>
      <c r="AJ15" s="130"/>
    </row>
    <row r="16" spans="1:36" s="12" customFormat="1" ht="14.25" customHeight="1">
      <c r="A16" s="219"/>
      <c r="B16" s="221" t="s">
        <v>572</v>
      </c>
      <c r="C16" s="361">
        <f t="shared" si="0"/>
        <v>0</v>
      </c>
      <c r="D16" s="362">
        <f t="shared" si="3"/>
        <v>0</v>
      </c>
      <c r="E16" s="483"/>
      <c r="F16" s="484"/>
      <c r="G16" s="483"/>
      <c r="H16" s="484"/>
      <c r="I16" s="483"/>
      <c r="J16" s="484"/>
      <c r="K16" s="483"/>
      <c r="L16" s="484"/>
      <c r="M16" s="483"/>
      <c r="N16" s="484"/>
      <c r="O16" s="483"/>
      <c r="P16" s="484"/>
      <c r="Q16" s="483"/>
      <c r="R16" s="484"/>
      <c r="S16" s="483"/>
      <c r="T16" s="484"/>
      <c r="U16" s="483"/>
      <c r="V16" s="484"/>
      <c r="W16" s="483"/>
      <c r="X16" s="484"/>
      <c r="Y16" s="357">
        <f t="shared" si="1"/>
        <v>0</v>
      </c>
      <c r="Z16" s="362">
        <f t="shared" si="2"/>
        <v>0</v>
      </c>
      <c r="AA16" s="147"/>
      <c r="AB16" s="147"/>
      <c r="AC16" s="438"/>
      <c r="AD16" s="414"/>
      <c r="AE16" s="130"/>
      <c r="AF16" s="130"/>
      <c r="AG16" s="130"/>
      <c r="AH16" s="130"/>
      <c r="AI16" s="130"/>
      <c r="AJ16" s="130"/>
    </row>
    <row r="17" spans="1:36" s="12" customFormat="1" ht="23.25" customHeight="1">
      <c r="A17" s="219">
        <v>6</v>
      </c>
      <c r="B17" s="57" t="s">
        <v>331</v>
      </c>
      <c r="C17" s="361">
        <f t="shared" si="0"/>
        <v>205430203</v>
      </c>
      <c r="D17" s="362">
        <f t="shared" si="3"/>
        <v>142513572</v>
      </c>
      <c r="E17" s="483">
        <v>158461630</v>
      </c>
      <c r="F17" s="484">
        <v>95933880</v>
      </c>
      <c r="G17" s="483">
        <v>21064</v>
      </c>
      <c r="H17" s="484">
        <v>6029</v>
      </c>
      <c r="I17" s="483">
        <v>45976841</v>
      </c>
      <c r="J17" s="484">
        <v>45976841</v>
      </c>
      <c r="K17" s="483">
        <v>0</v>
      </c>
      <c r="L17" s="484">
        <v>0</v>
      </c>
      <c r="M17" s="483">
        <v>0</v>
      </c>
      <c r="N17" s="484">
        <v>0</v>
      </c>
      <c r="O17" s="483">
        <v>0</v>
      </c>
      <c r="P17" s="484">
        <v>0</v>
      </c>
      <c r="Q17" s="483">
        <v>388881</v>
      </c>
      <c r="R17" s="484">
        <v>0</v>
      </c>
      <c r="S17" s="483">
        <v>194440</v>
      </c>
      <c r="T17" s="484">
        <v>0</v>
      </c>
      <c r="U17" s="483">
        <v>602851</v>
      </c>
      <c r="V17" s="484">
        <v>602851</v>
      </c>
      <c r="W17" s="483">
        <v>301425</v>
      </c>
      <c r="X17" s="484">
        <v>301425</v>
      </c>
      <c r="Y17" s="357">
        <f t="shared" si="1"/>
        <v>495865</v>
      </c>
      <c r="Z17" s="362">
        <f t="shared" si="2"/>
        <v>301425</v>
      </c>
      <c r="AA17" s="147"/>
      <c r="AB17" s="147"/>
      <c r="AC17" s="482">
        <f>+'Aging Analysis'!C14</f>
        <v>205430203</v>
      </c>
      <c r="AD17" s="414">
        <f>+C17-AC17</f>
        <v>0</v>
      </c>
      <c r="AE17" s="130"/>
      <c r="AF17" s="130"/>
      <c r="AG17" s="130"/>
      <c r="AH17" s="130"/>
      <c r="AI17" s="130"/>
      <c r="AJ17" s="130"/>
    </row>
    <row r="18" spans="1:36" s="12" customFormat="1" ht="14.25" customHeight="1">
      <c r="A18" s="219"/>
      <c r="B18" s="221" t="s">
        <v>572</v>
      </c>
      <c r="C18" s="361">
        <f t="shared" si="0"/>
        <v>0</v>
      </c>
      <c r="D18" s="362">
        <f t="shared" si="3"/>
        <v>0</v>
      </c>
      <c r="E18" s="483"/>
      <c r="F18" s="484"/>
      <c r="G18" s="483"/>
      <c r="H18" s="484"/>
      <c r="I18" s="483"/>
      <c r="J18" s="484"/>
      <c r="K18" s="483"/>
      <c r="L18" s="484"/>
      <c r="M18" s="483"/>
      <c r="N18" s="484"/>
      <c r="O18" s="483"/>
      <c r="P18" s="484"/>
      <c r="Q18" s="483"/>
      <c r="R18" s="484"/>
      <c r="S18" s="483"/>
      <c r="T18" s="484"/>
      <c r="U18" s="483"/>
      <c r="V18" s="484"/>
      <c r="W18" s="483"/>
      <c r="X18" s="484"/>
      <c r="Y18" s="357">
        <f t="shared" si="1"/>
        <v>0</v>
      </c>
      <c r="Z18" s="362">
        <f t="shared" si="2"/>
        <v>0</v>
      </c>
      <c r="AA18" s="147"/>
      <c r="AB18" s="147"/>
      <c r="AC18" s="438"/>
      <c r="AD18" s="414"/>
      <c r="AE18" s="130"/>
      <c r="AF18" s="130"/>
      <c r="AG18" s="130"/>
      <c r="AH18" s="130"/>
      <c r="AI18" s="130"/>
      <c r="AJ18" s="130"/>
    </row>
    <row r="19" spans="1:36" s="12" customFormat="1" ht="23.25" customHeight="1">
      <c r="A19" s="219">
        <v>7</v>
      </c>
      <c r="B19" s="57" t="s">
        <v>332</v>
      </c>
      <c r="C19" s="361">
        <f t="shared" si="0"/>
        <v>11038064916</v>
      </c>
      <c r="D19" s="362">
        <f t="shared" si="3"/>
        <v>3354480324</v>
      </c>
      <c r="E19" s="483">
        <v>9761052004</v>
      </c>
      <c r="F19" s="484">
        <v>2979124077</v>
      </c>
      <c r="G19" s="483">
        <v>37281069</v>
      </c>
      <c r="H19" s="484">
        <v>1608888</v>
      </c>
      <c r="I19" s="483">
        <v>824743581</v>
      </c>
      <c r="J19" s="484">
        <v>281921405</v>
      </c>
      <c r="K19" s="483">
        <v>15076750</v>
      </c>
      <c r="L19" s="484">
        <v>4608229</v>
      </c>
      <c r="M19" s="483">
        <v>67399884</v>
      </c>
      <c r="N19" s="484">
        <v>7315986</v>
      </c>
      <c r="O19" s="483">
        <v>482494</v>
      </c>
      <c r="P19" s="484">
        <v>0</v>
      </c>
      <c r="Q19" s="483">
        <v>249641802</v>
      </c>
      <c r="R19" s="484">
        <v>73657201</v>
      </c>
      <c r="S19" s="483">
        <v>43186632</v>
      </c>
      <c r="T19" s="484">
        <v>14152805</v>
      </c>
      <c r="U19" s="483">
        <v>135227645</v>
      </c>
      <c r="V19" s="484">
        <v>12461655</v>
      </c>
      <c r="W19" s="483">
        <v>53430722</v>
      </c>
      <c r="X19" s="484">
        <v>4647701</v>
      </c>
      <c r="Y19" s="357">
        <f t="shared" si="1"/>
        <v>112176598</v>
      </c>
      <c r="Z19" s="362">
        <f t="shared" si="2"/>
        <v>23408735</v>
      </c>
      <c r="AA19" s="147"/>
      <c r="AB19" s="147"/>
      <c r="AC19" s="482">
        <f>+'Aging Analysis'!C15</f>
        <v>11038064916</v>
      </c>
      <c r="AD19" s="414">
        <f>+C19-AC19</f>
        <v>0</v>
      </c>
      <c r="AE19" s="130"/>
      <c r="AF19" s="130"/>
      <c r="AG19" s="130"/>
      <c r="AH19" s="130"/>
      <c r="AI19" s="130"/>
      <c r="AJ19" s="130"/>
    </row>
    <row r="20" spans="1:36" s="12" customFormat="1" ht="14.25" customHeight="1">
      <c r="A20" s="219"/>
      <c r="B20" s="221" t="s">
        <v>572</v>
      </c>
      <c r="C20" s="361">
        <f t="shared" si="0"/>
        <v>0</v>
      </c>
      <c r="D20" s="362">
        <f t="shared" si="3"/>
        <v>0</v>
      </c>
      <c r="E20" s="483"/>
      <c r="F20" s="484"/>
      <c r="G20" s="483"/>
      <c r="H20" s="484"/>
      <c r="I20" s="483"/>
      <c r="J20" s="484"/>
      <c r="K20" s="483"/>
      <c r="L20" s="484"/>
      <c r="M20" s="483"/>
      <c r="N20" s="484"/>
      <c r="O20" s="483"/>
      <c r="P20" s="484"/>
      <c r="Q20" s="483"/>
      <c r="R20" s="484"/>
      <c r="S20" s="483"/>
      <c r="T20" s="484"/>
      <c r="U20" s="483"/>
      <c r="V20" s="484"/>
      <c r="W20" s="483"/>
      <c r="X20" s="484"/>
      <c r="Y20" s="357">
        <f t="shared" si="1"/>
        <v>0</v>
      </c>
      <c r="Z20" s="362">
        <f t="shared" si="2"/>
        <v>0</v>
      </c>
      <c r="AA20" s="147"/>
      <c r="AB20" s="147"/>
      <c r="AC20" s="438"/>
      <c r="AD20" s="414"/>
      <c r="AE20" s="130"/>
      <c r="AF20" s="130"/>
      <c r="AG20" s="130"/>
      <c r="AH20" s="130"/>
      <c r="AI20" s="130"/>
      <c r="AJ20" s="130"/>
    </row>
    <row r="21" spans="1:36" s="12" customFormat="1" ht="23.25" customHeight="1">
      <c r="A21" s="219">
        <v>8</v>
      </c>
      <c r="B21" s="57" t="s">
        <v>575</v>
      </c>
      <c r="C21" s="361">
        <f t="shared" si="0"/>
        <v>339848885</v>
      </c>
      <c r="D21" s="362">
        <f t="shared" si="3"/>
        <v>20829434</v>
      </c>
      <c r="E21" s="483">
        <v>299554132</v>
      </c>
      <c r="F21" s="484">
        <v>20704256</v>
      </c>
      <c r="G21" s="483">
        <v>1727521</v>
      </c>
      <c r="H21" s="484">
        <v>50457</v>
      </c>
      <c r="I21" s="483">
        <v>15534802</v>
      </c>
      <c r="J21" s="484">
        <v>125178</v>
      </c>
      <c r="K21" s="483">
        <v>846934</v>
      </c>
      <c r="L21" s="484">
        <v>0</v>
      </c>
      <c r="M21" s="483">
        <v>4150709</v>
      </c>
      <c r="N21" s="484">
        <v>0</v>
      </c>
      <c r="O21" s="483">
        <v>0</v>
      </c>
      <c r="P21" s="484">
        <v>0</v>
      </c>
      <c r="Q21" s="483">
        <v>13619621</v>
      </c>
      <c r="R21" s="484">
        <v>0</v>
      </c>
      <c r="S21" s="483">
        <v>2770912</v>
      </c>
      <c r="T21" s="484">
        <v>0</v>
      </c>
      <c r="U21" s="483">
        <v>6989621</v>
      </c>
      <c r="V21" s="484">
        <v>0</v>
      </c>
      <c r="W21" s="483">
        <v>2168138</v>
      </c>
      <c r="X21" s="484">
        <v>0</v>
      </c>
      <c r="Y21" s="357">
        <f t="shared" si="1"/>
        <v>5785984</v>
      </c>
      <c r="Z21" s="362">
        <f t="shared" si="2"/>
        <v>0</v>
      </c>
      <c r="AA21" s="147"/>
      <c r="AB21" s="147"/>
      <c r="AC21" s="482">
        <f>+'Aging Analysis'!C16</f>
        <v>339848885</v>
      </c>
      <c r="AD21" s="414">
        <f>+C21-AC21</f>
        <v>0</v>
      </c>
      <c r="AE21" s="130"/>
      <c r="AF21" s="130"/>
      <c r="AG21" s="130"/>
      <c r="AH21" s="130"/>
      <c r="AI21" s="130"/>
      <c r="AJ21" s="130"/>
    </row>
    <row r="22" spans="1:36" s="12" customFormat="1" ht="14.25" customHeight="1">
      <c r="A22" s="219"/>
      <c r="B22" s="221" t="s">
        <v>572</v>
      </c>
      <c r="C22" s="361">
        <f t="shared" si="0"/>
        <v>0</v>
      </c>
      <c r="D22" s="362">
        <f t="shared" si="3"/>
        <v>0</v>
      </c>
      <c r="E22" s="483"/>
      <c r="F22" s="484"/>
      <c r="G22" s="483"/>
      <c r="H22" s="484"/>
      <c r="I22" s="483"/>
      <c r="J22" s="484"/>
      <c r="K22" s="483"/>
      <c r="L22" s="484"/>
      <c r="M22" s="483"/>
      <c r="N22" s="484"/>
      <c r="O22" s="483"/>
      <c r="P22" s="484"/>
      <c r="Q22" s="483"/>
      <c r="R22" s="484"/>
      <c r="S22" s="483"/>
      <c r="T22" s="484"/>
      <c r="U22" s="483"/>
      <c r="V22" s="484"/>
      <c r="W22" s="483"/>
      <c r="X22" s="484"/>
      <c r="Y22" s="357">
        <f t="shared" si="1"/>
        <v>0</v>
      </c>
      <c r="Z22" s="362">
        <f t="shared" si="2"/>
        <v>0</v>
      </c>
      <c r="AA22" s="147"/>
      <c r="AB22" s="147"/>
      <c r="AC22" s="438"/>
      <c r="AD22" s="414"/>
      <c r="AE22" s="130"/>
      <c r="AF22" s="130"/>
      <c r="AG22" s="130"/>
      <c r="AH22" s="130"/>
      <c r="AI22" s="130"/>
      <c r="AJ22" s="130"/>
    </row>
    <row r="23" spans="1:36" s="12" customFormat="1" ht="23.25" customHeight="1">
      <c r="A23" s="219">
        <v>9</v>
      </c>
      <c r="B23" s="57" t="s">
        <v>576</v>
      </c>
      <c r="C23" s="361">
        <f t="shared" si="0"/>
        <v>0</v>
      </c>
      <c r="D23" s="362">
        <f t="shared" si="3"/>
        <v>0</v>
      </c>
      <c r="E23" s="483">
        <v>0</v>
      </c>
      <c r="F23" s="484">
        <v>0</v>
      </c>
      <c r="G23" s="483"/>
      <c r="H23" s="484"/>
      <c r="I23" s="483">
        <v>0</v>
      </c>
      <c r="J23" s="484">
        <v>0</v>
      </c>
      <c r="K23" s="483">
        <v>0</v>
      </c>
      <c r="L23" s="484">
        <v>0</v>
      </c>
      <c r="M23" s="483">
        <v>0</v>
      </c>
      <c r="N23" s="484">
        <v>0</v>
      </c>
      <c r="O23" s="483">
        <v>0</v>
      </c>
      <c r="P23" s="484">
        <v>0</v>
      </c>
      <c r="Q23" s="483">
        <v>0</v>
      </c>
      <c r="R23" s="484">
        <v>0</v>
      </c>
      <c r="S23" s="483">
        <v>0</v>
      </c>
      <c r="T23" s="484">
        <v>0</v>
      </c>
      <c r="U23" s="483">
        <v>0</v>
      </c>
      <c r="V23" s="484">
        <v>0</v>
      </c>
      <c r="W23" s="483">
        <v>0</v>
      </c>
      <c r="X23" s="484">
        <v>0</v>
      </c>
      <c r="Y23" s="357">
        <f t="shared" si="1"/>
        <v>0</v>
      </c>
      <c r="Z23" s="362">
        <f t="shared" si="2"/>
        <v>0</v>
      </c>
      <c r="AA23" s="147"/>
      <c r="AB23" s="147"/>
      <c r="AC23" s="482">
        <f>+'Aging Analysis'!C17</f>
        <v>0</v>
      </c>
      <c r="AD23" s="414">
        <f>+C23-AC23</f>
        <v>0</v>
      </c>
      <c r="AE23" s="130"/>
      <c r="AF23" s="130"/>
      <c r="AG23" s="130"/>
      <c r="AH23" s="130"/>
      <c r="AI23" s="130"/>
      <c r="AJ23" s="130"/>
    </row>
    <row r="24" spans="1:36" s="12" customFormat="1" ht="14.25" customHeight="1">
      <c r="A24" s="219"/>
      <c r="B24" s="221" t="s">
        <v>572</v>
      </c>
      <c r="C24" s="361">
        <f t="shared" si="0"/>
        <v>0</v>
      </c>
      <c r="D24" s="362">
        <f t="shared" si="3"/>
        <v>0</v>
      </c>
      <c r="E24" s="483"/>
      <c r="F24" s="484"/>
      <c r="G24" s="483"/>
      <c r="H24" s="484"/>
      <c r="I24" s="483"/>
      <c r="J24" s="484"/>
      <c r="K24" s="483"/>
      <c r="L24" s="484"/>
      <c r="M24" s="483"/>
      <c r="N24" s="484"/>
      <c r="O24" s="483"/>
      <c r="P24" s="484"/>
      <c r="Q24" s="483"/>
      <c r="R24" s="484"/>
      <c r="S24" s="483"/>
      <c r="T24" s="484"/>
      <c r="U24" s="483"/>
      <c r="V24" s="484"/>
      <c r="W24" s="483"/>
      <c r="X24" s="484"/>
      <c r="Y24" s="357">
        <f t="shared" si="1"/>
        <v>0</v>
      </c>
      <c r="Z24" s="362">
        <f t="shared" si="2"/>
        <v>0</v>
      </c>
      <c r="AA24" s="147"/>
      <c r="AB24" s="147"/>
      <c r="AC24" s="438"/>
      <c r="AD24" s="414"/>
      <c r="AE24" s="130"/>
      <c r="AF24" s="130"/>
      <c r="AG24" s="130"/>
      <c r="AH24" s="130"/>
      <c r="AI24" s="130"/>
      <c r="AJ24" s="130"/>
    </row>
    <row r="25" spans="1:36" s="12" customFormat="1" ht="23.25" customHeight="1">
      <c r="A25" s="219">
        <v>10</v>
      </c>
      <c r="B25" s="57" t="s">
        <v>577</v>
      </c>
      <c r="C25" s="361">
        <f t="shared" si="0"/>
        <v>3835072</v>
      </c>
      <c r="D25" s="362">
        <f t="shared" si="3"/>
        <v>0</v>
      </c>
      <c r="E25" s="483">
        <v>3835072</v>
      </c>
      <c r="F25" s="484">
        <v>0</v>
      </c>
      <c r="G25" s="483">
        <v>38351</v>
      </c>
      <c r="H25" s="484">
        <v>0</v>
      </c>
      <c r="I25" s="483">
        <v>0</v>
      </c>
      <c r="J25" s="484">
        <v>0</v>
      </c>
      <c r="K25" s="483">
        <v>0</v>
      </c>
      <c r="L25" s="484">
        <v>0</v>
      </c>
      <c r="M25" s="483">
        <v>0</v>
      </c>
      <c r="N25" s="484">
        <v>0</v>
      </c>
      <c r="O25" s="483">
        <v>0</v>
      </c>
      <c r="P25" s="484">
        <v>0</v>
      </c>
      <c r="Q25" s="483">
        <v>0</v>
      </c>
      <c r="R25" s="484">
        <v>0</v>
      </c>
      <c r="S25" s="483">
        <v>0</v>
      </c>
      <c r="T25" s="484">
        <v>0</v>
      </c>
      <c r="U25" s="483">
        <v>0</v>
      </c>
      <c r="V25" s="484">
        <v>0</v>
      </c>
      <c r="W25" s="483">
        <v>0</v>
      </c>
      <c r="X25" s="484">
        <v>0</v>
      </c>
      <c r="Y25" s="357">
        <f t="shared" si="1"/>
        <v>0</v>
      </c>
      <c r="Z25" s="362">
        <f t="shared" si="2"/>
        <v>0</v>
      </c>
      <c r="AA25" s="147"/>
      <c r="AB25" s="147"/>
      <c r="AC25" s="482">
        <f>+'Aging Analysis'!C18</f>
        <v>3835072</v>
      </c>
      <c r="AD25" s="414">
        <f>+C25-AC25</f>
        <v>0</v>
      </c>
      <c r="AE25" s="130"/>
      <c r="AF25" s="130"/>
      <c r="AG25" s="130"/>
      <c r="AH25" s="130"/>
      <c r="AI25" s="130"/>
      <c r="AJ25" s="130"/>
    </row>
    <row r="26" spans="1:36" s="12" customFormat="1" ht="14.25" customHeight="1">
      <c r="A26" s="219"/>
      <c r="B26" s="221" t="s">
        <v>572</v>
      </c>
      <c r="C26" s="361">
        <f t="shared" si="0"/>
        <v>0</v>
      </c>
      <c r="D26" s="362">
        <f t="shared" si="3"/>
        <v>0</v>
      </c>
      <c r="E26" s="483"/>
      <c r="F26" s="484"/>
      <c r="G26" s="483"/>
      <c r="H26" s="484"/>
      <c r="I26" s="483"/>
      <c r="J26" s="484"/>
      <c r="K26" s="483"/>
      <c r="L26" s="484"/>
      <c r="M26" s="483"/>
      <c r="N26" s="484"/>
      <c r="O26" s="483"/>
      <c r="P26" s="484"/>
      <c r="Q26" s="483"/>
      <c r="R26" s="484"/>
      <c r="S26" s="483"/>
      <c r="T26" s="484"/>
      <c r="U26" s="483"/>
      <c r="V26" s="484"/>
      <c r="W26" s="483"/>
      <c r="X26" s="484"/>
      <c r="Y26" s="357">
        <f t="shared" si="1"/>
        <v>0</v>
      </c>
      <c r="Z26" s="362">
        <f t="shared" si="2"/>
        <v>0</v>
      </c>
      <c r="AA26" s="147"/>
      <c r="AB26" s="147"/>
      <c r="AC26" s="438"/>
      <c r="AD26" s="414"/>
      <c r="AE26" s="130"/>
      <c r="AF26" s="130"/>
      <c r="AG26" s="130"/>
      <c r="AH26" s="130"/>
      <c r="AI26" s="130"/>
      <c r="AJ26" s="130"/>
    </row>
    <row r="27" spans="1:36" s="12" customFormat="1" ht="23.25" customHeight="1">
      <c r="A27" s="219">
        <v>11</v>
      </c>
      <c r="B27" s="57" t="s">
        <v>578</v>
      </c>
      <c r="C27" s="361">
        <f t="shared" si="0"/>
        <v>0</v>
      </c>
      <c r="D27" s="362">
        <f t="shared" si="3"/>
        <v>0</v>
      </c>
      <c r="E27" s="483">
        <v>0</v>
      </c>
      <c r="F27" s="484">
        <v>0</v>
      </c>
      <c r="G27" s="483"/>
      <c r="H27" s="484"/>
      <c r="I27" s="483">
        <v>0</v>
      </c>
      <c r="J27" s="484">
        <v>0</v>
      </c>
      <c r="K27" s="483">
        <v>0</v>
      </c>
      <c r="L27" s="484">
        <v>0</v>
      </c>
      <c r="M27" s="483">
        <v>0</v>
      </c>
      <c r="N27" s="484">
        <v>0</v>
      </c>
      <c r="O27" s="483">
        <v>0</v>
      </c>
      <c r="P27" s="484">
        <v>0</v>
      </c>
      <c r="Q27" s="483">
        <v>0</v>
      </c>
      <c r="R27" s="484">
        <v>0</v>
      </c>
      <c r="S27" s="483">
        <v>0</v>
      </c>
      <c r="T27" s="484">
        <v>0</v>
      </c>
      <c r="U27" s="483">
        <v>0</v>
      </c>
      <c r="V27" s="484">
        <v>0</v>
      </c>
      <c r="W27" s="483">
        <v>0</v>
      </c>
      <c r="X27" s="484">
        <v>0</v>
      </c>
      <c r="Y27" s="357">
        <f t="shared" si="1"/>
        <v>0</v>
      </c>
      <c r="Z27" s="362">
        <f t="shared" si="2"/>
        <v>0</v>
      </c>
      <c r="AA27" s="147"/>
      <c r="AB27" s="147"/>
      <c r="AC27" s="482">
        <f>+'Aging Analysis'!C19</f>
        <v>0</v>
      </c>
      <c r="AD27" s="414">
        <f>+C27-AC27</f>
        <v>0</v>
      </c>
      <c r="AE27" s="130"/>
      <c r="AF27" s="130"/>
      <c r="AG27" s="130"/>
      <c r="AH27" s="130"/>
      <c r="AI27" s="130"/>
      <c r="AJ27" s="130"/>
    </row>
    <row r="28" spans="1:36" s="12" customFormat="1" ht="14.25" customHeight="1">
      <c r="A28" s="219"/>
      <c r="B28" s="221" t="s">
        <v>572</v>
      </c>
      <c r="C28" s="361">
        <f t="shared" si="0"/>
        <v>0</v>
      </c>
      <c r="D28" s="362">
        <f t="shared" si="3"/>
        <v>0</v>
      </c>
      <c r="E28" s="483"/>
      <c r="F28" s="484"/>
      <c r="G28" s="483"/>
      <c r="H28" s="484"/>
      <c r="I28" s="483"/>
      <c r="J28" s="484"/>
      <c r="K28" s="483"/>
      <c r="L28" s="484"/>
      <c r="M28" s="483"/>
      <c r="N28" s="484"/>
      <c r="O28" s="483"/>
      <c r="P28" s="484"/>
      <c r="Q28" s="483"/>
      <c r="R28" s="484"/>
      <c r="S28" s="483"/>
      <c r="T28" s="484"/>
      <c r="U28" s="483"/>
      <c r="V28" s="484"/>
      <c r="W28" s="483"/>
      <c r="X28" s="484"/>
      <c r="Y28" s="357">
        <f t="shared" si="1"/>
        <v>0</v>
      </c>
      <c r="Z28" s="362">
        <f t="shared" si="2"/>
        <v>0</v>
      </c>
      <c r="AA28" s="147"/>
      <c r="AB28" s="147"/>
      <c r="AC28" s="438"/>
      <c r="AD28" s="414"/>
      <c r="AE28" s="130"/>
      <c r="AF28" s="130"/>
      <c r="AG28" s="130"/>
      <c r="AH28" s="130"/>
      <c r="AI28" s="130"/>
      <c r="AJ28" s="130"/>
    </row>
    <row r="29" spans="1:36" s="12" customFormat="1" ht="23.25" customHeight="1">
      <c r="A29" s="219">
        <v>12</v>
      </c>
      <c r="B29" s="57" t="s">
        <v>579</v>
      </c>
      <c r="C29" s="361">
        <f t="shared" si="0"/>
        <v>3183333</v>
      </c>
      <c r="D29" s="362">
        <f t="shared" si="3"/>
        <v>0</v>
      </c>
      <c r="E29" s="483">
        <v>3183333</v>
      </c>
      <c r="F29" s="484">
        <v>0</v>
      </c>
      <c r="G29" s="483">
        <v>31833</v>
      </c>
      <c r="H29" s="484">
        <v>0</v>
      </c>
      <c r="I29" s="483">
        <v>0</v>
      </c>
      <c r="J29" s="484">
        <v>0</v>
      </c>
      <c r="K29" s="483">
        <v>0</v>
      </c>
      <c r="L29" s="484">
        <v>0</v>
      </c>
      <c r="M29" s="483">
        <v>0</v>
      </c>
      <c r="N29" s="484">
        <v>0</v>
      </c>
      <c r="O29" s="483">
        <v>0</v>
      </c>
      <c r="P29" s="484">
        <v>0</v>
      </c>
      <c r="Q29" s="483">
        <v>0</v>
      </c>
      <c r="R29" s="484">
        <v>0</v>
      </c>
      <c r="S29" s="483">
        <v>0</v>
      </c>
      <c r="T29" s="484">
        <v>0</v>
      </c>
      <c r="U29" s="483">
        <v>0</v>
      </c>
      <c r="V29" s="484">
        <v>0</v>
      </c>
      <c r="W29" s="483">
        <v>0</v>
      </c>
      <c r="X29" s="484">
        <v>0</v>
      </c>
      <c r="Y29" s="357">
        <f t="shared" si="1"/>
        <v>0</v>
      </c>
      <c r="Z29" s="362">
        <f t="shared" si="2"/>
        <v>0</v>
      </c>
      <c r="AA29" s="147"/>
      <c r="AB29" s="147"/>
      <c r="AC29" s="482">
        <f>+'Aging Analysis'!C20</f>
        <v>3183333</v>
      </c>
      <c r="AD29" s="414">
        <f>+C29-AC29</f>
        <v>0</v>
      </c>
      <c r="AE29" s="130"/>
      <c r="AF29" s="130"/>
      <c r="AG29" s="130"/>
      <c r="AH29" s="130"/>
      <c r="AI29" s="130"/>
      <c r="AJ29" s="130"/>
    </row>
    <row r="30" spans="1:36" s="12" customFormat="1" ht="14.25" customHeight="1">
      <c r="A30" s="219"/>
      <c r="B30" s="221" t="s">
        <v>572</v>
      </c>
      <c r="C30" s="361">
        <f t="shared" si="0"/>
        <v>0</v>
      </c>
      <c r="D30" s="362">
        <f t="shared" si="3"/>
        <v>0</v>
      </c>
      <c r="E30" s="483"/>
      <c r="F30" s="362"/>
      <c r="G30" s="483"/>
      <c r="H30" s="362"/>
      <c r="I30" s="483"/>
      <c r="J30" s="362"/>
      <c r="K30" s="483"/>
      <c r="L30" s="362"/>
      <c r="M30" s="483"/>
      <c r="N30" s="362"/>
      <c r="O30" s="483"/>
      <c r="P30" s="362"/>
      <c r="Q30" s="483"/>
      <c r="R30" s="362"/>
      <c r="S30" s="483"/>
      <c r="T30" s="362"/>
      <c r="U30" s="483"/>
      <c r="V30" s="362"/>
      <c r="W30" s="483"/>
      <c r="X30" s="362"/>
      <c r="Y30" s="357">
        <f t="shared" si="1"/>
        <v>0</v>
      </c>
      <c r="Z30" s="362">
        <f t="shared" si="2"/>
        <v>0</v>
      </c>
      <c r="AA30" s="147"/>
      <c r="AB30" s="147"/>
      <c r="AC30" s="482"/>
      <c r="AD30" s="414"/>
      <c r="AE30" s="130"/>
      <c r="AF30" s="130"/>
      <c r="AG30" s="130"/>
      <c r="AH30" s="130"/>
      <c r="AI30" s="130"/>
      <c r="AJ30" s="130"/>
    </row>
    <row r="31" spans="1:36" s="348" customFormat="1" ht="28.5" customHeight="1">
      <c r="A31" s="347">
        <v>13</v>
      </c>
      <c r="B31" s="347" t="s">
        <v>580</v>
      </c>
      <c r="C31" s="358">
        <f t="shared" ref="C31:AB31" si="4">+C7+C9+C11+C13+C15+C17+C19+C21+C23+C25+C27+C29</f>
        <v>20277891345</v>
      </c>
      <c r="D31" s="358">
        <f t="shared" si="4"/>
        <v>3737998947</v>
      </c>
      <c r="E31" s="358">
        <f t="shared" si="4"/>
        <v>17551658885</v>
      </c>
      <c r="F31" s="358">
        <f t="shared" si="4"/>
        <v>3307279618</v>
      </c>
      <c r="G31" s="358">
        <f t="shared" si="4"/>
        <v>123374035</v>
      </c>
      <c r="H31" s="358">
        <f t="shared" si="4"/>
        <v>1665374</v>
      </c>
      <c r="I31" s="358">
        <f t="shared" si="4"/>
        <v>1832228607</v>
      </c>
      <c r="J31" s="358">
        <f t="shared" si="4"/>
        <v>328023424</v>
      </c>
      <c r="K31" s="358">
        <f t="shared" si="4"/>
        <v>21612533</v>
      </c>
      <c r="L31" s="358">
        <f t="shared" si="4"/>
        <v>4608229</v>
      </c>
      <c r="M31" s="358">
        <f t="shared" si="4"/>
        <v>254152148</v>
      </c>
      <c r="N31" s="358">
        <f t="shared" si="4"/>
        <v>15974198</v>
      </c>
      <c r="O31" s="358">
        <f t="shared" si="4"/>
        <v>2666899</v>
      </c>
      <c r="P31" s="358">
        <f t="shared" si="4"/>
        <v>0</v>
      </c>
      <c r="Q31" s="358">
        <f t="shared" si="4"/>
        <v>373965402</v>
      </c>
      <c r="R31" s="358">
        <f t="shared" si="4"/>
        <v>73657201</v>
      </c>
      <c r="S31" s="358">
        <f t="shared" si="4"/>
        <v>47165627</v>
      </c>
      <c r="T31" s="358">
        <f t="shared" si="4"/>
        <v>14152805</v>
      </c>
      <c r="U31" s="358">
        <f t="shared" si="4"/>
        <v>265886303</v>
      </c>
      <c r="V31" s="358">
        <f t="shared" si="4"/>
        <v>13064506</v>
      </c>
      <c r="W31" s="358">
        <f t="shared" si="4"/>
        <v>56251553</v>
      </c>
      <c r="X31" s="358">
        <f t="shared" si="4"/>
        <v>4949126</v>
      </c>
      <c r="Y31" s="358">
        <f t="shared" si="4"/>
        <v>127696612</v>
      </c>
      <c r="Z31" s="358">
        <f t="shared" si="4"/>
        <v>23710160</v>
      </c>
      <c r="AA31" s="358">
        <f>+AA7+AA9+AA11+AA13+AA15+AA17+AA19+AA21+AA23+AA25+AA27+AA29</f>
        <v>0</v>
      </c>
      <c r="AB31" s="358">
        <f t="shared" si="4"/>
        <v>0</v>
      </c>
      <c r="AC31" s="485">
        <f>+'Loans Receivable'!C85</f>
        <v>20277891345</v>
      </c>
      <c r="AD31" s="414">
        <f>+C31-AC31</f>
        <v>0</v>
      </c>
    </row>
    <row r="32" spans="1:36" s="12" customFormat="1" ht="13.5" customHeight="1">
      <c r="A32" s="219"/>
      <c r="B32" s="223" t="s">
        <v>572</v>
      </c>
      <c r="C32" s="365">
        <f t="shared" ref="C32:Z32" si="5">+C8+C10+C12+C14+C16+C18+C20+C22+C24+C26+C28+C30</f>
        <v>0</v>
      </c>
      <c r="D32" s="366">
        <f t="shared" si="5"/>
        <v>0</v>
      </c>
      <c r="E32" s="365">
        <f t="shared" si="5"/>
        <v>0</v>
      </c>
      <c r="F32" s="365">
        <f t="shared" si="5"/>
        <v>0</v>
      </c>
      <c r="G32" s="365">
        <f t="shared" si="5"/>
        <v>0</v>
      </c>
      <c r="H32" s="365">
        <f t="shared" si="5"/>
        <v>0</v>
      </c>
      <c r="I32" s="365">
        <f t="shared" si="5"/>
        <v>0</v>
      </c>
      <c r="J32" s="365">
        <f t="shared" si="5"/>
        <v>0</v>
      </c>
      <c r="K32" s="365">
        <f t="shared" si="5"/>
        <v>0</v>
      </c>
      <c r="L32" s="365">
        <f t="shared" si="5"/>
        <v>0</v>
      </c>
      <c r="M32" s="365">
        <f t="shared" si="5"/>
        <v>0</v>
      </c>
      <c r="N32" s="365">
        <f t="shared" si="5"/>
        <v>0</v>
      </c>
      <c r="O32" s="365">
        <f t="shared" si="5"/>
        <v>0</v>
      </c>
      <c r="P32" s="365">
        <f t="shared" si="5"/>
        <v>0</v>
      </c>
      <c r="Q32" s="365">
        <f t="shared" si="5"/>
        <v>0</v>
      </c>
      <c r="R32" s="365">
        <f t="shared" si="5"/>
        <v>0</v>
      </c>
      <c r="S32" s="365">
        <f t="shared" si="5"/>
        <v>0</v>
      </c>
      <c r="T32" s="365">
        <f t="shared" si="5"/>
        <v>0</v>
      </c>
      <c r="U32" s="365">
        <f t="shared" si="5"/>
        <v>0</v>
      </c>
      <c r="V32" s="365">
        <f t="shared" si="5"/>
        <v>0</v>
      </c>
      <c r="W32" s="365">
        <f t="shared" si="5"/>
        <v>0</v>
      </c>
      <c r="X32" s="365">
        <f t="shared" si="5"/>
        <v>0</v>
      </c>
      <c r="Y32" s="365">
        <f t="shared" si="5"/>
        <v>0</v>
      </c>
      <c r="Z32" s="365">
        <f t="shared" si="5"/>
        <v>0</v>
      </c>
      <c r="AA32" s="365"/>
      <c r="AB32" s="365"/>
      <c r="AC32" s="482"/>
      <c r="AD32" s="414"/>
      <c r="AE32" s="130"/>
      <c r="AF32" s="130"/>
      <c r="AG32" s="130"/>
      <c r="AH32" s="130"/>
      <c r="AI32" s="130"/>
      <c r="AJ32" s="130"/>
    </row>
    <row r="33" spans="1:36" s="348" customFormat="1" ht="27.75" customHeight="1">
      <c r="A33" s="347"/>
      <c r="B33" s="347" t="s">
        <v>581</v>
      </c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358"/>
      <c r="AB33" s="358"/>
      <c r="AC33" s="485"/>
      <c r="AD33" s="414"/>
    </row>
    <row r="34" spans="1:36" s="12" customFormat="1" ht="7.5" customHeight="1">
      <c r="A34" s="11"/>
      <c r="B34" s="11"/>
      <c r="C34" s="365"/>
      <c r="D34" s="366"/>
      <c r="E34" s="365"/>
      <c r="F34" s="365"/>
      <c r="G34" s="365"/>
      <c r="H34" s="365"/>
      <c r="I34" s="365"/>
      <c r="J34" s="365"/>
      <c r="K34" s="365"/>
      <c r="L34" s="365"/>
      <c r="M34" s="365"/>
      <c r="N34" s="365"/>
      <c r="O34" s="365"/>
      <c r="P34" s="365"/>
      <c r="Q34" s="365"/>
      <c r="R34" s="365"/>
      <c r="S34" s="365"/>
      <c r="T34" s="365"/>
      <c r="U34" s="365"/>
      <c r="V34" s="365"/>
      <c r="W34" s="365"/>
      <c r="X34" s="365"/>
      <c r="Y34" s="365"/>
      <c r="Z34" s="365"/>
      <c r="AA34" s="365"/>
      <c r="AB34" s="365"/>
      <c r="AC34" s="482"/>
      <c r="AD34" s="414"/>
      <c r="AE34" s="130"/>
      <c r="AF34" s="130"/>
      <c r="AG34" s="130"/>
      <c r="AH34" s="130"/>
      <c r="AI34" s="130"/>
      <c r="AJ34" s="130"/>
    </row>
    <row r="35" spans="1:36" s="12" customFormat="1" ht="23.25" customHeight="1">
      <c r="A35" s="219">
        <v>14</v>
      </c>
      <c r="B35" s="222" t="s">
        <v>397</v>
      </c>
      <c r="C35" s="361">
        <f t="shared" ref="C35" si="6">E35+I35+M35+Q35+U35</f>
        <v>3929868237</v>
      </c>
      <c r="D35" s="367">
        <f t="shared" ref="C35:D50" si="7">F35+J35+N35+R35+V35</f>
        <v>1854686815</v>
      </c>
      <c r="E35" s="486">
        <v>3317232337</v>
      </c>
      <c r="F35" s="487">
        <v>1503865555</v>
      </c>
      <c r="G35" s="486">
        <v>12691345</v>
      </c>
      <c r="H35" s="487">
        <v>729789</v>
      </c>
      <c r="I35" s="486">
        <v>458624751</v>
      </c>
      <c r="J35" s="487">
        <v>279250351</v>
      </c>
      <c r="K35" s="486">
        <v>6022658</v>
      </c>
      <c r="L35" s="487">
        <v>4608229</v>
      </c>
      <c r="M35" s="486">
        <v>26513005</v>
      </c>
      <c r="N35" s="487">
        <v>15974198</v>
      </c>
      <c r="O35" s="486">
        <v>255125</v>
      </c>
      <c r="P35" s="487">
        <v>0</v>
      </c>
      <c r="Q35" s="486">
        <v>92658895</v>
      </c>
      <c r="R35" s="487">
        <v>48540411</v>
      </c>
      <c r="S35" s="486">
        <v>11833571</v>
      </c>
      <c r="T35" s="487">
        <v>6251331</v>
      </c>
      <c r="U35" s="486">
        <v>34839249</v>
      </c>
      <c r="V35" s="487">
        <v>7056300</v>
      </c>
      <c r="W35" s="486">
        <v>11935208</v>
      </c>
      <c r="X35" s="487">
        <v>1961823</v>
      </c>
      <c r="Y35" s="488">
        <f>+W35+S35+O35+K35</f>
        <v>30046562</v>
      </c>
      <c r="Z35" s="367">
        <f>+X35+T35+P35+L35</f>
        <v>12821383</v>
      </c>
      <c r="AA35" s="147"/>
      <c r="AB35" s="147"/>
      <c r="AC35" s="482">
        <f>+'Aging Analysis'!C25</f>
        <v>3929868237</v>
      </c>
      <c r="AD35" s="414">
        <f>+C35-AC35</f>
        <v>0</v>
      </c>
      <c r="AE35" s="130"/>
      <c r="AF35" s="130"/>
      <c r="AG35" s="130"/>
      <c r="AH35" s="130"/>
      <c r="AI35" s="130"/>
      <c r="AJ35" s="130"/>
    </row>
    <row r="36" spans="1:36" s="12" customFormat="1" ht="14.25" customHeight="1">
      <c r="A36" s="219"/>
      <c r="B36" s="223" t="s">
        <v>572</v>
      </c>
      <c r="C36" s="361">
        <f t="shared" si="7"/>
        <v>0</v>
      </c>
      <c r="D36" s="367">
        <f t="shared" si="7"/>
        <v>0</v>
      </c>
      <c r="E36" s="486"/>
      <c r="F36" s="487"/>
      <c r="G36" s="486"/>
      <c r="H36" s="487"/>
      <c r="I36" s="486"/>
      <c r="J36" s="487"/>
      <c r="K36" s="486"/>
      <c r="L36" s="487"/>
      <c r="M36" s="486"/>
      <c r="N36" s="487"/>
      <c r="O36" s="486"/>
      <c r="P36" s="487"/>
      <c r="Q36" s="486"/>
      <c r="R36" s="487"/>
      <c r="S36" s="486"/>
      <c r="T36" s="487"/>
      <c r="U36" s="486"/>
      <c r="V36" s="487"/>
      <c r="W36" s="486"/>
      <c r="X36" s="487"/>
      <c r="Y36" s="489">
        <f t="shared" ref="Y36:Y50" si="8">+W36+S36+O36+K36</f>
        <v>0</v>
      </c>
      <c r="Z36" s="367">
        <f t="shared" ref="Z36:Z50" si="9">+X36+T36+P36+L36</f>
        <v>0</v>
      </c>
      <c r="AA36" s="147"/>
      <c r="AB36" s="147"/>
      <c r="AC36" s="438"/>
      <c r="AD36" s="414"/>
      <c r="AE36" s="130"/>
      <c r="AF36" s="130"/>
      <c r="AG36" s="130"/>
      <c r="AH36" s="130"/>
      <c r="AI36" s="130"/>
      <c r="AJ36" s="130"/>
    </row>
    <row r="37" spans="1:36" s="12" customFormat="1" ht="23.25" customHeight="1">
      <c r="A37" s="219">
        <v>15</v>
      </c>
      <c r="B37" s="222" t="s">
        <v>398</v>
      </c>
      <c r="C37" s="361">
        <f t="shared" si="7"/>
        <v>4134450617</v>
      </c>
      <c r="D37" s="367">
        <f t="shared" si="7"/>
        <v>1002733920</v>
      </c>
      <c r="E37" s="486">
        <v>3807842742</v>
      </c>
      <c r="F37" s="487">
        <v>987280796</v>
      </c>
      <c r="G37" s="486">
        <v>9555115</v>
      </c>
      <c r="H37" s="487">
        <v>365384</v>
      </c>
      <c r="I37" s="486">
        <v>167022420</v>
      </c>
      <c r="J37" s="487">
        <v>2168958</v>
      </c>
      <c r="K37" s="486">
        <v>7326218</v>
      </c>
      <c r="L37" s="487">
        <v>0</v>
      </c>
      <c r="M37" s="486">
        <v>17177594</v>
      </c>
      <c r="N37" s="487">
        <v>0</v>
      </c>
      <c r="O37" s="486">
        <v>155440</v>
      </c>
      <c r="P37" s="487">
        <v>0</v>
      </c>
      <c r="Q37" s="486">
        <v>83531170</v>
      </c>
      <c r="R37" s="487">
        <v>12246479</v>
      </c>
      <c r="S37" s="486">
        <v>17897521</v>
      </c>
      <c r="T37" s="487">
        <v>3731733</v>
      </c>
      <c r="U37" s="486">
        <v>58876691</v>
      </c>
      <c r="V37" s="487">
        <v>1037687</v>
      </c>
      <c r="W37" s="486">
        <v>23423125</v>
      </c>
      <c r="X37" s="487">
        <v>518844</v>
      </c>
      <c r="Y37" s="488">
        <f t="shared" si="8"/>
        <v>48802304</v>
      </c>
      <c r="Z37" s="367">
        <f t="shared" si="9"/>
        <v>4250577</v>
      </c>
      <c r="AA37" s="147"/>
      <c r="AB37" s="147"/>
      <c r="AC37" s="482">
        <f>+'Aging Analysis'!C26</f>
        <v>4134450617</v>
      </c>
      <c r="AD37" s="414">
        <f>+C37-AC37</f>
        <v>0</v>
      </c>
      <c r="AE37" s="130"/>
      <c r="AF37" s="130"/>
      <c r="AG37" s="130"/>
      <c r="AH37" s="130"/>
      <c r="AI37" s="130"/>
      <c r="AJ37" s="130"/>
    </row>
    <row r="38" spans="1:36" s="12" customFormat="1" ht="14.25" customHeight="1">
      <c r="A38" s="219"/>
      <c r="B38" s="223" t="s">
        <v>572</v>
      </c>
      <c r="C38" s="361">
        <f t="shared" si="7"/>
        <v>0</v>
      </c>
      <c r="D38" s="367">
        <f t="shared" si="7"/>
        <v>0</v>
      </c>
      <c r="E38" s="486"/>
      <c r="F38" s="487"/>
      <c r="G38" s="486"/>
      <c r="H38" s="487"/>
      <c r="I38" s="486"/>
      <c r="J38" s="487"/>
      <c r="K38" s="486"/>
      <c r="L38" s="487"/>
      <c r="M38" s="486"/>
      <c r="N38" s="487"/>
      <c r="O38" s="486"/>
      <c r="P38" s="487"/>
      <c r="Q38" s="486"/>
      <c r="R38" s="487"/>
      <c r="S38" s="486"/>
      <c r="T38" s="487"/>
      <c r="U38" s="486"/>
      <c r="V38" s="487"/>
      <c r="W38" s="486"/>
      <c r="X38" s="487"/>
      <c r="Y38" s="489">
        <f t="shared" si="8"/>
        <v>0</v>
      </c>
      <c r="Z38" s="367">
        <f t="shared" si="9"/>
        <v>0</v>
      </c>
      <c r="AA38" s="147"/>
      <c r="AB38" s="147"/>
      <c r="AC38" s="438"/>
      <c r="AD38" s="414"/>
      <c r="AE38" s="130"/>
      <c r="AF38" s="130"/>
      <c r="AG38" s="130"/>
      <c r="AH38" s="130"/>
      <c r="AI38" s="130"/>
      <c r="AJ38" s="130"/>
    </row>
    <row r="39" spans="1:36" s="12" customFormat="1" ht="23.25" customHeight="1">
      <c r="A39" s="219">
        <v>16</v>
      </c>
      <c r="B39" s="222" t="s">
        <v>399</v>
      </c>
      <c r="C39" s="361">
        <f t="shared" si="7"/>
        <v>255926870</v>
      </c>
      <c r="D39" s="367">
        <f t="shared" si="7"/>
        <v>28539314</v>
      </c>
      <c r="E39" s="486">
        <v>231680903</v>
      </c>
      <c r="F39" s="487">
        <v>27284967</v>
      </c>
      <c r="G39" s="486">
        <v>1328194</v>
      </c>
      <c r="H39" s="487">
        <v>112946</v>
      </c>
      <c r="I39" s="486">
        <v>17304478</v>
      </c>
      <c r="J39" s="487">
        <v>1254347</v>
      </c>
      <c r="K39" s="486">
        <v>39861</v>
      </c>
      <c r="L39" s="487">
        <v>0</v>
      </c>
      <c r="M39" s="486">
        <v>49614</v>
      </c>
      <c r="N39" s="487">
        <v>0</v>
      </c>
      <c r="O39" s="486">
        <v>0</v>
      </c>
      <c r="P39" s="487">
        <v>0</v>
      </c>
      <c r="Q39" s="486">
        <v>2419059</v>
      </c>
      <c r="R39" s="487">
        <v>0</v>
      </c>
      <c r="S39" s="486">
        <v>222082</v>
      </c>
      <c r="T39" s="487">
        <v>0</v>
      </c>
      <c r="U39" s="486">
        <v>4472816</v>
      </c>
      <c r="V39" s="487">
        <v>0</v>
      </c>
      <c r="W39" s="486">
        <v>2307049</v>
      </c>
      <c r="X39" s="487">
        <v>0</v>
      </c>
      <c r="Y39" s="488">
        <f t="shared" si="8"/>
        <v>2568992</v>
      </c>
      <c r="Z39" s="367">
        <f t="shared" si="9"/>
        <v>0</v>
      </c>
      <c r="AA39" s="147"/>
      <c r="AB39" s="147"/>
      <c r="AC39" s="482">
        <f>+'Aging Analysis'!C27</f>
        <v>255926870</v>
      </c>
      <c r="AD39" s="414">
        <f>+C39-AC39</f>
        <v>0</v>
      </c>
      <c r="AE39" s="130"/>
      <c r="AF39" s="130"/>
      <c r="AG39" s="130"/>
      <c r="AH39" s="130"/>
      <c r="AI39" s="130"/>
      <c r="AJ39" s="130"/>
    </row>
    <row r="40" spans="1:36" s="12" customFormat="1" ht="14.25" customHeight="1">
      <c r="A40" s="219"/>
      <c r="B40" s="223" t="s">
        <v>572</v>
      </c>
      <c r="C40" s="361">
        <f t="shared" si="7"/>
        <v>0</v>
      </c>
      <c r="D40" s="367">
        <f t="shared" si="7"/>
        <v>0</v>
      </c>
      <c r="E40" s="486"/>
      <c r="F40" s="487"/>
      <c r="G40" s="486"/>
      <c r="H40" s="487"/>
      <c r="I40" s="486"/>
      <c r="J40" s="487"/>
      <c r="K40" s="486"/>
      <c r="L40" s="487"/>
      <c r="M40" s="486"/>
      <c r="N40" s="487"/>
      <c r="O40" s="486"/>
      <c r="P40" s="487"/>
      <c r="Q40" s="486"/>
      <c r="R40" s="487"/>
      <c r="S40" s="486"/>
      <c r="T40" s="487"/>
      <c r="U40" s="486"/>
      <c r="V40" s="487"/>
      <c r="W40" s="486"/>
      <c r="X40" s="487"/>
      <c r="Y40" s="489">
        <f t="shared" si="8"/>
        <v>0</v>
      </c>
      <c r="Z40" s="367">
        <f t="shared" si="9"/>
        <v>0</v>
      </c>
      <c r="AA40" s="147"/>
      <c r="AB40" s="147"/>
      <c r="AC40" s="438"/>
      <c r="AD40" s="414"/>
      <c r="AE40" s="130"/>
      <c r="AF40" s="130"/>
      <c r="AG40" s="130"/>
      <c r="AH40" s="130"/>
      <c r="AI40" s="130"/>
      <c r="AJ40" s="130"/>
    </row>
    <row r="41" spans="1:36" s="12" customFormat="1" ht="23.25" customHeight="1">
      <c r="A41" s="219">
        <v>17</v>
      </c>
      <c r="B41" s="222" t="s">
        <v>400</v>
      </c>
      <c r="C41" s="361">
        <f t="shared" si="7"/>
        <v>1320966900</v>
      </c>
      <c r="D41" s="367">
        <f t="shared" si="7"/>
        <v>530928980</v>
      </c>
      <c r="E41" s="486">
        <v>1229298667</v>
      </c>
      <c r="F41" s="487">
        <v>527787787</v>
      </c>
      <c r="G41" s="486">
        <v>1069011</v>
      </c>
      <c r="H41" s="487">
        <v>83620</v>
      </c>
      <c r="I41" s="486">
        <v>71858780</v>
      </c>
      <c r="J41" s="487">
        <v>0</v>
      </c>
      <c r="K41" s="486">
        <v>168101</v>
      </c>
      <c r="L41" s="487">
        <v>0</v>
      </c>
      <c r="M41" s="486">
        <v>1092783</v>
      </c>
      <c r="N41" s="487">
        <v>0</v>
      </c>
      <c r="O41" s="486">
        <v>0</v>
      </c>
      <c r="P41" s="487">
        <v>0</v>
      </c>
      <c r="Q41" s="486">
        <v>16569528</v>
      </c>
      <c r="R41" s="487">
        <v>3141193</v>
      </c>
      <c r="S41" s="486">
        <v>3448096</v>
      </c>
      <c r="T41" s="487">
        <v>1570596</v>
      </c>
      <c r="U41" s="486">
        <v>2147142</v>
      </c>
      <c r="V41" s="487">
        <v>0</v>
      </c>
      <c r="W41" s="486">
        <v>1135868</v>
      </c>
      <c r="X41" s="487">
        <v>0</v>
      </c>
      <c r="Y41" s="488">
        <f t="shared" si="8"/>
        <v>4752065</v>
      </c>
      <c r="Z41" s="367">
        <f t="shared" si="9"/>
        <v>1570596</v>
      </c>
      <c r="AA41" s="147"/>
      <c r="AB41" s="147"/>
      <c r="AC41" s="482">
        <f>+'Aging Analysis'!C28</f>
        <v>1320966900</v>
      </c>
      <c r="AD41" s="414">
        <f>+C41-AC41</f>
        <v>0</v>
      </c>
      <c r="AE41" s="130"/>
      <c r="AF41" s="130"/>
      <c r="AG41" s="130"/>
      <c r="AH41" s="130"/>
      <c r="AI41" s="130"/>
      <c r="AJ41" s="130"/>
    </row>
    <row r="42" spans="1:36" s="12" customFormat="1" ht="14.25" customHeight="1">
      <c r="A42" s="219"/>
      <c r="B42" s="223" t="s">
        <v>572</v>
      </c>
      <c r="C42" s="361">
        <f t="shared" si="7"/>
        <v>0</v>
      </c>
      <c r="D42" s="367">
        <f t="shared" si="7"/>
        <v>0</v>
      </c>
      <c r="E42" s="486"/>
      <c r="F42" s="487"/>
      <c r="G42" s="486"/>
      <c r="H42" s="487"/>
      <c r="I42" s="486"/>
      <c r="J42" s="487"/>
      <c r="K42" s="486"/>
      <c r="L42" s="487"/>
      <c r="M42" s="486"/>
      <c r="N42" s="487"/>
      <c r="O42" s="486"/>
      <c r="P42" s="487"/>
      <c r="Q42" s="486"/>
      <c r="R42" s="487"/>
      <c r="S42" s="486"/>
      <c r="T42" s="487"/>
      <c r="U42" s="486"/>
      <c r="V42" s="487"/>
      <c r="W42" s="486"/>
      <c r="X42" s="487"/>
      <c r="Y42" s="489">
        <f t="shared" si="8"/>
        <v>0</v>
      </c>
      <c r="Z42" s="367">
        <f t="shared" si="9"/>
        <v>0</v>
      </c>
      <c r="AA42" s="147"/>
      <c r="AB42" s="147"/>
      <c r="AC42" s="438"/>
      <c r="AD42" s="414"/>
      <c r="AE42" s="130"/>
      <c r="AF42" s="130"/>
      <c r="AG42" s="130"/>
      <c r="AH42" s="130"/>
      <c r="AI42" s="130"/>
      <c r="AJ42" s="130"/>
    </row>
    <row r="43" spans="1:36" s="12" customFormat="1" ht="23.25" customHeight="1">
      <c r="A43" s="219">
        <v>18</v>
      </c>
      <c r="B43" s="222" t="s">
        <v>401</v>
      </c>
      <c r="C43" s="361">
        <f t="shared" si="7"/>
        <v>1444865389</v>
      </c>
      <c r="D43" s="367">
        <f t="shared" si="7"/>
        <v>209848960</v>
      </c>
      <c r="E43" s="486">
        <v>1219902704</v>
      </c>
      <c r="F43" s="487">
        <v>162881516</v>
      </c>
      <c r="G43" s="486">
        <v>9170354</v>
      </c>
      <c r="H43" s="487">
        <v>225990</v>
      </c>
      <c r="I43" s="486">
        <v>128096747</v>
      </c>
      <c r="J43" s="487">
        <v>39337103</v>
      </c>
      <c r="K43" s="486">
        <v>1419388</v>
      </c>
      <c r="L43" s="487">
        <v>0</v>
      </c>
      <c r="M43" s="486">
        <v>29782795</v>
      </c>
      <c r="N43" s="487">
        <v>0</v>
      </c>
      <c r="O43" s="486">
        <v>48862</v>
      </c>
      <c r="P43" s="487">
        <v>0</v>
      </c>
      <c r="Q43" s="486">
        <v>39906082</v>
      </c>
      <c r="R43" s="487">
        <v>2659822</v>
      </c>
      <c r="S43" s="486">
        <v>6352753</v>
      </c>
      <c r="T43" s="487">
        <v>2173956</v>
      </c>
      <c r="U43" s="486">
        <v>27177061</v>
      </c>
      <c r="V43" s="487">
        <v>4970519</v>
      </c>
      <c r="W43" s="486">
        <v>10436151</v>
      </c>
      <c r="X43" s="487">
        <v>2468459</v>
      </c>
      <c r="Y43" s="488">
        <f t="shared" si="8"/>
        <v>18257154</v>
      </c>
      <c r="Z43" s="367">
        <f t="shared" si="9"/>
        <v>4642415</v>
      </c>
      <c r="AA43" s="147"/>
      <c r="AB43" s="147"/>
      <c r="AC43" s="482">
        <f>+'Aging Analysis'!C29</f>
        <v>1444865389</v>
      </c>
      <c r="AD43" s="414">
        <f>+C43-AC43</f>
        <v>0</v>
      </c>
      <c r="AE43" s="130"/>
      <c r="AF43" s="130"/>
      <c r="AG43" s="130"/>
      <c r="AH43" s="130"/>
      <c r="AI43" s="130"/>
      <c r="AJ43" s="130"/>
    </row>
    <row r="44" spans="1:36" s="12" customFormat="1" ht="14.25" customHeight="1">
      <c r="A44" s="219"/>
      <c r="B44" s="223" t="s">
        <v>572</v>
      </c>
      <c r="C44" s="361">
        <f t="shared" si="7"/>
        <v>0</v>
      </c>
      <c r="D44" s="367">
        <f t="shared" si="7"/>
        <v>0</v>
      </c>
      <c r="E44" s="486">
        <v>0</v>
      </c>
      <c r="F44" s="487">
        <v>0</v>
      </c>
      <c r="G44" s="486"/>
      <c r="H44" s="487"/>
      <c r="I44" s="486">
        <v>0</v>
      </c>
      <c r="J44" s="487">
        <v>0</v>
      </c>
      <c r="K44" s="486">
        <v>0</v>
      </c>
      <c r="L44" s="487">
        <v>0</v>
      </c>
      <c r="M44" s="486">
        <v>0</v>
      </c>
      <c r="N44" s="487">
        <v>0</v>
      </c>
      <c r="O44" s="486">
        <v>0</v>
      </c>
      <c r="P44" s="487">
        <v>0</v>
      </c>
      <c r="Q44" s="486">
        <v>0</v>
      </c>
      <c r="R44" s="487">
        <v>0</v>
      </c>
      <c r="S44" s="486">
        <v>0</v>
      </c>
      <c r="T44" s="487">
        <v>0</v>
      </c>
      <c r="U44" s="486">
        <v>0</v>
      </c>
      <c r="V44" s="487">
        <v>0</v>
      </c>
      <c r="W44" s="486">
        <v>0</v>
      </c>
      <c r="X44" s="487">
        <v>0</v>
      </c>
      <c r="Y44" s="489">
        <f t="shared" si="8"/>
        <v>0</v>
      </c>
      <c r="Z44" s="367">
        <f t="shared" si="9"/>
        <v>0</v>
      </c>
      <c r="AA44" s="147"/>
      <c r="AB44" s="147"/>
      <c r="AC44" s="438"/>
      <c r="AD44" s="414"/>
      <c r="AE44" s="130"/>
      <c r="AF44" s="130"/>
      <c r="AG44" s="130"/>
      <c r="AH44" s="130"/>
      <c r="AI44" s="130"/>
      <c r="AJ44" s="130"/>
    </row>
    <row r="45" spans="1:36" s="12" customFormat="1" ht="23.25" customHeight="1">
      <c r="A45" s="219">
        <v>19</v>
      </c>
      <c r="B45" s="222" t="s">
        <v>402</v>
      </c>
      <c r="C45" s="361">
        <f t="shared" si="7"/>
        <v>179982546</v>
      </c>
      <c r="D45" s="367">
        <f t="shared" si="7"/>
        <v>11627984</v>
      </c>
      <c r="E45" s="486">
        <v>158300520</v>
      </c>
      <c r="F45" s="487">
        <v>8196128</v>
      </c>
      <c r="G45" s="486">
        <v>1047233</v>
      </c>
      <c r="H45" s="487">
        <v>46344</v>
      </c>
      <c r="I45" s="486">
        <v>10475582</v>
      </c>
      <c r="J45" s="487">
        <v>0</v>
      </c>
      <c r="K45" s="486">
        <v>2250</v>
      </c>
      <c r="L45" s="487">
        <v>0</v>
      </c>
      <c r="M45" s="486">
        <v>1900035</v>
      </c>
      <c r="N45" s="487">
        <v>0</v>
      </c>
      <c r="O45" s="486">
        <v>0</v>
      </c>
      <c r="P45" s="487">
        <v>0</v>
      </c>
      <c r="Q45" s="486">
        <v>6960126</v>
      </c>
      <c r="R45" s="487">
        <v>3431856</v>
      </c>
      <c r="S45" s="486">
        <v>1412770</v>
      </c>
      <c r="T45" s="487">
        <v>0</v>
      </c>
      <c r="U45" s="486">
        <v>2346283</v>
      </c>
      <c r="V45" s="487">
        <v>0</v>
      </c>
      <c r="W45" s="486">
        <v>412887</v>
      </c>
      <c r="X45" s="487">
        <v>0</v>
      </c>
      <c r="Y45" s="488">
        <f t="shared" si="8"/>
        <v>1827907</v>
      </c>
      <c r="Z45" s="367">
        <f t="shared" si="9"/>
        <v>0</v>
      </c>
      <c r="AA45" s="147"/>
      <c r="AB45" s="147"/>
      <c r="AC45" s="482">
        <f>+'Aging Analysis'!C30</f>
        <v>179982546</v>
      </c>
      <c r="AD45" s="414">
        <f>+C45-AC45</f>
        <v>0</v>
      </c>
      <c r="AE45" s="130"/>
      <c r="AF45" s="130"/>
      <c r="AG45" s="130"/>
      <c r="AH45" s="130"/>
      <c r="AI45" s="130"/>
      <c r="AJ45" s="130"/>
    </row>
    <row r="46" spans="1:36" s="12" customFormat="1" ht="14.25" customHeight="1">
      <c r="A46" s="219"/>
      <c r="B46" s="223" t="s">
        <v>572</v>
      </c>
      <c r="C46" s="361">
        <f t="shared" si="7"/>
        <v>0</v>
      </c>
      <c r="D46" s="367">
        <f t="shared" si="7"/>
        <v>0</v>
      </c>
      <c r="E46" s="486">
        <v>0</v>
      </c>
      <c r="F46" s="487">
        <v>0</v>
      </c>
      <c r="G46" s="486"/>
      <c r="H46" s="487"/>
      <c r="I46" s="486">
        <v>0</v>
      </c>
      <c r="J46" s="487">
        <v>0</v>
      </c>
      <c r="K46" s="486">
        <v>0</v>
      </c>
      <c r="L46" s="487">
        <v>0</v>
      </c>
      <c r="M46" s="486">
        <v>0</v>
      </c>
      <c r="N46" s="487">
        <v>0</v>
      </c>
      <c r="O46" s="486">
        <v>0</v>
      </c>
      <c r="P46" s="487">
        <v>0</v>
      </c>
      <c r="Q46" s="486">
        <v>0</v>
      </c>
      <c r="R46" s="487">
        <v>0</v>
      </c>
      <c r="S46" s="486">
        <v>0</v>
      </c>
      <c r="T46" s="487">
        <v>0</v>
      </c>
      <c r="U46" s="486">
        <v>0</v>
      </c>
      <c r="V46" s="487">
        <v>0</v>
      </c>
      <c r="W46" s="486">
        <v>0</v>
      </c>
      <c r="X46" s="487">
        <v>0</v>
      </c>
      <c r="Y46" s="489">
        <f t="shared" si="8"/>
        <v>0</v>
      </c>
      <c r="Z46" s="367">
        <f t="shared" si="9"/>
        <v>0</v>
      </c>
      <c r="AA46" s="147"/>
      <c r="AB46" s="147"/>
      <c r="AC46" s="438"/>
      <c r="AD46" s="414"/>
      <c r="AE46" s="130"/>
      <c r="AF46" s="130"/>
      <c r="AG46" s="130"/>
      <c r="AH46" s="130"/>
      <c r="AI46" s="130"/>
      <c r="AJ46" s="130"/>
    </row>
    <row r="47" spans="1:36" s="12" customFormat="1" ht="23.25" customHeight="1">
      <c r="A47" s="219">
        <v>20</v>
      </c>
      <c r="B47" s="222" t="s">
        <v>403</v>
      </c>
      <c r="C47" s="361">
        <f t="shared" si="7"/>
        <v>592662970</v>
      </c>
      <c r="D47" s="367">
        <f t="shared" si="7"/>
        <v>99632974</v>
      </c>
      <c r="E47" s="486">
        <v>521370576</v>
      </c>
      <c r="F47" s="487">
        <v>89982869</v>
      </c>
      <c r="G47" s="486">
        <v>4321105</v>
      </c>
      <c r="H47" s="487">
        <v>101301</v>
      </c>
      <c r="I47" s="486">
        <v>32872466</v>
      </c>
      <c r="J47" s="487">
        <v>6012665</v>
      </c>
      <c r="K47" s="486">
        <v>945208</v>
      </c>
      <c r="L47" s="487">
        <v>0</v>
      </c>
      <c r="M47" s="486">
        <v>3692979</v>
      </c>
      <c r="N47" s="487">
        <v>0</v>
      </c>
      <c r="O47" s="486">
        <v>23067</v>
      </c>
      <c r="P47" s="487">
        <v>0</v>
      </c>
      <c r="Q47" s="486">
        <v>21766074</v>
      </c>
      <c r="R47" s="487">
        <v>3637440</v>
      </c>
      <c r="S47" s="486">
        <v>5145821</v>
      </c>
      <c r="T47" s="487">
        <v>425189</v>
      </c>
      <c r="U47" s="486">
        <v>12960875</v>
      </c>
      <c r="V47" s="487">
        <v>0</v>
      </c>
      <c r="W47" s="486">
        <v>6249997</v>
      </c>
      <c r="X47" s="487">
        <v>0</v>
      </c>
      <c r="Y47" s="488">
        <f t="shared" si="8"/>
        <v>12364093</v>
      </c>
      <c r="Z47" s="367">
        <f t="shared" si="9"/>
        <v>425189</v>
      </c>
      <c r="AA47" s="147"/>
      <c r="AB47" s="147"/>
      <c r="AC47" s="482">
        <f>+'Aging Analysis'!C31</f>
        <v>592662970</v>
      </c>
      <c r="AD47" s="414">
        <f>+C47-AC47</f>
        <v>0</v>
      </c>
      <c r="AE47" s="130"/>
      <c r="AF47" s="130"/>
      <c r="AG47" s="130"/>
      <c r="AH47" s="130"/>
      <c r="AI47" s="130"/>
      <c r="AJ47" s="130"/>
    </row>
    <row r="48" spans="1:36" s="12" customFormat="1" ht="14.25" customHeight="1">
      <c r="A48" s="219"/>
      <c r="B48" s="223" t="s">
        <v>572</v>
      </c>
      <c r="C48" s="361">
        <f t="shared" si="7"/>
        <v>0</v>
      </c>
      <c r="D48" s="367">
        <f t="shared" si="7"/>
        <v>0</v>
      </c>
      <c r="E48" s="486">
        <v>0</v>
      </c>
      <c r="F48" s="487">
        <v>0</v>
      </c>
      <c r="G48" s="486"/>
      <c r="H48" s="487"/>
      <c r="I48" s="486">
        <v>0</v>
      </c>
      <c r="J48" s="487">
        <v>0</v>
      </c>
      <c r="K48" s="486">
        <v>0</v>
      </c>
      <c r="L48" s="487">
        <v>0</v>
      </c>
      <c r="M48" s="486">
        <v>0</v>
      </c>
      <c r="N48" s="487">
        <v>0</v>
      </c>
      <c r="O48" s="486">
        <v>0</v>
      </c>
      <c r="P48" s="487">
        <v>0</v>
      </c>
      <c r="Q48" s="486">
        <v>0</v>
      </c>
      <c r="R48" s="487">
        <v>0</v>
      </c>
      <c r="S48" s="486">
        <v>0</v>
      </c>
      <c r="T48" s="487">
        <v>0</v>
      </c>
      <c r="U48" s="486">
        <v>0</v>
      </c>
      <c r="V48" s="487">
        <v>0</v>
      </c>
      <c r="W48" s="486">
        <v>0</v>
      </c>
      <c r="X48" s="487">
        <v>0</v>
      </c>
      <c r="Y48" s="489">
        <f t="shared" si="8"/>
        <v>0</v>
      </c>
      <c r="Z48" s="367">
        <f t="shared" si="9"/>
        <v>0</v>
      </c>
      <c r="AA48" s="147"/>
      <c r="AB48" s="147"/>
      <c r="AC48" s="438"/>
      <c r="AD48" s="414"/>
      <c r="AE48" s="130"/>
      <c r="AF48" s="130"/>
      <c r="AG48" s="130"/>
      <c r="AH48" s="130"/>
      <c r="AI48" s="130"/>
      <c r="AJ48" s="130"/>
    </row>
    <row r="49" spans="1:36" s="12" customFormat="1" ht="23.25" customHeight="1">
      <c r="A49" s="219">
        <v>21</v>
      </c>
      <c r="B49" s="222" t="s">
        <v>404</v>
      </c>
      <c r="C49" s="361">
        <f t="shared" si="7"/>
        <v>0</v>
      </c>
      <c r="D49" s="367">
        <f t="shared" si="7"/>
        <v>0</v>
      </c>
      <c r="E49" s="486">
        <v>0</v>
      </c>
      <c r="F49" s="487">
        <v>0</v>
      </c>
      <c r="G49" s="486">
        <v>0</v>
      </c>
      <c r="H49" s="487">
        <v>0</v>
      </c>
      <c r="I49" s="486">
        <v>0</v>
      </c>
      <c r="J49" s="487">
        <v>0</v>
      </c>
      <c r="K49" s="486">
        <v>0</v>
      </c>
      <c r="L49" s="487">
        <v>0</v>
      </c>
      <c r="M49" s="486">
        <v>0</v>
      </c>
      <c r="N49" s="487">
        <v>0</v>
      </c>
      <c r="O49" s="486">
        <v>0</v>
      </c>
      <c r="P49" s="487">
        <v>0</v>
      </c>
      <c r="Q49" s="486">
        <v>0</v>
      </c>
      <c r="R49" s="487">
        <v>0</v>
      </c>
      <c r="S49" s="486">
        <v>0</v>
      </c>
      <c r="T49" s="487">
        <v>0</v>
      </c>
      <c r="U49" s="486">
        <v>0</v>
      </c>
      <c r="V49" s="487">
        <v>0</v>
      </c>
      <c r="W49" s="486">
        <v>0</v>
      </c>
      <c r="X49" s="487">
        <v>0</v>
      </c>
      <c r="Y49" s="488">
        <f t="shared" si="8"/>
        <v>0</v>
      </c>
      <c r="Z49" s="367">
        <f t="shared" si="9"/>
        <v>0</v>
      </c>
      <c r="AA49" s="147"/>
      <c r="AB49" s="147"/>
      <c r="AC49" s="482">
        <f>+'Aging Analysis'!C32</f>
        <v>0</v>
      </c>
      <c r="AD49" s="414">
        <f>+C49-AC49</f>
        <v>0</v>
      </c>
      <c r="AE49" s="130"/>
      <c r="AF49" s="130"/>
      <c r="AG49" s="130"/>
      <c r="AH49" s="130"/>
      <c r="AI49" s="130"/>
      <c r="AJ49" s="130"/>
    </row>
    <row r="50" spans="1:36" s="12" customFormat="1" ht="14.25" customHeight="1">
      <c r="A50" s="219"/>
      <c r="B50" s="223" t="s">
        <v>572</v>
      </c>
      <c r="C50" s="361">
        <f t="shared" si="7"/>
        <v>0</v>
      </c>
      <c r="D50" s="367">
        <f t="shared" si="7"/>
        <v>0</v>
      </c>
      <c r="E50" s="486">
        <v>0</v>
      </c>
      <c r="F50" s="487">
        <v>0</v>
      </c>
      <c r="G50" s="486"/>
      <c r="H50" s="487"/>
      <c r="I50" s="486">
        <v>0</v>
      </c>
      <c r="J50" s="487">
        <v>0</v>
      </c>
      <c r="K50" s="486">
        <v>0</v>
      </c>
      <c r="L50" s="487">
        <v>0</v>
      </c>
      <c r="M50" s="486">
        <v>0</v>
      </c>
      <c r="N50" s="487">
        <v>0</v>
      </c>
      <c r="O50" s="486">
        <v>0</v>
      </c>
      <c r="P50" s="487">
        <v>0</v>
      </c>
      <c r="Q50" s="486">
        <v>0</v>
      </c>
      <c r="R50" s="487">
        <v>0</v>
      </c>
      <c r="S50" s="486">
        <v>0</v>
      </c>
      <c r="T50" s="487">
        <v>0</v>
      </c>
      <c r="U50" s="486">
        <v>0</v>
      </c>
      <c r="V50" s="487">
        <v>0</v>
      </c>
      <c r="W50" s="486">
        <v>0</v>
      </c>
      <c r="X50" s="487">
        <v>0</v>
      </c>
      <c r="Y50" s="489">
        <f t="shared" si="8"/>
        <v>0</v>
      </c>
      <c r="Z50" s="367">
        <f t="shared" si="9"/>
        <v>0</v>
      </c>
      <c r="AA50" s="147"/>
      <c r="AB50" s="147"/>
      <c r="AC50" s="482"/>
      <c r="AD50" s="414"/>
      <c r="AE50" s="130"/>
      <c r="AF50" s="130"/>
      <c r="AG50" s="130"/>
      <c r="AH50" s="130"/>
      <c r="AI50" s="130"/>
      <c r="AJ50" s="130"/>
    </row>
    <row r="51" spans="1:36" s="12" customFormat="1" ht="23.25" customHeight="1">
      <c r="A51" s="219">
        <v>22</v>
      </c>
      <c r="B51" s="222" t="s">
        <v>329</v>
      </c>
      <c r="C51" s="361">
        <f>E51+I51+M51+Q51+U51</f>
        <v>8419167816</v>
      </c>
      <c r="D51" s="367">
        <f>F51+J51+N51+R51+V51</f>
        <v>0</v>
      </c>
      <c r="E51" s="486">
        <v>7066030436</v>
      </c>
      <c r="F51" s="487">
        <v>0</v>
      </c>
      <c r="G51" s="486">
        <v>84191678</v>
      </c>
      <c r="H51" s="487">
        <v>0</v>
      </c>
      <c r="I51" s="486">
        <v>945973383</v>
      </c>
      <c r="J51" s="487">
        <v>0</v>
      </c>
      <c r="K51" s="486">
        <v>5688849</v>
      </c>
      <c r="L51" s="487">
        <v>0</v>
      </c>
      <c r="M51" s="486">
        <v>173943343</v>
      </c>
      <c r="N51" s="487">
        <v>0</v>
      </c>
      <c r="O51" s="486">
        <v>2184405</v>
      </c>
      <c r="P51" s="487">
        <v>0</v>
      </c>
      <c r="Q51" s="486">
        <v>110154468</v>
      </c>
      <c r="R51" s="487">
        <v>0</v>
      </c>
      <c r="S51" s="486">
        <v>853013</v>
      </c>
      <c r="T51" s="487">
        <v>0</v>
      </c>
      <c r="U51" s="486">
        <v>123066186</v>
      </c>
      <c r="V51" s="487">
        <v>0</v>
      </c>
      <c r="W51" s="486">
        <v>351268</v>
      </c>
      <c r="X51" s="487">
        <v>0</v>
      </c>
      <c r="Y51" s="487">
        <f t="shared" ref="Y51:Y52" si="10">+W51+S51+O51+K51</f>
        <v>9077535</v>
      </c>
      <c r="Z51" s="487">
        <f t="shared" ref="Z51:Z52" si="11">+X51+T51+P51+L51</f>
        <v>0</v>
      </c>
      <c r="AA51" s="490"/>
      <c r="AB51" s="487"/>
      <c r="AC51" s="482">
        <f>+'Aging Analysis'!C33</f>
        <v>8419167816</v>
      </c>
      <c r="AD51" s="414">
        <f>+C51-AC51</f>
        <v>0</v>
      </c>
      <c r="AE51" s="130"/>
      <c r="AF51" s="130"/>
      <c r="AG51" s="130"/>
      <c r="AH51" s="130"/>
      <c r="AI51" s="130"/>
      <c r="AJ51" s="130"/>
    </row>
    <row r="52" spans="1:36" s="12" customFormat="1" ht="14.25" customHeight="1">
      <c r="A52" s="219"/>
      <c r="B52" s="223" t="s">
        <v>572</v>
      </c>
      <c r="C52" s="361">
        <f t="shared" ref="C52:C54" si="12">E52+I52+M52+Q52+U52</f>
        <v>0</v>
      </c>
      <c r="D52" s="367">
        <f t="shared" ref="D52" si="13">F52+J52+N52+R52+V52</f>
        <v>0</v>
      </c>
      <c r="E52" s="486"/>
      <c r="F52" s="367"/>
      <c r="G52" s="486"/>
      <c r="H52" s="367"/>
      <c r="I52" s="486"/>
      <c r="J52" s="367"/>
      <c r="K52" s="486"/>
      <c r="L52" s="367"/>
      <c r="M52" s="486"/>
      <c r="N52" s="367"/>
      <c r="O52" s="486"/>
      <c r="P52" s="367"/>
      <c r="Q52" s="486"/>
      <c r="R52" s="367"/>
      <c r="S52" s="486"/>
      <c r="T52" s="367"/>
      <c r="U52" s="486"/>
      <c r="V52" s="367"/>
      <c r="W52" s="486"/>
      <c r="X52" s="367"/>
      <c r="Y52" s="489">
        <f t="shared" si="10"/>
        <v>0</v>
      </c>
      <c r="Z52" s="367">
        <f t="shared" si="11"/>
        <v>0</v>
      </c>
      <c r="AA52" s="147"/>
      <c r="AB52" s="147"/>
      <c r="AC52" s="482"/>
      <c r="AD52" s="414"/>
      <c r="AE52" s="130"/>
      <c r="AF52" s="130"/>
      <c r="AG52" s="130"/>
      <c r="AH52" s="130"/>
      <c r="AI52" s="130"/>
      <c r="AJ52" s="130"/>
    </row>
    <row r="53" spans="1:36" s="348" customFormat="1" ht="28.5" customHeight="1">
      <c r="A53" s="347">
        <v>23</v>
      </c>
      <c r="B53" s="347" t="s">
        <v>580</v>
      </c>
      <c r="C53" s="358">
        <f>+C35+C37+C39+C41+C43+C45+C47+C49+C51</f>
        <v>20277891345</v>
      </c>
      <c r="D53" s="358">
        <f t="shared" ref="D53:AB53" si="14">+D35+D37+D39+D41+D43+D45+D47+D49+D51</f>
        <v>3737998947</v>
      </c>
      <c r="E53" s="358">
        <f t="shared" si="14"/>
        <v>17551658885</v>
      </c>
      <c r="F53" s="358">
        <f t="shared" si="14"/>
        <v>3307279618</v>
      </c>
      <c r="G53" s="358">
        <f t="shared" si="14"/>
        <v>123374035</v>
      </c>
      <c r="H53" s="358">
        <f t="shared" si="14"/>
        <v>1665374</v>
      </c>
      <c r="I53" s="358">
        <f>+I35+I37+I39+I41+I43+I45+I47+I49+I51</f>
        <v>1832228607</v>
      </c>
      <c r="J53" s="358">
        <f>+J35+J37+J39+J41+J43+J45+J47+J49+J51</f>
        <v>328023424</v>
      </c>
      <c r="K53" s="358">
        <f t="shared" si="14"/>
        <v>21612533</v>
      </c>
      <c r="L53" s="358">
        <f t="shared" si="14"/>
        <v>4608229</v>
      </c>
      <c r="M53" s="358">
        <f t="shared" si="14"/>
        <v>254152148</v>
      </c>
      <c r="N53" s="358">
        <f t="shared" si="14"/>
        <v>15974198</v>
      </c>
      <c r="O53" s="358">
        <f t="shared" si="14"/>
        <v>2666899</v>
      </c>
      <c r="P53" s="358">
        <f t="shared" si="14"/>
        <v>0</v>
      </c>
      <c r="Q53" s="358">
        <f t="shared" si="14"/>
        <v>373965402</v>
      </c>
      <c r="R53" s="358">
        <f t="shared" si="14"/>
        <v>73657201</v>
      </c>
      <c r="S53" s="358">
        <f t="shared" si="14"/>
        <v>47165627</v>
      </c>
      <c r="T53" s="358">
        <f t="shared" si="14"/>
        <v>14152805</v>
      </c>
      <c r="U53" s="358">
        <f t="shared" si="14"/>
        <v>265886303</v>
      </c>
      <c r="V53" s="358">
        <f t="shared" si="14"/>
        <v>13064506</v>
      </c>
      <c r="W53" s="358">
        <f t="shared" si="14"/>
        <v>56251553</v>
      </c>
      <c r="X53" s="358">
        <f t="shared" si="14"/>
        <v>4949126</v>
      </c>
      <c r="Y53" s="358">
        <f t="shared" si="14"/>
        <v>127696612</v>
      </c>
      <c r="Z53" s="358">
        <f t="shared" si="14"/>
        <v>23710160</v>
      </c>
      <c r="AA53" s="358">
        <f t="shared" si="14"/>
        <v>0</v>
      </c>
      <c r="AB53" s="358">
        <f t="shared" si="14"/>
        <v>0</v>
      </c>
      <c r="AC53" s="485">
        <f>+'Aging Analysis'!C35</f>
        <v>20277891345</v>
      </c>
      <c r="AD53" s="414">
        <f>+C53-AC53</f>
        <v>0</v>
      </c>
    </row>
    <row r="54" spans="1:36" s="12" customFormat="1" ht="23.25" customHeight="1">
      <c r="A54" s="219"/>
      <c r="B54" s="223" t="s">
        <v>572</v>
      </c>
      <c r="C54" s="491">
        <f t="shared" si="12"/>
        <v>0</v>
      </c>
      <c r="D54" s="366">
        <f t="shared" ref="D54:AB54" si="15">+D36+D38+D40+D42+D44+D46+D48+D50+D52</f>
        <v>0</v>
      </c>
      <c r="E54" s="486"/>
      <c r="F54" s="486"/>
      <c r="G54" s="486"/>
      <c r="H54" s="486"/>
      <c r="I54" s="486"/>
      <c r="J54" s="486"/>
      <c r="K54" s="486"/>
      <c r="L54" s="486"/>
      <c r="M54" s="486"/>
      <c r="N54" s="486"/>
      <c r="O54" s="486"/>
      <c r="P54" s="486"/>
      <c r="Q54" s="486"/>
      <c r="R54" s="486"/>
      <c r="S54" s="486"/>
      <c r="T54" s="486"/>
      <c r="U54" s="486"/>
      <c r="V54" s="486"/>
      <c r="W54" s="486"/>
      <c r="X54" s="486"/>
      <c r="Y54" s="365">
        <f t="shared" si="15"/>
        <v>0</v>
      </c>
      <c r="Z54" s="365">
        <f t="shared" si="15"/>
        <v>0</v>
      </c>
      <c r="AA54" s="365">
        <f t="shared" si="15"/>
        <v>0</v>
      </c>
      <c r="AB54" s="365">
        <f t="shared" si="15"/>
        <v>0</v>
      </c>
      <c r="AC54" s="482"/>
      <c r="AD54" s="414"/>
      <c r="AE54" s="130"/>
      <c r="AF54" s="130"/>
      <c r="AG54" s="130"/>
      <c r="AH54" s="130"/>
      <c r="AI54" s="130"/>
      <c r="AJ54" s="130"/>
    </row>
    <row r="55" spans="1:36" s="348" customFormat="1" ht="27.75" customHeight="1">
      <c r="A55" s="347"/>
      <c r="B55" s="347" t="s">
        <v>582</v>
      </c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  <c r="AA55" s="358"/>
      <c r="AB55" s="358"/>
      <c r="AC55" s="485"/>
      <c r="AD55" s="414"/>
    </row>
    <row r="56" spans="1:36" s="12" customFormat="1" ht="7.5" customHeight="1">
      <c r="A56" s="11"/>
      <c r="B56" s="11"/>
      <c r="C56" s="365"/>
      <c r="D56" s="366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482"/>
      <c r="AD56" s="414"/>
      <c r="AE56" s="130"/>
      <c r="AF56" s="130"/>
      <c r="AG56" s="130"/>
      <c r="AH56" s="130"/>
      <c r="AI56" s="130"/>
      <c r="AJ56" s="130"/>
    </row>
    <row r="57" spans="1:36" s="12" customFormat="1" ht="21.75" customHeight="1">
      <c r="A57" s="219">
        <v>24</v>
      </c>
      <c r="B57" s="222" t="s">
        <v>583</v>
      </c>
      <c r="C57" s="361">
        <f t="shared" ref="C57:D73" si="16">E57+I57+M57+Q57+U57</f>
        <v>1235492326</v>
      </c>
      <c r="D57" s="362">
        <f t="shared" si="16"/>
        <v>52638978</v>
      </c>
      <c r="E57" s="483">
        <v>1089405853</v>
      </c>
      <c r="F57" s="484">
        <v>26263593</v>
      </c>
      <c r="G57" s="483">
        <v>9351693</v>
      </c>
      <c r="H57" s="483">
        <v>127415</v>
      </c>
      <c r="I57" s="483">
        <v>76414436</v>
      </c>
      <c r="J57" s="484">
        <v>10395296</v>
      </c>
      <c r="K57" s="483">
        <v>1242905</v>
      </c>
      <c r="L57" s="484">
        <v>0</v>
      </c>
      <c r="M57" s="483">
        <v>12863985</v>
      </c>
      <c r="N57" s="484">
        <v>0</v>
      </c>
      <c r="O57" s="483">
        <v>315013</v>
      </c>
      <c r="P57" s="484">
        <v>0</v>
      </c>
      <c r="Q57" s="483">
        <v>42965190</v>
      </c>
      <c r="R57" s="484">
        <v>15980089</v>
      </c>
      <c r="S57" s="483">
        <v>2867843</v>
      </c>
      <c r="T57" s="484">
        <v>0</v>
      </c>
      <c r="U57" s="483">
        <v>13842862</v>
      </c>
      <c r="V57" s="484">
        <v>0</v>
      </c>
      <c r="W57" s="483">
        <v>1275942</v>
      </c>
      <c r="X57" s="484">
        <v>0</v>
      </c>
      <c r="Y57" s="488">
        <f>+W57+S57+O57+K57</f>
        <v>5701703</v>
      </c>
      <c r="Z57" s="362">
        <f>+X57+T57+P57+L57</f>
        <v>0</v>
      </c>
      <c r="AA57" s="147"/>
      <c r="AB57" s="147"/>
      <c r="AC57" s="482"/>
      <c r="AD57" s="414"/>
      <c r="AE57" s="130"/>
      <c r="AF57" s="130"/>
      <c r="AG57" s="130"/>
      <c r="AH57" s="130"/>
      <c r="AI57" s="130"/>
      <c r="AJ57" s="130"/>
    </row>
    <row r="58" spans="1:36" s="12" customFormat="1" ht="21.75" customHeight="1">
      <c r="A58" s="219">
        <v>25</v>
      </c>
      <c r="B58" s="222" t="s">
        <v>584</v>
      </c>
      <c r="C58" s="361">
        <f t="shared" si="16"/>
        <v>896506330</v>
      </c>
      <c r="D58" s="362">
        <f t="shared" si="16"/>
        <v>118213972</v>
      </c>
      <c r="E58" s="483">
        <v>559436834</v>
      </c>
      <c r="F58" s="484">
        <v>25830409</v>
      </c>
      <c r="G58" s="483">
        <v>5895174</v>
      </c>
      <c r="H58" s="483">
        <v>14430</v>
      </c>
      <c r="I58" s="483">
        <v>203710481</v>
      </c>
      <c r="J58" s="484">
        <v>75045035</v>
      </c>
      <c r="K58" s="483">
        <v>489032</v>
      </c>
      <c r="L58" s="484">
        <v>0</v>
      </c>
      <c r="M58" s="483">
        <v>43255317</v>
      </c>
      <c r="N58" s="484">
        <v>6012665</v>
      </c>
      <c r="O58" s="483">
        <v>278128</v>
      </c>
      <c r="P58" s="484">
        <v>0</v>
      </c>
      <c r="Q58" s="483">
        <v>48770766</v>
      </c>
      <c r="R58" s="484">
        <v>11325863</v>
      </c>
      <c r="S58" s="483">
        <v>5303367</v>
      </c>
      <c r="T58" s="484">
        <v>2831466</v>
      </c>
      <c r="U58" s="483">
        <v>41332932</v>
      </c>
      <c r="V58" s="484">
        <v>0</v>
      </c>
      <c r="W58" s="483">
        <v>10360313</v>
      </c>
      <c r="X58" s="484">
        <v>0</v>
      </c>
      <c r="Y58" s="488">
        <f t="shared" ref="Y58:Z70" si="17">+W58+S58+O58+K58</f>
        <v>16430840</v>
      </c>
      <c r="Z58" s="362">
        <f t="shared" si="17"/>
        <v>2831466</v>
      </c>
      <c r="AA58" s="147"/>
      <c r="AB58" s="147"/>
      <c r="AC58" s="482"/>
      <c r="AD58" s="414"/>
      <c r="AE58" s="130"/>
      <c r="AF58" s="130"/>
      <c r="AG58" s="130"/>
      <c r="AH58" s="130"/>
      <c r="AI58" s="130"/>
      <c r="AJ58" s="130"/>
    </row>
    <row r="59" spans="1:36" s="12" customFormat="1" ht="21.75" customHeight="1">
      <c r="A59" s="219">
        <v>26</v>
      </c>
      <c r="B59" s="222" t="s">
        <v>585</v>
      </c>
      <c r="C59" s="361">
        <f t="shared" si="16"/>
        <v>1636513448</v>
      </c>
      <c r="D59" s="362">
        <f t="shared" si="16"/>
        <v>297439716</v>
      </c>
      <c r="E59" s="483">
        <v>1508296979</v>
      </c>
      <c r="F59" s="484">
        <v>289605861</v>
      </c>
      <c r="G59" s="483">
        <v>11419767</v>
      </c>
      <c r="H59" s="483">
        <v>185441</v>
      </c>
      <c r="I59" s="483">
        <v>73344221</v>
      </c>
      <c r="J59" s="484">
        <v>1254347</v>
      </c>
      <c r="K59" s="483">
        <v>1008584</v>
      </c>
      <c r="L59" s="484">
        <v>0</v>
      </c>
      <c r="M59" s="483">
        <v>9046327</v>
      </c>
      <c r="N59" s="484">
        <v>0</v>
      </c>
      <c r="O59" s="483">
        <v>30588</v>
      </c>
      <c r="P59" s="484">
        <v>0</v>
      </c>
      <c r="Q59" s="483">
        <v>18063365</v>
      </c>
      <c r="R59" s="484">
        <v>6178511</v>
      </c>
      <c r="S59" s="483">
        <v>2478199</v>
      </c>
      <c r="T59" s="484">
        <v>319038</v>
      </c>
      <c r="U59" s="483">
        <v>27762556</v>
      </c>
      <c r="V59" s="484">
        <v>400997</v>
      </c>
      <c r="W59" s="483">
        <v>9351645</v>
      </c>
      <c r="X59" s="484">
        <v>0</v>
      </c>
      <c r="Y59" s="488">
        <f t="shared" si="17"/>
        <v>12869016</v>
      </c>
      <c r="Z59" s="362">
        <f t="shared" si="17"/>
        <v>319038</v>
      </c>
      <c r="AA59" s="147"/>
      <c r="AB59" s="147"/>
      <c r="AC59" s="482"/>
      <c r="AD59" s="414"/>
      <c r="AE59" s="130"/>
      <c r="AF59" s="130"/>
      <c r="AG59" s="130"/>
      <c r="AH59" s="130"/>
      <c r="AI59" s="130"/>
      <c r="AJ59" s="130"/>
    </row>
    <row r="60" spans="1:36" s="12" customFormat="1" ht="21.75" customHeight="1">
      <c r="A60" s="219">
        <v>27</v>
      </c>
      <c r="B60" s="222" t="s">
        <v>586</v>
      </c>
      <c r="C60" s="361">
        <f t="shared" si="16"/>
        <v>1196210086</v>
      </c>
      <c r="D60" s="362">
        <f t="shared" si="16"/>
        <v>100722792</v>
      </c>
      <c r="E60" s="483">
        <v>977568122</v>
      </c>
      <c r="F60" s="484">
        <v>50577271</v>
      </c>
      <c r="G60" s="483">
        <v>7340658</v>
      </c>
      <c r="H60" s="483">
        <v>31091</v>
      </c>
      <c r="I60" s="483">
        <v>170201816</v>
      </c>
      <c r="J60" s="484">
        <v>48943093</v>
      </c>
      <c r="K60" s="483">
        <v>1026781</v>
      </c>
      <c r="L60" s="484">
        <v>0</v>
      </c>
      <c r="M60" s="483">
        <v>15882025</v>
      </c>
      <c r="N60" s="484">
        <v>0</v>
      </c>
      <c r="O60" s="483">
        <v>143185</v>
      </c>
      <c r="P60" s="484">
        <v>0</v>
      </c>
      <c r="Q60" s="483">
        <v>20875879</v>
      </c>
      <c r="R60" s="484">
        <v>743672</v>
      </c>
      <c r="S60" s="483">
        <v>3849588</v>
      </c>
      <c r="T60" s="484">
        <v>213469</v>
      </c>
      <c r="U60" s="483">
        <v>11682244</v>
      </c>
      <c r="V60" s="484">
        <v>458756</v>
      </c>
      <c r="W60" s="483">
        <v>1199951</v>
      </c>
      <c r="X60" s="484">
        <v>166263</v>
      </c>
      <c r="Y60" s="488">
        <f t="shared" si="17"/>
        <v>6219505</v>
      </c>
      <c r="Z60" s="362">
        <f t="shared" si="17"/>
        <v>379732</v>
      </c>
      <c r="AA60" s="147"/>
      <c r="AB60" s="147"/>
      <c r="AC60" s="482"/>
      <c r="AD60" s="415"/>
      <c r="AE60" s="130"/>
      <c r="AF60" s="130"/>
      <c r="AG60" s="130"/>
      <c r="AH60" s="130"/>
      <c r="AI60" s="130"/>
      <c r="AJ60" s="130"/>
    </row>
    <row r="61" spans="1:36" s="12" customFormat="1" ht="21.75" customHeight="1">
      <c r="A61" s="219">
        <v>28</v>
      </c>
      <c r="B61" s="222" t="s">
        <v>587</v>
      </c>
      <c r="C61" s="361">
        <f t="shared" si="16"/>
        <v>1593465667</v>
      </c>
      <c r="D61" s="362">
        <f t="shared" si="16"/>
        <v>38512982</v>
      </c>
      <c r="E61" s="483">
        <v>1361577082</v>
      </c>
      <c r="F61" s="484">
        <v>29256717</v>
      </c>
      <c r="G61" s="483">
        <v>14736887</v>
      </c>
      <c r="H61" s="483">
        <v>244888</v>
      </c>
      <c r="I61" s="483">
        <v>192834920</v>
      </c>
      <c r="J61" s="484">
        <v>2169071</v>
      </c>
      <c r="K61" s="483">
        <v>2288280</v>
      </c>
      <c r="L61" s="484">
        <v>0</v>
      </c>
      <c r="M61" s="483">
        <v>10626320</v>
      </c>
      <c r="N61" s="484">
        <v>0</v>
      </c>
      <c r="O61" s="483">
        <v>45654</v>
      </c>
      <c r="P61" s="484">
        <v>0</v>
      </c>
      <c r="Q61" s="483">
        <v>14707474</v>
      </c>
      <c r="R61" s="484">
        <v>5930959</v>
      </c>
      <c r="S61" s="483">
        <v>4987458</v>
      </c>
      <c r="T61" s="484">
        <v>2965479</v>
      </c>
      <c r="U61" s="483">
        <v>13719871</v>
      </c>
      <c r="V61" s="484">
        <v>1156235</v>
      </c>
      <c r="W61" s="483">
        <v>3689899</v>
      </c>
      <c r="X61" s="484">
        <v>578118</v>
      </c>
      <c r="Y61" s="488">
        <f t="shared" si="17"/>
        <v>11011291</v>
      </c>
      <c r="Z61" s="362">
        <f t="shared" si="17"/>
        <v>3543597</v>
      </c>
      <c r="AA61" s="147"/>
      <c r="AB61" s="147"/>
      <c r="AC61" s="482"/>
      <c r="AD61" s="415"/>
      <c r="AE61" s="130"/>
      <c r="AF61" s="130"/>
      <c r="AG61" s="130"/>
      <c r="AH61" s="130"/>
      <c r="AI61" s="130"/>
      <c r="AJ61" s="130"/>
    </row>
    <row r="62" spans="1:36" s="12" customFormat="1" ht="21.75" customHeight="1">
      <c r="A62" s="219">
        <v>29</v>
      </c>
      <c r="B62" s="222" t="s">
        <v>588</v>
      </c>
      <c r="C62" s="361">
        <f t="shared" si="16"/>
        <v>920417795</v>
      </c>
      <c r="D62" s="362">
        <f t="shared" si="16"/>
        <v>6337075</v>
      </c>
      <c r="E62" s="483">
        <v>805776695</v>
      </c>
      <c r="F62" s="484">
        <v>5029063</v>
      </c>
      <c r="G62" s="483">
        <v>8187546</v>
      </c>
      <c r="H62" s="483">
        <v>63371</v>
      </c>
      <c r="I62" s="483">
        <v>85847969</v>
      </c>
      <c r="J62" s="484">
        <v>0</v>
      </c>
      <c r="K62" s="483">
        <v>391947</v>
      </c>
      <c r="L62" s="484">
        <v>0</v>
      </c>
      <c r="M62" s="483">
        <v>12321475</v>
      </c>
      <c r="N62" s="484">
        <v>0</v>
      </c>
      <c r="O62" s="483">
        <v>25801</v>
      </c>
      <c r="P62" s="484">
        <v>0</v>
      </c>
      <c r="Q62" s="483">
        <v>6517640</v>
      </c>
      <c r="R62" s="484">
        <v>0</v>
      </c>
      <c r="S62" s="483">
        <v>160481</v>
      </c>
      <c r="T62" s="484">
        <v>0</v>
      </c>
      <c r="U62" s="483">
        <v>9954016</v>
      </c>
      <c r="V62" s="484">
        <v>1308012</v>
      </c>
      <c r="W62" s="483">
        <v>2007312</v>
      </c>
      <c r="X62" s="484">
        <v>654006</v>
      </c>
      <c r="Y62" s="488">
        <f t="shared" si="17"/>
        <v>2585541</v>
      </c>
      <c r="Z62" s="362">
        <f t="shared" si="17"/>
        <v>654006</v>
      </c>
      <c r="AA62" s="147"/>
      <c r="AB62" s="147"/>
      <c r="AC62" s="482"/>
      <c r="AD62" s="415"/>
      <c r="AE62" s="130"/>
      <c r="AF62" s="130"/>
      <c r="AG62" s="130"/>
      <c r="AH62" s="130"/>
      <c r="AI62" s="130"/>
      <c r="AJ62" s="130"/>
    </row>
    <row r="63" spans="1:36" s="12" customFormat="1" ht="21.75" customHeight="1">
      <c r="A63" s="219">
        <v>30</v>
      </c>
      <c r="B63" s="222" t="s">
        <v>589</v>
      </c>
      <c r="C63" s="361">
        <f t="shared" si="16"/>
        <v>991829162</v>
      </c>
      <c r="D63" s="362">
        <f t="shared" si="16"/>
        <v>32749973</v>
      </c>
      <c r="E63" s="483">
        <v>828456027</v>
      </c>
      <c r="F63" s="484">
        <v>20776217</v>
      </c>
      <c r="G63" s="483">
        <v>8687179</v>
      </c>
      <c r="H63" s="483">
        <v>170947</v>
      </c>
      <c r="I63" s="483">
        <v>108566751</v>
      </c>
      <c r="J63" s="484">
        <v>3415544</v>
      </c>
      <c r="K63" s="483">
        <v>672160</v>
      </c>
      <c r="L63" s="484">
        <v>0</v>
      </c>
      <c r="M63" s="483">
        <v>7044824</v>
      </c>
      <c r="N63" s="484">
        <v>0</v>
      </c>
      <c r="O63" s="483">
        <v>41734</v>
      </c>
      <c r="P63" s="484">
        <v>0</v>
      </c>
      <c r="Q63" s="483">
        <v>26462749</v>
      </c>
      <c r="R63" s="484">
        <v>4014732</v>
      </c>
      <c r="S63" s="483">
        <v>3933001</v>
      </c>
      <c r="T63" s="484">
        <v>1111621</v>
      </c>
      <c r="U63" s="483">
        <v>21298811</v>
      </c>
      <c r="V63" s="484">
        <v>4543480</v>
      </c>
      <c r="W63" s="483">
        <v>5602228</v>
      </c>
      <c r="X63" s="484">
        <v>2271740</v>
      </c>
      <c r="Y63" s="488">
        <f t="shared" si="17"/>
        <v>10249123</v>
      </c>
      <c r="Z63" s="362">
        <f t="shared" si="17"/>
        <v>3383361</v>
      </c>
      <c r="AA63" s="147"/>
      <c r="AB63" s="147"/>
      <c r="AC63" s="482"/>
      <c r="AD63" s="415"/>
      <c r="AE63" s="130"/>
      <c r="AF63" s="130"/>
      <c r="AG63" s="130"/>
      <c r="AH63" s="130"/>
      <c r="AI63" s="130"/>
      <c r="AJ63" s="130"/>
    </row>
    <row r="64" spans="1:36" s="12" customFormat="1" ht="21.75" customHeight="1">
      <c r="A64" s="219">
        <v>31</v>
      </c>
      <c r="B64" s="222" t="s">
        <v>590</v>
      </c>
      <c r="C64" s="361">
        <f t="shared" si="16"/>
        <v>1715646350</v>
      </c>
      <c r="D64" s="362">
        <f t="shared" si="16"/>
        <v>49728406</v>
      </c>
      <c r="E64" s="483">
        <v>1549282393</v>
      </c>
      <c r="F64" s="484">
        <v>46381305</v>
      </c>
      <c r="G64" s="483">
        <v>9304323</v>
      </c>
      <c r="H64" s="483">
        <v>26789</v>
      </c>
      <c r="I64" s="483">
        <v>113410133</v>
      </c>
      <c r="J64" s="484">
        <v>2043780</v>
      </c>
      <c r="K64" s="483">
        <v>3250809</v>
      </c>
      <c r="L64" s="484">
        <v>0</v>
      </c>
      <c r="M64" s="483">
        <v>15144007</v>
      </c>
      <c r="N64" s="484">
        <v>1303321</v>
      </c>
      <c r="O64" s="483">
        <v>309473</v>
      </c>
      <c r="P64" s="484">
        <v>0</v>
      </c>
      <c r="Q64" s="483">
        <v>17891358</v>
      </c>
      <c r="R64" s="484">
        <v>0</v>
      </c>
      <c r="S64" s="483">
        <v>1699175</v>
      </c>
      <c r="T64" s="484">
        <v>0</v>
      </c>
      <c r="U64" s="483">
        <v>19918459</v>
      </c>
      <c r="V64" s="484">
        <v>0</v>
      </c>
      <c r="W64" s="483">
        <v>5781634</v>
      </c>
      <c r="X64" s="484">
        <v>0</v>
      </c>
      <c r="Y64" s="488">
        <f t="shared" si="17"/>
        <v>11041091</v>
      </c>
      <c r="Z64" s="362">
        <f t="shared" si="17"/>
        <v>0</v>
      </c>
      <c r="AA64" s="147"/>
      <c r="AB64" s="147"/>
      <c r="AC64" s="482"/>
      <c r="AD64" s="415"/>
      <c r="AE64" s="130"/>
      <c r="AF64" s="130"/>
      <c r="AG64" s="130"/>
      <c r="AH64" s="130"/>
      <c r="AI64" s="130"/>
      <c r="AJ64" s="130"/>
    </row>
    <row r="65" spans="1:36" s="12" customFormat="1" ht="21.75" customHeight="1">
      <c r="A65" s="219">
        <v>32</v>
      </c>
      <c r="B65" s="222" t="s">
        <v>591</v>
      </c>
      <c r="C65" s="361">
        <f t="shared" si="16"/>
        <v>1881526104</v>
      </c>
      <c r="D65" s="362">
        <f t="shared" si="16"/>
        <v>140086455</v>
      </c>
      <c r="E65" s="483">
        <v>1544786950</v>
      </c>
      <c r="F65" s="484">
        <v>112755901</v>
      </c>
      <c r="G65" s="483">
        <v>14015851</v>
      </c>
      <c r="H65" s="483">
        <v>111395</v>
      </c>
      <c r="I65" s="483">
        <v>225921276</v>
      </c>
      <c r="J65" s="484">
        <v>23898710</v>
      </c>
      <c r="K65" s="483">
        <v>777837</v>
      </c>
      <c r="L65" s="484">
        <v>0</v>
      </c>
      <c r="M65" s="483">
        <v>48844337</v>
      </c>
      <c r="N65" s="484">
        <v>0</v>
      </c>
      <c r="O65" s="483">
        <v>371212</v>
      </c>
      <c r="P65" s="484">
        <v>0</v>
      </c>
      <c r="Q65" s="483">
        <v>45237750</v>
      </c>
      <c r="R65" s="484">
        <v>3038407</v>
      </c>
      <c r="S65" s="483">
        <v>2425423</v>
      </c>
      <c r="T65" s="484">
        <v>1519204</v>
      </c>
      <c r="U65" s="483">
        <v>16735791</v>
      </c>
      <c r="V65" s="484">
        <v>393437</v>
      </c>
      <c r="W65" s="483">
        <v>1239118</v>
      </c>
      <c r="X65" s="484">
        <v>196719</v>
      </c>
      <c r="Y65" s="488">
        <f t="shared" si="17"/>
        <v>4813590</v>
      </c>
      <c r="Z65" s="362">
        <f t="shared" si="17"/>
        <v>1715923</v>
      </c>
      <c r="AA65" s="147"/>
      <c r="AB65" s="147"/>
      <c r="AC65" s="482"/>
      <c r="AD65" s="415"/>
      <c r="AE65" s="130"/>
      <c r="AF65" s="130"/>
      <c r="AG65" s="130"/>
      <c r="AH65" s="130"/>
      <c r="AI65" s="130"/>
      <c r="AJ65" s="130"/>
    </row>
    <row r="66" spans="1:36" s="12" customFormat="1" ht="21.75" customHeight="1">
      <c r="A66" s="219">
        <v>33</v>
      </c>
      <c r="B66" s="222" t="s">
        <v>592</v>
      </c>
      <c r="C66" s="361">
        <f t="shared" si="16"/>
        <v>936609564</v>
      </c>
      <c r="D66" s="362">
        <f t="shared" si="16"/>
        <v>367498899</v>
      </c>
      <c r="E66" s="483">
        <v>810105962</v>
      </c>
      <c r="F66" s="484">
        <v>355785471</v>
      </c>
      <c r="G66" s="483">
        <v>4467838</v>
      </c>
      <c r="H66" s="483">
        <v>121578</v>
      </c>
      <c r="I66" s="483">
        <v>66653271</v>
      </c>
      <c r="J66" s="484">
        <v>0</v>
      </c>
      <c r="K66" s="483">
        <v>239112</v>
      </c>
      <c r="L66" s="484">
        <v>0</v>
      </c>
      <c r="M66" s="483">
        <v>4295327</v>
      </c>
      <c r="N66" s="484">
        <v>0</v>
      </c>
      <c r="O66" s="483">
        <v>31256</v>
      </c>
      <c r="P66" s="484">
        <v>0</v>
      </c>
      <c r="Q66" s="483">
        <v>42399252</v>
      </c>
      <c r="R66" s="484">
        <v>11713428</v>
      </c>
      <c r="S66" s="483">
        <v>7607299</v>
      </c>
      <c r="T66" s="484">
        <v>2052488</v>
      </c>
      <c r="U66" s="483">
        <v>13155752</v>
      </c>
      <c r="V66" s="484">
        <v>0</v>
      </c>
      <c r="W66" s="483">
        <v>4734562</v>
      </c>
      <c r="X66" s="484">
        <v>0</v>
      </c>
      <c r="Y66" s="488">
        <f t="shared" si="17"/>
        <v>12612229</v>
      </c>
      <c r="Z66" s="362">
        <f t="shared" si="17"/>
        <v>2052488</v>
      </c>
      <c r="AA66" s="147"/>
      <c r="AB66" s="147"/>
      <c r="AC66" s="482"/>
      <c r="AD66" s="415"/>
      <c r="AE66" s="130"/>
      <c r="AF66" s="130"/>
      <c r="AG66" s="130"/>
      <c r="AH66" s="130"/>
      <c r="AI66" s="130"/>
      <c r="AJ66" s="130"/>
    </row>
    <row r="67" spans="1:36" s="12" customFormat="1" ht="21.75" customHeight="1">
      <c r="A67" s="219">
        <v>34</v>
      </c>
      <c r="B67" s="222" t="s">
        <v>593</v>
      </c>
      <c r="C67" s="361">
        <f>E67+I67+M67+Q67+U67</f>
        <v>3665580730</v>
      </c>
      <c r="D67" s="362">
        <f t="shared" si="16"/>
        <v>1759551082</v>
      </c>
      <c r="E67" s="483">
        <v>3378185545</v>
      </c>
      <c r="F67" s="484">
        <v>1624168273</v>
      </c>
      <c r="G67" s="483">
        <v>5129315</v>
      </c>
      <c r="H67" s="483">
        <v>177766</v>
      </c>
      <c r="I67" s="483">
        <v>238103884</v>
      </c>
      <c r="J67" s="484">
        <v>128709553</v>
      </c>
      <c r="K67" s="483">
        <v>8477705</v>
      </c>
      <c r="L67" s="484">
        <v>4608229</v>
      </c>
      <c r="M67" s="483">
        <v>13540956</v>
      </c>
      <c r="N67" s="484">
        <v>0</v>
      </c>
      <c r="O67" s="483">
        <v>443934</v>
      </c>
      <c r="P67" s="484">
        <v>0</v>
      </c>
      <c r="Q67" s="483">
        <v>18976897</v>
      </c>
      <c r="R67" s="484">
        <v>6673256</v>
      </c>
      <c r="S67" s="483">
        <v>790491</v>
      </c>
      <c r="T67" s="484">
        <v>542046</v>
      </c>
      <c r="U67" s="483">
        <v>16773448</v>
      </c>
      <c r="V67" s="484">
        <v>0</v>
      </c>
      <c r="W67" s="483">
        <v>1315232</v>
      </c>
      <c r="X67" s="484">
        <v>0</v>
      </c>
      <c r="Y67" s="488">
        <f>+W67+S67+O67+K67</f>
        <v>11027362</v>
      </c>
      <c r="Z67" s="362">
        <f>+X67+T67+P67+L67</f>
        <v>5150275</v>
      </c>
      <c r="AA67" s="147"/>
      <c r="AB67" s="147"/>
      <c r="AC67" s="482"/>
      <c r="AD67" s="415"/>
      <c r="AE67" s="130"/>
      <c r="AF67" s="130"/>
      <c r="AG67" s="130"/>
      <c r="AH67" s="130"/>
      <c r="AI67" s="130"/>
      <c r="AJ67" s="130"/>
    </row>
    <row r="68" spans="1:36" s="12" customFormat="1" ht="21.75" customHeight="1">
      <c r="A68" s="219">
        <v>35</v>
      </c>
      <c r="B68" s="222" t="s">
        <v>594</v>
      </c>
      <c r="C68" s="361">
        <f t="shared" si="16"/>
        <v>1247399087</v>
      </c>
      <c r="D68" s="362">
        <f t="shared" si="16"/>
        <v>355997035</v>
      </c>
      <c r="E68" s="483">
        <v>1103227003</v>
      </c>
      <c r="F68" s="484">
        <v>324471550</v>
      </c>
      <c r="G68" s="483">
        <v>7174425</v>
      </c>
      <c r="H68" s="483">
        <v>158679</v>
      </c>
      <c r="I68" s="483">
        <v>75505347</v>
      </c>
      <c r="J68" s="484">
        <v>21100355</v>
      </c>
      <c r="K68" s="483">
        <v>551527</v>
      </c>
      <c r="L68" s="484">
        <v>0</v>
      </c>
      <c r="M68" s="483">
        <v>17980630</v>
      </c>
      <c r="N68" s="484">
        <v>0</v>
      </c>
      <c r="O68" s="483">
        <v>139812</v>
      </c>
      <c r="P68" s="484">
        <v>0</v>
      </c>
      <c r="Q68" s="483">
        <v>20000573</v>
      </c>
      <c r="R68" s="484">
        <v>5621541</v>
      </c>
      <c r="S68" s="483">
        <v>2848728</v>
      </c>
      <c r="T68" s="484">
        <v>1688089</v>
      </c>
      <c r="U68" s="483">
        <v>30685534</v>
      </c>
      <c r="V68" s="484">
        <v>4803589</v>
      </c>
      <c r="W68" s="483">
        <v>3395227</v>
      </c>
      <c r="X68" s="484">
        <v>1082280</v>
      </c>
      <c r="Y68" s="488">
        <f t="shared" si="17"/>
        <v>6935294</v>
      </c>
      <c r="Z68" s="362">
        <f t="shared" si="17"/>
        <v>2770369</v>
      </c>
      <c r="AA68" s="147"/>
      <c r="AB68" s="147"/>
      <c r="AC68" s="482"/>
      <c r="AD68" s="415"/>
      <c r="AE68" s="130"/>
      <c r="AF68" s="130"/>
      <c r="AG68" s="130"/>
      <c r="AH68" s="130"/>
      <c r="AI68" s="130"/>
      <c r="AJ68" s="130"/>
    </row>
    <row r="69" spans="1:36" s="12" customFormat="1" ht="21.75" customHeight="1">
      <c r="A69" s="219">
        <v>36</v>
      </c>
      <c r="B69" s="222" t="s">
        <v>595</v>
      </c>
      <c r="C69" s="361">
        <f t="shared" si="16"/>
        <v>1245140170</v>
      </c>
      <c r="D69" s="362">
        <f t="shared" si="16"/>
        <v>351414604</v>
      </c>
      <c r="E69" s="483">
        <v>1061501270</v>
      </c>
      <c r="F69" s="484">
        <v>351404087</v>
      </c>
      <c r="G69" s="483">
        <v>8034542</v>
      </c>
      <c r="H69" s="483">
        <v>161033</v>
      </c>
      <c r="I69" s="483">
        <v>123644907</v>
      </c>
      <c r="J69" s="484">
        <v>0</v>
      </c>
      <c r="K69" s="483">
        <v>681644</v>
      </c>
      <c r="L69" s="484">
        <v>0</v>
      </c>
      <c r="M69" s="483">
        <v>21339861</v>
      </c>
      <c r="N69" s="484">
        <v>0</v>
      </c>
      <c r="O69" s="483">
        <v>204245</v>
      </c>
      <c r="P69" s="484">
        <v>0</v>
      </c>
      <c r="Q69" s="483">
        <v>19303338</v>
      </c>
      <c r="R69" s="484">
        <v>10517</v>
      </c>
      <c r="S69" s="483">
        <v>2441103</v>
      </c>
      <c r="T69" s="484">
        <v>0</v>
      </c>
      <c r="U69" s="483">
        <v>19350794</v>
      </c>
      <c r="V69" s="484">
        <v>0</v>
      </c>
      <c r="W69" s="483">
        <v>4574693</v>
      </c>
      <c r="X69" s="484">
        <v>0</v>
      </c>
      <c r="Y69" s="488">
        <f t="shared" si="17"/>
        <v>7901685</v>
      </c>
      <c r="Z69" s="362">
        <f t="shared" si="17"/>
        <v>0</v>
      </c>
      <c r="AA69" s="147"/>
      <c r="AB69" s="147"/>
      <c r="AC69" s="482"/>
      <c r="AD69" s="415"/>
      <c r="AE69" s="130"/>
      <c r="AF69" s="130"/>
      <c r="AG69" s="130"/>
      <c r="AH69" s="130"/>
      <c r="AI69" s="130"/>
      <c r="AJ69" s="130"/>
    </row>
    <row r="70" spans="1:36" s="12" customFormat="1" ht="21.75" customHeight="1">
      <c r="A70" s="219">
        <v>37</v>
      </c>
      <c r="B70" s="222" t="s">
        <v>596</v>
      </c>
      <c r="C70" s="361">
        <f t="shared" si="16"/>
        <v>1115554526</v>
      </c>
      <c r="D70" s="362">
        <f t="shared" si="16"/>
        <v>67106978</v>
      </c>
      <c r="E70" s="483">
        <v>974052170</v>
      </c>
      <c r="F70" s="484">
        <v>44973900</v>
      </c>
      <c r="G70" s="483">
        <v>9628837</v>
      </c>
      <c r="H70" s="483">
        <v>70551</v>
      </c>
      <c r="I70" s="483">
        <v>78069195</v>
      </c>
      <c r="J70" s="484">
        <v>11048640</v>
      </c>
      <c r="K70" s="483">
        <v>514210</v>
      </c>
      <c r="L70" s="484">
        <v>0</v>
      </c>
      <c r="M70" s="483">
        <v>21966757</v>
      </c>
      <c r="N70" s="484">
        <v>8658212</v>
      </c>
      <c r="O70" s="483">
        <v>286864</v>
      </c>
      <c r="P70" s="484">
        <v>0</v>
      </c>
      <c r="Q70" s="483">
        <v>31793171</v>
      </c>
      <c r="R70" s="484">
        <v>2426226</v>
      </c>
      <c r="S70" s="483">
        <v>5773471</v>
      </c>
      <c r="T70" s="484">
        <v>909905</v>
      </c>
      <c r="U70" s="483">
        <v>9673233</v>
      </c>
      <c r="V70" s="484">
        <v>0</v>
      </c>
      <c r="W70" s="483">
        <v>1723797</v>
      </c>
      <c r="X70" s="484">
        <v>0</v>
      </c>
      <c r="Y70" s="488">
        <f t="shared" si="17"/>
        <v>8298342</v>
      </c>
      <c r="Z70" s="362">
        <f t="shared" si="17"/>
        <v>909905</v>
      </c>
      <c r="AA70" s="147"/>
      <c r="AB70" s="147"/>
      <c r="AC70" s="482"/>
      <c r="AD70" s="415"/>
      <c r="AE70" s="130"/>
      <c r="AF70" s="130"/>
      <c r="AG70" s="130"/>
      <c r="AH70" s="130"/>
      <c r="AI70" s="130"/>
      <c r="AJ70" s="130"/>
    </row>
    <row r="71" spans="1:36" s="348" customFormat="1" ht="28.5" customHeight="1">
      <c r="A71" s="347">
        <v>38</v>
      </c>
      <c r="B71" s="347" t="s">
        <v>580</v>
      </c>
      <c r="C71" s="358">
        <f t="shared" ref="C71:AB71" si="18">SUM(C57:C70)</f>
        <v>20277891345</v>
      </c>
      <c r="D71" s="358">
        <f t="shared" si="18"/>
        <v>3737998947</v>
      </c>
      <c r="E71" s="358">
        <f t="shared" si="18"/>
        <v>17551658885</v>
      </c>
      <c r="F71" s="358">
        <f t="shared" si="18"/>
        <v>3307279618</v>
      </c>
      <c r="G71" s="358">
        <f t="shared" si="18"/>
        <v>123374035</v>
      </c>
      <c r="H71" s="358">
        <f t="shared" si="18"/>
        <v>1665374</v>
      </c>
      <c r="I71" s="358">
        <f t="shared" si="18"/>
        <v>1832228607</v>
      </c>
      <c r="J71" s="358">
        <f t="shared" si="18"/>
        <v>328023424</v>
      </c>
      <c r="K71" s="358">
        <f t="shared" si="18"/>
        <v>21612533</v>
      </c>
      <c r="L71" s="358">
        <f t="shared" si="18"/>
        <v>4608229</v>
      </c>
      <c r="M71" s="358">
        <f t="shared" si="18"/>
        <v>254152148</v>
      </c>
      <c r="N71" s="358">
        <f t="shared" si="18"/>
        <v>15974198</v>
      </c>
      <c r="O71" s="358">
        <f t="shared" si="18"/>
        <v>2666899</v>
      </c>
      <c r="P71" s="358">
        <f t="shared" si="18"/>
        <v>0</v>
      </c>
      <c r="Q71" s="358">
        <f t="shared" si="18"/>
        <v>373965402</v>
      </c>
      <c r="R71" s="358">
        <f t="shared" si="18"/>
        <v>73657201</v>
      </c>
      <c r="S71" s="358">
        <f t="shared" si="18"/>
        <v>47165627</v>
      </c>
      <c r="T71" s="358">
        <f t="shared" si="18"/>
        <v>14152805</v>
      </c>
      <c r="U71" s="358">
        <f t="shared" si="18"/>
        <v>265886303</v>
      </c>
      <c r="V71" s="358">
        <f t="shared" si="18"/>
        <v>13064506</v>
      </c>
      <c r="W71" s="358">
        <f t="shared" si="18"/>
        <v>56251553</v>
      </c>
      <c r="X71" s="358">
        <f t="shared" si="18"/>
        <v>4949126</v>
      </c>
      <c r="Y71" s="358">
        <f t="shared" si="18"/>
        <v>127696612</v>
      </c>
      <c r="Z71" s="358">
        <f t="shared" si="18"/>
        <v>23710160</v>
      </c>
      <c r="AA71" s="358">
        <f t="shared" si="18"/>
        <v>0</v>
      </c>
      <c r="AB71" s="358">
        <f t="shared" si="18"/>
        <v>0</v>
      </c>
      <c r="AC71" s="485">
        <f>+'Loans Receivable'!C85</f>
        <v>20277891345</v>
      </c>
      <c r="AD71" s="414">
        <f>+C71-AC71</f>
        <v>0</v>
      </c>
    </row>
    <row r="72" spans="1:36" s="12" customFormat="1" ht="21.75" customHeight="1">
      <c r="A72" s="219">
        <v>39</v>
      </c>
      <c r="B72" s="222" t="s">
        <v>597</v>
      </c>
      <c r="C72" s="361">
        <f t="shared" ref="C72" si="19">E72+I72+M72+Q72+U72</f>
        <v>10886550357</v>
      </c>
      <c r="D72" s="362">
        <f t="shared" si="16"/>
        <v>0</v>
      </c>
      <c r="E72" s="483">
        <v>9644268939</v>
      </c>
      <c r="F72" s="484"/>
      <c r="G72" s="483">
        <v>0</v>
      </c>
      <c r="H72" s="484"/>
      <c r="I72" s="483">
        <v>226153577</v>
      </c>
      <c r="J72" s="484"/>
      <c r="K72" s="483">
        <v>16503297</v>
      </c>
      <c r="L72" s="484"/>
      <c r="M72" s="483">
        <v>84482293</v>
      </c>
      <c r="N72" s="484"/>
      <c r="O72" s="483">
        <v>36801</v>
      </c>
      <c r="P72" s="484"/>
      <c r="Q72" s="483">
        <v>394787123</v>
      </c>
      <c r="R72" s="484"/>
      <c r="S72" s="483">
        <v>4392331</v>
      </c>
      <c r="T72" s="484"/>
      <c r="U72" s="483">
        <v>536858425</v>
      </c>
      <c r="V72" s="484"/>
      <c r="W72" s="483">
        <v>40277411</v>
      </c>
      <c r="X72" s="484"/>
      <c r="Y72" s="488">
        <f t="shared" ref="Y72:Z72" si="20">+W72+S72+O72+K72</f>
        <v>61209840</v>
      </c>
      <c r="Z72" s="362">
        <f t="shared" si="20"/>
        <v>0</v>
      </c>
      <c r="AA72" s="147"/>
      <c r="AB72" s="147"/>
      <c r="AC72" s="482"/>
      <c r="AD72" s="415"/>
      <c r="AE72" s="130"/>
      <c r="AF72" s="130"/>
      <c r="AG72" s="130"/>
      <c r="AH72" s="130"/>
      <c r="AI72" s="130"/>
      <c r="AJ72" s="130"/>
    </row>
    <row r="73" spans="1:36" s="12" customFormat="1" ht="21.75" customHeight="1">
      <c r="A73" s="219"/>
      <c r="B73" s="222" t="s">
        <v>572</v>
      </c>
      <c r="C73" s="361">
        <f t="shared" ref="C73" si="21">E73+I73+M73+Q73+U73</f>
        <v>0</v>
      </c>
      <c r="D73" s="362">
        <f t="shared" si="16"/>
        <v>0</v>
      </c>
      <c r="E73" s="483"/>
      <c r="F73" s="484"/>
      <c r="G73" s="483"/>
      <c r="H73" s="484"/>
      <c r="I73" s="483"/>
      <c r="J73" s="484"/>
      <c r="K73" s="483"/>
      <c r="L73" s="484"/>
      <c r="M73" s="483"/>
      <c r="N73" s="484"/>
      <c r="O73" s="483"/>
      <c r="P73" s="484"/>
      <c r="Q73" s="483"/>
      <c r="R73" s="484"/>
      <c r="S73" s="483"/>
      <c r="T73" s="484"/>
      <c r="U73" s="483"/>
      <c r="V73" s="484"/>
      <c r="W73" s="483"/>
      <c r="X73" s="484"/>
      <c r="Y73" s="488">
        <f t="shared" ref="Y73" si="22">+W73+S73+O73+K73</f>
        <v>0</v>
      </c>
      <c r="Z73" s="362">
        <f t="shared" ref="Z73" si="23">+X73+T73+P73+L73</f>
        <v>0</v>
      </c>
      <c r="AA73" s="147"/>
      <c r="AB73" s="147"/>
      <c r="AC73" s="482"/>
      <c r="AD73" s="415"/>
      <c r="AE73" s="130"/>
      <c r="AF73" s="130"/>
      <c r="AG73" s="130"/>
      <c r="AH73" s="130"/>
      <c r="AI73" s="130"/>
      <c r="AJ73" s="130"/>
    </row>
    <row r="74" spans="1:36" s="348" customFormat="1" ht="28.5" customHeight="1">
      <c r="A74" s="347">
        <v>40</v>
      </c>
      <c r="B74" s="347" t="s">
        <v>598</v>
      </c>
      <c r="C74" s="358">
        <f t="shared" ref="C74:AB74" si="24">+C53+C72</f>
        <v>31164441702</v>
      </c>
      <c r="D74" s="358">
        <f t="shared" si="24"/>
        <v>3737998947</v>
      </c>
      <c r="E74" s="358">
        <f t="shared" si="24"/>
        <v>27195927824</v>
      </c>
      <c r="F74" s="358">
        <f t="shared" si="24"/>
        <v>3307279618</v>
      </c>
      <c r="G74" s="358">
        <f>+G53+G72</f>
        <v>123374035</v>
      </c>
      <c r="H74" s="358">
        <f>+H53+H72</f>
        <v>1665374</v>
      </c>
      <c r="I74" s="358">
        <f t="shared" si="24"/>
        <v>2058382184</v>
      </c>
      <c r="J74" s="358">
        <f t="shared" si="24"/>
        <v>328023424</v>
      </c>
      <c r="K74" s="358">
        <f t="shared" si="24"/>
        <v>38115830</v>
      </c>
      <c r="L74" s="358">
        <f t="shared" si="24"/>
        <v>4608229</v>
      </c>
      <c r="M74" s="358">
        <f t="shared" si="24"/>
        <v>338634441</v>
      </c>
      <c r="N74" s="358">
        <f t="shared" si="24"/>
        <v>15974198</v>
      </c>
      <c r="O74" s="358">
        <f t="shared" si="24"/>
        <v>2703700</v>
      </c>
      <c r="P74" s="358">
        <f t="shared" si="24"/>
        <v>0</v>
      </c>
      <c r="Q74" s="358">
        <f t="shared" si="24"/>
        <v>768752525</v>
      </c>
      <c r="R74" s="358">
        <f t="shared" si="24"/>
        <v>73657201</v>
      </c>
      <c r="S74" s="358">
        <f t="shared" si="24"/>
        <v>51557958</v>
      </c>
      <c r="T74" s="358">
        <f t="shared" si="24"/>
        <v>14152805</v>
      </c>
      <c r="U74" s="358">
        <f t="shared" si="24"/>
        <v>802744728</v>
      </c>
      <c r="V74" s="358">
        <f t="shared" si="24"/>
        <v>13064506</v>
      </c>
      <c r="W74" s="358">
        <f t="shared" si="24"/>
        <v>96528964</v>
      </c>
      <c r="X74" s="358">
        <f t="shared" si="24"/>
        <v>4949126</v>
      </c>
      <c r="Y74" s="358">
        <f t="shared" si="24"/>
        <v>188906452</v>
      </c>
      <c r="Z74" s="358">
        <f t="shared" si="24"/>
        <v>23710160</v>
      </c>
      <c r="AA74" s="358">
        <f t="shared" si="24"/>
        <v>0</v>
      </c>
      <c r="AB74" s="358">
        <f t="shared" si="24"/>
        <v>0</v>
      </c>
      <c r="AC74" s="485"/>
      <c r="AD74" s="414"/>
    </row>
    <row r="75" spans="1:36" ht="18">
      <c r="C75" s="374"/>
      <c r="D75" s="374"/>
      <c r="E75" s="374"/>
      <c r="F75" s="374"/>
      <c r="G75" s="374"/>
      <c r="H75" s="374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  <c r="AA75" s="374"/>
      <c r="AB75" s="374"/>
      <c r="AC75" s="447"/>
      <c r="AD75" s="416"/>
    </row>
    <row r="76" spans="1:36" ht="15" customHeight="1">
      <c r="B76" s="98" t="s">
        <v>690</v>
      </c>
      <c r="C76" s="374"/>
      <c r="D76" s="374"/>
      <c r="E76" s="374"/>
      <c r="F76" s="447"/>
      <c r="G76" s="447"/>
      <c r="H76" s="447"/>
      <c r="I76" s="447"/>
      <c r="J76" s="447"/>
      <c r="K76" s="447"/>
      <c r="L76" s="447"/>
      <c r="M76" s="447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  <c r="AA76" s="374"/>
      <c r="AB76" s="374"/>
      <c r="AC76" s="374"/>
      <c r="AD76" s="417"/>
      <c r="AE76" s="24"/>
      <c r="AF76" s="24"/>
      <c r="AG76" s="24"/>
      <c r="AH76" s="24"/>
      <c r="AI76" s="24"/>
      <c r="AJ76" s="24"/>
    </row>
    <row r="77" spans="1:36" ht="11.25" customHeight="1">
      <c r="B77" s="98"/>
      <c r="C77" s="374"/>
      <c r="D77" s="374"/>
      <c r="E77" s="374"/>
      <c r="F77" s="447"/>
      <c r="G77" s="447"/>
      <c r="H77" s="447"/>
      <c r="I77" s="447"/>
      <c r="J77" s="447"/>
      <c r="K77" s="447"/>
      <c r="L77" s="447"/>
      <c r="M77" s="447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417"/>
      <c r="AE77" s="24"/>
      <c r="AF77" s="24"/>
      <c r="AG77" s="24"/>
      <c r="AH77" s="24"/>
      <c r="AI77" s="24"/>
      <c r="AJ77" s="24"/>
    </row>
    <row r="78" spans="1:36" ht="15" customHeight="1">
      <c r="B78" s="98" t="s">
        <v>691</v>
      </c>
      <c r="C78" s="374"/>
      <c r="D78" s="374"/>
      <c r="E78" s="374"/>
      <c r="F78" s="447"/>
      <c r="G78" s="447"/>
      <c r="H78" s="447"/>
      <c r="I78" s="447"/>
      <c r="J78" s="447"/>
      <c r="K78" s="447"/>
      <c r="L78" s="447"/>
      <c r="M78" s="447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417"/>
      <c r="AE78" s="24"/>
      <c r="AF78" s="24"/>
      <c r="AG78" s="24"/>
      <c r="AH78" s="24"/>
      <c r="AI78" s="24"/>
      <c r="AJ78" s="24"/>
    </row>
    <row r="79" spans="1:36" ht="18">
      <c r="B79" s="98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447"/>
      <c r="AD79" s="416"/>
    </row>
    <row r="80" spans="1:36" ht="18">
      <c r="C80" s="374"/>
      <c r="D80" s="374"/>
      <c r="E80" s="374">
        <f>SUM('Asset quality'!D20:D46)+'Asset quality'!D16</f>
        <v>17551658885</v>
      </c>
      <c r="F80" s="374"/>
      <c r="G80" s="374">
        <f>SUM('Asset quality'!P20:P46)+'Asset quality'!P16</f>
        <v>123374035</v>
      </c>
      <c r="H80" s="374"/>
      <c r="I80" s="374">
        <f>SUM('Asset quality'!E20:E46)+'Asset quality'!E16</f>
        <v>1832228607</v>
      </c>
      <c r="J80" s="374"/>
      <c r="K80" s="374">
        <f>SUM('Asset quality'!Q20:Q46)+'Asset quality'!Q16</f>
        <v>21612533</v>
      </c>
      <c r="L80" s="374"/>
      <c r="M80" s="374">
        <f>SUM('Asset quality'!F20:F46)+'Asset quality'!F16</f>
        <v>254152148</v>
      </c>
      <c r="N80" s="374"/>
      <c r="O80" s="374">
        <f>SUM('Asset quality'!R20:R46)+'Asset quality'!R16</f>
        <v>2666899</v>
      </c>
      <c r="P80" s="374"/>
      <c r="Q80" s="374">
        <f>SUM('Asset quality'!G20:G46)+'Asset quality'!G16</f>
        <v>373965402</v>
      </c>
      <c r="R80" s="374"/>
      <c r="S80" s="374">
        <f>SUM('Asset quality'!S20:S46)+'Asset quality'!S16</f>
        <v>47165627</v>
      </c>
      <c r="T80" s="374"/>
      <c r="U80" s="374">
        <f>SUM('Asset quality'!H20:H46)+'Asset quality'!H16</f>
        <v>265886303</v>
      </c>
      <c r="V80" s="374"/>
      <c r="W80" s="374">
        <f>SUM('Asset quality'!T20:T46)+'Asset quality'!T16</f>
        <v>56251553</v>
      </c>
      <c r="X80" s="374"/>
      <c r="Y80" s="374">
        <f>+W80+S80+O80+K80</f>
        <v>127696612</v>
      </c>
      <c r="Z80" s="374"/>
      <c r="AA80" s="374"/>
      <c r="AB80" s="374"/>
      <c r="AC80" s="447"/>
      <c r="AD80" s="416"/>
    </row>
    <row r="81" spans="3:36" ht="18">
      <c r="C81" s="374"/>
      <c r="D81" s="374"/>
      <c r="E81" s="374"/>
      <c r="F81" s="374"/>
      <c r="G81" s="374">
        <f>+'Asset quality'!P9+'Asset quality'!P62</f>
        <v>123374035</v>
      </c>
      <c r="H81" s="374"/>
      <c r="I81" s="374"/>
      <c r="J81" s="374"/>
      <c r="K81" s="374">
        <f>+'Asset quality'!Q9+'Asset quality'!Q62</f>
        <v>38115830</v>
      </c>
      <c r="L81" s="374"/>
      <c r="M81" s="374"/>
      <c r="N81" s="374"/>
      <c r="O81" s="374">
        <f>+'Asset quality'!R9+'Asset quality'!R62</f>
        <v>2703700</v>
      </c>
      <c r="P81" s="374"/>
      <c r="Q81" s="374"/>
      <c r="R81" s="374"/>
      <c r="S81" s="374">
        <f>+'Asset quality'!S9+'Asset quality'!S62</f>
        <v>51557958</v>
      </c>
      <c r="T81" s="374"/>
      <c r="U81" s="374"/>
      <c r="V81" s="374"/>
      <c r="W81" s="374">
        <f>+'Asset quality'!T9+'Asset quality'!T62</f>
        <v>96528964</v>
      </c>
      <c r="X81" s="374"/>
      <c r="Y81" s="374">
        <f>+W81+S81+O81+K81</f>
        <v>188906452</v>
      </c>
      <c r="Z81" s="374"/>
      <c r="AA81" s="374"/>
      <c r="AB81" s="374"/>
      <c r="AC81" s="447"/>
      <c r="AD81" s="416"/>
    </row>
    <row r="82" spans="3:36">
      <c r="E82" s="224">
        <f>+E80-E53</f>
        <v>0</v>
      </c>
      <c r="F82" s="224"/>
      <c r="G82" s="224">
        <f>+G80-G53</f>
        <v>0</v>
      </c>
      <c r="I82" s="224">
        <f>+I80-I53</f>
        <v>0</v>
      </c>
      <c r="K82" s="224">
        <f>+K80-K53</f>
        <v>0</v>
      </c>
      <c r="M82" s="224">
        <f>+M80-M53</f>
        <v>0</v>
      </c>
      <c r="O82" s="224">
        <f>+O80-O53</f>
        <v>0</v>
      </c>
      <c r="Q82" s="224">
        <f>+Q80-Q53</f>
        <v>0</v>
      </c>
      <c r="S82" s="224">
        <f>+S80-S53</f>
        <v>0</v>
      </c>
      <c r="U82" s="224">
        <f>+U80-U53</f>
        <v>0</v>
      </c>
      <c r="W82" s="224">
        <f>+W80-W53</f>
        <v>0</v>
      </c>
      <c r="Y82" s="224">
        <f>+Y80-Y53</f>
        <v>0</v>
      </c>
    </row>
    <row r="83" spans="3:36">
      <c r="E83" s="225"/>
      <c r="F83" s="224"/>
      <c r="G83" s="344">
        <f>+G81-G74</f>
        <v>0</v>
      </c>
      <c r="I83" s="224"/>
      <c r="K83" s="224">
        <f>+K81-K74</f>
        <v>0</v>
      </c>
      <c r="M83" s="224"/>
      <c r="O83" s="224">
        <f>+O81-O74</f>
        <v>0</v>
      </c>
      <c r="Q83" s="224"/>
      <c r="S83" s="224">
        <f>+S81-S74</f>
        <v>0</v>
      </c>
      <c r="U83" s="224"/>
      <c r="W83" s="224">
        <f>+W81-W74</f>
        <v>0</v>
      </c>
      <c r="Y83" s="224">
        <f>+Y81-Y74</f>
        <v>0</v>
      </c>
    </row>
    <row r="84" spans="3:36">
      <c r="AC84" s="24"/>
      <c r="AD84" s="24"/>
      <c r="AE84" s="24"/>
      <c r="AF84" s="24"/>
      <c r="AG84" s="24"/>
      <c r="AH84" s="24"/>
      <c r="AI84" s="24"/>
      <c r="AJ84" s="24"/>
    </row>
    <row r="87" spans="3:36" ht="79.5" customHeight="1"/>
  </sheetData>
  <sheetProtection password="CACA" sheet="1" objects="1" scenarios="1"/>
  <mergeCells count="1">
    <mergeCell ref="U3:V3"/>
  </mergeCells>
  <phoneticPr fontId="14" type="noConversion"/>
  <conditionalFormatting sqref="C7">
    <cfRule type="cellIs" dxfId="237" priority="40" operator="notEqual">
      <formula>AC7</formula>
    </cfRule>
  </conditionalFormatting>
  <conditionalFormatting sqref="C9">
    <cfRule type="cellIs" dxfId="236" priority="38" operator="notEqual">
      <formula>AC9</formula>
    </cfRule>
  </conditionalFormatting>
  <conditionalFormatting sqref="C11">
    <cfRule type="cellIs" dxfId="235" priority="36" operator="notEqual">
      <formula>AC11</formula>
    </cfRule>
  </conditionalFormatting>
  <conditionalFormatting sqref="C13">
    <cfRule type="cellIs" dxfId="234" priority="34" operator="notEqual">
      <formula>AC13</formula>
    </cfRule>
  </conditionalFormatting>
  <conditionalFormatting sqref="C15">
    <cfRule type="cellIs" dxfId="233" priority="32" operator="notEqual">
      <formula>AC15</formula>
    </cfRule>
  </conditionalFormatting>
  <conditionalFormatting sqref="C17">
    <cfRule type="cellIs" dxfId="232" priority="30" operator="notEqual">
      <formula>AC17</formula>
    </cfRule>
  </conditionalFormatting>
  <conditionalFormatting sqref="C19">
    <cfRule type="cellIs" dxfId="231" priority="28" operator="notEqual">
      <formula>AC19</formula>
    </cfRule>
  </conditionalFormatting>
  <conditionalFormatting sqref="C21">
    <cfRule type="cellIs" dxfId="230" priority="26" operator="notEqual">
      <formula>AC21</formula>
    </cfRule>
  </conditionalFormatting>
  <conditionalFormatting sqref="C23">
    <cfRule type="cellIs" dxfId="229" priority="24" operator="notEqual">
      <formula>AC23</formula>
    </cfRule>
  </conditionalFormatting>
  <conditionalFormatting sqref="C25">
    <cfRule type="cellIs" dxfId="228" priority="22" operator="notEqual">
      <formula>AC25</formula>
    </cfRule>
  </conditionalFormatting>
  <conditionalFormatting sqref="C27">
    <cfRule type="cellIs" dxfId="227" priority="20" operator="notEqual">
      <formula>AC27</formula>
    </cfRule>
  </conditionalFormatting>
  <conditionalFormatting sqref="C29">
    <cfRule type="cellIs" dxfId="226" priority="18" operator="notEqual">
      <formula>AC29</formula>
    </cfRule>
  </conditionalFormatting>
  <conditionalFormatting sqref="C31">
    <cfRule type="cellIs" dxfId="225" priority="43" operator="notEqual">
      <formula>AC31</formula>
    </cfRule>
  </conditionalFormatting>
  <conditionalFormatting sqref="C35">
    <cfRule type="cellIs" dxfId="224" priority="16" operator="notEqual">
      <formula>AC35</formula>
    </cfRule>
  </conditionalFormatting>
  <conditionalFormatting sqref="C37 C39 C41 C43 C45 C47 C49 C51">
    <cfRule type="cellIs" dxfId="223" priority="14" operator="notEqual">
      <formula>AC37</formula>
    </cfRule>
  </conditionalFormatting>
  <conditionalFormatting sqref="C53">
    <cfRule type="cellIs" dxfId="222" priority="42" operator="notEqual">
      <formula>AC53</formula>
    </cfRule>
  </conditionalFormatting>
  <conditionalFormatting sqref="C71">
    <cfRule type="cellIs" dxfId="221" priority="41" operator="notEqual">
      <formula>AC71</formula>
    </cfRule>
  </conditionalFormatting>
  <conditionalFormatting sqref="D31">
    <cfRule type="cellIs" dxfId="220" priority="218" operator="notEqual">
      <formula>$D$53</formula>
    </cfRule>
  </conditionalFormatting>
  <conditionalFormatting sqref="D32">
    <cfRule type="cellIs" dxfId="219" priority="191" operator="notEqual">
      <formula>$D$54</formula>
    </cfRule>
  </conditionalFormatting>
  <conditionalFormatting sqref="D53">
    <cfRule type="cellIs" dxfId="218" priority="622" operator="notEqual">
      <formula>$D$71</formula>
    </cfRule>
  </conditionalFormatting>
  <conditionalFormatting sqref="E31">
    <cfRule type="cellIs" dxfId="217" priority="217" operator="notEqual">
      <formula>$E$53</formula>
    </cfRule>
  </conditionalFormatting>
  <conditionalFormatting sqref="E32">
    <cfRule type="cellIs" dxfId="216" priority="163" operator="notEqual">
      <formula>$E$54</formula>
    </cfRule>
  </conditionalFormatting>
  <conditionalFormatting sqref="E51">
    <cfRule type="cellIs" dxfId="215" priority="13" operator="notEqual">
      <formula>E13</formula>
    </cfRule>
  </conditionalFormatting>
  <conditionalFormatting sqref="E53">
    <cfRule type="cellIs" dxfId="214" priority="618" operator="notEqual">
      <formula>$E$71</formula>
    </cfRule>
  </conditionalFormatting>
  <conditionalFormatting sqref="E71">
    <cfRule type="cellIs" dxfId="213" priority="112" operator="notEqual">
      <formula>$E$31</formula>
    </cfRule>
    <cfRule type="cellIs" dxfId="212" priority="75" operator="notEqual">
      <formula>$E$80</formula>
    </cfRule>
  </conditionalFormatting>
  <conditionalFormatting sqref="F31">
    <cfRule type="cellIs" dxfId="211" priority="216" operator="notEqual">
      <formula>$F$53</formula>
    </cfRule>
  </conditionalFormatting>
  <conditionalFormatting sqref="F32">
    <cfRule type="cellIs" dxfId="210" priority="162" operator="notEqual">
      <formula>$F$54</formula>
    </cfRule>
  </conditionalFormatting>
  <conditionalFormatting sqref="F53">
    <cfRule type="cellIs" dxfId="209" priority="623" operator="notEqual">
      <formula>$F$71</formula>
    </cfRule>
  </conditionalFormatting>
  <conditionalFormatting sqref="G31">
    <cfRule type="cellIs" dxfId="208" priority="215" operator="notEqual">
      <formula>$G$53</formula>
    </cfRule>
  </conditionalFormatting>
  <conditionalFormatting sqref="G32">
    <cfRule type="cellIs" dxfId="207" priority="161" operator="notEqual">
      <formula>$G$54</formula>
    </cfRule>
  </conditionalFormatting>
  <conditionalFormatting sqref="G53">
    <cfRule type="cellIs" dxfId="206" priority="612" operator="notEqual">
      <formula>$G$71</formula>
    </cfRule>
  </conditionalFormatting>
  <conditionalFormatting sqref="G71">
    <cfRule type="cellIs" dxfId="205" priority="85" operator="notEqual">
      <formula>$G$80</formula>
    </cfRule>
    <cfRule type="cellIs" dxfId="204" priority="118" operator="notEqual">
      <formula>$G$31</formula>
    </cfRule>
  </conditionalFormatting>
  <conditionalFormatting sqref="G74">
    <cfRule type="cellIs" dxfId="203" priority="156" operator="notEqual">
      <formula>$G$81</formula>
    </cfRule>
    <cfRule type="cellIs" dxfId="202" priority="91" operator="notEqual">
      <formula>$G$81</formula>
    </cfRule>
  </conditionalFormatting>
  <conditionalFormatting sqref="H31">
    <cfRule type="cellIs" dxfId="201" priority="214" operator="notEqual">
      <formula>$H$53</formula>
    </cfRule>
  </conditionalFormatting>
  <conditionalFormatting sqref="H32">
    <cfRule type="cellIs" dxfId="200" priority="159" operator="notEqual">
      <formula>$H$50</formula>
    </cfRule>
  </conditionalFormatting>
  <conditionalFormatting sqref="H53">
    <cfRule type="cellIs" dxfId="199" priority="107" operator="notEqual">
      <formula>H71</formula>
    </cfRule>
  </conditionalFormatting>
  <conditionalFormatting sqref="I31">
    <cfRule type="cellIs" dxfId="198" priority="213" operator="notEqual">
      <formula>$I$53</formula>
    </cfRule>
  </conditionalFormatting>
  <conditionalFormatting sqref="I32">
    <cfRule type="cellIs" dxfId="197" priority="181" operator="notEqual">
      <formula>$I$54</formula>
    </cfRule>
  </conditionalFormatting>
  <conditionalFormatting sqref="I51">
    <cfRule type="cellIs" dxfId="196" priority="11" operator="notEqual">
      <formula>I13</formula>
    </cfRule>
  </conditionalFormatting>
  <conditionalFormatting sqref="I53">
    <cfRule type="cellIs" dxfId="195" priority="624" operator="notEqual">
      <formula>$I$71</formula>
    </cfRule>
  </conditionalFormatting>
  <conditionalFormatting sqref="I71">
    <cfRule type="cellIs" dxfId="194" priority="84" operator="notEqual">
      <formula>$I$80</formula>
    </cfRule>
  </conditionalFormatting>
  <conditionalFormatting sqref="J31">
    <cfRule type="cellIs" dxfId="193" priority="211" operator="notEqual">
      <formula>$J$53</formula>
    </cfRule>
  </conditionalFormatting>
  <conditionalFormatting sqref="J32">
    <cfRule type="cellIs" dxfId="192" priority="180" operator="notEqual">
      <formula>$J$54</formula>
    </cfRule>
  </conditionalFormatting>
  <conditionalFormatting sqref="J53">
    <cfRule type="cellIs" dxfId="191" priority="625" operator="notEqual">
      <formula>$J$71</formula>
    </cfRule>
  </conditionalFormatting>
  <conditionalFormatting sqref="J71">
    <cfRule type="cellIs" dxfId="190" priority="106" operator="notEqual">
      <formula>$J$31</formula>
    </cfRule>
  </conditionalFormatting>
  <conditionalFormatting sqref="K31">
    <cfRule type="cellIs" dxfId="189" priority="210" operator="notEqual">
      <formula>$K$53</formula>
    </cfRule>
  </conditionalFormatting>
  <conditionalFormatting sqref="K32">
    <cfRule type="cellIs" dxfId="188" priority="179" operator="notEqual">
      <formula>$K$54</formula>
    </cfRule>
  </conditionalFormatting>
  <conditionalFormatting sqref="K51">
    <cfRule type="cellIs" dxfId="187" priority="10" operator="notEqual">
      <formula>K13</formula>
    </cfRule>
  </conditionalFormatting>
  <conditionalFormatting sqref="K53">
    <cfRule type="cellIs" dxfId="186" priority="613" operator="notEqual">
      <formula>$K$71</formula>
    </cfRule>
  </conditionalFormatting>
  <conditionalFormatting sqref="K71">
    <cfRule type="cellIs" dxfId="185" priority="83" operator="notEqual">
      <formula>$K$80</formula>
    </cfRule>
    <cfRule type="cellIs" dxfId="184" priority="117" operator="notEqual">
      <formula>$K$31</formula>
    </cfRule>
  </conditionalFormatting>
  <conditionalFormatting sqref="K74">
    <cfRule type="cellIs" dxfId="183" priority="154" operator="notEqual">
      <formula>$K$81</formula>
    </cfRule>
    <cfRule type="cellIs" dxfId="182" priority="90" operator="notEqual">
      <formula>$K$81</formula>
    </cfRule>
  </conditionalFormatting>
  <conditionalFormatting sqref="L31">
    <cfRule type="cellIs" dxfId="181" priority="209" operator="notEqual">
      <formula>$L$53</formula>
    </cfRule>
  </conditionalFormatting>
  <conditionalFormatting sqref="L32">
    <cfRule type="cellIs" dxfId="180" priority="178" operator="notEqual">
      <formula>$L$54</formula>
    </cfRule>
  </conditionalFormatting>
  <conditionalFormatting sqref="L53">
    <cfRule type="cellIs" dxfId="179" priority="626" operator="notEqual">
      <formula>$L$71</formula>
    </cfRule>
  </conditionalFormatting>
  <conditionalFormatting sqref="M31">
    <cfRule type="cellIs" dxfId="178" priority="207" operator="notEqual">
      <formula>$M$53</formula>
    </cfRule>
  </conditionalFormatting>
  <conditionalFormatting sqref="M32">
    <cfRule type="cellIs" dxfId="177" priority="177" operator="notEqual">
      <formula>$M$54</formula>
    </cfRule>
  </conditionalFormatting>
  <conditionalFormatting sqref="M51">
    <cfRule type="cellIs" dxfId="176" priority="9" operator="notEqual">
      <formula>M13</formula>
    </cfRule>
  </conditionalFormatting>
  <conditionalFormatting sqref="M53">
    <cfRule type="cellIs" dxfId="175" priority="619" operator="notEqual">
      <formula>$M$71</formula>
    </cfRule>
  </conditionalFormatting>
  <conditionalFormatting sqref="M71">
    <cfRule type="cellIs" dxfId="174" priority="82" operator="notEqual">
      <formula>$M$80</formula>
    </cfRule>
    <cfRule type="cellIs" dxfId="173" priority="110" operator="notEqual">
      <formula>$M$31</formula>
    </cfRule>
  </conditionalFormatting>
  <conditionalFormatting sqref="N31">
    <cfRule type="cellIs" dxfId="172" priority="206" operator="notEqual">
      <formula>$N$53</formula>
    </cfRule>
  </conditionalFormatting>
  <conditionalFormatting sqref="N32">
    <cfRule type="cellIs" dxfId="171" priority="176" operator="notEqual">
      <formula>$N$54</formula>
    </cfRule>
  </conditionalFormatting>
  <conditionalFormatting sqref="N53">
    <cfRule type="cellIs" dxfId="170" priority="627" operator="notEqual">
      <formula>$N$71</formula>
    </cfRule>
  </conditionalFormatting>
  <conditionalFormatting sqref="O31">
    <cfRule type="cellIs" dxfId="169" priority="205" operator="notEqual">
      <formula>$O$53</formula>
    </cfRule>
  </conditionalFormatting>
  <conditionalFormatting sqref="O32">
    <cfRule type="cellIs" dxfId="168" priority="175" operator="notEqual">
      <formula>$O$54</formula>
    </cfRule>
  </conditionalFormatting>
  <conditionalFormatting sqref="O51">
    <cfRule type="cellIs" dxfId="167" priority="8" operator="notEqual">
      <formula>O13</formula>
    </cfRule>
  </conditionalFormatting>
  <conditionalFormatting sqref="O53">
    <cfRule type="cellIs" dxfId="166" priority="617" operator="notEqual">
      <formula>$O$71</formula>
    </cfRule>
  </conditionalFormatting>
  <conditionalFormatting sqref="O71">
    <cfRule type="cellIs" dxfId="165" priority="81" operator="notEqual">
      <formula>$O$80</formula>
    </cfRule>
    <cfRule type="cellIs" dxfId="164" priority="113" operator="notEqual">
      <formula>$O$31</formula>
    </cfRule>
  </conditionalFormatting>
  <conditionalFormatting sqref="O74">
    <cfRule type="cellIs" dxfId="163" priority="143" operator="notEqual">
      <formula>$O$81</formula>
    </cfRule>
    <cfRule type="cellIs" dxfId="162" priority="89" operator="notEqual">
      <formula>$O$81</formula>
    </cfRule>
  </conditionalFormatting>
  <conditionalFormatting sqref="P31">
    <cfRule type="cellIs" dxfId="161" priority="204" operator="notEqual">
      <formula>$P$53</formula>
    </cfRule>
  </conditionalFormatting>
  <conditionalFormatting sqref="P32">
    <cfRule type="cellIs" dxfId="160" priority="174" operator="notEqual">
      <formula>$P$54</formula>
    </cfRule>
  </conditionalFormatting>
  <conditionalFormatting sqref="P53">
    <cfRule type="cellIs" dxfId="159" priority="628" operator="notEqual">
      <formula>$P$71</formula>
    </cfRule>
  </conditionalFormatting>
  <conditionalFormatting sqref="Q31">
    <cfRule type="cellIs" dxfId="158" priority="202" operator="notEqual">
      <formula>$Q$53</formula>
    </cfRule>
  </conditionalFormatting>
  <conditionalFormatting sqref="Q32">
    <cfRule type="cellIs" dxfId="157" priority="173" operator="notEqual">
      <formula>$Q$54</formula>
    </cfRule>
  </conditionalFormatting>
  <conditionalFormatting sqref="Q51">
    <cfRule type="cellIs" dxfId="156" priority="7" operator="notEqual">
      <formula>Q13</formula>
    </cfRule>
  </conditionalFormatting>
  <conditionalFormatting sqref="Q53">
    <cfRule type="cellIs" dxfId="155" priority="620" operator="notEqual">
      <formula>$Q$71</formula>
    </cfRule>
  </conditionalFormatting>
  <conditionalFormatting sqref="Q71">
    <cfRule type="cellIs" dxfId="154" priority="109" operator="notEqual">
      <formula>$Q$31</formula>
    </cfRule>
    <cfRule type="cellIs" dxfId="153" priority="80" operator="notEqual">
      <formula>$Q$80</formula>
    </cfRule>
  </conditionalFormatting>
  <conditionalFormatting sqref="R31">
    <cfRule type="cellIs" dxfId="152" priority="201" operator="notEqual">
      <formula>$R$53</formula>
    </cfRule>
  </conditionalFormatting>
  <conditionalFormatting sqref="R32">
    <cfRule type="cellIs" dxfId="151" priority="172" operator="notEqual">
      <formula>$R$54</formula>
    </cfRule>
  </conditionalFormatting>
  <conditionalFormatting sqref="R53">
    <cfRule type="cellIs" dxfId="150" priority="629" operator="notEqual">
      <formula>$R$71</formula>
    </cfRule>
  </conditionalFormatting>
  <conditionalFormatting sqref="S31">
    <cfRule type="cellIs" dxfId="149" priority="200" operator="notEqual">
      <formula>$S$53</formula>
    </cfRule>
  </conditionalFormatting>
  <conditionalFormatting sqref="S32">
    <cfRule type="cellIs" dxfId="148" priority="171" operator="notEqual">
      <formula>$S$54</formula>
    </cfRule>
  </conditionalFormatting>
  <conditionalFormatting sqref="S51">
    <cfRule type="cellIs" dxfId="147" priority="6" operator="notEqual">
      <formula>S13</formula>
    </cfRule>
  </conditionalFormatting>
  <conditionalFormatting sqref="S53">
    <cfRule type="cellIs" dxfId="146" priority="614" operator="notEqual">
      <formula>$S$71</formula>
    </cfRule>
  </conditionalFormatting>
  <conditionalFormatting sqref="S71">
    <cfRule type="cellIs" dxfId="145" priority="79" operator="notEqual">
      <formula>$S$80</formula>
    </cfRule>
    <cfRule type="cellIs" dxfId="144" priority="116" operator="notEqual">
      <formula>$S$31</formula>
    </cfRule>
  </conditionalFormatting>
  <conditionalFormatting sqref="S74">
    <cfRule type="cellIs" dxfId="143" priority="88" operator="notEqual">
      <formula>$S$81</formula>
    </cfRule>
    <cfRule type="cellIs" dxfId="142" priority="150" operator="notEqual">
      <formula>$S$81</formula>
    </cfRule>
  </conditionalFormatting>
  <conditionalFormatting sqref="T31">
    <cfRule type="cellIs" dxfId="141" priority="199" operator="notEqual">
      <formula>$T$53</formula>
    </cfRule>
  </conditionalFormatting>
  <conditionalFormatting sqref="T32">
    <cfRule type="cellIs" dxfId="140" priority="170" operator="notEqual">
      <formula>$T$54</formula>
    </cfRule>
  </conditionalFormatting>
  <conditionalFormatting sqref="T53">
    <cfRule type="cellIs" dxfId="139" priority="630" operator="notEqual">
      <formula>$T$71</formula>
    </cfRule>
  </conditionalFormatting>
  <conditionalFormatting sqref="U31">
    <cfRule type="cellIs" dxfId="138" priority="198" operator="notEqual">
      <formula>$U$53</formula>
    </cfRule>
  </conditionalFormatting>
  <conditionalFormatting sqref="U32">
    <cfRule type="cellIs" dxfId="137" priority="169" operator="notEqual">
      <formula>$U$54</formula>
    </cfRule>
  </conditionalFormatting>
  <conditionalFormatting sqref="U51">
    <cfRule type="cellIs" dxfId="136" priority="5" operator="notEqual">
      <formula>U13</formula>
    </cfRule>
  </conditionalFormatting>
  <conditionalFormatting sqref="U53">
    <cfRule type="cellIs" dxfId="135" priority="621" operator="notEqual">
      <formula>$U$71</formula>
    </cfRule>
  </conditionalFormatting>
  <conditionalFormatting sqref="U71">
    <cfRule type="cellIs" dxfId="134" priority="108" operator="notEqual">
      <formula>$U$31</formula>
    </cfRule>
    <cfRule type="cellIs" dxfId="133" priority="78" operator="notEqual">
      <formula>$U$80</formula>
    </cfRule>
  </conditionalFormatting>
  <conditionalFormatting sqref="V31">
    <cfRule type="cellIs" dxfId="132" priority="197" operator="notEqual">
      <formula>$V$53</formula>
    </cfRule>
  </conditionalFormatting>
  <conditionalFormatting sqref="V32">
    <cfRule type="cellIs" dxfId="131" priority="168" operator="notEqual">
      <formula>$V$54</formula>
    </cfRule>
  </conditionalFormatting>
  <conditionalFormatting sqref="V53">
    <cfRule type="cellIs" dxfId="130" priority="631" operator="notEqual">
      <formula>$V$71</formula>
    </cfRule>
  </conditionalFormatting>
  <conditionalFormatting sqref="W31">
    <cfRule type="cellIs" dxfId="129" priority="196" operator="notEqual">
      <formula>$W$53</formula>
    </cfRule>
  </conditionalFormatting>
  <conditionalFormatting sqref="W32">
    <cfRule type="cellIs" dxfId="128" priority="167" operator="notEqual">
      <formula>$W$54</formula>
    </cfRule>
  </conditionalFormatting>
  <conditionalFormatting sqref="W51">
    <cfRule type="cellIs" dxfId="127" priority="4" operator="notEqual">
      <formula>W13</formula>
    </cfRule>
  </conditionalFormatting>
  <conditionalFormatting sqref="W53">
    <cfRule type="cellIs" dxfId="126" priority="615" operator="notEqual">
      <formula>$W$71</formula>
    </cfRule>
  </conditionalFormatting>
  <conditionalFormatting sqref="W71">
    <cfRule type="cellIs" dxfId="125" priority="115" operator="notEqual">
      <formula>$W$31</formula>
    </cfRule>
    <cfRule type="cellIs" dxfId="124" priority="77" operator="notEqual">
      <formula>$W$80</formula>
    </cfRule>
  </conditionalFormatting>
  <conditionalFormatting sqref="W74">
    <cfRule type="cellIs" dxfId="123" priority="148" operator="notEqual">
      <formula>$W$81</formula>
    </cfRule>
    <cfRule type="cellIs" dxfId="122" priority="87" operator="notEqual">
      <formula>$W$81</formula>
    </cfRule>
  </conditionalFormatting>
  <conditionalFormatting sqref="X31">
    <cfRule type="cellIs" dxfId="121" priority="195" operator="notEqual">
      <formula>$X$53</formula>
    </cfRule>
  </conditionalFormatting>
  <conditionalFormatting sqref="X32">
    <cfRule type="cellIs" dxfId="120" priority="166" operator="notEqual">
      <formula>$X$54</formula>
    </cfRule>
  </conditionalFormatting>
  <conditionalFormatting sqref="X53">
    <cfRule type="cellIs" dxfId="119" priority="632" operator="notEqual">
      <formula>$X$71</formula>
    </cfRule>
  </conditionalFormatting>
  <conditionalFormatting sqref="Y31">
    <cfRule type="cellIs" dxfId="118" priority="194" operator="notEqual">
      <formula>$Y$53</formula>
    </cfRule>
  </conditionalFormatting>
  <conditionalFormatting sqref="Y32">
    <cfRule type="cellIs" dxfId="117" priority="165" operator="notEqual">
      <formula>$Y$54</formula>
    </cfRule>
  </conditionalFormatting>
  <conditionalFormatting sqref="Y53">
    <cfRule type="cellIs" dxfId="116" priority="616" operator="notEqual">
      <formula>$Y$71</formula>
    </cfRule>
  </conditionalFormatting>
  <conditionalFormatting sqref="Y71">
    <cfRule type="cellIs" dxfId="115" priority="114" operator="notEqual">
      <formula>$Y$31</formula>
    </cfRule>
    <cfRule type="cellIs" dxfId="114" priority="76" operator="notEqual">
      <formula>$Y$80</formula>
    </cfRule>
  </conditionalFormatting>
  <conditionalFormatting sqref="Y74">
    <cfRule type="cellIs" dxfId="113" priority="145" operator="notEqual">
      <formula>$Y$81</formula>
    </cfRule>
    <cfRule type="cellIs" dxfId="112" priority="86" operator="notEqual">
      <formula>$Y$81</formula>
    </cfRule>
  </conditionalFormatting>
  <conditionalFormatting sqref="Y51:Z51">
    <cfRule type="cellIs" dxfId="111" priority="2" operator="notEqual">
      <formula>Y13</formula>
    </cfRule>
  </conditionalFormatting>
  <conditionalFormatting sqref="Z53">
    <cfRule type="cellIs" dxfId="110" priority="52" operator="notEqual">
      <formula>$Z$71</formula>
    </cfRule>
  </conditionalFormatting>
  <conditionalFormatting sqref="Z32:AB32">
    <cfRule type="cellIs" dxfId="109" priority="164" operator="notEqual">
      <formula>$Z$54</formula>
    </cfRule>
  </conditionalFormatting>
  <conditionalFormatting sqref="AA31">
    <cfRule type="cellIs" dxfId="108" priority="53" operator="notEqual">
      <formula>$AA$53</formula>
    </cfRule>
  </conditionalFormatting>
  <conditionalFormatting sqref="AA53">
    <cfRule type="cellIs" dxfId="107" priority="51" operator="notEqual">
      <formula>$AA$71</formula>
    </cfRule>
  </conditionalFormatting>
  <conditionalFormatting sqref="AB31">
    <cfRule type="cellIs" dxfId="106" priority="50" operator="notEqual">
      <formula>$AB$53</formula>
    </cfRule>
  </conditionalFormatting>
  <conditionalFormatting sqref="AB51">
    <cfRule type="cellIs" dxfId="105" priority="1" operator="notEqual">
      <formula>AB13</formula>
    </cfRule>
  </conditionalFormatting>
  <conditionalFormatting sqref="AB53">
    <cfRule type="cellIs" dxfId="104" priority="633" operator="notEqual">
      <formula>$AB$71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F73 AC73 H73:Z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94"/>
  <sheetViews>
    <sheetView view="pageBreakPreview" zoomScale="55" zoomScaleNormal="62" zoomScaleSheetLayoutView="55" workbookViewId="0">
      <pane xSplit="2" ySplit="6" topLeftCell="C7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N5" sqref="N5"/>
    </sheetView>
  </sheetViews>
  <sheetFormatPr defaultColWidth="9.42578125" defaultRowHeight="12.75"/>
  <cols>
    <col min="1" max="1" width="5" style="24" customWidth="1"/>
    <col min="2" max="2" width="47.42578125" style="24" customWidth="1"/>
    <col min="3" max="3" width="17.28515625" style="24" customWidth="1"/>
    <col min="4" max="4" width="16.85546875" style="24" customWidth="1"/>
    <col min="5" max="6" width="18.28515625" style="24" customWidth="1"/>
    <col min="7" max="8" width="15.42578125" style="24" customWidth="1"/>
    <col min="9" max="9" width="12.28515625" style="24" customWidth="1"/>
    <col min="10" max="11" width="18.28515625" style="24" customWidth="1"/>
    <col min="12" max="13" width="15.42578125" style="24" customWidth="1"/>
    <col min="14" max="14" width="13.28515625" style="24" customWidth="1"/>
    <col min="15" max="16" width="15.42578125" style="24" customWidth="1"/>
    <col min="17" max="17" width="14.28515625" style="24" customWidth="1"/>
    <col min="18" max="19" width="18.28515625" style="24" customWidth="1"/>
    <col min="20" max="21" width="15.42578125" style="24" customWidth="1"/>
    <col min="22" max="22" width="13.7109375" style="24" customWidth="1"/>
    <col min="23" max="24" width="15.42578125" style="24" customWidth="1"/>
    <col min="25" max="25" width="12.7109375" style="24" customWidth="1"/>
    <col min="26" max="27" width="18.28515625" style="24" customWidth="1"/>
    <col min="28" max="29" width="15.42578125" style="24" customWidth="1"/>
    <col min="30" max="30" width="13.7109375" style="24" customWidth="1"/>
    <col min="31" max="32" width="15.42578125" style="24" customWidth="1"/>
    <col min="33" max="33" width="13.7109375" style="24" customWidth="1"/>
    <col min="34" max="35" width="18.28515625" style="24" customWidth="1"/>
    <col min="36" max="37" width="15.42578125" style="24" customWidth="1"/>
    <col min="38" max="38" width="13.7109375" style="24" customWidth="1"/>
    <col min="39" max="40" width="15.42578125" style="24" customWidth="1"/>
    <col min="41" max="41" width="14.42578125" style="24" customWidth="1"/>
    <col min="42" max="43" width="15.42578125" style="24" customWidth="1"/>
    <col min="44" max="44" width="17.140625" style="24" customWidth="1"/>
    <col min="45" max="46" width="15.42578125" style="24" customWidth="1"/>
    <col min="47" max="47" width="14.42578125" style="24" customWidth="1"/>
    <col min="48" max="48" width="15.5703125" style="81" customWidth="1"/>
    <col min="49" max="49" width="14.7109375" style="81" customWidth="1"/>
    <col min="50" max="55" width="9.42578125" style="81"/>
    <col min="56" max="16384" width="9.42578125" style="24"/>
  </cols>
  <sheetData>
    <row r="1" spans="1:55" ht="21" customHeight="1">
      <c r="A1" s="215" t="s">
        <v>713</v>
      </c>
      <c r="B1" s="122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K1" s="117"/>
      <c r="AL1" s="117"/>
      <c r="AM1" s="117"/>
      <c r="AN1" s="117"/>
      <c r="AO1" s="117"/>
      <c r="AP1" s="117"/>
      <c r="AQ1" s="117"/>
      <c r="AR1" s="117"/>
      <c r="AS1" s="216"/>
      <c r="AT1" s="216" t="s">
        <v>705</v>
      </c>
      <c r="AU1" s="216"/>
    </row>
    <row r="2" spans="1:55" ht="12.75" customHeight="1">
      <c r="A2" s="215"/>
      <c r="B2" s="122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K2" s="117"/>
      <c r="AL2" s="117"/>
      <c r="AM2" s="117"/>
      <c r="AN2" s="117"/>
      <c r="AO2" s="117"/>
      <c r="AP2" s="117"/>
      <c r="AQ2" s="117"/>
      <c r="AR2" s="117"/>
      <c r="AS2" s="216"/>
      <c r="AT2" s="216"/>
      <c r="AU2" s="216"/>
    </row>
    <row r="3" spans="1:55" ht="15.75">
      <c r="A3" s="120"/>
      <c r="B3" s="33" t="str">
        <f>+'Asset quality'!B3</f>
        <v>MKBANK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609">
        <f>+'Asset quality'!Q3</f>
        <v>46021</v>
      </c>
      <c r="AI3" s="609"/>
      <c r="AJ3" s="32"/>
      <c r="AK3" s="120"/>
      <c r="AL3" s="120"/>
      <c r="AM3" s="120"/>
      <c r="AN3" s="120"/>
      <c r="AO3" s="120"/>
      <c r="AP3" s="120"/>
      <c r="AQ3" s="120"/>
      <c r="AR3" s="120"/>
      <c r="AT3" s="217"/>
      <c r="AU3" s="217" t="str">
        <f>+'Asset quality'!T3</f>
        <v>минг. сўмда</v>
      </c>
    </row>
    <row r="4" spans="1:55" ht="51" customHeight="1">
      <c r="A4" s="614" t="s">
        <v>23</v>
      </c>
      <c r="B4" s="616" t="s">
        <v>216</v>
      </c>
      <c r="C4" s="612" t="s">
        <v>556</v>
      </c>
      <c r="D4" s="612" t="s">
        <v>557</v>
      </c>
      <c r="E4" s="612" t="s">
        <v>558</v>
      </c>
      <c r="F4" s="612" t="s">
        <v>557</v>
      </c>
      <c r="G4" s="610" t="s">
        <v>698</v>
      </c>
      <c r="H4" s="611"/>
      <c r="I4" s="611"/>
      <c r="J4" s="612" t="s">
        <v>559</v>
      </c>
      <c r="K4" s="612" t="s">
        <v>557</v>
      </c>
      <c r="L4" s="610" t="s">
        <v>699</v>
      </c>
      <c r="M4" s="611"/>
      <c r="N4" s="611"/>
      <c r="O4" s="610" t="s">
        <v>557</v>
      </c>
      <c r="P4" s="611"/>
      <c r="Q4" s="611"/>
      <c r="R4" s="612" t="s">
        <v>561</v>
      </c>
      <c r="S4" s="612" t="s">
        <v>557</v>
      </c>
      <c r="T4" s="610" t="s">
        <v>700</v>
      </c>
      <c r="U4" s="611"/>
      <c r="V4" s="611"/>
      <c r="W4" s="610" t="s">
        <v>557</v>
      </c>
      <c r="X4" s="611"/>
      <c r="Y4" s="611"/>
      <c r="Z4" s="612" t="s">
        <v>563</v>
      </c>
      <c r="AA4" s="612" t="s">
        <v>557</v>
      </c>
      <c r="AB4" s="610" t="s">
        <v>701</v>
      </c>
      <c r="AC4" s="611"/>
      <c r="AD4" s="611"/>
      <c r="AE4" s="610" t="s">
        <v>557</v>
      </c>
      <c r="AF4" s="611"/>
      <c r="AG4" s="611"/>
      <c r="AH4" s="612" t="s">
        <v>565</v>
      </c>
      <c r="AI4" s="612" t="s">
        <v>557</v>
      </c>
      <c r="AJ4" s="610" t="s">
        <v>702</v>
      </c>
      <c r="AK4" s="611"/>
      <c r="AL4" s="611"/>
      <c r="AM4" s="610" t="s">
        <v>557</v>
      </c>
      <c r="AN4" s="611"/>
      <c r="AO4" s="611"/>
      <c r="AP4" s="610" t="s">
        <v>567</v>
      </c>
      <c r="AQ4" s="611"/>
      <c r="AR4" s="611"/>
      <c r="AS4" s="610" t="s">
        <v>557</v>
      </c>
      <c r="AT4" s="611"/>
      <c r="AU4" s="611"/>
    </row>
    <row r="5" spans="1:55" ht="51" customHeight="1">
      <c r="A5" s="615"/>
      <c r="B5" s="617"/>
      <c r="C5" s="613"/>
      <c r="D5" s="613"/>
      <c r="E5" s="613"/>
      <c r="F5" s="613"/>
      <c r="G5" s="11" t="s">
        <v>703</v>
      </c>
      <c r="H5" s="11" t="s">
        <v>704</v>
      </c>
      <c r="I5" s="11" t="s">
        <v>394</v>
      </c>
      <c r="J5" s="613"/>
      <c r="K5" s="613"/>
      <c r="L5" s="11" t="s">
        <v>703</v>
      </c>
      <c r="M5" s="11" t="s">
        <v>704</v>
      </c>
      <c r="N5" s="11" t="s">
        <v>394</v>
      </c>
      <c r="O5" s="11" t="s">
        <v>703</v>
      </c>
      <c r="P5" s="11" t="s">
        <v>704</v>
      </c>
      <c r="Q5" s="11" t="s">
        <v>394</v>
      </c>
      <c r="R5" s="613"/>
      <c r="S5" s="613"/>
      <c r="T5" s="11" t="s">
        <v>703</v>
      </c>
      <c r="U5" s="11" t="s">
        <v>704</v>
      </c>
      <c r="V5" s="11" t="s">
        <v>394</v>
      </c>
      <c r="W5" s="11" t="s">
        <v>703</v>
      </c>
      <c r="X5" s="11" t="s">
        <v>704</v>
      </c>
      <c r="Y5" s="11" t="s">
        <v>394</v>
      </c>
      <c r="Z5" s="613"/>
      <c r="AA5" s="613"/>
      <c r="AB5" s="11" t="s">
        <v>703</v>
      </c>
      <c r="AC5" s="11" t="s">
        <v>704</v>
      </c>
      <c r="AD5" s="11" t="s">
        <v>394</v>
      </c>
      <c r="AE5" s="11" t="s">
        <v>703</v>
      </c>
      <c r="AF5" s="11" t="s">
        <v>704</v>
      </c>
      <c r="AG5" s="11" t="s">
        <v>394</v>
      </c>
      <c r="AH5" s="613"/>
      <c r="AI5" s="613"/>
      <c r="AJ5" s="11" t="s">
        <v>703</v>
      </c>
      <c r="AK5" s="11" t="s">
        <v>704</v>
      </c>
      <c r="AL5" s="11" t="s">
        <v>394</v>
      </c>
      <c r="AM5" s="11" t="s">
        <v>703</v>
      </c>
      <c r="AN5" s="11" t="s">
        <v>704</v>
      </c>
      <c r="AO5" s="11" t="s">
        <v>394</v>
      </c>
      <c r="AP5" s="11" t="s">
        <v>703</v>
      </c>
      <c r="AQ5" s="11" t="s">
        <v>704</v>
      </c>
      <c r="AR5" s="11" t="s">
        <v>394</v>
      </c>
      <c r="AS5" s="11" t="s">
        <v>703</v>
      </c>
      <c r="AT5" s="11" t="s">
        <v>704</v>
      </c>
      <c r="AU5" s="11" t="s">
        <v>394</v>
      </c>
    </row>
    <row r="6" spans="1:55" s="348" customFormat="1" ht="27.75" customHeight="1">
      <c r="A6" s="347"/>
      <c r="B6" s="347" t="s">
        <v>570</v>
      </c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  <c r="AT6" s="347"/>
      <c r="AU6" s="347"/>
    </row>
    <row r="7" spans="1:55" s="12" customFormat="1" ht="23.25" customHeight="1">
      <c r="A7" s="219">
        <v>1</v>
      </c>
      <c r="B7" s="57" t="s">
        <v>571</v>
      </c>
      <c r="C7" s="361">
        <f>+'Asset Classification'!C7</f>
        <v>0</v>
      </c>
      <c r="D7" s="362">
        <f>+'Asset Classification'!D7</f>
        <v>0</v>
      </c>
      <c r="E7" s="362">
        <f>+'Asset Classification'!E7</f>
        <v>0</v>
      </c>
      <c r="F7" s="362">
        <f>+'Asset Classification'!F7</f>
        <v>0</v>
      </c>
      <c r="G7" s="362">
        <f>+'Asset Classification'!G7</f>
        <v>0</v>
      </c>
      <c r="H7" s="362">
        <f>+E7*1%</f>
        <v>0</v>
      </c>
      <c r="I7" s="362">
        <f>+G7-H7</f>
        <v>0</v>
      </c>
      <c r="J7" s="362">
        <f>+'Asset Classification'!I7</f>
        <v>0</v>
      </c>
      <c r="K7" s="362">
        <f>+'Asset Classification'!J7</f>
        <v>0</v>
      </c>
      <c r="L7" s="362">
        <f>+'Asset Classification'!K7</f>
        <v>0</v>
      </c>
      <c r="M7" s="362">
        <f>+J7*10%</f>
        <v>0</v>
      </c>
      <c r="N7" s="362">
        <f>+L7-M7</f>
        <v>0</v>
      </c>
      <c r="O7" s="362">
        <f>+'Asset Classification'!L7</f>
        <v>0</v>
      </c>
      <c r="P7" s="362">
        <f>+K7*10%</f>
        <v>0</v>
      </c>
      <c r="Q7" s="362">
        <f>+O7-P7</f>
        <v>0</v>
      </c>
      <c r="R7" s="362">
        <f>+'Asset Classification'!M7</f>
        <v>0</v>
      </c>
      <c r="S7" s="362">
        <f>+'Asset Classification'!N7</f>
        <v>0</v>
      </c>
      <c r="T7" s="362">
        <f>+'Asset Classification'!O7</f>
        <v>0</v>
      </c>
      <c r="U7" s="362">
        <f>+R7*25%</f>
        <v>0</v>
      </c>
      <c r="V7" s="362">
        <f>+T7-U7</f>
        <v>0</v>
      </c>
      <c r="W7" s="362">
        <f>+'Asset Classification'!P7</f>
        <v>0</v>
      </c>
      <c r="X7" s="362">
        <f>+S7*25%</f>
        <v>0</v>
      </c>
      <c r="Y7" s="362">
        <f>+W7-X7</f>
        <v>0</v>
      </c>
      <c r="Z7" s="362">
        <f>+'Asset Classification'!Q7</f>
        <v>0</v>
      </c>
      <c r="AA7" s="362">
        <f>+'Asset Classification'!R7</f>
        <v>0</v>
      </c>
      <c r="AB7" s="362">
        <f>+'Asset Classification'!S7</f>
        <v>0</v>
      </c>
      <c r="AC7" s="362">
        <f>+Z7*50%</f>
        <v>0</v>
      </c>
      <c r="AD7" s="362">
        <f>+AB7-AC7</f>
        <v>0</v>
      </c>
      <c r="AE7" s="362">
        <f>+'Asset Classification'!T7</f>
        <v>0</v>
      </c>
      <c r="AF7" s="362">
        <f>+AA7*50%</f>
        <v>0</v>
      </c>
      <c r="AG7" s="362">
        <f>+AE7-AF7</f>
        <v>0</v>
      </c>
      <c r="AH7" s="362">
        <f>+'Asset Classification'!U7</f>
        <v>0</v>
      </c>
      <c r="AI7" s="362">
        <f>+'Asset Classification'!V7</f>
        <v>0</v>
      </c>
      <c r="AJ7" s="362">
        <f>+'Asset Classification'!W7</f>
        <v>0</v>
      </c>
      <c r="AK7" s="362">
        <f>+AH7*100%</f>
        <v>0</v>
      </c>
      <c r="AL7" s="362">
        <f>+AJ7-AK7</f>
        <v>0</v>
      </c>
      <c r="AM7" s="362">
        <f>+'Asset Classification'!X7</f>
        <v>0</v>
      </c>
      <c r="AN7" s="362">
        <f>+AI7*100%</f>
        <v>0</v>
      </c>
      <c r="AO7" s="362">
        <f>+AM7-AN7</f>
        <v>0</v>
      </c>
      <c r="AP7" s="357">
        <f>+L7+T7+AB7+AJ7</f>
        <v>0</v>
      </c>
      <c r="AQ7" s="357">
        <f>+M7+U7+AC7+AK7</f>
        <v>0</v>
      </c>
      <c r="AR7" s="357">
        <f>+AP7-AQ7</f>
        <v>0</v>
      </c>
      <c r="AS7" s="362">
        <f t="shared" ref="AS7:AT30" si="0">+O7+W7+AE7+AM7</f>
        <v>0</v>
      </c>
      <c r="AT7" s="362">
        <f t="shared" si="0"/>
        <v>0</v>
      </c>
      <c r="AU7" s="362">
        <f>+AS7-AT7</f>
        <v>0</v>
      </c>
      <c r="AV7" s="132">
        <f>+'Aging Analysis'!C9</f>
        <v>0</v>
      </c>
      <c r="AW7" s="130"/>
      <c r="AX7" s="130"/>
      <c r="AY7" s="130"/>
      <c r="AZ7" s="130"/>
      <c r="BA7" s="130"/>
      <c r="BB7" s="130"/>
      <c r="BC7" s="130"/>
    </row>
    <row r="8" spans="1:55" s="12" customFormat="1" ht="14.25" customHeight="1">
      <c r="A8" s="219"/>
      <c r="B8" s="221" t="s">
        <v>572</v>
      </c>
      <c r="C8" s="361">
        <f>+'Asset Classification'!C8</f>
        <v>0</v>
      </c>
      <c r="D8" s="362">
        <f>+'Asset Classification'!D8</f>
        <v>0</v>
      </c>
      <c r="E8" s="363">
        <f>+'Asset Classification'!E8</f>
        <v>0</v>
      </c>
      <c r="F8" s="362">
        <f>+'Asset Classification'!F8</f>
        <v>0</v>
      </c>
      <c r="G8" s="363">
        <f>+'Asset Classification'!G8</f>
        <v>0</v>
      </c>
      <c r="H8" s="362">
        <f t="shared" ref="H8:H30" si="1">+E8*1%</f>
        <v>0</v>
      </c>
      <c r="I8" s="362">
        <f t="shared" ref="I8:I30" si="2">+G8-H8</f>
        <v>0</v>
      </c>
      <c r="J8" s="363">
        <f>+'Asset Classification'!I8</f>
        <v>0</v>
      </c>
      <c r="K8" s="362">
        <f>+'Asset Classification'!J8</f>
        <v>0</v>
      </c>
      <c r="L8" s="363">
        <f>+'Asset Classification'!K8</f>
        <v>0</v>
      </c>
      <c r="M8" s="362">
        <f t="shared" ref="M8:M30" si="3">+J8*10%</f>
        <v>0</v>
      </c>
      <c r="N8" s="362">
        <f t="shared" ref="N8:N30" si="4">+L8-M8</f>
        <v>0</v>
      </c>
      <c r="O8" s="362">
        <f>+'Asset Classification'!L8</f>
        <v>0</v>
      </c>
      <c r="P8" s="362">
        <f t="shared" ref="P8:P30" si="5">+K8*10%</f>
        <v>0</v>
      </c>
      <c r="Q8" s="362">
        <f t="shared" ref="Q8:Q30" si="6">+O8-P8</f>
        <v>0</v>
      </c>
      <c r="R8" s="363">
        <f>+'Asset Classification'!M8</f>
        <v>0</v>
      </c>
      <c r="S8" s="362">
        <f>+'Asset Classification'!N8</f>
        <v>0</v>
      </c>
      <c r="T8" s="363">
        <f>+'Asset Classification'!O8</f>
        <v>0</v>
      </c>
      <c r="U8" s="362">
        <f t="shared" ref="U8:U30" si="7">+R8*25%</f>
        <v>0</v>
      </c>
      <c r="V8" s="362">
        <f t="shared" ref="V8:V30" si="8">+T8-U8</f>
        <v>0</v>
      </c>
      <c r="W8" s="362">
        <f>+'Asset Classification'!P8</f>
        <v>0</v>
      </c>
      <c r="X8" s="362">
        <f t="shared" ref="X8:X30" si="9">+S8*25%</f>
        <v>0</v>
      </c>
      <c r="Y8" s="362">
        <f t="shared" ref="Y8:Y30" si="10">+W8-X8</f>
        <v>0</v>
      </c>
      <c r="Z8" s="363">
        <f>+'Asset Classification'!Q8</f>
        <v>0</v>
      </c>
      <c r="AA8" s="362">
        <f>+'Asset Classification'!R8</f>
        <v>0</v>
      </c>
      <c r="AB8" s="363">
        <f>+'Asset Classification'!S8</f>
        <v>0</v>
      </c>
      <c r="AC8" s="362">
        <f t="shared" ref="AC8:AC30" si="11">+Z8*50%</f>
        <v>0</v>
      </c>
      <c r="AD8" s="362">
        <f t="shared" ref="AD8:AD30" si="12">+AB8-AC8</f>
        <v>0</v>
      </c>
      <c r="AE8" s="362">
        <f>+'Asset Classification'!T8</f>
        <v>0</v>
      </c>
      <c r="AF8" s="362">
        <f t="shared" ref="AF8:AF30" si="13">+AA8*50%</f>
        <v>0</v>
      </c>
      <c r="AG8" s="362">
        <f t="shared" ref="AG8:AG30" si="14">+AE8-AF8</f>
        <v>0</v>
      </c>
      <c r="AH8" s="363">
        <f>+'Asset Classification'!U8</f>
        <v>0</v>
      </c>
      <c r="AI8" s="362">
        <f>+'Asset Classification'!V8</f>
        <v>0</v>
      </c>
      <c r="AJ8" s="363">
        <f>+'Asset Classification'!W8</f>
        <v>0</v>
      </c>
      <c r="AK8" s="362">
        <f t="shared" ref="AK8:AK30" si="15">+AH8*100%</f>
        <v>0</v>
      </c>
      <c r="AL8" s="362">
        <f t="shared" ref="AL8:AL30" si="16">+AJ8-AK8</f>
        <v>0</v>
      </c>
      <c r="AM8" s="362">
        <f>+'Asset Classification'!X8</f>
        <v>0</v>
      </c>
      <c r="AN8" s="362">
        <f t="shared" ref="AN8:AN30" si="17">+AI8*100%</f>
        <v>0</v>
      </c>
      <c r="AO8" s="362">
        <f t="shared" ref="AO8:AO30" si="18">+AM8-AN8</f>
        <v>0</v>
      </c>
      <c r="AP8" s="357">
        <f t="shared" ref="AP8:AQ30" si="19">+L8+T8+AB8+AJ8</f>
        <v>0</v>
      </c>
      <c r="AQ8" s="357">
        <f t="shared" si="19"/>
        <v>0</v>
      </c>
      <c r="AR8" s="357">
        <f t="shared" ref="AR8:AR30" si="20">+AP8-AQ8</f>
        <v>0</v>
      </c>
      <c r="AS8" s="362">
        <f t="shared" si="0"/>
        <v>0</v>
      </c>
      <c r="AT8" s="362">
        <f t="shared" si="0"/>
        <v>0</v>
      </c>
      <c r="AU8" s="362">
        <f t="shared" ref="AU8:AU30" si="21">+AS8-AT8</f>
        <v>0</v>
      </c>
      <c r="AW8" s="130"/>
      <c r="AX8" s="130"/>
      <c r="AY8" s="130"/>
      <c r="AZ8" s="130"/>
      <c r="BA8" s="130"/>
      <c r="BB8" s="130"/>
      <c r="BC8" s="130"/>
    </row>
    <row r="9" spans="1:55" s="12" customFormat="1" ht="23.25" customHeight="1">
      <c r="A9" s="219">
        <v>2</v>
      </c>
      <c r="B9" s="57" t="s">
        <v>573</v>
      </c>
      <c r="C9" s="361">
        <f>+'Asset Classification'!C9</f>
        <v>0</v>
      </c>
      <c r="D9" s="362">
        <f>+'Asset Classification'!D9</f>
        <v>0</v>
      </c>
      <c r="E9" s="363">
        <f>+'Asset Classification'!E9</f>
        <v>0</v>
      </c>
      <c r="F9" s="362">
        <f>+'Asset Classification'!F9</f>
        <v>0</v>
      </c>
      <c r="G9" s="363">
        <f>+'Asset Classification'!G9</f>
        <v>0</v>
      </c>
      <c r="H9" s="362">
        <f t="shared" si="1"/>
        <v>0</v>
      </c>
      <c r="I9" s="362">
        <f t="shared" si="2"/>
        <v>0</v>
      </c>
      <c r="J9" s="363">
        <f>+'Asset Classification'!I9</f>
        <v>0</v>
      </c>
      <c r="K9" s="362">
        <f>+'Asset Classification'!J9</f>
        <v>0</v>
      </c>
      <c r="L9" s="363">
        <f>+'Asset Classification'!K9</f>
        <v>0</v>
      </c>
      <c r="M9" s="362">
        <f t="shared" si="3"/>
        <v>0</v>
      </c>
      <c r="N9" s="362">
        <f t="shared" si="4"/>
        <v>0</v>
      </c>
      <c r="O9" s="362">
        <f>+'Asset Classification'!L9</f>
        <v>0</v>
      </c>
      <c r="P9" s="362">
        <f t="shared" si="5"/>
        <v>0</v>
      </c>
      <c r="Q9" s="362">
        <f t="shared" si="6"/>
        <v>0</v>
      </c>
      <c r="R9" s="363">
        <f>+'Asset Classification'!M9</f>
        <v>0</v>
      </c>
      <c r="S9" s="362">
        <f>+'Asset Classification'!N9</f>
        <v>0</v>
      </c>
      <c r="T9" s="363">
        <f>+'Asset Classification'!O9</f>
        <v>0</v>
      </c>
      <c r="U9" s="362">
        <f t="shared" si="7"/>
        <v>0</v>
      </c>
      <c r="V9" s="362">
        <f t="shared" si="8"/>
        <v>0</v>
      </c>
      <c r="W9" s="362">
        <f>+'Asset Classification'!P9</f>
        <v>0</v>
      </c>
      <c r="X9" s="362">
        <f t="shared" si="9"/>
        <v>0</v>
      </c>
      <c r="Y9" s="362">
        <f t="shared" si="10"/>
        <v>0</v>
      </c>
      <c r="Z9" s="363">
        <f>+'Asset Classification'!Q9</f>
        <v>0</v>
      </c>
      <c r="AA9" s="362">
        <f>+'Asset Classification'!R9</f>
        <v>0</v>
      </c>
      <c r="AB9" s="363">
        <f>+'Asset Classification'!S9</f>
        <v>0</v>
      </c>
      <c r="AC9" s="362">
        <f t="shared" si="11"/>
        <v>0</v>
      </c>
      <c r="AD9" s="362">
        <f t="shared" si="12"/>
        <v>0</v>
      </c>
      <c r="AE9" s="362">
        <f>+'Asset Classification'!T9</f>
        <v>0</v>
      </c>
      <c r="AF9" s="362">
        <f t="shared" si="13"/>
        <v>0</v>
      </c>
      <c r="AG9" s="362">
        <f t="shared" si="14"/>
        <v>0</v>
      </c>
      <c r="AH9" s="363">
        <f>+'Asset Classification'!U9</f>
        <v>0</v>
      </c>
      <c r="AI9" s="362">
        <f>+'Asset Classification'!V9</f>
        <v>0</v>
      </c>
      <c r="AJ9" s="363">
        <f>+'Asset Classification'!W9</f>
        <v>0</v>
      </c>
      <c r="AK9" s="362">
        <f t="shared" si="15"/>
        <v>0</v>
      </c>
      <c r="AL9" s="362">
        <f t="shared" si="16"/>
        <v>0</v>
      </c>
      <c r="AM9" s="362">
        <f>+'Asset Classification'!X9</f>
        <v>0</v>
      </c>
      <c r="AN9" s="362">
        <f t="shared" si="17"/>
        <v>0</v>
      </c>
      <c r="AO9" s="362">
        <f t="shared" si="18"/>
        <v>0</v>
      </c>
      <c r="AP9" s="357">
        <f t="shared" si="19"/>
        <v>0</v>
      </c>
      <c r="AQ9" s="357">
        <f t="shared" si="19"/>
        <v>0</v>
      </c>
      <c r="AR9" s="357">
        <f t="shared" si="20"/>
        <v>0</v>
      </c>
      <c r="AS9" s="362">
        <f t="shared" si="0"/>
        <v>0</v>
      </c>
      <c r="AT9" s="362">
        <f t="shared" si="0"/>
        <v>0</v>
      </c>
      <c r="AU9" s="362">
        <f t="shared" si="21"/>
        <v>0</v>
      </c>
      <c r="AV9" s="132">
        <f>+'Aging Analysis'!C10</f>
        <v>0</v>
      </c>
      <c r="AW9" s="130"/>
      <c r="AX9" s="130"/>
      <c r="AY9" s="130"/>
      <c r="AZ9" s="130"/>
      <c r="BA9" s="130"/>
      <c r="BB9" s="130"/>
      <c r="BC9" s="130"/>
    </row>
    <row r="10" spans="1:55" s="12" customFormat="1" ht="14.25" customHeight="1">
      <c r="A10" s="219"/>
      <c r="B10" s="221" t="s">
        <v>572</v>
      </c>
      <c r="C10" s="361">
        <f>+'Asset Classification'!C10</f>
        <v>0</v>
      </c>
      <c r="D10" s="362">
        <f>+'Asset Classification'!D10</f>
        <v>0</v>
      </c>
      <c r="E10" s="363">
        <f>+'Asset Classification'!E10</f>
        <v>0</v>
      </c>
      <c r="F10" s="362">
        <f>+'Asset Classification'!F10</f>
        <v>0</v>
      </c>
      <c r="G10" s="363">
        <f>+'Asset Classification'!G10</f>
        <v>0</v>
      </c>
      <c r="H10" s="362">
        <f t="shared" si="1"/>
        <v>0</v>
      </c>
      <c r="I10" s="362">
        <f t="shared" si="2"/>
        <v>0</v>
      </c>
      <c r="J10" s="363">
        <f>+'Asset Classification'!I10</f>
        <v>0</v>
      </c>
      <c r="K10" s="362">
        <f>+'Asset Classification'!J10</f>
        <v>0</v>
      </c>
      <c r="L10" s="363">
        <f>+'Asset Classification'!K10</f>
        <v>0</v>
      </c>
      <c r="M10" s="362">
        <f t="shared" si="3"/>
        <v>0</v>
      </c>
      <c r="N10" s="362">
        <f t="shared" si="4"/>
        <v>0</v>
      </c>
      <c r="O10" s="362">
        <f>+'Asset Classification'!L10</f>
        <v>0</v>
      </c>
      <c r="P10" s="362">
        <f t="shared" si="5"/>
        <v>0</v>
      </c>
      <c r="Q10" s="362">
        <f t="shared" si="6"/>
        <v>0</v>
      </c>
      <c r="R10" s="363">
        <f>+'Asset Classification'!M10</f>
        <v>0</v>
      </c>
      <c r="S10" s="362">
        <f>+'Asset Classification'!N10</f>
        <v>0</v>
      </c>
      <c r="T10" s="363">
        <f>+'Asset Classification'!O10</f>
        <v>0</v>
      </c>
      <c r="U10" s="362">
        <f t="shared" si="7"/>
        <v>0</v>
      </c>
      <c r="V10" s="362">
        <f t="shared" si="8"/>
        <v>0</v>
      </c>
      <c r="W10" s="362">
        <f>+'Asset Classification'!P10</f>
        <v>0</v>
      </c>
      <c r="X10" s="362">
        <f t="shared" si="9"/>
        <v>0</v>
      </c>
      <c r="Y10" s="362">
        <f t="shared" si="10"/>
        <v>0</v>
      </c>
      <c r="Z10" s="363">
        <f>+'Asset Classification'!Q10</f>
        <v>0</v>
      </c>
      <c r="AA10" s="362">
        <f>+'Asset Classification'!R10</f>
        <v>0</v>
      </c>
      <c r="AB10" s="363">
        <f>+'Asset Classification'!S10</f>
        <v>0</v>
      </c>
      <c r="AC10" s="362">
        <f t="shared" si="11"/>
        <v>0</v>
      </c>
      <c r="AD10" s="362">
        <f t="shared" si="12"/>
        <v>0</v>
      </c>
      <c r="AE10" s="362">
        <f>+'Asset Classification'!T10</f>
        <v>0</v>
      </c>
      <c r="AF10" s="362">
        <f t="shared" si="13"/>
        <v>0</v>
      </c>
      <c r="AG10" s="362">
        <f t="shared" si="14"/>
        <v>0</v>
      </c>
      <c r="AH10" s="363">
        <f>+'Asset Classification'!U10</f>
        <v>0</v>
      </c>
      <c r="AI10" s="362">
        <f>+'Asset Classification'!V10</f>
        <v>0</v>
      </c>
      <c r="AJ10" s="363">
        <f>+'Asset Classification'!W10</f>
        <v>0</v>
      </c>
      <c r="AK10" s="362">
        <f t="shared" si="15"/>
        <v>0</v>
      </c>
      <c r="AL10" s="362">
        <f t="shared" si="16"/>
        <v>0</v>
      </c>
      <c r="AM10" s="362">
        <f>+'Asset Classification'!X10</f>
        <v>0</v>
      </c>
      <c r="AN10" s="362">
        <f t="shared" si="17"/>
        <v>0</v>
      </c>
      <c r="AO10" s="362">
        <f t="shared" si="18"/>
        <v>0</v>
      </c>
      <c r="AP10" s="357">
        <f t="shared" si="19"/>
        <v>0</v>
      </c>
      <c r="AQ10" s="357">
        <f t="shared" si="19"/>
        <v>0</v>
      </c>
      <c r="AR10" s="357">
        <f t="shared" si="20"/>
        <v>0</v>
      </c>
      <c r="AS10" s="362">
        <f t="shared" si="0"/>
        <v>0</v>
      </c>
      <c r="AT10" s="362">
        <f t="shared" si="0"/>
        <v>0</v>
      </c>
      <c r="AU10" s="362">
        <f t="shared" si="21"/>
        <v>0</v>
      </c>
      <c r="AW10" s="130"/>
      <c r="AX10" s="130"/>
      <c r="AY10" s="130"/>
      <c r="AZ10" s="130"/>
      <c r="BA10" s="130"/>
      <c r="BB10" s="130"/>
      <c r="BC10" s="130"/>
    </row>
    <row r="11" spans="1:55" s="12" customFormat="1" ht="23.25" customHeight="1">
      <c r="A11" s="219">
        <v>3</v>
      </c>
      <c r="B11" s="57" t="s">
        <v>328</v>
      </c>
      <c r="C11" s="361">
        <f>+'Asset Classification'!C11</f>
        <v>0</v>
      </c>
      <c r="D11" s="362">
        <f>+'Asset Classification'!D11</f>
        <v>0</v>
      </c>
      <c r="E11" s="363">
        <f>+'Asset Classification'!E11</f>
        <v>0</v>
      </c>
      <c r="F11" s="362">
        <f>+'Asset Classification'!F11</f>
        <v>0</v>
      </c>
      <c r="G11" s="363">
        <f>+'Asset Classification'!G11</f>
        <v>0</v>
      </c>
      <c r="H11" s="362">
        <f t="shared" si="1"/>
        <v>0</v>
      </c>
      <c r="I11" s="362">
        <f t="shared" si="2"/>
        <v>0</v>
      </c>
      <c r="J11" s="363">
        <f>+'Asset Classification'!I11</f>
        <v>0</v>
      </c>
      <c r="K11" s="362">
        <f>+'Asset Classification'!J11</f>
        <v>0</v>
      </c>
      <c r="L11" s="363">
        <f>+'Asset Classification'!K11</f>
        <v>0</v>
      </c>
      <c r="M11" s="362">
        <f t="shared" si="3"/>
        <v>0</v>
      </c>
      <c r="N11" s="362">
        <f t="shared" si="4"/>
        <v>0</v>
      </c>
      <c r="O11" s="362">
        <f>+'Asset Classification'!L11</f>
        <v>0</v>
      </c>
      <c r="P11" s="362">
        <f t="shared" si="5"/>
        <v>0</v>
      </c>
      <c r="Q11" s="362">
        <f t="shared" si="6"/>
        <v>0</v>
      </c>
      <c r="R11" s="363">
        <f>+'Asset Classification'!M11</f>
        <v>0</v>
      </c>
      <c r="S11" s="362">
        <f>+'Asset Classification'!N11</f>
        <v>0</v>
      </c>
      <c r="T11" s="363">
        <f>+'Asset Classification'!O11</f>
        <v>0</v>
      </c>
      <c r="U11" s="362">
        <f t="shared" si="7"/>
        <v>0</v>
      </c>
      <c r="V11" s="362">
        <f t="shared" si="8"/>
        <v>0</v>
      </c>
      <c r="W11" s="362">
        <f>+'Asset Classification'!P11</f>
        <v>0</v>
      </c>
      <c r="X11" s="362">
        <f t="shared" si="9"/>
        <v>0</v>
      </c>
      <c r="Y11" s="362">
        <f t="shared" si="10"/>
        <v>0</v>
      </c>
      <c r="Z11" s="363">
        <f>+'Asset Classification'!Q11</f>
        <v>0</v>
      </c>
      <c r="AA11" s="362">
        <f>+'Asset Classification'!R11</f>
        <v>0</v>
      </c>
      <c r="AB11" s="363">
        <f>+'Asset Classification'!S11</f>
        <v>0</v>
      </c>
      <c r="AC11" s="362">
        <f t="shared" si="11"/>
        <v>0</v>
      </c>
      <c r="AD11" s="362">
        <f t="shared" si="12"/>
        <v>0</v>
      </c>
      <c r="AE11" s="362">
        <f>+'Asset Classification'!T11</f>
        <v>0</v>
      </c>
      <c r="AF11" s="362">
        <f t="shared" si="13"/>
        <v>0</v>
      </c>
      <c r="AG11" s="362">
        <f t="shared" si="14"/>
        <v>0</v>
      </c>
      <c r="AH11" s="363">
        <f>+'Asset Classification'!U11</f>
        <v>0</v>
      </c>
      <c r="AI11" s="362">
        <f>+'Asset Classification'!V11</f>
        <v>0</v>
      </c>
      <c r="AJ11" s="363">
        <f>+'Asset Classification'!W11</f>
        <v>0</v>
      </c>
      <c r="AK11" s="362">
        <f t="shared" si="15"/>
        <v>0</v>
      </c>
      <c r="AL11" s="362">
        <f t="shared" si="16"/>
        <v>0</v>
      </c>
      <c r="AM11" s="362">
        <f>+'Asset Classification'!X11</f>
        <v>0</v>
      </c>
      <c r="AN11" s="362">
        <f t="shared" si="17"/>
        <v>0</v>
      </c>
      <c r="AO11" s="362">
        <f t="shared" si="18"/>
        <v>0</v>
      </c>
      <c r="AP11" s="357">
        <f t="shared" si="19"/>
        <v>0</v>
      </c>
      <c r="AQ11" s="357">
        <f t="shared" si="19"/>
        <v>0</v>
      </c>
      <c r="AR11" s="357">
        <f t="shared" si="20"/>
        <v>0</v>
      </c>
      <c r="AS11" s="362">
        <f t="shared" si="0"/>
        <v>0</v>
      </c>
      <c r="AT11" s="362">
        <f t="shared" si="0"/>
        <v>0</v>
      </c>
      <c r="AU11" s="362">
        <f t="shared" si="21"/>
        <v>0</v>
      </c>
      <c r="AV11" s="132">
        <f>+'Aging Analysis'!C11</f>
        <v>0</v>
      </c>
      <c r="AW11" s="130"/>
      <c r="AX11" s="130"/>
      <c r="AY11" s="130"/>
      <c r="AZ11" s="130"/>
      <c r="BA11" s="130"/>
      <c r="BB11" s="130"/>
      <c r="BC11" s="130"/>
    </row>
    <row r="12" spans="1:55" s="12" customFormat="1" ht="14.25" customHeight="1">
      <c r="A12" s="219"/>
      <c r="B12" s="221" t="s">
        <v>572</v>
      </c>
      <c r="C12" s="361">
        <f>+'Asset Classification'!C12</f>
        <v>0</v>
      </c>
      <c r="D12" s="362">
        <f>+'Asset Classification'!D12</f>
        <v>0</v>
      </c>
      <c r="E12" s="363">
        <f>+'Asset Classification'!E12</f>
        <v>0</v>
      </c>
      <c r="F12" s="362">
        <f>+'Asset Classification'!F12</f>
        <v>0</v>
      </c>
      <c r="G12" s="363">
        <f>+'Asset Classification'!G12</f>
        <v>0</v>
      </c>
      <c r="H12" s="362">
        <f t="shared" si="1"/>
        <v>0</v>
      </c>
      <c r="I12" s="362">
        <f t="shared" si="2"/>
        <v>0</v>
      </c>
      <c r="J12" s="363">
        <f>+'Asset Classification'!I12</f>
        <v>0</v>
      </c>
      <c r="K12" s="362">
        <f>+'Asset Classification'!J12</f>
        <v>0</v>
      </c>
      <c r="L12" s="363">
        <f>+'Asset Classification'!K12</f>
        <v>0</v>
      </c>
      <c r="M12" s="362">
        <f t="shared" si="3"/>
        <v>0</v>
      </c>
      <c r="N12" s="362">
        <f t="shared" si="4"/>
        <v>0</v>
      </c>
      <c r="O12" s="362">
        <f>+'Asset Classification'!L12</f>
        <v>0</v>
      </c>
      <c r="P12" s="362">
        <f t="shared" si="5"/>
        <v>0</v>
      </c>
      <c r="Q12" s="362">
        <f t="shared" si="6"/>
        <v>0</v>
      </c>
      <c r="R12" s="363">
        <f>+'Asset Classification'!M12</f>
        <v>0</v>
      </c>
      <c r="S12" s="362">
        <f>+'Asset Classification'!N12</f>
        <v>0</v>
      </c>
      <c r="T12" s="363">
        <f>+'Asset Classification'!O12</f>
        <v>0</v>
      </c>
      <c r="U12" s="362">
        <f t="shared" si="7"/>
        <v>0</v>
      </c>
      <c r="V12" s="362">
        <f t="shared" si="8"/>
        <v>0</v>
      </c>
      <c r="W12" s="362">
        <f>+'Asset Classification'!P12</f>
        <v>0</v>
      </c>
      <c r="X12" s="362">
        <f t="shared" si="9"/>
        <v>0</v>
      </c>
      <c r="Y12" s="362">
        <f t="shared" si="10"/>
        <v>0</v>
      </c>
      <c r="Z12" s="363">
        <f>+'Asset Classification'!Q12</f>
        <v>0</v>
      </c>
      <c r="AA12" s="362">
        <f>+'Asset Classification'!R12</f>
        <v>0</v>
      </c>
      <c r="AB12" s="363">
        <f>+'Asset Classification'!S12</f>
        <v>0</v>
      </c>
      <c r="AC12" s="362">
        <f t="shared" si="11"/>
        <v>0</v>
      </c>
      <c r="AD12" s="362">
        <f t="shared" si="12"/>
        <v>0</v>
      </c>
      <c r="AE12" s="362">
        <f>+'Asset Classification'!T12</f>
        <v>0</v>
      </c>
      <c r="AF12" s="362">
        <f t="shared" si="13"/>
        <v>0</v>
      </c>
      <c r="AG12" s="362">
        <f t="shared" si="14"/>
        <v>0</v>
      </c>
      <c r="AH12" s="363">
        <f>+'Asset Classification'!U12</f>
        <v>0</v>
      </c>
      <c r="AI12" s="362">
        <f>+'Asset Classification'!V12</f>
        <v>0</v>
      </c>
      <c r="AJ12" s="363">
        <f>+'Asset Classification'!W12</f>
        <v>0</v>
      </c>
      <c r="AK12" s="362">
        <f t="shared" si="15"/>
        <v>0</v>
      </c>
      <c r="AL12" s="362">
        <f t="shared" si="16"/>
        <v>0</v>
      </c>
      <c r="AM12" s="362">
        <f>+'Asset Classification'!X12</f>
        <v>0</v>
      </c>
      <c r="AN12" s="362">
        <f t="shared" si="17"/>
        <v>0</v>
      </c>
      <c r="AO12" s="362">
        <f t="shared" si="18"/>
        <v>0</v>
      </c>
      <c r="AP12" s="357">
        <f t="shared" si="19"/>
        <v>0</v>
      </c>
      <c r="AQ12" s="357">
        <f t="shared" si="19"/>
        <v>0</v>
      </c>
      <c r="AR12" s="357">
        <f t="shared" si="20"/>
        <v>0</v>
      </c>
      <c r="AS12" s="362">
        <f t="shared" si="0"/>
        <v>0</v>
      </c>
      <c r="AT12" s="362">
        <f t="shared" si="0"/>
        <v>0</v>
      </c>
      <c r="AU12" s="362">
        <f t="shared" si="21"/>
        <v>0</v>
      </c>
      <c r="AW12" s="130"/>
      <c r="AX12" s="130"/>
      <c r="AY12" s="130"/>
      <c r="AZ12" s="130"/>
      <c r="BA12" s="130"/>
      <c r="BB12" s="130"/>
      <c r="BC12" s="130"/>
    </row>
    <row r="13" spans="1:55" s="12" customFormat="1" ht="23.25" customHeight="1">
      <c r="A13" s="219">
        <v>4</v>
      </c>
      <c r="B13" s="57" t="s">
        <v>329</v>
      </c>
      <c r="C13" s="361">
        <f>+'Asset Classification'!C13</f>
        <v>8419167816</v>
      </c>
      <c r="D13" s="362">
        <f>+'Asset Classification'!D13</f>
        <v>0</v>
      </c>
      <c r="E13" s="363">
        <f>+'Asset Classification'!E13</f>
        <v>7066030436</v>
      </c>
      <c r="F13" s="362">
        <f>+'Asset Classification'!F13</f>
        <v>0</v>
      </c>
      <c r="G13" s="363">
        <f>+'Asset Classification'!G13</f>
        <v>84191679</v>
      </c>
      <c r="H13" s="362">
        <f t="shared" si="1"/>
        <v>70660304.359999999</v>
      </c>
      <c r="I13" s="362">
        <f t="shared" si="2"/>
        <v>13531374.640000001</v>
      </c>
      <c r="J13" s="363">
        <f>+'Asset Classification'!I13</f>
        <v>945973383</v>
      </c>
      <c r="K13" s="362">
        <f>+'Asset Classification'!J13</f>
        <v>0</v>
      </c>
      <c r="L13" s="363">
        <f>+'Asset Classification'!K13</f>
        <v>5688849</v>
      </c>
      <c r="M13" s="362">
        <f t="shared" si="3"/>
        <v>94597338.300000012</v>
      </c>
      <c r="N13" s="362">
        <f t="shared" si="4"/>
        <v>-88908489.300000012</v>
      </c>
      <c r="O13" s="362">
        <f>+'Asset Classification'!L13</f>
        <v>0</v>
      </c>
      <c r="P13" s="362">
        <f t="shared" si="5"/>
        <v>0</v>
      </c>
      <c r="Q13" s="362">
        <f t="shared" si="6"/>
        <v>0</v>
      </c>
      <c r="R13" s="363">
        <f>+'Asset Classification'!M13</f>
        <v>173943343</v>
      </c>
      <c r="S13" s="362">
        <f>+'Asset Classification'!N13</f>
        <v>0</v>
      </c>
      <c r="T13" s="363">
        <f>+'Asset Classification'!O13</f>
        <v>2184405</v>
      </c>
      <c r="U13" s="362">
        <f t="shared" si="7"/>
        <v>43485835.75</v>
      </c>
      <c r="V13" s="362">
        <f t="shared" si="8"/>
        <v>-41301430.75</v>
      </c>
      <c r="W13" s="362">
        <f>+'Asset Classification'!P13</f>
        <v>0</v>
      </c>
      <c r="X13" s="362">
        <f t="shared" si="9"/>
        <v>0</v>
      </c>
      <c r="Y13" s="362">
        <f t="shared" si="10"/>
        <v>0</v>
      </c>
      <c r="Z13" s="363">
        <f>+'Asset Classification'!Q13</f>
        <v>110154468</v>
      </c>
      <c r="AA13" s="362">
        <f>+'Asset Classification'!R13</f>
        <v>0</v>
      </c>
      <c r="AB13" s="363">
        <f>+'Asset Classification'!S13</f>
        <v>853013</v>
      </c>
      <c r="AC13" s="362">
        <f t="shared" si="11"/>
        <v>55077234</v>
      </c>
      <c r="AD13" s="362">
        <f t="shared" si="12"/>
        <v>-54224221</v>
      </c>
      <c r="AE13" s="362">
        <f>+'Asset Classification'!T13</f>
        <v>0</v>
      </c>
      <c r="AF13" s="362">
        <f t="shared" si="13"/>
        <v>0</v>
      </c>
      <c r="AG13" s="362">
        <f t="shared" si="14"/>
        <v>0</v>
      </c>
      <c r="AH13" s="363">
        <f>+'Asset Classification'!U13</f>
        <v>123066186</v>
      </c>
      <c r="AI13" s="362">
        <f>+'Asset Classification'!V13</f>
        <v>0</v>
      </c>
      <c r="AJ13" s="363">
        <f>+'Asset Classification'!W13</f>
        <v>351268</v>
      </c>
      <c r="AK13" s="362">
        <f t="shared" si="15"/>
        <v>123066186</v>
      </c>
      <c r="AL13" s="362">
        <f t="shared" si="16"/>
        <v>-122714918</v>
      </c>
      <c r="AM13" s="362">
        <f>+'Asset Classification'!X13</f>
        <v>0</v>
      </c>
      <c r="AN13" s="362">
        <f t="shared" si="17"/>
        <v>0</v>
      </c>
      <c r="AO13" s="362">
        <f t="shared" si="18"/>
        <v>0</v>
      </c>
      <c r="AP13" s="357">
        <f t="shared" si="19"/>
        <v>9077535</v>
      </c>
      <c r="AQ13" s="357">
        <f t="shared" si="19"/>
        <v>316226594.05000001</v>
      </c>
      <c r="AR13" s="357">
        <f t="shared" si="20"/>
        <v>-307149059.05000001</v>
      </c>
      <c r="AS13" s="362">
        <f t="shared" si="0"/>
        <v>0</v>
      </c>
      <c r="AT13" s="362">
        <f t="shared" si="0"/>
        <v>0</v>
      </c>
      <c r="AU13" s="362">
        <f t="shared" si="21"/>
        <v>0</v>
      </c>
      <c r="AV13" s="132">
        <f>+'Aging Analysis'!C12</f>
        <v>8419167816</v>
      </c>
      <c r="AW13" s="130"/>
      <c r="AX13" s="130"/>
      <c r="AY13" s="130"/>
      <c r="AZ13" s="130"/>
      <c r="BA13" s="130"/>
      <c r="BB13" s="130"/>
      <c r="BC13" s="130"/>
    </row>
    <row r="14" spans="1:55" s="12" customFormat="1" ht="14.25" customHeight="1">
      <c r="A14" s="219"/>
      <c r="B14" s="221" t="s">
        <v>572</v>
      </c>
      <c r="C14" s="361">
        <f>+'Asset Classification'!C14</f>
        <v>0</v>
      </c>
      <c r="D14" s="362">
        <f>+'Asset Classification'!D14</f>
        <v>0</v>
      </c>
      <c r="E14" s="363">
        <f>+'Asset Classification'!E14</f>
        <v>0</v>
      </c>
      <c r="F14" s="362">
        <f>+'Asset Classification'!F14</f>
        <v>0</v>
      </c>
      <c r="G14" s="363">
        <f>+'Asset Classification'!G14</f>
        <v>0</v>
      </c>
      <c r="H14" s="362">
        <f t="shared" si="1"/>
        <v>0</v>
      </c>
      <c r="I14" s="362">
        <f t="shared" si="2"/>
        <v>0</v>
      </c>
      <c r="J14" s="363">
        <f>+'Asset Classification'!I14</f>
        <v>0</v>
      </c>
      <c r="K14" s="362">
        <f>+'Asset Classification'!J14</f>
        <v>0</v>
      </c>
      <c r="L14" s="363">
        <f>+'Asset Classification'!K14</f>
        <v>0</v>
      </c>
      <c r="M14" s="362">
        <f t="shared" si="3"/>
        <v>0</v>
      </c>
      <c r="N14" s="362">
        <f t="shared" si="4"/>
        <v>0</v>
      </c>
      <c r="O14" s="362">
        <f>+'Asset Classification'!L14</f>
        <v>0</v>
      </c>
      <c r="P14" s="362">
        <f t="shared" si="5"/>
        <v>0</v>
      </c>
      <c r="Q14" s="362">
        <f t="shared" si="6"/>
        <v>0</v>
      </c>
      <c r="R14" s="363">
        <f>+'Asset Classification'!M14</f>
        <v>0</v>
      </c>
      <c r="S14" s="362">
        <f>+'Asset Classification'!N14</f>
        <v>0</v>
      </c>
      <c r="T14" s="363">
        <f>+'Asset Classification'!O14</f>
        <v>0</v>
      </c>
      <c r="U14" s="362">
        <f t="shared" si="7"/>
        <v>0</v>
      </c>
      <c r="V14" s="362">
        <f t="shared" si="8"/>
        <v>0</v>
      </c>
      <c r="W14" s="362">
        <f>+'Asset Classification'!P14</f>
        <v>0</v>
      </c>
      <c r="X14" s="362">
        <f t="shared" si="9"/>
        <v>0</v>
      </c>
      <c r="Y14" s="362">
        <f t="shared" si="10"/>
        <v>0</v>
      </c>
      <c r="Z14" s="363">
        <f>+'Asset Classification'!Q14</f>
        <v>0</v>
      </c>
      <c r="AA14" s="362">
        <f>+'Asset Classification'!R14</f>
        <v>0</v>
      </c>
      <c r="AB14" s="363">
        <f>+'Asset Classification'!S14</f>
        <v>0</v>
      </c>
      <c r="AC14" s="362">
        <f t="shared" si="11"/>
        <v>0</v>
      </c>
      <c r="AD14" s="362">
        <f t="shared" si="12"/>
        <v>0</v>
      </c>
      <c r="AE14" s="362">
        <f>+'Asset Classification'!T14</f>
        <v>0</v>
      </c>
      <c r="AF14" s="362">
        <f t="shared" si="13"/>
        <v>0</v>
      </c>
      <c r="AG14" s="362">
        <f t="shared" si="14"/>
        <v>0</v>
      </c>
      <c r="AH14" s="363">
        <f>+'Asset Classification'!U14</f>
        <v>0</v>
      </c>
      <c r="AI14" s="362">
        <f>+'Asset Classification'!V14</f>
        <v>0</v>
      </c>
      <c r="AJ14" s="363">
        <f>+'Asset Classification'!W14</f>
        <v>0</v>
      </c>
      <c r="AK14" s="362">
        <f t="shared" si="15"/>
        <v>0</v>
      </c>
      <c r="AL14" s="362">
        <f t="shared" si="16"/>
        <v>0</v>
      </c>
      <c r="AM14" s="362">
        <f>+'Asset Classification'!X14</f>
        <v>0</v>
      </c>
      <c r="AN14" s="362">
        <f t="shared" si="17"/>
        <v>0</v>
      </c>
      <c r="AO14" s="362">
        <f t="shared" si="18"/>
        <v>0</v>
      </c>
      <c r="AP14" s="357">
        <f t="shared" si="19"/>
        <v>0</v>
      </c>
      <c r="AQ14" s="357">
        <f t="shared" si="19"/>
        <v>0</v>
      </c>
      <c r="AR14" s="357">
        <f t="shared" si="20"/>
        <v>0</v>
      </c>
      <c r="AS14" s="362">
        <f t="shared" si="0"/>
        <v>0</v>
      </c>
      <c r="AT14" s="362">
        <f t="shared" si="0"/>
        <v>0</v>
      </c>
      <c r="AU14" s="362">
        <f t="shared" si="21"/>
        <v>0</v>
      </c>
      <c r="AW14" s="130"/>
      <c r="AX14" s="130"/>
      <c r="AY14" s="130"/>
      <c r="AZ14" s="130"/>
      <c r="BA14" s="130"/>
      <c r="BB14" s="130"/>
      <c r="BC14" s="130"/>
    </row>
    <row r="15" spans="1:55" s="12" customFormat="1" ht="23.25" customHeight="1">
      <c r="A15" s="219">
        <v>5</v>
      </c>
      <c r="B15" s="57" t="s">
        <v>574</v>
      </c>
      <c r="C15" s="361">
        <f>+'Asset Classification'!C15</f>
        <v>268361120</v>
      </c>
      <c r="D15" s="362">
        <f>+'Asset Classification'!D15</f>
        <v>220175617</v>
      </c>
      <c r="E15" s="363">
        <f>+'Asset Classification'!E15</f>
        <v>259542278</v>
      </c>
      <c r="F15" s="362">
        <f>+'Asset Classification'!F15</f>
        <v>211517405</v>
      </c>
      <c r="G15" s="363">
        <f>+'Asset Classification'!G15</f>
        <v>82518</v>
      </c>
      <c r="H15" s="362">
        <f t="shared" si="1"/>
        <v>2595422.7800000003</v>
      </c>
      <c r="I15" s="362">
        <f t="shared" si="2"/>
        <v>-2512904.7800000003</v>
      </c>
      <c r="J15" s="363">
        <f>+'Asset Classification'!I15</f>
        <v>0</v>
      </c>
      <c r="K15" s="362">
        <f>+'Asset Classification'!J15</f>
        <v>0</v>
      </c>
      <c r="L15" s="363">
        <f>+'Asset Classification'!K15</f>
        <v>0</v>
      </c>
      <c r="M15" s="362">
        <f t="shared" si="3"/>
        <v>0</v>
      </c>
      <c r="N15" s="362">
        <f t="shared" si="4"/>
        <v>0</v>
      </c>
      <c r="O15" s="362">
        <f>+'Asset Classification'!L15</f>
        <v>0</v>
      </c>
      <c r="P15" s="362">
        <f t="shared" si="5"/>
        <v>0</v>
      </c>
      <c r="Q15" s="362">
        <f t="shared" si="6"/>
        <v>0</v>
      </c>
      <c r="R15" s="363">
        <f>+'Asset Classification'!M15</f>
        <v>8658212</v>
      </c>
      <c r="S15" s="362">
        <f>+'Asset Classification'!N15</f>
        <v>8658212</v>
      </c>
      <c r="T15" s="363">
        <f>+'Asset Classification'!O15</f>
        <v>0</v>
      </c>
      <c r="U15" s="362">
        <f t="shared" si="7"/>
        <v>2164553</v>
      </c>
      <c r="V15" s="362">
        <f t="shared" si="8"/>
        <v>-2164553</v>
      </c>
      <c r="W15" s="362">
        <f>+'Asset Classification'!P15</f>
        <v>0</v>
      </c>
      <c r="X15" s="362">
        <f t="shared" si="9"/>
        <v>2164553</v>
      </c>
      <c r="Y15" s="362">
        <f t="shared" si="10"/>
        <v>-2164553</v>
      </c>
      <c r="Z15" s="363">
        <f>+'Asset Classification'!Q15</f>
        <v>160630</v>
      </c>
      <c r="AA15" s="362">
        <f>+'Asset Classification'!R15</f>
        <v>0</v>
      </c>
      <c r="AB15" s="363">
        <f>+'Asset Classification'!S15</f>
        <v>160630</v>
      </c>
      <c r="AC15" s="362">
        <f t="shared" si="11"/>
        <v>80315</v>
      </c>
      <c r="AD15" s="362">
        <f t="shared" si="12"/>
        <v>80315</v>
      </c>
      <c r="AE15" s="362">
        <f>+'Asset Classification'!T15</f>
        <v>0</v>
      </c>
      <c r="AF15" s="362">
        <f t="shared" si="13"/>
        <v>0</v>
      </c>
      <c r="AG15" s="362">
        <f t="shared" si="14"/>
        <v>0</v>
      </c>
      <c r="AH15" s="363">
        <f>+'Asset Classification'!U15</f>
        <v>0</v>
      </c>
      <c r="AI15" s="362">
        <f>+'Asset Classification'!V15</f>
        <v>0</v>
      </c>
      <c r="AJ15" s="363">
        <f>+'Asset Classification'!W15</f>
        <v>0</v>
      </c>
      <c r="AK15" s="362">
        <f t="shared" si="15"/>
        <v>0</v>
      </c>
      <c r="AL15" s="362">
        <f t="shared" si="16"/>
        <v>0</v>
      </c>
      <c r="AM15" s="362">
        <f>+'Asset Classification'!X15</f>
        <v>0</v>
      </c>
      <c r="AN15" s="362">
        <f t="shared" si="17"/>
        <v>0</v>
      </c>
      <c r="AO15" s="362">
        <f t="shared" si="18"/>
        <v>0</v>
      </c>
      <c r="AP15" s="357">
        <f t="shared" si="19"/>
        <v>160630</v>
      </c>
      <c r="AQ15" s="357">
        <f t="shared" si="19"/>
        <v>2244868</v>
      </c>
      <c r="AR15" s="357">
        <f t="shared" si="20"/>
        <v>-2084238</v>
      </c>
      <c r="AS15" s="362">
        <f t="shared" si="0"/>
        <v>0</v>
      </c>
      <c r="AT15" s="362">
        <f t="shared" si="0"/>
        <v>2164553</v>
      </c>
      <c r="AU15" s="362">
        <f t="shared" si="21"/>
        <v>-2164553</v>
      </c>
      <c r="AV15" s="132">
        <f>+'Aging Analysis'!C13</f>
        <v>268361120</v>
      </c>
      <c r="AW15" s="130"/>
      <c r="AX15" s="130"/>
      <c r="AY15" s="130"/>
      <c r="AZ15" s="130"/>
      <c r="BA15" s="130"/>
      <c r="BB15" s="130"/>
      <c r="BC15" s="130"/>
    </row>
    <row r="16" spans="1:55" s="12" customFormat="1" ht="14.25" customHeight="1">
      <c r="A16" s="219"/>
      <c r="B16" s="221" t="s">
        <v>572</v>
      </c>
      <c r="C16" s="361">
        <f>+'Asset Classification'!C16</f>
        <v>0</v>
      </c>
      <c r="D16" s="362">
        <f>+'Asset Classification'!D16</f>
        <v>0</v>
      </c>
      <c r="E16" s="363">
        <f>+'Asset Classification'!E16</f>
        <v>0</v>
      </c>
      <c r="F16" s="362">
        <f>+'Asset Classification'!F16</f>
        <v>0</v>
      </c>
      <c r="G16" s="363">
        <f>+'Asset Classification'!G16</f>
        <v>0</v>
      </c>
      <c r="H16" s="362">
        <f t="shared" si="1"/>
        <v>0</v>
      </c>
      <c r="I16" s="362">
        <f t="shared" si="2"/>
        <v>0</v>
      </c>
      <c r="J16" s="363">
        <f>+'Asset Classification'!I16</f>
        <v>0</v>
      </c>
      <c r="K16" s="362">
        <f>+'Asset Classification'!J16</f>
        <v>0</v>
      </c>
      <c r="L16" s="363">
        <f>+'Asset Classification'!K16</f>
        <v>0</v>
      </c>
      <c r="M16" s="362">
        <f t="shared" si="3"/>
        <v>0</v>
      </c>
      <c r="N16" s="362">
        <f t="shared" si="4"/>
        <v>0</v>
      </c>
      <c r="O16" s="362">
        <f>+'Asset Classification'!L16</f>
        <v>0</v>
      </c>
      <c r="P16" s="362">
        <f t="shared" si="5"/>
        <v>0</v>
      </c>
      <c r="Q16" s="362">
        <f t="shared" si="6"/>
        <v>0</v>
      </c>
      <c r="R16" s="363">
        <f>+'Asset Classification'!M16</f>
        <v>0</v>
      </c>
      <c r="S16" s="362">
        <f>+'Asset Classification'!N16</f>
        <v>0</v>
      </c>
      <c r="T16" s="363">
        <f>+'Asset Classification'!O16</f>
        <v>0</v>
      </c>
      <c r="U16" s="362">
        <f t="shared" si="7"/>
        <v>0</v>
      </c>
      <c r="V16" s="362">
        <f t="shared" si="8"/>
        <v>0</v>
      </c>
      <c r="W16" s="362">
        <f>+'Asset Classification'!P16</f>
        <v>0</v>
      </c>
      <c r="X16" s="362">
        <f t="shared" si="9"/>
        <v>0</v>
      </c>
      <c r="Y16" s="362">
        <f t="shared" si="10"/>
        <v>0</v>
      </c>
      <c r="Z16" s="363">
        <f>+'Asset Classification'!Q16</f>
        <v>0</v>
      </c>
      <c r="AA16" s="362">
        <f>+'Asset Classification'!R16</f>
        <v>0</v>
      </c>
      <c r="AB16" s="363">
        <f>+'Asset Classification'!S16</f>
        <v>0</v>
      </c>
      <c r="AC16" s="362">
        <f t="shared" si="11"/>
        <v>0</v>
      </c>
      <c r="AD16" s="362">
        <f t="shared" si="12"/>
        <v>0</v>
      </c>
      <c r="AE16" s="362">
        <f>+'Asset Classification'!T16</f>
        <v>0</v>
      </c>
      <c r="AF16" s="362">
        <f t="shared" si="13"/>
        <v>0</v>
      </c>
      <c r="AG16" s="362">
        <f t="shared" si="14"/>
        <v>0</v>
      </c>
      <c r="AH16" s="363">
        <f>+'Asset Classification'!U16</f>
        <v>0</v>
      </c>
      <c r="AI16" s="362">
        <f>+'Asset Classification'!V16</f>
        <v>0</v>
      </c>
      <c r="AJ16" s="363">
        <f>+'Asset Classification'!W16</f>
        <v>0</v>
      </c>
      <c r="AK16" s="362">
        <f t="shared" si="15"/>
        <v>0</v>
      </c>
      <c r="AL16" s="362">
        <f t="shared" si="16"/>
        <v>0</v>
      </c>
      <c r="AM16" s="362">
        <f>+'Asset Classification'!X16</f>
        <v>0</v>
      </c>
      <c r="AN16" s="362">
        <f t="shared" si="17"/>
        <v>0</v>
      </c>
      <c r="AO16" s="362">
        <f t="shared" si="18"/>
        <v>0</v>
      </c>
      <c r="AP16" s="357">
        <f t="shared" si="19"/>
        <v>0</v>
      </c>
      <c r="AQ16" s="357">
        <f t="shared" si="19"/>
        <v>0</v>
      </c>
      <c r="AR16" s="357">
        <f t="shared" si="20"/>
        <v>0</v>
      </c>
      <c r="AS16" s="362">
        <f t="shared" si="0"/>
        <v>0</v>
      </c>
      <c r="AT16" s="362">
        <f t="shared" si="0"/>
        <v>0</v>
      </c>
      <c r="AU16" s="362">
        <f t="shared" si="21"/>
        <v>0</v>
      </c>
      <c r="AW16" s="130"/>
      <c r="AX16" s="130"/>
      <c r="AY16" s="130"/>
      <c r="AZ16" s="130"/>
      <c r="BA16" s="130"/>
      <c r="BB16" s="130"/>
      <c r="BC16" s="130"/>
    </row>
    <row r="17" spans="1:55" s="12" customFormat="1" ht="23.25" customHeight="1">
      <c r="A17" s="219">
        <v>6</v>
      </c>
      <c r="B17" s="57" t="s">
        <v>331</v>
      </c>
      <c r="C17" s="361">
        <f>+'Asset Classification'!C17</f>
        <v>205430203</v>
      </c>
      <c r="D17" s="362">
        <f>+'Asset Classification'!D17</f>
        <v>142513572</v>
      </c>
      <c r="E17" s="363">
        <f>+'Asset Classification'!E17</f>
        <v>158461630</v>
      </c>
      <c r="F17" s="362">
        <f>+'Asset Classification'!F17</f>
        <v>95933880</v>
      </c>
      <c r="G17" s="363">
        <f>+'Asset Classification'!G17</f>
        <v>21064</v>
      </c>
      <c r="H17" s="362">
        <f t="shared" si="1"/>
        <v>1584616.3</v>
      </c>
      <c r="I17" s="362">
        <f t="shared" si="2"/>
        <v>-1563552.3</v>
      </c>
      <c r="J17" s="363">
        <f>+'Asset Classification'!I17</f>
        <v>45976841</v>
      </c>
      <c r="K17" s="362">
        <f>+'Asset Classification'!J17</f>
        <v>45976841</v>
      </c>
      <c r="L17" s="363">
        <f>+'Asset Classification'!K17</f>
        <v>0</v>
      </c>
      <c r="M17" s="362">
        <f t="shared" si="3"/>
        <v>4597684.1000000006</v>
      </c>
      <c r="N17" s="362">
        <f t="shared" si="4"/>
        <v>-4597684.1000000006</v>
      </c>
      <c r="O17" s="362">
        <f>+'Asset Classification'!L17</f>
        <v>0</v>
      </c>
      <c r="P17" s="362">
        <f t="shared" si="5"/>
        <v>4597684.1000000006</v>
      </c>
      <c r="Q17" s="362">
        <f t="shared" si="6"/>
        <v>-4597684.1000000006</v>
      </c>
      <c r="R17" s="363">
        <f>+'Asset Classification'!M17</f>
        <v>0</v>
      </c>
      <c r="S17" s="362">
        <f>+'Asset Classification'!N17</f>
        <v>0</v>
      </c>
      <c r="T17" s="363">
        <f>+'Asset Classification'!O17</f>
        <v>0</v>
      </c>
      <c r="U17" s="362">
        <f t="shared" si="7"/>
        <v>0</v>
      </c>
      <c r="V17" s="362">
        <f t="shared" si="8"/>
        <v>0</v>
      </c>
      <c r="W17" s="362">
        <f>+'Asset Classification'!P17</f>
        <v>0</v>
      </c>
      <c r="X17" s="362">
        <f t="shared" si="9"/>
        <v>0</v>
      </c>
      <c r="Y17" s="362">
        <f t="shared" si="10"/>
        <v>0</v>
      </c>
      <c r="Z17" s="363">
        <f>+'Asset Classification'!Q17</f>
        <v>388881</v>
      </c>
      <c r="AA17" s="362">
        <f>+'Asset Classification'!R17</f>
        <v>0</v>
      </c>
      <c r="AB17" s="363">
        <f>+'Asset Classification'!S17</f>
        <v>194440</v>
      </c>
      <c r="AC17" s="362">
        <f t="shared" si="11"/>
        <v>194440.5</v>
      </c>
      <c r="AD17" s="362">
        <f t="shared" si="12"/>
        <v>-0.5</v>
      </c>
      <c r="AE17" s="362">
        <f>+'Asset Classification'!T17</f>
        <v>0</v>
      </c>
      <c r="AF17" s="362">
        <f t="shared" si="13"/>
        <v>0</v>
      </c>
      <c r="AG17" s="362">
        <f t="shared" si="14"/>
        <v>0</v>
      </c>
      <c r="AH17" s="363">
        <f>+'Asset Classification'!U17</f>
        <v>602851</v>
      </c>
      <c r="AI17" s="362">
        <f>+'Asset Classification'!V17</f>
        <v>602851</v>
      </c>
      <c r="AJ17" s="363">
        <f>+'Asset Classification'!W17</f>
        <v>301425</v>
      </c>
      <c r="AK17" s="362">
        <f t="shared" si="15"/>
        <v>602851</v>
      </c>
      <c r="AL17" s="362">
        <f t="shared" si="16"/>
        <v>-301426</v>
      </c>
      <c r="AM17" s="362">
        <f>+'Asset Classification'!X17</f>
        <v>301425</v>
      </c>
      <c r="AN17" s="362">
        <f t="shared" si="17"/>
        <v>602851</v>
      </c>
      <c r="AO17" s="362">
        <f t="shared" si="18"/>
        <v>-301426</v>
      </c>
      <c r="AP17" s="357">
        <f t="shared" si="19"/>
        <v>495865</v>
      </c>
      <c r="AQ17" s="357">
        <f t="shared" si="19"/>
        <v>5394975.6000000006</v>
      </c>
      <c r="AR17" s="357">
        <f t="shared" si="20"/>
        <v>-4899110.6000000006</v>
      </c>
      <c r="AS17" s="362">
        <f t="shared" si="0"/>
        <v>301425</v>
      </c>
      <c r="AT17" s="362">
        <f t="shared" si="0"/>
        <v>5200535.1000000006</v>
      </c>
      <c r="AU17" s="362">
        <f t="shared" si="21"/>
        <v>-4899110.1000000006</v>
      </c>
      <c r="AV17" s="132">
        <f>+'Aging Analysis'!C14</f>
        <v>205430203</v>
      </c>
      <c r="AW17" s="130"/>
      <c r="AX17" s="130"/>
      <c r="AY17" s="130"/>
      <c r="AZ17" s="130"/>
      <c r="BA17" s="130"/>
      <c r="BB17" s="130"/>
      <c r="BC17" s="130"/>
    </row>
    <row r="18" spans="1:55" s="12" customFormat="1" ht="14.25" customHeight="1">
      <c r="A18" s="219"/>
      <c r="B18" s="221" t="s">
        <v>572</v>
      </c>
      <c r="C18" s="361">
        <f>+'Asset Classification'!C18</f>
        <v>0</v>
      </c>
      <c r="D18" s="362">
        <f>+'Asset Classification'!D18</f>
        <v>0</v>
      </c>
      <c r="E18" s="363">
        <f>+'Asset Classification'!E18</f>
        <v>0</v>
      </c>
      <c r="F18" s="362">
        <f>+'Asset Classification'!F18</f>
        <v>0</v>
      </c>
      <c r="G18" s="363">
        <f>+'Asset Classification'!G18</f>
        <v>0</v>
      </c>
      <c r="H18" s="362">
        <f t="shared" si="1"/>
        <v>0</v>
      </c>
      <c r="I18" s="362">
        <f t="shared" si="2"/>
        <v>0</v>
      </c>
      <c r="J18" s="363">
        <f>+'Asset Classification'!I18</f>
        <v>0</v>
      </c>
      <c r="K18" s="362">
        <f>+'Asset Classification'!J18</f>
        <v>0</v>
      </c>
      <c r="L18" s="363">
        <f>+'Asset Classification'!K18</f>
        <v>0</v>
      </c>
      <c r="M18" s="362">
        <f t="shared" si="3"/>
        <v>0</v>
      </c>
      <c r="N18" s="362">
        <f t="shared" si="4"/>
        <v>0</v>
      </c>
      <c r="O18" s="362">
        <f>+'Asset Classification'!L18</f>
        <v>0</v>
      </c>
      <c r="P18" s="362">
        <f t="shared" si="5"/>
        <v>0</v>
      </c>
      <c r="Q18" s="362">
        <f t="shared" si="6"/>
        <v>0</v>
      </c>
      <c r="R18" s="363">
        <f>+'Asset Classification'!M18</f>
        <v>0</v>
      </c>
      <c r="S18" s="362">
        <f>+'Asset Classification'!N18</f>
        <v>0</v>
      </c>
      <c r="T18" s="363">
        <f>+'Asset Classification'!O18</f>
        <v>0</v>
      </c>
      <c r="U18" s="362">
        <f t="shared" si="7"/>
        <v>0</v>
      </c>
      <c r="V18" s="362">
        <f t="shared" si="8"/>
        <v>0</v>
      </c>
      <c r="W18" s="362">
        <f>+'Asset Classification'!P18</f>
        <v>0</v>
      </c>
      <c r="X18" s="362">
        <f t="shared" si="9"/>
        <v>0</v>
      </c>
      <c r="Y18" s="362">
        <f t="shared" si="10"/>
        <v>0</v>
      </c>
      <c r="Z18" s="363">
        <f>+'Asset Classification'!Q18</f>
        <v>0</v>
      </c>
      <c r="AA18" s="362">
        <f>+'Asset Classification'!R18</f>
        <v>0</v>
      </c>
      <c r="AB18" s="363">
        <f>+'Asset Classification'!S18</f>
        <v>0</v>
      </c>
      <c r="AC18" s="362">
        <f t="shared" si="11"/>
        <v>0</v>
      </c>
      <c r="AD18" s="362">
        <f t="shared" si="12"/>
        <v>0</v>
      </c>
      <c r="AE18" s="362">
        <f>+'Asset Classification'!T18</f>
        <v>0</v>
      </c>
      <c r="AF18" s="362">
        <f t="shared" si="13"/>
        <v>0</v>
      </c>
      <c r="AG18" s="362">
        <f t="shared" si="14"/>
        <v>0</v>
      </c>
      <c r="AH18" s="363">
        <f>+'Asset Classification'!U18</f>
        <v>0</v>
      </c>
      <c r="AI18" s="362">
        <f>+'Asset Classification'!V18</f>
        <v>0</v>
      </c>
      <c r="AJ18" s="363">
        <f>+'Asset Classification'!W18</f>
        <v>0</v>
      </c>
      <c r="AK18" s="362">
        <f t="shared" si="15"/>
        <v>0</v>
      </c>
      <c r="AL18" s="362">
        <f t="shared" si="16"/>
        <v>0</v>
      </c>
      <c r="AM18" s="362">
        <f>+'Asset Classification'!X18</f>
        <v>0</v>
      </c>
      <c r="AN18" s="362">
        <f t="shared" si="17"/>
        <v>0</v>
      </c>
      <c r="AO18" s="362">
        <f t="shared" si="18"/>
        <v>0</v>
      </c>
      <c r="AP18" s="357">
        <f t="shared" si="19"/>
        <v>0</v>
      </c>
      <c r="AQ18" s="357">
        <f t="shared" si="19"/>
        <v>0</v>
      </c>
      <c r="AR18" s="357">
        <f t="shared" si="20"/>
        <v>0</v>
      </c>
      <c r="AS18" s="362">
        <f t="shared" si="0"/>
        <v>0</v>
      </c>
      <c r="AT18" s="362">
        <f t="shared" si="0"/>
        <v>0</v>
      </c>
      <c r="AU18" s="362">
        <f t="shared" si="21"/>
        <v>0</v>
      </c>
      <c r="AW18" s="130"/>
      <c r="AX18" s="130"/>
      <c r="AY18" s="130"/>
      <c r="AZ18" s="130"/>
      <c r="BA18" s="130"/>
      <c r="BB18" s="130"/>
      <c r="BC18" s="130"/>
    </row>
    <row r="19" spans="1:55" s="12" customFormat="1" ht="23.25" customHeight="1">
      <c r="A19" s="219">
        <v>7</v>
      </c>
      <c r="B19" s="57" t="s">
        <v>332</v>
      </c>
      <c r="C19" s="361">
        <f>+'Asset Classification'!C19</f>
        <v>11038064916</v>
      </c>
      <c r="D19" s="362">
        <f>+'Asset Classification'!D19</f>
        <v>3354480324</v>
      </c>
      <c r="E19" s="363">
        <f>+'Asset Classification'!E19</f>
        <v>9761052004</v>
      </c>
      <c r="F19" s="362">
        <f>+'Asset Classification'!F19</f>
        <v>2979124077</v>
      </c>
      <c r="G19" s="363">
        <f>+'Asset Classification'!G19</f>
        <v>37281069</v>
      </c>
      <c r="H19" s="362">
        <f t="shared" si="1"/>
        <v>97610520.040000007</v>
      </c>
      <c r="I19" s="362">
        <f t="shared" si="2"/>
        <v>-60329451.040000007</v>
      </c>
      <c r="J19" s="363">
        <f>+'Asset Classification'!I19</f>
        <v>824743581</v>
      </c>
      <c r="K19" s="362">
        <f>+'Asset Classification'!J19</f>
        <v>281921405</v>
      </c>
      <c r="L19" s="363">
        <f>+'Asset Classification'!K19</f>
        <v>15076750</v>
      </c>
      <c r="M19" s="362">
        <f t="shared" si="3"/>
        <v>82474358.100000009</v>
      </c>
      <c r="N19" s="362">
        <f t="shared" si="4"/>
        <v>-67397608.100000009</v>
      </c>
      <c r="O19" s="362">
        <f>+'Asset Classification'!L19</f>
        <v>4608229</v>
      </c>
      <c r="P19" s="362">
        <f t="shared" si="5"/>
        <v>28192140.5</v>
      </c>
      <c r="Q19" s="362">
        <f t="shared" si="6"/>
        <v>-23583911.5</v>
      </c>
      <c r="R19" s="363">
        <f>+'Asset Classification'!M19</f>
        <v>67399884</v>
      </c>
      <c r="S19" s="362">
        <f>+'Asset Classification'!N19</f>
        <v>7315986</v>
      </c>
      <c r="T19" s="363">
        <f>+'Asset Classification'!O19</f>
        <v>482494</v>
      </c>
      <c r="U19" s="362">
        <f t="shared" si="7"/>
        <v>16849971</v>
      </c>
      <c r="V19" s="362">
        <f t="shared" si="8"/>
        <v>-16367477</v>
      </c>
      <c r="W19" s="362">
        <f>+'Asset Classification'!P19</f>
        <v>0</v>
      </c>
      <c r="X19" s="362">
        <f t="shared" si="9"/>
        <v>1828996.5</v>
      </c>
      <c r="Y19" s="362">
        <f t="shared" si="10"/>
        <v>-1828996.5</v>
      </c>
      <c r="Z19" s="363">
        <f>+'Asset Classification'!Q19</f>
        <v>249641802</v>
      </c>
      <c r="AA19" s="362">
        <f>+'Asset Classification'!R19</f>
        <v>73657201</v>
      </c>
      <c r="AB19" s="363">
        <f>+'Asset Classification'!S19</f>
        <v>43186632</v>
      </c>
      <c r="AC19" s="362">
        <f t="shared" si="11"/>
        <v>124820901</v>
      </c>
      <c r="AD19" s="362">
        <f t="shared" si="12"/>
        <v>-81634269</v>
      </c>
      <c r="AE19" s="362">
        <f>+'Asset Classification'!T19</f>
        <v>14152805</v>
      </c>
      <c r="AF19" s="362">
        <f t="shared" si="13"/>
        <v>36828600.5</v>
      </c>
      <c r="AG19" s="362">
        <f t="shared" si="14"/>
        <v>-22675795.5</v>
      </c>
      <c r="AH19" s="363">
        <f>+'Asset Classification'!U19</f>
        <v>135227645</v>
      </c>
      <c r="AI19" s="362">
        <f>+'Asset Classification'!V19</f>
        <v>12461655</v>
      </c>
      <c r="AJ19" s="363">
        <f>+'Asset Classification'!W19</f>
        <v>53430722</v>
      </c>
      <c r="AK19" s="362">
        <f t="shared" si="15"/>
        <v>135227645</v>
      </c>
      <c r="AL19" s="362">
        <f t="shared" si="16"/>
        <v>-81796923</v>
      </c>
      <c r="AM19" s="362">
        <f>+'Asset Classification'!X19</f>
        <v>4647701</v>
      </c>
      <c r="AN19" s="362">
        <f t="shared" si="17"/>
        <v>12461655</v>
      </c>
      <c r="AO19" s="362">
        <f t="shared" si="18"/>
        <v>-7813954</v>
      </c>
      <c r="AP19" s="357">
        <f t="shared" si="19"/>
        <v>112176598</v>
      </c>
      <c r="AQ19" s="357">
        <f t="shared" si="19"/>
        <v>359372875.10000002</v>
      </c>
      <c r="AR19" s="357">
        <f t="shared" si="20"/>
        <v>-247196277.10000002</v>
      </c>
      <c r="AS19" s="362">
        <f t="shared" si="0"/>
        <v>23408735</v>
      </c>
      <c r="AT19" s="362">
        <f t="shared" si="0"/>
        <v>79311392.5</v>
      </c>
      <c r="AU19" s="362">
        <f t="shared" si="21"/>
        <v>-55902657.5</v>
      </c>
      <c r="AV19" s="132">
        <f>+'Aging Analysis'!C15</f>
        <v>11038064916</v>
      </c>
      <c r="AW19" s="130"/>
      <c r="AX19" s="130"/>
      <c r="AY19" s="130"/>
      <c r="AZ19" s="130"/>
      <c r="BA19" s="130"/>
      <c r="BB19" s="130"/>
      <c r="BC19" s="130"/>
    </row>
    <row r="20" spans="1:55" s="12" customFormat="1" ht="14.25" customHeight="1">
      <c r="A20" s="219"/>
      <c r="B20" s="221" t="s">
        <v>572</v>
      </c>
      <c r="C20" s="361">
        <f>+'Asset Classification'!C20</f>
        <v>0</v>
      </c>
      <c r="D20" s="362">
        <f>+'Asset Classification'!D20</f>
        <v>0</v>
      </c>
      <c r="E20" s="363">
        <f>+'Asset Classification'!E20</f>
        <v>0</v>
      </c>
      <c r="F20" s="362">
        <f>+'Asset Classification'!F20</f>
        <v>0</v>
      </c>
      <c r="G20" s="363">
        <f>+'Asset Classification'!G20</f>
        <v>0</v>
      </c>
      <c r="H20" s="362">
        <f t="shared" si="1"/>
        <v>0</v>
      </c>
      <c r="I20" s="362">
        <f t="shared" si="2"/>
        <v>0</v>
      </c>
      <c r="J20" s="363">
        <f>+'Asset Classification'!I20</f>
        <v>0</v>
      </c>
      <c r="K20" s="362">
        <f>+'Asset Classification'!J20</f>
        <v>0</v>
      </c>
      <c r="L20" s="363">
        <f>+'Asset Classification'!K20</f>
        <v>0</v>
      </c>
      <c r="M20" s="362">
        <f t="shared" si="3"/>
        <v>0</v>
      </c>
      <c r="N20" s="362">
        <f t="shared" si="4"/>
        <v>0</v>
      </c>
      <c r="O20" s="362">
        <f>+'Asset Classification'!L20</f>
        <v>0</v>
      </c>
      <c r="P20" s="362">
        <f t="shared" si="5"/>
        <v>0</v>
      </c>
      <c r="Q20" s="362">
        <f t="shared" si="6"/>
        <v>0</v>
      </c>
      <c r="R20" s="363">
        <f>+'Asset Classification'!M20</f>
        <v>0</v>
      </c>
      <c r="S20" s="362">
        <f>+'Asset Classification'!N20</f>
        <v>0</v>
      </c>
      <c r="T20" s="363">
        <f>+'Asset Classification'!O20</f>
        <v>0</v>
      </c>
      <c r="U20" s="362">
        <f t="shared" si="7"/>
        <v>0</v>
      </c>
      <c r="V20" s="362">
        <f t="shared" si="8"/>
        <v>0</v>
      </c>
      <c r="W20" s="362">
        <f>+'Asset Classification'!P20</f>
        <v>0</v>
      </c>
      <c r="X20" s="362">
        <f t="shared" si="9"/>
        <v>0</v>
      </c>
      <c r="Y20" s="362">
        <f t="shared" si="10"/>
        <v>0</v>
      </c>
      <c r="Z20" s="363">
        <f>+'Asset Classification'!Q20</f>
        <v>0</v>
      </c>
      <c r="AA20" s="362">
        <f>+'Asset Classification'!R20</f>
        <v>0</v>
      </c>
      <c r="AB20" s="363">
        <f>+'Asset Classification'!S20</f>
        <v>0</v>
      </c>
      <c r="AC20" s="362">
        <f t="shared" si="11"/>
        <v>0</v>
      </c>
      <c r="AD20" s="362">
        <f t="shared" si="12"/>
        <v>0</v>
      </c>
      <c r="AE20" s="362">
        <f>+'Asset Classification'!T20</f>
        <v>0</v>
      </c>
      <c r="AF20" s="362">
        <f t="shared" si="13"/>
        <v>0</v>
      </c>
      <c r="AG20" s="362">
        <f t="shared" si="14"/>
        <v>0</v>
      </c>
      <c r="AH20" s="363">
        <f>+'Asset Classification'!U20</f>
        <v>0</v>
      </c>
      <c r="AI20" s="362">
        <f>+'Asset Classification'!V20</f>
        <v>0</v>
      </c>
      <c r="AJ20" s="363">
        <f>+'Asset Classification'!W20</f>
        <v>0</v>
      </c>
      <c r="AK20" s="362">
        <f t="shared" si="15"/>
        <v>0</v>
      </c>
      <c r="AL20" s="362">
        <f t="shared" si="16"/>
        <v>0</v>
      </c>
      <c r="AM20" s="362">
        <f>+'Asset Classification'!X20</f>
        <v>0</v>
      </c>
      <c r="AN20" s="362">
        <f t="shared" si="17"/>
        <v>0</v>
      </c>
      <c r="AO20" s="362">
        <f t="shared" si="18"/>
        <v>0</v>
      </c>
      <c r="AP20" s="357">
        <f t="shared" si="19"/>
        <v>0</v>
      </c>
      <c r="AQ20" s="357">
        <f t="shared" si="19"/>
        <v>0</v>
      </c>
      <c r="AR20" s="357">
        <f t="shared" si="20"/>
        <v>0</v>
      </c>
      <c r="AS20" s="362">
        <f t="shared" si="0"/>
        <v>0</v>
      </c>
      <c r="AT20" s="362">
        <f t="shared" si="0"/>
        <v>0</v>
      </c>
      <c r="AU20" s="362">
        <f t="shared" si="21"/>
        <v>0</v>
      </c>
      <c r="AW20" s="130"/>
      <c r="AX20" s="130"/>
      <c r="AY20" s="130"/>
      <c r="AZ20" s="130"/>
      <c r="BA20" s="130"/>
      <c r="BB20" s="130"/>
      <c r="BC20" s="130"/>
    </row>
    <row r="21" spans="1:55" s="12" customFormat="1" ht="23.25" customHeight="1">
      <c r="A21" s="219">
        <v>8</v>
      </c>
      <c r="B21" s="57" t="s">
        <v>575</v>
      </c>
      <c r="C21" s="361">
        <f>+'Asset Classification'!C21</f>
        <v>339848885</v>
      </c>
      <c r="D21" s="362">
        <f>+'Asset Classification'!D21</f>
        <v>20829434</v>
      </c>
      <c r="E21" s="363">
        <f>+'Asset Classification'!E21</f>
        <v>299554132</v>
      </c>
      <c r="F21" s="362">
        <f>+'Asset Classification'!F21</f>
        <v>20704256</v>
      </c>
      <c r="G21" s="363">
        <f>+'Asset Classification'!G21</f>
        <v>1727521</v>
      </c>
      <c r="H21" s="362">
        <f t="shared" si="1"/>
        <v>2995541.32</v>
      </c>
      <c r="I21" s="362">
        <f t="shared" si="2"/>
        <v>-1268020.3199999998</v>
      </c>
      <c r="J21" s="363">
        <f>+'Asset Classification'!I21</f>
        <v>15534802</v>
      </c>
      <c r="K21" s="362">
        <f>+'Asset Classification'!J21</f>
        <v>125178</v>
      </c>
      <c r="L21" s="363">
        <f>+'Asset Classification'!K21</f>
        <v>846934</v>
      </c>
      <c r="M21" s="362">
        <f t="shared" si="3"/>
        <v>1553480.2000000002</v>
      </c>
      <c r="N21" s="362">
        <f t="shared" si="4"/>
        <v>-706546.20000000019</v>
      </c>
      <c r="O21" s="362">
        <f>+'Asset Classification'!L21</f>
        <v>0</v>
      </c>
      <c r="P21" s="362">
        <f t="shared" si="5"/>
        <v>12517.800000000001</v>
      </c>
      <c r="Q21" s="362">
        <f t="shared" si="6"/>
        <v>-12517.800000000001</v>
      </c>
      <c r="R21" s="363">
        <f>+'Asset Classification'!M21</f>
        <v>4150709</v>
      </c>
      <c r="S21" s="362">
        <f>+'Asset Classification'!N21</f>
        <v>0</v>
      </c>
      <c r="T21" s="363">
        <f>+'Asset Classification'!O21</f>
        <v>0</v>
      </c>
      <c r="U21" s="362">
        <f t="shared" si="7"/>
        <v>1037677.25</v>
      </c>
      <c r="V21" s="362">
        <f t="shared" si="8"/>
        <v>-1037677.25</v>
      </c>
      <c r="W21" s="362">
        <f>+'Asset Classification'!P21</f>
        <v>0</v>
      </c>
      <c r="X21" s="362">
        <f t="shared" si="9"/>
        <v>0</v>
      </c>
      <c r="Y21" s="362">
        <f t="shared" si="10"/>
        <v>0</v>
      </c>
      <c r="Z21" s="363">
        <f>+'Asset Classification'!Q21</f>
        <v>13619621</v>
      </c>
      <c r="AA21" s="362">
        <f>+'Asset Classification'!R21</f>
        <v>0</v>
      </c>
      <c r="AB21" s="363">
        <f>+'Asset Classification'!S21</f>
        <v>2770912</v>
      </c>
      <c r="AC21" s="362">
        <f t="shared" si="11"/>
        <v>6809810.5</v>
      </c>
      <c r="AD21" s="362">
        <f t="shared" si="12"/>
        <v>-4038898.5</v>
      </c>
      <c r="AE21" s="362">
        <f>+'Asset Classification'!T21</f>
        <v>0</v>
      </c>
      <c r="AF21" s="362">
        <f t="shared" si="13"/>
        <v>0</v>
      </c>
      <c r="AG21" s="362">
        <f t="shared" si="14"/>
        <v>0</v>
      </c>
      <c r="AH21" s="363">
        <f>+'Asset Classification'!U21</f>
        <v>6989621</v>
      </c>
      <c r="AI21" s="362">
        <f>+'Asset Classification'!V21</f>
        <v>0</v>
      </c>
      <c r="AJ21" s="363">
        <f>+'Asset Classification'!W21</f>
        <v>2168138</v>
      </c>
      <c r="AK21" s="362">
        <f t="shared" si="15"/>
        <v>6989621</v>
      </c>
      <c r="AL21" s="362">
        <f t="shared" si="16"/>
        <v>-4821483</v>
      </c>
      <c r="AM21" s="362">
        <f>+'Asset Classification'!X21</f>
        <v>0</v>
      </c>
      <c r="AN21" s="362">
        <f t="shared" si="17"/>
        <v>0</v>
      </c>
      <c r="AO21" s="362">
        <f t="shared" si="18"/>
        <v>0</v>
      </c>
      <c r="AP21" s="357">
        <f t="shared" si="19"/>
        <v>5785984</v>
      </c>
      <c r="AQ21" s="357">
        <f t="shared" si="19"/>
        <v>16390588.949999999</v>
      </c>
      <c r="AR21" s="357">
        <f t="shared" si="20"/>
        <v>-10604604.949999999</v>
      </c>
      <c r="AS21" s="362">
        <f t="shared" si="0"/>
        <v>0</v>
      </c>
      <c r="AT21" s="362">
        <f t="shared" si="0"/>
        <v>12517.800000000001</v>
      </c>
      <c r="AU21" s="362">
        <f t="shared" si="21"/>
        <v>-12517.800000000001</v>
      </c>
      <c r="AV21" s="132">
        <f>+'Aging Analysis'!C16</f>
        <v>339848885</v>
      </c>
      <c r="AW21" s="130"/>
      <c r="AX21" s="130"/>
      <c r="AY21" s="130"/>
      <c r="AZ21" s="130"/>
      <c r="BA21" s="130"/>
      <c r="BB21" s="130"/>
      <c r="BC21" s="130"/>
    </row>
    <row r="22" spans="1:55" s="12" customFormat="1" ht="14.25" customHeight="1">
      <c r="A22" s="219"/>
      <c r="B22" s="221" t="s">
        <v>572</v>
      </c>
      <c r="C22" s="361">
        <f>+'Asset Classification'!C22</f>
        <v>0</v>
      </c>
      <c r="D22" s="362">
        <f>+'Asset Classification'!D22</f>
        <v>0</v>
      </c>
      <c r="E22" s="363">
        <f>+'Asset Classification'!E22</f>
        <v>0</v>
      </c>
      <c r="F22" s="362">
        <f>+'Asset Classification'!F22</f>
        <v>0</v>
      </c>
      <c r="G22" s="363">
        <f>+'Asset Classification'!G22</f>
        <v>0</v>
      </c>
      <c r="H22" s="362">
        <f t="shared" si="1"/>
        <v>0</v>
      </c>
      <c r="I22" s="362">
        <f t="shared" si="2"/>
        <v>0</v>
      </c>
      <c r="J22" s="363">
        <f>+'Asset Classification'!I22</f>
        <v>0</v>
      </c>
      <c r="K22" s="362">
        <f>+'Asset Classification'!J22</f>
        <v>0</v>
      </c>
      <c r="L22" s="363">
        <f>+'Asset Classification'!K22</f>
        <v>0</v>
      </c>
      <c r="M22" s="362">
        <f t="shared" si="3"/>
        <v>0</v>
      </c>
      <c r="N22" s="362">
        <f t="shared" si="4"/>
        <v>0</v>
      </c>
      <c r="O22" s="362">
        <f>+'Asset Classification'!L22</f>
        <v>0</v>
      </c>
      <c r="P22" s="362">
        <f t="shared" si="5"/>
        <v>0</v>
      </c>
      <c r="Q22" s="362">
        <f t="shared" si="6"/>
        <v>0</v>
      </c>
      <c r="R22" s="363">
        <f>+'Asset Classification'!M22</f>
        <v>0</v>
      </c>
      <c r="S22" s="362">
        <f>+'Asset Classification'!N22</f>
        <v>0</v>
      </c>
      <c r="T22" s="363">
        <f>+'Asset Classification'!O22</f>
        <v>0</v>
      </c>
      <c r="U22" s="362">
        <f t="shared" si="7"/>
        <v>0</v>
      </c>
      <c r="V22" s="362">
        <f t="shared" si="8"/>
        <v>0</v>
      </c>
      <c r="W22" s="362">
        <f>+'Asset Classification'!P22</f>
        <v>0</v>
      </c>
      <c r="X22" s="362">
        <f t="shared" si="9"/>
        <v>0</v>
      </c>
      <c r="Y22" s="362">
        <f t="shared" si="10"/>
        <v>0</v>
      </c>
      <c r="Z22" s="363">
        <f>+'Asset Classification'!Q22</f>
        <v>0</v>
      </c>
      <c r="AA22" s="362">
        <f>+'Asset Classification'!R22</f>
        <v>0</v>
      </c>
      <c r="AB22" s="363">
        <f>+'Asset Classification'!S22</f>
        <v>0</v>
      </c>
      <c r="AC22" s="362">
        <f t="shared" si="11"/>
        <v>0</v>
      </c>
      <c r="AD22" s="362">
        <f t="shared" si="12"/>
        <v>0</v>
      </c>
      <c r="AE22" s="362">
        <f>+'Asset Classification'!T22</f>
        <v>0</v>
      </c>
      <c r="AF22" s="362">
        <f t="shared" si="13"/>
        <v>0</v>
      </c>
      <c r="AG22" s="362">
        <f t="shared" si="14"/>
        <v>0</v>
      </c>
      <c r="AH22" s="363">
        <f>+'Asset Classification'!U22</f>
        <v>0</v>
      </c>
      <c r="AI22" s="362">
        <f>+'Asset Classification'!V22</f>
        <v>0</v>
      </c>
      <c r="AJ22" s="363">
        <f>+'Asset Classification'!W22</f>
        <v>0</v>
      </c>
      <c r="AK22" s="362">
        <f t="shared" si="15"/>
        <v>0</v>
      </c>
      <c r="AL22" s="362">
        <f t="shared" si="16"/>
        <v>0</v>
      </c>
      <c r="AM22" s="362">
        <f>+'Asset Classification'!X22</f>
        <v>0</v>
      </c>
      <c r="AN22" s="362">
        <f t="shared" si="17"/>
        <v>0</v>
      </c>
      <c r="AO22" s="362">
        <f t="shared" si="18"/>
        <v>0</v>
      </c>
      <c r="AP22" s="357">
        <f t="shared" si="19"/>
        <v>0</v>
      </c>
      <c r="AQ22" s="357">
        <f t="shared" si="19"/>
        <v>0</v>
      </c>
      <c r="AR22" s="357">
        <f t="shared" si="20"/>
        <v>0</v>
      </c>
      <c r="AS22" s="362">
        <f t="shared" si="0"/>
        <v>0</v>
      </c>
      <c r="AT22" s="362">
        <f t="shared" si="0"/>
        <v>0</v>
      </c>
      <c r="AU22" s="362">
        <f t="shared" si="21"/>
        <v>0</v>
      </c>
      <c r="AW22" s="130"/>
      <c r="AX22" s="130"/>
      <c r="AY22" s="130"/>
      <c r="AZ22" s="130"/>
      <c r="BA22" s="130"/>
      <c r="BB22" s="130"/>
      <c r="BC22" s="130"/>
    </row>
    <row r="23" spans="1:55" s="12" customFormat="1" ht="23.25" customHeight="1">
      <c r="A23" s="219">
        <v>9</v>
      </c>
      <c r="B23" s="57" t="s">
        <v>576</v>
      </c>
      <c r="C23" s="361">
        <f>+'Asset Classification'!C23</f>
        <v>0</v>
      </c>
      <c r="D23" s="362">
        <f>+'Asset Classification'!D23</f>
        <v>0</v>
      </c>
      <c r="E23" s="363">
        <f>+'Asset Classification'!E23</f>
        <v>0</v>
      </c>
      <c r="F23" s="362">
        <f>+'Asset Classification'!F23</f>
        <v>0</v>
      </c>
      <c r="G23" s="363">
        <f>+'Asset Classification'!G23</f>
        <v>0</v>
      </c>
      <c r="H23" s="362">
        <f t="shared" si="1"/>
        <v>0</v>
      </c>
      <c r="I23" s="362">
        <f t="shared" si="2"/>
        <v>0</v>
      </c>
      <c r="J23" s="363">
        <f>+'Asset Classification'!I23</f>
        <v>0</v>
      </c>
      <c r="K23" s="362">
        <f>+'Asset Classification'!J23</f>
        <v>0</v>
      </c>
      <c r="L23" s="363">
        <f>+'Asset Classification'!K23</f>
        <v>0</v>
      </c>
      <c r="M23" s="362">
        <f t="shared" si="3"/>
        <v>0</v>
      </c>
      <c r="N23" s="362">
        <f t="shared" si="4"/>
        <v>0</v>
      </c>
      <c r="O23" s="362">
        <f>+'Asset Classification'!L23</f>
        <v>0</v>
      </c>
      <c r="P23" s="362">
        <f t="shared" si="5"/>
        <v>0</v>
      </c>
      <c r="Q23" s="362">
        <f t="shared" si="6"/>
        <v>0</v>
      </c>
      <c r="R23" s="363">
        <f>+'Asset Classification'!M23</f>
        <v>0</v>
      </c>
      <c r="S23" s="362">
        <f>+'Asset Classification'!N23</f>
        <v>0</v>
      </c>
      <c r="T23" s="363">
        <f>+'Asset Classification'!O23</f>
        <v>0</v>
      </c>
      <c r="U23" s="362">
        <f t="shared" si="7"/>
        <v>0</v>
      </c>
      <c r="V23" s="362">
        <f t="shared" si="8"/>
        <v>0</v>
      </c>
      <c r="W23" s="362">
        <f>+'Asset Classification'!P23</f>
        <v>0</v>
      </c>
      <c r="X23" s="362">
        <f t="shared" si="9"/>
        <v>0</v>
      </c>
      <c r="Y23" s="362">
        <f t="shared" si="10"/>
        <v>0</v>
      </c>
      <c r="Z23" s="363">
        <f>+'Asset Classification'!Q23</f>
        <v>0</v>
      </c>
      <c r="AA23" s="362">
        <f>+'Asset Classification'!R23</f>
        <v>0</v>
      </c>
      <c r="AB23" s="363">
        <f>+'Asset Classification'!S23</f>
        <v>0</v>
      </c>
      <c r="AC23" s="362">
        <f t="shared" si="11"/>
        <v>0</v>
      </c>
      <c r="AD23" s="362">
        <f t="shared" si="12"/>
        <v>0</v>
      </c>
      <c r="AE23" s="362">
        <f>+'Asset Classification'!T23</f>
        <v>0</v>
      </c>
      <c r="AF23" s="362">
        <f t="shared" si="13"/>
        <v>0</v>
      </c>
      <c r="AG23" s="362">
        <f t="shared" si="14"/>
        <v>0</v>
      </c>
      <c r="AH23" s="363">
        <f>+'Asset Classification'!U23</f>
        <v>0</v>
      </c>
      <c r="AI23" s="362">
        <f>+'Asset Classification'!V23</f>
        <v>0</v>
      </c>
      <c r="AJ23" s="363">
        <f>+'Asset Classification'!W23</f>
        <v>0</v>
      </c>
      <c r="AK23" s="362">
        <f t="shared" si="15"/>
        <v>0</v>
      </c>
      <c r="AL23" s="362">
        <f t="shared" si="16"/>
        <v>0</v>
      </c>
      <c r="AM23" s="362">
        <f>+'Asset Classification'!X23</f>
        <v>0</v>
      </c>
      <c r="AN23" s="362">
        <f t="shared" si="17"/>
        <v>0</v>
      </c>
      <c r="AO23" s="362">
        <f t="shared" si="18"/>
        <v>0</v>
      </c>
      <c r="AP23" s="357">
        <f t="shared" si="19"/>
        <v>0</v>
      </c>
      <c r="AQ23" s="357">
        <f t="shared" si="19"/>
        <v>0</v>
      </c>
      <c r="AR23" s="357">
        <f t="shared" si="20"/>
        <v>0</v>
      </c>
      <c r="AS23" s="362">
        <f t="shared" si="0"/>
        <v>0</v>
      </c>
      <c r="AT23" s="362">
        <f t="shared" si="0"/>
        <v>0</v>
      </c>
      <c r="AU23" s="362">
        <f t="shared" si="21"/>
        <v>0</v>
      </c>
      <c r="AV23" s="132">
        <f>+'Aging Analysis'!C17</f>
        <v>0</v>
      </c>
      <c r="AW23" s="130"/>
      <c r="AX23" s="130"/>
      <c r="AY23" s="130"/>
      <c r="AZ23" s="130"/>
      <c r="BA23" s="130"/>
      <c r="BB23" s="130"/>
      <c r="BC23" s="130"/>
    </row>
    <row r="24" spans="1:55" s="12" customFormat="1" ht="14.25" customHeight="1">
      <c r="A24" s="219"/>
      <c r="B24" s="221" t="s">
        <v>572</v>
      </c>
      <c r="C24" s="361">
        <f>+'Asset Classification'!C24</f>
        <v>0</v>
      </c>
      <c r="D24" s="362">
        <f>+'Asset Classification'!D24</f>
        <v>0</v>
      </c>
      <c r="E24" s="363">
        <f>+'Asset Classification'!E24</f>
        <v>0</v>
      </c>
      <c r="F24" s="362">
        <f>+'Asset Classification'!F24</f>
        <v>0</v>
      </c>
      <c r="G24" s="363">
        <f>+'Asset Classification'!G24</f>
        <v>0</v>
      </c>
      <c r="H24" s="362">
        <f t="shared" si="1"/>
        <v>0</v>
      </c>
      <c r="I24" s="362">
        <f t="shared" si="2"/>
        <v>0</v>
      </c>
      <c r="J24" s="363">
        <f>+'Asset Classification'!I24</f>
        <v>0</v>
      </c>
      <c r="K24" s="362">
        <f>+'Asset Classification'!J24</f>
        <v>0</v>
      </c>
      <c r="L24" s="363">
        <f>+'Asset Classification'!K24</f>
        <v>0</v>
      </c>
      <c r="M24" s="362">
        <f t="shared" si="3"/>
        <v>0</v>
      </c>
      <c r="N24" s="362">
        <f t="shared" si="4"/>
        <v>0</v>
      </c>
      <c r="O24" s="362">
        <f>+'Asset Classification'!L24</f>
        <v>0</v>
      </c>
      <c r="P24" s="362">
        <f t="shared" si="5"/>
        <v>0</v>
      </c>
      <c r="Q24" s="362">
        <f t="shared" si="6"/>
        <v>0</v>
      </c>
      <c r="R24" s="363">
        <f>+'Asset Classification'!M24</f>
        <v>0</v>
      </c>
      <c r="S24" s="362">
        <f>+'Asset Classification'!N24</f>
        <v>0</v>
      </c>
      <c r="T24" s="363">
        <f>+'Asset Classification'!O24</f>
        <v>0</v>
      </c>
      <c r="U24" s="362">
        <f t="shared" si="7"/>
        <v>0</v>
      </c>
      <c r="V24" s="362">
        <f t="shared" si="8"/>
        <v>0</v>
      </c>
      <c r="W24" s="362">
        <f>+'Asset Classification'!P24</f>
        <v>0</v>
      </c>
      <c r="X24" s="362">
        <f t="shared" si="9"/>
        <v>0</v>
      </c>
      <c r="Y24" s="362">
        <f t="shared" si="10"/>
        <v>0</v>
      </c>
      <c r="Z24" s="363">
        <f>+'Asset Classification'!Q24</f>
        <v>0</v>
      </c>
      <c r="AA24" s="362">
        <f>+'Asset Classification'!R24</f>
        <v>0</v>
      </c>
      <c r="AB24" s="363">
        <f>+'Asset Classification'!S24</f>
        <v>0</v>
      </c>
      <c r="AC24" s="362">
        <f t="shared" si="11"/>
        <v>0</v>
      </c>
      <c r="AD24" s="362">
        <f t="shared" si="12"/>
        <v>0</v>
      </c>
      <c r="AE24" s="362">
        <f>+'Asset Classification'!T24</f>
        <v>0</v>
      </c>
      <c r="AF24" s="362">
        <f t="shared" si="13"/>
        <v>0</v>
      </c>
      <c r="AG24" s="362">
        <f t="shared" si="14"/>
        <v>0</v>
      </c>
      <c r="AH24" s="363">
        <f>+'Asset Classification'!U24</f>
        <v>0</v>
      </c>
      <c r="AI24" s="362">
        <f>+'Asset Classification'!V24</f>
        <v>0</v>
      </c>
      <c r="AJ24" s="363">
        <f>+'Asset Classification'!W24</f>
        <v>0</v>
      </c>
      <c r="AK24" s="362">
        <f t="shared" si="15"/>
        <v>0</v>
      </c>
      <c r="AL24" s="362">
        <f t="shared" si="16"/>
        <v>0</v>
      </c>
      <c r="AM24" s="362">
        <f>+'Asset Classification'!X24</f>
        <v>0</v>
      </c>
      <c r="AN24" s="362">
        <f t="shared" si="17"/>
        <v>0</v>
      </c>
      <c r="AO24" s="362">
        <f t="shared" si="18"/>
        <v>0</v>
      </c>
      <c r="AP24" s="357">
        <f t="shared" si="19"/>
        <v>0</v>
      </c>
      <c r="AQ24" s="357">
        <f t="shared" si="19"/>
        <v>0</v>
      </c>
      <c r="AR24" s="357">
        <f t="shared" si="20"/>
        <v>0</v>
      </c>
      <c r="AS24" s="362">
        <f t="shared" si="0"/>
        <v>0</v>
      </c>
      <c r="AT24" s="362">
        <f t="shared" si="0"/>
        <v>0</v>
      </c>
      <c r="AU24" s="362">
        <f t="shared" si="21"/>
        <v>0</v>
      </c>
      <c r="AW24" s="130"/>
      <c r="AX24" s="130"/>
      <c r="AY24" s="130"/>
      <c r="AZ24" s="130"/>
      <c r="BA24" s="130"/>
      <c r="BB24" s="130"/>
      <c r="BC24" s="130"/>
    </row>
    <row r="25" spans="1:55" s="12" customFormat="1" ht="23.25" customHeight="1">
      <c r="A25" s="219">
        <v>10</v>
      </c>
      <c r="B25" s="57" t="s">
        <v>577</v>
      </c>
      <c r="C25" s="361">
        <f>+'Asset Classification'!C25</f>
        <v>3835072</v>
      </c>
      <c r="D25" s="362">
        <f>+'Asset Classification'!D25</f>
        <v>0</v>
      </c>
      <c r="E25" s="363">
        <f>+'Asset Classification'!E25</f>
        <v>3835072</v>
      </c>
      <c r="F25" s="362">
        <f>+'Asset Classification'!F25</f>
        <v>0</v>
      </c>
      <c r="G25" s="363">
        <f>+'Asset Classification'!G25</f>
        <v>38351</v>
      </c>
      <c r="H25" s="362">
        <f t="shared" si="1"/>
        <v>38350.720000000001</v>
      </c>
      <c r="I25" s="362">
        <f t="shared" si="2"/>
        <v>0.27999999999883585</v>
      </c>
      <c r="J25" s="363">
        <f>+'Asset Classification'!I25</f>
        <v>0</v>
      </c>
      <c r="K25" s="362">
        <f>+'Asset Classification'!J25</f>
        <v>0</v>
      </c>
      <c r="L25" s="363">
        <f>+'Asset Classification'!K25</f>
        <v>0</v>
      </c>
      <c r="M25" s="362">
        <f t="shared" si="3"/>
        <v>0</v>
      </c>
      <c r="N25" s="362">
        <f t="shared" si="4"/>
        <v>0</v>
      </c>
      <c r="O25" s="362">
        <f>+'Asset Classification'!L25</f>
        <v>0</v>
      </c>
      <c r="P25" s="362">
        <f t="shared" si="5"/>
        <v>0</v>
      </c>
      <c r="Q25" s="362">
        <f t="shared" si="6"/>
        <v>0</v>
      </c>
      <c r="R25" s="363">
        <f>+'Asset Classification'!M25</f>
        <v>0</v>
      </c>
      <c r="S25" s="362">
        <f>+'Asset Classification'!N25</f>
        <v>0</v>
      </c>
      <c r="T25" s="363">
        <f>+'Asset Classification'!O25</f>
        <v>0</v>
      </c>
      <c r="U25" s="362">
        <f t="shared" si="7"/>
        <v>0</v>
      </c>
      <c r="V25" s="362">
        <f t="shared" si="8"/>
        <v>0</v>
      </c>
      <c r="W25" s="362">
        <f>+'Asset Classification'!P25</f>
        <v>0</v>
      </c>
      <c r="X25" s="362">
        <f t="shared" si="9"/>
        <v>0</v>
      </c>
      <c r="Y25" s="362">
        <f t="shared" si="10"/>
        <v>0</v>
      </c>
      <c r="Z25" s="363">
        <f>+'Asset Classification'!Q25</f>
        <v>0</v>
      </c>
      <c r="AA25" s="362">
        <f>+'Asset Classification'!R25</f>
        <v>0</v>
      </c>
      <c r="AB25" s="363">
        <f>+'Asset Classification'!S25</f>
        <v>0</v>
      </c>
      <c r="AC25" s="362">
        <f t="shared" si="11"/>
        <v>0</v>
      </c>
      <c r="AD25" s="362">
        <f t="shared" si="12"/>
        <v>0</v>
      </c>
      <c r="AE25" s="362">
        <f>+'Asset Classification'!T25</f>
        <v>0</v>
      </c>
      <c r="AF25" s="362">
        <f t="shared" si="13"/>
        <v>0</v>
      </c>
      <c r="AG25" s="362">
        <f t="shared" si="14"/>
        <v>0</v>
      </c>
      <c r="AH25" s="363">
        <f>+'Asset Classification'!U25</f>
        <v>0</v>
      </c>
      <c r="AI25" s="362">
        <f>+'Asset Classification'!V25</f>
        <v>0</v>
      </c>
      <c r="AJ25" s="363">
        <f>+'Asset Classification'!W25</f>
        <v>0</v>
      </c>
      <c r="AK25" s="362">
        <f t="shared" si="15"/>
        <v>0</v>
      </c>
      <c r="AL25" s="362">
        <f t="shared" si="16"/>
        <v>0</v>
      </c>
      <c r="AM25" s="362">
        <f>+'Asset Classification'!X25</f>
        <v>0</v>
      </c>
      <c r="AN25" s="362">
        <f t="shared" si="17"/>
        <v>0</v>
      </c>
      <c r="AO25" s="362">
        <f t="shared" si="18"/>
        <v>0</v>
      </c>
      <c r="AP25" s="357">
        <f t="shared" si="19"/>
        <v>0</v>
      </c>
      <c r="AQ25" s="357">
        <f t="shared" si="19"/>
        <v>0</v>
      </c>
      <c r="AR25" s="357">
        <f t="shared" si="20"/>
        <v>0</v>
      </c>
      <c r="AS25" s="362">
        <f t="shared" si="0"/>
        <v>0</v>
      </c>
      <c r="AT25" s="362">
        <f t="shared" si="0"/>
        <v>0</v>
      </c>
      <c r="AU25" s="362">
        <f t="shared" si="21"/>
        <v>0</v>
      </c>
      <c r="AV25" s="132">
        <f>+'Aging Analysis'!C18</f>
        <v>3835072</v>
      </c>
      <c r="AW25" s="130"/>
      <c r="AX25" s="130"/>
      <c r="AY25" s="130"/>
      <c r="AZ25" s="130"/>
      <c r="BA25" s="130"/>
      <c r="BB25" s="130"/>
      <c r="BC25" s="130"/>
    </row>
    <row r="26" spans="1:55" s="12" customFormat="1" ht="14.25" customHeight="1">
      <c r="A26" s="219"/>
      <c r="B26" s="221" t="s">
        <v>572</v>
      </c>
      <c r="C26" s="361">
        <f>+'Asset Classification'!C26</f>
        <v>0</v>
      </c>
      <c r="D26" s="362">
        <f>+'Asset Classification'!D26</f>
        <v>0</v>
      </c>
      <c r="E26" s="363">
        <f>+'Asset Classification'!E26</f>
        <v>0</v>
      </c>
      <c r="F26" s="362">
        <f>+'Asset Classification'!F26</f>
        <v>0</v>
      </c>
      <c r="G26" s="363">
        <f>+'Asset Classification'!G26</f>
        <v>0</v>
      </c>
      <c r="H26" s="362">
        <f t="shared" si="1"/>
        <v>0</v>
      </c>
      <c r="I26" s="362">
        <f t="shared" si="2"/>
        <v>0</v>
      </c>
      <c r="J26" s="363">
        <f>+'Asset Classification'!I26</f>
        <v>0</v>
      </c>
      <c r="K26" s="362">
        <f>+'Asset Classification'!J26</f>
        <v>0</v>
      </c>
      <c r="L26" s="363">
        <f>+'Asset Classification'!K26</f>
        <v>0</v>
      </c>
      <c r="M26" s="362">
        <f t="shared" si="3"/>
        <v>0</v>
      </c>
      <c r="N26" s="362">
        <f t="shared" si="4"/>
        <v>0</v>
      </c>
      <c r="O26" s="362">
        <f>+'Asset Classification'!L26</f>
        <v>0</v>
      </c>
      <c r="P26" s="362">
        <f t="shared" si="5"/>
        <v>0</v>
      </c>
      <c r="Q26" s="362">
        <f t="shared" si="6"/>
        <v>0</v>
      </c>
      <c r="R26" s="363">
        <f>+'Asset Classification'!M26</f>
        <v>0</v>
      </c>
      <c r="S26" s="362">
        <f>+'Asset Classification'!N26</f>
        <v>0</v>
      </c>
      <c r="T26" s="363">
        <f>+'Asset Classification'!O26</f>
        <v>0</v>
      </c>
      <c r="U26" s="362">
        <f t="shared" si="7"/>
        <v>0</v>
      </c>
      <c r="V26" s="362">
        <f t="shared" si="8"/>
        <v>0</v>
      </c>
      <c r="W26" s="362">
        <f>+'Asset Classification'!P26</f>
        <v>0</v>
      </c>
      <c r="X26" s="362">
        <f t="shared" si="9"/>
        <v>0</v>
      </c>
      <c r="Y26" s="362">
        <f t="shared" si="10"/>
        <v>0</v>
      </c>
      <c r="Z26" s="363">
        <f>+'Asset Classification'!Q26</f>
        <v>0</v>
      </c>
      <c r="AA26" s="362">
        <f>+'Asset Classification'!R26</f>
        <v>0</v>
      </c>
      <c r="AB26" s="363">
        <f>+'Asset Classification'!S26</f>
        <v>0</v>
      </c>
      <c r="AC26" s="362">
        <f t="shared" si="11"/>
        <v>0</v>
      </c>
      <c r="AD26" s="362">
        <f t="shared" si="12"/>
        <v>0</v>
      </c>
      <c r="AE26" s="362">
        <f>+'Asset Classification'!T26</f>
        <v>0</v>
      </c>
      <c r="AF26" s="362">
        <f t="shared" si="13"/>
        <v>0</v>
      </c>
      <c r="AG26" s="362">
        <f t="shared" si="14"/>
        <v>0</v>
      </c>
      <c r="AH26" s="363">
        <f>+'Asset Classification'!U26</f>
        <v>0</v>
      </c>
      <c r="AI26" s="362">
        <f>+'Asset Classification'!V26</f>
        <v>0</v>
      </c>
      <c r="AJ26" s="363">
        <f>+'Asset Classification'!W26</f>
        <v>0</v>
      </c>
      <c r="AK26" s="362">
        <f t="shared" si="15"/>
        <v>0</v>
      </c>
      <c r="AL26" s="362">
        <f t="shared" si="16"/>
        <v>0</v>
      </c>
      <c r="AM26" s="362">
        <f>+'Asset Classification'!X26</f>
        <v>0</v>
      </c>
      <c r="AN26" s="362">
        <f t="shared" si="17"/>
        <v>0</v>
      </c>
      <c r="AO26" s="362">
        <f t="shared" si="18"/>
        <v>0</v>
      </c>
      <c r="AP26" s="357">
        <f t="shared" si="19"/>
        <v>0</v>
      </c>
      <c r="AQ26" s="357">
        <f t="shared" si="19"/>
        <v>0</v>
      </c>
      <c r="AR26" s="357">
        <f t="shared" si="20"/>
        <v>0</v>
      </c>
      <c r="AS26" s="362">
        <f t="shared" si="0"/>
        <v>0</v>
      </c>
      <c r="AT26" s="362">
        <f t="shared" si="0"/>
        <v>0</v>
      </c>
      <c r="AU26" s="362">
        <f t="shared" si="21"/>
        <v>0</v>
      </c>
      <c r="AW26" s="130"/>
      <c r="AX26" s="130"/>
      <c r="AY26" s="130"/>
      <c r="AZ26" s="130"/>
      <c r="BA26" s="130"/>
      <c r="BB26" s="130"/>
      <c r="BC26" s="130"/>
    </row>
    <row r="27" spans="1:55" s="12" customFormat="1" ht="23.25" customHeight="1">
      <c r="A27" s="219">
        <v>11</v>
      </c>
      <c r="B27" s="57" t="s">
        <v>578</v>
      </c>
      <c r="C27" s="361">
        <f>+'Asset Classification'!C27</f>
        <v>0</v>
      </c>
      <c r="D27" s="362">
        <f>+'Asset Classification'!D27</f>
        <v>0</v>
      </c>
      <c r="E27" s="363">
        <f>+'Asset Classification'!E27</f>
        <v>0</v>
      </c>
      <c r="F27" s="362">
        <f>+'Asset Classification'!F27</f>
        <v>0</v>
      </c>
      <c r="G27" s="363">
        <f>+'Asset Classification'!G27</f>
        <v>0</v>
      </c>
      <c r="H27" s="362">
        <f t="shared" si="1"/>
        <v>0</v>
      </c>
      <c r="I27" s="362">
        <f t="shared" si="2"/>
        <v>0</v>
      </c>
      <c r="J27" s="363">
        <f>+'Asset Classification'!I27</f>
        <v>0</v>
      </c>
      <c r="K27" s="362">
        <f>+'Asset Classification'!J27</f>
        <v>0</v>
      </c>
      <c r="L27" s="363">
        <f>+'Asset Classification'!K27</f>
        <v>0</v>
      </c>
      <c r="M27" s="362">
        <f t="shared" si="3"/>
        <v>0</v>
      </c>
      <c r="N27" s="362">
        <f t="shared" si="4"/>
        <v>0</v>
      </c>
      <c r="O27" s="362">
        <f>+'Asset Classification'!L27</f>
        <v>0</v>
      </c>
      <c r="P27" s="362">
        <f t="shared" si="5"/>
        <v>0</v>
      </c>
      <c r="Q27" s="362">
        <f t="shared" si="6"/>
        <v>0</v>
      </c>
      <c r="R27" s="363">
        <f>+'Asset Classification'!M27</f>
        <v>0</v>
      </c>
      <c r="S27" s="362">
        <f>+'Asset Classification'!N27</f>
        <v>0</v>
      </c>
      <c r="T27" s="363">
        <f>+'Asset Classification'!O27</f>
        <v>0</v>
      </c>
      <c r="U27" s="362">
        <f t="shared" si="7"/>
        <v>0</v>
      </c>
      <c r="V27" s="362">
        <f t="shared" si="8"/>
        <v>0</v>
      </c>
      <c r="W27" s="362">
        <f>+'Asset Classification'!P27</f>
        <v>0</v>
      </c>
      <c r="X27" s="362">
        <f t="shared" si="9"/>
        <v>0</v>
      </c>
      <c r="Y27" s="362">
        <f t="shared" si="10"/>
        <v>0</v>
      </c>
      <c r="Z27" s="363">
        <f>+'Asset Classification'!Q27</f>
        <v>0</v>
      </c>
      <c r="AA27" s="362">
        <f>+'Asset Classification'!R27</f>
        <v>0</v>
      </c>
      <c r="AB27" s="363">
        <f>+'Asset Classification'!S27</f>
        <v>0</v>
      </c>
      <c r="AC27" s="362">
        <f t="shared" si="11"/>
        <v>0</v>
      </c>
      <c r="AD27" s="362">
        <f t="shared" si="12"/>
        <v>0</v>
      </c>
      <c r="AE27" s="362">
        <f>+'Asset Classification'!T27</f>
        <v>0</v>
      </c>
      <c r="AF27" s="362">
        <f t="shared" si="13"/>
        <v>0</v>
      </c>
      <c r="AG27" s="362">
        <f t="shared" si="14"/>
        <v>0</v>
      </c>
      <c r="AH27" s="363">
        <f>+'Asset Classification'!U27</f>
        <v>0</v>
      </c>
      <c r="AI27" s="362">
        <f>+'Asset Classification'!V27</f>
        <v>0</v>
      </c>
      <c r="AJ27" s="363">
        <f>+'Asset Classification'!W27</f>
        <v>0</v>
      </c>
      <c r="AK27" s="362">
        <f t="shared" si="15"/>
        <v>0</v>
      </c>
      <c r="AL27" s="362">
        <f t="shared" si="16"/>
        <v>0</v>
      </c>
      <c r="AM27" s="362">
        <f>+'Asset Classification'!X27</f>
        <v>0</v>
      </c>
      <c r="AN27" s="362">
        <f t="shared" si="17"/>
        <v>0</v>
      </c>
      <c r="AO27" s="362">
        <f t="shared" si="18"/>
        <v>0</v>
      </c>
      <c r="AP27" s="357">
        <f t="shared" si="19"/>
        <v>0</v>
      </c>
      <c r="AQ27" s="357">
        <f t="shared" si="19"/>
        <v>0</v>
      </c>
      <c r="AR27" s="357">
        <f t="shared" si="20"/>
        <v>0</v>
      </c>
      <c r="AS27" s="362">
        <f t="shared" si="0"/>
        <v>0</v>
      </c>
      <c r="AT27" s="362">
        <f t="shared" si="0"/>
        <v>0</v>
      </c>
      <c r="AU27" s="362">
        <f t="shared" si="21"/>
        <v>0</v>
      </c>
      <c r="AV27" s="132">
        <f>+'Aging Analysis'!C19</f>
        <v>0</v>
      </c>
      <c r="AW27" s="130"/>
      <c r="AX27" s="130"/>
      <c r="AY27" s="130"/>
      <c r="AZ27" s="130"/>
      <c r="BA27" s="130"/>
      <c r="BB27" s="130"/>
      <c r="BC27" s="130"/>
    </row>
    <row r="28" spans="1:55" s="12" customFormat="1" ht="14.25" customHeight="1">
      <c r="A28" s="219"/>
      <c r="B28" s="221" t="s">
        <v>572</v>
      </c>
      <c r="C28" s="361">
        <f>+'Asset Classification'!C28</f>
        <v>0</v>
      </c>
      <c r="D28" s="362">
        <f>+'Asset Classification'!D28</f>
        <v>0</v>
      </c>
      <c r="E28" s="363">
        <f>+'Asset Classification'!E28</f>
        <v>0</v>
      </c>
      <c r="F28" s="362">
        <f>+'Asset Classification'!F28</f>
        <v>0</v>
      </c>
      <c r="G28" s="363">
        <f>+'Asset Classification'!G28</f>
        <v>0</v>
      </c>
      <c r="H28" s="362">
        <f t="shared" si="1"/>
        <v>0</v>
      </c>
      <c r="I28" s="362">
        <f t="shared" si="2"/>
        <v>0</v>
      </c>
      <c r="J28" s="363">
        <f>+'Asset Classification'!I28</f>
        <v>0</v>
      </c>
      <c r="K28" s="362">
        <f>+'Asset Classification'!J28</f>
        <v>0</v>
      </c>
      <c r="L28" s="363">
        <f>+'Asset Classification'!K28</f>
        <v>0</v>
      </c>
      <c r="M28" s="362">
        <f t="shared" si="3"/>
        <v>0</v>
      </c>
      <c r="N28" s="362">
        <f t="shared" si="4"/>
        <v>0</v>
      </c>
      <c r="O28" s="362">
        <f>+'Asset Classification'!L28</f>
        <v>0</v>
      </c>
      <c r="P28" s="362">
        <f t="shared" si="5"/>
        <v>0</v>
      </c>
      <c r="Q28" s="362">
        <f t="shared" si="6"/>
        <v>0</v>
      </c>
      <c r="R28" s="363">
        <f>+'Asset Classification'!M28</f>
        <v>0</v>
      </c>
      <c r="S28" s="362">
        <f>+'Asset Classification'!N28</f>
        <v>0</v>
      </c>
      <c r="T28" s="363">
        <f>+'Asset Classification'!O28</f>
        <v>0</v>
      </c>
      <c r="U28" s="362">
        <f t="shared" si="7"/>
        <v>0</v>
      </c>
      <c r="V28" s="362">
        <f t="shared" si="8"/>
        <v>0</v>
      </c>
      <c r="W28" s="362">
        <f>+'Asset Classification'!P28</f>
        <v>0</v>
      </c>
      <c r="X28" s="362">
        <f t="shared" si="9"/>
        <v>0</v>
      </c>
      <c r="Y28" s="362">
        <f t="shared" si="10"/>
        <v>0</v>
      </c>
      <c r="Z28" s="363">
        <f>+'Asset Classification'!Q28</f>
        <v>0</v>
      </c>
      <c r="AA28" s="362">
        <f>+'Asset Classification'!R28</f>
        <v>0</v>
      </c>
      <c r="AB28" s="363">
        <f>+'Asset Classification'!S28</f>
        <v>0</v>
      </c>
      <c r="AC28" s="362">
        <f t="shared" si="11"/>
        <v>0</v>
      </c>
      <c r="AD28" s="362">
        <f t="shared" si="12"/>
        <v>0</v>
      </c>
      <c r="AE28" s="362">
        <f>+'Asset Classification'!T28</f>
        <v>0</v>
      </c>
      <c r="AF28" s="362">
        <f t="shared" si="13"/>
        <v>0</v>
      </c>
      <c r="AG28" s="362">
        <f t="shared" si="14"/>
        <v>0</v>
      </c>
      <c r="AH28" s="363">
        <f>+'Asset Classification'!U28</f>
        <v>0</v>
      </c>
      <c r="AI28" s="362">
        <f>+'Asset Classification'!V28</f>
        <v>0</v>
      </c>
      <c r="AJ28" s="363">
        <f>+'Asset Classification'!W28</f>
        <v>0</v>
      </c>
      <c r="AK28" s="362">
        <f t="shared" si="15"/>
        <v>0</v>
      </c>
      <c r="AL28" s="362">
        <f t="shared" si="16"/>
        <v>0</v>
      </c>
      <c r="AM28" s="362">
        <f>+'Asset Classification'!X28</f>
        <v>0</v>
      </c>
      <c r="AN28" s="362">
        <f t="shared" si="17"/>
        <v>0</v>
      </c>
      <c r="AO28" s="362">
        <f t="shared" si="18"/>
        <v>0</v>
      </c>
      <c r="AP28" s="357">
        <f t="shared" si="19"/>
        <v>0</v>
      </c>
      <c r="AQ28" s="357">
        <f t="shared" si="19"/>
        <v>0</v>
      </c>
      <c r="AR28" s="357">
        <f t="shared" si="20"/>
        <v>0</v>
      </c>
      <c r="AS28" s="362">
        <f t="shared" si="0"/>
        <v>0</v>
      </c>
      <c r="AT28" s="362">
        <f t="shared" si="0"/>
        <v>0</v>
      </c>
      <c r="AU28" s="362">
        <f t="shared" si="21"/>
        <v>0</v>
      </c>
      <c r="AW28" s="130"/>
      <c r="AX28" s="130"/>
      <c r="AY28" s="130"/>
      <c r="AZ28" s="130"/>
      <c r="BA28" s="130"/>
      <c r="BB28" s="130"/>
      <c r="BC28" s="130"/>
    </row>
    <row r="29" spans="1:55" s="12" customFormat="1" ht="23.25" customHeight="1">
      <c r="A29" s="219">
        <v>12</v>
      </c>
      <c r="B29" s="57" t="s">
        <v>579</v>
      </c>
      <c r="C29" s="361">
        <f>+'Asset Classification'!C29</f>
        <v>3183333</v>
      </c>
      <c r="D29" s="362">
        <f>+'Asset Classification'!D29</f>
        <v>0</v>
      </c>
      <c r="E29" s="363">
        <f>+'Asset Classification'!E29</f>
        <v>3183333</v>
      </c>
      <c r="F29" s="362">
        <f>+'Asset Classification'!F29</f>
        <v>0</v>
      </c>
      <c r="G29" s="363">
        <f>+'Asset Classification'!G29</f>
        <v>31833</v>
      </c>
      <c r="H29" s="362">
        <f t="shared" si="1"/>
        <v>31833.33</v>
      </c>
      <c r="I29" s="362">
        <f t="shared" si="2"/>
        <v>-0.33000000000174623</v>
      </c>
      <c r="J29" s="363">
        <f>+'Asset Classification'!I29</f>
        <v>0</v>
      </c>
      <c r="K29" s="362">
        <f>+'Asset Classification'!J29</f>
        <v>0</v>
      </c>
      <c r="L29" s="363">
        <f>+'Asset Classification'!K29</f>
        <v>0</v>
      </c>
      <c r="M29" s="362">
        <f t="shared" si="3"/>
        <v>0</v>
      </c>
      <c r="N29" s="362">
        <f t="shared" si="4"/>
        <v>0</v>
      </c>
      <c r="O29" s="362">
        <f>+'Asset Classification'!L29</f>
        <v>0</v>
      </c>
      <c r="P29" s="362">
        <f t="shared" si="5"/>
        <v>0</v>
      </c>
      <c r="Q29" s="362">
        <f t="shared" si="6"/>
        <v>0</v>
      </c>
      <c r="R29" s="363">
        <f>+'Asset Classification'!M29</f>
        <v>0</v>
      </c>
      <c r="S29" s="362">
        <f>+'Asset Classification'!N29</f>
        <v>0</v>
      </c>
      <c r="T29" s="363">
        <f>+'Asset Classification'!O29</f>
        <v>0</v>
      </c>
      <c r="U29" s="362">
        <f t="shared" si="7"/>
        <v>0</v>
      </c>
      <c r="V29" s="362">
        <f t="shared" si="8"/>
        <v>0</v>
      </c>
      <c r="W29" s="362">
        <f>+'Asset Classification'!P29</f>
        <v>0</v>
      </c>
      <c r="X29" s="362">
        <f t="shared" si="9"/>
        <v>0</v>
      </c>
      <c r="Y29" s="362">
        <f t="shared" si="10"/>
        <v>0</v>
      </c>
      <c r="Z29" s="363">
        <f>+'Asset Classification'!Q29</f>
        <v>0</v>
      </c>
      <c r="AA29" s="362">
        <f>+'Asset Classification'!R29</f>
        <v>0</v>
      </c>
      <c r="AB29" s="363">
        <f>+'Asset Classification'!S29</f>
        <v>0</v>
      </c>
      <c r="AC29" s="362">
        <f t="shared" si="11"/>
        <v>0</v>
      </c>
      <c r="AD29" s="362">
        <f t="shared" si="12"/>
        <v>0</v>
      </c>
      <c r="AE29" s="362">
        <f>+'Asset Classification'!T29</f>
        <v>0</v>
      </c>
      <c r="AF29" s="362">
        <f t="shared" si="13"/>
        <v>0</v>
      </c>
      <c r="AG29" s="362">
        <f t="shared" si="14"/>
        <v>0</v>
      </c>
      <c r="AH29" s="363">
        <f>+'Asset Classification'!U29</f>
        <v>0</v>
      </c>
      <c r="AI29" s="362">
        <f>+'Asset Classification'!V29</f>
        <v>0</v>
      </c>
      <c r="AJ29" s="363">
        <f>+'Asset Classification'!W29</f>
        <v>0</v>
      </c>
      <c r="AK29" s="362">
        <f t="shared" si="15"/>
        <v>0</v>
      </c>
      <c r="AL29" s="362">
        <f t="shared" si="16"/>
        <v>0</v>
      </c>
      <c r="AM29" s="362">
        <f>+'Asset Classification'!X29</f>
        <v>0</v>
      </c>
      <c r="AN29" s="362">
        <f t="shared" si="17"/>
        <v>0</v>
      </c>
      <c r="AO29" s="362">
        <f t="shared" si="18"/>
        <v>0</v>
      </c>
      <c r="AP29" s="357">
        <f t="shared" si="19"/>
        <v>0</v>
      </c>
      <c r="AQ29" s="357">
        <f t="shared" si="19"/>
        <v>0</v>
      </c>
      <c r="AR29" s="357">
        <f t="shared" si="20"/>
        <v>0</v>
      </c>
      <c r="AS29" s="362">
        <f t="shared" si="0"/>
        <v>0</v>
      </c>
      <c r="AT29" s="362">
        <f t="shared" si="0"/>
        <v>0</v>
      </c>
      <c r="AU29" s="362">
        <f t="shared" si="21"/>
        <v>0</v>
      </c>
      <c r="AV29" s="132">
        <f>+'Aging Analysis'!C20</f>
        <v>3183333</v>
      </c>
      <c r="AW29" s="130"/>
      <c r="AX29" s="130"/>
      <c r="AY29" s="130"/>
      <c r="AZ29" s="130"/>
      <c r="BA29" s="130"/>
      <c r="BB29" s="130"/>
      <c r="BC29" s="130"/>
    </row>
    <row r="30" spans="1:55" s="12" customFormat="1" ht="14.25" customHeight="1">
      <c r="A30" s="219"/>
      <c r="B30" s="221" t="s">
        <v>572</v>
      </c>
      <c r="C30" s="361">
        <f>+'Asset Classification'!C30</f>
        <v>0</v>
      </c>
      <c r="D30" s="362">
        <f>+'Asset Classification'!D30</f>
        <v>0</v>
      </c>
      <c r="E30" s="363">
        <f>+'Asset Classification'!E30</f>
        <v>0</v>
      </c>
      <c r="F30" s="362">
        <f>+'Asset Classification'!F30</f>
        <v>0</v>
      </c>
      <c r="G30" s="363">
        <f>+'Asset Classification'!G30</f>
        <v>0</v>
      </c>
      <c r="H30" s="362">
        <f t="shared" si="1"/>
        <v>0</v>
      </c>
      <c r="I30" s="362">
        <f t="shared" si="2"/>
        <v>0</v>
      </c>
      <c r="J30" s="363">
        <f>+'Asset Classification'!I30</f>
        <v>0</v>
      </c>
      <c r="K30" s="362">
        <f>+'Asset Classification'!J30</f>
        <v>0</v>
      </c>
      <c r="L30" s="363">
        <f>+'Asset Classification'!K30</f>
        <v>0</v>
      </c>
      <c r="M30" s="362">
        <f t="shared" si="3"/>
        <v>0</v>
      </c>
      <c r="N30" s="362">
        <f t="shared" si="4"/>
        <v>0</v>
      </c>
      <c r="O30" s="362">
        <f>+'Asset Classification'!L30</f>
        <v>0</v>
      </c>
      <c r="P30" s="362">
        <f t="shared" si="5"/>
        <v>0</v>
      </c>
      <c r="Q30" s="362">
        <f t="shared" si="6"/>
        <v>0</v>
      </c>
      <c r="R30" s="363">
        <f>+'Asset Classification'!M30</f>
        <v>0</v>
      </c>
      <c r="S30" s="362">
        <f>+'Asset Classification'!N30</f>
        <v>0</v>
      </c>
      <c r="T30" s="363">
        <f>+'Asset Classification'!O30</f>
        <v>0</v>
      </c>
      <c r="U30" s="362">
        <f t="shared" si="7"/>
        <v>0</v>
      </c>
      <c r="V30" s="362">
        <f t="shared" si="8"/>
        <v>0</v>
      </c>
      <c r="W30" s="362">
        <f>+'Asset Classification'!P30</f>
        <v>0</v>
      </c>
      <c r="X30" s="362">
        <f t="shared" si="9"/>
        <v>0</v>
      </c>
      <c r="Y30" s="362">
        <f t="shared" si="10"/>
        <v>0</v>
      </c>
      <c r="Z30" s="363">
        <f>+'Asset Classification'!Q30</f>
        <v>0</v>
      </c>
      <c r="AA30" s="362">
        <f>+'Asset Classification'!R30</f>
        <v>0</v>
      </c>
      <c r="AB30" s="363">
        <f>+'Asset Classification'!S30</f>
        <v>0</v>
      </c>
      <c r="AC30" s="362">
        <f t="shared" si="11"/>
        <v>0</v>
      </c>
      <c r="AD30" s="362">
        <f t="shared" si="12"/>
        <v>0</v>
      </c>
      <c r="AE30" s="362">
        <f>+'Asset Classification'!T30</f>
        <v>0</v>
      </c>
      <c r="AF30" s="362">
        <f t="shared" si="13"/>
        <v>0</v>
      </c>
      <c r="AG30" s="362">
        <f t="shared" si="14"/>
        <v>0</v>
      </c>
      <c r="AH30" s="363">
        <f>+'Asset Classification'!U30</f>
        <v>0</v>
      </c>
      <c r="AI30" s="362">
        <f>+'Asset Classification'!V30</f>
        <v>0</v>
      </c>
      <c r="AJ30" s="363">
        <f>+'Asset Classification'!W30</f>
        <v>0</v>
      </c>
      <c r="AK30" s="362">
        <f t="shared" si="15"/>
        <v>0</v>
      </c>
      <c r="AL30" s="362">
        <f t="shared" si="16"/>
        <v>0</v>
      </c>
      <c r="AM30" s="362">
        <f>+'Asset Classification'!X30</f>
        <v>0</v>
      </c>
      <c r="AN30" s="362">
        <f t="shared" si="17"/>
        <v>0</v>
      </c>
      <c r="AO30" s="362">
        <f t="shared" si="18"/>
        <v>0</v>
      </c>
      <c r="AP30" s="357">
        <f t="shared" si="19"/>
        <v>0</v>
      </c>
      <c r="AQ30" s="357">
        <f t="shared" si="19"/>
        <v>0</v>
      </c>
      <c r="AR30" s="357">
        <f t="shared" si="20"/>
        <v>0</v>
      </c>
      <c r="AS30" s="362">
        <f t="shared" si="0"/>
        <v>0</v>
      </c>
      <c r="AT30" s="362">
        <f t="shared" si="0"/>
        <v>0</v>
      </c>
      <c r="AU30" s="362">
        <f t="shared" si="21"/>
        <v>0</v>
      </c>
      <c r="AV30" s="130"/>
      <c r="AW30" s="130"/>
      <c r="AX30" s="130"/>
      <c r="AY30" s="130"/>
      <c r="AZ30" s="130"/>
      <c r="BA30" s="130"/>
      <c r="BB30" s="130"/>
      <c r="BC30" s="130"/>
    </row>
    <row r="31" spans="1:55" s="348" customFormat="1" ht="28.5" customHeight="1">
      <c r="A31" s="347">
        <v>13</v>
      </c>
      <c r="B31" s="347" t="s">
        <v>580</v>
      </c>
      <c r="C31" s="358">
        <f>+'Asset Classification'!C31</f>
        <v>20277891345</v>
      </c>
      <c r="D31" s="358">
        <f>+'Asset Classification'!D31</f>
        <v>3737998947</v>
      </c>
      <c r="E31" s="358">
        <f>+'Asset Classification'!E31</f>
        <v>17551658885</v>
      </c>
      <c r="F31" s="358">
        <f>+'Asset Classification'!F31</f>
        <v>3307279618</v>
      </c>
      <c r="G31" s="358">
        <f>+'Asset Classification'!G31</f>
        <v>123374035</v>
      </c>
      <c r="H31" s="358">
        <f t="shared" ref="H31:I31" si="22">+H7+H9+H11+H13+H15+H17+H19+H21+H23+H25+H27+H29</f>
        <v>175516588.85000002</v>
      </c>
      <c r="I31" s="358">
        <f t="shared" si="22"/>
        <v>-52142553.850000001</v>
      </c>
      <c r="J31" s="358">
        <f>+'Asset Classification'!I31</f>
        <v>1832228607</v>
      </c>
      <c r="K31" s="358">
        <f>+'Asset Classification'!J31</f>
        <v>328023424</v>
      </c>
      <c r="L31" s="358">
        <f>+'Asset Classification'!K31</f>
        <v>21612533</v>
      </c>
      <c r="M31" s="358">
        <f t="shared" ref="M31:N31" si="23">+M7+M9+M11+M13+M15+M17+M19+M21+M23+M25+M27+M29</f>
        <v>183222860.69999999</v>
      </c>
      <c r="N31" s="358">
        <f t="shared" si="23"/>
        <v>-161610327.69999999</v>
      </c>
      <c r="O31" s="358">
        <f>+'Asset Classification'!L31</f>
        <v>4608229</v>
      </c>
      <c r="P31" s="358">
        <f t="shared" ref="P31:Q31" si="24">+P7+P9+P11+P13+P15+P17+P19+P21+P23+P25+P27+P29</f>
        <v>32802342.400000002</v>
      </c>
      <c r="Q31" s="358">
        <f t="shared" si="24"/>
        <v>-28194113.400000002</v>
      </c>
      <c r="R31" s="358">
        <f>+'Asset Classification'!M31</f>
        <v>254152148</v>
      </c>
      <c r="S31" s="358">
        <f>+'Asset Classification'!N31</f>
        <v>15974198</v>
      </c>
      <c r="T31" s="358">
        <f>+'Asset Classification'!O31</f>
        <v>2666899</v>
      </c>
      <c r="U31" s="358">
        <f t="shared" ref="U31:V31" si="25">+U7+U9+U11+U13+U15+U17+U19+U21+U23+U25+U27+U29</f>
        <v>63538037</v>
      </c>
      <c r="V31" s="358">
        <f t="shared" si="25"/>
        <v>-60871138</v>
      </c>
      <c r="W31" s="358">
        <f>+'Asset Classification'!P31</f>
        <v>0</v>
      </c>
      <c r="X31" s="358">
        <f t="shared" ref="X31:Y31" si="26">+X7+X9+X11+X13+X15+X17+X19+X21+X23+X25+X27+X29</f>
        <v>3993549.5</v>
      </c>
      <c r="Y31" s="358">
        <f t="shared" si="26"/>
        <v>-3993549.5</v>
      </c>
      <c r="Z31" s="358">
        <f>+'Asset Classification'!Q31</f>
        <v>373965402</v>
      </c>
      <c r="AA31" s="358">
        <f>+'Asset Classification'!R31</f>
        <v>73657201</v>
      </c>
      <c r="AB31" s="358">
        <f>+'Asset Classification'!S31</f>
        <v>47165627</v>
      </c>
      <c r="AC31" s="358">
        <f t="shared" ref="AC31:AD31" si="27">+AC7+AC9+AC11+AC13+AC15+AC17+AC19+AC21+AC23+AC25+AC27+AC29</f>
        <v>186982701</v>
      </c>
      <c r="AD31" s="358">
        <f t="shared" si="27"/>
        <v>-139817074</v>
      </c>
      <c r="AE31" s="358">
        <f>+'Asset Classification'!T31</f>
        <v>14152805</v>
      </c>
      <c r="AF31" s="358">
        <f t="shared" ref="AF31:AG31" si="28">+AF7+AF9+AF11+AF13+AF15+AF17+AF19+AF21+AF23+AF25+AF27+AF29</f>
        <v>36828600.5</v>
      </c>
      <c r="AG31" s="358">
        <f t="shared" si="28"/>
        <v>-22675795.5</v>
      </c>
      <c r="AH31" s="358">
        <f>+'Asset Classification'!U31</f>
        <v>265886303</v>
      </c>
      <c r="AI31" s="358">
        <f>+'Asset Classification'!V31</f>
        <v>13064506</v>
      </c>
      <c r="AJ31" s="358">
        <f>+'Asset Classification'!W31</f>
        <v>56251553</v>
      </c>
      <c r="AK31" s="358">
        <f t="shared" ref="AK31:AL31" si="29">+AK7+AK9+AK11+AK13+AK15+AK17+AK19+AK21+AK23+AK25+AK27+AK29</f>
        <v>265886303</v>
      </c>
      <c r="AL31" s="358">
        <f t="shared" si="29"/>
        <v>-209634750</v>
      </c>
      <c r="AM31" s="358">
        <f>+'Asset Classification'!X31</f>
        <v>4949126</v>
      </c>
      <c r="AN31" s="358">
        <f t="shared" ref="AN31:AU31" si="30">+AN7+AN9+AN11+AN13+AN15+AN17+AN19+AN21+AN23+AN25+AN27+AN29</f>
        <v>13064506</v>
      </c>
      <c r="AO31" s="358">
        <f t="shared" si="30"/>
        <v>-8115380</v>
      </c>
      <c r="AP31" s="358">
        <f t="shared" si="30"/>
        <v>127696612</v>
      </c>
      <c r="AQ31" s="358">
        <f t="shared" si="30"/>
        <v>699629901.70000005</v>
      </c>
      <c r="AR31" s="358">
        <f t="shared" si="30"/>
        <v>-571933289.70000005</v>
      </c>
      <c r="AS31" s="358">
        <f t="shared" si="30"/>
        <v>23710160</v>
      </c>
      <c r="AT31" s="358">
        <f t="shared" si="30"/>
        <v>86688998.399999991</v>
      </c>
      <c r="AU31" s="358">
        <f t="shared" si="30"/>
        <v>-62978838.399999999</v>
      </c>
      <c r="AV31" s="364">
        <f>+'Loans Receivable'!C85</f>
        <v>20277891345</v>
      </c>
    </row>
    <row r="32" spans="1:55" s="12" customFormat="1" ht="13.5" customHeight="1">
      <c r="A32" s="219"/>
      <c r="B32" s="223" t="s">
        <v>572</v>
      </c>
      <c r="C32" s="361">
        <f>+'Asset Classification'!C32</f>
        <v>0</v>
      </c>
      <c r="D32" s="362">
        <f>+'Asset Classification'!D32</f>
        <v>0</v>
      </c>
      <c r="E32" s="363">
        <f>+'Asset Classification'!E32</f>
        <v>0</v>
      </c>
      <c r="F32" s="362">
        <f>+'Asset Classification'!F32</f>
        <v>0</v>
      </c>
      <c r="G32" s="363">
        <f>+'Asset Classification'!G32</f>
        <v>0</v>
      </c>
      <c r="H32" s="362">
        <f t="shared" ref="H32" si="31">+E32*1%</f>
        <v>0</v>
      </c>
      <c r="I32" s="362">
        <f t="shared" ref="I32" si="32">+G32-H32</f>
        <v>0</v>
      </c>
      <c r="J32" s="363">
        <f>+'Asset Classification'!I32</f>
        <v>0</v>
      </c>
      <c r="K32" s="362">
        <f>+'Asset Classification'!J32</f>
        <v>0</v>
      </c>
      <c r="L32" s="363">
        <f>+'Asset Classification'!K32</f>
        <v>0</v>
      </c>
      <c r="M32" s="362">
        <f t="shared" ref="M32" si="33">+J32*10%</f>
        <v>0</v>
      </c>
      <c r="N32" s="362">
        <f t="shared" ref="N32" si="34">+L32-M32</f>
        <v>0</v>
      </c>
      <c r="O32" s="362">
        <f>+'Asset Classification'!L32</f>
        <v>0</v>
      </c>
      <c r="P32" s="362">
        <f t="shared" ref="P32" si="35">+K32*10%</f>
        <v>0</v>
      </c>
      <c r="Q32" s="362">
        <f t="shared" ref="Q32" si="36">+O32-P32</f>
        <v>0</v>
      </c>
      <c r="R32" s="363">
        <f>+'Asset Classification'!M32</f>
        <v>0</v>
      </c>
      <c r="S32" s="362">
        <f>+'Asset Classification'!N32</f>
        <v>0</v>
      </c>
      <c r="T32" s="363">
        <f>+'Asset Classification'!O32</f>
        <v>0</v>
      </c>
      <c r="U32" s="362">
        <f t="shared" ref="U32" si="37">+R32*25%</f>
        <v>0</v>
      </c>
      <c r="V32" s="362">
        <f t="shared" ref="V32" si="38">+T32-U32</f>
        <v>0</v>
      </c>
      <c r="W32" s="362">
        <f>+'Asset Classification'!P32</f>
        <v>0</v>
      </c>
      <c r="X32" s="362">
        <f t="shared" ref="X32" si="39">+S32*25%</f>
        <v>0</v>
      </c>
      <c r="Y32" s="362">
        <f t="shared" ref="Y32" si="40">+W32-X32</f>
        <v>0</v>
      </c>
      <c r="Z32" s="363">
        <f>+'Asset Classification'!Q32</f>
        <v>0</v>
      </c>
      <c r="AA32" s="362">
        <f>+'Asset Classification'!R32</f>
        <v>0</v>
      </c>
      <c r="AB32" s="363">
        <f>+'Asset Classification'!S32</f>
        <v>0</v>
      </c>
      <c r="AC32" s="362">
        <f t="shared" ref="AC32" si="41">+Z32*50%</f>
        <v>0</v>
      </c>
      <c r="AD32" s="362">
        <f t="shared" ref="AD32" si="42">+AB32-AC32</f>
        <v>0</v>
      </c>
      <c r="AE32" s="362">
        <f>+'Asset Classification'!T32</f>
        <v>0</v>
      </c>
      <c r="AF32" s="362">
        <f t="shared" ref="AF32" si="43">+AA32*50%</f>
        <v>0</v>
      </c>
      <c r="AG32" s="362">
        <f t="shared" ref="AG32" si="44">+AE32-AF32</f>
        <v>0</v>
      </c>
      <c r="AH32" s="363">
        <f>+'Asset Classification'!U32</f>
        <v>0</v>
      </c>
      <c r="AI32" s="362">
        <f>+'Asset Classification'!V32</f>
        <v>0</v>
      </c>
      <c r="AJ32" s="363">
        <f>+'Asset Classification'!W32</f>
        <v>0</v>
      </c>
      <c r="AK32" s="362">
        <f t="shared" ref="AK32" si="45">+AH32*100%</f>
        <v>0</v>
      </c>
      <c r="AL32" s="362">
        <f t="shared" ref="AL32" si="46">+AJ32-AK32</f>
        <v>0</v>
      </c>
      <c r="AM32" s="362">
        <f>+'Asset Classification'!X32</f>
        <v>0</v>
      </c>
      <c r="AN32" s="362">
        <f t="shared" ref="AN32" si="47">+AI32*100%</f>
        <v>0</v>
      </c>
      <c r="AO32" s="362">
        <f t="shared" ref="AO32" si="48">+AM32-AN32</f>
        <v>0</v>
      </c>
      <c r="AP32" s="357">
        <f t="shared" ref="AP32" si="49">+L32+T32+AB32+AJ32</f>
        <v>0</v>
      </c>
      <c r="AQ32" s="357">
        <f t="shared" ref="AQ32" si="50">+M32+U32+AC32+AK32</f>
        <v>0</v>
      </c>
      <c r="AR32" s="357">
        <f t="shared" ref="AR32" si="51">+AP32-AQ32</f>
        <v>0</v>
      </c>
      <c r="AS32" s="362">
        <f t="shared" ref="AS32" si="52">+O32+W32+AE32+AM32</f>
        <v>0</v>
      </c>
      <c r="AT32" s="362">
        <f t="shared" ref="AT32" si="53">+P32+X32+AF32+AN32</f>
        <v>0</v>
      </c>
      <c r="AU32" s="362">
        <f t="shared" ref="AU32" si="54">+AS32-AT32</f>
        <v>0</v>
      </c>
      <c r="AV32" s="130"/>
      <c r="AW32" s="130"/>
      <c r="AX32" s="130"/>
      <c r="AY32" s="130"/>
      <c r="AZ32" s="130"/>
      <c r="BA32" s="130"/>
      <c r="BB32" s="130"/>
      <c r="BC32" s="130"/>
    </row>
    <row r="33" spans="1:55" s="348" customFormat="1" ht="27.75" customHeight="1">
      <c r="A33" s="347"/>
      <c r="B33" s="347" t="s">
        <v>581</v>
      </c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358"/>
      <c r="AB33" s="358"/>
      <c r="AC33" s="358"/>
      <c r="AD33" s="358"/>
      <c r="AE33" s="358"/>
      <c r="AF33" s="358"/>
      <c r="AG33" s="358"/>
      <c r="AH33" s="358"/>
      <c r="AI33" s="358"/>
      <c r="AJ33" s="358"/>
      <c r="AK33" s="358"/>
      <c r="AL33" s="358"/>
      <c r="AM33" s="358"/>
      <c r="AN33" s="358"/>
      <c r="AO33" s="358"/>
      <c r="AP33" s="358"/>
      <c r="AQ33" s="358"/>
      <c r="AR33" s="358"/>
      <c r="AS33" s="358"/>
      <c r="AT33" s="358"/>
      <c r="AU33" s="358"/>
    </row>
    <row r="34" spans="1:55" s="12" customFormat="1" ht="7.5" customHeight="1">
      <c r="A34" s="11"/>
      <c r="B34" s="11"/>
      <c r="C34" s="365"/>
      <c r="D34" s="366"/>
      <c r="E34" s="365"/>
      <c r="F34" s="365"/>
      <c r="G34" s="365"/>
      <c r="H34" s="365"/>
      <c r="I34" s="365"/>
      <c r="J34" s="365"/>
      <c r="K34" s="365"/>
      <c r="L34" s="365"/>
      <c r="M34" s="365"/>
      <c r="N34" s="365"/>
      <c r="O34" s="365"/>
      <c r="P34" s="365"/>
      <c r="Q34" s="365"/>
      <c r="R34" s="365"/>
      <c r="S34" s="365"/>
      <c r="T34" s="365"/>
      <c r="U34" s="365"/>
      <c r="V34" s="365"/>
      <c r="W34" s="365"/>
      <c r="X34" s="365"/>
      <c r="Y34" s="365"/>
      <c r="Z34" s="365"/>
      <c r="AA34" s="365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365"/>
      <c r="AT34" s="365"/>
      <c r="AU34" s="365"/>
      <c r="AV34" s="130"/>
      <c r="AW34" s="130"/>
      <c r="AX34" s="130"/>
      <c r="AY34" s="130"/>
      <c r="AZ34" s="130"/>
      <c r="BA34" s="130"/>
      <c r="BB34" s="130"/>
      <c r="BC34" s="130"/>
    </row>
    <row r="35" spans="1:55" s="12" customFormat="1" ht="23.25" customHeight="1">
      <c r="A35" s="219">
        <v>14</v>
      </c>
      <c r="B35" s="222" t="s">
        <v>397</v>
      </c>
      <c r="C35" s="361">
        <f>+'Asset Classification'!C35</f>
        <v>3929868237</v>
      </c>
      <c r="D35" s="367">
        <f>+'Asset Classification'!D35</f>
        <v>1854686815</v>
      </c>
      <c r="E35" s="365">
        <f>+'Asset Classification'!E35</f>
        <v>3317232337</v>
      </c>
      <c r="F35" s="367">
        <f>+'Asset Classification'!F35</f>
        <v>1503865555</v>
      </c>
      <c r="G35" s="365">
        <f>+'Asset Classification'!G35</f>
        <v>12691345</v>
      </c>
      <c r="H35" s="362">
        <f t="shared" ref="H35:H52" si="55">+E35*1%</f>
        <v>33172323.370000001</v>
      </c>
      <c r="I35" s="362">
        <f t="shared" ref="I35:I52" si="56">+G35-H35</f>
        <v>-20480978.370000001</v>
      </c>
      <c r="J35" s="365">
        <f>+'Asset Classification'!I35</f>
        <v>458624751</v>
      </c>
      <c r="K35" s="367">
        <f>+'Asset Classification'!J35</f>
        <v>279250351</v>
      </c>
      <c r="L35" s="365">
        <f>+'Asset Classification'!K35</f>
        <v>6022658</v>
      </c>
      <c r="M35" s="362">
        <f t="shared" ref="M35:M52" si="57">+J35*10%</f>
        <v>45862475.100000001</v>
      </c>
      <c r="N35" s="362">
        <f t="shared" ref="N35:N52" si="58">+L35-M35</f>
        <v>-39839817.100000001</v>
      </c>
      <c r="O35" s="367">
        <f>+'Asset Classification'!L35</f>
        <v>4608229</v>
      </c>
      <c r="P35" s="362">
        <f t="shared" ref="P35:P52" si="59">+K35*10%</f>
        <v>27925035.100000001</v>
      </c>
      <c r="Q35" s="362">
        <f t="shared" ref="Q35:Q52" si="60">+O35-P35</f>
        <v>-23316806.100000001</v>
      </c>
      <c r="R35" s="365">
        <f>+'Asset Classification'!M35</f>
        <v>26513005</v>
      </c>
      <c r="S35" s="367">
        <f>+'Asset Classification'!N35</f>
        <v>15974198</v>
      </c>
      <c r="T35" s="365">
        <f>+'Asset Classification'!O35</f>
        <v>255125</v>
      </c>
      <c r="U35" s="362">
        <f t="shared" ref="U35:U52" si="61">+R35*25%</f>
        <v>6628251.25</v>
      </c>
      <c r="V35" s="362">
        <f t="shared" ref="V35:V52" si="62">+T35-U35</f>
        <v>-6373126.25</v>
      </c>
      <c r="W35" s="367">
        <f>+'Asset Classification'!P35</f>
        <v>0</v>
      </c>
      <c r="X35" s="362">
        <f t="shared" ref="X35:X52" si="63">+S35*25%</f>
        <v>3993549.5</v>
      </c>
      <c r="Y35" s="362">
        <f t="shared" ref="Y35:Y52" si="64">+W35-X35</f>
        <v>-3993549.5</v>
      </c>
      <c r="Z35" s="365">
        <f>+'Asset Classification'!Q35</f>
        <v>92658895</v>
      </c>
      <c r="AA35" s="367">
        <f>+'Asset Classification'!R35</f>
        <v>48540411</v>
      </c>
      <c r="AB35" s="365">
        <f>+'Asset Classification'!S35</f>
        <v>11833571</v>
      </c>
      <c r="AC35" s="362">
        <f t="shared" ref="AC35:AC52" si="65">+Z35*50%</f>
        <v>46329447.5</v>
      </c>
      <c r="AD35" s="362">
        <f t="shared" ref="AD35:AD52" si="66">+AB35-AC35</f>
        <v>-34495876.5</v>
      </c>
      <c r="AE35" s="367">
        <f>+'Asset Classification'!T35</f>
        <v>6251331</v>
      </c>
      <c r="AF35" s="362">
        <f t="shared" ref="AF35:AF52" si="67">+AA35*50%</f>
        <v>24270205.5</v>
      </c>
      <c r="AG35" s="362">
        <f t="shared" ref="AG35:AG52" si="68">+AE35-AF35</f>
        <v>-18018874.5</v>
      </c>
      <c r="AH35" s="365">
        <f>+'Asset Classification'!U35</f>
        <v>34839249</v>
      </c>
      <c r="AI35" s="367">
        <f>+'Asset Classification'!V35</f>
        <v>7056300</v>
      </c>
      <c r="AJ35" s="365">
        <f>+'Asset Classification'!W35</f>
        <v>11935208</v>
      </c>
      <c r="AK35" s="362">
        <f t="shared" ref="AK35:AK52" si="69">+AH35*100%</f>
        <v>34839249</v>
      </c>
      <c r="AL35" s="362">
        <f t="shared" ref="AL35:AL52" si="70">+AJ35-AK35</f>
        <v>-22904041</v>
      </c>
      <c r="AM35" s="367">
        <f>+'Asset Classification'!X35</f>
        <v>1961823</v>
      </c>
      <c r="AN35" s="362">
        <f t="shared" ref="AN35:AN52" si="71">+AI35*100%</f>
        <v>7056300</v>
      </c>
      <c r="AO35" s="362">
        <f t="shared" ref="AO35:AO52" si="72">+AM35-AN35</f>
        <v>-5094477</v>
      </c>
      <c r="AP35" s="357">
        <f t="shared" ref="AP35:AQ52" si="73">+L35+T35+AB35+AJ35</f>
        <v>30046562</v>
      </c>
      <c r="AQ35" s="357">
        <f t="shared" si="73"/>
        <v>133659422.84999999</v>
      </c>
      <c r="AR35" s="357">
        <f t="shared" ref="AR35:AR52" si="74">+AP35-AQ35</f>
        <v>-103612860.84999999</v>
      </c>
      <c r="AS35" s="362">
        <f t="shared" ref="AS35:AT52" si="75">+O35+W35+AE35+AM35</f>
        <v>12821383</v>
      </c>
      <c r="AT35" s="362">
        <f t="shared" si="75"/>
        <v>63245090.100000001</v>
      </c>
      <c r="AU35" s="362">
        <f t="shared" ref="AU35:AU52" si="76">+AS35-AT35</f>
        <v>-50423707.100000001</v>
      </c>
      <c r="AV35" s="132">
        <f>+'Aging Analysis'!C25</f>
        <v>3929868237</v>
      </c>
      <c r="AW35" s="130"/>
      <c r="AX35" s="130"/>
      <c r="AY35" s="130"/>
      <c r="AZ35" s="130"/>
      <c r="BA35" s="130"/>
      <c r="BB35" s="130"/>
      <c r="BC35" s="130"/>
    </row>
    <row r="36" spans="1:55" s="12" customFormat="1" ht="14.25" customHeight="1">
      <c r="A36" s="219"/>
      <c r="B36" s="223" t="s">
        <v>572</v>
      </c>
      <c r="C36" s="361">
        <f>+'Asset Classification'!C36</f>
        <v>0</v>
      </c>
      <c r="D36" s="367">
        <f>+'Asset Classification'!D36</f>
        <v>0</v>
      </c>
      <c r="E36" s="365">
        <f>+'Asset Classification'!E36</f>
        <v>0</v>
      </c>
      <c r="F36" s="367">
        <f>+'Asset Classification'!F36</f>
        <v>0</v>
      </c>
      <c r="G36" s="365">
        <f>+'Asset Classification'!G36</f>
        <v>0</v>
      </c>
      <c r="H36" s="362">
        <f t="shared" si="55"/>
        <v>0</v>
      </c>
      <c r="I36" s="362">
        <f t="shared" si="56"/>
        <v>0</v>
      </c>
      <c r="J36" s="365">
        <f>+'Asset Classification'!I36</f>
        <v>0</v>
      </c>
      <c r="K36" s="367">
        <f>+'Asset Classification'!J36</f>
        <v>0</v>
      </c>
      <c r="L36" s="365">
        <f>+'Asset Classification'!K36</f>
        <v>0</v>
      </c>
      <c r="M36" s="362">
        <f t="shared" si="57"/>
        <v>0</v>
      </c>
      <c r="N36" s="362">
        <f t="shared" si="58"/>
        <v>0</v>
      </c>
      <c r="O36" s="367">
        <f>+'Asset Classification'!L36</f>
        <v>0</v>
      </c>
      <c r="P36" s="362">
        <f t="shared" si="59"/>
        <v>0</v>
      </c>
      <c r="Q36" s="362">
        <f t="shared" si="60"/>
        <v>0</v>
      </c>
      <c r="R36" s="365">
        <f>+'Asset Classification'!M36</f>
        <v>0</v>
      </c>
      <c r="S36" s="367">
        <f>+'Asset Classification'!N36</f>
        <v>0</v>
      </c>
      <c r="T36" s="365">
        <f>+'Asset Classification'!O36</f>
        <v>0</v>
      </c>
      <c r="U36" s="362">
        <f t="shared" si="61"/>
        <v>0</v>
      </c>
      <c r="V36" s="362">
        <f t="shared" si="62"/>
        <v>0</v>
      </c>
      <c r="W36" s="367">
        <f>+'Asset Classification'!P36</f>
        <v>0</v>
      </c>
      <c r="X36" s="362">
        <f t="shared" si="63"/>
        <v>0</v>
      </c>
      <c r="Y36" s="362">
        <f t="shared" si="64"/>
        <v>0</v>
      </c>
      <c r="Z36" s="365">
        <f>+'Asset Classification'!Q36</f>
        <v>0</v>
      </c>
      <c r="AA36" s="367">
        <f>+'Asset Classification'!R36</f>
        <v>0</v>
      </c>
      <c r="AB36" s="365">
        <f>+'Asset Classification'!S36</f>
        <v>0</v>
      </c>
      <c r="AC36" s="362">
        <f t="shared" si="65"/>
        <v>0</v>
      </c>
      <c r="AD36" s="362">
        <f t="shared" si="66"/>
        <v>0</v>
      </c>
      <c r="AE36" s="367">
        <f>+'Asset Classification'!T36</f>
        <v>0</v>
      </c>
      <c r="AF36" s="362">
        <f t="shared" si="67"/>
        <v>0</v>
      </c>
      <c r="AG36" s="362">
        <f t="shared" si="68"/>
        <v>0</v>
      </c>
      <c r="AH36" s="365">
        <f>+'Asset Classification'!U36</f>
        <v>0</v>
      </c>
      <c r="AI36" s="367">
        <f>+'Asset Classification'!V36</f>
        <v>0</v>
      </c>
      <c r="AJ36" s="365">
        <f>+'Asset Classification'!W36</f>
        <v>0</v>
      </c>
      <c r="AK36" s="362">
        <f t="shared" si="69"/>
        <v>0</v>
      </c>
      <c r="AL36" s="362">
        <f t="shared" si="70"/>
        <v>0</v>
      </c>
      <c r="AM36" s="367">
        <f>+'Asset Classification'!X36</f>
        <v>0</v>
      </c>
      <c r="AN36" s="362">
        <f t="shared" si="71"/>
        <v>0</v>
      </c>
      <c r="AO36" s="362">
        <f t="shared" si="72"/>
        <v>0</v>
      </c>
      <c r="AP36" s="357">
        <f t="shared" si="73"/>
        <v>0</v>
      </c>
      <c r="AQ36" s="357">
        <f t="shared" si="73"/>
        <v>0</v>
      </c>
      <c r="AR36" s="357">
        <f t="shared" si="74"/>
        <v>0</v>
      </c>
      <c r="AS36" s="362">
        <f t="shared" si="75"/>
        <v>0</v>
      </c>
      <c r="AT36" s="362">
        <f t="shared" si="75"/>
        <v>0</v>
      </c>
      <c r="AU36" s="362">
        <f t="shared" si="76"/>
        <v>0</v>
      </c>
      <c r="AW36" s="130"/>
      <c r="AX36" s="130"/>
      <c r="AY36" s="130"/>
      <c r="AZ36" s="130"/>
      <c r="BA36" s="130"/>
      <c r="BB36" s="130"/>
      <c r="BC36" s="130"/>
    </row>
    <row r="37" spans="1:55" s="12" customFormat="1" ht="23.25" customHeight="1">
      <c r="A37" s="219">
        <v>15</v>
      </c>
      <c r="B37" s="222" t="s">
        <v>398</v>
      </c>
      <c r="C37" s="361">
        <f>+'Asset Classification'!C37</f>
        <v>4134450617</v>
      </c>
      <c r="D37" s="367">
        <f>+'Asset Classification'!D37</f>
        <v>1002733920</v>
      </c>
      <c r="E37" s="365">
        <f>+'Asset Classification'!E37</f>
        <v>3807842742</v>
      </c>
      <c r="F37" s="367">
        <f>+'Asset Classification'!F37</f>
        <v>987280796</v>
      </c>
      <c r="G37" s="365">
        <f>+'Asset Classification'!G37</f>
        <v>9555115</v>
      </c>
      <c r="H37" s="362">
        <f t="shared" si="55"/>
        <v>38078427.420000002</v>
      </c>
      <c r="I37" s="362">
        <f t="shared" si="56"/>
        <v>-28523312.420000002</v>
      </c>
      <c r="J37" s="365">
        <f>+'Asset Classification'!I37</f>
        <v>167022420</v>
      </c>
      <c r="K37" s="367">
        <f>+'Asset Classification'!J37</f>
        <v>2168958</v>
      </c>
      <c r="L37" s="365">
        <f>+'Asset Classification'!K37</f>
        <v>7326218</v>
      </c>
      <c r="M37" s="362">
        <f t="shared" si="57"/>
        <v>16702242</v>
      </c>
      <c r="N37" s="362">
        <f t="shared" si="58"/>
        <v>-9376024</v>
      </c>
      <c r="O37" s="367">
        <f>+'Asset Classification'!L37</f>
        <v>0</v>
      </c>
      <c r="P37" s="362">
        <f t="shared" si="59"/>
        <v>216895.80000000002</v>
      </c>
      <c r="Q37" s="362">
        <f t="shared" si="60"/>
        <v>-216895.80000000002</v>
      </c>
      <c r="R37" s="365">
        <f>+'Asset Classification'!M37</f>
        <v>17177594</v>
      </c>
      <c r="S37" s="367">
        <f>+'Asset Classification'!N37</f>
        <v>0</v>
      </c>
      <c r="T37" s="365">
        <f>+'Asset Classification'!O37</f>
        <v>155440</v>
      </c>
      <c r="U37" s="362">
        <f t="shared" si="61"/>
        <v>4294398.5</v>
      </c>
      <c r="V37" s="362">
        <f t="shared" si="62"/>
        <v>-4138958.5</v>
      </c>
      <c r="W37" s="367">
        <f>+'Asset Classification'!P37</f>
        <v>0</v>
      </c>
      <c r="X37" s="362">
        <f t="shared" si="63"/>
        <v>0</v>
      </c>
      <c r="Y37" s="362">
        <f t="shared" si="64"/>
        <v>0</v>
      </c>
      <c r="Z37" s="365">
        <f>+'Asset Classification'!Q37</f>
        <v>83531170</v>
      </c>
      <c r="AA37" s="367">
        <f>+'Asset Classification'!R37</f>
        <v>12246479</v>
      </c>
      <c r="AB37" s="365">
        <f>+'Asset Classification'!S37</f>
        <v>17897521</v>
      </c>
      <c r="AC37" s="362">
        <f t="shared" si="65"/>
        <v>41765585</v>
      </c>
      <c r="AD37" s="362">
        <f t="shared" si="66"/>
        <v>-23868064</v>
      </c>
      <c r="AE37" s="367">
        <f>+'Asset Classification'!T37</f>
        <v>3731733</v>
      </c>
      <c r="AF37" s="362">
        <f t="shared" si="67"/>
        <v>6123239.5</v>
      </c>
      <c r="AG37" s="362">
        <f t="shared" si="68"/>
        <v>-2391506.5</v>
      </c>
      <c r="AH37" s="365">
        <f>+'Asset Classification'!U37</f>
        <v>58876691</v>
      </c>
      <c r="AI37" s="367">
        <f>+'Asset Classification'!V37</f>
        <v>1037687</v>
      </c>
      <c r="AJ37" s="365">
        <f>+'Asset Classification'!W37</f>
        <v>23423125</v>
      </c>
      <c r="AK37" s="362">
        <f t="shared" si="69"/>
        <v>58876691</v>
      </c>
      <c r="AL37" s="362">
        <f t="shared" si="70"/>
        <v>-35453566</v>
      </c>
      <c r="AM37" s="367">
        <f>+'Asset Classification'!X37</f>
        <v>518844</v>
      </c>
      <c r="AN37" s="362">
        <f t="shared" si="71"/>
        <v>1037687</v>
      </c>
      <c r="AO37" s="362">
        <f t="shared" si="72"/>
        <v>-518843</v>
      </c>
      <c r="AP37" s="357">
        <f t="shared" si="73"/>
        <v>48802304</v>
      </c>
      <c r="AQ37" s="357">
        <f t="shared" si="73"/>
        <v>121638916.5</v>
      </c>
      <c r="AR37" s="357">
        <f t="shared" si="74"/>
        <v>-72836612.5</v>
      </c>
      <c r="AS37" s="362">
        <f t="shared" si="75"/>
        <v>4250577</v>
      </c>
      <c r="AT37" s="362">
        <f t="shared" si="75"/>
        <v>7377822.2999999998</v>
      </c>
      <c r="AU37" s="362">
        <f t="shared" si="76"/>
        <v>-3127245.3</v>
      </c>
      <c r="AV37" s="132">
        <f>+'Aging Analysis'!C26</f>
        <v>4134450617</v>
      </c>
      <c r="AW37" s="130"/>
      <c r="AX37" s="130"/>
      <c r="AY37" s="130"/>
      <c r="AZ37" s="130"/>
      <c r="BA37" s="130"/>
      <c r="BB37" s="130"/>
      <c r="BC37" s="130"/>
    </row>
    <row r="38" spans="1:55" s="12" customFormat="1" ht="14.25" customHeight="1">
      <c r="A38" s="219"/>
      <c r="B38" s="223" t="s">
        <v>572</v>
      </c>
      <c r="C38" s="361">
        <f>+'Asset Classification'!C38</f>
        <v>0</v>
      </c>
      <c r="D38" s="367">
        <f>+'Asset Classification'!D38</f>
        <v>0</v>
      </c>
      <c r="E38" s="365">
        <f>+'Asset Classification'!E38</f>
        <v>0</v>
      </c>
      <c r="F38" s="367">
        <f>+'Asset Classification'!F38</f>
        <v>0</v>
      </c>
      <c r="G38" s="365">
        <f>+'Asset Classification'!G38</f>
        <v>0</v>
      </c>
      <c r="H38" s="362">
        <f t="shared" si="55"/>
        <v>0</v>
      </c>
      <c r="I38" s="362">
        <f t="shared" si="56"/>
        <v>0</v>
      </c>
      <c r="J38" s="365">
        <f>+'Asset Classification'!I38</f>
        <v>0</v>
      </c>
      <c r="K38" s="367">
        <f>+'Asset Classification'!J38</f>
        <v>0</v>
      </c>
      <c r="L38" s="365">
        <f>+'Asset Classification'!K38</f>
        <v>0</v>
      </c>
      <c r="M38" s="362">
        <f t="shared" si="57"/>
        <v>0</v>
      </c>
      <c r="N38" s="362">
        <f t="shared" si="58"/>
        <v>0</v>
      </c>
      <c r="O38" s="367">
        <f>+'Asset Classification'!L38</f>
        <v>0</v>
      </c>
      <c r="P38" s="362">
        <f t="shared" si="59"/>
        <v>0</v>
      </c>
      <c r="Q38" s="362">
        <f t="shared" si="60"/>
        <v>0</v>
      </c>
      <c r="R38" s="365">
        <f>+'Asset Classification'!M38</f>
        <v>0</v>
      </c>
      <c r="S38" s="367">
        <f>+'Asset Classification'!N38</f>
        <v>0</v>
      </c>
      <c r="T38" s="365">
        <f>+'Asset Classification'!O38</f>
        <v>0</v>
      </c>
      <c r="U38" s="362">
        <f t="shared" si="61"/>
        <v>0</v>
      </c>
      <c r="V38" s="362">
        <f t="shared" si="62"/>
        <v>0</v>
      </c>
      <c r="W38" s="367">
        <f>+'Asset Classification'!P38</f>
        <v>0</v>
      </c>
      <c r="X38" s="362">
        <f t="shared" si="63"/>
        <v>0</v>
      </c>
      <c r="Y38" s="362">
        <f t="shared" si="64"/>
        <v>0</v>
      </c>
      <c r="Z38" s="365">
        <f>+'Asset Classification'!Q38</f>
        <v>0</v>
      </c>
      <c r="AA38" s="367">
        <f>+'Asset Classification'!R38</f>
        <v>0</v>
      </c>
      <c r="AB38" s="365">
        <f>+'Asset Classification'!S38</f>
        <v>0</v>
      </c>
      <c r="AC38" s="362">
        <f t="shared" si="65"/>
        <v>0</v>
      </c>
      <c r="AD38" s="362">
        <f t="shared" si="66"/>
        <v>0</v>
      </c>
      <c r="AE38" s="367">
        <f>+'Asset Classification'!T38</f>
        <v>0</v>
      </c>
      <c r="AF38" s="362">
        <f t="shared" si="67"/>
        <v>0</v>
      </c>
      <c r="AG38" s="362">
        <f t="shared" si="68"/>
        <v>0</v>
      </c>
      <c r="AH38" s="365">
        <f>+'Asset Classification'!U38</f>
        <v>0</v>
      </c>
      <c r="AI38" s="367">
        <f>+'Asset Classification'!V38</f>
        <v>0</v>
      </c>
      <c r="AJ38" s="365">
        <f>+'Asset Classification'!W38</f>
        <v>0</v>
      </c>
      <c r="AK38" s="362">
        <f t="shared" si="69"/>
        <v>0</v>
      </c>
      <c r="AL38" s="362">
        <f t="shared" si="70"/>
        <v>0</v>
      </c>
      <c r="AM38" s="367">
        <f>+'Asset Classification'!X38</f>
        <v>0</v>
      </c>
      <c r="AN38" s="362">
        <f t="shared" si="71"/>
        <v>0</v>
      </c>
      <c r="AO38" s="362">
        <f t="shared" si="72"/>
        <v>0</v>
      </c>
      <c r="AP38" s="357">
        <f t="shared" si="73"/>
        <v>0</v>
      </c>
      <c r="AQ38" s="357">
        <f t="shared" si="73"/>
        <v>0</v>
      </c>
      <c r="AR38" s="357">
        <f t="shared" si="74"/>
        <v>0</v>
      </c>
      <c r="AS38" s="362">
        <f t="shared" si="75"/>
        <v>0</v>
      </c>
      <c r="AT38" s="362">
        <f t="shared" si="75"/>
        <v>0</v>
      </c>
      <c r="AU38" s="362">
        <f t="shared" si="76"/>
        <v>0</v>
      </c>
      <c r="AW38" s="130"/>
      <c r="AX38" s="130"/>
      <c r="AY38" s="130"/>
      <c r="AZ38" s="130"/>
      <c r="BA38" s="130"/>
      <c r="BB38" s="130"/>
      <c r="BC38" s="130"/>
    </row>
    <row r="39" spans="1:55" s="12" customFormat="1" ht="23.25" customHeight="1">
      <c r="A39" s="219">
        <v>16</v>
      </c>
      <c r="B39" s="222" t="s">
        <v>399</v>
      </c>
      <c r="C39" s="361">
        <f>+'Asset Classification'!C39</f>
        <v>255926870</v>
      </c>
      <c r="D39" s="367">
        <f>+'Asset Classification'!D39</f>
        <v>28539314</v>
      </c>
      <c r="E39" s="365">
        <f>+'Asset Classification'!E39</f>
        <v>231680903</v>
      </c>
      <c r="F39" s="367">
        <f>+'Asset Classification'!F39</f>
        <v>27284967</v>
      </c>
      <c r="G39" s="365">
        <f>+'Asset Classification'!G39</f>
        <v>1328194</v>
      </c>
      <c r="H39" s="362">
        <f t="shared" si="55"/>
        <v>2316809.0300000003</v>
      </c>
      <c r="I39" s="362">
        <f t="shared" si="56"/>
        <v>-988615.03000000026</v>
      </c>
      <c r="J39" s="365">
        <f>+'Asset Classification'!I39</f>
        <v>17304478</v>
      </c>
      <c r="K39" s="367">
        <f>+'Asset Classification'!J39</f>
        <v>1254347</v>
      </c>
      <c r="L39" s="365">
        <f>+'Asset Classification'!K39</f>
        <v>39861</v>
      </c>
      <c r="M39" s="362">
        <f t="shared" si="57"/>
        <v>1730447.8</v>
      </c>
      <c r="N39" s="362">
        <f t="shared" si="58"/>
        <v>-1690586.8</v>
      </c>
      <c r="O39" s="367">
        <f>+'Asset Classification'!L39</f>
        <v>0</v>
      </c>
      <c r="P39" s="362">
        <f t="shared" si="59"/>
        <v>125434.70000000001</v>
      </c>
      <c r="Q39" s="362">
        <f t="shared" si="60"/>
        <v>-125434.70000000001</v>
      </c>
      <c r="R39" s="365">
        <f>+'Asset Classification'!M39</f>
        <v>49614</v>
      </c>
      <c r="S39" s="367">
        <f>+'Asset Classification'!N39</f>
        <v>0</v>
      </c>
      <c r="T39" s="365">
        <f>+'Asset Classification'!O39</f>
        <v>0</v>
      </c>
      <c r="U39" s="362">
        <f t="shared" si="61"/>
        <v>12403.5</v>
      </c>
      <c r="V39" s="362">
        <f t="shared" si="62"/>
        <v>-12403.5</v>
      </c>
      <c r="W39" s="367">
        <f>+'Asset Classification'!P39</f>
        <v>0</v>
      </c>
      <c r="X39" s="362">
        <f t="shared" si="63"/>
        <v>0</v>
      </c>
      <c r="Y39" s="362">
        <f t="shared" si="64"/>
        <v>0</v>
      </c>
      <c r="Z39" s="365">
        <f>+'Asset Classification'!Q39</f>
        <v>2419059</v>
      </c>
      <c r="AA39" s="367">
        <f>+'Asset Classification'!R39</f>
        <v>0</v>
      </c>
      <c r="AB39" s="365">
        <f>+'Asset Classification'!S39</f>
        <v>222082</v>
      </c>
      <c r="AC39" s="362">
        <f t="shared" si="65"/>
        <v>1209529.5</v>
      </c>
      <c r="AD39" s="362">
        <f t="shared" si="66"/>
        <v>-987447.5</v>
      </c>
      <c r="AE39" s="367">
        <f>+'Asset Classification'!T39</f>
        <v>0</v>
      </c>
      <c r="AF39" s="362">
        <f t="shared" si="67"/>
        <v>0</v>
      </c>
      <c r="AG39" s="362">
        <f t="shared" si="68"/>
        <v>0</v>
      </c>
      <c r="AH39" s="365">
        <f>+'Asset Classification'!U39</f>
        <v>4472816</v>
      </c>
      <c r="AI39" s="367">
        <f>+'Asset Classification'!V39</f>
        <v>0</v>
      </c>
      <c r="AJ39" s="365">
        <f>+'Asset Classification'!W39</f>
        <v>2307049</v>
      </c>
      <c r="AK39" s="362">
        <f t="shared" si="69"/>
        <v>4472816</v>
      </c>
      <c r="AL39" s="362">
        <f t="shared" si="70"/>
        <v>-2165767</v>
      </c>
      <c r="AM39" s="367">
        <f>+'Asset Classification'!X39</f>
        <v>0</v>
      </c>
      <c r="AN39" s="362">
        <f t="shared" si="71"/>
        <v>0</v>
      </c>
      <c r="AO39" s="362">
        <f t="shared" si="72"/>
        <v>0</v>
      </c>
      <c r="AP39" s="357">
        <f t="shared" si="73"/>
        <v>2568992</v>
      </c>
      <c r="AQ39" s="357">
        <f t="shared" si="73"/>
        <v>7425196.7999999998</v>
      </c>
      <c r="AR39" s="357">
        <f t="shared" si="74"/>
        <v>-4856204.8</v>
      </c>
      <c r="AS39" s="362">
        <f t="shared" si="75"/>
        <v>0</v>
      </c>
      <c r="AT39" s="362">
        <f t="shared" si="75"/>
        <v>125434.70000000001</v>
      </c>
      <c r="AU39" s="362">
        <f t="shared" si="76"/>
        <v>-125434.70000000001</v>
      </c>
      <c r="AV39" s="132">
        <f>+'Aging Analysis'!C27</f>
        <v>255926870</v>
      </c>
      <c r="AW39" s="130"/>
      <c r="AX39" s="130"/>
      <c r="AY39" s="130"/>
      <c r="AZ39" s="130"/>
      <c r="BA39" s="130"/>
      <c r="BB39" s="130"/>
      <c r="BC39" s="130"/>
    </row>
    <row r="40" spans="1:55" s="12" customFormat="1" ht="14.25" customHeight="1">
      <c r="A40" s="219"/>
      <c r="B40" s="223" t="s">
        <v>572</v>
      </c>
      <c r="C40" s="361">
        <f>+'Asset Classification'!C40</f>
        <v>0</v>
      </c>
      <c r="D40" s="367">
        <f>+'Asset Classification'!D40</f>
        <v>0</v>
      </c>
      <c r="E40" s="365">
        <f>+'Asset Classification'!E40</f>
        <v>0</v>
      </c>
      <c r="F40" s="367">
        <f>+'Asset Classification'!F40</f>
        <v>0</v>
      </c>
      <c r="G40" s="365">
        <f>+'Asset Classification'!G40</f>
        <v>0</v>
      </c>
      <c r="H40" s="362">
        <f t="shared" si="55"/>
        <v>0</v>
      </c>
      <c r="I40" s="362">
        <f t="shared" si="56"/>
        <v>0</v>
      </c>
      <c r="J40" s="365">
        <f>+'Asset Classification'!I40</f>
        <v>0</v>
      </c>
      <c r="K40" s="367">
        <f>+'Asset Classification'!J40</f>
        <v>0</v>
      </c>
      <c r="L40" s="365">
        <f>+'Asset Classification'!K40</f>
        <v>0</v>
      </c>
      <c r="M40" s="362">
        <f t="shared" si="57"/>
        <v>0</v>
      </c>
      <c r="N40" s="362">
        <f t="shared" si="58"/>
        <v>0</v>
      </c>
      <c r="O40" s="367">
        <f>+'Asset Classification'!L40</f>
        <v>0</v>
      </c>
      <c r="P40" s="362">
        <f t="shared" si="59"/>
        <v>0</v>
      </c>
      <c r="Q40" s="362">
        <f t="shared" si="60"/>
        <v>0</v>
      </c>
      <c r="R40" s="365">
        <f>+'Asset Classification'!M40</f>
        <v>0</v>
      </c>
      <c r="S40" s="367">
        <f>+'Asset Classification'!N40</f>
        <v>0</v>
      </c>
      <c r="T40" s="365">
        <f>+'Asset Classification'!O40</f>
        <v>0</v>
      </c>
      <c r="U40" s="362">
        <f t="shared" si="61"/>
        <v>0</v>
      </c>
      <c r="V40" s="362">
        <f t="shared" si="62"/>
        <v>0</v>
      </c>
      <c r="W40" s="367">
        <f>+'Asset Classification'!P40</f>
        <v>0</v>
      </c>
      <c r="X40" s="362">
        <f t="shared" si="63"/>
        <v>0</v>
      </c>
      <c r="Y40" s="362">
        <f t="shared" si="64"/>
        <v>0</v>
      </c>
      <c r="Z40" s="365">
        <f>+'Asset Classification'!Q40</f>
        <v>0</v>
      </c>
      <c r="AA40" s="367">
        <f>+'Asset Classification'!R40</f>
        <v>0</v>
      </c>
      <c r="AB40" s="365">
        <f>+'Asset Classification'!S40</f>
        <v>0</v>
      </c>
      <c r="AC40" s="362">
        <f t="shared" si="65"/>
        <v>0</v>
      </c>
      <c r="AD40" s="362">
        <f t="shared" si="66"/>
        <v>0</v>
      </c>
      <c r="AE40" s="367">
        <f>+'Asset Classification'!T40</f>
        <v>0</v>
      </c>
      <c r="AF40" s="362">
        <f t="shared" si="67"/>
        <v>0</v>
      </c>
      <c r="AG40" s="362">
        <f t="shared" si="68"/>
        <v>0</v>
      </c>
      <c r="AH40" s="365">
        <f>+'Asset Classification'!U40</f>
        <v>0</v>
      </c>
      <c r="AI40" s="367">
        <f>+'Asset Classification'!V40</f>
        <v>0</v>
      </c>
      <c r="AJ40" s="365">
        <f>+'Asset Classification'!W40</f>
        <v>0</v>
      </c>
      <c r="AK40" s="362">
        <f t="shared" si="69"/>
        <v>0</v>
      </c>
      <c r="AL40" s="362">
        <f t="shared" si="70"/>
        <v>0</v>
      </c>
      <c r="AM40" s="367">
        <f>+'Asset Classification'!X40</f>
        <v>0</v>
      </c>
      <c r="AN40" s="362">
        <f t="shared" si="71"/>
        <v>0</v>
      </c>
      <c r="AO40" s="362">
        <f t="shared" si="72"/>
        <v>0</v>
      </c>
      <c r="AP40" s="357">
        <f t="shared" si="73"/>
        <v>0</v>
      </c>
      <c r="AQ40" s="357">
        <f t="shared" si="73"/>
        <v>0</v>
      </c>
      <c r="AR40" s="357">
        <f t="shared" si="74"/>
        <v>0</v>
      </c>
      <c r="AS40" s="362">
        <f t="shared" si="75"/>
        <v>0</v>
      </c>
      <c r="AT40" s="362">
        <f t="shared" si="75"/>
        <v>0</v>
      </c>
      <c r="AU40" s="362">
        <f t="shared" si="76"/>
        <v>0</v>
      </c>
      <c r="AW40" s="130"/>
      <c r="AX40" s="130"/>
      <c r="AY40" s="130"/>
      <c r="AZ40" s="130"/>
      <c r="BA40" s="130"/>
      <c r="BB40" s="130"/>
      <c r="BC40" s="130"/>
    </row>
    <row r="41" spans="1:55" s="12" customFormat="1" ht="23.25" customHeight="1">
      <c r="A41" s="219">
        <v>17</v>
      </c>
      <c r="B41" s="222" t="s">
        <v>400</v>
      </c>
      <c r="C41" s="361">
        <f>+'Asset Classification'!C41</f>
        <v>1320966900</v>
      </c>
      <c r="D41" s="367">
        <f>+'Asset Classification'!D41</f>
        <v>530928980</v>
      </c>
      <c r="E41" s="365">
        <f>+'Asset Classification'!E41</f>
        <v>1229298667</v>
      </c>
      <c r="F41" s="367">
        <f>+'Asset Classification'!F41</f>
        <v>527787787</v>
      </c>
      <c r="G41" s="365">
        <f>+'Asset Classification'!G41</f>
        <v>1069011</v>
      </c>
      <c r="H41" s="362">
        <f t="shared" si="55"/>
        <v>12292986.67</v>
      </c>
      <c r="I41" s="362">
        <f t="shared" si="56"/>
        <v>-11223975.67</v>
      </c>
      <c r="J41" s="365">
        <f>+'Asset Classification'!I41</f>
        <v>71858780</v>
      </c>
      <c r="K41" s="367">
        <f>+'Asset Classification'!J41</f>
        <v>0</v>
      </c>
      <c r="L41" s="365">
        <f>+'Asset Classification'!K41</f>
        <v>168101</v>
      </c>
      <c r="M41" s="362">
        <f t="shared" si="57"/>
        <v>7185878</v>
      </c>
      <c r="N41" s="362">
        <f t="shared" si="58"/>
        <v>-7017777</v>
      </c>
      <c r="O41" s="367">
        <f>+'Asset Classification'!L41</f>
        <v>0</v>
      </c>
      <c r="P41" s="362">
        <f t="shared" si="59"/>
        <v>0</v>
      </c>
      <c r="Q41" s="362">
        <f t="shared" si="60"/>
        <v>0</v>
      </c>
      <c r="R41" s="365">
        <f>+'Asset Classification'!M41</f>
        <v>1092783</v>
      </c>
      <c r="S41" s="367">
        <f>+'Asset Classification'!N41</f>
        <v>0</v>
      </c>
      <c r="T41" s="365">
        <f>+'Asset Classification'!O41</f>
        <v>0</v>
      </c>
      <c r="U41" s="362">
        <f t="shared" si="61"/>
        <v>273195.75</v>
      </c>
      <c r="V41" s="362">
        <f t="shared" si="62"/>
        <v>-273195.75</v>
      </c>
      <c r="W41" s="367">
        <f>+'Asset Classification'!P41</f>
        <v>0</v>
      </c>
      <c r="X41" s="362">
        <f t="shared" si="63"/>
        <v>0</v>
      </c>
      <c r="Y41" s="362">
        <f t="shared" si="64"/>
        <v>0</v>
      </c>
      <c r="Z41" s="365">
        <f>+'Asset Classification'!Q41</f>
        <v>16569528</v>
      </c>
      <c r="AA41" s="367">
        <f>+'Asset Classification'!R41</f>
        <v>3141193</v>
      </c>
      <c r="AB41" s="365">
        <f>+'Asset Classification'!S41</f>
        <v>3448096</v>
      </c>
      <c r="AC41" s="362">
        <f t="shared" si="65"/>
        <v>8284764</v>
      </c>
      <c r="AD41" s="362">
        <f t="shared" si="66"/>
        <v>-4836668</v>
      </c>
      <c r="AE41" s="367">
        <f>+'Asset Classification'!T41</f>
        <v>1570596</v>
      </c>
      <c r="AF41" s="362">
        <f t="shared" si="67"/>
        <v>1570596.5</v>
      </c>
      <c r="AG41" s="362">
        <f t="shared" si="68"/>
        <v>-0.5</v>
      </c>
      <c r="AH41" s="365">
        <f>+'Asset Classification'!U41</f>
        <v>2147142</v>
      </c>
      <c r="AI41" s="367">
        <f>+'Asset Classification'!V41</f>
        <v>0</v>
      </c>
      <c r="AJ41" s="365">
        <f>+'Asset Classification'!W41</f>
        <v>1135868</v>
      </c>
      <c r="AK41" s="362">
        <f t="shared" si="69"/>
        <v>2147142</v>
      </c>
      <c r="AL41" s="362">
        <f t="shared" si="70"/>
        <v>-1011274</v>
      </c>
      <c r="AM41" s="367">
        <f>+'Asset Classification'!X41</f>
        <v>0</v>
      </c>
      <c r="AN41" s="362">
        <f t="shared" si="71"/>
        <v>0</v>
      </c>
      <c r="AO41" s="362">
        <f t="shared" si="72"/>
        <v>0</v>
      </c>
      <c r="AP41" s="357">
        <f t="shared" si="73"/>
        <v>4752065</v>
      </c>
      <c r="AQ41" s="357">
        <f t="shared" si="73"/>
        <v>17890979.75</v>
      </c>
      <c r="AR41" s="357">
        <f t="shared" si="74"/>
        <v>-13138914.75</v>
      </c>
      <c r="AS41" s="362">
        <f t="shared" si="75"/>
        <v>1570596</v>
      </c>
      <c r="AT41" s="362">
        <f t="shared" si="75"/>
        <v>1570596.5</v>
      </c>
      <c r="AU41" s="362">
        <f t="shared" si="76"/>
        <v>-0.5</v>
      </c>
      <c r="AV41" s="132">
        <f>+'Aging Analysis'!C28</f>
        <v>1320966900</v>
      </c>
      <c r="AW41" s="130"/>
      <c r="AX41" s="130"/>
      <c r="AY41" s="130"/>
      <c r="AZ41" s="130"/>
      <c r="BA41" s="130"/>
      <c r="BB41" s="130"/>
      <c r="BC41" s="130"/>
    </row>
    <row r="42" spans="1:55" s="12" customFormat="1" ht="14.25" customHeight="1">
      <c r="A42" s="219"/>
      <c r="B42" s="223" t="s">
        <v>572</v>
      </c>
      <c r="C42" s="361">
        <f>+'Asset Classification'!C42</f>
        <v>0</v>
      </c>
      <c r="D42" s="367">
        <f>+'Asset Classification'!D42</f>
        <v>0</v>
      </c>
      <c r="E42" s="365">
        <f>+'Asset Classification'!E42</f>
        <v>0</v>
      </c>
      <c r="F42" s="367">
        <f>+'Asset Classification'!F42</f>
        <v>0</v>
      </c>
      <c r="G42" s="365">
        <f>+'Asset Classification'!G42</f>
        <v>0</v>
      </c>
      <c r="H42" s="362">
        <f t="shared" si="55"/>
        <v>0</v>
      </c>
      <c r="I42" s="362">
        <f t="shared" si="56"/>
        <v>0</v>
      </c>
      <c r="J42" s="365">
        <f>+'Asset Classification'!I42</f>
        <v>0</v>
      </c>
      <c r="K42" s="367">
        <f>+'Asset Classification'!J42</f>
        <v>0</v>
      </c>
      <c r="L42" s="365">
        <f>+'Asset Classification'!K42</f>
        <v>0</v>
      </c>
      <c r="M42" s="362">
        <f t="shared" si="57"/>
        <v>0</v>
      </c>
      <c r="N42" s="362">
        <f t="shared" si="58"/>
        <v>0</v>
      </c>
      <c r="O42" s="367">
        <f>+'Asset Classification'!L42</f>
        <v>0</v>
      </c>
      <c r="P42" s="362">
        <f t="shared" si="59"/>
        <v>0</v>
      </c>
      <c r="Q42" s="362">
        <f t="shared" si="60"/>
        <v>0</v>
      </c>
      <c r="R42" s="365">
        <f>+'Asset Classification'!M42</f>
        <v>0</v>
      </c>
      <c r="S42" s="367">
        <f>+'Asset Classification'!N42</f>
        <v>0</v>
      </c>
      <c r="T42" s="365">
        <f>+'Asset Classification'!O42</f>
        <v>0</v>
      </c>
      <c r="U42" s="362">
        <f t="shared" si="61"/>
        <v>0</v>
      </c>
      <c r="V42" s="362">
        <f t="shared" si="62"/>
        <v>0</v>
      </c>
      <c r="W42" s="367">
        <f>+'Asset Classification'!P42</f>
        <v>0</v>
      </c>
      <c r="X42" s="362">
        <f t="shared" si="63"/>
        <v>0</v>
      </c>
      <c r="Y42" s="362">
        <f t="shared" si="64"/>
        <v>0</v>
      </c>
      <c r="Z42" s="365">
        <f>+'Asset Classification'!Q42</f>
        <v>0</v>
      </c>
      <c r="AA42" s="367">
        <f>+'Asset Classification'!R42</f>
        <v>0</v>
      </c>
      <c r="AB42" s="365">
        <f>+'Asset Classification'!S42</f>
        <v>0</v>
      </c>
      <c r="AC42" s="362">
        <f t="shared" si="65"/>
        <v>0</v>
      </c>
      <c r="AD42" s="362">
        <f t="shared" si="66"/>
        <v>0</v>
      </c>
      <c r="AE42" s="367">
        <f>+'Asset Classification'!T42</f>
        <v>0</v>
      </c>
      <c r="AF42" s="362">
        <f t="shared" si="67"/>
        <v>0</v>
      </c>
      <c r="AG42" s="362">
        <f t="shared" si="68"/>
        <v>0</v>
      </c>
      <c r="AH42" s="365">
        <f>+'Asset Classification'!U42</f>
        <v>0</v>
      </c>
      <c r="AI42" s="367">
        <f>+'Asset Classification'!V42</f>
        <v>0</v>
      </c>
      <c r="AJ42" s="365">
        <f>+'Asset Classification'!W42</f>
        <v>0</v>
      </c>
      <c r="AK42" s="362">
        <f t="shared" si="69"/>
        <v>0</v>
      </c>
      <c r="AL42" s="362">
        <f t="shared" si="70"/>
        <v>0</v>
      </c>
      <c r="AM42" s="367">
        <f>+'Asset Classification'!X42</f>
        <v>0</v>
      </c>
      <c r="AN42" s="362">
        <f t="shared" si="71"/>
        <v>0</v>
      </c>
      <c r="AO42" s="362">
        <f t="shared" si="72"/>
        <v>0</v>
      </c>
      <c r="AP42" s="357">
        <f t="shared" si="73"/>
        <v>0</v>
      </c>
      <c r="AQ42" s="357">
        <f t="shared" si="73"/>
        <v>0</v>
      </c>
      <c r="AR42" s="357">
        <f t="shared" si="74"/>
        <v>0</v>
      </c>
      <c r="AS42" s="362">
        <f t="shared" si="75"/>
        <v>0</v>
      </c>
      <c r="AT42" s="362">
        <f t="shared" si="75"/>
        <v>0</v>
      </c>
      <c r="AU42" s="362">
        <f t="shared" si="76"/>
        <v>0</v>
      </c>
      <c r="AW42" s="130"/>
      <c r="AX42" s="130"/>
      <c r="AY42" s="130"/>
      <c r="AZ42" s="130"/>
      <c r="BA42" s="130"/>
      <c r="BB42" s="130"/>
      <c r="BC42" s="130"/>
    </row>
    <row r="43" spans="1:55" s="12" customFormat="1" ht="23.25" customHeight="1">
      <c r="A43" s="219">
        <v>18</v>
      </c>
      <c r="B43" s="222" t="s">
        <v>401</v>
      </c>
      <c r="C43" s="361">
        <f>+'Asset Classification'!C43</f>
        <v>1444865389</v>
      </c>
      <c r="D43" s="367">
        <f>+'Asset Classification'!D43</f>
        <v>209848960</v>
      </c>
      <c r="E43" s="365">
        <f>+'Asset Classification'!E43</f>
        <v>1219902704</v>
      </c>
      <c r="F43" s="367">
        <f>+'Asset Classification'!F43</f>
        <v>162881516</v>
      </c>
      <c r="G43" s="365">
        <f>+'Asset Classification'!G43</f>
        <v>9170354</v>
      </c>
      <c r="H43" s="362">
        <f t="shared" si="55"/>
        <v>12199027.040000001</v>
      </c>
      <c r="I43" s="362">
        <f t="shared" si="56"/>
        <v>-3028673.040000001</v>
      </c>
      <c r="J43" s="365">
        <f>+'Asset Classification'!I43</f>
        <v>128096747</v>
      </c>
      <c r="K43" s="367">
        <f>+'Asset Classification'!J43</f>
        <v>39337103</v>
      </c>
      <c r="L43" s="365">
        <f>+'Asset Classification'!K43</f>
        <v>1419388</v>
      </c>
      <c r="M43" s="362">
        <f t="shared" si="57"/>
        <v>12809674.700000001</v>
      </c>
      <c r="N43" s="362">
        <f t="shared" si="58"/>
        <v>-11390286.700000001</v>
      </c>
      <c r="O43" s="367">
        <f>+'Asset Classification'!L43</f>
        <v>0</v>
      </c>
      <c r="P43" s="362">
        <f t="shared" si="59"/>
        <v>3933710.3000000003</v>
      </c>
      <c r="Q43" s="362">
        <f t="shared" si="60"/>
        <v>-3933710.3000000003</v>
      </c>
      <c r="R43" s="365">
        <f>+'Asset Classification'!M43</f>
        <v>29782795</v>
      </c>
      <c r="S43" s="367">
        <f>+'Asset Classification'!N43</f>
        <v>0</v>
      </c>
      <c r="T43" s="365">
        <f>+'Asset Classification'!O43</f>
        <v>48862</v>
      </c>
      <c r="U43" s="362">
        <f t="shared" si="61"/>
        <v>7445698.75</v>
      </c>
      <c r="V43" s="362">
        <f t="shared" si="62"/>
        <v>-7396836.75</v>
      </c>
      <c r="W43" s="367">
        <f>+'Asset Classification'!P43</f>
        <v>0</v>
      </c>
      <c r="X43" s="362">
        <f t="shared" si="63"/>
        <v>0</v>
      </c>
      <c r="Y43" s="362">
        <f t="shared" si="64"/>
        <v>0</v>
      </c>
      <c r="Z43" s="365">
        <f>+'Asset Classification'!Q43</f>
        <v>39906082</v>
      </c>
      <c r="AA43" s="367">
        <f>+'Asset Classification'!R43</f>
        <v>2659822</v>
      </c>
      <c r="AB43" s="365">
        <f>+'Asset Classification'!S43</f>
        <v>6352753</v>
      </c>
      <c r="AC43" s="362">
        <f t="shared" si="65"/>
        <v>19953041</v>
      </c>
      <c r="AD43" s="362">
        <f t="shared" si="66"/>
        <v>-13600288</v>
      </c>
      <c r="AE43" s="367">
        <f>+'Asset Classification'!T43</f>
        <v>2173956</v>
      </c>
      <c r="AF43" s="362">
        <f t="shared" si="67"/>
        <v>1329911</v>
      </c>
      <c r="AG43" s="362">
        <f t="shared" si="68"/>
        <v>844045</v>
      </c>
      <c r="AH43" s="365">
        <f>+'Asset Classification'!U43</f>
        <v>27177061</v>
      </c>
      <c r="AI43" s="367">
        <f>+'Asset Classification'!V43</f>
        <v>4970519</v>
      </c>
      <c r="AJ43" s="365">
        <f>+'Asset Classification'!W43</f>
        <v>10436151</v>
      </c>
      <c r="AK43" s="362">
        <f t="shared" si="69"/>
        <v>27177061</v>
      </c>
      <c r="AL43" s="362">
        <f t="shared" si="70"/>
        <v>-16740910</v>
      </c>
      <c r="AM43" s="367">
        <f>+'Asset Classification'!X43</f>
        <v>2468459</v>
      </c>
      <c r="AN43" s="362">
        <f t="shared" si="71"/>
        <v>4970519</v>
      </c>
      <c r="AO43" s="362">
        <f t="shared" si="72"/>
        <v>-2502060</v>
      </c>
      <c r="AP43" s="357">
        <f t="shared" si="73"/>
        <v>18257154</v>
      </c>
      <c r="AQ43" s="357">
        <f t="shared" si="73"/>
        <v>67385475.450000003</v>
      </c>
      <c r="AR43" s="357">
        <f t="shared" si="74"/>
        <v>-49128321.450000003</v>
      </c>
      <c r="AS43" s="362">
        <f t="shared" si="75"/>
        <v>4642415</v>
      </c>
      <c r="AT43" s="362">
        <f t="shared" si="75"/>
        <v>10234140.300000001</v>
      </c>
      <c r="AU43" s="362">
        <f t="shared" si="76"/>
        <v>-5591725.3000000007</v>
      </c>
      <c r="AV43" s="132">
        <f>+'Aging Analysis'!C29</f>
        <v>1444865389</v>
      </c>
      <c r="AW43" s="130"/>
      <c r="AX43" s="130"/>
      <c r="AY43" s="130"/>
      <c r="AZ43" s="130"/>
      <c r="BA43" s="130"/>
      <c r="BB43" s="130"/>
      <c r="BC43" s="130"/>
    </row>
    <row r="44" spans="1:55" s="12" customFormat="1" ht="14.25" customHeight="1">
      <c r="A44" s="219"/>
      <c r="B44" s="223" t="s">
        <v>572</v>
      </c>
      <c r="C44" s="361">
        <f>+'Asset Classification'!C44</f>
        <v>0</v>
      </c>
      <c r="D44" s="367">
        <f>+'Asset Classification'!D44</f>
        <v>0</v>
      </c>
      <c r="E44" s="365">
        <f>+'Asset Classification'!E44</f>
        <v>0</v>
      </c>
      <c r="F44" s="367">
        <f>+'Asset Classification'!F44</f>
        <v>0</v>
      </c>
      <c r="G44" s="365">
        <f>+'Asset Classification'!G44</f>
        <v>0</v>
      </c>
      <c r="H44" s="362">
        <f t="shared" si="55"/>
        <v>0</v>
      </c>
      <c r="I44" s="362">
        <f t="shared" si="56"/>
        <v>0</v>
      </c>
      <c r="J44" s="365">
        <f>+'Asset Classification'!I44</f>
        <v>0</v>
      </c>
      <c r="K44" s="367">
        <f>+'Asset Classification'!J44</f>
        <v>0</v>
      </c>
      <c r="L44" s="365">
        <f>+'Asset Classification'!K44</f>
        <v>0</v>
      </c>
      <c r="M44" s="362">
        <f t="shared" si="57"/>
        <v>0</v>
      </c>
      <c r="N44" s="362">
        <f t="shared" si="58"/>
        <v>0</v>
      </c>
      <c r="O44" s="367">
        <f>+'Asset Classification'!L44</f>
        <v>0</v>
      </c>
      <c r="P44" s="362">
        <f t="shared" si="59"/>
        <v>0</v>
      </c>
      <c r="Q44" s="362">
        <f t="shared" si="60"/>
        <v>0</v>
      </c>
      <c r="R44" s="365">
        <f>+'Asset Classification'!M44</f>
        <v>0</v>
      </c>
      <c r="S44" s="367">
        <f>+'Asset Classification'!N44</f>
        <v>0</v>
      </c>
      <c r="T44" s="365">
        <f>+'Asset Classification'!O44</f>
        <v>0</v>
      </c>
      <c r="U44" s="362">
        <f t="shared" si="61"/>
        <v>0</v>
      </c>
      <c r="V44" s="362">
        <f t="shared" si="62"/>
        <v>0</v>
      </c>
      <c r="W44" s="367">
        <f>+'Asset Classification'!P44</f>
        <v>0</v>
      </c>
      <c r="X44" s="362">
        <f t="shared" si="63"/>
        <v>0</v>
      </c>
      <c r="Y44" s="362">
        <f t="shared" si="64"/>
        <v>0</v>
      </c>
      <c r="Z44" s="365">
        <f>+'Asset Classification'!Q44</f>
        <v>0</v>
      </c>
      <c r="AA44" s="367">
        <f>+'Asset Classification'!R44</f>
        <v>0</v>
      </c>
      <c r="AB44" s="365">
        <f>+'Asset Classification'!S44</f>
        <v>0</v>
      </c>
      <c r="AC44" s="362">
        <f t="shared" si="65"/>
        <v>0</v>
      </c>
      <c r="AD44" s="362">
        <f t="shared" si="66"/>
        <v>0</v>
      </c>
      <c r="AE44" s="367">
        <f>+'Asset Classification'!T44</f>
        <v>0</v>
      </c>
      <c r="AF44" s="362">
        <f t="shared" si="67"/>
        <v>0</v>
      </c>
      <c r="AG44" s="362">
        <f t="shared" si="68"/>
        <v>0</v>
      </c>
      <c r="AH44" s="365">
        <f>+'Asset Classification'!U44</f>
        <v>0</v>
      </c>
      <c r="AI44" s="367">
        <f>+'Asset Classification'!V44</f>
        <v>0</v>
      </c>
      <c r="AJ44" s="365">
        <f>+'Asset Classification'!W44</f>
        <v>0</v>
      </c>
      <c r="AK44" s="362">
        <f t="shared" si="69"/>
        <v>0</v>
      </c>
      <c r="AL44" s="362">
        <f t="shared" si="70"/>
        <v>0</v>
      </c>
      <c r="AM44" s="367">
        <f>+'Asset Classification'!X44</f>
        <v>0</v>
      </c>
      <c r="AN44" s="362">
        <f t="shared" si="71"/>
        <v>0</v>
      </c>
      <c r="AO44" s="362">
        <f t="shared" si="72"/>
        <v>0</v>
      </c>
      <c r="AP44" s="357">
        <f t="shared" si="73"/>
        <v>0</v>
      </c>
      <c r="AQ44" s="357">
        <f t="shared" si="73"/>
        <v>0</v>
      </c>
      <c r="AR44" s="357">
        <f t="shared" si="74"/>
        <v>0</v>
      </c>
      <c r="AS44" s="362">
        <f t="shared" si="75"/>
        <v>0</v>
      </c>
      <c r="AT44" s="362">
        <f t="shared" si="75"/>
        <v>0</v>
      </c>
      <c r="AU44" s="362">
        <f t="shared" si="76"/>
        <v>0</v>
      </c>
      <c r="AW44" s="130"/>
      <c r="AX44" s="130"/>
      <c r="AY44" s="130"/>
      <c r="AZ44" s="130"/>
      <c r="BA44" s="130"/>
      <c r="BB44" s="130"/>
      <c r="BC44" s="130"/>
    </row>
    <row r="45" spans="1:55" s="12" customFormat="1" ht="23.25" customHeight="1">
      <c r="A45" s="219">
        <v>19</v>
      </c>
      <c r="B45" s="222" t="s">
        <v>402</v>
      </c>
      <c r="C45" s="361">
        <f>+'Asset Classification'!C45</f>
        <v>179982546</v>
      </c>
      <c r="D45" s="367">
        <f>+'Asset Classification'!D45</f>
        <v>11627984</v>
      </c>
      <c r="E45" s="365">
        <f>+'Asset Classification'!E45</f>
        <v>158300520</v>
      </c>
      <c r="F45" s="367">
        <f>+'Asset Classification'!F45</f>
        <v>8196128</v>
      </c>
      <c r="G45" s="365">
        <f>+'Asset Classification'!G45</f>
        <v>1047233</v>
      </c>
      <c r="H45" s="362">
        <f t="shared" si="55"/>
        <v>1583005.2</v>
      </c>
      <c r="I45" s="362">
        <f t="shared" si="56"/>
        <v>-535772.19999999995</v>
      </c>
      <c r="J45" s="365">
        <f>+'Asset Classification'!I45</f>
        <v>10475582</v>
      </c>
      <c r="K45" s="367">
        <f>+'Asset Classification'!J45</f>
        <v>0</v>
      </c>
      <c r="L45" s="365">
        <f>+'Asset Classification'!K45</f>
        <v>2250</v>
      </c>
      <c r="M45" s="362">
        <f t="shared" si="57"/>
        <v>1047558.2000000001</v>
      </c>
      <c r="N45" s="362">
        <f t="shared" si="58"/>
        <v>-1045308.2000000001</v>
      </c>
      <c r="O45" s="367">
        <f>+'Asset Classification'!L45</f>
        <v>0</v>
      </c>
      <c r="P45" s="362">
        <f t="shared" si="59"/>
        <v>0</v>
      </c>
      <c r="Q45" s="362">
        <f t="shared" si="60"/>
        <v>0</v>
      </c>
      <c r="R45" s="365">
        <f>+'Asset Classification'!M45</f>
        <v>1900035</v>
      </c>
      <c r="S45" s="367">
        <f>+'Asset Classification'!N45</f>
        <v>0</v>
      </c>
      <c r="T45" s="365">
        <f>+'Asset Classification'!O45</f>
        <v>0</v>
      </c>
      <c r="U45" s="362">
        <f t="shared" si="61"/>
        <v>475008.75</v>
      </c>
      <c r="V45" s="362">
        <f t="shared" si="62"/>
        <v>-475008.75</v>
      </c>
      <c r="W45" s="367">
        <f>+'Asset Classification'!P45</f>
        <v>0</v>
      </c>
      <c r="X45" s="362">
        <f t="shared" si="63"/>
        <v>0</v>
      </c>
      <c r="Y45" s="362">
        <f t="shared" si="64"/>
        <v>0</v>
      </c>
      <c r="Z45" s="365">
        <f>+'Asset Classification'!Q45</f>
        <v>6960126</v>
      </c>
      <c r="AA45" s="367">
        <f>+'Asset Classification'!R45</f>
        <v>3431856</v>
      </c>
      <c r="AB45" s="365">
        <f>+'Asset Classification'!S45</f>
        <v>1412770</v>
      </c>
      <c r="AC45" s="362">
        <f t="shared" si="65"/>
        <v>3480063</v>
      </c>
      <c r="AD45" s="362">
        <f t="shared" si="66"/>
        <v>-2067293</v>
      </c>
      <c r="AE45" s="367">
        <f>+'Asset Classification'!T45</f>
        <v>0</v>
      </c>
      <c r="AF45" s="362">
        <f t="shared" si="67"/>
        <v>1715928</v>
      </c>
      <c r="AG45" s="362">
        <f t="shared" si="68"/>
        <v>-1715928</v>
      </c>
      <c r="AH45" s="365">
        <f>+'Asset Classification'!U45</f>
        <v>2346283</v>
      </c>
      <c r="AI45" s="367">
        <f>+'Asset Classification'!V45</f>
        <v>0</v>
      </c>
      <c r="AJ45" s="365">
        <f>+'Asset Classification'!W45</f>
        <v>412887</v>
      </c>
      <c r="AK45" s="362">
        <f t="shared" si="69"/>
        <v>2346283</v>
      </c>
      <c r="AL45" s="362">
        <f t="shared" si="70"/>
        <v>-1933396</v>
      </c>
      <c r="AM45" s="367">
        <f>+'Asset Classification'!X45</f>
        <v>0</v>
      </c>
      <c r="AN45" s="362">
        <f t="shared" si="71"/>
        <v>0</v>
      </c>
      <c r="AO45" s="362">
        <f t="shared" si="72"/>
        <v>0</v>
      </c>
      <c r="AP45" s="357">
        <f t="shared" si="73"/>
        <v>1827907</v>
      </c>
      <c r="AQ45" s="357">
        <f t="shared" si="73"/>
        <v>7348912.9500000002</v>
      </c>
      <c r="AR45" s="357">
        <f t="shared" si="74"/>
        <v>-5521005.9500000002</v>
      </c>
      <c r="AS45" s="362">
        <f t="shared" si="75"/>
        <v>0</v>
      </c>
      <c r="AT45" s="362">
        <f t="shared" si="75"/>
        <v>1715928</v>
      </c>
      <c r="AU45" s="362">
        <f t="shared" si="76"/>
        <v>-1715928</v>
      </c>
      <c r="AV45" s="132">
        <f>+'Aging Analysis'!C30</f>
        <v>179982546</v>
      </c>
      <c r="AW45" s="130"/>
      <c r="AX45" s="130"/>
      <c r="AY45" s="130"/>
      <c r="AZ45" s="130"/>
      <c r="BA45" s="130"/>
      <c r="BB45" s="130"/>
      <c r="BC45" s="130"/>
    </row>
    <row r="46" spans="1:55" s="12" customFormat="1" ht="14.25" customHeight="1">
      <c r="A46" s="219"/>
      <c r="B46" s="223" t="s">
        <v>572</v>
      </c>
      <c r="C46" s="361">
        <f>+'Asset Classification'!C46</f>
        <v>0</v>
      </c>
      <c r="D46" s="367">
        <f>+'Asset Classification'!D46</f>
        <v>0</v>
      </c>
      <c r="E46" s="365">
        <f>+'Asset Classification'!E46</f>
        <v>0</v>
      </c>
      <c r="F46" s="367">
        <f>+'Asset Classification'!F46</f>
        <v>0</v>
      </c>
      <c r="G46" s="365">
        <f>+'Asset Classification'!G46</f>
        <v>0</v>
      </c>
      <c r="H46" s="362">
        <f t="shared" si="55"/>
        <v>0</v>
      </c>
      <c r="I46" s="362">
        <f t="shared" si="56"/>
        <v>0</v>
      </c>
      <c r="J46" s="365">
        <f>+'Asset Classification'!I46</f>
        <v>0</v>
      </c>
      <c r="K46" s="367">
        <f>+'Asset Classification'!J46</f>
        <v>0</v>
      </c>
      <c r="L46" s="365">
        <f>+'Asset Classification'!K46</f>
        <v>0</v>
      </c>
      <c r="M46" s="362">
        <f t="shared" si="57"/>
        <v>0</v>
      </c>
      <c r="N46" s="362">
        <f t="shared" si="58"/>
        <v>0</v>
      </c>
      <c r="O46" s="367">
        <f>+'Asset Classification'!L46</f>
        <v>0</v>
      </c>
      <c r="P46" s="362">
        <f t="shared" si="59"/>
        <v>0</v>
      </c>
      <c r="Q46" s="362">
        <f t="shared" si="60"/>
        <v>0</v>
      </c>
      <c r="R46" s="365">
        <f>+'Asset Classification'!M46</f>
        <v>0</v>
      </c>
      <c r="S46" s="367">
        <f>+'Asset Classification'!N46</f>
        <v>0</v>
      </c>
      <c r="T46" s="365">
        <f>+'Asset Classification'!O46</f>
        <v>0</v>
      </c>
      <c r="U46" s="362">
        <f t="shared" si="61"/>
        <v>0</v>
      </c>
      <c r="V46" s="362">
        <f t="shared" si="62"/>
        <v>0</v>
      </c>
      <c r="W46" s="367">
        <f>+'Asset Classification'!P46</f>
        <v>0</v>
      </c>
      <c r="X46" s="362">
        <f t="shared" si="63"/>
        <v>0</v>
      </c>
      <c r="Y46" s="362">
        <f t="shared" si="64"/>
        <v>0</v>
      </c>
      <c r="Z46" s="365">
        <f>+'Asset Classification'!Q46</f>
        <v>0</v>
      </c>
      <c r="AA46" s="367">
        <f>+'Asset Classification'!R46</f>
        <v>0</v>
      </c>
      <c r="AB46" s="365">
        <f>+'Asset Classification'!S46</f>
        <v>0</v>
      </c>
      <c r="AC46" s="362">
        <f t="shared" si="65"/>
        <v>0</v>
      </c>
      <c r="AD46" s="362">
        <f t="shared" si="66"/>
        <v>0</v>
      </c>
      <c r="AE46" s="367">
        <f>+'Asset Classification'!T46</f>
        <v>0</v>
      </c>
      <c r="AF46" s="362">
        <f t="shared" si="67"/>
        <v>0</v>
      </c>
      <c r="AG46" s="362">
        <f t="shared" si="68"/>
        <v>0</v>
      </c>
      <c r="AH46" s="365">
        <f>+'Asset Classification'!U46</f>
        <v>0</v>
      </c>
      <c r="AI46" s="367">
        <f>+'Asset Classification'!V46</f>
        <v>0</v>
      </c>
      <c r="AJ46" s="365">
        <f>+'Asset Classification'!W46</f>
        <v>0</v>
      </c>
      <c r="AK46" s="362">
        <f t="shared" si="69"/>
        <v>0</v>
      </c>
      <c r="AL46" s="362">
        <f t="shared" si="70"/>
        <v>0</v>
      </c>
      <c r="AM46" s="367">
        <f>+'Asset Classification'!X46</f>
        <v>0</v>
      </c>
      <c r="AN46" s="362">
        <f t="shared" si="71"/>
        <v>0</v>
      </c>
      <c r="AO46" s="362">
        <f t="shared" si="72"/>
        <v>0</v>
      </c>
      <c r="AP46" s="357">
        <f t="shared" si="73"/>
        <v>0</v>
      </c>
      <c r="AQ46" s="357">
        <f t="shared" si="73"/>
        <v>0</v>
      </c>
      <c r="AR46" s="357">
        <f t="shared" si="74"/>
        <v>0</v>
      </c>
      <c r="AS46" s="362">
        <f t="shared" si="75"/>
        <v>0</v>
      </c>
      <c r="AT46" s="362">
        <f t="shared" si="75"/>
        <v>0</v>
      </c>
      <c r="AU46" s="362">
        <f t="shared" si="76"/>
        <v>0</v>
      </c>
      <c r="AW46" s="130"/>
      <c r="AX46" s="130"/>
      <c r="AY46" s="130"/>
      <c r="AZ46" s="130"/>
      <c r="BA46" s="130"/>
      <c r="BB46" s="130"/>
      <c r="BC46" s="130"/>
    </row>
    <row r="47" spans="1:55" s="12" customFormat="1" ht="23.25" customHeight="1">
      <c r="A47" s="219">
        <v>20</v>
      </c>
      <c r="B47" s="222" t="s">
        <v>403</v>
      </c>
      <c r="C47" s="361">
        <f>+'Asset Classification'!C47</f>
        <v>592662970</v>
      </c>
      <c r="D47" s="367">
        <f>+'Asset Classification'!D47</f>
        <v>99632974</v>
      </c>
      <c r="E47" s="365">
        <f>+'Asset Classification'!E47</f>
        <v>521370576</v>
      </c>
      <c r="F47" s="367">
        <f>+'Asset Classification'!F47</f>
        <v>89982869</v>
      </c>
      <c r="G47" s="365">
        <f>+'Asset Classification'!G47</f>
        <v>4321105</v>
      </c>
      <c r="H47" s="362">
        <f t="shared" si="55"/>
        <v>5213705.76</v>
      </c>
      <c r="I47" s="362">
        <f t="shared" si="56"/>
        <v>-892600.75999999978</v>
      </c>
      <c r="J47" s="365">
        <f>+'Asset Classification'!I47</f>
        <v>32872466</v>
      </c>
      <c r="K47" s="367">
        <f>+'Asset Classification'!J47</f>
        <v>6012665</v>
      </c>
      <c r="L47" s="365">
        <f>+'Asset Classification'!K47</f>
        <v>945208</v>
      </c>
      <c r="M47" s="362">
        <f t="shared" si="57"/>
        <v>3287246.6</v>
      </c>
      <c r="N47" s="362">
        <f t="shared" si="58"/>
        <v>-2342038.6</v>
      </c>
      <c r="O47" s="367">
        <f>+'Asset Classification'!L47</f>
        <v>0</v>
      </c>
      <c r="P47" s="362">
        <f t="shared" si="59"/>
        <v>601266.5</v>
      </c>
      <c r="Q47" s="362">
        <f t="shared" si="60"/>
        <v>-601266.5</v>
      </c>
      <c r="R47" s="365">
        <f>+'Asset Classification'!M47</f>
        <v>3692979</v>
      </c>
      <c r="S47" s="367">
        <f>+'Asset Classification'!N47</f>
        <v>0</v>
      </c>
      <c r="T47" s="365">
        <f>+'Asset Classification'!O47</f>
        <v>23067</v>
      </c>
      <c r="U47" s="362">
        <f t="shared" si="61"/>
        <v>923244.75</v>
      </c>
      <c r="V47" s="362">
        <f t="shared" si="62"/>
        <v>-900177.75</v>
      </c>
      <c r="W47" s="367">
        <f>+'Asset Classification'!P47</f>
        <v>0</v>
      </c>
      <c r="X47" s="362">
        <f t="shared" si="63"/>
        <v>0</v>
      </c>
      <c r="Y47" s="362">
        <f t="shared" si="64"/>
        <v>0</v>
      </c>
      <c r="Z47" s="365">
        <f>+'Asset Classification'!Q47</f>
        <v>21766074</v>
      </c>
      <c r="AA47" s="367">
        <f>+'Asset Classification'!R47</f>
        <v>3637440</v>
      </c>
      <c r="AB47" s="365">
        <f>+'Asset Classification'!S47</f>
        <v>5145821</v>
      </c>
      <c r="AC47" s="362">
        <f t="shared" si="65"/>
        <v>10883037</v>
      </c>
      <c r="AD47" s="362">
        <f t="shared" si="66"/>
        <v>-5737216</v>
      </c>
      <c r="AE47" s="367">
        <f>+'Asset Classification'!T47</f>
        <v>425189</v>
      </c>
      <c r="AF47" s="362">
        <f t="shared" si="67"/>
        <v>1818720</v>
      </c>
      <c r="AG47" s="362">
        <f t="shared" si="68"/>
        <v>-1393531</v>
      </c>
      <c r="AH47" s="365">
        <f>+'Asset Classification'!U47</f>
        <v>12960875</v>
      </c>
      <c r="AI47" s="367">
        <f>+'Asset Classification'!V47</f>
        <v>0</v>
      </c>
      <c r="AJ47" s="365">
        <f>+'Asset Classification'!W47</f>
        <v>6249997</v>
      </c>
      <c r="AK47" s="362">
        <f t="shared" si="69"/>
        <v>12960875</v>
      </c>
      <c r="AL47" s="362">
        <f t="shared" si="70"/>
        <v>-6710878</v>
      </c>
      <c r="AM47" s="367">
        <f>+'Asset Classification'!X47</f>
        <v>0</v>
      </c>
      <c r="AN47" s="362">
        <f t="shared" si="71"/>
        <v>0</v>
      </c>
      <c r="AO47" s="362">
        <f t="shared" si="72"/>
        <v>0</v>
      </c>
      <c r="AP47" s="357">
        <f t="shared" si="73"/>
        <v>12364093</v>
      </c>
      <c r="AQ47" s="357">
        <f t="shared" si="73"/>
        <v>28054403.350000001</v>
      </c>
      <c r="AR47" s="357">
        <f t="shared" si="74"/>
        <v>-15690310.350000001</v>
      </c>
      <c r="AS47" s="362">
        <f t="shared" si="75"/>
        <v>425189</v>
      </c>
      <c r="AT47" s="362">
        <f t="shared" si="75"/>
        <v>2419986.5</v>
      </c>
      <c r="AU47" s="362">
        <f t="shared" si="76"/>
        <v>-1994797.5</v>
      </c>
      <c r="AV47" s="132">
        <f>+'Aging Analysis'!C31</f>
        <v>592662970</v>
      </c>
      <c r="AW47" s="130"/>
      <c r="AX47" s="130"/>
      <c r="AY47" s="130"/>
      <c r="AZ47" s="130"/>
      <c r="BA47" s="130"/>
      <c r="BB47" s="130"/>
      <c r="BC47" s="130"/>
    </row>
    <row r="48" spans="1:55" s="12" customFormat="1" ht="14.25" customHeight="1">
      <c r="A48" s="219"/>
      <c r="B48" s="223" t="s">
        <v>572</v>
      </c>
      <c r="C48" s="361">
        <f>+'Asset Classification'!C48</f>
        <v>0</v>
      </c>
      <c r="D48" s="367">
        <f>+'Asset Classification'!D48</f>
        <v>0</v>
      </c>
      <c r="E48" s="365">
        <f>+'Asset Classification'!E48</f>
        <v>0</v>
      </c>
      <c r="F48" s="367">
        <f>+'Asset Classification'!F48</f>
        <v>0</v>
      </c>
      <c r="G48" s="365">
        <f>+'Asset Classification'!G48</f>
        <v>0</v>
      </c>
      <c r="H48" s="362">
        <f t="shared" si="55"/>
        <v>0</v>
      </c>
      <c r="I48" s="362">
        <f t="shared" si="56"/>
        <v>0</v>
      </c>
      <c r="J48" s="365">
        <f>+'Asset Classification'!I48</f>
        <v>0</v>
      </c>
      <c r="K48" s="367">
        <f>+'Asset Classification'!J48</f>
        <v>0</v>
      </c>
      <c r="L48" s="365">
        <f>+'Asset Classification'!K48</f>
        <v>0</v>
      </c>
      <c r="M48" s="362">
        <f t="shared" si="57"/>
        <v>0</v>
      </c>
      <c r="N48" s="362">
        <f t="shared" si="58"/>
        <v>0</v>
      </c>
      <c r="O48" s="367">
        <f>+'Asset Classification'!L48</f>
        <v>0</v>
      </c>
      <c r="P48" s="362">
        <f t="shared" si="59"/>
        <v>0</v>
      </c>
      <c r="Q48" s="362">
        <f t="shared" si="60"/>
        <v>0</v>
      </c>
      <c r="R48" s="365">
        <f>+'Asset Classification'!M48</f>
        <v>0</v>
      </c>
      <c r="S48" s="367">
        <f>+'Asset Classification'!N48</f>
        <v>0</v>
      </c>
      <c r="T48" s="365">
        <f>+'Asset Classification'!O48</f>
        <v>0</v>
      </c>
      <c r="U48" s="362">
        <f t="shared" si="61"/>
        <v>0</v>
      </c>
      <c r="V48" s="362">
        <f t="shared" si="62"/>
        <v>0</v>
      </c>
      <c r="W48" s="367">
        <f>+'Asset Classification'!P48</f>
        <v>0</v>
      </c>
      <c r="X48" s="362">
        <f t="shared" si="63"/>
        <v>0</v>
      </c>
      <c r="Y48" s="362">
        <f t="shared" si="64"/>
        <v>0</v>
      </c>
      <c r="Z48" s="365">
        <f>+'Asset Classification'!Q48</f>
        <v>0</v>
      </c>
      <c r="AA48" s="367">
        <f>+'Asset Classification'!R48</f>
        <v>0</v>
      </c>
      <c r="AB48" s="365">
        <f>+'Asset Classification'!S48</f>
        <v>0</v>
      </c>
      <c r="AC48" s="362">
        <f t="shared" si="65"/>
        <v>0</v>
      </c>
      <c r="AD48" s="362">
        <f t="shared" si="66"/>
        <v>0</v>
      </c>
      <c r="AE48" s="367">
        <f>+'Asset Classification'!T48</f>
        <v>0</v>
      </c>
      <c r="AF48" s="362">
        <f t="shared" si="67"/>
        <v>0</v>
      </c>
      <c r="AG48" s="362">
        <f t="shared" si="68"/>
        <v>0</v>
      </c>
      <c r="AH48" s="365">
        <f>+'Asset Classification'!U48</f>
        <v>0</v>
      </c>
      <c r="AI48" s="367">
        <f>+'Asset Classification'!V48</f>
        <v>0</v>
      </c>
      <c r="AJ48" s="365">
        <f>+'Asset Classification'!W48</f>
        <v>0</v>
      </c>
      <c r="AK48" s="362">
        <f t="shared" si="69"/>
        <v>0</v>
      </c>
      <c r="AL48" s="362">
        <f t="shared" si="70"/>
        <v>0</v>
      </c>
      <c r="AM48" s="367">
        <f>+'Asset Classification'!X48</f>
        <v>0</v>
      </c>
      <c r="AN48" s="362">
        <f t="shared" si="71"/>
        <v>0</v>
      </c>
      <c r="AO48" s="362">
        <f t="shared" si="72"/>
        <v>0</v>
      </c>
      <c r="AP48" s="357">
        <f t="shared" si="73"/>
        <v>0</v>
      </c>
      <c r="AQ48" s="357">
        <f t="shared" si="73"/>
        <v>0</v>
      </c>
      <c r="AR48" s="357">
        <f t="shared" si="74"/>
        <v>0</v>
      </c>
      <c r="AS48" s="362">
        <f t="shared" si="75"/>
        <v>0</v>
      </c>
      <c r="AT48" s="362">
        <f t="shared" si="75"/>
        <v>0</v>
      </c>
      <c r="AU48" s="362">
        <f t="shared" si="76"/>
        <v>0</v>
      </c>
      <c r="AW48" s="130"/>
      <c r="AX48" s="130"/>
      <c r="AY48" s="130"/>
      <c r="AZ48" s="130"/>
      <c r="BA48" s="130"/>
      <c r="BB48" s="130"/>
      <c r="BC48" s="130"/>
    </row>
    <row r="49" spans="1:55" s="12" customFormat="1" ht="23.25" customHeight="1">
      <c r="A49" s="219">
        <v>21</v>
      </c>
      <c r="B49" s="222" t="s">
        <v>404</v>
      </c>
      <c r="C49" s="361">
        <f>+'Asset Classification'!C49</f>
        <v>0</v>
      </c>
      <c r="D49" s="367">
        <f>+'Asset Classification'!D49</f>
        <v>0</v>
      </c>
      <c r="E49" s="365">
        <f>+'Asset Classification'!E49</f>
        <v>0</v>
      </c>
      <c r="F49" s="367">
        <f>+'Asset Classification'!F49</f>
        <v>0</v>
      </c>
      <c r="G49" s="365">
        <f>+'Asset Classification'!G49</f>
        <v>0</v>
      </c>
      <c r="H49" s="362">
        <f t="shared" si="55"/>
        <v>0</v>
      </c>
      <c r="I49" s="362">
        <f t="shared" si="56"/>
        <v>0</v>
      </c>
      <c r="J49" s="365">
        <f>+'Asset Classification'!I49</f>
        <v>0</v>
      </c>
      <c r="K49" s="367">
        <f>+'Asset Classification'!J49</f>
        <v>0</v>
      </c>
      <c r="L49" s="365">
        <f>+'Asset Classification'!K49</f>
        <v>0</v>
      </c>
      <c r="M49" s="362">
        <f t="shared" si="57"/>
        <v>0</v>
      </c>
      <c r="N49" s="362">
        <f t="shared" si="58"/>
        <v>0</v>
      </c>
      <c r="O49" s="367">
        <f>+'Asset Classification'!L49</f>
        <v>0</v>
      </c>
      <c r="P49" s="362">
        <f t="shared" si="59"/>
        <v>0</v>
      </c>
      <c r="Q49" s="362">
        <f t="shared" si="60"/>
        <v>0</v>
      </c>
      <c r="R49" s="365">
        <f>+'Asset Classification'!M49</f>
        <v>0</v>
      </c>
      <c r="S49" s="367">
        <f>+'Asset Classification'!N49</f>
        <v>0</v>
      </c>
      <c r="T49" s="365">
        <f>+'Asset Classification'!O49</f>
        <v>0</v>
      </c>
      <c r="U49" s="362">
        <f t="shared" si="61"/>
        <v>0</v>
      </c>
      <c r="V49" s="362">
        <f t="shared" si="62"/>
        <v>0</v>
      </c>
      <c r="W49" s="367">
        <f>+'Asset Classification'!P49</f>
        <v>0</v>
      </c>
      <c r="X49" s="362">
        <f t="shared" si="63"/>
        <v>0</v>
      </c>
      <c r="Y49" s="362">
        <f t="shared" si="64"/>
        <v>0</v>
      </c>
      <c r="Z49" s="365">
        <f>+'Asset Classification'!Q49</f>
        <v>0</v>
      </c>
      <c r="AA49" s="367">
        <f>+'Asset Classification'!R49</f>
        <v>0</v>
      </c>
      <c r="AB49" s="365">
        <f>+'Asset Classification'!S49</f>
        <v>0</v>
      </c>
      <c r="AC49" s="362">
        <f t="shared" si="65"/>
        <v>0</v>
      </c>
      <c r="AD49" s="362">
        <f t="shared" si="66"/>
        <v>0</v>
      </c>
      <c r="AE49" s="367">
        <f>+'Asset Classification'!T49</f>
        <v>0</v>
      </c>
      <c r="AF49" s="362">
        <f t="shared" si="67"/>
        <v>0</v>
      </c>
      <c r="AG49" s="362">
        <f t="shared" si="68"/>
        <v>0</v>
      </c>
      <c r="AH49" s="365">
        <f>+'Asset Classification'!U49</f>
        <v>0</v>
      </c>
      <c r="AI49" s="367">
        <f>+'Asset Classification'!V49</f>
        <v>0</v>
      </c>
      <c r="AJ49" s="365">
        <f>+'Asset Classification'!W49</f>
        <v>0</v>
      </c>
      <c r="AK49" s="362">
        <f t="shared" si="69"/>
        <v>0</v>
      </c>
      <c r="AL49" s="362">
        <f t="shared" si="70"/>
        <v>0</v>
      </c>
      <c r="AM49" s="367">
        <f>+'Asset Classification'!X49</f>
        <v>0</v>
      </c>
      <c r="AN49" s="362">
        <f t="shared" si="71"/>
        <v>0</v>
      </c>
      <c r="AO49" s="362">
        <f t="shared" si="72"/>
        <v>0</v>
      </c>
      <c r="AP49" s="357">
        <f t="shared" si="73"/>
        <v>0</v>
      </c>
      <c r="AQ49" s="357">
        <f t="shared" si="73"/>
        <v>0</v>
      </c>
      <c r="AR49" s="357">
        <f t="shared" si="74"/>
        <v>0</v>
      </c>
      <c r="AS49" s="362">
        <f t="shared" si="75"/>
        <v>0</v>
      </c>
      <c r="AT49" s="362">
        <f t="shared" si="75"/>
        <v>0</v>
      </c>
      <c r="AU49" s="362">
        <f t="shared" si="76"/>
        <v>0</v>
      </c>
      <c r="AV49" s="132">
        <f>+'Aging Analysis'!C32</f>
        <v>0</v>
      </c>
      <c r="AW49" s="130"/>
      <c r="AX49" s="130"/>
      <c r="AY49" s="130"/>
      <c r="AZ49" s="130"/>
      <c r="BA49" s="130"/>
      <c r="BB49" s="130"/>
      <c r="BC49" s="130"/>
    </row>
    <row r="50" spans="1:55" s="12" customFormat="1" ht="14.25" customHeight="1">
      <c r="A50" s="219"/>
      <c r="B50" s="223" t="s">
        <v>572</v>
      </c>
      <c r="C50" s="361">
        <f>+'Asset Classification'!C50</f>
        <v>0</v>
      </c>
      <c r="D50" s="367">
        <f>+'Asset Classification'!D50</f>
        <v>0</v>
      </c>
      <c r="E50" s="365">
        <f>+'Asset Classification'!E50</f>
        <v>0</v>
      </c>
      <c r="F50" s="367">
        <f>+'Asset Classification'!F50</f>
        <v>0</v>
      </c>
      <c r="G50" s="365">
        <f>+'Asset Classification'!G50</f>
        <v>0</v>
      </c>
      <c r="H50" s="362">
        <f t="shared" si="55"/>
        <v>0</v>
      </c>
      <c r="I50" s="362">
        <f t="shared" si="56"/>
        <v>0</v>
      </c>
      <c r="J50" s="365">
        <f>+'Asset Classification'!I50</f>
        <v>0</v>
      </c>
      <c r="K50" s="367">
        <f>+'Asset Classification'!J50</f>
        <v>0</v>
      </c>
      <c r="L50" s="365">
        <f>+'Asset Classification'!K50</f>
        <v>0</v>
      </c>
      <c r="M50" s="362">
        <f t="shared" si="57"/>
        <v>0</v>
      </c>
      <c r="N50" s="362">
        <f t="shared" si="58"/>
        <v>0</v>
      </c>
      <c r="O50" s="367">
        <f>+'Asset Classification'!L50</f>
        <v>0</v>
      </c>
      <c r="P50" s="362">
        <f t="shared" si="59"/>
        <v>0</v>
      </c>
      <c r="Q50" s="362">
        <f t="shared" si="60"/>
        <v>0</v>
      </c>
      <c r="R50" s="365">
        <f>+'Asset Classification'!M50</f>
        <v>0</v>
      </c>
      <c r="S50" s="367">
        <f>+'Asset Classification'!N50</f>
        <v>0</v>
      </c>
      <c r="T50" s="365">
        <f>+'Asset Classification'!O50</f>
        <v>0</v>
      </c>
      <c r="U50" s="362">
        <f t="shared" si="61"/>
        <v>0</v>
      </c>
      <c r="V50" s="362">
        <f t="shared" si="62"/>
        <v>0</v>
      </c>
      <c r="W50" s="367">
        <f>+'Asset Classification'!P50</f>
        <v>0</v>
      </c>
      <c r="X50" s="362">
        <f t="shared" si="63"/>
        <v>0</v>
      </c>
      <c r="Y50" s="362">
        <f t="shared" si="64"/>
        <v>0</v>
      </c>
      <c r="Z50" s="365">
        <f>+'Asset Classification'!Q50</f>
        <v>0</v>
      </c>
      <c r="AA50" s="367">
        <f>+'Asset Classification'!R50</f>
        <v>0</v>
      </c>
      <c r="AB50" s="365">
        <f>+'Asset Classification'!S50</f>
        <v>0</v>
      </c>
      <c r="AC50" s="362">
        <f t="shared" si="65"/>
        <v>0</v>
      </c>
      <c r="AD50" s="362">
        <f t="shared" si="66"/>
        <v>0</v>
      </c>
      <c r="AE50" s="367">
        <f>+'Asset Classification'!T50</f>
        <v>0</v>
      </c>
      <c r="AF50" s="362">
        <f t="shared" si="67"/>
        <v>0</v>
      </c>
      <c r="AG50" s="362">
        <f t="shared" si="68"/>
        <v>0</v>
      </c>
      <c r="AH50" s="365">
        <f>+'Asset Classification'!U50</f>
        <v>0</v>
      </c>
      <c r="AI50" s="367">
        <f>+'Asset Classification'!V50</f>
        <v>0</v>
      </c>
      <c r="AJ50" s="365">
        <f>+'Asset Classification'!W50</f>
        <v>0</v>
      </c>
      <c r="AK50" s="362">
        <f t="shared" si="69"/>
        <v>0</v>
      </c>
      <c r="AL50" s="362">
        <f t="shared" si="70"/>
        <v>0</v>
      </c>
      <c r="AM50" s="367">
        <f>+'Asset Classification'!X50</f>
        <v>0</v>
      </c>
      <c r="AN50" s="362">
        <f t="shared" si="71"/>
        <v>0</v>
      </c>
      <c r="AO50" s="362">
        <f t="shared" si="72"/>
        <v>0</v>
      </c>
      <c r="AP50" s="357">
        <f t="shared" si="73"/>
        <v>0</v>
      </c>
      <c r="AQ50" s="357">
        <f t="shared" si="73"/>
        <v>0</v>
      </c>
      <c r="AR50" s="357">
        <f t="shared" si="74"/>
        <v>0</v>
      </c>
      <c r="AS50" s="362">
        <f t="shared" si="75"/>
        <v>0</v>
      </c>
      <c r="AT50" s="362">
        <f t="shared" si="75"/>
        <v>0</v>
      </c>
      <c r="AU50" s="362">
        <f t="shared" si="76"/>
        <v>0</v>
      </c>
      <c r="AV50" s="130"/>
      <c r="AW50" s="130"/>
      <c r="AX50" s="130"/>
      <c r="AY50" s="130"/>
      <c r="AZ50" s="130"/>
      <c r="BA50" s="130"/>
      <c r="BB50" s="130"/>
      <c r="BC50" s="130"/>
    </row>
    <row r="51" spans="1:55" s="12" customFormat="1" ht="23.25" customHeight="1">
      <c r="A51" s="219">
        <v>22</v>
      </c>
      <c r="B51" s="222" t="s">
        <v>329</v>
      </c>
      <c r="C51" s="361">
        <f>+'Asset Classification'!C51</f>
        <v>8419167816</v>
      </c>
      <c r="D51" s="367">
        <f>+'Asset Classification'!D51</f>
        <v>0</v>
      </c>
      <c r="E51" s="365">
        <f>+'Asset Classification'!E51</f>
        <v>7066030436</v>
      </c>
      <c r="F51" s="367">
        <f>+'Asset Classification'!F51</f>
        <v>0</v>
      </c>
      <c r="G51" s="365">
        <f>+'Asset Classification'!G51</f>
        <v>84191678</v>
      </c>
      <c r="H51" s="362">
        <f t="shared" si="55"/>
        <v>70660304.359999999</v>
      </c>
      <c r="I51" s="362">
        <f t="shared" si="56"/>
        <v>13531373.640000001</v>
      </c>
      <c r="J51" s="365">
        <f>+'Asset Classification'!I51</f>
        <v>945973383</v>
      </c>
      <c r="K51" s="367">
        <f>+'Asset Classification'!J51</f>
        <v>0</v>
      </c>
      <c r="L51" s="365">
        <f>+'Asset Classification'!K51</f>
        <v>5688849</v>
      </c>
      <c r="M51" s="362">
        <f t="shared" si="57"/>
        <v>94597338.300000012</v>
      </c>
      <c r="N51" s="362">
        <f t="shared" si="58"/>
        <v>-88908489.300000012</v>
      </c>
      <c r="O51" s="367">
        <f>+'Asset Classification'!L51</f>
        <v>0</v>
      </c>
      <c r="P51" s="362">
        <f t="shared" si="59"/>
        <v>0</v>
      </c>
      <c r="Q51" s="362">
        <f t="shared" si="60"/>
        <v>0</v>
      </c>
      <c r="R51" s="365">
        <f>+'Asset Classification'!M51</f>
        <v>173943343</v>
      </c>
      <c r="S51" s="367">
        <f>+'Asset Classification'!N51</f>
        <v>0</v>
      </c>
      <c r="T51" s="365">
        <f>+'Asset Classification'!O51</f>
        <v>2184405</v>
      </c>
      <c r="U51" s="362">
        <f t="shared" si="61"/>
        <v>43485835.75</v>
      </c>
      <c r="V51" s="362">
        <f t="shared" si="62"/>
        <v>-41301430.75</v>
      </c>
      <c r="W51" s="367">
        <f>+'Asset Classification'!P51</f>
        <v>0</v>
      </c>
      <c r="X51" s="362">
        <f t="shared" si="63"/>
        <v>0</v>
      </c>
      <c r="Y51" s="362">
        <f t="shared" si="64"/>
        <v>0</v>
      </c>
      <c r="Z51" s="365">
        <f>+'Asset Classification'!Q51</f>
        <v>110154468</v>
      </c>
      <c r="AA51" s="367">
        <f>+'Asset Classification'!R51</f>
        <v>0</v>
      </c>
      <c r="AB51" s="365">
        <f>+'Asset Classification'!S51</f>
        <v>853013</v>
      </c>
      <c r="AC51" s="362">
        <f t="shared" si="65"/>
        <v>55077234</v>
      </c>
      <c r="AD51" s="362">
        <f t="shared" si="66"/>
        <v>-54224221</v>
      </c>
      <c r="AE51" s="367">
        <f>+'Asset Classification'!T51</f>
        <v>0</v>
      </c>
      <c r="AF51" s="362">
        <f t="shared" si="67"/>
        <v>0</v>
      </c>
      <c r="AG51" s="362">
        <f t="shared" si="68"/>
        <v>0</v>
      </c>
      <c r="AH51" s="365">
        <f>+'Asset Classification'!U51</f>
        <v>123066186</v>
      </c>
      <c r="AI51" s="367">
        <f>+'Asset Classification'!V51</f>
        <v>0</v>
      </c>
      <c r="AJ51" s="365">
        <f>+'Asset Classification'!W51</f>
        <v>351268</v>
      </c>
      <c r="AK51" s="362">
        <f t="shared" si="69"/>
        <v>123066186</v>
      </c>
      <c r="AL51" s="362">
        <f t="shared" si="70"/>
        <v>-122714918</v>
      </c>
      <c r="AM51" s="367">
        <f>+'Asset Classification'!X51</f>
        <v>0</v>
      </c>
      <c r="AN51" s="362">
        <f t="shared" si="71"/>
        <v>0</v>
      </c>
      <c r="AO51" s="362">
        <f t="shared" si="72"/>
        <v>0</v>
      </c>
      <c r="AP51" s="357">
        <f t="shared" si="73"/>
        <v>9077535</v>
      </c>
      <c r="AQ51" s="357">
        <f t="shared" si="73"/>
        <v>316226594.05000001</v>
      </c>
      <c r="AR51" s="357">
        <f t="shared" si="74"/>
        <v>-307149059.05000001</v>
      </c>
      <c r="AS51" s="362">
        <f t="shared" si="75"/>
        <v>0</v>
      </c>
      <c r="AT51" s="362">
        <f t="shared" si="75"/>
        <v>0</v>
      </c>
      <c r="AU51" s="362">
        <f t="shared" si="76"/>
        <v>0</v>
      </c>
      <c r="AV51" s="132">
        <f>+'Aging Analysis'!C33</f>
        <v>8419167816</v>
      </c>
      <c r="AW51" s="130"/>
      <c r="AX51" s="130"/>
      <c r="AY51" s="130"/>
      <c r="AZ51" s="130"/>
      <c r="BA51" s="130"/>
      <c r="BB51" s="130"/>
      <c r="BC51" s="130"/>
    </row>
    <row r="52" spans="1:55" s="12" customFormat="1" ht="14.25" customHeight="1">
      <c r="A52" s="219"/>
      <c r="B52" s="223" t="s">
        <v>572</v>
      </c>
      <c r="C52" s="361">
        <f>+'Asset Classification'!C52</f>
        <v>0</v>
      </c>
      <c r="D52" s="367">
        <f>+'Asset Classification'!D52</f>
        <v>0</v>
      </c>
      <c r="E52" s="365">
        <f>+'Asset Classification'!E52</f>
        <v>0</v>
      </c>
      <c r="F52" s="367">
        <f>+'Asset Classification'!F52</f>
        <v>0</v>
      </c>
      <c r="G52" s="365">
        <f>+'Asset Classification'!G52</f>
        <v>0</v>
      </c>
      <c r="H52" s="362">
        <f t="shared" si="55"/>
        <v>0</v>
      </c>
      <c r="I52" s="362">
        <f t="shared" si="56"/>
        <v>0</v>
      </c>
      <c r="J52" s="365">
        <f>+'Asset Classification'!I52</f>
        <v>0</v>
      </c>
      <c r="K52" s="367">
        <f>+'Asset Classification'!J52</f>
        <v>0</v>
      </c>
      <c r="L52" s="365">
        <f>+'Asset Classification'!K52</f>
        <v>0</v>
      </c>
      <c r="M52" s="362">
        <f t="shared" si="57"/>
        <v>0</v>
      </c>
      <c r="N52" s="362">
        <f t="shared" si="58"/>
        <v>0</v>
      </c>
      <c r="O52" s="367">
        <f>+'Asset Classification'!L52</f>
        <v>0</v>
      </c>
      <c r="P52" s="362">
        <f t="shared" si="59"/>
        <v>0</v>
      </c>
      <c r="Q52" s="362">
        <f t="shared" si="60"/>
        <v>0</v>
      </c>
      <c r="R52" s="365">
        <f>+'Asset Classification'!M52</f>
        <v>0</v>
      </c>
      <c r="S52" s="367">
        <f>+'Asset Classification'!N52</f>
        <v>0</v>
      </c>
      <c r="T52" s="365">
        <f>+'Asset Classification'!O52</f>
        <v>0</v>
      </c>
      <c r="U52" s="362">
        <f t="shared" si="61"/>
        <v>0</v>
      </c>
      <c r="V52" s="362">
        <f t="shared" si="62"/>
        <v>0</v>
      </c>
      <c r="W52" s="367">
        <f>+'Asset Classification'!P52</f>
        <v>0</v>
      </c>
      <c r="X52" s="362">
        <f t="shared" si="63"/>
        <v>0</v>
      </c>
      <c r="Y52" s="362">
        <f t="shared" si="64"/>
        <v>0</v>
      </c>
      <c r="Z52" s="365">
        <f>+'Asset Classification'!Q52</f>
        <v>0</v>
      </c>
      <c r="AA52" s="367">
        <f>+'Asset Classification'!R52</f>
        <v>0</v>
      </c>
      <c r="AB52" s="365">
        <f>+'Asset Classification'!S52</f>
        <v>0</v>
      </c>
      <c r="AC52" s="362">
        <f t="shared" si="65"/>
        <v>0</v>
      </c>
      <c r="AD52" s="362">
        <f t="shared" si="66"/>
        <v>0</v>
      </c>
      <c r="AE52" s="367">
        <f>+'Asset Classification'!T52</f>
        <v>0</v>
      </c>
      <c r="AF52" s="362">
        <f t="shared" si="67"/>
        <v>0</v>
      </c>
      <c r="AG52" s="362">
        <f t="shared" si="68"/>
        <v>0</v>
      </c>
      <c r="AH52" s="365">
        <f>+'Asset Classification'!U52</f>
        <v>0</v>
      </c>
      <c r="AI52" s="367">
        <f>+'Asset Classification'!V52</f>
        <v>0</v>
      </c>
      <c r="AJ52" s="365">
        <f>+'Asset Classification'!W52</f>
        <v>0</v>
      </c>
      <c r="AK52" s="362">
        <f t="shared" si="69"/>
        <v>0</v>
      </c>
      <c r="AL52" s="362">
        <f t="shared" si="70"/>
        <v>0</v>
      </c>
      <c r="AM52" s="367">
        <f>+'Asset Classification'!X52</f>
        <v>0</v>
      </c>
      <c r="AN52" s="362">
        <f t="shared" si="71"/>
        <v>0</v>
      </c>
      <c r="AO52" s="362">
        <f t="shared" si="72"/>
        <v>0</v>
      </c>
      <c r="AP52" s="357">
        <f t="shared" si="73"/>
        <v>0</v>
      </c>
      <c r="AQ52" s="357">
        <f t="shared" si="73"/>
        <v>0</v>
      </c>
      <c r="AR52" s="357">
        <f t="shared" si="74"/>
        <v>0</v>
      </c>
      <c r="AS52" s="362">
        <f t="shared" si="75"/>
        <v>0</v>
      </c>
      <c r="AT52" s="362">
        <f t="shared" si="75"/>
        <v>0</v>
      </c>
      <c r="AU52" s="362">
        <f t="shared" si="76"/>
        <v>0</v>
      </c>
      <c r="AV52" s="130"/>
      <c r="AW52" s="130"/>
      <c r="AX52" s="130"/>
      <c r="AY52" s="130"/>
      <c r="AZ52" s="130"/>
      <c r="BA52" s="130"/>
      <c r="BB52" s="130"/>
      <c r="BC52" s="130"/>
    </row>
    <row r="53" spans="1:55" s="348" customFormat="1" ht="28.5" customHeight="1">
      <c r="A53" s="347">
        <v>23</v>
      </c>
      <c r="B53" s="347" t="s">
        <v>580</v>
      </c>
      <c r="C53" s="358">
        <f>+'Asset Classification'!C53</f>
        <v>20277891345</v>
      </c>
      <c r="D53" s="358">
        <f>+'Asset Classification'!D53</f>
        <v>3737998947</v>
      </c>
      <c r="E53" s="358">
        <f>+'Asset Classification'!E53</f>
        <v>17551658885</v>
      </c>
      <c r="F53" s="358">
        <f>+'Asset Classification'!F53</f>
        <v>3307279618</v>
      </c>
      <c r="G53" s="358">
        <f>+'Asset Classification'!G53</f>
        <v>123374035</v>
      </c>
      <c r="H53" s="358">
        <f t="shared" ref="H53:I53" si="77">+H35+H37+H39+H41+H43+H45+H47+H49+H51</f>
        <v>175516588.85000002</v>
      </c>
      <c r="I53" s="358">
        <f t="shared" si="77"/>
        <v>-52142553.850000009</v>
      </c>
      <c r="J53" s="358">
        <f>+'Asset Classification'!I53</f>
        <v>1832228607</v>
      </c>
      <c r="K53" s="358">
        <f>+'Asset Classification'!J53</f>
        <v>328023424</v>
      </c>
      <c r="L53" s="358">
        <f>+'Asset Classification'!K53</f>
        <v>21612533</v>
      </c>
      <c r="M53" s="358">
        <f t="shared" ref="M53:N53" si="78">+M35+M37+M39+M41+M43+M45+M47+M49+M51</f>
        <v>183222860.70000002</v>
      </c>
      <c r="N53" s="358">
        <f t="shared" si="78"/>
        <v>-161610327.69999999</v>
      </c>
      <c r="O53" s="358">
        <f>+'Asset Classification'!L53</f>
        <v>4608229</v>
      </c>
      <c r="P53" s="358">
        <f t="shared" ref="P53:Q53" si="79">+P35+P37+P39+P41+P43+P45+P47+P49+P51</f>
        <v>32802342.400000002</v>
      </c>
      <c r="Q53" s="358">
        <f t="shared" si="79"/>
        <v>-28194113.400000002</v>
      </c>
      <c r="R53" s="358">
        <f>+'Asset Classification'!M53</f>
        <v>254152148</v>
      </c>
      <c r="S53" s="358">
        <f>+'Asset Classification'!N53</f>
        <v>15974198</v>
      </c>
      <c r="T53" s="358">
        <f>+'Asset Classification'!O53</f>
        <v>2666899</v>
      </c>
      <c r="U53" s="358">
        <f t="shared" ref="U53:V53" si="80">+U35+U37+U39+U41+U43+U45+U47+U49+U51</f>
        <v>63538037</v>
      </c>
      <c r="V53" s="358">
        <f t="shared" si="80"/>
        <v>-60871138</v>
      </c>
      <c r="W53" s="358">
        <f>+'Asset Classification'!P53</f>
        <v>0</v>
      </c>
      <c r="X53" s="358">
        <f t="shared" ref="X53:Y53" si="81">+X35+X37+X39+X41+X43+X45+X47+X49+X51</f>
        <v>3993549.5</v>
      </c>
      <c r="Y53" s="358">
        <f t="shared" si="81"/>
        <v>-3993549.5</v>
      </c>
      <c r="Z53" s="358">
        <f>+'Asset Classification'!Q53</f>
        <v>373965402</v>
      </c>
      <c r="AA53" s="358">
        <f>+'Asset Classification'!R53</f>
        <v>73657201</v>
      </c>
      <c r="AB53" s="358">
        <f>+'Asset Classification'!S53</f>
        <v>47165627</v>
      </c>
      <c r="AC53" s="358">
        <f t="shared" ref="AC53:AG53" si="82">+AC35+AC37+AC39+AC41+AC43+AC45+AC47+AC49+AC51</f>
        <v>186982701</v>
      </c>
      <c r="AD53" s="358">
        <f t="shared" si="82"/>
        <v>-139817074</v>
      </c>
      <c r="AE53" s="358">
        <f>+'Asset Classification'!T53</f>
        <v>14152805</v>
      </c>
      <c r="AF53" s="358">
        <f t="shared" si="82"/>
        <v>36828600.5</v>
      </c>
      <c r="AG53" s="358">
        <f t="shared" si="82"/>
        <v>-22675795.5</v>
      </c>
      <c r="AH53" s="358">
        <f>+'Asset Classification'!U53</f>
        <v>265886303</v>
      </c>
      <c r="AI53" s="358">
        <f>+'Asset Classification'!V53</f>
        <v>13064506</v>
      </c>
      <c r="AJ53" s="358">
        <f>+'Asset Classification'!W53</f>
        <v>56251553</v>
      </c>
      <c r="AK53" s="358">
        <f t="shared" ref="AK53:AL53" si="83">+AK35+AK37+AK39+AK41+AK43+AK45+AK47+AK49+AK51</f>
        <v>265886303</v>
      </c>
      <c r="AL53" s="358">
        <f t="shared" si="83"/>
        <v>-209634750</v>
      </c>
      <c r="AM53" s="358">
        <f>+'Asset Classification'!X53</f>
        <v>4949126</v>
      </c>
      <c r="AN53" s="358">
        <f t="shared" ref="AN53:AU53" si="84">+AN35+AN37+AN39+AN41+AN43+AN45+AN47+AN49+AN51</f>
        <v>13064506</v>
      </c>
      <c r="AO53" s="358">
        <f t="shared" si="84"/>
        <v>-8115380</v>
      </c>
      <c r="AP53" s="358">
        <f t="shared" si="84"/>
        <v>127696612</v>
      </c>
      <c r="AQ53" s="358">
        <f t="shared" si="84"/>
        <v>699629901.70000005</v>
      </c>
      <c r="AR53" s="358">
        <f t="shared" si="84"/>
        <v>-571933289.70000005</v>
      </c>
      <c r="AS53" s="358">
        <f t="shared" si="84"/>
        <v>23710160</v>
      </c>
      <c r="AT53" s="358">
        <f t="shared" si="84"/>
        <v>86688998.400000006</v>
      </c>
      <c r="AU53" s="358">
        <f t="shared" si="84"/>
        <v>-62978838.400000006</v>
      </c>
      <c r="AV53" s="364">
        <f>+'Aging Analysis'!C35</f>
        <v>20277891345</v>
      </c>
    </row>
    <row r="54" spans="1:55" s="12" customFormat="1" ht="23.25" customHeight="1">
      <c r="A54" s="219"/>
      <c r="B54" s="223" t="s">
        <v>572</v>
      </c>
      <c r="C54" s="361">
        <f>+'Asset Classification'!C54</f>
        <v>0</v>
      </c>
      <c r="D54" s="367">
        <f>+'Asset Classification'!D54</f>
        <v>0</v>
      </c>
      <c r="E54" s="365">
        <f>+'Asset Classification'!E54</f>
        <v>0</v>
      </c>
      <c r="F54" s="367">
        <f>+'Asset Classification'!F54</f>
        <v>0</v>
      </c>
      <c r="G54" s="365">
        <f>+'Asset Classification'!G54</f>
        <v>0</v>
      </c>
      <c r="H54" s="362">
        <f t="shared" ref="H54" si="85">+E54*1%</f>
        <v>0</v>
      </c>
      <c r="I54" s="362">
        <f t="shared" ref="I54" si="86">+G54-H54</f>
        <v>0</v>
      </c>
      <c r="J54" s="365">
        <f>+'Asset Classification'!I54</f>
        <v>0</v>
      </c>
      <c r="K54" s="367">
        <f>+'Asset Classification'!J54</f>
        <v>0</v>
      </c>
      <c r="L54" s="365">
        <f>+'Asset Classification'!K54</f>
        <v>0</v>
      </c>
      <c r="M54" s="362">
        <f t="shared" ref="M54" si="87">+J54*10%</f>
        <v>0</v>
      </c>
      <c r="N54" s="362">
        <f t="shared" ref="N54" si="88">+L54-M54</f>
        <v>0</v>
      </c>
      <c r="O54" s="367">
        <f>+'Asset Classification'!L54</f>
        <v>0</v>
      </c>
      <c r="P54" s="362">
        <f t="shared" ref="P54" si="89">+K54*10%</f>
        <v>0</v>
      </c>
      <c r="Q54" s="362">
        <f t="shared" ref="Q54" si="90">+O54-P54</f>
        <v>0</v>
      </c>
      <c r="R54" s="365">
        <f>+'Asset Classification'!M54</f>
        <v>0</v>
      </c>
      <c r="S54" s="367">
        <f>+'Asset Classification'!N54</f>
        <v>0</v>
      </c>
      <c r="T54" s="365">
        <f>+'Asset Classification'!O54</f>
        <v>0</v>
      </c>
      <c r="U54" s="362">
        <f t="shared" ref="U54" si="91">+R54*25%</f>
        <v>0</v>
      </c>
      <c r="V54" s="362">
        <f t="shared" ref="V54" si="92">+T54-U54</f>
        <v>0</v>
      </c>
      <c r="W54" s="367">
        <f>+'Asset Classification'!P54</f>
        <v>0</v>
      </c>
      <c r="X54" s="362">
        <f t="shared" ref="X54" si="93">+S54*25%</f>
        <v>0</v>
      </c>
      <c r="Y54" s="362">
        <f t="shared" ref="Y54" si="94">+W54-X54</f>
        <v>0</v>
      </c>
      <c r="Z54" s="365">
        <f>+'Asset Classification'!Q54</f>
        <v>0</v>
      </c>
      <c r="AA54" s="367">
        <f>+'Asset Classification'!R54</f>
        <v>0</v>
      </c>
      <c r="AB54" s="365">
        <f>+'Asset Classification'!S54</f>
        <v>0</v>
      </c>
      <c r="AC54" s="362">
        <f t="shared" ref="AC54" si="95">+Z54*50%</f>
        <v>0</v>
      </c>
      <c r="AD54" s="362">
        <f t="shared" ref="AD54" si="96">+AB54-AC54</f>
        <v>0</v>
      </c>
      <c r="AE54" s="367">
        <f>+'Asset Classification'!T54</f>
        <v>0</v>
      </c>
      <c r="AF54" s="362">
        <f t="shared" ref="AF54" si="97">+AA54*50%</f>
        <v>0</v>
      </c>
      <c r="AG54" s="362">
        <f t="shared" ref="AG54" si="98">+AE54-AF54</f>
        <v>0</v>
      </c>
      <c r="AH54" s="365">
        <f>+'Asset Classification'!U54</f>
        <v>0</v>
      </c>
      <c r="AI54" s="367">
        <f>+'Asset Classification'!V54</f>
        <v>0</v>
      </c>
      <c r="AJ54" s="365">
        <f>+'Asset Classification'!W54</f>
        <v>0</v>
      </c>
      <c r="AK54" s="362">
        <f t="shared" ref="AK54" si="99">+AH54*100%</f>
        <v>0</v>
      </c>
      <c r="AL54" s="362">
        <f t="shared" ref="AL54" si="100">+AJ54-AK54</f>
        <v>0</v>
      </c>
      <c r="AM54" s="367">
        <f>+'Asset Classification'!X54</f>
        <v>0</v>
      </c>
      <c r="AN54" s="362">
        <f t="shared" ref="AN54" si="101">+AI54*100%</f>
        <v>0</v>
      </c>
      <c r="AO54" s="362">
        <f t="shared" ref="AO54" si="102">+AM54-AN54</f>
        <v>0</v>
      </c>
      <c r="AP54" s="357">
        <f t="shared" ref="AP54" si="103">+L54+T54+AB54+AJ54</f>
        <v>0</v>
      </c>
      <c r="AQ54" s="357">
        <f t="shared" ref="AQ54" si="104">+M54+U54+AC54+AK54</f>
        <v>0</v>
      </c>
      <c r="AR54" s="357">
        <f t="shared" ref="AR54" si="105">+AP54-AQ54</f>
        <v>0</v>
      </c>
      <c r="AS54" s="362">
        <f t="shared" ref="AS54" si="106">+O54+W54+AE54+AM54</f>
        <v>0</v>
      </c>
      <c r="AT54" s="362">
        <f t="shared" ref="AT54" si="107">+P54+X54+AF54+AN54</f>
        <v>0</v>
      </c>
      <c r="AU54" s="362">
        <f t="shared" ref="AU54" si="108">+AS54-AT54</f>
        <v>0</v>
      </c>
      <c r="AV54" s="130"/>
      <c r="AW54" s="130"/>
      <c r="AX54" s="130"/>
      <c r="AY54" s="130"/>
      <c r="AZ54" s="130"/>
      <c r="BA54" s="130"/>
      <c r="BB54" s="130"/>
      <c r="BC54" s="130"/>
    </row>
    <row r="55" spans="1:55" s="348" customFormat="1" ht="27.75" customHeight="1">
      <c r="A55" s="347"/>
      <c r="B55" s="347" t="s">
        <v>582</v>
      </c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  <c r="AA55" s="358"/>
      <c r="AB55" s="358"/>
      <c r="AC55" s="358"/>
      <c r="AD55" s="358"/>
      <c r="AE55" s="358"/>
      <c r="AF55" s="358"/>
      <c r="AG55" s="358"/>
      <c r="AH55" s="358"/>
      <c r="AI55" s="358"/>
      <c r="AJ55" s="358"/>
      <c r="AK55" s="358"/>
      <c r="AL55" s="358"/>
      <c r="AM55" s="358"/>
      <c r="AN55" s="358"/>
      <c r="AO55" s="358"/>
      <c r="AP55" s="358"/>
      <c r="AQ55" s="358"/>
      <c r="AR55" s="358"/>
      <c r="AS55" s="358"/>
      <c r="AT55" s="358"/>
      <c r="AU55" s="358"/>
    </row>
    <row r="56" spans="1:55" s="12" customFormat="1" ht="7.5" customHeight="1">
      <c r="A56" s="11"/>
      <c r="B56" s="11"/>
      <c r="C56" s="365"/>
      <c r="D56" s="366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130"/>
      <c r="AW56" s="130"/>
      <c r="AX56" s="130"/>
      <c r="AY56" s="130"/>
      <c r="AZ56" s="130"/>
      <c r="BA56" s="130"/>
      <c r="BB56" s="130"/>
      <c r="BC56" s="130"/>
    </row>
    <row r="57" spans="1:55" s="12" customFormat="1" ht="21.75" customHeight="1">
      <c r="A57" s="219">
        <v>24</v>
      </c>
      <c r="B57" s="222" t="s">
        <v>583</v>
      </c>
      <c r="C57" s="361">
        <f>+'Asset Classification'!C57</f>
        <v>1235492326</v>
      </c>
      <c r="D57" s="362">
        <f>+'Asset Classification'!D57</f>
        <v>52638978</v>
      </c>
      <c r="E57" s="363">
        <f>+'Asset Classification'!E57</f>
        <v>1089405853</v>
      </c>
      <c r="F57" s="362">
        <f>+'Asset Classification'!F57</f>
        <v>26263593</v>
      </c>
      <c r="G57" s="363">
        <f>+'Asset Classification'!G57</f>
        <v>9351693</v>
      </c>
      <c r="H57" s="362">
        <f t="shared" ref="H57:H70" si="109">+E57*1%</f>
        <v>10894058.529999999</v>
      </c>
      <c r="I57" s="362">
        <f t="shared" ref="I57:I70" si="110">+G57-H57</f>
        <v>-1542365.5299999993</v>
      </c>
      <c r="J57" s="363">
        <f>+'Asset Classification'!I57</f>
        <v>76414436</v>
      </c>
      <c r="K57" s="362">
        <f>+'Asset Classification'!J57</f>
        <v>10395296</v>
      </c>
      <c r="L57" s="363">
        <f>+'Asset Classification'!K57</f>
        <v>1242905</v>
      </c>
      <c r="M57" s="362">
        <f t="shared" ref="M57:M70" si="111">+J57*10%</f>
        <v>7641443.6000000006</v>
      </c>
      <c r="N57" s="362">
        <f t="shared" ref="N57:N70" si="112">+L57-M57</f>
        <v>-6398538.6000000006</v>
      </c>
      <c r="O57" s="362">
        <f>+'Asset Classification'!L57</f>
        <v>0</v>
      </c>
      <c r="P57" s="362">
        <f t="shared" ref="P57:P70" si="113">+K57*10%</f>
        <v>1039529.6000000001</v>
      </c>
      <c r="Q57" s="362">
        <f t="shared" ref="Q57:Q70" si="114">+O57-P57</f>
        <v>-1039529.6000000001</v>
      </c>
      <c r="R57" s="363">
        <f>+'Asset Classification'!M57</f>
        <v>12863985</v>
      </c>
      <c r="S57" s="362">
        <f>+'Asset Classification'!N57</f>
        <v>0</v>
      </c>
      <c r="T57" s="363">
        <f>+'Asset Classification'!O57</f>
        <v>315013</v>
      </c>
      <c r="U57" s="362">
        <f t="shared" ref="U57:U70" si="115">+R57*25%</f>
        <v>3215996.25</v>
      </c>
      <c r="V57" s="362">
        <f t="shared" ref="V57:V70" si="116">+T57-U57</f>
        <v>-2900983.25</v>
      </c>
      <c r="W57" s="362">
        <f>+'Asset Classification'!P57</f>
        <v>0</v>
      </c>
      <c r="X57" s="362">
        <f t="shared" ref="X57:X70" si="117">+S57*25%</f>
        <v>0</v>
      </c>
      <c r="Y57" s="362">
        <f t="shared" ref="Y57:Y70" si="118">+W57-X57</f>
        <v>0</v>
      </c>
      <c r="Z57" s="363">
        <f>+'Asset Classification'!Q57</f>
        <v>42965190</v>
      </c>
      <c r="AA57" s="362">
        <f>+'Asset Classification'!R57</f>
        <v>15980089</v>
      </c>
      <c r="AB57" s="363">
        <f>+'Asset Classification'!S57</f>
        <v>2867843</v>
      </c>
      <c r="AC57" s="362">
        <f t="shared" ref="AC57:AC70" si="119">+Z57*50%</f>
        <v>21482595</v>
      </c>
      <c r="AD57" s="362">
        <f t="shared" ref="AD57:AD70" si="120">+AB57-AC57</f>
        <v>-18614752</v>
      </c>
      <c r="AE57" s="362">
        <f>+'Asset Classification'!T57</f>
        <v>0</v>
      </c>
      <c r="AF57" s="362">
        <f t="shared" ref="AF57:AF70" si="121">+AA57*50%</f>
        <v>7990044.5</v>
      </c>
      <c r="AG57" s="362">
        <f t="shared" ref="AG57:AG70" si="122">+AE57-AF57</f>
        <v>-7990044.5</v>
      </c>
      <c r="AH57" s="363">
        <f>+'Asset Classification'!U57</f>
        <v>13842862</v>
      </c>
      <c r="AI57" s="362">
        <f>+'Asset Classification'!V57</f>
        <v>0</v>
      </c>
      <c r="AJ57" s="363">
        <f>+'Asset Classification'!W57</f>
        <v>1275942</v>
      </c>
      <c r="AK57" s="362">
        <f t="shared" ref="AK57:AK70" si="123">+AH57*100%</f>
        <v>13842862</v>
      </c>
      <c r="AL57" s="362">
        <f t="shared" ref="AL57:AL70" si="124">+AJ57-AK57</f>
        <v>-12566920</v>
      </c>
      <c r="AM57" s="362">
        <f>+'Asset Classification'!X57</f>
        <v>0</v>
      </c>
      <c r="AN57" s="362">
        <f t="shared" ref="AN57:AN70" si="125">+AI57*100%</f>
        <v>0</v>
      </c>
      <c r="AO57" s="362">
        <f t="shared" ref="AO57:AO70" si="126">+AM57-AN57</f>
        <v>0</v>
      </c>
      <c r="AP57" s="357">
        <f t="shared" ref="AP57:AQ70" si="127">+L57+T57+AB57+AJ57</f>
        <v>5701703</v>
      </c>
      <c r="AQ57" s="357">
        <f t="shared" si="127"/>
        <v>46182896.850000001</v>
      </c>
      <c r="AR57" s="357">
        <f t="shared" ref="AR57:AR70" si="128">+AP57-AQ57</f>
        <v>-40481193.850000001</v>
      </c>
      <c r="AS57" s="362">
        <f t="shared" ref="AS57:AT70" si="129">+O57+W57+AE57+AM57</f>
        <v>0</v>
      </c>
      <c r="AT57" s="362">
        <f t="shared" si="129"/>
        <v>9029574.0999999996</v>
      </c>
      <c r="AU57" s="362">
        <f t="shared" ref="AU57:AU70" si="130">+AS57-AT57</f>
        <v>-9029574.0999999996</v>
      </c>
      <c r="AV57" s="130"/>
      <c r="AW57" s="130"/>
      <c r="AX57" s="130"/>
      <c r="AY57" s="130"/>
      <c r="AZ57" s="130"/>
      <c r="BA57" s="130"/>
      <c r="BB57" s="130"/>
      <c r="BC57" s="130"/>
    </row>
    <row r="58" spans="1:55" s="12" customFormat="1" ht="21.75" customHeight="1">
      <c r="A58" s="219">
        <v>25</v>
      </c>
      <c r="B58" s="222" t="s">
        <v>584</v>
      </c>
      <c r="C58" s="361">
        <f>+'Asset Classification'!C58</f>
        <v>896506330</v>
      </c>
      <c r="D58" s="362">
        <f>+'Asset Classification'!D58</f>
        <v>118213972</v>
      </c>
      <c r="E58" s="363">
        <f>+'Asset Classification'!E58</f>
        <v>559436834</v>
      </c>
      <c r="F58" s="362">
        <f>+'Asset Classification'!F58</f>
        <v>25830409</v>
      </c>
      <c r="G58" s="363">
        <f>+'Asset Classification'!G58</f>
        <v>5895174</v>
      </c>
      <c r="H58" s="362">
        <f t="shared" si="109"/>
        <v>5594368.3399999999</v>
      </c>
      <c r="I58" s="362">
        <f t="shared" si="110"/>
        <v>300805.66000000015</v>
      </c>
      <c r="J58" s="363">
        <f>+'Asset Classification'!I58</f>
        <v>203710481</v>
      </c>
      <c r="K58" s="362">
        <f>+'Asset Classification'!J58</f>
        <v>75045035</v>
      </c>
      <c r="L58" s="363">
        <f>+'Asset Classification'!K58</f>
        <v>489032</v>
      </c>
      <c r="M58" s="362">
        <f t="shared" si="111"/>
        <v>20371048.100000001</v>
      </c>
      <c r="N58" s="362">
        <f t="shared" si="112"/>
        <v>-19882016.100000001</v>
      </c>
      <c r="O58" s="362">
        <f>+'Asset Classification'!L58</f>
        <v>0</v>
      </c>
      <c r="P58" s="362">
        <f t="shared" si="113"/>
        <v>7504503.5</v>
      </c>
      <c r="Q58" s="362">
        <f t="shared" si="114"/>
        <v>-7504503.5</v>
      </c>
      <c r="R58" s="363">
        <f>+'Asset Classification'!M58</f>
        <v>43255317</v>
      </c>
      <c r="S58" s="362">
        <f>+'Asset Classification'!N58</f>
        <v>6012665</v>
      </c>
      <c r="T58" s="363">
        <f>+'Asset Classification'!O58</f>
        <v>278128</v>
      </c>
      <c r="U58" s="362">
        <f t="shared" si="115"/>
        <v>10813829.25</v>
      </c>
      <c r="V58" s="362">
        <f t="shared" si="116"/>
        <v>-10535701.25</v>
      </c>
      <c r="W58" s="362">
        <f>+'Asset Classification'!P58</f>
        <v>0</v>
      </c>
      <c r="X58" s="362">
        <f t="shared" si="117"/>
        <v>1503166.25</v>
      </c>
      <c r="Y58" s="362">
        <f t="shared" si="118"/>
        <v>-1503166.25</v>
      </c>
      <c r="Z58" s="363">
        <f>+'Asset Classification'!Q58</f>
        <v>48770766</v>
      </c>
      <c r="AA58" s="362">
        <f>+'Asset Classification'!R58</f>
        <v>11325863</v>
      </c>
      <c r="AB58" s="363">
        <f>+'Asset Classification'!S58</f>
        <v>5303367</v>
      </c>
      <c r="AC58" s="362">
        <f t="shared" si="119"/>
        <v>24385383</v>
      </c>
      <c r="AD58" s="362">
        <f t="shared" si="120"/>
        <v>-19082016</v>
      </c>
      <c r="AE58" s="362">
        <f>+'Asset Classification'!T58</f>
        <v>2831466</v>
      </c>
      <c r="AF58" s="362">
        <f t="shared" si="121"/>
        <v>5662931.5</v>
      </c>
      <c r="AG58" s="362">
        <f t="shared" si="122"/>
        <v>-2831465.5</v>
      </c>
      <c r="AH58" s="363">
        <f>+'Asset Classification'!U58</f>
        <v>41332932</v>
      </c>
      <c r="AI58" s="362">
        <f>+'Asset Classification'!V58</f>
        <v>0</v>
      </c>
      <c r="AJ58" s="363">
        <f>+'Asset Classification'!W58</f>
        <v>10360313</v>
      </c>
      <c r="AK58" s="362">
        <f t="shared" si="123"/>
        <v>41332932</v>
      </c>
      <c r="AL58" s="362">
        <f t="shared" si="124"/>
        <v>-30972619</v>
      </c>
      <c r="AM58" s="362">
        <f>+'Asset Classification'!X58</f>
        <v>0</v>
      </c>
      <c r="AN58" s="362">
        <f t="shared" si="125"/>
        <v>0</v>
      </c>
      <c r="AO58" s="362">
        <f t="shared" si="126"/>
        <v>0</v>
      </c>
      <c r="AP58" s="357">
        <f t="shared" si="127"/>
        <v>16430840</v>
      </c>
      <c r="AQ58" s="357">
        <f t="shared" si="127"/>
        <v>96903192.349999994</v>
      </c>
      <c r="AR58" s="357">
        <f t="shared" si="128"/>
        <v>-80472352.349999994</v>
      </c>
      <c r="AS58" s="362">
        <f t="shared" si="129"/>
        <v>2831466</v>
      </c>
      <c r="AT58" s="362">
        <f t="shared" si="129"/>
        <v>14670601.25</v>
      </c>
      <c r="AU58" s="362">
        <f t="shared" si="130"/>
        <v>-11839135.25</v>
      </c>
      <c r="AV58" s="130"/>
      <c r="AW58" s="130"/>
      <c r="AX58" s="130"/>
      <c r="AY58" s="130"/>
      <c r="AZ58" s="130"/>
      <c r="BA58" s="130"/>
      <c r="BB58" s="130"/>
      <c r="BC58" s="130"/>
    </row>
    <row r="59" spans="1:55" s="12" customFormat="1" ht="21.75" customHeight="1">
      <c r="A59" s="219">
        <v>26</v>
      </c>
      <c r="B59" s="222" t="s">
        <v>585</v>
      </c>
      <c r="C59" s="361">
        <f>+'Asset Classification'!C59</f>
        <v>1636513448</v>
      </c>
      <c r="D59" s="362">
        <f>+'Asset Classification'!D59</f>
        <v>297439716</v>
      </c>
      <c r="E59" s="363">
        <f>+'Asset Classification'!E59</f>
        <v>1508296979</v>
      </c>
      <c r="F59" s="362">
        <f>+'Asset Classification'!F59</f>
        <v>289605861</v>
      </c>
      <c r="G59" s="363">
        <f>+'Asset Classification'!G59</f>
        <v>11419767</v>
      </c>
      <c r="H59" s="362">
        <f t="shared" si="109"/>
        <v>15082969.790000001</v>
      </c>
      <c r="I59" s="362">
        <f t="shared" si="110"/>
        <v>-3663202.790000001</v>
      </c>
      <c r="J59" s="363">
        <f>+'Asset Classification'!I59</f>
        <v>73344221</v>
      </c>
      <c r="K59" s="362">
        <f>+'Asset Classification'!J59</f>
        <v>1254347</v>
      </c>
      <c r="L59" s="363">
        <f>+'Asset Classification'!K59</f>
        <v>1008584</v>
      </c>
      <c r="M59" s="362">
        <f t="shared" si="111"/>
        <v>7334422.1000000006</v>
      </c>
      <c r="N59" s="362">
        <f t="shared" si="112"/>
        <v>-6325838.1000000006</v>
      </c>
      <c r="O59" s="362">
        <f>+'Asset Classification'!L59</f>
        <v>0</v>
      </c>
      <c r="P59" s="362">
        <f t="shared" si="113"/>
        <v>125434.70000000001</v>
      </c>
      <c r="Q59" s="362">
        <f t="shared" si="114"/>
        <v>-125434.70000000001</v>
      </c>
      <c r="R59" s="363">
        <f>+'Asset Classification'!M59</f>
        <v>9046327</v>
      </c>
      <c r="S59" s="362">
        <f>+'Asset Classification'!N59</f>
        <v>0</v>
      </c>
      <c r="T59" s="363">
        <f>+'Asset Classification'!O59</f>
        <v>30588</v>
      </c>
      <c r="U59" s="362">
        <f t="shared" si="115"/>
        <v>2261581.75</v>
      </c>
      <c r="V59" s="362">
        <f t="shared" si="116"/>
        <v>-2230993.75</v>
      </c>
      <c r="W59" s="362">
        <f>+'Asset Classification'!P59</f>
        <v>0</v>
      </c>
      <c r="X59" s="362">
        <f t="shared" si="117"/>
        <v>0</v>
      </c>
      <c r="Y59" s="362">
        <f t="shared" si="118"/>
        <v>0</v>
      </c>
      <c r="Z59" s="363">
        <f>+'Asset Classification'!Q59</f>
        <v>18063365</v>
      </c>
      <c r="AA59" s="362">
        <f>+'Asset Classification'!R59</f>
        <v>6178511</v>
      </c>
      <c r="AB59" s="363">
        <f>+'Asset Classification'!S59</f>
        <v>2478199</v>
      </c>
      <c r="AC59" s="362">
        <f t="shared" si="119"/>
        <v>9031682.5</v>
      </c>
      <c r="AD59" s="362">
        <f t="shared" si="120"/>
        <v>-6553483.5</v>
      </c>
      <c r="AE59" s="362">
        <f>+'Asset Classification'!T59</f>
        <v>319038</v>
      </c>
      <c r="AF59" s="362">
        <f t="shared" si="121"/>
        <v>3089255.5</v>
      </c>
      <c r="AG59" s="362">
        <f t="shared" si="122"/>
        <v>-2770217.5</v>
      </c>
      <c r="AH59" s="363">
        <f>+'Asset Classification'!U59</f>
        <v>27762556</v>
      </c>
      <c r="AI59" s="362">
        <f>+'Asset Classification'!V59</f>
        <v>400997</v>
      </c>
      <c r="AJ59" s="363">
        <f>+'Asset Classification'!W59</f>
        <v>9351645</v>
      </c>
      <c r="AK59" s="362">
        <f t="shared" si="123"/>
        <v>27762556</v>
      </c>
      <c r="AL59" s="362">
        <f t="shared" si="124"/>
        <v>-18410911</v>
      </c>
      <c r="AM59" s="362">
        <f>+'Asset Classification'!X59</f>
        <v>0</v>
      </c>
      <c r="AN59" s="362">
        <f t="shared" si="125"/>
        <v>400997</v>
      </c>
      <c r="AO59" s="362">
        <f t="shared" si="126"/>
        <v>-400997</v>
      </c>
      <c r="AP59" s="357">
        <f t="shared" si="127"/>
        <v>12869016</v>
      </c>
      <c r="AQ59" s="357">
        <f t="shared" si="127"/>
        <v>46390242.350000001</v>
      </c>
      <c r="AR59" s="357">
        <f t="shared" si="128"/>
        <v>-33521226.350000001</v>
      </c>
      <c r="AS59" s="362">
        <f t="shared" si="129"/>
        <v>319038</v>
      </c>
      <c r="AT59" s="362">
        <f t="shared" si="129"/>
        <v>3615687.2</v>
      </c>
      <c r="AU59" s="362">
        <f t="shared" si="130"/>
        <v>-3296649.2</v>
      </c>
      <c r="AV59" s="130"/>
      <c r="AW59" s="130"/>
      <c r="AX59" s="130"/>
      <c r="AY59" s="130"/>
      <c r="AZ59" s="130"/>
      <c r="BA59" s="130"/>
      <c r="BB59" s="130"/>
      <c r="BC59" s="130"/>
    </row>
    <row r="60" spans="1:55" s="12" customFormat="1" ht="21.75" customHeight="1">
      <c r="A60" s="219">
        <v>27</v>
      </c>
      <c r="B60" s="222" t="s">
        <v>586</v>
      </c>
      <c r="C60" s="361">
        <f>+'Asset Classification'!C60</f>
        <v>1196210086</v>
      </c>
      <c r="D60" s="362">
        <f>+'Asset Classification'!D60</f>
        <v>100722792</v>
      </c>
      <c r="E60" s="363">
        <f>+'Asset Classification'!E60</f>
        <v>977568122</v>
      </c>
      <c r="F60" s="362">
        <f>+'Asset Classification'!F60</f>
        <v>50577271</v>
      </c>
      <c r="G60" s="363">
        <f>+'Asset Classification'!G60</f>
        <v>7340658</v>
      </c>
      <c r="H60" s="362">
        <f t="shared" si="109"/>
        <v>9775681.2200000007</v>
      </c>
      <c r="I60" s="362">
        <f t="shared" si="110"/>
        <v>-2435023.2200000007</v>
      </c>
      <c r="J60" s="363">
        <f>+'Asset Classification'!I60</f>
        <v>170201816</v>
      </c>
      <c r="K60" s="362">
        <f>+'Asset Classification'!J60</f>
        <v>48943093</v>
      </c>
      <c r="L60" s="363">
        <f>+'Asset Classification'!K60</f>
        <v>1026781</v>
      </c>
      <c r="M60" s="362">
        <f t="shared" si="111"/>
        <v>17020181.600000001</v>
      </c>
      <c r="N60" s="362">
        <f t="shared" si="112"/>
        <v>-15993400.600000001</v>
      </c>
      <c r="O60" s="362">
        <f>+'Asset Classification'!L60</f>
        <v>0</v>
      </c>
      <c r="P60" s="362">
        <f t="shared" si="113"/>
        <v>4894309.3</v>
      </c>
      <c r="Q60" s="362">
        <f t="shared" si="114"/>
        <v>-4894309.3</v>
      </c>
      <c r="R60" s="363">
        <f>+'Asset Classification'!M60</f>
        <v>15882025</v>
      </c>
      <c r="S60" s="362">
        <f>+'Asset Classification'!N60</f>
        <v>0</v>
      </c>
      <c r="T60" s="363">
        <f>+'Asset Classification'!O60</f>
        <v>143185</v>
      </c>
      <c r="U60" s="362">
        <f t="shared" si="115"/>
        <v>3970506.25</v>
      </c>
      <c r="V60" s="362">
        <f t="shared" si="116"/>
        <v>-3827321.25</v>
      </c>
      <c r="W60" s="362">
        <f>+'Asset Classification'!P60</f>
        <v>0</v>
      </c>
      <c r="X60" s="362">
        <f t="shared" si="117"/>
        <v>0</v>
      </c>
      <c r="Y60" s="362">
        <f t="shared" si="118"/>
        <v>0</v>
      </c>
      <c r="Z60" s="363">
        <f>+'Asset Classification'!Q60</f>
        <v>20875879</v>
      </c>
      <c r="AA60" s="362">
        <f>+'Asset Classification'!R60</f>
        <v>743672</v>
      </c>
      <c r="AB60" s="363">
        <f>+'Asset Classification'!S60</f>
        <v>3849588</v>
      </c>
      <c r="AC60" s="362">
        <f t="shared" si="119"/>
        <v>10437939.5</v>
      </c>
      <c r="AD60" s="362">
        <f t="shared" si="120"/>
        <v>-6588351.5</v>
      </c>
      <c r="AE60" s="362">
        <f>+'Asset Classification'!T60</f>
        <v>213469</v>
      </c>
      <c r="AF60" s="362">
        <f t="shared" si="121"/>
        <v>371836</v>
      </c>
      <c r="AG60" s="362">
        <f t="shared" si="122"/>
        <v>-158367</v>
      </c>
      <c r="AH60" s="363">
        <f>+'Asset Classification'!U60</f>
        <v>11682244</v>
      </c>
      <c r="AI60" s="362">
        <f>+'Asset Classification'!V60</f>
        <v>458756</v>
      </c>
      <c r="AJ60" s="363">
        <f>+'Asset Classification'!W60</f>
        <v>1199951</v>
      </c>
      <c r="AK60" s="362">
        <f t="shared" si="123"/>
        <v>11682244</v>
      </c>
      <c r="AL60" s="362">
        <f t="shared" si="124"/>
        <v>-10482293</v>
      </c>
      <c r="AM60" s="362">
        <f>+'Asset Classification'!X60</f>
        <v>166263</v>
      </c>
      <c r="AN60" s="362">
        <f t="shared" si="125"/>
        <v>458756</v>
      </c>
      <c r="AO60" s="362">
        <f t="shared" si="126"/>
        <v>-292493</v>
      </c>
      <c r="AP60" s="357">
        <f t="shared" si="127"/>
        <v>6219505</v>
      </c>
      <c r="AQ60" s="357">
        <f t="shared" si="127"/>
        <v>43110871.350000001</v>
      </c>
      <c r="AR60" s="357">
        <f t="shared" si="128"/>
        <v>-36891366.350000001</v>
      </c>
      <c r="AS60" s="362">
        <f t="shared" si="129"/>
        <v>379732</v>
      </c>
      <c r="AT60" s="362">
        <f t="shared" si="129"/>
        <v>5724901.2999999998</v>
      </c>
      <c r="AU60" s="362">
        <f t="shared" si="130"/>
        <v>-5345169.3</v>
      </c>
      <c r="AV60" s="130"/>
      <c r="AW60" s="130"/>
      <c r="AX60" s="130"/>
      <c r="AY60" s="130"/>
      <c r="AZ60" s="130"/>
      <c r="BA60" s="130"/>
      <c r="BB60" s="130"/>
      <c r="BC60" s="130"/>
    </row>
    <row r="61" spans="1:55" s="12" customFormat="1" ht="21.75" customHeight="1">
      <c r="A61" s="219">
        <v>28</v>
      </c>
      <c r="B61" s="222" t="s">
        <v>587</v>
      </c>
      <c r="C61" s="361">
        <f>+'Asset Classification'!C61</f>
        <v>1593465667</v>
      </c>
      <c r="D61" s="362">
        <f>+'Asset Classification'!D61</f>
        <v>38512982</v>
      </c>
      <c r="E61" s="363">
        <f>+'Asset Classification'!E61</f>
        <v>1361577082</v>
      </c>
      <c r="F61" s="362">
        <f>+'Asset Classification'!F61</f>
        <v>29256717</v>
      </c>
      <c r="G61" s="363">
        <f>+'Asset Classification'!G61</f>
        <v>14736887</v>
      </c>
      <c r="H61" s="362">
        <f t="shared" si="109"/>
        <v>13615770.82</v>
      </c>
      <c r="I61" s="362">
        <f t="shared" si="110"/>
        <v>1121116.1799999997</v>
      </c>
      <c r="J61" s="363">
        <f>+'Asset Classification'!I61</f>
        <v>192834920</v>
      </c>
      <c r="K61" s="362">
        <f>+'Asset Classification'!J61</f>
        <v>2169071</v>
      </c>
      <c r="L61" s="363">
        <f>+'Asset Classification'!K61</f>
        <v>2288280</v>
      </c>
      <c r="M61" s="362">
        <f t="shared" si="111"/>
        <v>19283492</v>
      </c>
      <c r="N61" s="362">
        <f t="shared" si="112"/>
        <v>-16995212</v>
      </c>
      <c r="O61" s="362">
        <f>+'Asset Classification'!L61</f>
        <v>0</v>
      </c>
      <c r="P61" s="362">
        <f t="shared" si="113"/>
        <v>216907.1</v>
      </c>
      <c r="Q61" s="362">
        <f t="shared" si="114"/>
        <v>-216907.1</v>
      </c>
      <c r="R61" s="363">
        <f>+'Asset Classification'!M61</f>
        <v>10626320</v>
      </c>
      <c r="S61" s="362">
        <f>+'Asset Classification'!N61</f>
        <v>0</v>
      </c>
      <c r="T61" s="363">
        <f>+'Asset Classification'!O61</f>
        <v>45654</v>
      </c>
      <c r="U61" s="362">
        <f t="shared" si="115"/>
        <v>2656580</v>
      </c>
      <c r="V61" s="362">
        <f t="shared" si="116"/>
        <v>-2610926</v>
      </c>
      <c r="W61" s="362">
        <f>+'Asset Classification'!P61</f>
        <v>0</v>
      </c>
      <c r="X61" s="362">
        <f t="shared" si="117"/>
        <v>0</v>
      </c>
      <c r="Y61" s="362">
        <f t="shared" si="118"/>
        <v>0</v>
      </c>
      <c r="Z61" s="363">
        <f>+'Asset Classification'!Q61</f>
        <v>14707474</v>
      </c>
      <c r="AA61" s="362">
        <f>+'Asset Classification'!R61</f>
        <v>5930959</v>
      </c>
      <c r="AB61" s="363">
        <f>+'Asset Classification'!S61</f>
        <v>4987458</v>
      </c>
      <c r="AC61" s="362">
        <f t="shared" si="119"/>
        <v>7353737</v>
      </c>
      <c r="AD61" s="362">
        <f t="shared" si="120"/>
        <v>-2366279</v>
      </c>
      <c r="AE61" s="362">
        <f>+'Asset Classification'!T61</f>
        <v>2965479</v>
      </c>
      <c r="AF61" s="362">
        <f t="shared" si="121"/>
        <v>2965479.5</v>
      </c>
      <c r="AG61" s="362">
        <f t="shared" si="122"/>
        <v>-0.5</v>
      </c>
      <c r="AH61" s="363">
        <f>+'Asset Classification'!U61</f>
        <v>13719871</v>
      </c>
      <c r="AI61" s="362">
        <f>+'Asset Classification'!V61</f>
        <v>1156235</v>
      </c>
      <c r="AJ61" s="363">
        <f>+'Asset Classification'!W61</f>
        <v>3689899</v>
      </c>
      <c r="AK61" s="362">
        <f t="shared" si="123"/>
        <v>13719871</v>
      </c>
      <c r="AL61" s="362">
        <f t="shared" si="124"/>
        <v>-10029972</v>
      </c>
      <c r="AM61" s="362">
        <f>+'Asset Classification'!X61</f>
        <v>578118</v>
      </c>
      <c r="AN61" s="362">
        <f t="shared" si="125"/>
        <v>1156235</v>
      </c>
      <c r="AO61" s="362">
        <f t="shared" si="126"/>
        <v>-578117</v>
      </c>
      <c r="AP61" s="357">
        <f t="shared" si="127"/>
        <v>11011291</v>
      </c>
      <c r="AQ61" s="357">
        <f t="shared" si="127"/>
        <v>43013680</v>
      </c>
      <c r="AR61" s="357">
        <f t="shared" si="128"/>
        <v>-32002389</v>
      </c>
      <c r="AS61" s="362">
        <f t="shared" si="129"/>
        <v>3543597</v>
      </c>
      <c r="AT61" s="362">
        <f t="shared" si="129"/>
        <v>4338621.5999999996</v>
      </c>
      <c r="AU61" s="362">
        <f t="shared" si="130"/>
        <v>-795024.59999999963</v>
      </c>
      <c r="AV61" s="130"/>
      <c r="AW61" s="130"/>
      <c r="AX61" s="130"/>
      <c r="AY61" s="130"/>
      <c r="AZ61" s="130"/>
      <c r="BA61" s="130"/>
      <c r="BB61" s="130"/>
      <c r="BC61" s="130"/>
    </row>
    <row r="62" spans="1:55" s="12" customFormat="1" ht="21.75" customHeight="1">
      <c r="A62" s="219">
        <v>29</v>
      </c>
      <c r="B62" s="222" t="s">
        <v>588</v>
      </c>
      <c r="C62" s="361">
        <f>+'Asset Classification'!C62</f>
        <v>920417795</v>
      </c>
      <c r="D62" s="362">
        <f>+'Asset Classification'!D62</f>
        <v>6337075</v>
      </c>
      <c r="E62" s="363">
        <f>+'Asset Classification'!E62</f>
        <v>805776695</v>
      </c>
      <c r="F62" s="362">
        <f>+'Asset Classification'!F62</f>
        <v>5029063</v>
      </c>
      <c r="G62" s="363">
        <f>+'Asset Classification'!G62</f>
        <v>8187546</v>
      </c>
      <c r="H62" s="362">
        <f t="shared" si="109"/>
        <v>8057766.9500000002</v>
      </c>
      <c r="I62" s="362">
        <f t="shared" si="110"/>
        <v>129779.04999999981</v>
      </c>
      <c r="J62" s="363">
        <f>+'Asset Classification'!I62</f>
        <v>85847969</v>
      </c>
      <c r="K62" s="362">
        <f>+'Asset Classification'!J62</f>
        <v>0</v>
      </c>
      <c r="L62" s="363">
        <f>+'Asset Classification'!K62</f>
        <v>391947</v>
      </c>
      <c r="M62" s="362">
        <f t="shared" si="111"/>
        <v>8584796.9000000004</v>
      </c>
      <c r="N62" s="362">
        <f t="shared" si="112"/>
        <v>-8192849.9000000004</v>
      </c>
      <c r="O62" s="362">
        <f>+'Asset Classification'!L62</f>
        <v>0</v>
      </c>
      <c r="P62" s="362">
        <f t="shared" si="113"/>
        <v>0</v>
      </c>
      <c r="Q62" s="362">
        <f t="shared" si="114"/>
        <v>0</v>
      </c>
      <c r="R62" s="363">
        <f>+'Asset Classification'!M62</f>
        <v>12321475</v>
      </c>
      <c r="S62" s="362">
        <f>+'Asset Classification'!N62</f>
        <v>0</v>
      </c>
      <c r="T62" s="363">
        <f>+'Asset Classification'!O62</f>
        <v>25801</v>
      </c>
      <c r="U62" s="362">
        <f t="shared" si="115"/>
        <v>3080368.75</v>
      </c>
      <c r="V62" s="362">
        <f t="shared" si="116"/>
        <v>-3054567.75</v>
      </c>
      <c r="W62" s="362">
        <f>+'Asset Classification'!P62</f>
        <v>0</v>
      </c>
      <c r="X62" s="362">
        <f t="shared" si="117"/>
        <v>0</v>
      </c>
      <c r="Y62" s="362">
        <f t="shared" si="118"/>
        <v>0</v>
      </c>
      <c r="Z62" s="363">
        <f>+'Asset Classification'!Q62</f>
        <v>6517640</v>
      </c>
      <c r="AA62" s="362">
        <f>+'Asset Classification'!R62</f>
        <v>0</v>
      </c>
      <c r="AB62" s="363">
        <f>+'Asset Classification'!S62</f>
        <v>160481</v>
      </c>
      <c r="AC62" s="362">
        <f t="shared" si="119"/>
        <v>3258820</v>
      </c>
      <c r="AD62" s="362">
        <f t="shared" si="120"/>
        <v>-3098339</v>
      </c>
      <c r="AE62" s="362">
        <f>+'Asset Classification'!T62</f>
        <v>0</v>
      </c>
      <c r="AF62" s="362">
        <f t="shared" si="121"/>
        <v>0</v>
      </c>
      <c r="AG62" s="362">
        <f t="shared" si="122"/>
        <v>0</v>
      </c>
      <c r="AH62" s="363">
        <f>+'Asset Classification'!U62</f>
        <v>9954016</v>
      </c>
      <c r="AI62" s="362">
        <f>+'Asset Classification'!V62</f>
        <v>1308012</v>
      </c>
      <c r="AJ62" s="363">
        <f>+'Asset Classification'!W62</f>
        <v>2007312</v>
      </c>
      <c r="AK62" s="362">
        <f t="shared" si="123"/>
        <v>9954016</v>
      </c>
      <c r="AL62" s="362">
        <f t="shared" si="124"/>
        <v>-7946704</v>
      </c>
      <c r="AM62" s="362">
        <f>+'Asset Classification'!X62</f>
        <v>654006</v>
      </c>
      <c r="AN62" s="362">
        <f t="shared" si="125"/>
        <v>1308012</v>
      </c>
      <c r="AO62" s="362">
        <f t="shared" si="126"/>
        <v>-654006</v>
      </c>
      <c r="AP62" s="357">
        <f t="shared" si="127"/>
        <v>2585541</v>
      </c>
      <c r="AQ62" s="357">
        <f t="shared" si="127"/>
        <v>24878001.649999999</v>
      </c>
      <c r="AR62" s="357">
        <f t="shared" si="128"/>
        <v>-22292460.649999999</v>
      </c>
      <c r="AS62" s="362">
        <f t="shared" si="129"/>
        <v>654006</v>
      </c>
      <c r="AT62" s="362">
        <f t="shared" si="129"/>
        <v>1308012</v>
      </c>
      <c r="AU62" s="362">
        <f t="shared" si="130"/>
        <v>-654006</v>
      </c>
      <c r="AV62" s="130"/>
      <c r="AW62" s="130"/>
      <c r="AX62" s="130"/>
      <c r="AY62" s="130"/>
      <c r="AZ62" s="130"/>
      <c r="BA62" s="130"/>
      <c r="BB62" s="130"/>
      <c r="BC62" s="130"/>
    </row>
    <row r="63" spans="1:55" s="12" customFormat="1" ht="21.75" customHeight="1">
      <c r="A63" s="219">
        <v>30</v>
      </c>
      <c r="B63" s="222" t="s">
        <v>589</v>
      </c>
      <c r="C63" s="361">
        <f>+'Asset Classification'!C63</f>
        <v>991829162</v>
      </c>
      <c r="D63" s="362">
        <f>+'Asset Classification'!D63</f>
        <v>32749973</v>
      </c>
      <c r="E63" s="363">
        <f>+'Asset Classification'!E63</f>
        <v>828456027</v>
      </c>
      <c r="F63" s="362">
        <f>+'Asset Classification'!F63</f>
        <v>20776217</v>
      </c>
      <c r="G63" s="363">
        <f>+'Asset Classification'!G63</f>
        <v>8687179</v>
      </c>
      <c r="H63" s="362">
        <f t="shared" si="109"/>
        <v>8284560.2700000005</v>
      </c>
      <c r="I63" s="362">
        <f t="shared" si="110"/>
        <v>402618.72999999952</v>
      </c>
      <c r="J63" s="363">
        <f>+'Asset Classification'!I63</f>
        <v>108566751</v>
      </c>
      <c r="K63" s="362">
        <f>+'Asset Classification'!J63</f>
        <v>3415544</v>
      </c>
      <c r="L63" s="363">
        <f>+'Asset Classification'!K63</f>
        <v>672160</v>
      </c>
      <c r="M63" s="362">
        <f t="shared" si="111"/>
        <v>10856675.100000001</v>
      </c>
      <c r="N63" s="362">
        <f t="shared" si="112"/>
        <v>-10184515.100000001</v>
      </c>
      <c r="O63" s="362">
        <f>+'Asset Classification'!L63</f>
        <v>0</v>
      </c>
      <c r="P63" s="362">
        <f t="shared" si="113"/>
        <v>341554.4</v>
      </c>
      <c r="Q63" s="362">
        <f t="shared" si="114"/>
        <v>-341554.4</v>
      </c>
      <c r="R63" s="363">
        <f>+'Asset Classification'!M63</f>
        <v>7044824</v>
      </c>
      <c r="S63" s="362">
        <f>+'Asset Classification'!N63</f>
        <v>0</v>
      </c>
      <c r="T63" s="363">
        <f>+'Asset Classification'!O63</f>
        <v>41734</v>
      </c>
      <c r="U63" s="362">
        <f t="shared" si="115"/>
        <v>1761206</v>
      </c>
      <c r="V63" s="362">
        <f t="shared" si="116"/>
        <v>-1719472</v>
      </c>
      <c r="W63" s="362">
        <f>+'Asset Classification'!P63</f>
        <v>0</v>
      </c>
      <c r="X63" s="362">
        <f t="shared" si="117"/>
        <v>0</v>
      </c>
      <c r="Y63" s="362">
        <f t="shared" si="118"/>
        <v>0</v>
      </c>
      <c r="Z63" s="363">
        <f>+'Asset Classification'!Q63</f>
        <v>26462749</v>
      </c>
      <c r="AA63" s="362">
        <f>+'Asset Classification'!R63</f>
        <v>4014732</v>
      </c>
      <c r="AB63" s="363">
        <f>+'Asset Classification'!S63</f>
        <v>3933001</v>
      </c>
      <c r="AC63" s="362">
        <f t="shared" si="119"/>
        <v>13231374.5</v>
      </c>
      <c r="AD63" s="362">
        <f t="shared" si="120"/>
        <v>-9298373.5</v>
      </c>
      <c r="AE63" s="362">
        <f>+'Asset Classification'!T63</f>
        <v>1111621</v>
      </c>
      <c r="AF63" s="362">
        <f t="shared" si="121"/>
        <v>2007366</v>
      </c>
      <c r="AG63" s="362">
        <f t="shared" si="122"/>
        <v>-895745</v>
      </c>
      <c r="AH63" s="363">
        <f>+'Asset Classification'!U63</f>
        <v>21298811</v>
      </c>
      <c r="AI63" s="362">
        <f>+'Asset Classification'!V63</f>
        <v>4543480</v>
      </c>
      <c r="AJ63" s="363">
        <f>+'Asset Classification'!W63</f>
        <v>5602228</v>
      </c>
      <c r="AK63" s="362">
        <f t="shared" si="123"/>
        <v>21298811</v>
      </c>
      <c r="AL63" s="362">
        <f t="shared" si="124"/>
        <v>-15696583</v>
      </c>
      <c r="AM63" s="362">
        <f>+'Asset Classification'!X63</f>
        <v>2271740</v>
      </c>
      <c r="AN63" s="362">
        <f t="shared" si="125"/>
        <v>4543480</v>
      </c>
      <c r="AO63" s="362">
        <f t="shared" si="126"/>
        <v>-2271740</v>
      </c>
      <c r="AP63" s="357">
        <f t="shared" si="127"/>
        <v>10249123</v>
      </c>
      <c r="AQ63" s="357">
        <f t="shared" si="127"/>
        <v>47148066.600000001</v>
      </c>
      <c r="AR63" s="357">
        <f t="shared" si="128"/>
        <v>-36898943.600000001</v>
      </c>
      <c r="AS63" s="362">
        <f t="shared" si="129"/>
        <v>3383361</v>
      </c>
      <c r="AT63" s="362">
        <f t="shared" si="129"/>
        <v>6892400.4000000004</v>
      </c>
      <c r="AU63" s="362">
        <f t="shared" si="130"/>
        <v>-3509039.4000000004</v>
      </c>
      <c r="AV63" s="130"/>
      <c r="AW63" s="130"/>
      <c r="AX63" s="130"/>
      <c r="AY63" s="130"/>
      <c r="AZ63" s="130"/>
      <c r="BA63" s="130"/>
      <c r="BB63" s="130"/>
      <c r="BC63" s="130"/>
    </row>
    <row r="64" spans="1:55" s="12" customFormat="1" ht="21.75" customHeight="1">
      <c r="A64" s="219">
        <v>31</v>
      </c>
      <c r="B64" s="222" t="s">
        <v>590</v>
      </c>
      <c r="C64" s="361">
        <f>+'Asset Classification'!C64</f>
        <v>1715646350</v>
      </c>
      <c r="D64" s="362">
        <f>+'Asset Classification'!D64</f>
        <v>49728406</v>
      </c>
      <c r="E64" s="363">
        <f>+'Asset Classification'!E64</f>
        <v>1549282393</v>
      </c>
      <c r="F64" s="362">
        <f>+'Asset Classification'!F64</f>
        <v>46381305</v>
      </c>
      <c r="G64" s="363">
        <f>+'Asset Classification'!G64</f>
        <v>9304323</v>
      </c>
      <c r="H64" s="362">
        <f t="shared" si="109"/>
        <v>15492823.93</v>
      </c>
      <c r="I64" s="362">
        <f t="shared" si="110"/>
        <v>-6188500.9299999997</v>
      </c>
      <c r="J64" s="363">
        <f>+'Asset Classification'!I64</f>
        <v>113410133</v>
      </c>
      <c r="K64" s="362">
        <f>+'Asset Classification'!J64</f>
        <v>2043780</v>
      </c>
      <c r="L64" s="363">
        <f>+'Asset Classification'!K64</f>
        <v>3250809</v>
      </c>
      <c r="M64" s="362">
        <f t="shared" si="111"/>
        <v>11341013.300000001</v>
      </c>
      <c r="N64" s="362">
        <f t="shared" si="112"/>
        <v>-8090204.3000000007</v>
      </c>
      <c r="O64" s="362">
        <f>+'Asset Classification'!L64</f>
        <v>0</v>
      </c>
      <c r="P64" s="362">
        <f t="shared" si="113"/>
        <v>204378</v>
      </c>
      <c r="Q64" s="362">
        <f t="shared" si="114"/>
        <v>-204378</v>
      </c>
      <c r="R64" s="363">
        <f>+'Asset Classification'!M64</f>
        <v>15144007</v>
      </c>
      <c r="S64" s="362">
        <f>+'Asset Classification'!N64</f>
        <v>1303321</v>
      </c>
      <c r="T64" s="363">
        <f>+'Asset Classification'!O64</f>
        <v>309473</v>
      </c>
      <c r="U64" s="362">
        <f t="shared" si="115"/>
        <v>3786001.75</v>
      </c>
      <c r="V64" s="362">
        <f t="shared" si="116"/>
        <v>-3476528.75</v>
      </c>
      <c r="W64" s="362">
        <f>+'Asset Classification'!P64</f>
        <v>0</v>
      </c>
      <c r="X64" s="362">
        <f t="shared" si="117"/>
        <v>325830.25</v>
      </c>
      <c r="Y64" s="362">
        <f t="shared" si="118"/>
        <v>-325830.25</v>
      </c>
      <c r="Z64" s="363">
        <f>+'Asset Classification'!Q64</f>
        <v>17891358</v>
      </c>
      <c r="AA64" s="362">
        <f>+'Asset Classification'!R64</f>
        <v>0</v>
      </c>
      <c r="AB64" s="363">
        <f>+'Asset Classification'!S64</f>
        <v>1699175</v>
      </c>
      <c r="AC64" s="362">
        <f t="shared" si="119"/>
        <v>8945679</v>
      </c>
      <c r="AD64" s="362">
        <f t="shared" si="120"/>
        <v>-7246504</v>
      </c>
      <c r="AE64" s="362">
        <f>+'Asset Classification'!T64</f>
        <v>0</v>
      </c>
      <c r="AF64" s="362">
        <f t="shared" si="121"/>
        <v>0</v>
      </c>
      <c r="AG64" s="362">
        <f t="shared" si="122"/>
        <v>0</v>
      </c>
      <c r="AH64" s="363">
        <f>+'Asset Classification'!U64</f>
        <v>19918459</v>
      </c>
      <c r="AI64" s="362">
        <f>+'Asset Classification'!V64</f>
        <v>0</v>
      </c>
      <c r="AJ64" s="363">
        <f>+'Asset Classification'!W64</f>
        <v>5781634</v>
      </c>
      <c r="AK64" s="362">
        <f t="shared" si="123"/>
        <v>19918459</v>
      </c>
      <c r="AL64" s="362">
        <f t="shared" si="124"/>
        <v>-14136825</v>
      </c>
      <c r="AM64" s="362">
        <f>+'Asset Classification'!X64</f>
        <v>0</v>
      </c>
      <c r="AN64" s="362">
        <f t="shared" si="125"/>
        <v>0</v>
      </c>
      <c r="AO64" s="362">
        <f t="shared" si="126"/>
        <v>0</v>
      </c>
      <c r="AP64" s="357">
        <f t="shared" si="127"/>
        <v>11041091</v>
      </c>
      <c r="AQ64" s="357">
        <f t="shared" si="127"/>
        <v>43991153.049999997</v>
      </c>
      <c r="AR64" s="357">
        <f t="shared" si="128"/>
        <v>-32950062.049999997</v>
      </c>
      <c r="AS64" s="362">
        <f t="shared" si="129"/>
        <v>0</v>
      </c>
      <c r="AT64" s="362">
        <f t="shared" si="129"/>
        <v>530208.25</v>
      </c>
      <c r="AU64" s="362">
        <f t="shared" si="130"/>
        <v>-530208.25</v>
      </c>
      <c r="AV64" s="130"/>
      <c r="AW64" s="130"/>
      <c r="AX64" s="130"/>
      <c r="AY64" s="130"/>
      <c r="AZ64" s="130"/>
      <c r="BA64" s="130"/>
      <c r="BB64" s="130"/>
      <c r="BC64" s="130"/>
    </row>
    <row r="65" spans="1:55" s="12" customFormat="1" ht="21.75" customHeight="1">
      <c r="A65" s="219">
        <v>32</v>
      </c>
      <c r="B65" s="222" t="s">
        <v>591</v>
      </c>
      <c r="C65" s="361">
        <f>+'Asset Classification'!C65</f>
        <v>1881526104</v>
      </c>
      <c r="D65" s="362">
        <f>+'Asset Classification'!D65</f>
        <v>140086455</v>
      </c>
      <c r="E65" s="363">
        <f>+'Asset Classification'!E65</f>
        <v>1544786950</v>
      </c>
      <c r="F65" s="362">
        <f>+'Asset Classification'!F65</f>
        <v>112755901</v>
      </c>
      <c r="G65" s="363">
        <f>+'Asset Classification'!G65</f>
        <v>14015851</v>
      </c>
      <c r="H65" s="362">
        <f t="shared" si="109"/>
        <v>15447869.5</v>
      </c>
      <c r="I65" s="362">
        <f t="shared" si="110"/>
        <v>-1432018.5</v>
      </c>
      <c r="J65" s="363">
        <f>+'Asset Classification'!I65</f>
        <v>225921276</v>
      </c>
      <c r="K65" s="362">
        <f>+'Asset Classification'!J65</f>
        <v>23898710</v>
      </c>
      <c r="L65" s="363">
        <f>+'Asset Classification'!K65</f>
        <v>777837</v>
      </c>
      <c r="M65" s="362">
        <f t="shared" si="111"/>
        <v>22592127.600000001</v>
      </c>
      <c r="N65" s="362">
        <f t="shared" si="112"/>
        <v>-21814290.600000001</v>
      </c>
      <c r="O65" s="362">
        <f>+'Asset Classification'!L65</f>
        <v>0</v>
      </c>
      <c r="P65" s="362">
        <f t="shared" si="113"/>
        <v>2389871</v>
      </c>
      <c r="Q65" s="362">
        <f t="shared" si="114"/>
        <v>-2389871</v>
      </c>
      <c r="R65" s="363">
        <f>+'Asset Classification'!M65</f>
        <v>48844337</v>
      </c>
      <c r="S65" s="362">
        <f>+'Asset Classification'!N65</f>
        <v>0</v>
      </c>
      <c r="T65" s="363">
        <f>+'Asset Classification'!O65</f>
        <v>371212</v>
      </c>
      <c r="U65" s="362">
        <f t="shared" si="115"/>
        <v>12211084.25</v>
      </c>
      <c r="V65" s="362">
        <f t="shared" si="116"/>
        <v>-11839872.25</v>
      </c>
      <c r="W65" s="362">
        <f>+'Asset Classification'!P65</f>
        <v>0</v>
      </c>
      <c r="X65" s="362">
        <f t="shared" si="117"/>
        <v>0</v>
      </c>
      <c r="Y65" s="362">
        <f t="shared" si="118"/>
        <v>0</v>
      </c>
      <c r="Z65" s="363">
        <f>+'Asset Classification'!Q65</f>
        <v>45237750</v>
      </c>
      <c r="AA65" s="362">
        <f>+'Asset Classification'!R65</f>
        <v>3038407</v>
      </c>
      <c r="AB65" s="363">
        <f>+'Asset Classification'!S65</f>
        <v>2425423</v>
      </c>
      <c r="AC65" s="362">
        <f t="shared" si="119"/>
        <v>22618875</v>
      </c>
      <c r="AD65" s="362">
        <f t="shared" si="120"/>
        <v>-20193452</v>
      </c>
      <c r="AE65" s="362">
        <f>+'Asset Classification'!T65</f>
        <v>1519204</v>
      </c>
      <c r="AF65" s="362">
        <f t="shared" si="121"/>
        <v>1519203.5</v>
      </c>
      <c r="AG65" s="362">
        <f t="shared" si="122"/>
        <v>0.5</v>
      </c>
      <c r="AH65" s="363">
        <f>+'Asset Classification'!U65</f>
        <v>16735791</v>
      </c>
      <c r="AI65" s="362">
        <f>+'Asset Classification'!V65</f>
        <v>393437</v>
      </c>
      <c r="AJ65" s="363">
        <f>+'Asset Classification'!W65</f>
        <v>1239118</v>
      </c>
      <c r="AK65" s="362">
        <f t="shared" si="123"/>
        <v>16735791</v>
      </c>
      <c r="AL65" s="362">
        <f t="shared" si="124"/>
        <v>-15496673</v>
      </c>
      <c r="AM65" s="362">
        <f>+'Asset Classification'!X65</f>
        <v>196719</v>
      </c>
      <c r="AN65" s="362">
        <f t="shared" si="125"/>
        <v>393437</v>
      </c>
      <c r="AO65" s="362">
        <f t="shared" si="126"/>
        <v>-196718</v>
      </c>
      <c r="AP65" s="357">
        <f t="shared" si="127"/>
        <v>4813590</v>
      </c>
      <c r="AQ65" s="357">
        <f t="shared" si="127"/>
        <v>74157877.849999994</v>
      </c>
      <c r="AR65" s="357">
        <f t="shared" si="128"/>
        <v>-69344287.849999994</v>
      </c>
      <c r="AS65" s="362">
        <f t="shared" si="129"/>
        <v>1715923</v>
      </c>
      <c r="AT65" s="362">
        <f t="shared" si="129"/>
        <v>4302511.5</v>
      </c>
      <c r="AU65" s="362">
        <f t="shared" si="130"/>
        <v>-2586588.5</v>
      </c>
      <c r="AV65" s="130"/>
      <c r="AW65" s="130"/>
      <c r="AX65" s="130"/>
      <c r="AY65" s="130"/>
      <c r="AZ65" s="130"/>
      <c r="BA65" s="130"/>
      <c r="BB65" s="130"/>
      <c r="BC65" s="130"/>
    </row>
    <row r="66" spans="1:55" s="12" customFormat="1" ht="21.75" customHeight="1">
      <c r="A66" s="219">
        <v>33</v>
      </c>
      <c r="B66" s="222" t="s">
        <v>592</v>
      </c>
      <c r="C66" s="361">
        <f>+'Asset Classification'!C66</f>
        <v>936609564</v>
      </c>
      <c r="D66" s="362">
        <f>+'Asset Classification'!D66</f>
        <v>367498899</v>
      </c>
      <c r="E66" s="363">
        <f>+'Asset Classification'!E66</f>
        <v>810105962</v>
      </c>
      <c r="F66" s="362">
        <f>+'Asset Classification'!F66</f>
        <v>355785471</v>
      </c>
      <c r="G66" s="363">
        <f>+'Asset Classification'!G66</f>
        <v>4467838</v>
      </c>
      <c r="H66" s="362">
        <f t="shared" si="109"/>
        <v>8101059.6200000001</v>
      </c>
      <c r="I66" s="362">
        <f t="shared" si="110"/>
        <v>-3633221.62</v>
      </c>
      <c r="J66" s="363">
        <f>+'Asset Classification'!I66</f>
        <v>66653271</v>
      </c>
      <c r="K66" s="362">
        <f>+'Asset Classification'!J66</f>
        <v>0</v>
      </c>
      <c r="L66" s="363">
        <f>+'Asset Classification'!K66</f>
        <v>239112</v>
      </c>
      <c r="M66" s="362">
        <f t="shared" si="111"/>
        <v>6665327.1000000006</v>
      </c>
      <c r="N66" s="362">
        <f t="shared" si="112"/>
        <v>-6426215.1000000006</v>
      </c>
      <c r="O66" s="362">
        <f>+'Asset Classification'!L66</f>
        <v>0</v>
      </c>
      <c r="P66" s="362">
        <f t="shared" si="113"/>
        <v>0</v>
      </c>
      <c r="Q66" s="362">
        <f t="shared" si="114"/>
        <v>0</v>
      </c>
      <c r="R66" s="363">
        <f>+'Asset Classification'!M66</f>
        <v>4295327</v>
      </c>
      <c r="S66" s="362">
        <f>+'Asset Classification'!N66</f>
        <v>0</v>
      </c>
      <c r="T66" s="363">
        <f>+'Asset Classification'!O66</f>
        <v>31256</v>
      </c>
      <c r="U66" s="362">
        <f t="shared" si="115"/>
        <v>1073831.75</v>
      </c>
      <c r="V66" s="362">
        <f t="shared" si="116"/>
        <v>-1042575.75</v>
      </c>
      <c r="W66" s="362">
        <f>+'Asset Classification'!P66</f>
        <v>0</v>
      </c>
      <c r="X66" s="362">
        <f t="shared" si="117"/>
        <v>0</v>
      </c>
      <c r="Y66" s="362">
        <f t="shared" si="118"/>
        <v>0</v>
      </c>
      <c r="Z66" s="363">
        <f>+'Asset Classification'!Q66</f>
        <v>42399252</v>
      </c>
      <c r="AA66" s="362">
        <f>+'Asset Classification'!R66</f>
        <v>11713428</v>
      </c>
      <c r="AB66" s="363">
        <f>+'Asset Classification'!S66</f>
        <v>7607299</v>
      </c>
      <c r="AC66" s="362">
        <f t="shared" si="119"/>
        <v>21199626</v>
      </c>
      <c r="AD66" s="362">
        <f t="shared" si="120"/>
        <v>-13592327</v>
      </c>
      <c r="AE66" s="362">
        <f>+'Asset Classification'!T66</f>
        <v>2052488</v>
      </c>
      <c r="AF66" s="362">
        <f t="shared" si="121"/>
        <v>5856714</v>
      </c>
      <c r="AG66" s="362">
        <f t="shared" si="122"/>
        <v>-3804226</v>
      </c>
      <c r="AH66" s="363">
        <f>+'Asset Classification'!U66</f>
        <v>13155752</v>
      </c>
      <c r="AI66" s="362">
        <f>+'Asset Classification'!V66</f>
        <v>0</v>
      </c>
      <c r="AJ66" s="363">
        <f>+'Asset Classification'!W66</f>
        <v>4734562</v>
      </c>
      <c r="AK66" s="362">
        <f t="shared" si="123"/>
        <v>13155752</v>
      </c>
      <c r="AL66" s="362">
        <f t="shared" si="124"/>
        <v>-8421190</v>
      </c>
      <c r="AM66" s="362">
        <f>+'Asset Classification'!X66</f>
        <v>0</v>
      </c>
      <c r="AN66" s="362">
        <f t="shared" si="125"/>
        <v>0</v>
      </c>
      <c r="AO66" s="362">
        <f t="shared" si="126"/>
        <v>0</v>
      </c>
      <c r="AP66" s="357">
        <f t="shared" si="127"/>
        <v>12612229</v>
      </c>
      <c r="AQ66" s="357">
        <f t="shared" si="127"/>
        <v>42094536.850000001</v>
      </c>
      <c r="AR66" s="357">
        <f t="shared" si="128"/>
        <v>-29482307.850000001</v>
      </c>
      <c r="AS66" s="362">
        <f t="shared" si="129"/>
        <v>2052488</v>
      </c>
      <c r="AT66" s="362">
        <f t="shared" si="129"/>
        <v>5856714</v>
      </c>
      <c r="AU66" s="362">
        <f t="shared" si="130"/>
        <v>-3804226</v>
      </c>
      <c r="AV66" s="130"/>
      <c r="AW66" s="130"/>
      <c r="AX66" s="130"/>
      <c r="AY66" s="130"/>
      <c r="AZ66" s="130"/>
      <c r="BA66" s="130"/>
      <c r="BB66" s="130"/>
      <c r="BC66" s="130"/>
    </row>
    <row r="67" spans="1:55" s="12" customFormat="1" ht="21.75" customHeight="1">
      <c r="A67" s="219">
        <v>34</v>
      </c>
      <c r="B67" s="222" t="s">
        <v>593</v>
      </c>
      <c r="C67" s="361">
        <f>+'Asset Classification'!C67</f>
        <v>3665580730</v>
      </c>
      <c r="D67" s="362">
        <f>+'Asset Classification'!D67</f>
        <v>1759551082</v>
      </c>
      <c r="E67" s="363">
        <f>+'Asset Classification'!E67</f>
        <v>3378185545</v>
      </c>
      <c r="F67" s="362">
        <f>+'Asset Classification'!F67</f>
        <v>1624168273</v>
      </c>
      <c r="G67" s="363">
        <f>+'Asset Classification'!G67</f>
        <v>5129315</v>
      </c>
      <c r="H67" s="362">
        <f t="shared" si="109"/>
        <v>33781855.450000003</v>
      </c>
      <c r="I67" s="362">
        <f t="shared" si="110"/>
        <v>-28652540.450000003</v>
      </c>
      <c r="J67" s="363">
        <f>+'Asset Classification'!I67</f>
        <v>238103884</v>
      </c>
      <c r="K67" s="362">
        <f>+'Asset Classification'!J67</f>
        <v>128709553</v>
      </c>
      <c r="L67" s="363">
        <f>+'Asset Classification'!K67</f>
        <v>8477705</v>
      </c>
      <c r="M67" s="362">
        <f t="shared" si="111"/>
        <v>23810388.400000002</v>
      </c>
      <c r="N67" s="362">
        <f t="shared" si="112"/>
        <v>-15332683.400000002</v>
      </c>
      <c r="O67" s="362">
        <f>+'Asset Classification'!L67</f>
        <v>4608229</v>
      </c>
      <c r="P67" s="362">
        <f t="shared" si="113"/>
        <v>12870955.300000001</v>
      </c>
      <c r="Q67" s="362">
        <f t="shared" si="114"/>
        <v>-8262726.3000000007</v>
      </c>
      <c r="R67" s="363">
        <f>+'Asset Classification'!M67</f>
        <v>13540956</v>
      </c>
      <c r="S67" s="362">
        <f>+'Asset Classification'!N67</f>
        <v>0</v>
      </c>
      <c r="T67" s="363">
        <f>+'Asset Classification'!O67</f>
        <v>443934</v>
      </c>
      <c r="U67" s="362">
        <f t="shared" si="115"/>
        <v>3385239</v>
      </c>
      <c r="V67" s="362">
        <f t="shared" si="116"/>
        <v>-2941305</v>
      </c>
      <c r="W67" s="362">
        <f>+'Asset Classification'!P67</f>
        <v>0</v>
      </c>
      <c r="X67" s="362">
        <f t="shared" si="117"/>
        <v>0</v>
      </c>
      <c r="Y67" s="362">
        <f t="shared" si="118"/>
        <v>0</v>
      </c>
      <c r="Z67" s="363">
        <f>+'Asset Classification'!Q67</f>
        <v>18976897</v>
      </c>
      <c r="AA67" s="362">
        <f>+'Asset Classification'!R67</f>
        <v>6673256</v>
      </c>
      <c r="AB67" s="363">
        <f>+'Asset Classification'!S67</f>
        <v>790491</v>
      </c>
      <c r="AC67" s="362">
        <f t="shared" si="119"/>
        <v>9488448.5</v>
      </c>
      <c r="AD67" s="362">
        <f t="shared" si="120"/>
        <v>-8697957.5</v>
      </c>
      <c r="AE67" s="362">
        <f>+'Asset Classification'!T67</f>
        <v>542046</v>
      </c>
      <c r="AF67" s="362">
        <f t="shared" si="121"/>
        <v>3336628</v>
      </c>
      <c r="AG67" s="362">
        <f t="shared" si="122"/>
        <v>-2794582</v>
      </c>
      <c r="AH67" s="363">
        <f>+'Asset Classification'!U67</f>
        <v>16773448</v>
      </c>
      <c r="AI67" s="362">
        <f>+'Asset Classification'!V67</f>
        <v>0</v>
      </c>
      <c r="AJ67" s="363">
        <f>+'Asset Classification'!W67</f>
        <v>1315232</v>
      </c>
      <c r="AK67" s="362">
        <f t="shared" si="123"/>
        <v>16773448</v>
      </c>
      <c r="AL67" s="362">
        <f t="shared" si="124"/>
        <v>-15458216</v>
      </c>
      <c r="AM67" s="362">
        <f>+'Asset Classification'!X67</f>
        <v>0</v>
      </c>
      <c r="AN67" s="362">
        <f t="shared" si="125"/>
        <v>0</v>
      </c>
      <c r="AO67" s="362">
        <f t="shared" si="126"/>
        <v>0</v>
      </c>
      <c r="AP67" s="357">
        <f t="shared" si="127"/>
        <v>11027362</v>
      </c>
      <c r="AQ67" s="357">
        <f t="shared" si="127"/>
        <v>53457523.900000006</v>
      </c>
      <c r="AR67" s="357">
        <f t="shared" si="128"/>
        <v>-42430161.900000006</v>
      </c>
      <c r="AS67" s="362">
        <f t="shared" si="129"/>
        <v>5150275</v>
      </c>
      <c r="AT67" s="362">
        <f t="shared" si="129"/>
        <v>16207583.300000001</v>
      </c>
      <c r="AU67" s="362">
        <f t="shared" si="130"/>
        <v>-11057308.300000001</v>
      </c>
      <c r="AV67" s="130"/>
      <c r="AW67" s="130"/>
      <c r="AX67" s="130"/>
      <c r="AY67" s="130"/>
      <c r="AZ67" s="130"/>
      <c r="BA67" s="130"/>
      <c r="BB67" s="130"/>
      <c r="BC67" s="130"/>
    </row>
    <row r="68" spans="1:55" s="12" customFormat="1" ht="21.75" customHeight="1">
      <c r="A68" s="219">
        <v>35</v>
      </c>
      <c r="B68" s="222" t="s">
        <v>594</v>
      </c>
      <c r="C68" s="361">
        <f>+'Asset Classification'!C68</f>
        <v>1247399087</v>
      </c>
      <c r="D68" s="362">
        <f>+'Asset Classification'!D68</f>
        <v>355997035</v>
      </c>
      <c r="E68" s="363">
        <f>+'Asset Classification'!E68</f>
        <v>1103227003</v>
      </c>
      <c r="F68" s="362">
        <f>+'Asset Classification'!F68</f>
        <v>324471550</v>
      </c>
      <c r="G68" s="363">
        <f>+'Asset Classification'!G68</f>
        <v>7174425</v>
      </c>
      <c r="H68" s="362">
        <f t="shared" si="109"/>
        <v>11032270.029999999</v>
      </c>
      <c r="I68" s="362">
        <f t="shared" si="110"/>
        <v>-3857845.0299999993</v>
      </c>
      <c r="J68" s="363">
        <f>+'Asset Classification'!I68</f>
        <v>75505347</v>
      </c>
      <c r="K68" s="362">
        <f>+'Asset Classification'!J68</f>
        <v>21100355</v>
      </c>
      <c r="L68" s="363">
        <f>+'Asset Classification'!K68</f>
        <v>551527</v>
      </c>
      <c r="M68" s="362">
        <f t="shared" si="111"/>
        <v>7550534.7000000002</v>
      </c>
      <c r="N68" s="362">
        <f t="shared" si="112"/>
        <v>-6999007.7000000002</v>
      </c>
      <c r="O68" s="362">
        <f>+'Asset Classification'!L68</f>
        <v>0</v>
      </c>
      <c r="P68" s="362">
        <f t="shared" si="113"/>
        <v>2110035.5</v>
      </c>
      <c r="Q68" s="362">
        <f t="shared" si="114"/>
        <v>-2110035.5</v>
      </c>
      <c r="R68" s="363">
        <f>+'Asset Classification'!M68</f>
        <v>17980630</v>
      </c>
      <c r="S68" s="362">
        <f>+'Asset Classification'!N68</f>
        <v>0</v>
      </c>
      <c r="T68" s="363">
        <f>+'Asset Classification'!O68</f>
        <v>139812</v>
      </c>
      <c r="U68" s="362">
        <f t="shared" si="115"/>
        <v>4495157.5</v>
      </c>
      <c r="V68" s="362">
        <f t="shared" si="116"/>
        <v>-4355345.5</v>
      </c>
      <c r="W68" s="362">
        <f>+'Asset Classification'!P68</f>
        <v>0</v>
      </c>
      <c r="X68" s="362">
        <f t="shared" si="117"/>
        <v>0</v>
      </c>
      <c r="Y68" s="362">
        <f t="shared" si="118"/>
        <v>0</v>
      </c>
      <c r="Z68" s="363">
        <f>+'Asset Classification'!Q68</f>
        <v>20000573</v>
      </c>
      <c r="AA68" s="362">
        <f>+'Asset Classification'!R68</f>
        <v>5621541</v>
      </c>
      <c r="AB68" s="363">
        <f>+'Asset Classification'!S68</f>
        <v>2848728</v>
      </c>
      <c r="AC68" s="362">
        <f t="shared" si="119"/>
        <v>10000286.5</v>
      </c>
      <c r="AD68" s="362">
        <f t="shared" si="120"/>
        <v>-7151558.5</v>
      </c>
      <c r="AE68" s="362">
        <f>+'Asset Classification'!T68</f>
        <v>1688089</v>
      </c>
      <c r="AF68" s="362">
        <f t="shared" si="121"/>
        <v>2810770.5</v>
      </c>
      <c r="AG68" s="362">
        <f t="shared" si="122"/>
        <v>-1122681.5</v>
      </c>
      <c r="AH68" s="363">
        <f>+'Asset Classification'!U68</f>
        <v>30685534</v>
      </c>
      <c r="AI68" s="362">
        <f>+'Asset Classification'!V68</f>
        <v>4803589</v>
      </c>
      <c r="AJ68" s="363">
        <f>+'Asset Classification'!W68</f>
        <v>3395227</v>
      </c>
      <c r="AK68" s="362">
        <f t="shared" si="123"/>
        <v>30685534</v>
      </c>
      <c r="AL68" s="362">
        <f t="shared" si="124"/>
        <v>-27290307</v>
      </c>
      <c r="AM68" s="362">
        <f>+'Asset Classification'!X68</f>
        <v>1082280</v>
      </c>
      <c r="AN68" s="362">
        <f t="shared" si="125"/>
        <v>4803589</v>
      </c>
      <c r="AO68" s="362">
        <f t="shared" si="126"/>
        <v>-3721309</v>
      </c>
      <c r="AP68" s="357">
        <f t="shared" si="127"/>
        <v>6935294</v>
      </c>
      <c r="AQ68" s="357">
        <f t="shared" si="127"/>
        <v>52731512.700000003</v>
      </c>
      <c r="AR68" s="357">
        <f t="shared" si="128"/>
        <v>-45796218.700000003</v>
      </c>
      <c r="AS68" s="362">
        <f t="shared" si="129"/>
        <v>2770369</v>
      </c>
      <c r="AT68" s="362">
        <f t="shared" si="129"/>
        <v>9724395</v>
      </c>
      <c r="AU68" s="362">
        <f t="shared" si="130"/>
        <v>-6954026</v>
      </c>
      <c r="AV68" s="130"/>
      <c r="AW68" s="130"/>
      <c r="AX68" s="130"/>
      <c r="AY68" s="130"/>
      <c r="AZ68" s="130"/>
      <c r="BA68" s="130"/>
      <c r="BB68" s="130"/>
      <c r="BC68" s="130"/>
    </row>
    <row r="69" spans="1:55" s="12" customFormat="1" ht="21.75" customHeight="1">
      <c r="A69" s="219">
        <v>36</v>
      </c>
      <c r="B69" s="222" t="s">
        <v>595</v>
      </c>
      <c r="C69" s="361">
        <f>+'Asset Classification'!C69</f>
        <v>1245140170</v>
      </c>
      <c r="D69" s="362">
        <f>+'Asset Classification'!D69</f>
        <v>351414604</v>
      </c>
      <c r="E69" s="363">
        <f>+'Asset Classification'!E69</f>
        <v>1061501270</v>
      </c>
      <c r="F69" s="362">
        <f>+'Asset Classification'!F69</f>
        <v>351404087</v>
      </c>
      <c r="G69" s="363">
        <f>+'Asset Classification'!G69</f>
        <v>8034542</v>
      </c>
      <c r="H69" s="362">
        <f t="shared" si="109"/>
        <v>10615012.700000001</v>
      </c>
      <c r="I69" s="362">
        <f t="shared" si="110"/>
        <v>-2580470.7000000011</v>
      </c>
      <c r="J69" s="363">
        <f>+'Asset Classification'!I69</f>
        <v>123644907</v>
      </c>
      <c r="K69" s="362">
        <f>+'Asset Classification'!J69</f>
        <v>0</v>
      </c>
      <c r="L69" s="363">
        <f>+'Asset Classification'!K69</f>
        <v>681644</v>
      </c>
      <c r="M69" s="362">
        <f t="shared" si="111"/>
        <v>12364490.700000001</v>
      </c>
      <c r="N69" s="362">
        <f t="shared" si="112"/>
        <v>-11682846.700000001</v>
      </c>
      <c r="O69" s="362">
        <f>+'Asset Classification'!L69</f>
        <v>0</v>
      </c>
      <c r="P69" s="362">
        <f t="shared" si="113"/>
        <v>0</v>
      </c>
      <c r="Q69" s="362">
        <f t="shared" si="114"/>
        <v>0</v>
      </c>
      <c r="R69" s="363">
        <f>+'Asset Classification'!M69</f>
        <v>21339861</v>
      </c>
      <c r="S69" s="362">
        <f>+'Asset Classification'!N69</f>
        <v>0</v>
      </c>
      <c r="T69" s="363">
        <f>+'Asset Classification'!O69</f>
        <v>204245</v>
      </c>
      <c r="U69" s="362">
        <f t="shared" si="115"/>
        <v>5334965.25</v>
      </c>
      <c r="V69" s="362">
        <f t="shared" si="116"/>
        <v>-5130720.25</v>
      </c>
      <c r="W69" s="362">
        <f>+'Asset Classification'!P69</f>
        <v>0</v>
      </c>
      <c r="X69" s="362">
        <f t="shared" si="117"/>
        <v>0</v>
      </c>
      <c r="Y69" s="362">
        <f t="shared" si="118"/>
        <v>0</v>
      </c>
      <c r="Z69" s="363">
        <f>+'Asset Classification'!Q69</f>
        <v>19303338</v>
      </c>
      <c r="AA69" s="362">
        <f>+'Asset Classification'!R69</f>
        <v>10517</v>
      </c>
      <c r="AB69" s="363">
        <f>+'Asset Classification'!S69</f>
        <v>2441103</v>
      </c>
      <c r="AC69" s="362">
        <f t="shared" si="119"/>
        <v>9651669</v>
      </c>
      <c r="AD69" s="362">
        <f t="shared" si="120"/>
        <v>-7210566</v>
      </c>
      <c r="AE69" s="362">
        <f>+'Asset Classification'!T69</f>
        <v>0</v>
      </c>
      <c r="AF69" s="362">
        <f t="shared" si="121"/>
        <v>5258.5</v>
      </c>
      <c r="AG69" s="362">
        <f t="shared" si="122"/>
        <v>-5258.5</v>
      </c>
      <c r="AH69" s="363">
        <f>+'Asset Classification'!U69</f>
        <v>19350794</v>
      </c>
      <c r="AI69" s="362">
        <f>+'Asset Classification'!V69</f>
        <v>0</v>
      </c>
      <c r="AJ69" s="363">
        <f>+'Asset Classification'!W69</f>
        <v>4574693</v>
      </c>
      <c r="AK69" s="362">
        <f t="shared" si="123"/>
        <v>19350794</v>
      </c>
      <c r="AL69" s="362">
        <f t="shared" si="124"/>
        <v>-14776101</v>
      </c>
      <c r="AM69" s="362">
        <f>+'Asset Classification'!X69</f>
        <v>0</v>
      </c>
      <c r="AN69" s="362">
        <f t="shared" si="125"/>
        <v>0</v>
      </c>
      <c r="AO69" s="362">
        <f t="shared" si="126"/>
        <v>0</v>
      </c>
      <c r="AP69" s="357">
        <f t="shared" si="127"/>
        <v>7901685</v>
      </c>
      <c r="AQ69" s="357">
        <f t="shared" si="127"/>
        <v>46701918.950000003</v>
      </c>
      <c r="AR69" s="357">
        <f t="shared" si="128"/>
        <v>-38800233.950000003</v>
      </c>
      <c r="AS69" s="362">
        <f t="shared" si="129"/>
        <v>0</v>
      </c>
      <c r="AT69" s="362">
        <f t="shared" si="129"/>
        <v>5258.5</v>
      </c>
      <c r="AU69" s="362">
        <f t="shared" si="130"/>
        <v>-5258.5</v>
      </c>
      <c r="AV69" s="130"/>
      <c r="AW69" s="130"/>
      <c r="AX69" s="130"/>
      <c r="AY69" s="130"/>
      <c r="AZ69" s="130"/>
      <c r="BA69" s="130"/>
      <c r="BB69" s="130"/>
      <c r="BC69" s="130"/>
    </row>
    <row r="70" spans="1:55" s="12" customFormat="1" ht="21.75" customHeight="1">
      <c r="A70" s="219">
        <v>37</v>
      </c>
      <c r="B70" s="222" t="s">
        <v>596</v>
      </c>
      <c r="C70" s="361">
        <f>+'Asset Classification'!C70</f>
        <v>1115554526</v>
      </c>
      <c r="D70" s="362">
        <f>+'Asset Classification'!D70</f>
        <v>67106978</v>
      </c>
      <c r="E70" s="363">
        <f>+'Asset Classification'!E70</f>
        <v>974052170</v>
      </c>
      <c r="F70" s="362">
        <f>+'Asset Classification'!F70</f>
        <v>44973900</v>
      </c>
      <c r="G70" s="363">
        <f>+'Asset Classification'!G70</f>
        <v>9628837</v>
      </c>
      <c r="H70" s="362">
        <f t="shared" si="109"/>
        <v>9740521.7000000011</v>
      </c>
      <c r="I70" s="362">
        <f t="shared" si="110"/>
        <v>-111684.70000000112</v>
      </c>
      <c r="J70" s="363">
        <f>+'Asset Classification'!I70</f>
        <v>78069195</v>
      </c>
      <c r="K70" s="362">
        <f>+'Asset Classification'!J70</f>
        <v>11048640</v>
      </c>
      <c r="L70" s="363">
        <f>+'Asset Classification'!K70</f>
        <v>514210</v>
      </c>
      <c r="M70" s="362">
        <f t="shared" si="111"/>
        <v>7806919.5</v>
      </c>
      <c r="N70" s="362">
        <f t="shared" si="112"/>
        <v>-7292709.5</v>
      </c>
      <c r="O70" s="362">
        <f>+'Asset Classification'!L70</f>
        <v>0</v>
      </c>
      <c r="P70" s="362">
        <f t="shared" si="113"/>
        <v>1104864</v>
      </c>
      <c r="Q70" s="362">
        <f t="shared" si="114"/>
        <v>-1104864</v>
      </c>
      <c r="R70" s="363">
        <f>+'Asset Classification'!M70</f>
        <v>21966757</v>
      </c>
      <c r="S70" s="362">
        <f>+'Asset Classification'!N70</f>
        <v>8658212</v>
      </c>
      <c r="T70" s="363">
        <f>+'Asset Classification'!O70</f>
        <v>286864</v>
      </c>
      <c r="U70" s="362">
        <f t="shared" si="115"/>
        <v>5491689.25</v>
      </c>
      <c r="V70" s="362">
        <f t="shared" si="116"/>
        <v>-5204825.25</v>
      </c>
      <c r="W70" s="362">
        <f>+'Asset Classification'!P70</f>
        <v>0</v>
      </c>
      <c r="X70" s="362">
        <f t="shared" si="117"/>
        <v>2164553</v>
      </c>
      <c r="Y70" s="362">
        <f t="shared" si="118"/>
        <v>-2164553</v>
      </c>
      <c r="Z70" s="363">
        <f>+'Asset Classification'!Q70</f>
        <v>31793171</v>
      </c>
      <c r="AA70" s="362">
        <f>+'Asset Classification'!R70</f>
        <v>2426226</v>
      </c>
      <c r="AB70" s="363">
        <f>+'Asset Classification'!S70</f>
        <v>5773471</v>
      </c>
      <c r="AC70" s="362">
        <f t="shared" si="119"/>
        <v>15896585.5</v>
      </c>
      <c r="AD70" s="362">
        <f t="shared" si="120"/>
        <v>-10123114.5</v>
      </c>
      <c r="AE70" s="362">
        <f>+'Asset Classification'!T70</f>
        <v>909905</v>
      </c>
      <c r="AF70" s="362">
        <f t="shared" si="121"/>
        <v>1213113</v>
      </c>
      <c r="AG70" s="362">
        <f t="shared" si="122"/>
        <v>-303208</v>
      </c>
      <c r="AH70" s="363">
        <f>+'Asset Classification'!U70</f>
        <v>9673233</v>
      </c>
      <c r="AI70" s="362">
        <f>+'Asset Classification'!V70</f>
        <v>0</v>
      </c>
      <c r="AJ70" s="363">
        <f>+'Asset Classification'!W70</f>
        <v>1723797</v>
      </c>
      <c r="AK70" s="362">
        <f t="shared" si="123"/>
        <v>9673233</v>
      </c>
      <c r="AL70" s="362">
        <f t="shared" si="124"/>
        <v>-7949436</v>
      </c>
      <c r="AM70" s="362">
        <f>+'Asset Classification'!X70</f>
        <v>0</v>
      </c>
      <c r="AN70" s="362">
        <f t="shared" si="125"/>
        <v>0</v>
      </c>
      <c r="AO70" s="362">
        <f t="shared" si="126"/>
        <v>0</v>
      </c>
      <c r="AP70" s="357">
        <f t="shared" si="127"/>
        <v>8298342</v>
      </c>
      <c r="AQ70" s="357">
        <f t="shared" si="127"/>
        <v>38868427.25</v>
      </c>
      <c r="AR70" s="357">
        <f t="shared" si="128"/>
        <v>-30570085.25</v>
      </c>
      <c r="AS70" s="362">
        <f t="shared" si="129"/>
        <v>909905</v>
      </c>
      <c r="AT70" s="362">
        <f t="shared" si="129"/>
        <v>4482530</v>
      </c>
      <c r="AU70" s="362">
        <f t="shared" si="130"/>
        <v>-3572625</v>
      </c>
      <c r="AV70" s="130"/>
      <c r="AW70" s="130"/>
      <c r="AX70" s="130"/>
      <c r="AY70" s="130"/>
      <c r="AZ70" s="130"/>
      <c r="BA70" s="130"/>
      <c r="BB70" s="130"/>
      <c r="BC70" s="130"/>
    </row>
    <row r="71" spans="1:55" s="348" customFormat="1" ht="28.5" customHeight="1">
      <c r="A71" s="347">
        <v>38</v>
      </c>
      <c r="B71" s="347" t="s">
        <v>580</v>
      </c>
      <c r="C71" s="358">
        <f>+'Asset Classification'!C71</f>
        <v>20277891345</v>
      </c>
      <c r="D71" s="358">
        <f>+'Asset Classification'!D71</f>
        <v>3737998947</v>
      </c>
      <c r="E71" s="358">
        <f>+'Asset Classification'!E71</f>
        <v>17551658885</v>
      </c>
      <c r="F71" s="358">
        <f>+'Asset Classification'!F71</f>
        <v>3307279618</v>
      </c>
      <c r="G71" s="358">
        <f>+'Asset Classification'!G71</f>
        <v>123374035</v>
      </c>
      <c r="H71" s="358">
        <f t="shared" ref="H71:I71" si="131">SUM(H57:H70)</f>
        <v>175516588.84999999</v>
      </c>
      <c r="I71" s="358">
        <f t="shared" si="131"/>
        <v>-52142553.850000009</v>
      </c>
      <c r="J71" s="358">
        <f>+'Asset Classification'!I71</f>
        <v>1832228607</v>
      </c>
      <c r="K71" s="358">
        <f>+'Asset Classification'!J71</f>
        <v>328023424</v>
      </c>
      <c r="L71" s="358">
        <f>+'Asset Classification'!K71</f>
        <v>21612533</v>
      </c>
      <c r="M71" s="358">
        <f t="shared" ref="M71:N71" si="132">SUM(M57:M70)</f>
        <v>183222860.69999999</v>
      </c>
      <c r="N71" s="358">
        <f t="shared" si="132"/>
        <v>-161610327.69999999</v>
      </c>
      <c r="O71" s="358">
        <f>+'Asset Classification'!L71</f>
        <v>4608229</v>
      </c>
      <c r="P71" s="358">
        <f t="shared" ref="P71:Q71" si="133">SUM(P57:P70)</f>
        <v>32802342.399999999</v>
      </c>
      <c r="Q71" s="358">
        <f t="shared" si="133"/>
        <v>-28194113.399999999</v>
      </c>
      <c r="R71" s="358">
        <f>+'Asset Classification'!M71</f>
        <v>254152148</v>
      </c>
      <c r="S71" s="358">
        <f>+'Asset Classification'!N71</f>
        <v>15974198</v>
      </c>
      <c r="T71" s="358">
        <f>+'Asset Classification'!O71</f>
        <v>2666899</v>
      </c>
      <c r="U71" s="358">
        <f t="shared" ref="U71:Y71" si="134">SUM(U57:U70)</f>
        <v>63538037</v>
      </c>
      <c r="V71" s="358">
        <f t="shared" si="134"/>
        <v>-60871138</v>
      </c>
      <c r="W71" s="358">
        <f>+'Asset Classification'!P71</f>
        <v>0</v>
      </c>
      <c r="X71" s="358">
        <f t="shared" si="134"/>
        <v>3993549.5</v>
      </c>
      <c r="Y71" s="358">
        <f t="shared" si="134"/>
        <v>-3993549.5</v>
      </c>
      <c r="Z71" s="358">
        <f>+'Asset Classification'!Q71</f>
        <v>373965402</v>
      </c>
      <c r="AA71" s="358">
        <f>+'Asset Classification'!R71</f>
        <v>73657201</v>
      </c>
      <c r="AB71" s="358">
        <f>+'Asset Classification'!S71</f>
        <v>47165627</v>
      </c>
      <c r="AC71" s="358">
        <f t="shared" ref="AC71:AD71" si="135">SUM(AC57:AC70)</f>
        <v>186982701</v>
      </c>
      <c r="AD71" s="358">
        <f t="shared" si="135"/>
        <v>-139817074</v>
      </c>
      <c r="AE71" s="358">
        <f>+'Asset Classification'!T71</f>
        <v>14152805</v>
      </c>
      <c r="AF71" s="358">
        <f t="shared" ref="AF71:AG71" si="136">SUM(AF57:AF70)</f>
        <v>36828600.5</v>
      </c>
      <c r="AG71" s="358">
        <f t="shared" si="136"/>
        <v>-22675795.5</v>
      </c>
      <c r="AH71" s="358">
        <f>+'Asset Classification'!U71</f>
        <v>265886303</v>
      </c>
      <c r="AI71" s="358">
        <f>+'Asset Classification'!V71</f>
        <v>13064506</v>
      </c>
      <c r="AJ71" s="358">
        <f>+'Asset Classification'!W71</f>
        <v>56251553</v>
      </c>
      <c r="AK71" s="358">
        <f t="shared" ref="AK71:AL71" si="137">SUM(AK57:AK70)</f>
        <v>265886303</v>
      </c>
      <c r="AL71" s="358">
        <f t="shared" si="137"/>
        <v>-209634750</v>
      </c>
      <c r="AM71" s="358">
        <f>+'Asset Classification'!X71</f>
        <v>4949126</v>
      </c>
      <c r="AN71" s="358">
        <f t="shared" ref="AN71:AU71" si="138">SUM(AN57:AN70)</f>
        <v>13064506</v>
      </c>
      <c r="AO71" s="358">
        <f t="shared" si="138"/>
        <v>-8115380</v>
      </c>
      <c r="AP71" s="358">
        <f t="shared" si="138"/>
        <v>127696612</v>
      </c>
      <c r="AQ71" s="358">
        <f t="shared" si="138"/>
        <v>699629901.70000005</v>
      </c>
      <c r="AR71" s="358">
        <f t="shared" si="138"/>
        <v>-571933289.69999993</v>
      </c>
      <c r="AS71" s="358">
        <f t="shared" si="138"/>
        <v>23710160</v>
      </c>
      <c r="AT71" s="358">
        <f t="shared" si="138"/>
        <v>86688998.400000006</v>
      </c>
      <c r="AU71" s="358">
        <f t="shared" si="138"/>
        <v>-62978838.400000006</v>
      </c>
      <c r="AV71" s="364">
        <f>+'Loans Receivable'!C85</f>
        <v>20277891345</v>
      </c>
    </row>
    <row r="72" spans="1:55" s="12" customFormat="1" ht="21.75" customHeight="1">
      <c r="A72" s="219">
        <v>39</v>
      </c>
      <c r="B72" s="222" t="s">
        <v>597</v>
      </c>
      <c r="C72" s="361">
        <f>+'Asset Classification'!C72</f>
        <v>10886550357</v>
      </c>
      <c r="D72" s="362">
        <f>+'Asset Classification'!D72</f>
        <v>0</v>
      </c>
      <c r="E72" s="363">
        <f>+'Asset Classification'!E72</f>
        <v>9644268939</v>
      </c>
      <c r="F72" s="362">
        <f>+'Asset Classification'!F72</f>
        <v>0</v>
      </c>
      <c r="G72" s="363">
        <f>+'Asset Classification'!G72</f>
        <v>0</v>
      </c>
      <c r="H72" s="362">
        <f t="shared" ref="H72:H73" si="139">+E72*1%</f>
        <v>96442689.390000001</v>
      </c>
      <c r="I72" s="362">
        <f t="shared" ref="I72:I73" si="140">+G72-H72</f>
        <v>-96442689.390000001</v>
      </c>
      <c r="J72" s="363">
        <f>+'Asset Classification'!I72</f>
        <v>226153577</v>
      </c>
      <c r="K72" s="362">
        <f>+'Asset Classification'!J72</f>
        <v>0</v>
      </c>
      <c r="L72" s="363">
        <f>+'Asset Classification'!K72</f>
        <v>16503297</v>
      </c>
      <c r="M72" s="362">
        <f t="shared" ref="M72:M73" si="141">+J72*10%</f>
        <v>22615357.700000003</v>
      </c>
      <c r="N72" s="362">
        <f t="shared" ref="N72:N73" si="142">+L72-M72</f>
        <v>-6112060.700000003</v>
      </c>
      <c r="O72" s="362">
        <f>+'Asset Classification'!L72</f>
        <v>0</v>
      </c>
      <c r="P72" s="362">
        <f t="shared" ref="P72:P73" si="143">+K72*10%</f>
        <v>0</v>
      </c>
      <c r="Q72" s="362">
        <f t="shared" ref="Q72:Q73" si="144">+O72-P72</f>
        <v>0</v>
      </c>
      <c r="R72" s="363">
        <f>+'Asset Classification'!M72</f>
        <v>84482293</v>
      </c>
      <c r="S72" s="362">
        <f>+'Asset Classification'!N72</f>
        <v>0</v>
      </c>
      <c r="T72" s="363">
        <f>+'Asset Classification'!O72</f>
        <v>36801</v>
      </c>
      <c r="U72" s="362">
        <f t="shared" ref="U72:U73" si="145">+R72*25%</f>
        <v>21120573.25</v>
      </c>
      <c r="V72" s="362">
        <f t="shared" ref="V72:V73" si="146">+T72-U72</f>
        <v>-21083772.25</v>
      </c>
      <c r="W72" s="362">
        <f>+'Asset Classification'!P72</f>
        <v>0</v>
      </c>
      <c r="X72" s="362">
        <f t="shared" ref="X72:X73" si="147">+S72*25%</f>
        <v>0</v>
      </c>
      <c r="Y72" s="362">
        <f t="shared" ref="Y72:Y73" si="148">+W72-X72</f>
        <v>0</v>
      </c>
      <c r="Z72" s="363">
        <f>+'Asset Classification'!Q72</f>
        <v>394787123</v>
      </c>
      <c r="AA72" s="362">
        <f>+'Asset Classification'!R72</f>
        <v>0</v>
      </c>
      <c r="AB72" s="363">
        <f>+'Asset Classification'!S72</f>
        <v>4392331</v>
      </c>
      <c r="AC72" s="362">
        <f t="shared" ref="AC72:AC73" si="149">+Z72*50%</f>
        <v>197393561.5</v>
      </c>
      <c r="AD72" s="362">
        <f t="shared" ref="AD72:AD73" si="150">+AB72-AC72</f>
        <v>-193001230.5</v>
      </c>
      <c r="AE72" s="362">
        <f>+'Asset Classification'!T72</f>
        <v>0</v>
      </c>
      <c r="AF72" s="362">
        <f t="shared" ref="AF72:AF73" si="151">+AA72*50%</f>
        <v>0</v>
      </c>
      <c r="AG72" s="362">
        <f t="shared" ref="AG72:AG73" si="152">+AE72-AF72</f>
        <v>0</v>
      </c>
      <c r="AH72" s="363">
        <f>+'Asset Classification'!U72</f>
        <v>536858425</v>
      </c>
      <c r="AI72" s="362">
        <f>+'Asset Classification'!V72</f>
        <v>0</v>
      </c>
      <c r="AJ72" s="363">
        <f>+'Asset Classification'!W72</f>
        <v>40277411</v>
      </c>
      <c r="AK72" s="362">
        <f t="shared" ref="AK72:AK73" si="153">+AH72*100%</f>
        <v>536858425</v>
      </c>
      <c r="AL72" s="362">
        <f t="shared" ref="AL72:AL73" si="154">+AJ72-AK72</f>
        <v>-496581014</v>
      </c>
      <c r="AM72" s="362">
        <f>+'Asset Classification'!X72</f>
        <v>0</v>
      </c>
      <c r="AN72" s="362">
        <f t="shared" ref="AN72:AN73" si="155">+AI72*100%</f>
        <v>0</v>
      </c>
      <c r="AO72" s="362">
        <f t="shared" ref="AO72:AO73" si="156">+AM72-AN72</f>
        <v>0</v>
      </c>
      <c r="AP72" s="357">
        <f t="shared" ref="AP72:AP73" si="157">+L72+T72+AB72+AJ72</f>
        <v>61209840</v>
      </c>
      <c r="AQ72" s="357">
        <f t="shared" ref="AQ72:AQ73" si="158">+M72+U72+AC72+AK72</f>
        <v>777987917.45000005</v>
      </c>
      <c r="AR72" s="357">
        <f t="shared" ref="AR72:AR73" si="159">+AP72-AQ72</f>
        <v>-716778077.45000005</v>
      </c>
      <c r="AS72" s="362">
        <f t="shared" ref="AS72:AS73" si="160">+O72+W72+AE72+AM72</f>
        <v>0</v>
      </c>
      <c r="AT72" s="362">
        <f t="shared" ref="AT72:AT73" si="161">+P72+X72+AF72+AN72</f>
        <v>0</v>
      </c>
      <c r="AU72" s="362">
        <f t="shared" ref="AU72:AU73" si="162">+AS72-AT72</f>
        <v>0</v>
      </c>
      <c r="AV72" s="130"/>
      <c r="AW72" s="130"/>
      <c r="AX72" s="130"/>
      <c r="AY72" s="130"/>
      <c r="AZ72" s="130"/>
      <c r="BA72" s="130"/>
      <c r="BB72" s="130"/>
      <c r="BC72" s="130"/>
    </row>
    <row r="73" spans="1:55" s="12" customFormat="1" ht="21.75" customHeight="1">
      <c r="A73" s="219"/>
      <c r="B73" s="222" t="s">
        <v>572</v>
      </c>
      <c r="C73" s="361">
        <f>+'Asset Classification'!C73</f>
        <v>0</v>
      </c>
      <c r="D73" s="362">
        <f>+'Asset Classification'!D73</f>
        <v>0</v>
      </c>
      <c r="E73" s="363">
        <f>+'Asset Classification'!E73</f>
        <v>0</v>
      </c>
      <c r="F73" s="362">
        <f>+'Asset Classification'!F73</f>
        <v>0</v>
      </c>
      <c r="G73" s="363">
        <f>+'Asset Classification'!G73</f>
        <v>0</v>
      </c>
      <c r="H73" s="362">
        <f t="shared" si="139"/>
        <v>0</v>
      </c>
      <c r="I73" s="362">
        <f t="shared" si="140"/>
        <v>0</v>
      </c>
      <c r="J73" s="363">
        <f>+'Asset Classification'!I73</f>
        <v>0</v>
      </c>
      <c r="K73" s="362">
        <f>+'Asset Classification'!J73</f>
        <v>0</v>
      </c>
      <c r="L73" s="363">
        <f>+'Asset Classification'!K73</f>
        <v>0</v>
      </c>
      <c r="M73" s="362">
        <f t="shared" si="141"/>
        <v>0</v>
      </c>
      <c r="N73" s="362">
        <f t="shared" si="142"/>
        <v>0</v>
      </c>
      <c r="O73" s="362">
        <f>+'Asset Classification'!L73</f>
        <v>0</v>
      </c>
      <c r="P73" s="362">
        <f t="shared" si="143"/>
        <v>0</v>
      </c>
      <c r="Q73" s="362">
        <f t="shared" si="144"/>
        <v>0</v>
      </c>
      <c r="R73" s="363">
        <f>+'Asset Classification'!M73</f>
        <v>0</v>
      </c>
      <c r="S73" s="362">
        <f>+'Asset Classification'!N73</f>
        <v>0</v>
      </c>
      <c r="T73" s="363">
        <f>+'Asset Classification'!O73</f>
        <v>0</v>
      </c>
      <c r="U73" s="362">
        <f t="shared" si="145"/>
        <v>0</v>
      </c>
      <c r="V73" s="362">
        <f t="shared" si="146"/>
        <v>0</v>
      </c>
      <c r="W73" s="362">
        <f>+'Asset Classification'!P73</f>
        <v>0</v>
      </c>
      <c r="X73" s="362">
        <f t="shared" si="147"/>
        <v>0</v>
      </c>
      <c r="Y73" s="362">
        <f t="shared" si="148"/>
        <v>0</v>
      </c>
      <c r="Z73" s="363">
        <f>+'Asset Classification'!Q73</f>
        <v>0</v>
      </c>
      <c r="AA73" s="362">
        <f>+'Asset Classification'!R73</f>
        <v>0</v>
      </c>
      <c r="AB73" s="363">
        <f>+'Asset Classification'!S73</f>
        <v>0</v>
      </c>
      <c r="AC73" s="362">
        <f t="shared" si="149"/>
        <v>0</v>
      </c>
      <c r="AD73" s="362">
        <f t="shared" si="150"/>
        <v>0</v>
      </c>
      <c r="AE73" s="362">
        <f>+'Asset Classification'!T73</f>
        <v>0</v>
      </c>
      <c r="AF73" s="362">
        <f t="shared" si="151"/>
        <v>0</v>
      </c>
      <c r="AG73" s="362">
        <f t="shared" si="152"/>
        <v>0</v>
      </c>
      <c r="AH73" s="363">
        <f>+'Asset Classification'!U73</f>
        <v>0</v>
      </c>
      <c r="AI73" s="362">
        <f>+'Asset Classification'!V73</f>
        <v>0</v>
      </c>
      <c r="AJ73" s="363">
        <f>+'Asset Classification'!W73</f>
        <v>0</v>
      </c>
      <c r="AK73" s="362">
        <f t="shared" si="153"/>
        <v>0</v>
      </c>
      <c r="AL73" s="362">
        <f t="shared" si="154"/>
        <v>0</v>
      </c>
      <c r="AM73" s="362">
        <f>+'Asset Classification'!X73</f>
        <v>0</v>
      </c>
      <c r="AN73" s="362">
        <f t="shared" si="155"/>
        <v>0</v>
      </c>
      <c r="AO73" s="362">
        <f t="shared" si="156"/>
        <v>0</v>
      </c>
      <c r="AP73" s="357">
        <f t="shared" si="157"/>
        <v>0</v>
      </c>
      <c r="AQ73" s="357">
        <f t="shared" si="158"/>
        <v>0</v>
      </c>
      <c r="AR73" s="357">
        <f t="shared" si="159"/>
        <v>0</v>
      </c>
      <c r="AS73" s="362">
        <f t="shared" si="160"/>
        <v>0</v>
      </c>
      <c r="AT73" s="362">
        <f t="shared" si="161"/>
        <v>0</v>
      </c>
      <c r="AU73" s="362">
        <f t="shared" si="162"/>
        <v>0</v>
      </c>
      <c r="AV73" s="130"/>
      <c r="AW73" s="130"/>
      <c r="AX73" s="130"/>
      <c r="AY73" s="130"/>
      <c r="AZ73" s="130"/>
      <c r="BA73" s="130"/>
      <c r="BB73" s="130"/>
      <c r="BC73" s="130"/>
    </row>
    <row r="74" spans="1:55" s="348" customFormat="1" ht="28.5" customHeight="1">
      <c r="A74" s="347">
        <v>40</v>
      </c>
      <c r="B74" s="347" t="s">
        <v>598</v>
      </c>
      <c r="C74" s="358">
        <f t="shared" ref="C74:AU74" si="163">+C53+C72</f>
        <v>31164441702</v>
      </c>
      <c r="D74" s="358">
        <f t="shared" si="163"/>
        <v>3737998947</v>
      </c>
      <c r="E74" s="358">
        <f t="shared" si="163"/>
        <v>27195927824</v>
      </c>
      <c r="F74" s="358">
        <f t="shared" si="163"/>
        <v>3307279618</v>
      </c>
      <c r="G74" s="358">
        <f t="shared" si="163"/>
        <v>123374035</v>
      </c>
      <c r="H74" s="358">
        <f t="shared" si="163"/>
        <v>271959278.24000001</v>
      </c>
      <c r="I74" s="358">
        <f t="shared" si="163"/>
        <v>-148585243.24000001</v>
      </c>
      <c r="J74" s="358">
        <f t="shared" si="163"/>
        <v>2058382184</v>
      </c>
      <c r="K74" s="358">
        <f t="shared" si="163"/>
        <v>328023424</v>
      </c>
      <c r="L74" s="358">
        <f t="shared" si="163"/>
        <v>38115830</v>
      </c>
      <c r="M74" s="358">
        <f t="shared" si="163"/>
        <v>205838218.40000004</v>
      </c>
      <c r="N74" s="358">
        <f t="shared" si="163"/>
        <v>-167722388.39999998</v>
      </c>
      <c r="O74" s="358">
        <f t="shared" si="163"/>
        <v>4608229</v>
      </c>
      <c r="P74" s="358">
        <f t="shared" si="163"/>
        <v>32802342.400000002</v>
      </c>
      <c r="Q74" s="358">
        <f t="shared" si="163"/>
        <v>-28194113.400000002</v>
      </c>
      <c r="R74" s="358">
        <f t="shared" si="163"/>
        <v>338634441</v>
      </c>
      <c r="S74" s="358">
        <f t="shared" si="163"/>
        <v>15974198</v>
      </c>
      <c r="T74" s="358">
        <f t="shared" si="163"/>
        <v>2703700</v>
      </c>
      <c r="U74" s="358">
        <f t="shared" si="163"/>
        <v>84658610.25</v>
      </c>
      <c r="V74" s="358">
        <f t="shared" si="163"/>
        <v>-81954910.25</v>
      </c>
      <c r="W74" s="358">
        <f t="shared" si="163"/>
        <v>0</v>
      </c>
      <c r="X74" s="358">
        <f t="shared" si="163"/>
        <v>3993549.5</v>
      </c>
      <c r="Y74" s="358">
        <f t="shared" ref="Y74" si="164">+Y53+Y72</f>
        <v>-3993549.5</v>
      </c>
      <c r="Z74" s="358">
        <f t="shared" si="163"/>
        <v>768752525</v>
      </c>
      <c r="AA74" s="358">
        <f t="shared" si="163"/>
        <v>73657201</v>
      </c>
      <c r="AB74" s="358">
        <f t="shared" si="163"/>
        <v>51557958</v>
      </c>
      <c r="AC74" s="358">
        <f t="shared" si="163"/>
        <v>384376262.5</v>
      </c>
      <c r="AD74" s="358">
        <f t="shared" si="163"/>
        <v>-332818304.5</v>
      </c>
      <c r="AE74" s="358">
        <f t="shared" si="163"/>
        <v>14152805</v>
      </c>
      <c r="AF74" s="358">
        <f t="shared" si="163"/>
        <v>36828600.5</v>
      </c>
      <c r="AG74" s="358">
        <f t="shared" si="163"/>
        <v>-22675795.5</v>
      </c>
      <c r="AH74" s="358">
        <f t="shared" si="163"/>
        <v>802744728</v>
      </c>
      <c r="AI74" s="358">
        <f t="shared" si="163"/>
        <v>13064506</v>
      </c>
      <c r="AJ74" s="358">
        <f t="shared" si="163"/>
        <v>96528964</v>
      </c>
      <c r="AK74" s="358">
        <f t="shared" si="163"/>
        <v>802744728</v>
      </c>
      <c r="AL74" s="358">
        <f t="shared" si="163"/>
        <v>-706215764</v>
      </c>
      <c r="AM74" s="358">
        <f t="shared" si="163"/>
        <v>4949126</v>
      </c>
      <c r="AN74" s="358">
        <f t="shared" si="163"/>
        <v>13064506</v>
      </c>
      <c r="AO74" s="358">
        <f t="shared" si="163"/>
        <v>-8115380</v>
      </c>
      <c r="AP74" s="358">
        <f t="shared" si="163"/>
        <v>188906452</v>
      </c>
      <c r="AQ74" s="358">
        <f t="shared" si="163"/>
        <v>1477617819.1500001</v>
      </c>
      <c r="AR74" s="358">
        <f t="shared" si="163"/>
        <v>-1288711367.1500001</v>
      </c>
      <c r="AS74" s="358">
        <f t="shared" si="163"/>
        <v>23710160</v>
      </c>
      <c r="AT74" s="358">
        <f t="shared" si="163"/>
        <v>86688998.400000006</v>
      </c>
      <c r="AU74" s="358">
        <f t="shared" si="163"/>
        <v>-62978838.400000006</v>
      </c>
    </row>
    <row r="75" spans="1:55">
      <c r="C75" s="359">
        <f>+C31-C53</f>
        <v>0</v>
      </c>
      <c r="D75" s="359">
        <f>+D31-D53</f>
        <v>0</v>
      </c>
      <c r="E75" s="359">
        <f>+E31-E53</f>
        <v>0</v>
      </c>
      <c r="F75" s="359">
        <f t="shared" ref="F75:AU75" si="165">+F31-F53</f>
        <v>0</v>
      </c>
      <c r="G75" s="359">
        <f t="shared" si="165"/>
        <v>0</v>
      </c>
      <c r="H75" s="359">
        <f t="shared" si="165"/>
        <v>0</v>
      </c>
      <c r="I75" s="359"/>
      <c r="J75" s="359">
        <f t="shared" si="165"/>
        <v>0</v>
      </c>
      <c r="K75" s="359">
        <f t="shared" si="165"/>
        <v>0</v>
      </c>
      <c r="L75" s="359">
        <f t="shared" si="165"/>
        <v>0</v>
      </c>
      <c r="M75" s="359">
        <f t="shared" si="165"/>
        <v>0</v>
      </c>
      <c r="N75" s="359"/>
      <c r="O75" s="359">
        <f t="shared" si="165"/>
        <v>0</v>
      </c>
      <c r="P75" s="359">
        <f t="shared" si="165"/>
        <v>0</v>
      </c>
      <c r="Q75" s="359"/>
      <c r="R75" s="359">
        <f t="shared" si="165"/>
        <v>0</v>
      </c>
      <c r="S75" s="359">
        <f t="shared" si="165"/>
        <v>0</v>
      </c>
      <c r="T75" s="359">
        <f t="shared" si="165"/>
        <v>0</v>
      </c>
      <c r="U75" s="359">
        <f t="shared" si="165"/>
        <v>0</v>
      </c>
      <c r="V75" s="359"/>
      <c r="W75" s="359">
        <f t="shared" si="165"/>
        <v>0</v>
      </c>
      <c r="X75" s="359">
        <f t="shared" si="165"/>
        <v>0</v>
      </c>
      <c r="Y75" s="359"/>
      <c r="Z75" s="359">
        <f t="shared" si="165"/>
        <v>0</v>
      </c>
      <c r="AA75" s="359">
        <f t="shared" si="165"/>
        <v>0</v>
      </c>
      <c r="AB75" s="359">
        <f t="shared" si="165"/>
        <v>0</v>
      </c>
      <c r="AC75" s="359">
        <f t="shared" si="165"/>
        <v>0</v>
      </c>
      <c r="AD75" s="359"/>
      <c r="AE75" s="359">
        <f t="shared" si="165"/>
        <v>0</v>
      </c>
      <c r="AF75" s="359">
        <f t="shared" si="165"/>
        <v>0</v>
      </c>
      <c r="AG75" s="359"/>
      <c r="AH75" s="359">
        <f t="shared" si="165"/>
        <v>0</v>
      </c>
      <c r="AI75" s="359">
        <f t="shared" si="165"/>
        <v>0</v>
      </c>
      <c r="AJ75" s="359">
        <f t="shared" si="165"/>
        <v>0</v>
      </c>
      <c r="AK75" s="359">
        <f t="shared" si="165"/>
        <v>0</v>
      </c>
      <c r="AL75" s="359"/>
      <c r="AM75" s="359">
        <f t="shared" si="165"/>
        <v>0</v>
      </c>
      <c r="AN75" s="359">
        <f t="shared" si="165"/>
        <v>0</v>
      </c>
      <c r="AO75" s="359"/>
      <c r="AP75" s="359">
        <f t="shared" si="165"/>
        <v>0</v>
      </c>
      <c r="AQ75" s="359">
        <f t="shared" si="165"/>
        <v>0</v>
      </c>
      <c r="AR75" s="359">
        <f t="shared" si="165"/>
        <v>0</v>
      </c>
      <c r="AS75" s="359">
        <f t="shared" si="165"/>
        <v>0</v>
      </c>
      <c r="AT75" s="359">
        <f t="shared" si="165"/>
        <v>0</v>
      </c>
      <c r="AU75" s="359">
        <f t="shared" si="165"/>
        <v>0</v>
      </c>
    </row>
    <row r="76" spans="1:55" ht="15" customHeight="1">
      <c r="B76" s="98" t="s">
        <v>690</v>
      </c>
      <c r="C76" s="359">
        <f>+C31-C71</f>
        <v>0</v>
      </c>
      <c r="D76" s="359">
        <f>+D31-D71</f>
        <v>0</v>
      </c>
      <c r="E76" s="359">
        <f>+E31-E71</f>
        <v>0</v>
      </c>
      <c r="F76" s="359">
        <f t="shared" ref="F76:AU76" si="166">+F31-F71</f>
        <v>0</v>
      </c>
      <c r="G76" s="359">
        <f t="shared" si="166"/>
        <v>0</v>
      </c>
      <c r="H76" s="359">
        <f t="shared" si="166"/>
        <v>0</v>
      </c>
      <c r="I76" s="359"/>
      <c r="J76" s="359">
        <f t="shared" si="166"/>
        <v>0</v>
      </c>
      <c r="K76" s="359">
        <f t="shared" si="166"/>
        <v>0</v>
      </c>
      <c r="L76" s="359">
        <f t="shared" si="166"/>
        <v>0</v>
      </c>
      <c r="M76" s="359">
        <f t="shared" si="166"/>
        <v>0</v>
      </c>
      <c r="N76" s="359"/>
      <c r="O76" s="359">
        <f t="shared" si="166"/>
        <v>0</v>
      </c>
      <c r="P76" s="359">
        <f t="shared" si="166"/>
        <v>0</v>
      </c>
      <c r="Q76" s="359"/>
      <c r="R76" s="359">
        <f t="shared" si="166"/>
        <v>0</v>
      </c>
      <c r="S76" s="359">
        <f t="shared" si="166"/>
        <v>0</v>
      </c>
      <c r="T76" s="359">
        <f t="shared" si="166"/>
        <v>0</v>
      </c>
      <c r="U76" s="359">
        <f t="shared" si="166"/>
        <v>0</v>
      </c>
      <c r="V76" s="359"/>
      <c r="W76" s="359">
        <f t="shared" si="166"/>
        <v>0</v>
      </c>
      <c r="X76" s="359">
        <f t="shared" si="166"/>
        <v>0</v>
      </c>
      <c r="Y76" s="359"/>
      <c r="Z76" s="359">
        <f t="shared" si="166"/>
        <v>0</v>
      </c>
      <c r="AA76" s="359">
        <f t="shared" si="166"/>
        <v>0</v>
      </c>
      <c r="AB76" s="359">
        <f t="shared" si="166"/>
        <v>0</v>
      </c>
      <c r="AC76" s="359">
        <f t="shared" si="166"/>
        <v>0</v>
      </c>
      <c r="AD76" s="359"/>
      <c r="AE76" s="359">
        <f t="shared" si="166"/>
        <v>0</v>
      </c>
      <c r="AF76" s="359">
        <f t="shared" si="166"/>
        <v>0</v>
      </c>
      <c r="AG76" s="359"/>
      <c r="AH76" s="359">
        <f t="shared" si="166"/>
        <v>0</v>
      </c>
      <c r="AI76" s="359">
        <f t="shared" si="166"/>
        <v>0</v>
      </c>
      <c r="AJ76" s="359">
        <f t="shared" si="166"/>
        <v>0</v>
      </c>
      <c r="AK76" s="359">
        <f t="shared" si="166"/>
        <v>0</v>
      </c>
      <c r="AL76" s="359"/>
      <c r="AM76" s="359">
        <f t="shared" si="166"/>
        <v>0</v>
      </c>
      <c r="AN76" s="359">
        <f t="shared" si="166"/>
        <v>0</v>
      </c>
      <c r="AO76" s="359"/>
      <c r="AP76" s="359">
        <f t="shared" si="166"/>
        <v>0</v>
      </c>
      <c r="AQ76" s="359">
        <f t="shared" si="166"/>
        <v>0</v>
      </c>
      <c r="AR76" s="359">
        <f t="shared" si="166"/>
        <v>0</v>
      </c>
      <c r="AS76" s="359">
        <f t="shared" si="166"/>
        <v>0</v>
      </c>
      <c r="AT76" s="359">
        <f t="shared" si="166"/>
        <v>0</v>
      </c>
      <c r="AU76" s="359">
        <f t="shared" si="166"/>
        <v>0</v>
      </c>
      <c r="AV76" s="24"/>
      <c r="AW76" s="24"/>
      <c r="AX76" s="24"/>
      <c r="AY76" s="24"/>
      <c r="AZ76" s="24"/>
      <c r="BA76" s="24"/>
      <c r="BB76" s="24"/>
      <c r="BC76" s="24"/>
    </row>
    <row r="77" spans="1:55" ht="11.25" customHeight="1">
      <c r="B77" s="98"/>
      <c r="C77" s="360">
        <f>+C53-C71</f>
        <v>0</v>
      </c>
      <c r="D77" s="360">
        <f>+D53-D71</f>
        <v>0</v>
      </c>
      <c r="E77" s="360">
        <f>+E53-E71</f>
        <v>0</v>
      </c>
      <c r="F77" s="360">
        <f t="shared" ref="F77:AU77" si="167">+F53-F71</f>
        <v>0</v>
      </c>
      <c r="G77" s="360">
        <f t="shared" si="167"/>
        <v>0</v>
      </c>
      <c r="H77" s="360">
        <f t="shared" si="167"/>
        <v>0</v>
      </c>
      <c r="I77" s="360"/>
      <c r="J77" s="360">
        <f t="shared" si="167"/>
        <v>0</v>
      </c>
      <c r="K77" s="360">
        <f t="shared" si="167"/>
        <v>0</v>
      </c>
      <c r="L77" s="360">
        <f t="shared" si="167"/>
        <v>0</v>
      </c>
      <c r="M77" s="360">
        <f t="shared" si="167"/>
        <v>0</v>
      </c>
      <c r="N77" s="360"/>
      <c r="O77" s="360">
        <f t="shared" si="167"/>
        <v>0</v>
      </c>
      <c r="P77" s="360">
        <f t="shared" si="167"/>
        <v>0</v>
      </c>
      <c r="Q77" s="360"/>
      <c r="R77" s="360">
        <f t="shared" si="167"/>
        <v>0</v>
      </c>
      <c r="S77" s="360">
        <f t="shared" si="167"/>
        <v>0</v>
      </c>
      <c r="T77" s="360">
        <f t="shared" si="167"/>
        <v>0</v>
      </c>
      <c r="U77" s="360">
        <f t="shared" si="167"/>
        <v>0</v>
      </c>
      <c r="V77" s="360"/>
      <c r="W77" s="360">
        <f t="shared" si="167"/>
        <v>0</v>
      </c>
      <c r="X77" s="360">
        <f t="shared" si="167"/>
        <v>0</v>
      </c>
      <c r="Y77" s="360"/>
      <c r="Z77" s="360">
        <f t="shared" si="167"/>
        <v>0</v>
      </c>
      <c r="AA77" s="360">
        <f t="shared" si="167"/>
        <v>0</v>
      </c>
      <c r="AB77" s="360">
        <f t="shared" si="167"/>
        <v>0</v>
      </c>
      <c r="AC77" s="360">
        <f t="shared" si="167"/>
        <v>0</v>
      </c>
      <c r="AD77" s="360"/>
      <c r="AE77" s="360">
        <f t="shared" si="167"/>
        <v>0</v>
      </c>
      <c r="AF77" s="360">
        <f t="shared" si="167"/>
        <v>0</v>
      </c>
      <c r="AG77" s="360"/>
      <c r="AH77" s="360">
        <f t="shared" si="167"/>
        <v>0</v>
      </c>
      <c r="AI77" s="360">
        <f t="shared" si="167"/>
        <v>0</v>
      </c>
      <c r="AJ77" s="360">
        <f t="shared" si="167"/>
        <v>0</v>
      </c>
      <c r="AK77" s="360">
        <f t="shared" si="167"/>
        <v>0</v>
      </c>
      <c r="AL77" s="360"/>
      <c r="AM77" s="360">
        <f t="shared" si="167"/>
        <v>0</v>
      </c>
      <c r="AN77" s="360">
        <f t="shared" si="167"/>
        <v>0</v>
      </c>
      <c r="AO77" s="360"/>
      <c r="AP77" s="360">
        <f t="shared" si="167"/>
        <v>0</v>
      </c>
      <c r="AQ77" s="360">
        <f t="shared" si="167"/>
        <v>0</v>
      </c>
      <c r="AR77" s="360">
        <f t="shared" si="167"/>
        <v>0</v>
      </c>
      <c r="AS77" s="360">
        <f t="shared" si="167"/>
        <v>0</v>
      </c>
      <c r="AT77" s="360">
        <f t="shared" si="167"/>
        <v>0</v>
      </c>
      <c r="AU77" s="360">
        <f t="shared" si="167"/>
        <v>0</v>
      </c>
      <c r="AV77" s="24"/>
      <c r="AW77" s="24"/>
      <c r="AX77" s="24"/>
      <c r="AY77" s="24"/>
      <c r="AZ77" s="24"/>
      <c r="BA77" s="24"/>
      <c r="BB77" s="24"/>
      <c r="BC77" s="24"/>
    </row>
    <row r="78" spans="1:55" ht="15" customHeight="1">
      <c r="B78" s="98" t="s">
        <v>691</v>
      </c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374"/>
      <c r="AE78" s="374"/>
      <c r="AF78" s="374"/>
      <c r="AG78" s="374"/>
      <c r="AH78" s="374"/>
      <c r="AI78" s="374"/>
      <c r="AJ78" s="374"/>
      <c r="AK78" s="374"/>
      <c r="AL78" s="374"/>
      <c r="AM78" s="374"/>
      <c r="AN78" s="374"/>
      <c r="AO78" s="374"/>
      <c r="AP78" s="374"/>
      <c r="AQ78" s="374"/>
      <c r="AR78" s="374"/>
      <c r="AS78" s="374"/>
      <c r="AT78" s="374"/>
      <c r="AU78" s="374"/>
      <c r="AV78" s="24"/>
      <c r="AW78" s="24"/>
      <c r="AX78" s="24"/>
      <c r="AY78" s="24"/>
      <c r="AZ78" s="24"/>
      <c r="BA78" s="24"/>
      <c r="BB78" s="24"/>
      <c r="BC78" s="24"/>
    </row>
    <row r="79" spans="1:55">
      <c r="B79" s="98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  <c r="AA79" s="370"/>
      <c r="AB79" s="370"/>
      <c r="AC79" s="370"/>
      <c r="AD79" s="370"/>
      <c r="AE79" s="370"/>
      <c r="AF79" s="370"/>
      <c r="AG79" s="370"/>
      <c r="AH79" s="370"/>
      <c r="AI79" s="370"/>
      <c r="AJ79" s="370"/>
      <c r="AK79" s="370"/>
      <c r="AL79" s="370"/>
      <c r="AM79" s="370"/>
      <c r="AN79" s="370"/>
      <c r="AO79" s="370"/>
      <c r="AP79" s="370"/>
      <c r="AQ79" s="370"/>
      <c r="AR79" s="370"/>
      <c r="AS79" s="370"/>
      <c r="AT79" s="370"/>
      <c r="AU79" s="370"/>
      <c r="AV79" s="371"/>
    </row>
    <row r="80" spans="1:55">
      <c r="C80" s="372">
        <f>+'Asset Classification'!C71</f>
        <v>20277891345</v>
      </c>
      <c r="D80" s="372">
        <f>+'Asset Classification'!D71</f>
        <v>3737998947</v>
      </c>
      <c r="E80" s="372">
        <f>+'Asset Classification'!E71</f>
        <v>17551658885</v>
      </c>
      <c r="F80" s="372">
        <f>+'Asset Classification'!F71</f>
        <v>3307279618</v>
      </c>
      <c r="G80" s="372">
        <f>+'Asset Classification'!G71</f>
        <v>123374035</v>
      </c>
      <c r="H80" s="372"/>
      <c r="I80" s="370"/>
      <c r="J80" s="372">
        <f>+'Asset Classification'!I71</f>
        <v>1832228607</v>
      </c>
      <c r="K80" s="372">
        <f>+'Asset Classification'!J71</f>
        <v>328023424</v>
      </c>
      <c r="L80" s="372">
        <f>+'Asset Classification'!K71</f>
        <v>21612533</v>
      </c>
      <c r="M80" s="370"/>
      <c r="N80" s="370"/>
      <c r="O80" s="372">
        <f>+'Asset Classification'!L71</f>
        <v>4608229</v>
      </c>
      <c r="P80" s="370"/>
      <c r="Q80" s="370"/>
      <c r="R80" s="372">
        <f>+'Asset Classification'!M71</f>
        <v>254152148</v>
      </c>
      <c r="S80" s="372">
        <f>+'Asset Classification'!N71</f>
        <v>15974198</v>
      </c>
      <c r="T80" s="372">
        <f>+'Asset Classification'!O71</f>
        <v>2666899</v>
      </c>
      <c r="U80" s="370"/>
      <c r="V80" s="370"/>
      <c r="W80" s="372">
        <f>+'Asset Classification'!P71</f>
        <v>0</v>
      </c>
      <c r="X80" s="370"/>
      <c r="Y80" s="370"/>
      <c r="Z80" s="372">
        <f>+'Asset Classification'!Q71</f>
        <v>373965402</v>
      </c>
      <c r="AA80" s="372">
        <f>+'Asset Classification'!R71</f>
        <v>73657201</v>
      </c>
      <c r="AB80" s="372">
        <f>+'Asset Classification'!S71</f>
        <v>47165627</v>
      </c>
      <c r="AC80" s="370"/>
      <c r="AD80" s="370"/>
      <c r="AE80" s="372">
        <f>+'Asset Classification'!T71</f>
        <v>14152805</v>
      </c>
      <c r="AF80" s="370"/>
      <c r="AG80" s="370"/>
      <c r="AH80" s="372">
        <f>+'Asset Classification'!U71</f>
        <v>265886303</v>
      </c>
      <c r="AI80" s="372">
        <f>+'Asset Classification'!V71</f>
        <v>13064506</v>
      </c>
      <c r="AJ80" s="372">
        <f>+'Asset Classification'!W71</f>
        <v>56251553</v>
      </c>
      <c r="AK80" s="370"/>
      <c r="AL80" s="370"/>
      <c r="AM80" s="372">
        <f>+'Asset Classification'!X71</f>
        <v>4949126</v>
      </c>
      <c r="AN80" s="370"/>
      <c r="AO80" s="370"/>
      <c r="AP80" s="372">
        <f>+'Asset Classification'!Y71</f>
        <v>127696612</v>
      </c>
      <c r="AQ80" s="370"/>
      <c r="AR80" s="370"/>
      <c r="AS80" s="372">
        <f>+'Asset Classification'!Z71</f>
        <v>23710160</v>
      </c>
      <c r="AT80" s="370"/>
      <c r="AU80" s="370"/>
      <c r="AV80" s="370"/>
      <c r="AW80" s="24"/>
      <c r="AX80" s="24"/>
      <c r="AY80" s="24"/>
    </row>
    <row r="81" spans="3:55">
      <c r="C81" s="373">
        <f>+C80-C71</f>
        <v>0</v>
      </c>
      <c r="D81" s="373">
        <f t="shared" ref="D81:G81" si="168">+D80-D71</f>
        <v>0</v>
      </c>
      <c r="E81" s="373">
        <f t="shared" si="168"/>
        <v>0</v>
      </c>
      <c r="F81" s="373">
        <f t="shared" si="168"/>
        <v>0</v>
      </c>
      <c r="G81" s="373">
        <f t="shared" si="168"/>
        <v>0</v>
      </c>
      <c r="H81" s="373"/>
      <c r="I81" s="370"/>
      <c r="J81" s="373">
        <f t="shared" ref="J81:L81" si="169">+J80-J71</f>
        <v>0</v>
      </c>
      <c r="K81" s="373">
        <f t="shared" si="169"/>
        <v>0</v>
      </c>
      <c r="L81" s="373">
        <f t="shared" si="169"/>
        <v>0</v>
      </c>
      <c r="M81" s="370"/>
      <c r="N81" s="370"/>
      <c r="O81" s="373">
        <f t="shared" ref="O81" si="170">+O80-O71</f>
        <v>0</v>
      </c>
      <c r="P81" s="370"/>
      <c r="Q81" s="370"/>
      <c r="R81" s="373">
        <f t="shared" ref="R81" si="171">+R80-R71</f>
        <v>0</v>
      </c>
      <c r="S81" s="373">
        <f t="shared" ref="S81" si="172">+S80-S71</f>
        <v>0</v>
      </c>
      <c r="T81" s="373">
        <f t="shared" ref="T81" si="173">+T80-T71</f>
        <v>0</v>
      </c>
      <c r="U81" s="370"/>
      <c r="V81" s="370"/>
      <c r="W81" s="373">
        <f t="shared" ref="W81" si="174">+W80-W71</f>
        <v>0</v>
      </c>
      <c r="X81" s="370"/>
      <c r="Y81" s="370"/>
      <c r="Z81" s="373">
        <f t="shared" ref="Z81" si="175">+Z80-Z71</f>
        <v>0</v>
      </c>
      <c r="AA81" s="373">
        <f t="shared" ref="AA81" si="176">+AA80-AA71</f>
        <v>0</v>
      </c>
      <c r="AB81" s="373">
        <f t="shared" ref="AB81" si="177">+AB80-AB71</f>
        <v>0</v>
      </c>
      <c r="AC81" s="370"/>
      <c r="AD81" s="370"/>
      <c r="AE81" s="373">
        <f t="shared" ref="AE81" si="178">+AE80-AE71</f>
        <v>0</v>
      </c>
      <c r="AF81" s="370"/>
      <c r="AG81" s="370"/>
      <c r="AH81" s="373">
        <f t="shared" ref="AH81" si="179">+AH80-AH71</f>
        <v>0</v>
      </c>
      <c r="AI81" s="373">
        <f t="shared" ref="AI81" si="180">+AI80-AI71</f>
        <v>0</v>
      </c>
      <c r="AJ81" s="373">
        <f t="shared" ref="AJ81" si="181">+AJ80-AJ71</f>
        <v>0</v>
      </c>
      <c r="AK81" s="370"/>
      <c r="AL81" s="370"/>
      <c r="AM81" s="373">
        <f t="shared" ref="AM81" si="182">+AM80-AM71</f>
        <v>0</v>
      </c>
      <c r="AN81" s="370"/>
      <c r="AO81" s="370"/>
      <c r="AP81" s="373">
        <f t="shared" ref="AP81" si="183">+AP80-AP71</f>
        <v>0</v>
      </c>
      <c r="AQ81" s="370"/>
      <c r="AR81" s="370"/>
      <c r="AS81" s="373">
        <f t="shared" ref="AS81" si="184">+AS80-AS71</f>
        <v>0</v>
      </c>
      <c r="AT81" s="370"/>
      <c r="AU81" s="370"/>
      <c r="AV81" s="371"/>
    </row>
    <row r="82" spans="3:55">
      <c r="C82" s="370"/>
      <c r="D82" s="370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  <c r="AA82" s="370"/>
      <c r="AB82" s="370"/>
      <c r="AC82" s="370"/>
      <c r="AD82" s="370"/>
      <c r="AE82" s="370"/>
      <c r="AF82" s="370"/>
      <c r="AG82" s="370"/>
      <c r="AH82" s="370"/>
      <c r="AI82" s="370"/>
      <c r="AJ82" s="370"/>
      <c r="AK82" s="370"/>
      <c r="AL82" s="370"/>
      <c r="AM82" s="370"/>
      <c r="AN82" s="370"/>
      <c r="AO82" s="370"/>
      <c r="AP82" s="370"/>
      <c r="AQ82" s="370"/>
      <c r="AR82" s="370"/>
      <c r="AS82" s="370"/>
      <c r="AT82" s="373"/>
      <c r="AU82" s="370"/>
      <c r="AV82" s="370"/>
      <c r="AW82" s="24"/>
      <c r="AX82" s="24"/>
      <c r="AY82" s="24"/>
    </row>
    <row r="83" spans="3:55">
      <c r="C83" s="372">
        <f>+'Asset Classification'!C72</f>
        <v>10886550357</v>
      </c>
      <c r="D83" s="372">
        <f>+'Asset Classification'!D72</f>
        <v>0</v>
      </c>
      <c r="E83" s="372">
        <f>+'Asset Classification'!E72</f>
        <v>9644268939</v>
      </c>
      <c r="F83" s="372">
        <f>+'Asset Classification'!F72</f>
        <v>0</v>
      </c>
      <c r="G83" s="372">
        <f>+'Asset Classification'!G72</f>
        <v>0</v>
      </c>
      <c r="H83" s="372"/>
      <c r="I83" s="370"/>
      <c r="J83" s="372">
        <f>+'Asset Classification'!I72</f>
        <v>226153577</v>
      </c>
      <c r="K83" s="372">
        <f>+'Asset Classification'!J72</f>
        <v>0</v>
      </c>
      <c r="L83" s="372">
        <f>+'Asset Classification'!K72</f>
        <v>16503297</v>
      </c>
      <c r="M83" s="370"/>
      <c r="N83" s="370"/>
      <c r="O83" s="372">
        <f>+'Asset Classification'!L72</f>
        <v>0</v>
      </c>
      <c r="P83" s="370"/>
      <c r="Q83" s="370"/>
      <c r="R83" s="372">
        <f>+'Asset Classification'!M72</f>
        <v>84482293</v>
      </c>
      <c r="S83" s="372">
        <f>+'Asset Classification'!N72</f>
        <v>0</v>
      </c>
      <c r="T83" s="372">
        <f>+'Asset Classification'!O72</f>
        <v>36801</v>
      </c>
      <c r="U83" s="370"/>
      <c r="V83" s="370"/>
      <c r="W83" s="372">
        <f>+'Asset Classification'!P72</f>
        <v>0</v>
      </c>
      <c r="X83" s="370"/>
      <c r="Y83" s="370"/>
      <c r="Z83" s="372">
        <f>+'Asset Classification'!Q72</f>
        <v>394787123</v>
      </c>
      <c r="AA83" s="372">
        <f>+'Asset Classification'!R72</f>
        <v>0</v>
      </c>
      <c r="AB83" s="372">
        <f>+'Asset Classification'!S72</f>
        <v>4392331</v>
      </c>
      <c r="AC83" s="370"/>
      <c r="AD83" s="370"/>
      <c r="AE83" s="372">
        <f>+'Asset Classification'!T72</f>
        <v>0</v>
      </c>
      <c r="AF83" s="370"/>
      <c r="AG83" s="370"/>
      <c r="AH83" s="372">
        <f>+'Asset Classification'!U72</f>
        <v>536858425</v>
      </c>
      <c r="AI83" s="372">
        <f>+'Asset Classification'!V72</f>
        <v>0</v>
      </c>
      <c r="AJ83" s="372">
        <f>+'Asset Classification'!W72</f>
        <v>40277411</v>
      </c>
      <c r="AK83" s="370"/>
      <c r="AL83" s="370"/>
      <c r="AM83" s="372">
        <f>+'Asset Classification'!X72</f>
        <v>0</v>
      </c>
      <c r="AN83" s="370"/>
      <c r="AO83" s="370"/>
      <c r="AP83" s="372">
        <f>+'Asset Classification'!Y72</f>
        <v>61209840</v>
      </c>
      <c r="AQ83" s="370"/>
      <c r="AR83" s="370"/>
      <c r="AS83" s="372">
        <f>+'Asset Classification'!Z72</f>
        <v>0</v>
      </c>
      <c r="AT83" s="370"/>
      <c r="AU83" s="370"/>
      <c r="AV83" s="371"/>
    </row>
    <row r="84" spans="3:55">
      <c r="C84" s="373">
        <f>+C83-C72</f>
        <v>0</v>
      </c>
      <c r="D84" s="373">
        <f>+D83-D72</f>
        <v>0</v>
      </c>
      <c r="E84" s="373">
        <f>+E83-E72</f>
        <v>0</v>
      </c>
      <c r="F84" s="373">
        <f>+F83-F72</f>
        <v>0</v>
      </c>
      <c r="G84" s="373">
        <f>+G83-G72</f>
        <v>0</v>
      </c>
      <c r="H84" s="373"/>
      <c r="I84" s="370"/>
      <c r="J84" s="373">
        <f>+J83-J72</f>
        <v>0</v>
      </c>
      <c r="K84" s="373">
        <f>+K83-K72</f>
        <v>0</v>
      </c>
      <c r="L84" s="373">
        <f>+L83-L72</f>
        <v>0</v>
      </c>
      <c r="M84" s="370"/>
      <c r="N84" s="370"/>
      <c r="O84" s="373">
        <f>+O83-O72</f>
        <v>0</v>
      </c>
      <c r="P84" s="370"/>
      <c r="Q84" s="370"/>
      <c r="R84" s="373">
        <f>+R83-R72</f>
        <v>0</v>
      </c>
      <c r="S84" s="373">
        <f>+S83-S72</f>
        <v>0</v>
      </c>
      <c r="T84" s="373">
        <f>+T83-T72</f>
        <v>0</v>
      </c>
      <c r="U84" s="370"/>
      <c r="V84" s="370"/>
      <c r="W84" s="373">
        <f>+W83-W72</f>
        <v>0</v>
      </c>
      <c r="X84" s="370"/>
      <c r="Y84" s="370"/>
      <c r="Z84" s="373">
        <f>+Z83-Z72</f>
        <v>0</v>
      </c>
      <c r="AA84" s="373">
        <f>+AA83-AA72</f>
        <v>0</v>
      </c>
      <c r="AB84" s="373">
        <f>+AB83-AB72</f>
        <v>0</v>
      </c>
      <c r="AC84" s="370"/>
      <c r="AD84" s="370"/>
      <c r="AE84" s="373">
        <f>+AE83-AE72</f>
        <v>0</v>
      </c>
      <c r="AF84" s="370"/>
      <c r="AG84" s="370"/>
      <c r="AH84" s="373">
        <f>+AH83-AH72</f>
        <v>0</v>
      </c>
      <c r="AI84" s="373">
        <f>+AI83-AI72</f>
        <v>0</v>
      </c>
      <c r="AJ84" s="373">
        <f>+AJ83-AJ72</f>
        <v>0</v>
      </c>
      <c r="AK84" s="370"/>
      <c r="AL84" s="370"/>
      <c r="AM84" s="373">
        <f>+AM83-AM72</f>
        <v>0</v>
      </c>
      <c r="AN84" s="370"/>
      <c r="AO84" s="370"/>
      <c r="AP84" s="373">
        <f>+AP83-AP72</f>
        <v>0</v>
      </c>
      <c r="AQ84" s="370"/>
      <c r="AR84" s="370"/>
      <c r="AS84" s="373">
        <f>+AS83-AS72</f>
        <v>0</v>
      </c>
      <c r="AT84" s="370"/>
      <c r="AU84" s="370"/>
      <c r="AV84" s="370"/>
      <c r="AW84" s="24"/>
      <c r="AX84" s="24"/>
      <c r="AY84" s="24"/>
      <c r="AZ84" s="24"/>
      <c r="BA84" s="24"/>
      <c r="BB84" s="24"/>
      <c r="BC84" s="24"/>
    </row>
    <row r="85" spans="3:55"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370"/>
      <c r="AB85" s="370"/>
      <c r="AC85" s="370"/>
      <c r="AD85" s="370"/>
      <c r="AE85" s="370"/>
      <c r="AF85" s="370"/>
      <c r="AG85" s="370"/>
      <c r="AH85" s="370"/>
      <c r="AI85" s="370"/>
      <c r="AJ85" s="370"/>
      <c r="AK85" s="370"/>
      <c r="AL85" s="370"/>
      <c r="AM85" s="370"/>
      <c r="AN85" s="370"/>
      <c r="AO85" s="370"/>
      <c r="AP85" s="370"/>
      <c r="AQ85" s="370"/>
      <c r="AR85" s="370"/>
      <c r="AS85" s="370"/>
      <c r="AT85" s="370"/>
      <c r="AU85" s="370"/>
      <c r="AV85" s="371"/>
    </row>
    <row r="86" spans="3:55">
      <c r="C86" s="372">
        <f>+'Asset Classification'!C74</f>
        <v>31164441702</v>
      </c>
      <c r="D86" s="372">
        <f>+'Asset Classification'!D74</f>
        <v>3737998947</v>
      </c>
      <c r="E86" s="372">
        <f>+'Asset Classification'!E74</f>
        <v>27195927824</v>
      </c>
      <c r="F86" s="372">
        <f>+'Asset Classification'!F74</f>
        <v>3307279618</v>
      </c>
      <c r="G86" s="372">
        <f>+'Asset Classification'!G74</f>
        <v>123374035</v>
      </c>
      <c r="H86" s="372"/>
      <c r="I86" s="370"/>
      <c r="J86" s="372">
        <f>+'Asset Classification'!I74</f>
        <v>2058382184</v>
      </c>
      <c r="K86" s="372">
        <f>+'Asset Classification'!J74</f>
        <v>328023424</v>
      </c>
      <c r="L86" s="372">
        <f>+'Asset Classification'!K74</f>
        <v>38115830</v>
      </c>
      <c r="M86" s="370"/>
      <c r="N86" s="370"/>
      <c r="O86" s="372">
        <f>+'Asset Classification'!L74</f>
        <v>4608229</v>
      </c>
      <c r="P86" s="370"/>
      <c r="Q86" s="370"/>
      <c r="R86" s="372">
        <f>+'Asset Classification'!M74</f>
        <v>338634441</v>
      </c>
      <c r="S86" s="372">
        <f>+'Asset Classification'!N74</f>
        <v>15974198</v>
      </c>
      <c r="T86" s="372">
        <f>+'Asset Classification'!O74</f>
        <v>2703700</v>
      </c>
      <c r="U86" s="370"/>
      <c r="V86" s="370"/>
      <c r="W86" s="372">
        <f>+'Asset Classification'!P74</f>
        <v>0</v>
      </c>
      <c r="X86" s="370"/>
      <c r="Y86" s="370"/>
      <c r="Z86" s="372">
        <f>+'Asset Classification'!Q74</f>
        <v>768752525</v>
      </c>
      <c r="AA86" s="372">
        <f>+'Asset Classification'!R74</f>
        <v>73657201</v>
      </c>
      <c r="AB86" s="372">
        <f>+'Asset Classification'!S74</f>
        <v>51557958</v>
      </c>
      <c r="AC86" s="370"/>
      <c r="AD86" s="370"/>
      <c r="AE86" s="372">
        <f>+'Asset Classification'!T74</f>
        <v>14152805</v>
      </c>
      <c r="AF86" s="370"/>
      <c r="AG86" s="370"/>
      <c r="AH86" s="372">
        <f>+'Asset Classification'!U74</f>
        <v>802744728</v>
      </c>
      <c r="AI86" s="372">
        <f>+'Asset Classification'!V74</f>
        <v>13064506</v>
      </c>
      <c r="AJ86" s="372">
        <f>+'Asset Classification'!W74</f>
        <v>96528964</v>
      </c>
      <c r="AK86" s="370"/>
      <c r="AL86" s="370"/>
      <c r="AM86" s="372">
        <f>+'Asset Classification'!X74</f>
        <v>4949126</v>
      </c>
      <c r="AN86" s="370"/>
      <c r="AO86" s="370"/>
      <c r="AP86" s="372">
        <f>+'Asset Classification'!Y74</f>
        <v>188906452</v>
      </c>
      <c r="AQ86" s="370"/>
      <c r="AR86" s="370"/>
      <c r="AS86" s="372">
        <f>+'Asset Classification'!Z74</f>
        <v>23710160</v>
      </c>
      <c r="AT86" s="370"/>
      <c r="AU86" s="370"/>
      <c r="AV86" s="371"/>
    </row>
    <row r="87" spans="3:55">
      <c r="C87" s="373">
        <f>+C86-C74</f>
        <v>0</v>
      </c>
      <c r="D87" s="373">
        <f>+D86-D74</f>
        <v>0</v>
      </c>
      <c r="E87" s="373">
        <f>+E86-E74</f>
        <v>0</v>
      </c>
      <c r="F87" s="373">
        <f>+F86-F74</f>
        <v>0</v>
      </c>
      <c r="G87" s="373">
        <f>+G86-G74</f>
        <v>0</v>
      </c>
      <c r="H87" s="373"/>
      <c r="I87" s="370"/>
      <c r="J87" s="373">
        <f>+J86-J74</f>
        <v>0</v>
      </c>
      <c r="K87" s="373">
        <f>+K86-K74</f>
        <v>0</v>
      </c>
      <c r="L87" s="373">
        <f>+L86-L74</f>
        <v>0</v>
      </c>
      <c r="M87" s="370"/>
      <c r="N87" s="370"/>
      <c r="O87" s="373">
        <f>+O86-O74</f>
        <v>0</v>
      </c>
      <c r="P87" s="370"/>
      <c r="Q87" s="370"/>
      <c r="R87" s="373">
        <f>+R86-R74</f>
        <v>0</v>
      </c>
      <c r="S87" s="373">
        <f>+S86-S74</f>
        <v>0</v>
      </c>
      <c r="T87" s="373">
        <f>+T86-T74</f>
        <v>0</v>
      </c>
      <c r="U87" s="370"/>
      <c r="V87" s="370"/>
      <c r="W87" s="373">
        <f>+W86-W74</f>
        <v>0</v>
      </c>
      <c r="X87" s="370"/>
      <c r="Y87" s="370"/>
      <c r="Z87" s="373">
        <f>+Z86-Z74</f>
        <v>0</v>
      </c>
      <c r="AA87" s="373">
        <f>+AA86-AA74</f>
        <v>0</v>
      </c>
      <c r="AB87" s="373">
        <f>+AB86-AB74</f>
        <v>0</v>
      </c>
      <c r="AC87" s="370"/>
      <c r="AD87" s="370"/>
      <c r="AE87" s="373">
        <f>+AE86-AE74</f>
        <v>0</v>
      </c>
      <c r="AF87" s="370"/>
      <c r="AG87" s="370"/>
      <c r="AH87" s="373">
        <f>+AH86-AH74</f>
        <v>0</v>
      </c>
      <c r="AI87" s="373">
        <f>+AI86-AI74</f>
        <v>0</v>
      </c>
      <c r="AJ87" s="373">
        <f>+AJ86-AJ74</f>
        <v>0</v>
      </c>
      <c r="AK87" s="370"/>
      <c r="AL87" s="370"/>
      <c r="AM87" s="373">
        <f>+AM86-AM74</f>
        <v>0</v>
      </c>
      <c r="AN87" s="370"/>
      <c r="AO87" s="370"/>
      <c r="AP87" s="373">
        <f>+AP86-AP74</f>
        <v>0</v>
      </c>
      <c r="AQ87" s="370"/>
      <c r="AR87" s="370"/>
      <c r="AS87" s="373">
        <f>+AS86-AS74</f>
        <v>0</v>
      </c>
      <c r="AT87" s="370"/>
      <c r="AU87" s="370"/>
      <c r="AV87" s="371"/>
    </row>
    <row r="88" spans="3:55">
      <c r="C88" s="370"/>
      <c r="D88" s="370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  <c r="AA88" s="370"/>
      <c r="AB88" s="370"/>
      <c r="AC88" s="370"/>
      <c r="AD88" s="370"/>
      <c r="AE88" s="370"/>
      <c r="AF88" s="370"/>
      <c r="AG88" s="370"/>
      <c r="AH88" s="370"/>
      <c r="AI88" s="370"/>
      <c r="AJ88" s="370"/>
      <c r="AK88" s="370"/>
      <c r="AL88" s="370"/>
      <c r="AM88" s="370"/>
      <c r="AN88" s="370"/>
      <c r="AO88" s="370"/>
      <c r="AP88" s="370"/>
      <c r="AQ88" s="370"/>
      <c r="AR88" s="370"/>
      <c r="AS88" s="370"/>
      <c r="AT88" s="370"/>
      <c r="AU88" s="370"/>
      <c r="AV88" s="371"/>
    </row>
    <row r="89" spans="3:55"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  <c r="AA89" s="370"/>
      <c r="AB89" s="370"/>
      <c r="AC89" s="370"/>
      <c r="AD89" s="370"/>
      <c r="AE89" s="370"/>
      <c r="AF89" s="370"/>
      <c r="AG89" s="370"/>
      <c r="AH89" s="370"/>
      <c r="AI89" s="370"/>
      <c r="AJ89" s="370"/>
      <c r="AK89" s="370"/>
      <c r="AL89" s="370"/>
      <c r="AM89" s="370"/>
      <c r="AN89" s="370"/>
      <c r="AO89" s="370"/>
      <c r="AP89" s="370"/>
      <c r="AQ89" s="370"/>
      <c r="AR89" s="370"/>
      <c r="AS89" s="370"/>
      <c r="AT89" s="370"/>
      <c r="AU89" s="370"/>
      <c r="AV89" s="371"/>
    </row>
    <row r="90" spans="3:55"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  <c r="AA90" s="370"/>
      <c r="AB90" s="370"/>
      <c r="AC90" s="370"/>
      <c r="AD90" s="370"/>
      <c r="AE90" s="370"/>
      <c r="AF90" s="370"/>
      <c r="AG90" s="370"/>
      <c r="AH90" s="370"/>
      <c r="AI90" s="370"/>
      <c r="AJ90" s="370"/>
      <c r="AK90" s="370"/>
      <c r="AL90" s="370"/>
      <c r="AM90" s="370"/>
      <c r="AN90" s="370"/>
      <c r="AO90" s="370"/>
      <c r="AP90" s="370"/>
      <c r="AQ90" s="370"/>
      <c r="AR90" s="370"/>
      <c r="AS90" s="370"/>
      <c r="AT90" s="370"/>
      <c r="AU90" s="370"/>
      <c r="AV90" s="371"/>
    </row>
    <row r="91" spans="3:55"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370"/>
      <c r="AB91" s="370"/>
      <c r="AC91" s="370"/>
      <c r="AD91" s="370"/>
      <c r="AE91" s="370"/>
      <c r="AF91" s="370"/>
      <c r="AG91" s="370"/>
      <c r="AH91" s="370"/>
      <c r="AI91" s="370"/>
      <c r="AJ91" s="370"/>
      <c r="AK91" s="370"/>
      <c r="AL91" s="370"/>
      <c r="AM91" s="370"/>
      <c r="AN91" s="370"/>
      <c r="AO91" s="370"/>
      <c r="AP91" s="370"/>
      <c r="AQ91" s="370"/>
      <c r="AR91" s="370"/>
      <c r="AS91" s="370"/>
      <c r="AT91" s="370"/>
      <c r="AU91" s="370"/>
      <c r="AV91" s="371"/>
    </row>
    <row r="92" spans="3:55">
      <c r="C92" s="370"/>
      <c r="D92" s="370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  <c r="AA92" s="370"/>
      <c r="AB92" s="370"/>
      <c r="AC92" s="370"/>
      <c r="AD92" s="370"/>
      <c r="AE92" s="370"/>
      <c r="AF92" s="370"/>
      <c r="AG92" s="370"/>
      <c r="AH92" s="370"/>
      <c r="AI92" s="370"/>
      <c r="AJ92" s="370"/>
      <c r="AK92" s="370"/>
      <c r="AL92" s="370"/>
      <c r="AM92" s="370"/>
      <c r="AN92" s="370"/>
      <c r="AO92" s="370"/>
      <c r="AP92" s="370"/>
      <c r="AQ92" s="370"/>
      <c r="AR92" s="370"/>
      <c r="AS92" s="370"/>
      <c r="AT92" s="370"/>
      <c r="AU92" s="370"/>
      <c r="AV92" s="371"/>
    </row>
    <row r="93" spans="3:55">
      <c r="C93" s="370"/>
      <c r="D93" s="370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  <c r="AA93" s="370"/>
      <c r="AB93" s="370"/>
      <c r="AC93" s="370"/>
      <c r="AD93" s="370"/>
      <c r="AE93" s="370"/>
      <c r="AF93" s="370"/>
      <c r="AG93" s="370"/>
      <c r="AH93" s="370"/>
      <c r="AI93" s="370"/>
      <c r="AJ93" s="370"/>
      <c r="AK93" s="370"/>
      <c r="AL93" s="370"/>
      <c r="AM93" s="370"/>
      <c r="AN93" s="370"/>
      <c r="AO93" s="370"/>
      <c r="AP93" s="370"/>
      <c r="AQ93" s="370"/>
      <c r="AR93" s="370"/>
      <c r="AS93" s="370"/>
      <c r="AT93" s="370"/>
      <c r="AU93" s="370"/>
      <c r="AV93" s="371"/>
    </row>
    <row r="94" spans="3:55">
      <c r="C94" s="370"/>
      <c r="D94" s="370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  <c r="AA94" s="370"/>
      <c r="AB94" s="370"/>
      <c r="AC94" s="370"/>
      <c r="AD94" s="370"/>
      <c r="AE94" s="370"/>
      <c r="AF94" s="370"/>
      <c r="AG94" s="370"/>
      <c r="AH94" s="370"/>
      <c r="AI94" s="370"/>
      <c r="AJ94" s="370"/>
      <c r="AK94" s="370"/>
      <c r="AL94" s="370"/>
      <c r="AM94" s="370"/>
      <c r="AN94" s="370"/>
      <c r="AO94" s="370"/>
      <c r="AP94" s="370"/>
      <c r="AQ94" s="370"/>
      <c r="AR94" s="370"/>
      <c r="AS94" s="370"/>
      <c r="AT94" s="370"/>
      <c r="AU94" s="370"/>
      <c r="AV94" s="371"/>
    </row>
  </sheetData>
  <sheetProtection password="CACA" sheet="1" objects="1" scenarios="1"/>
  <mergeCells count="26"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</mergeCells>
  <conditionalFormatting sqref="C7">
    <cfRule type="cellIs" dxfId="103" priority="10" operator="notEqual">
      <formula>AV7</formula>
    </cfRule>
  </conditionalFormatting>
  <conditionalFormatting sqref="C31">
    <cfRule type="cellIs" dxfId="102" priority="9" operator="notEqual">
      <formula>AV31</formula>
    </cfRule>
  </conditionalFormatting>
  <conditionalFormatting sqref="C53">
    <cfRule type="cellIs" dxfId="101" priority="8" operator="notEqual">
      <formula>AV53</formula>
    </cfRule>
  </conditionalFormatting>
  <conditionalFormatting sqref="D53">
    <cfRule type="cellIs" dxfId="100" priority="68" operator="notEqual">
      <formula>$D$71</formula>
    </cfRule>
  </conditionalFormatting>
  <conditionalFormatting sqref="E53">
    <cfRule type="cellIs" dxfId="99" priority="67" operator="notEqual">
      <formula>$E$71</formula>
    </cfRule>
  </conditionalFormatting>
  <conditionalFormatting sqref="F53">
    <cfRule type="cellIs" dxfId="98" priority="69" operator="notEqual">
      <formula>$F$71</formula>
    </cfRule>
  </conditionalFormatting>
  <conditionalFormatting sqref="G53">
    <cfRule type="cellIs" dxfId="97" priority="66" operator="notEqual">
      <formula>$G$71</formula>
    </cfRule>
  </conditionalFormatting>
  <conditionalFormatting sqref="O53">
    <cfRule type="cellIs" dxfId="96" priority="70" operator="notEqual">
      <formula>$O$71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A131"/>
  <sheetViews>
    <sheetView view="pageBreakPreview" zoomScale="85" zoomScaleNormal="40" zoomScaleSheetLayoutView="85" workbookViewId="0">
      <pane xSplit="7" ySplit="22" topLeftCell="H62" activePane="bottomRight" state="frozen"/>
      <selection activeCell="H23" sqref="H23"/>
      <selection pane="topRight" activeCell="H23" sqref="H23"/>
      <selection pane="bottomLeft" activeCell="H23" sqref="H23"/>
      <selection pane="bottomRight" activeCell="G92" sqref="G92"/>
    </sheetView>
  </sheetViews>
  <sheetFormatPr defaultRowHeight="12.75"/>
  <cols>
    <col min="1" max="1" width="5.140625" style="24" customWidth="1"/>
    <col min="2" max="2" width="43.42578125" style="24" customWidth="1"/>
    <col min="3" max="3" width="14.140625" style="24" customWidth="1"/>
    <col min="4" max="6" width="10.140625" style="24" customWidth="1"/>
    <col min="7" max="7" width="17.28515625" style="24" customWidth="1"/>
    <col min="8" max="8" width="14.28515625" style="24" customWidth="1"/>
    <col min="9" max="10" width="17.28515625" style="24" customWidth="1"/>
    <col min="11" max="19" width="13.85546875" style="24" customWidth="1"/>
    <col min="20" max="20" width="8.28515625" style="24" customWidth="1"/>
    <col min="21" max="21" width="8.140625" style="24" customWidth="1"/>
    <col min="22" max="22" width="17.28515625" style="24" customWidth="1"/>
    <col min="23" max="23" width="9.85546875" style="24" customWidth="1"/>
    <col min="24" max="24" width="15.140625" style="24" customWidth="1"/>
    <col min="25" max="25" width="13.28515625" style="24" customWidth="1"/>
    <col min="26" max="26" width="14.7109375" style="24" customWidth="1"/>
    <col min="27" max="27" width="26.140625" style="226" customWidth="1"/>
    <col min="28" max="16384" width="9.140625" style="24"/>
  </cols>
  <sheetData>
    <row r="1" spans="1:27" ht="20.25">
      <c r="A1" s="632" t="s">
        <v>356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Y1" s="216" t="s">
        <v>357</v>
      </c>
    </row>
    <row r="2" spans="1:27">
      <c r="A2" s="144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Q2" s="118"/>
      <c r="R2" s="118"/>
      <c r="S2" s="118"/>
      <c r="T2" s="118"/>
    </row>
    <row r="3" spans="1:27" ht="15.75">
      <c r="A3" s="120"/>
      <c r="B3" s="33" t="str">
        <f>+'Asset quality'!B3</f>
        <v>MKBANK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641"/>
      <c r="O3" s="641"/>
      <c r="P3" s="641"/>
      <c r="Q3" s="120"/>
      <c r="R3" s="120"/>
      <c r="T3" s="118"/>
      <c r="U3" s="642">
        <f>+'Asset quality'!Q3</f>
        <v>46021</v>
      </c>
      <c r="V3" s="642"/>
      <c r="W3" s="158"/>
      <c r="Y3" s="631" t="str">
        <f>+'Asset quality'!T3</f>
        <v>минг. сўмда</v>
      </c>
      <c r="Z3" s="631"/>
    </row>
    <row r="4" spans="1:27" ht="27.75" customHeight="1">
      <c r="A4" s="636" t="s">
        <v>23</v>
      </c>
      <c r="B4" s="636" t="s">
        <v>358</v>
      </c>
      <c r="C4" s="623" t="s">
        <v>359</v>
      </c>
      <c r="D4" s="623" t="s">
        <v>360</v>
      </c>
      <c r="E4" s="623" t="s">
        <v>361</v>
      </c>
      <c r="F4" s="623" t="s">
        <v>362</v>
      </c>
      <c r="G4" s="623" t="s">
        <v>363</v>
      </c>
      <c r="H4" s="633" t="s">
        <v>266</v>
      </c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5"/>
      <c r="T4" s="623" t="s">
        <v>364</v>
      </c>
      <c r="U4" s="626" t="s">
        <v>365</v>
      </c>
      <c r="V4" s="627"/>
      <c r="W4" s="623" t="s">
        <v>366</v>
      </c>
      <c r="X4" s="623" t="s">
        <v>367</v>
      </c>
      <c r="Y4" s="623" t="s">
        <v>368</v>
      </c>
      <c r="Z4" s="623" t="s">
        <v>369</v>
      </c>
    </row>
    <row r="5" spans="1:27" ht="27.75" customHeight="1">
      <c r="A5" s="637"/>
      <c r="B5" s="637"/>
      <c r="C5" s="624"/>
      <c r="D5" s="624"/>
      <c r="E5" s="624"/>
      <c r="F5" s="624"/>
      <c r="G5" s="624"/>
      <c r="H5" s="633" t="s">
        <v>370</v>
      </c>
      <c r="I5" s="634"/>
      <c r="J5" s="634"/>
      <c r="K5" s="635"/>
      <c r="L5" s="633" t="s">
        <v>371</v>
      </c>
      <c r="M5" s="634"/>
      <c r="N5" s="634"/>
      <c r="O5" s="634"/>
      <c r="P5" s="634"/>
      <c r="Q5" s="634"/>
      <c r="R5" s="634"/>
      <c r="S5" s="635"/>
      <c r="T5" s="624"/>
      <c r="U5" s="628"/>
      <c r="V5" s="629"/>
      <c r="W5" s="624"/>
      <c r="X5" s="624"/>
      <c r="Y5" s="624"/>
      <c r="Z5" s="624"/>
    </row>
    <row r="6" spans="1:27" ht="108.75" customHeight="1">
      <c r="A6" s="637"/>
      <c r="B6" s="637"/>
      <c r="C6" s="624"/>
      <c r="D6" s="624"/>
      <c r="E6" s="624"/>
      <c r="F6" s="624"/>
      <c r="G6" s="624"/>
      <c r="H6" s="623" t="s">
        <v>372</v>
      </c>
      <c r="I6" s="623" t="s">
        <v>373</v>
      </c>
      <c r="J6" s="623" t="s">
        <v>374</v>
      </c>
      <c r="K6" s="623" t="s">
        <v>375</v>
      </c>
      <c r="L6" s="639" t="s">
        <v>376</v>
      </c>
      <c r="M6" s="640"/>
      <c r="N6" s="639" t="s">
        <v>377</v>
      </c>
      <c r="O6" s="640"/>
      <c r="P6" s="639" t="s">
        <v>378</v>
      </c>
      <c r="Q6" s="640"/>
      <c r="R6" s="639" t="s">
        <v>379</v>
      </c>
      <c r="S6" s="640"/>
      <c r="T6" s="624"/>
      <c r="U6" s="623" t="s">
        <v>380</v>
      </c>
      <c r="V6" s="623" t="s">
        <v>100</v>
      </c>
      <c r="W6" s="624"/>
      <c r="X6" s="624"/>
      <c r="Y6" s="624"/>
      <c r="Z6" s="624"/>
    </row>
    <row r="7" spans="1:27" ht="41.25" customHeight="1">
      <c r="A7" s="638"/>
      <c r="B7" s="638"/>
      <c r="C7" s="625"/>
      <c r="D7" s="625"/>
      <c r="E7" s="625"/>
      <c r="F7" s="625"/>
      <c r="G7" s="625"/>
      <c r="H7" s="625"/>
      <c r="I7" s="625"/>
      <c r="J7" s="625"/>
      <c r="K7" s="625"/>
      <c r="L7" s="227" t="s">
        <v>381</v>
      </c>
      <c r="M7" s="227" t="s">
        <v>382</v>
      </c>
      <c r="N7" s="227" t="s">
        <v>381</v>
      </c>
      <c r="O7" s="227" t="s">
        <v>382</v>
      </c>
      <c r="P7" s="227" t="s">
        <v>381</v>
      </c>
      <c r="Q7" s="227" t="s">
        <v>382</v>
      </c>
      <c r="R7" s="227" t="s">
        <v>381</v>
      </c>
      <c r="S7" s="227" t="s">
        <v>382</v>
      </c>
      <c r="T7" s="625"/>
      <c r="U7" s="625"/>
      <c r="V7" s="625"/>
      <c r="W7" s="625"/>
      <c r="X7" s="625"/>
      <c r="Y7" s="625"/>
      <c r="Z7" s="625"/>
    </row>
    <row r="8" spans="1:27" s="143" customFormat="1" ht="15">
      <c r="A8" s="133"/>
      <c r="B8" s="133" t="s">
        <v>40</v>
      </c>
      <c r="C8" s="133" t="s">
        <v>41</v>
      </c>
      <c r="D8" s="133" t="s">
        <v>51</v>
      </c>
      <c r="E8" s="133" t="s">
        <v>42</v>
      </c>
      <c r="F8" s="133" t="s">
        <v>43</v>
      </c>
      <c r="G8" s="133" t="s">
        <v>52</v>
      </c>
      <c r="H8" s="133" t="s">
        <v>160</v>
      </c>
      <c r="I8" s="133" t="s">
        <v>159</v>
      </c>
      <c r="J8" s="133" t="s">
        <v>158</v>
      </c>
      <c r="K8" s="133" t="s">
        <v>157</v>
      </c>
      <c r="L8" s="621" t="s">
        <v>156</v>
      </c>
      <c r="M8" s="622"/>
      <c r="N8" s="621" t="s">
        <v>155</v>
      </c>
      <c r="O8" s="622"/>
      <c r="P8" s="621" t="s">
        <v>154</v>
      </c>
      <c r="Q8" s="622"/>
      <c r="R8" s="621" t="s">
        <v>153</v>
      </c>
      <c r="S8" s="622"/>
      <c r="T8" s="133" t="s">
        <v>44</v>
      </c>
      <c r="U8" s="133" t="s">
        <v>45</v>
      </c>
      <c r="V8" s="133" t="s">
        <v>46</v>
      </c>
      <c r="W8" s="133" t="s">
        <v>47</v>
      </c>
      <c r="X8" s="133" t="s">
        <v>48</v>
      </c>
      <c r="Y8" s="133" t="s">
        <v>49</v>
      </c>
      <c r="Z8" s="133" t="s">
        <v>50</v>
      </c>
      <c r="AA8" s="229"/>
    </row>
    <row r="9" spans="1:27" s="136" customFormat="1">
      <c r="A9" s="350">
        <v>1</v>
      </c>
      <c r="B9" s="138" t="s">
        <v>809</v>
      </c>
      <c r="C9" s="140" t="s">
        <v>800</v>
      </c>
      <c r="D9" s="140"/>
      <c r="E9" s="553" t="s">
        <v>797</v>
      </c>
      <c r="F9" s="139">
        <v>1</v>
      </c>
      <c r="G9" s="135">
        <f t="shared" ref="G9:G40" si="0">+H9+I9+J9+K9+M9+O9+Q9+S9</f>
        <v>37535</v>
      </c>
      <c r="H9" s="14"/>
      <c r="I9" s="14">
        <v>37535</v>
      </c>
      <c r="J9" s="204"/>
      <c r="K9" s="204"/>
      <c r="L9" s="204"/>
      <c r="M9" s="204"/>
      <c r="N9" s="204"/>
      <c r="O9" s="204"/>
      <c r="P9" s="204"/>
      <c r="Q9" s="351"/>
      <c r="R9" s="351"/>
      <c r="S9" s="140"/>
      <c r="T9" s="351"/>
      <c r="U9" s="351"/>
      <c r="V9" s="351"/>
      <c r="W9" s="230">
        <v>1</v>
      </c>
      <c r="X9" s="351">
        <v>0</v>
      </c>
      <c r="Y9" s="351"/>
      <c r="Z9" s="352">
        <f t="shared" ref="Z9:Z40" si="1">+G9-V9-X9</f>
        <v>37535</v>
      </c>
      <c r="AA9" s="231">
        <f t="shared" ref="AA9:AA72" si="2">SUMIF($F$9:$F$88,$F9,$Z$9:$Z$88)</f>
        <v>37535</v>
      </c>
    </row>
    <row r="10" spans="1:27" s="136" customFormat="1">
      <c r="A10" s="11">
        <v>2</v>
      </c>
      <c r="B10" s="138" t="s">
        <v>810</v>
      </c>
      <c r="C10" s="140" t="s">
        <v>801</v>
      </c>
      <c r="D10" s="140"/>
      <c r="E10" s="553" t="s">
        <v>797</v>
      </c>
      <c r="F10" s="139">
        <v>2</v>
      </c>
      <c r="G10" s="135">
        <f t="shared" si="0"/>
        <v>212103</v>
      </c>
      <c r="H10" s="14"/>
      <c r="I10" s="14">
        <v>212103</v>
      </c>
      <c r="J10" s="14"/>
      <c r="K10" s="14"/>
      <c r="L10" s="14"/>
      <c r="M10" s="14"/>
      <c r="N10" s="14"/>
      <c r="O10" s="14"/>
      <c r="P10" s="14"/>
      <c r="Q10" s="140"/>
      <c r="R10" s="140"/>
      <c r="S10" s="140"/>
      <c r="T10" s="140"/>
      <c r="U10" s="140"/>
      <c r="V10" s="140"/>
      <c r="W10" s="230">
        <v>1</v>
      </c>
      <c r="X10" s="140">
        <v>0</v>
      </c>
      <c r="Y10" s="140"/>
      <c r="Z10" s="137">
        <f t="shared" si="1"/>
        <v>212103</v>
      </c>
      <c r="AA10" s="231">
        <f t="shared" si="2"/>
        <v>212103</v>
      </c>
    </row>
    <row r="11" spans="1:27" s="136" customFormat="1">
      <c r="A11" s="11">
        <v>3</v>
      </c>
      <c r="B11" s="138" t="s">
        <v>811</v>
      </c>
      <c r="C11" s="140" t="s">
        <v>793</v>
      </c>
      <c r="D11" s="140"/>
      <c r="E11" s="553" t="s">
        <v>797</v>
      </c>
      <c r="F11" s="139">
        <v>3</v>
      </c>
      <c r="G11" s="135">
        <f t="shared" si="0"/>
        <v>37643</v>
      </c>
      <c r="H11" s="14"/>
      <c r="I11" s="14">
        <v>37643</v>
      </c>
      <c r="J11" s="14"/>
      <c r="K11" s="14"/>
      <c r="L11" s="14"/>
      <c r="M11" s="14"/>
      <c r="N11" s="14"/>
      <c r="O11" s="14"/>
      <c r="P11" s="14"/>
      <c r="Q11" s="140"/>
      <c r="R11" s="140"/>
      <c r="S11" s="140"/>
      <c r="T11" s="138"/>
      <c r="U11" s="140"/>
      <c r="V11" s="140"/>
      <c r="W11" s="230">
        <v>1</v>
      </c>
      <c r="X11" s="140">
        <v>0</v>
      </c>
      <c r="Y11" s="138"/>
      <c r="Z11" s="137">
        <f t="shared" si="1"/>
        <v>37643</v>
      </c>
      <c r="AA11" s="231">
        <f t="shared" si="2"/>
        <v>37643</v>
      </c>
    </row>
    <row r="12" spans="1:27" s="136" customFormat="1">
      <c r="A12" s="11">
        <v>4</v>
      </c>
      <c r="B12" s="558" t="s">
        <v>812</v>
      </c>
      <c r="C12" s="140" t="s">
        <v>794</v>
      </c>
      <c r="D12" s="140"/>
      <c r="E12" s="553" t="s">
        <v>797</v>
      </c>
      <c r="F12" s="139">
        <v>4</v>
      </c>
      <c r="G12" s="135">
        <f t="shared" si="0"/>
        <v>27846</v>
      </c>
      <c r="H12" s="14"/>
      <c r="I12" s="14">
        <v>27846</v>
      </c>
      <c r="J12" s="14"/>
      <c r="K12" s="14"/>
      <c r="L12" s="14"/>
      <c r="M12" s="14"/>
      <c r="N12" s="14"/>
      <c r="O12" s="14"/>
      <c r="P12" s="14"/>
      <c r="Q12" s="140"/>
      <c r="R12" s="140"/>
      <c r="S12" s="140"/>
      <c r="T12" s="138"/>
      <c r="U12" s="140"/>
      <c r="V12" s="140"/>
      <c r="W12" s="230">
        <v>1</v>
      </c>
      <c r="X12" s="140">
        <v>0</v>
      </c>
      <c r="Y12" s="138"/>
      <c r="Z12" s="137">
        <f t="shared" si="1"/>
        <v>27846</v>
      </c>
      <c r="AA12" s="231">
        <f t="shared" si="2"/>
        <v>27846</v>
      </c>
    </row>
    <row r="13" spans="1:27" s="136" customFormat="1">
      <c r="A13" s="11">
        <v>5</v>
      </c>
      <c r="B13" s="138" t="s">
        <v>813</v>
      </c>
      <c r="C13" s="140" t="s">
        <v>803</v>
      </c>
      <c r="D13" s="140"/>
      <c r="E13" s="553" t="s">
        <v>797</v>
      </c>
      <c r="F13" s="139">
        <v>5</v>
      </c>
      <c r="G13" s="135">
        <f t="shared" si="0"/>
        <v>14265</v>
      </c>
      <c r="H13" s="14"/>
      <c r="I13" s="14">
        <v>14265</v>
      </c>
      <c r="J13" s="138"/>
      <c r="K13" s="14"/>
      <c r="L13" s="138"/>
      <c r="M13" s="14"/>
      <c r="N13" s="14"/>
      <c r="O13" s="14"/>
      <c r="P13" s="14"/>
      <c r="Q13" s="140"/>
      <c r="R13" s="140"/>
      <c r="S13" s="140"/>
      <c r="T13" s="138"/>
      <c r="U13" s="140"/>
      <c r="V13" s="140"/>
      <c r="W13" s="230">
        <v>1</v>
      </c>
      <c r="X13" s="140">
        <v>0</v>
      </c>
      <c r="Y13" s="138"/>
      <c r="Z13" s="137">
        <f t="shared" si="1"/>
        <v>14265</v>
      </c>
      <c r="AA13" s="231">
        <f t="shared" si="2"/>
        <v>14265</v>
      </c>
    </row>
    <row r="14" spans="1:27" s="136" customFormat="1">
      <c r="A14" s="11">
        <v>6</v>
      </c>
      <c r="B14" s="138" t="s">
        <v>805</v>
      </c>
      <c r="C14" s="140" t="s">
        <v>806</v>
      </c>
      <c r="D14" s="140"/>
      <c r="E14" s="553" t="s">
        <v>797</v>
      </c>
      <c r="F14" s="139">
        <v>6</v>
      </c>
      <c r="G14" s="135">
        <f t="shared" si="0"/>
        <v>23615</v>
      </c>
      <c r="H14" s="14"/>
      <c r="I14" s="14">
        <v>23615</v>
      </c>
      <c r="J14" s="14"/>
      <c r="K14" s="14"/>
      <c r="L14" s="14"/>
      <c r="M14" s="138"/>
      <c r="N14" s="14"/>
      <c r="O14" s="14"/>
      <c r="P14" s="14"/>
      <c r="Q14" s="14"/>
      <c r="R14" s="138"/>
      <c r="S14" s="140"/>
      <c r="T14" s="140"/>
      <c r="U14" s="14"/>
      <c r="V14" s="140"/>
      <c r="W14" s="230">
        <v>1</v>
      </c>
      <c r="X14" s="140">
        <v>0</v>
      </c>
      <c r="Y14" s="140"/>
      <c r="Z14" s="137">
        <f t="shared" si="1"/>
        <v>23615</v>
      </c>
      <c r="AA14" s="231">
        <f t="shared" si="2"/>
        <v>23615</v>
      </c>
    </row>
    <row r="15" spans="1:27" s="136" customFormat="1">
      <c r="A15" s="11">
        <v>7</v>
      </c>
      <c r="B15" s="138" t="s">
        <v>807</v>
      </c>
      <c r="C15" s="140" t="s">
        <v>808</v>
      </c>
      <c r="D15" s="140"/>
      <c r="E15" s="553" t="s">
        <v>797</v>
      </c>
      <c r="F15" s="139">
        <v>7</v>
      </c>
      <c r="G15" s="135">
        <f t="shared" ref="G15:G25" si="3">+H15+I15+J15+K15+M15+O15+Q15+S15</f>
        <v>13668</v>
      </c>
      <c r="H15" s="14"/>
      <c r="I15" s="14">
        <v>13668</v>
      </c>
      <c r="J15" s="14"/>
      <c r="K15" s="14"/>
      <c r="L15" s="14"/>
      <c r="M15" s="138"/>
      <c r="N15" s="14"/>
      <c r="O15" s="14"/>
      <c r="P15" s="14"/>
      <c r="Q15" s="14"/>
      <c r="R15" s="138"/>
      <c r="S15" s="140"/>
      <c r="T15" s="140"/>
      <c r="U15" s="14"/>
      <c r="V15" s="140"/>
      <c r="W15" s="230">
        <v>1</v>
      </c>
      <c r="X15" s="140">
        <v>0</v>
      </c>
      <c r="Y15" s="140"/>
      <c r="Z15" s="137">
        <f t="shared" si="1"/>
        <v>13668</v>
      </c>
      <c r="AA15" s="231">
        <f t="shared" si="2"/>
        <v>13668</v>
      </c>
    </row>
    <row r="16" spans="1:27" s="136" customFormat="1">
      <c r="A16" s="11">
        <v>8</v>
      </c>
      <c r="B16" s="138"/>
      <c r="C16" s="140"/>
      <c r="D16" s="140"/>
      <c r="E16" s="553"/>
      <c r="F16" s="139"/>
      <c r="G16" s="135">
        <f t="shared" si="3"/>
        <v>0</v>
      </c>
      <c r="H16" s="14"/>
      <c r="I16" s="14"/>
      <c r="J16" s="14"/>
      <c r="K16" s="14"/>
      <c r="L16" s="14"/>
      <c r="M16" s="138"/>
      <c r="N16" s="14"/>
      <c r="O16" s="14"/>
      <c r="P16" s="14"/>
      <c r="Q16" s="14"/>
      <c r="R16" s="138"/>
      <c r="S16" s="140"/>
      <c r="T16" s="140"/>
      <c r="U16" s="14"/>
      <c r="V16" s="140"/>
      <c r="W16" s="230">
        <v>1</v>
      </c>
      <c r="X16" s="140">
        <v>0</v>
      </c>
      <c r="Y16" s="140"/>
      <c r="Z16" s="137">
        <f t="shared" si="1"/>
        <v>0</v>
      </c>
      <c r="AA16" s="231">
        <f t="shared" si="2"/>
        <v>0</v>
      </c>
    </row>
    <row r="17" spans="1:27" s="136" customFormat="1">
      <c r="A17" s="11">
        <v>9</v>
      </c>
      <c r="B17" s="138"/>
      <c r="C17" s="140"/>
      <c r="D17" s="140"/>
      <c r="E17" s="139"/>
      <c r="F17" s="139"/>
      <c r="G17" s="135">
        <f t="shared" si="3"/>
        <v>0</v>
      </c>
      <c r="H17" s="14"/>
      <c r="I17" s="14"/>
      <c r="J17" s="14"/>
      <c r="K17" s="14"/>
      <c r="L17" s="14"/>
      <c r="M17" s="138"/>
      <c r="N17" s="14"/>
      <c r="O17" s="14"/>
      <c r="P17" s="14"/>
      <c r="Q17" s="14"/>
      <c r="R17" s="138"/>
      <c r="S17" s="140"/>
      <c r="T17" s="140"/>
      <c r="U17" s="14"/>
      <c r="V17" s="140"/>
      <c r="W17" s="230"/>
      <c r="X17" s="140"/>
      <c r="Y17" s="140"/>
      <c r="Z17" s="137">
        <f t="shared" si="1"/>
        <v>0</v>
      </c>
      <c r="AA17" s="231">
        <f t="shared" si="2"/>
        <v>0</v>
      </c>
    </row>
    <row r="18" spans="1:27" s="136" customFormat="1">
      <c r="A18" s="11">
        <v>10</v>
      </c>
      <c r="B18" s="138"/>
      <c r="C18" s="140"/>
      <c r="D18" s="140"/>
      <c r="E18" s="139"/>
      <c r="F18" s="139"/>
      <c r="G18" s="135">
        <f t="shared" si="3"/>
        <v>0</v>
      </c>
      <c r="H18" s="14"/>
      <c r="I18" s="14"/>
      <c r="J18" s="14"/>
      <c r="K18" s="14"/>
      <c r="L18" s="14"/>
      <c r="M18" s="138"/>
      <c r="N18" s="14"/>
      <c r="O18" s="14"/>
      <c r="P18" s="14"/>
      <c r="Q18" s="14"/>
      <c r="R18" s="138"/>
      <c r="S18" s="140"/>
      <c r="T18" s="140"/>
      <c r="U18" s="140"/>
      <c r="V18" s="140"/>
      <c r="W18" s="230"/>
      <c r="X18" s="140"/>
      <c r="Y18" s="140"/>
      <c r="Z18" s="137">
        <f t="shared" si="1"/>
        <v>0</v>
      </c>
      <c r="AA18" s="231">
        <f t="shared" si="2"/>
        <v>0</v>
      </c>
    </row>
    <row r="19" spans="1:27" s="136" customFormat="1">
      <c r="A19" s="11">
        <v>11</v>
      </c>
      <c r="B19" s="138"/>
      <c r="C19" s="140"/>
      <c r="D19" s="140"/>
      <c r="E19" s="139"/>
      <c r="F19" s="139"/>
      <c r="G19" s="135">
        <f t="shared" si="3"/>
        <v>0</v>
      </c>
      <c r="H19" s="14"/>
      <c r="I19" s="14"/>
      <c r="J19" s="14"/>
      <c r="K19" s="14"/>
      <c r="L19" s="14"/>
      <c r="M19" s="138"/>
      <c r="N19" s="14"/>
      <c r="O19" s="14"/>
      <c r="P19" s="14"/>
      <c r="Q19" s="14"/>
      <c r="R19" s="138"/>
      <c r="S19" s="140"/>
      <c r="T19" s="140"/>
      <c r="U19" s="140"/>
      <c r="V19" s="140"/>
      <c r="W19" s="230"/>
      <c r="X19" s="140"/>
      <c r="Y19" s="140"/>
      <c r="Z19" s="137">
        <f t="shared" si="1"/>
        <v>0</v>
      </c>
      <c r="AA19" s="231">
        <f t="shared" si="2"/>
        <v>0</v>
      </c>
    </row>
    <row r="20" spans="1:27" s="136" customFormat="1">
      <c r="A20" s="11">
        <v>12</v>
      </c>
      <c r="B20" s="138"/>
      <c r="C20" s="140"/>
      <c r="D20" s="140"/>
      <c r="E20" s="139"/>
      <c r="F20" s="139"/>
      <c r="G20" s="135">
        <f t="shared" si="3"/>
        <v>0</v>
      </c>
      <c r="H20" s="14"/>
      <c r="I20" s="14"/>
      <c r="J20" s="14"/>
      <c r="K20" s="14"/>
      <c r="L20" s="14"/>
      <c r="M20" s="138"/>
      <c r="N20" s="14"/>
      <c r="O20" s="14"/>
      <c r="P20" s="14"/>
      <c r="Q20" s="14"/>
      <c r="R20" s="138"/>
      <c r="S20" s="140"/>
      <c r="T20" s="140"/>
      <c r="U20" s="140"/>
      <c r="V20" s="140"/>
      <c r="W20" s="230"/>
      <c r="X20" s="140"/>
      <c r="Y20" s="140"/>
      <c r="Z20" s="137">
        <f t="shared" si="1"/>
        <v>0</v>
      </c>
      <c r="AA20" s="231">
        <f t="shared" si="2"/>
        <v>0</v>
      </c>
    </row>
    <row r="21" spans="1:27" s="136" customFormat="1">
      <c r="A21" s="11">
        <v>13</v>
      </c>
      <c r="B21" s="138"/>
      <c r="C21" s="140"/>
      <c r="D21" s="138"/>
      <c r="E21" s="139"/>
      <c r="F21" s="139"/>
      <c r="G21" s="135">
        <f t="shared" si="3"/>
        <v>0</v>
      </c>
      <c r="H21" s="138"/>
      <c r="I21" s="138"/>
      <c r="J21" s="14"/>
      <c r="K21" s="14"/>
      <c r="L21" s="14"/>
      <c r="M21" s="138"/>
      <c r="N21" s="14"/>
      <c r="O21" s="14"/>
      <c r="P21" s="14"/>
      <c r="Q21" s="14"/>
      <c r="R21" s="138"/>
      <c r="S21" s="140"/>
      <c r="T21" s="140"/>
      <c r="U21" s="140"/>
      <c r="V21" s="140"/>
      <c r="W21" s="230"/>
      <c r="X21" s="140"/>
      <c r="Y21" s="140"/>
      <c r="Z21" s="137">
        <f t="shared" si="1"/>
        <v>0</v>
      </c>
      <c r="AA21" s="231">
        <f t="shared" si="2"/>
        <v>0</v>
      </c>
    </row>
    <row r="22" spans="1:27" s="136" customFormat="1">
      <c r="A22" s="11">
        <v>14</v>
      </c>
      <c r="B22" s="138"/>
      <c r="C22" s="556"/>
      <c r="D22" s="140"/>
      <c r="E22" s="139"/>
      <c r="F22" s="139"/>
      <c r="G22" s="135">
        <f t="shared" si="3"/>
        <v>0</v>
      </c>
      <c r="H22" s="138"/>
      <c r="I22" s="141"/>
      <c r="J22" s="138"/>
      <c r="K22" s="138"/>
      <c r="L22" s="138"/>
      <c r="M22" s="138"/>
      <c r="N22" s="14"/>
      <c r="O22" s="14"/>
      <c r="P22" s="14"/>
      <c r="Q22" s="14"/>
      <c r="R22" s="138"/>
      <c r="S22" s="140"/>
      <c r="T22" s="140"/>
      <c r="U22" s="140"/>
      <c r="V22" s="140"/>
      <c r="W22" s="230"/>
      <c r="X22" s="140"/>
      <c r="Y22" s="140"/>
      <c r="Z22" s="137">
        <f t="shared" si="1"/>
        <v>0</v>
      </c>
      <c r="AA22" s="231">
        <f t="shared" si="2"/>
        <v>0</v>
      </c>
    </row>
    <row r="23" spans="1:27" s="136" customFormat="1">
      <c r="A23" s="11">
        <v>15</v>
      </c>
      <c r="B23" s="138"/>
      <c r="C23" s="140"/>
      <c r="D23" s="140"/>
      <c r="E23" s="139"/>
      <c r="F23" s="139"/>
      <c r="G23" s="135">
        <f t="shared" si="3"/>
        <v>0</v>
      </c>
      <c r="H23" s="138"/>
      <c r="I23" s="141"/>
      <c r="J23" s="138"/>
      <c r="K23" s="138"/>
      <c r="L23" s="138"/>
      <c r="M23" s="138"/>
      <c r="N23" s="14"/>
      <c r="O23" s="14"/>
      <c r="P23" s="14"/>
      <c r="Q23" s="14"/>
      <c r="R23" s="138"/>
      <c r="S23" s="140"/>
      <c r="T23" s="140"/>
      <c r="U23" s="140"/>
      <c r="V23" s="140"/>
      <c r="W23" s="230"/>
      <c r="X23" s="140"/>
      <c r="Y23" s="140"/>
      <c r="Z23" s="137">
        <f t="shared" si="1"/>
        <v>0</v>
      </c>
      <c r="AA23" s="231">
        <f t="shared" si="2"/>
        <v>0</v>
      </c>
    </row>
    <row r="24" spans="1:27" s="136" customFormat="1">
      <c r="A24" s="11">
        <v>16</v>
      </c>
      <c r="B24" s="232"/>
      <c r="C24" s="140"/>
      <c r="D24" s="138"/>
      <c r="E24" s="139"/>
      <c r="F24" s="139"/>
      <c r="G24" s="135">
        <f t="shared" si="3"/>
        <v>0</v>
      </c>
      <c r="H24" s="138"/>
      <c r="I24" s="141"/>
      <c r="J24" s="138"/>
      <c r="K24" s="138"/>
      <c r="L24" s="138"/>
      <c r="M24" s="138"/>
      <c r="N24" s="14"/>
      <c r="O24" s="14"/>
      <c r="P24" s="14"/>
      <c r="Q24" s="14"/>
      <c r="R24" s="138"/>
      <c r="S24" s="140"/>
      <c r="T24" s="140"/>
      <c r="U24" s="140"/>
      <c r="V24" s="140"/>
      <c r="W24" s="230"/>
      <c r="X24" s="140"/>
      <c r="Y24" s="140"/>
      <c r="Z24" s="137">
        <f t="shared" si="1"/>
        <v>0</v>
      </c>
      <c r="AA24" s="231">
        <f t="shared" si="2"/>
        <v>0</v>
      </c>
    </row>
    <row r="25" spans="1:27" s="136" customFormat="1">
      <c r="A25" s="11">
        <v>17</v>
      </c>
      <c r="B25" s="232"/>
      <c r="C25" s="140"/>
      <c r="D25" s="140"/>
      <c r="E25" s="139"/>
      <c r="F25" s="139"/>
      <c r="G25" s="135">
        <f t="shared" si="3"/>
        <v>0</v>
      </c>
      <c r="H25" s="138"/>
      <c r="I25" s="138"/>
      <c r="J25" s="138"/>
      <c r="K25" s="138"/>
      <c r="L25" s="138"/>
      <c r="M25" s="138"/>
      <c r="N25" s="14"/>
      <c r="O25" s="14"/>
      <c r="P25" s="14"/>
      <c r="Q25" s="14"/>
      <c r="R25" s="138"/>
      <c r="S25" s="138"/>
      <c r="T25" s="138"/>
      <c r="U25" s="138"/>
      <c r="V25" s="138"/>
      <c r="W25" s="230"/>
      <c r="X25" s="140"/>
      <c r="Y25" s="138"/>
      <c r="Z25" s="137">
        <f t="shared" si="1"/>
        <v>0</v>
      </c>
      <c r="AA25" s="231">
        <f t="shared" si="2"/>
        <v>0</v>
      </c>
    </row>
    <row r="26" spans="1:27" s="136" customFormat="1">
      <c r="A26" s="11">
        <v>18</v>
      </c>
      <c r="B26" s="232"/>
      <c r="C26" s="140"/>
      <c r="D26" s="138"/>
      <c r="E26" s="139"/>
      <c r="F26" s="139"/>
      <c r="G26" s="135">
        <f t="shared" si="0"/>
        <v>0</v>
      </c>
      <c r="H26" s="138"/>
      <c r="I26" s="141"/>
      <c r="J26" s="138"/>
      <c r="K26" s="138"/>
      <c r="L26" s="138"/>
      <c r="M26" s="138"/>
      <c r="N26" s="14"/>
      <c r="O26" s="14"/>
      <c r="P26" s="14"/>
      <c r="Q26" s="14"/>
      <c r="R26" s="138"/>
      <c r="S26" s="138"/>
      <c r="T26" s="138"/>
      <c r="U26" s="138"/>
      <c r="V26" s="138"/>
      <c r="W26" s="230"/>
      <c r="X26" s="140"/>
      <c r="Y26" s="138"/>
      <c r="Z26" s="137">
        <f t="shared" si="1"/>
        <v>0</v>
      </c>
      <c r="AA26" s="231">
        <f t="shared" si="2"/>
        <v>0</v>
      </c>
    </row>
    <row r="27" spans="1:27" s="136" customFormat="1">
      <c r="A27" s="11">
        <v>19</v>
      </c>
      <c r="B27" s="232"/>
      <c r="C27" s="140"/>
      <c r="D27" s="138"/>
      <c r="E27" s="139"/>
      <c r="F27" s="139"/>
      <c r="G27" s="135">
        <f t="shared" si="0"/>
        <v>0</v>
      </c>
      <c r="H27" s="138"/>
      <c r="I27" s="141"/>
      <c r="J27" s="138"/>
      <c r="K27" s="138"/>
      <c r="L27" s="138"/>
      <c r="M27" s="138"/>
      <c r="N27" s="14"/>
      <c r="O27" s="14"/>
      <c r="P27" s="14"/>
      <c r="Q27" s="14"/>
      <c r="R27" s="138"/>
      <c r="S27" s="138"/>
      <c r="T27" s="138"/>
      <c r="U27" s="138"/>
      <c r="V27" s="138"/>
      <c r="W27" s="230"/>
      <c r="X27" s="140"/>
      <c r="Y27" s="138"/>
      <c r="Z27" s="137">
        <f t="shared" si="1"/>
        <v>0</v>
      </c>
      <c r="AA27" s="231">
        <f t="shared" si="2"/>
        <v>0</v>
      </c>
    </row>
    <row r="28" spans="1:27" s="136" customFormat="1">
      <c r="A28" s="11">
        <v>20</v>
      </c>
      <c r="B28" s="232"/>
      <c r="C28" s="140"/>
      <c r="D28" s="138"/>
      <c r="E28" s="139"/>
      <c r="F28" s="139"/>
      <c r="G28" s="135">
        <f t="shared" si="0"/>
        <v>0</v>
      </c>
      <c r="H28" s="138"/>
      <c r="I28" s="141"/>
      <c r="J28" s="138"/>
      <c r="K28" s="138"/>
      <c r="L28" s="138"/>
      <c r="M28" s="138"/>
      <c r="N28" s="14"/>
      <c r="O28" s="14"/>
      <c r="P28" s="14"/>
      <c r="Q28" s="14"/>
      <c r="R28" s="138"/>
      <c r="S28" s="138"/>
      <c r="T28" s="138"/>
      <c r="U28" s="138"/>
      <c r="V28" s="138"/>
      <c r="W28" s="230"/>
      <c r="X28" s="140"/>
      <c r="Y28" s="138"/>
      <c r="Z28" s="137">
        <f t="shared" si="1"/>
        <v>0</v>
      </c>
      <c r="AA28" s="231">
        <f t="shared" si="2"/>
        <v>0</v>
      </c>
    </row>
    <row r="29" spans="1:27" s="136" customFormat="1">
      <c r="A29" s="11">
        <v>21</v>
      </c>
      <c r="B29" s="232"/>
      <c r="C29" s="140"/>
      <c r="D29" s="138"/>
      <c r="E29" s="139"/>
      <c r="F29" s="139"/>
      <c r="G29" s="135">
        <f t="shared" si="0"/>
        <v>0</v>
      </c>
      <c r="H29" s="138"/>
      <c r="I29" s="141"/>
      <c r="J29" s="138"/>
      <c r="K29" s="138"/>
      <c r="L29" s="138"/>
      <c r="M29" s="138"/>
      <c r="N29" s="14"/>
      <c r="O29" s="14"/>
      <c r="P29" s="14"/>
      <c r="Q29" s="14"/>
      <c r="R29" s="138"/>
      <c r="S29" s="138"/>
      <c r="T29" s="138"/>
      <c r="U29" s="138"/>
      <c r="V29" s="138"/>
      <c r="W29" s="230"/>
      <c r="X29" s="140"/>
      <c r="Y29" s="138"/>
      <c r="Z29" s="137">
        <f t="shared" si="1"/>
        <v>0</v>
      </c>
      <c r="AA29" s="231">
        <f t="shared" si="2"/>
        <v>0</v>
      </c>
    </row>
    <row r="30" spans="1:27" s="136" customFormat="1">
      <c r="A30" s="11">
        <v>22</v>
      </c>
      <c r="B30" s="232"/>
      <c r="C30" s="140"/>
      <c r="D30" s="138"/>
      <c r="E30" s="139"/>
      <c r="F30" s="139"/>
      <c r="G30" s="135">
        <f t="shared" si="0"/>
        <v>0</v>
      </c>
      <c r="H30" s="138"/>
      <c r="I30" s="141"/>
      <c r="J30" s="138"/>
      <c r="K30" s="138"/>
      <c r="L30" s="138"/>
      <c r="M30" s="138"/>
      <c r="N30" s="14"/>
      <c r="O30" s="14"/>
      <c r="P30" s="14"/>
      <c r="Q30" s="14"/>
      <c r="R30" s="138"/>
      <c r="S30" s="138"/>
      <c r="T30" s="138"/>
      <c r="U30" s="138"/>
      <c r="V30" s="138"/>
      <c r="W30" s="230"/>
      <c r="X30" s="140"/>
      <c r="Y30" s="138"/>
      <c r="Z30" s="137">
        <f t="shared" si="1"/>
        <v>0</v>
      </c>
      <c r="AA30" s="231">
        <f t="shared" si="2"/>
        <v>0</v>
      </c>
    </row>
    <row r="31" spans="1:27" s="136" customFormat="1">
      <c r="A31" s="11">
        <v>23</v>
      </c>
      <c r="B31" s="232"/>
      <c r="C31" s="140"/>
      <c r="D31" s="138"/>
      <c r="E31" s="139"/>
      <c r="F31" s="139"/>
      <c r="G31" s="135">
        <f t="shared" si="0"/>
        <v>0</v>
      </c>
      <c r="H31" s="138"/>
      <c r="I31" s="141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230"/>
      <c r="X31" s="140"/>
      <c r="Y31" s="138"/>
      <c r="Z31" s="137">
        <f t="shared" si="1"/>
        <v>0</v>
      </c>
      <c r="AA31" s="231">
        <f t="shared" si="2"/>
        <v>0</v>
      </c>
    </row>
    <row r="32" spans="1:27" s="136" customFormat="1">
      <c r="A32" s="11">
        <v>24</v>
      </c>
      <c r="B32" s="138"/>
      <c r="C32" s="140"/>
      <c r="D32" s="138"/>
      <c r="E32" s="139"/>
      <c r="F32" s="139"/>
      <c r="G32" s="135">
        <f t="shared" si="0"/>
        <v>0</v>
      </c>
      <c r="H32" s="138"/>
      <c r="I32" s="141"/>
      <c r="J32" s="138"/>
      <c r="K32" s="138"/>
      <c r="L32" s="138"/>
      <c r="M32" s="138"/>
      <c r="N32" s="14"/>
      <c r="O32" s="14"/>
      <c r="P32" s="14"/>
      <c r="Q32" s="14"/>
      <c r="R32" s="138"/>
      <c r="S32" s="138"/>
      <c r="T32" s="138"/>
      <c r="U32" s="138"/>
      <c r="V32" s="138"/>
      <c r="W32" s="230"/>
      <c r="X32" s="140"/>
      <c r="Y32" s="138"/>
      <c r="Z32" s="137">
        <f t="shared" si="1"/>
        <v>0</v>
      </c>
      <c r="AA32" s="231">
        <f t="shared" si="2"/>
        <v>0</v>
      </c>
    </row>
    <row r="33" spans="1:27" s="136" customFormat="1">
      <c r="A33" s="11">
        <v>25</v>
      </c>
      <c r="B33" s="232"/>
      <c r="C33" s="140"/>
      <c r="D33" s="138"/>
      <c r="E33" s="139"/>
      <c r="F33" s="139"/>
      <c r="G33" s="135">
        <f t="shared" si="0"/>
        <v>0</v>
      </c>
      <c r="H33" s="138"/>
      <c r="I33" s="142"/>
      <c r="J33" s="138"/>
      <c r="K33" s="138"/>
      <c r="L33" s="138"/>
      <c r="M33" s="138"/>
      <c r="N33" s="14"/>
      <c r="O33" s="14"/>
      <c r="P33" s="14"/>
      <c r="Q33" s="14"/>
      <c r="R33" s="138"/>
      <c r="S33" s="138"/>
      <c r="T33" s="138"/>
      <c r="U33" s="138"/>
      <c r="V33" s="138"/>
      <c r="W33" s="230"/>
      <c r="X33" s="140"/>
      <c r="Y33" s="138"/>
      <c r="Z33" s="137">
        <f t="shared" si="1"/>
        <v>0</v>
      </c>
      <c r="AA33" s="231">
        <f t="shared" si="2"/>
        <v>0</v>
      </c>
    </row>
    <row r="34" spans="1:27" s="136" customFormat="1">
      <c r="A34" s="11">
        <v>26</v>
      </c>
      <c r="B34" s="232"/>
      <c r="C34" s="140"/>
      <c r="D34" s="138"/>
      <c r="E34" s="139"/>
      <c r="F34" s="139"/>
      <c r="G34" s="135">
        <f t="shared" si="0"/>
        <v>0</v>
      </c>
      <c r="H34" s="138"/>
      <c r="I34" s="138"/>
      <c r="J34" s="138"/>
      <c r="K34" s="138"/>
      <c r="L34" s="138"/>
      <c r="M34" s="138"/>
      <c r="N34" s="14"/>
      <c r="O34" s="14"/>
      <c r="P34" s="14"/>
      <c r="Q34" s="14"/>
      <c r="R34" s="138"/>
      <c r="S34" s="138"/>
      <c r="T34" s="138"/>
      <c r="U34" s="138"/>
      <c r="V34" s="138"/>
      <c r="W34" s="230"/>
      <c r="X34" s="140"/>
      <c r="Y34" s="138"/>
      <c r="Z34" s="137">
        <f t="shared" si="1"/>
        <v>0</v>
      </c>
      <c r="AA34" s="231">
        <f t="shared" si="2"/>
        <v>0</v>
      </c>
    </row>
    <row r="35" spans="1:27" s="136" customFormat="1">
      <c r="A35" s="11">
        <v>27</v>
      </c>
      <c r="B35" s="232"/>
      <c r="C35" s="140"/>
      <c r="D35" s="138"/>
      <c r="E35" s="139"/>
      <c r="F35" s="139"/>
      <c r="G35" s="135">
        <f t="shared" si="0"/>
        <v>0</v>
      </c>
      <c r="H35" s="138"/>
      <c r="I35" s="141"/>
      <c r="J35" s="138"/>
      <c r="K35" s="138"/>
      <c r="L35" s="138"/>
      <c r="M35" s="138"/>
      <c r="N35" s="14"/>
      <c r="O35" s="14"/>
      <c r="P35" s="14"/>
      <c r="Q35" s="14"/>
      <c r="R35" s="138"/>
      <c r="S35" s="138"/>
      <c r="T35" s="138"/>
      <c r="U35" s="138"/>
      <c r="V35" s="138"/>
      <c r="W35" s="230"/>
      <c r="X35" s="140"/>
      <c r="Y35" s="138"/>
      <c r="Z35" s="137">
        <f t="shared" si="1"/>
        <v>0</v>
      </c>
      <c r="AA35" s="231">
        <f t="shared" si="2"/>
        <v>0</v>
      </c>
    </row>
    <row r="36" spans="1:27" s="136" customFormat="1">
      <c r="A36" s="11">
        <v>28</v>
      </c>
      <c r="B36" s="232"/>
      <c r="C36" s="140"/>
      <c r="D36" s="138"/>
      <c r="E36" s="139"/>
      <c r="F36" s="139"/>
      <c r="G36" s="135">
        <f t="shared" si="0"/>
        <v>0</v>
      </c>
      <c r="H36" s="138"/>
      <c r="I36" s="141"/>
      <c r="J36" s="138"/>
      <c r="K36" s="138"/>
      <c r="L36" s="138"/>
      <c r="M36" s="138"/>
      <c r="N36" s="14"/>
      <c r="O36" s="14"/>
      <c r="P36" s="14"/>
      <c r="Q36" s="14"/>
      <c r="R36" s="138"/>
      <c r="S36" s="138"/>
      <c r="T36" s="138"/>
      <c r="U36" s="138"/>
      <c r="V36" s="138"/>
      <c r="W36" s="230"/>
      <c r="X36" s="140"/>
      <c r="Y36" s="138"/>
      <c r="Z36" s="137">
        <f t="shared" si="1"/>
        <v>0</v>
      </c>
      <c r="AA36" s="231">
        <f t="shared" si="2"/>
        <v>0</v>
      </c>
    </row>
    <row r="37" spans="1:27" s="136" customFormat="1">
      <c r="A37" s="11">
        <v>29</v>
      </c>
      <c r="B37" s="138"/>
      <c r="C37" s="140"/>
      <c r="D37" s="138"/>
      <c r="E37" s="139"/>
      <c r="F37" s="139"/>
      <c r="G37" s="135">
        <f t="shared" si="0"/>
        <v>0</v>
      </c>
      <c r="H37" s="138"/>
      <c r="I37" s="138"/>
      <c r="J37" s="138"/>
      <c r="K37" s="138"/>
      <c r="L37" s="138"/>
      <c r="M37" s="138"/>
      <c r="N37" s="14"/>
      <c r="O37" s="14"/>
      <c r="P37" s="14"/>
      <c r="Q37" s="14"/>
      <c r="R37" s="138"/>
      <c r="S37" s="138"/>
      <c r="T37" s="138"/>
      <c r="U37" s="138"/>
      <c r="V37" s="138"/>
      <c r="W37" s="230"/>
      <c r="X37" s="140"/>
      <c r="Y37" s="138"/>
      <c r="Z37" s="137">
        <f t="shared" si="1"/>
        <v>0</v>
      </c>
      <c r="AA37" s="231">
        <f t="shared" si="2"/>
        <v>0</v>
      </c>
    </row>
    <row r="38" spans="1:27" s="136" customFormat="1">
      <c r="A38" s="11">
        <v>30</v>
      </c>
      <c r="B38" s="138"/>
      <c r="C38" s="140"/>
      <c r="D38" s="138"/>
      <c r="E38" s="139"/>
      <c r="F38" s="139"/>
      <c r="G38" s="135">
        <f t="shared" si="0"/>
        <v>0</v>
      </c>
      <c r="H38" s="138"/>
      <c r="I38" s="138"/>
      <c r="J38" s="138"/>
      <c r="K38" s="138"/>
      <c r="L38" s="138"/>
      <c r="M38" s="138"/>
      <c r="N38" s="14"/>
      <c r="O38" s="14"/>
      <c r="P38" s="14"/>
      <c r="Q38" s="14"/>
      <c r="R38" s="138"/>
      <c r="S38" s="138"/>
      <c r="T38" s="138"/>
      <c r="U38" s="138"/>
      <c r="V38" s="138"/>
      <c r="W38" s="230"/>
      <c r="X38" s="140"/>
      <c r="Y38" s="138"/>
      <c r="Z38" s="137">
        <f t="shared" si="1"/>
        <v>0</v>
      </c>
      <c r="AA38" s="231">
        <f t="shared" si="2"/>
        <v>0</v>
      </c>
    </row>
    <row r="39" spans="1:27" s="136" customFormat="1">
      <c r="A39" s="11">
        <v>31</v>
      </c>
      <c r="B39" s="138"/>
      <c r="C39" s="140"/>
      <c r="D39" s="138"/>
      <c r="E39" s="139"/>
      <c r="F39" s="139"/>
      <c r="G39" s="135">
        <f t="shared" si="0"/>
        <v>0</v>
      </c>
      <c r="H39" s="138"/>
      <c r="I39" s="138"/>
      <c r="J39" s="138"/>
      <c r="K39" s="138"/>
      <c r="L39" s="138"/>
      <c r="M39" s="138"/>
      <c r="N39" s="14"/>
      <c r="O39" s="14"/>
      <c r="P39" s="14"/>
      <c r="Q39" s="14"/>
      <c r="R39" s="138"/>
      <c r="S39" s="138"/>
      <c r="T39" s="138"/>
      <c r="U39" s="138"/>
      <c r="V39" s="138"/>
      <c r="W39" s="230"/>
      <c r="X39" s="140"/>
      <c r="Y39" s="138"/>
      <c r="Z39" s="137">
        <f t="shared" si="1"/>
        <v>0</v>
      </c>
      <c r="AA39" s="231">
        <f t="shared" si="2"/>
        <v>0</v>
      </c>
    </row>
    <row r="40" spans="1:27" s="136" customFormat="1">
      <c r="A40" s="11">
        <v>32</v>
      </c>
      <c r="B40" s="232"/>
      <c r="C40" s="140"/>
      <c r="D40" s="140"/>
      <c r="E40" s="139"/>
      <c r="F40" s="139"/>
      <c r="G40" s="135">
        <f t="shared" si="0"/>
        <v>0</v>
      </c>
      <c r="H40" s="138"/>
      <c r="I40" s="141"/>
      <c r="J40" s="138"/>
      <c r="K40" s="138"/>
      <c r="L40" s="138"/>
      <c r="M40" s="138"/>
      <c r="N40" s="14"/>
      <c r="O40" s="14"/>
      <c r="P40" s="14"/>
      <c r="Q40" s="14"/>
      <c r="R40" s="138"/>
      <c r="S40" s="138"/>
      <c r="T40" s="138"/>
      <c r="U40" s="138"/>
      <c r="V40" s="138"/>
      <c r="W40" s="230"/>
      <c r="X40" s="140"/>
      <c r="Y40" s="138"/>
      <c r="Z40" s="137">
        <f t="shared" si="1"/>
        <v>0</v>
      </c>
      <c r="AA40" s="231">
        <f t="shared" si="2"/>
        <v>0</v>
      </c>
    </row>
    <row r="41" spans="1:27" s="136" customFormat="1">
      <c r="A41" s="11">
        <v>33</v>
      </c>
      <c r="B41" s="232"/>
      <c r="C41" s="140"/>
      <c r="D41" s="140"/>
      <c r="E41" s="139"/>
      <c r="F41" s="139"/>
      <c r="G41" s="135">
        <f t="shared" ref="G41:G88" si="4">+H41+I41+J41+K41+M41+O41+Q41+S41</f>
        <v>0</v>
      </c>
      <c r="H41" s="138"/>
      <c r="I41" s="138"/>
      <c r="J41" s="138"/>
      <c r="K41" s="138"/>
      <c r="L41" s="138"/>
      <c r="M41" s="138"/>
      <c r="N41" s="14"/>
      <c r="O41" s="14"/>
      <c r="P41" s="14"/>
      <c r="Q41" s="14"/>
      <c r="R41" s="138"/>
      <c r="S41" s="138"/>
      <c r="T41" s="138"/>
      <c r="U41" s="138"/>
      <c r="V41" s="138"/>
      <c r="W41" s="230"/>
      <c r="X41" s="140"/>
      <c r="Y41" s="138"/>
      <c r="Z41" s="137">
        <f t="shared" ref="Z41:Z88" si="5">+G41-V41-X41</f>
        <v>0</v>
      </c>
      <c r="AA41" s="231">
        <f t="shared" si="2"/>
        <v>0</v>
      </c>
    </row>
    <row r="42" spans="1:27" s="136" customFormat="1">
      <c r="A42" s="11">
        <v>34</v>
      </c>
      <c r="B42" s="232"/>
      <c r="C42" s="140"/>
      <c r="D42" s="140"/>
      <c r="E42" s="139"/>
      <c r="F42" s="139"/>
      <c r="G42" s="135">
        <f t="shared" si="4"/>
        <v>0</v>
      </c>
      <c r="H42" s="138"/>
      <c r="I42" s="138"/>
      <c r="J42" s="138"/>
      <c r="K42" s="138"/>
      <c r="L42" s="138"/>
      <c r="M42" s="138"/>
      <c r="N42" s="14"/>
      <c r="O42" s="14"/>
      <c r="P42" s="14"/>
      <c r="Q42" s="14"/>
      <c r="R42" s="138"/>
      <c r="S42" s="138"/>
      <c r="T42" s="138"/>
      <c r="U42" s="138"/>
      <c r="V42" s="138"/>
      <c r="W42" s="230"/>
      <c r="X42" s="140"/>
      <c r="Y42" s="138"/>
      <c r="Z42" s="137">
        <f t="shared" si="5"/>
        <v>0</v>
      </c>
      <c r="AA42" s="231">
        <f t="shared" si="2"/>
        <v>0</v>
      </c>
    </row>
    <row r="43" spans="1:27" s="136" customFormat="1">
      <c r="A43" s="11">
        <v>35</v>
      </c>
      <c r="B43" s="138"/>
      <c r="C43" s="140"/>
      <c r="D43" s="138"/>
      <c r="E43" s="139"/>
      <c r="F43" s="139"/>
      <c r="G43" s="135">
        <f t="shared" si="4"/>
        <v>0</v>
      </c>
      <c r="H43" s="138"/>
      <c r="I43" s="138"/>
      <c r="J43" s="138"/>
      <c r="K43" s="138"/>
      <c r="L43" s="138"/>
      <c r="M43" s="138"/>
      <c r="N43" s="14"/>
      <c r="O43" s="14"/>
      <c r="P43" s="14"/>
      <c r="Q43" s="14"/>
      <c r="R43" s="138"/>
      <c r="S43" s="138"/>
      <c r="T43" s="138"/>
      <c r="U43" s="138"/>
      <c r="V43" s="138"/>
      <c r="W43" s="230"/>
      <c r="X43" s="138"/>
      <c r="Y43" s="138"/>
      <c r="Z43" s="137">
        <f t="shared" si="5"/>
        <v>0</v>
      </c>
      <c r="AA43" s="231">
        <f t="shared" si="2"/>
        <v>0</v>
      </c>
    </row>
    <row r="44" spans="1:27" s="136" customFormat="1">
      <c r="A44" s="11">
        <v>36</v>
      </c>
      <c r="B44" s="138"/>
      <c r="C44" s="140"/>
      <c r="D44" s="138"/>
      <c r="E44" s="139"/>
      <c r="F44" s="139"/>
      <c r="G44" s="135">
        <f t="shared" si="4"/>
        <v>0</v>
      </c>
      <c r="H44" s="138"/>
      <c r="I44" s="138"/>
      <c r="J44" s="138"/>
      <c r="K44" s="138"/>
      <c r="L44" s="138"/>
      <c r="M44" s="138"/>
      <c r="N44" s="14"/>
      <c r="O44" s="14"/>
      <c r="P44" s="14"/>
      <c r="Q44" s="14"/>
      <c r="R44" s="138"/>
      <c r="S44" s="138"/>
      <c r="T44" s="138"/>
      <c r="U44" s="138"/>
      <c r="V44" s="138"/>
      <c r="W44" s="230"/>
      <c r="X44" s="138"/>
      <c r="Y44" s="138"/>
      <c r="Z44" s="137">
        <f t="shared" si="5"/>
        <v>0</v>
      </c>
      <c r="AA44" s="231">
        <f t="shared" si="2"/>
        <v>0</v>
      </c>
    </row>
    <row r="45" spans="1:27" s="136" customFormat="1">
      <c r="A45" s="11">
        <v>37</v>
      </c>
      <c r="B45" s="138"/>
      <c r="C45" s="140"/>
      <c r="D45" s="138"/>
      <c r="E45" s="139"/>
      <c r="F45" s="139"/>
      <c r="G45" s="135">
        <f t="shared" si="4"/>
        <v>0</v>
      </c>
      <c r="H45" s="138"/>
      <c r="I45" s="138"/>
      <c r="J45" s="138"/>
      <c r="K45" s="138"/>
      <c r="L45" s="138"/>
      <c r="M45" s="138"/>
      <c r="N45" s="14"/>
      <c r="O45" s="14"/>
      <c r="P45" s="14"/>
      <c r="Q45" s="14"/>
      <c r="R45" s="138"/>
      <c r="S45" s="138"/>
      <c r="T45" s="138"/>
      <c r="U45" s="138"/>
      <c r="V45" s="138"/>
      <c r="W45" s="230"/>
      <c r="X45" s="138"/>
      <c r="Y45" s="138"/>
      <c r="Z45" s="137">
        <f t="shared" si="5"/>
        <v>0</v>
      </c>
      <c r="AA45" s="231">
        <f t="shared" si="2"/>
        <v>0</v>
      </c>
    </row>
    <row r="46" spans="1:27" s="136" customFormat="1">
      <c r="A46" s="11">
        <v>38</v>
      </c>
      <c r="B46" s="138"/>
      <c r="C46" s="140"/>
      <c r="D46" s="138"/>
      <c r="E46" s="139"/>
      <c r="F46" s="139"/>
      <c r="G46" s="135">
        <f t="shared" si="4"/>
        <v>0</v>
      </c>
      <c r="H46" s="138"/>
      <c r="I46" s="138"/>
      <c r="J46" s="138"/>
      <c r="K46" s="138"/>
      <c r="L46" s="138"/>
      <c r="M46" s="138"/>
      <c r="N46" s="14"/>
      <c r="O46" s="14"/>
      <c r="P46" s="14"/>
      <c r="Q46" s="14"/>
      <c r="R46" s="138"/>
      <c r="S46" s="138"/>
      <c r="T46" s="138"/>
      <c r="U46" s="138"/>
      <c r="V46" s="138"/>
      <c r="W46" s="230"/>
      <c r="X46" s="138"/>
      <c r="Y46" s="138"/>
      <c r="Z46" s="137">
        <f t="shared" si="5"/>
        <v>0</v>
      </c>
      <c r="AA46" s="231">
        <f t="shared" si="2"/>
        <v>0</v>
      </c>
    </row>
    <row r="47" spans="1:27" s="136" customFormat="1">
      <c r="A47" s="11">
        <v>39</v>
      </c>
      <c r="B47" s="138"/>
      <c r="C47" s="140"/>
      <c r="D47" s="138"/>
      <c r="E47" s="139"/>
      <c r="F47" s="139"/>
      <c r="G47" s="135">
        <f t="shared" ref="G47:G53" si="6">+H47+I47+J47+K47+M47+O47+Q47+S47</f>
        <v>0</v>
      </c>
      <c r="H47" s="138"/>
      <c r="I47" s="138"/>
      <c r="J47" s="138"/>
      <c r="K47" s="138"/>
      <c r="L47" s="138"/>
      <c r="M47" s="138"/>
      <c r="N47" s="14"/>
      <c r="O47" s="14"/>
      <c r="P47" s="14"/>
      <c r="Q47" s="14"/>
      <c r="R47" s="138"/>
      <c r="S47" s="138"/>
      <c r="T47" s="138"/>
      <c r="U47" s="138"/>
      <c r="V47" s="138"/>
      <c r="W47" s="230"/>
      <c r="X47" s="138"/>
      <c r="Y47" s="138"/>
      <c r="Z47" s="137">
        <f t="shared" ref="Z47:Z53" si="7">+G47-V47-X47</f>
        <v>0</v>
      </c>
      <c r="AA47" s="231">
        <f t="shared" si="2"/>
        <v>0</v>
      </c>
    </row>
    <row r="48" spans="1:27" s="136" customFormat="1">
      <c r="A48" s="11">
        <v>40</v>
      </c>
      <c r="B48" s="138"/>
      <c r="C48" s="140"/>
      <c r="D48" s="138"/>
      <c r="E48" s="139"/>
      <c r="F48" s="139"/>
      <c r="G48" s="135">
        <f t="shared" si="6"/>
        <v>0</v>
      </c>
      <c r="H48" s="138"/>
      <c r="I48" s="138"/>
      <c r="J48" s="138"/>
      <c r="K48" s="138"/>
      <c r="L48" s="138"/>
      <c r="M48" s="138"/>
      <c r="N48" s="14"/>
      <c r="O48" s="14"/>
      <c r="P48" s="14"/>
      <c r="Q48" s="14"/>
      <c r="R48" s="138"/>
      <c r="S48" s="138"/>
      <c r="T48" s="138"/>
      <c r="U48" s="138"/>
      <c r="V48" s="138"/>
      <c r="W48" s="230"/>
      <c r="X48" s="138"/>
      <c r="Y48" s="138"/>
      <c r="Z48" s="137">
        <f t="shared" si="7"/>
        <v>0</v>
      </c>
      <c r="AA48" s="231">
        <f t="shared" si="2"/>
        <v>0</v>
      </c>
    </row>
    <row r="49" spans="1:27" s="136" customFormat="1">
      <c r="A49" s="11">
        <v>41</v>
      </c>
      <c r="B49" s="138"/>
      <c r="C49" s="140"/>
      <c r="D49" s="138"/>
      <c r="E49" s="139"/>
      <c r="F49" s="139"/>
      <c r="G49" s="135">
        <f t="shared" si="6"/>
        <v>0</v>
      </c>
      <c r="H49" s="138"/>
      <c r="I49" s="138"/>
      <c r="J49" s="138"/>
      <c r="K49" s="138"/>
      <c r="L49" s="138"/>
      <c r="M49" s="138"/>
      <c r="N49" s="14"/>
      <c r="O49" s="14"/>
      <c r="P49" s="14"/>
      <c r="Q49" s="14"/>
      <c r="R49" s="138"/>
      <c r="S49" s="138"/>
      <c r="T49" s="138"/>
      <c r="U49" s="138"/>
      <c r="V49" s="138"/>
      <c r="W49" s="230"/>
      <c r="X49" s="138"/>
      <c r="Y49" s="138"/>
      <c r="Z49" s="137">
        <f t="shared" si="7"/>
        <v>0</v>
      </c>
      <c r="AA49" s="231">
        <f t="shared" si="2"/>
        <v>0</v>
      </c>
    </row>
    <row r="50" spans="1:27" s="136" customFormat="1">
      <c r="A50" s="11">
        <v>42</v>
      </c>
      <c r="B50" s="138"/>
      <c r="C50" s="140"/>
      <c r="D50" s="138"/>
      <c r="E50" s="139"/>
      <c r="F50" s="139"/>
      <c r="G50" s="135">
        <f t="shared" si="6"/>
        <v>0</v>
      </c>
      <c r="H50" s="138"/>
      <c r="I50" s="138"/>
      <c r="J50" s="138"/>
      <c r="K50" s="138"/>
      <c r="L50" s="138"/>
      <c r="M50" s="138"/>
      <c r="N50" s="14"/>
      <c r="O50" s="14"/>
      <c r="P50" s="14"/>
      <c r="Q50" s="14"/>
      <c r="R50" s="138"/>
      <c r="S50" s="138"/>
      <c r="T50" s="138"/>
      <c r="U50" s="138"/>
      <c r="V50" s="138"/>
      <c r="W50" s="230"/>
      <c r="X50" s="138"/>
      <c r="Y50" s="138"/>
      <c r="Z50" s="137">
        <f t="shared" si="7"/>
        <v>0</v>
      </c>
      <c r="AA50" s="231">
        <f t="shared" si="2"/>
        <v>0</v>
      </c>
    </row>
    <row r="51" spans="1:27" s="136" customFormat="1">
      <c r="A51" s="11">
        <v>43</v>
      </c>
      <c r="B51" s="138"/>
      <c r="C51" s="138"/>
      <c r="D51" s="138"/>
      <c r="E51" s="139"/>
      <c r="F51" s="139"/>
      <c r="G51" s="135">
        <f t="shared" si="6"/>
        <v>0</v>
      </c>
      <c r="H51" s="138"/>
      <c r="I51" s="138"/>
      <c r="J51" s="138"/>
      <c r="K51" s="138"/>
      <c r="L51" s="138"/>
      <c r="M51" s="138"/>
      <c r="N51" s="14"/>
      <c r="O51" s="14"/>
      <c r="P51" s="14"/>
      <c r="Q51" s="14"/>
      <c r="R51" s="138"/>
      <c r="S51" s="138"/>
      <c r="T51" s="138"/>
      <c r="U51" s="138"/>
      <c r="V51" s="138"/>
      <c r="W51" s="138"/>
      <c r="X51" s="138"/>
      <c r="Y51" s="138"/>
      <c r="Z51" s="137">
        <f t="shared" si="7"/>
        <v>0</v>
      </c>
      <c r="AA51" s="231">
        <f t="shared" si="2"/>
        <v>0</v>
      </c>
    </row>
    <row r="52" spans="1:27" s="136" customFormat="1">
      <c r="A52" s="11">
        <v>44</v>
      </c>
      <c r="B52" s="138"/>
      <c r="C52" s="138"/>
      <c r="D52" s="138"/>
      <c r="E52" s="139"/>
      <c r="F52" s="139"/>
      <c r="G52" s="135">
        <f t="shared" si="6"/>
        <v>0</v>
      </c>
      <c r="H52" s="138"/>
      <c r="I52" s="138"/>
      <c r="J52" s="138"/>
      <c r="K52" s="138"/>
      <c r="L52" s="138"/>
      <c r="M52" s="138"/>
      <c r="N52" s="14"/>
      <c r="O52" s="14"/>
      <c r="P52" s="14"/>
      <c r="Q52" s="14"/>
      <c r="R52" s="138"/>
      <c r="S52" s="138"/>
      <c r="T52" s="138"/>
      <c r="U52" s="138"/>
      <c r="V52" s="138"/>
      <c r="W52" s="138"/>
      <c r="X52" s="138"/>
      <c r="Y52" s="138"/>
      <c r="Z52" s="137">
        <f t="shared" si="7"/>
        <v>0</v>
      </c>
      <c r="AA52" s="231">
        <f t="shared" si="2"/>
        <v>0</v>
      </c>
    </row>
    <row r="53" spans="1:27" s="136" customFormat="1">
      <c r="A53" s="11">
        <v>45</v>
      </c>
      <c r="B53" s="138"/>
      <c r="C53" s="138"/>
      <c r="D53" s="138"/>
      <c r="E53" s="139"/>
      <c r="F53" s="139"/>
      <c r="G53" s="135">
        <f t="shared" si="6"/>
        <v>0</v>
      </c>
      <c r="H53" s="138"/>
      <c r="I53" s="138"/>
      <c r="J53" s="138"/>
      <c r="K53" s="138"/>
      <c r="L53" s="138"/>
      <c r="M53" s="138"/>
      <c r="N53" s="14"/>
      <c r="O53" s="14"/>
      <c r="P53" s="14"/>
      <c r="Q53" s="14"/>
      <c r="R53" s="138"/>
      <c r="S53" s="138"/>
      <c r="T53" s="138"/>
      <c r="U53" s="138"/>
      <c r="V53" s="138"/>
      <c r="W53" s="138"/>
      <c r="X53" s="138"/>
      <c r="Y53" s="138"/>
      <c r="Z53" s="137">
        <f t="shared" si="7"/>
        <v>0</v>
      </c>
      <c r="AA53" s="231">
        <f t="shared" si="2"/>
        <v>0</v>
      </c>
    </row>
    <row r="54" spans="1:27" s="136" customFormat="1">
      <c r="A54" s="11">
        <v>46</v>
      </c>
      <c r="B54" s="138"/>
      <c r="C54" s="138"/>
      <c r="D54" s="138"/>
      <c r="E54" s="139"/>
      <c r="F54" s="139"/>
      <c r="G54" s="135">
        <f t="shared" ref="G54:G75" si="8">+H54+I54+J54+K54+M54+O54+Q54+S54</f>
        <v>0</v>
      </c>
      <c r="H54" s="138"/>
      <c r="I54" s="138"/>
      <c r="J54" s="138"/>
      <c r="K54" s="138"/>
      <c r="L54" s="138"/>
      <c r="M54" s="138"/>
      <c r="N54" s="14"/>
      <c r="O54" s="14"/>
      <c r="P54" s="14"/>
      <c r="Q54" s="14"/>
      <c r="R54" s="138"/>
      <c r="S54" s="138"/>
      <c r="T54" s="138"/>
      <c r="U54" s="138"/>
      <c r="V54" s="138"/>
      <c r="W54" s="138"/>
      <c r="X54" s="138"/>
      <c r="Y54" s="138"/>
      <c r="Z54" s="137">
        <f t="shared" ref="Z54:Z75" si="9">+G54-V54-X54</f>
        <v>0</v>
      </c>
      <c r="AA54" s="231">
        <f t="shared" si="2"/>
        <v>0</v>
      </c>
    </row>
    <row r="55" spans="1:27" s="136" customFormat="1">
      <c r="A55" s="11">
        <v>47</v>
      </c>
      <c r="B55" s="138"/>
      <c r="C55" s="138"/>
      <c r="D55" s="138"/>
      <c r="E55" s="139"/>
      <c r="F55" s="139"/>
      <c r="G55" s="135">
        <f t="shared" si="8"/>
        <v>0</v>
      </c>
      <c r="H55" s="138"/>
      <c r="I55" s="138"/>
      <c r="J55" s="138"/>
      <c r="K55" s="138"/>
      <c r="L55" s="138"/>
      <c r="M55" s="138"/>
      <c r="N55" s="14"/>
      <c r="O55" s="14"/>
      <c r="P55" s="14"/>
      <c r="Q55" s="14"/>
      <c r="R55" s="138"/>
      <c r="S55" s="138"/>
      <c r="T55" s="138"/>
      <c r="U55" s="138"/>
      <c r="V55" s="138"/>
      <c r="W55" s="138"/>
      <c r="X55" s="138"/>
      <c r="Y55" s="138"/>
      <c r="Z55" s="137">
        <f t="shared" si="9"/>
        <v>0</v>
      </c>
      <c r="AA55" s="231">
        <f t="shared" si="2"/>
        <v>0</v>
      </c>
    </row>
    <row r="56" spans="1:27" s="136" customFormat="1">
      <c r="A56" s="11">
        <v>48</v>
      </c>
      <c r="B56" s="138"/>
      <c r="C56" s="138"/>
      <c r="D56" s="138"/>
      <c r="E56" s="139"/>
      <c r="F56" s="139"/>
      <c r="G56" s="135">
        <f t="shared" si="8"/>
        <v>0</v>
      </c>
      <c r="H56" s="138"/>
      <c r="I56" s="138"/>
      <c r="J56" s="138"/>
      <c r="K56" s="138"/>
      <c r="L56" s="138"/>
      <c r="M56" s="138"/>
      <c r="N56" s="14"/>
      <c r="O56" s="14"/>
      <c r="P56" s="14"/>
      <c r="Q56" s="14"/>
      <c r="R56" s="138"/>
      <c r="S56" s="138"/>
      <c r="T56" s="138"/>
      <c r="U56" s="138"/>
      <c r="V56" s="138"/>
      <c r="W56" s="138"/>
      <c r="X56" s="138"/>
      <c r="Y56" s="138"/>
      <c r="Z56" s="137">
        <f t="shared" si="9"/>
        <v>0</v>
      </c>
      <c r="AA56" s="231">
        <f t="shared" si="2"/>
        <v>0</v>
      </c>
    </row>
    <row r="57" spans="1:27" s="136" customFormat="1">
      <c r="A57" s="11">
        <v>49</v>
      </c>
      <c r="B57" s="138"/>
      <c r="C57" s="138"/>
      <c r="D57" s="138"/>
      <c r="E57" s="139"/>
      <c r="F57" s="139"/>
      <c r="G57" s="135">
        <f t="shared" si="8"/>
        <v>0</v>
      </c>
      <c r="H57" s="138"/>
      <c r="I57" s="138"/>
      <c r="J57" s="138"/>
      <c r="K57" s="138"/>
      <c r="L57" s="138"/>
      <c r="M57" s="138"/>
      <c r="N57" s="14"/>
      <c r="O57" s="14"/>
      <c r="P57" s="14"/>
      <c r="Q57" s="14"/>
      <c r="R57" s="138"/>
      <c r="S57" s="138"/>
      <c r="T57" s="138"/>
      <c r="U57" s="138"/>
      <c r="V57" s="138"/>
      <c r="W57" s="138"/>
      <c r="X57" s="138"/>
      <c r="Y57" s="138"/>
      <c r="Z57" s="137">
        <f t="shared" si="9"/>
        <v>0</v>
      </c>
      <c r="AA57" s="231">
        <f t="shared" si="2"/>
        <v>0</v>
      </c>
    </row>
    <row r="58" spans="1:27" s="136" customFormat="1">
      <c r="A58" s="11">
        <v>50</v>
      </c>
      <c r="B58" s="138"/>
      <c r="C58" s="138"/>
      <c r="D58" s="138"/>
      <c r="E58" s="139"/>
      <c r="F58" s="139"/>
      <c r="G58" s="135">
        <f t="shared" si="8"/>
        <v>0</v>
      </c>
      <c r="H58" s="138"/>
      <c r="I58" s="138"/>
      <c r="J58" s="138"/>
      <c r="K58" s="138"/>
      <c r="L58" s="138"/>
      <c r="M58" s="138"/>
      <c r="N58" s="14"/>
      <c r="O58" s="14"/>
      <c r="P58" s="14"/>
      <c r="Q58" s="14"/>
      <c r="R58" s="138"/>
      <c r="S58" s="138"/>
      <c r="T58" s="138"/>
      <c r="U58" s="138"/>
      <c r="V58" s="138"/>
      <c r="W58" s="138"/>
      <c r="X58" s="138"/>
      <c r="Y58" s="138"/>
      <c r="Z58" s="137">
        <f t="shared" si="9"/>
        <v>0</v>
      </c>
      <c r="AA58" s="231">
        <f t="shared" si="2"/>
        <v>0</v>
      </c>
    </row>
    <row r="59" spans="1:27" s="136" customFormat="1">
      <c r="A59" s="11">
        <v>51</v>
      </c>
      <c r="B59" s="138"/>
      <c r="C59" s="138"/>
      <c r="D59" s="138"/>
      <c r="E59" s="139"/>
      <c r="F59" s="139"/>
      <c r="G59" s="135">
        <f t="shared" si="8"/>
        <v>0</v>
      </c>
      <c r="H59" s="138"/>
      <c r="I59" s="138"/>
      <c r="J59" s="138"/>
      <c r="K59" s="138"/>
      <c r="L59" s="138"/>
      <c r="M59" s="138"/>
      <c r="N59" s="14"/>
      <c r="O59" s="14"/>
      <c r="P59" s="14"/>
      <c r="Q59" s="14"/>
      <c r="R59" s="138"/>
      <c r="S59" s="138"/>
      <c r="T59" s="138"/>
      <c r="U59" s="138"/>
      <c r="V59" s="138"/>
      <c r="W59" s="138"/>
      <c r="X59" s="138"/>
      <c r="Y59" s="138"/>
      <c r="Z59" s="137">
        <f t="shared" si="9"/>
        <v>0</v>
      </c>
      <c r="AA59" s="231">
        <f t="shared" si="2"/>
        <v>0</v>
      </c>
    </row>
    <row r="60" spans="1:27" s="136" customFormat="1">
      <c r="A60" s="11">
        <v>52</v>
      </c>
      <c r="B60" s="138"/>
      <c r="C60" s="138"/>
      <c r="D60" s="138"/>
      <c r="E60" s="139"/>
      <c r="F60" s="139"/>
      <c r="G60" s="135">
        <f t="shared" si="8"/>
        <v>0</v>
      </c>
      <c r="H60" s="138"/>
      <c r="I60" s="138"/>
      <c r="J60" s="138"/>
      <c r="K60" s="138"/>
      <c r="L60" s="138"/>
      <c r="M60" s="138"/>
      <c r="N60" s="14"/>
      <c r="O60" s="14"/>
      <c r="P60" s="14"/>
      <c r="Q60" s="14"/>
      <c r="R60" s="138"/>
      <c r="S60" s="138"/>
      <c r="T60" s="138"/>
      <c r="U60" s="138"/>
      <c r="V60" s="138"/>
      <c r="W60" s="138"/>
      <c r="X60" s="138"/>
      <c r="Y60" s="138"/>
      <c r="Z60" s="137">
        <f t="shared" si="9"/>
        <v>0</v>
      </c>
      <c r="AA60" s="231">
        <f t="shared" si="2"/>
        <v>0</v>
      </c>
    </row>
    <row r="61" spans="1:27" s="136" customFormat="1">
      <c r="A61" s="11">
        <v>53</v>
      </c>
      <c r="B61" s="138"/>
      <c r="C61" s="138"/>
      <c r="D61" s="138"/>
      <c r="E61" s="139"/>
      <c r="F61" s="139"/>
      <c r="G61" s="135">
        <f t="shared" si="8"/>
        <v>0</v>
      </c>
      <c r="H61" s="138"/>
      <c r="I61" s="138"/>
      <c r="J61" s="138"/>
      <c r="K61" s="138"/>
      <c r="L61" s="138"/>
      <c r="M61" s="138"/>
      <c r="N61" s="14"/>
      <c r="O61" s="14"/>
      <c r="P61" s="14"/>
      <c r="Q61" s="14"/>
      <c r="R61" s="138"/>
      <c r="S61" s="138"/>
      <c r="T61" s="138"/>
      <c r="U61" s="138"/>
      <c r="V61" s="138"/>
      <c r="W61" s="138"/>
      <c r="X61" s="138"/>
      <c r="Y61" s="138"/>
      <c r="Z61" s="137">
        <f t="shared" si="9"/>
        <v>0</v>
      </c>
      <c r="AA61" s="231">
        <f t="shared" si="2"/>
        <v>0</v>
      </c>
    </row>
    <row r="62" spans="1:27" s="136" customFormat="1">
      <c r="A62" s="11">
        <v>54</v>
      </c>
      <c r="B62" s="138"/>
      <c r="C62" s="138"/>
      <c r="D62" s="138"/>
      <c r="E62" s="139"/>
      <c r="F62" s="139"/>
      <c r="G62" s="135">
        <f t="shared" si="8"/>
        <v>0</v>
      </c>
      <c r="H62" s="138"/>
      <c r="I62" s="138"/>
      <c r="J62" s="138"/>
      <c r="K62" s="138"/>
      <c r="L62" s="138"/>
      <c r="M62" s="138"/>
      <c r="N62" s="14"/>
      <c r="O62" s="14"/>
      <c r="P62" s="14"/>
      <c r="Q62" s="14"/>
      <c r="R62" s="138"/>
      <c r="S62" s="138"/>
      <c r="T62" s="138"/>
      <c r="U62" s="138"/>
      <c r="V62" s="138"/>
      <c r="W62" s="138"/>
      <c r="X62" s="138"/>
      <c r="Y62" s="138"/>
      <c r="Z62" s="137">
        <f t="shared" si="9"/>
        <v>0</v>
      </c>
      <c r="AA62" s="231">
        <f t="shared" si="2"/>
        <v>0</v>
      </c>
    </row>
    <row r="63" spans="1:27" s="136" customFormat="1">
      <c r="A63" s="11">
        <v>55</v>
      </c>
      <c r="B63" s="138"/>
      <c r="C63" s="138"/>
      <c r="D63" s="138"/>
      <c r="E63" s="139"/>
      <c r="F63" s="139"/>
      <c r="G63" s="135">
        <f t="shared" si="8"/>
        <v>0</v>
      </c>
      <c r="H63" s="138"/>
      <c r="I63" s="138"/>
      <c r="J63" s="138"/>
      <c r="K63" s="138"/>
      <c r="L63" s="138"/>
      <c r="M63" s="138"/>
      <c r="N63" s="14"/>
      <c r="O63" s="14"/>
      <c r="P63" s="14"/>
      <c r="Q63" s="14"/>
      <c r="R63" s="138"/>
      <c r="S63" s="138"/>
      <c r="T63" s="138"/>
      <c r="U63" s="138"/>
      <c r="V63" s="138"/>
      <c r="W63" s="138"/>
      <c r="X63" s="138"/>
      <c r="Y63" s="138"/>
      <c r="Z63" s="137">
        <f t="shared" si="9"/>
        <v>0</v>
      </c>
      <c r="AA63" s="231">
        <f t="shared" si="2"/>
        <v>0</v>
      </c>
    </row>
    <row r="64" spans="1:27" s="136" customFormat="1">
      <c r="A64" s="11">
        <v>56</v>
      </c>
      <c r="B64" s="138"/>
      <c r="C64" s="138"/>
      <c r="D64" s="138"/>
      <c r="E64" s="139"/>
      <c r="F64" s="139"/>
      <c r="G64" s="135">
        <f t="shared" si="8"/>
        <v>0</v>
      </c>
      <c r="H64" s="138"/>
      <c r="I64" s="138"/>
      <c r="J64" s="138"/>
      <c r="K64" s="138"/>
      <c r="L64" s="138"/>
      <c r="M64" s="138"/>
      <c r="N64" s="14"/>
      <c r="O64" s="14"/>
      <c r="P64" s="14"/>
      <c r="Q64" s="14"/>
      <c r="R64" s="138"/>
      <c r="S64" s="138"/>
      <c r="T64" s="138"/>
      <c r="U64" s="138"/>
      <c r="V64" s="138"/>
      <c r="W64" s="138"/>
      <c r="X64" s="138"/>
      <c r="Y64" s="138"/>
      <c r="Z64" s="137">
        <f t="shared" si="9"/>
        <v>0</v>
      </c>
      <c r="AA64" s="231">
        <f t="shared" si="2"/>
        <v>0</v>
      </c>
    </row>
    <row r="65" spans="1:27" s="136" customFormat="1">
      <c r="A65" s="11">
        <v>57</v>
      </c>
      <c r="B65" s="138"/>
      <c r="C65" s="138"/>
      <c r="D65" s="138"/>
      <c r="E65" s="139"/>
      <c r="F65" s="139"/>
      <c r="G65" s="135">
        <f t="shared" si="8"/>
        <v>0</v>
      </c>
      <c r="H65" s="138"/>
      <c r="I65" s="138"/>
      <c r="J65" s="138"/>
      <c r="K65" s="138"/>
      <c r="L65" s="138"/>
      <c r="M65" s="138"/>
      <c r="N65" s="14"/>
      <c r="O65" s="14"/>
      <c r="P65" s="14"/>
      <c r="Q65" s="14"/>
      <c r="R65" s="138"/>
      <c r="S65" s="138"/>
      <c r="T65" s="138"/>
      <c r="U65" s="138"/>
      <c r="V65" s="138"/>
      <c r="W65" s="138"/>
      <c r="X65" s="138"/>
      <c r="Y65" s="138"/>
      <c r="Z65" s="137">
        <f t="shared" si="9"/>
        <v>0</v>
      </c>
      <c r="AA65" s="231">
        <f t="shared" si="2"/>
        <v>0</v>
      </c>
    </row>
    <row r="66" spans="1:27" s="136" customFormat="1">
      <c r="A66" s="11">
        <v>58</v>
      </c>
      <c r="B66" s="138"/>
      <c r="C66" s="138"/>
      <c r="D66" s="138"/>
      <c r="E66" s="139"/>
      <c r="F66" s="139"/>
      <c r="G66" s="135">
        <f t="shared" si="8"/>
        <v>0</v>
      </c>
      <c r="H66" s="138"/>
      <c r="I66" s="138"/>
      <c r="J66" s="138"/>
      <c r="K66" s="138"/>
      <c r="L66" s="138"/>
      <c r="M66" s="138"/>
      <c r="N66" s="14"/>
      <c r="O66" s="14"/>
      <c r="P66" s="14"/>
      <c r="Q66" s="14"/>
      <c r="R66" s="138"/>
      <c r="S66" s="138"/>
      <c r="T66" s="138"/>
      <c r="U66" s="138"/>
      <c r="V66" s="138"/>
      <c r="W66" s="138"/>
      <c r="X66" s="138"/>
      <c r="Y66" s="138"/>
      <c r="Z66" s="137">
        <f t="shared" si="9"/>
        <v>0</v>
      </c>
      <c r="AA66" s="231">
        <f t="shared" si="2"/>
        <v>0</v>
      </c>
    </row>
    <row r="67" spans="1:27" s="136" customFormat="1">
      <c r="A67" s="11">
        <v>59</v>
      </c>
      <c r="B67" s="138"/>
      <c r="C67" s="138"/>
      <c r="D67" s="138"/>
      <c r="E67" s="139"/>
      <c r="F67" s="139"/>
      <c r="G67" s="135">
        <f t="shared" si="8"/>
        <v>0</v>
      </c>
      <c r="H67" s="138"/>
      <c r="I67" s="138"/>
      <c r="J67" s="138"/>
      <c r="K67" s="138"/>
      <c r="L67" s="138"/>
      <c r="M67" s="138"/>
      <c r="N67" s="14"/>
      <c r="O67" s="14"/>
      <c r="P67" s="14"/>
      <c r="Q67" s="14"/>
      <c r="R67" s="138"/>
      <c r="S67" s="138"/>
      <c r="T67" s="138"/>
      <c r="U67" s="138"/>
      <c r="V67" s="138"/>
      <c r="W67" s="138"/>
      <c r="X67" s="138"/>
      <c r="Y67" s="138"/>
      <c r="Z67" s="137">
        <f t="shared" si="9"/>
        <v>0</v>
      </c>
      <c r="AA67" s="231">
        <f t="shared" si="2"/>
        <v>0</v>
      </c>
    </row>
    <row r="68" spans="1:27" s="136" customFormat="1">
      <c r="A68" s="11">
        <v>60</v>
      </c>
      <c r="B68" s="138"/>
      <c r="C68" s="138"/>
      <c r="D68" s="138"/>
      <c r="E68" s="139"/>
      <c r="F68" s="139"/>
      <c r="G68" s="135">
        <f t="shared" si="8"/>
        <v>0</v>
      </c>
      <c r="H68" s="138"/>
      <c r="I68" s="138"/>
      <c r="J68" s="138"/>
      <c r="K68" s="138"/>
      <c r="L68" s="138"/>
      <c r="M68" s="138"/>
      <c r="N68" s="14"/>
      <c r="O68" s="14"/>
      <c r="P68" s="14"/>
      <c r="Q68" s="14"/>
      <c r="R68" s="138"/>
      <c r="S68" s="138"/>
      <c r="T68" s="138"/>
      <c r="U68" s="138"/>
      <c r="V68" s="138"/>
      <c r="W68" s="138"/>
      <c r="X68" s="138"/>
      <c r="Y68" s="138"/>
      <c r="Z68" s="137">
        <f t="shared" si="9"/>
        <v>0</v>
      </c>
      <c r="AA68" s="231">
        <f t="shared" si="2"/>
        <v>0</v>
      </c>
    </row>
    <row r="69" spans="1:27" s="136" customFormat="1">
      <c r="A69" s="11">
        <v>61</v>
      </c>
      <c r="B69" s="138"/>
      <c r="C69" s="138"/>
      <c r="D69" s="138"/>
      <c r="E69" s="139"/>
      <c r="F69" s="139"/>
      <c r="G69" s="135">
        <f t="shared" si="8"/>
        <v>0</v>
      </c>
      <c r="H69" s="138"/>
      <c r="I69" s="138"/>
      <c r="J69" s="138"/>
      <c r="K69" s="138"/>
      <c r="L69" s="138"/>
      <c r="M69" s="138"/>
      <c r="N69" s="14"/>
      <c r="O69" s="14"/>
      <c r="P69" s="14"/>
      <c r="Q69" s="14"/>
      <c r="R69" s="138"/>
      <c r="S69" s="138"/>
      <c r="T69" s="138"/>
      <c r="U69" s="138"/>
      <c r="V69" s="138"/>
      <c r="W69" s="138"/>
      <c r="X69" s="138"/>
      <c r="Y69" s="138"/>
      <c r="Z69" s="137">
        <f t="shared" si="9"/>
        <v>0</v>
      </c>
      <c r="AA69" s="231">
        <f t="shared" si="2"/>
        <v>0</v>
      </c>
    </row>
    <row r="70" spans="1:27" s="136" customFormat="1">
      <c r="A70" s="11">
        <v>62</v>
      </c>
      <c r="B70" s="138"/>
      <c r="C70" s="138"/>
      <c r="D70" s="138"/>
      <c r="E70" s="139"/>
      <c r="F70" s="139"/>
      <c r="G70" s="135">
        <f t="shared" si="8"/>
        <v>0</v>
      </c>
      <c r="H70" s="138"/>
      <c r="I70" s="138"/>
      <c r="J70" s="138"/>
      <c r="K70" s="138"/>
      <c r="L70" s="138"/>
      <c r="M70" s="138"/>
      <c r="N70" s="14"/>
      <c r="O70" s="14"/>
      <c r="P70" s="14"/>
      <c r="Q70" s="14"/>
      <c r="R70" s="138"/>
      <c r="S70" s="138"/>
      <c r="T70" s="138"/>
      <c r="U70" s="138"/>
      <c r="V70" s="138"/>
      <c r="W70" s="138"/>
      <c r="X70" s="138"/>
      <c r="Y70" s="138"/>
      <c r="Z70" s="137">
        <f t="shared" si="9"/>
        <v>0</v>
      </c>
      <c r="AA70" s="231">
        <f t="shared" si="2"/>
        <v>0</v>
      </c>
    </row>
    <row r="71" spans="1:27" s="136" customFormat="1">
      <c r="A71" s="11">
        <v>63</v>
      </c>
      <c r="B71" s="138"/>
      <c r="C71" s="138"/>
      <c r="D71" s="138"/>
      <c r="E71" s="139"/>
      <c r="F71" s="139"/>
      <c r="G71" s="135">
        <f t="shared" si="8"/>
        <v>0</v>
      </c>
      <c r="H71" s="138"/>
      <c r="I71" s="138"/>
      <c r="J71" s="138"/>
      <c r="K71" s="138"/>
      <c r="L71" s="138"/>
      <c r="M71" s="138"/>
      <c r="N71" s="14"/>
      <c r="O71" s="14"/>
      <c r="P71" s="14"/>
      <c r="Q71" s="14"/>
      <c r="R71" s="138"/>
      <c r="S71" s="138"/>
      <c r="T71" s="138"/>
      <c r="U71" s="138"/>
      <c r="V71" s="138"/>
      <c r="W71" s="138"/>
      <c r="X71" s="138"/>
      <c r="Y71" s="138"/>
      <c r="Z71" s="137">
        <f t="shared" si="9"/>
        <v>0</v>
      </c>
      <c r="AA71" s="231">
        <f t="shared" si="2"/>
        <v>0</v>
      </c>
    </row>
    <row r="72" spans="1:27" s="136" customFormat="1">
      <c r="A72" s="11">
        <v>64</v>
      </c>
      <c r="B72" s="138"/>
      <c r="C72" s="138"/>
      <c r="D72" s="138"/>
      <c r="E72" s="139"/>
      <c r="F72" s="139"/>
      <c r="G72" s="135">
        <f t="shared" si="8"/>
        <v>0</v>
      </c>
      <c r="H72" s="138"/>
      <c r="I72" s="138"/>
      <c r="J72" s="138"/>
      <c r="K72" s="138"/>
      <c r="L72" s="138"/>
      <c r="M72" s="138"/>
      <c r="N72" s="14"/>
      <c r="O72" s="14"/>
      <c r="P72" s="14"/>
      <c r="Q72" s="14"/>
      <c r="R72" s="138"/>
      <c r="S72" s="138"/>
      <c r="T72" s="138"/>
      <c r="U72" s="138"/>
      <c r="V72" s="138"/>
      <c r="W72" s="138"/>
      <c r="X72" s="138"/>
      <c r="Y72" s="138"/>
      <c r="Z72" s="137">
        <f t="shared" si="9"/>
        <v>0</v>
      </c>
      <c r="AA72" s="231">
        <f t="shared" si="2"/>
        <v>0</v>
      </c>
    </row>
    <row r="73" spans="1:27" s="136" customFormat="1">
      <c r="A73" s="11">
        <v>65</v>
      </c>
      <c r="B73" s="138"/>
      <c r="C73" s="138"/>
      <c r="D73" s="138"/>
      <c r="E73" s="139"/>
      <c r="F73" s="139"/>
      <c r="G73" s="135">
        <f t="shared" si="8"/>
        <v>0</v>
      </c>
      <c r="H73" s="138"/>
      <c r="I73" s="138"/>
      <c r="J73" s="138"/>
      <c r="K73" s="138"/>
      <c r="L73" s="138"/>
      <c r="M73" s="138"/>
      <c r="N73" s="14"/>
      <c r="O73" s="14"/>
      <c r="P73" s="14"/>
      <c r="Q73" s="14"/>
      <c r="R73" s="138"/>
      <c r="S73" s="138"/>
      <c r="T73" s="138"/>
      <c r="U73" s="138"/>
      <c r="V73" s="138"/>
      <c r="W73" s="138"/>
      <c r="X73" s="138"/>
      <c r="Y73" s="138"/>
      <c r="Z73" s="137">
        <f t="shared" si="9"/>
        <v>0</v>
      </c>
      <c r="AA73" s="231">
        <f t="shared" ref="AA73:AA88" si="10">SUMIF($F$9:$F$88,$F73,$Z$9:$Z$88)</f>
        <v>0</v>
      </c>
    </row>
    <row r="74" spans="1:27" s="136" customFormat="1">
      <c r="A74" s="11">
        <v>66</v>
      </c>
      <c r="B74" s="138"/>
      <c r="C74" s="138"/>
      <c r="D74" s="138"/>
      <c r="E74" s="139"/>
      <c r="F74" s="139"/>
      <c r="G74" s="135">
        <f t="shared" si="8"/>
        <v>0</v>
      </c>
      <c r="H74" s="138"/>
      <c r="I74" s="138"/>
      <c r="J74" s="138"/>
      <c r="K74" s="138"/>
      <c r="L74" s="138"/>
      <c r="M74" s="138"/>
      <c r="N74" s="14"/>
      <c r="O74" s="14"/>
      <c r="P74" s="14"/>
      <c r="Q74" s="14"/>
      <c r="R74" s="138"/>
      <c r="S74" s="138"/>
      <c r="T74" s="138"/>
      <c r="U74" s="138"/>
      <c r="V74" s="138"/>
      <c r="W74" s="138"/>
      <c r="X74" s="138"/>
      <c r="Y74" s="138"/>
      <c r="Z74" s="137">
        <f t="shared" si="9"/>
        <v>0</v>
      </c>
      <c r="AA74" s="231">
        <f t="shared" si="10"/>
        <v>0</v>
      </c>
    </row>
    <row r="75" spans="1:27" s="136" customFormat="1">
      <c r="A75" s="11">
        <v>67</v>
      </c>
      <c r="B75" s="138"/>
      <c r="C75" s="138"/>
      <c r="D75" s="138"/>
      <c r="E75" s="139"/>
      <c r="F75" s="139"/>
      <c r="G75" s="135">
        <f t="shared" si="8"/>
        <v>0</v>
      </c>
      <c r="H75" s="138"/>
      <c r="I75" s="138"/>
      <c r="J75" s="138"/>
      <c r="K75" s="138"/>
      <c r="L75" s="138"/>
      <c r="M75" s="138"/>
      <c r="N75" s="14"/>
      <c r="O75" s="14"/>
      <c r="P75" s="14"/>
      <c r="Q75" s="14"/>
      <c r="R75" s="138"/>
      <c r="S75" s="138"/>
      <c r="T75" s="138"/>
      <c r="U75" s="138"/>
      <c r="V75" s="138"/>
      <c r="W75" s="138"/>
      <c r="X75" s="138"/>
      <c r="Y75" s="138"/>
      <c r="Z75" s="137">
        <f t="shared" si="9"/>
        <v>0</v>
      </c>
      <c r="AA75" s="231">
        <f t="shared" si="10"/>
        <v>0</v>
      </c>
    </row>
    <row r="76" spans="1:27" s="136" customFormat="1">
      <c r="A76" s="11">
        <v>68</v>
      </c>
      <c r="B76" s="138"/>
      <c r="C76" s="138"/>
      <c r="D76" s="138"/>
      <c r="E76" s="139"/>
      <c r="F76" s="139"/>
      <c r="G76" s="135">
        <f t="shared" si="4"/>
        <v>0</v>
      </c>
      <c r="H76" s="138"/>
      <c r="I76" s="138"/>
      <c r="J76" s="138"/>
      <c r="K76" s="138"/>
      <c r="L76" s="138"/>
      <c r="M76" s="138"/>
      <c r="N76" s="14"/>
      <c r="O76" s="14"/>
      <c r="P76" s="14"/>
      <c r="Q76" s="14"/>
      <c r="R76" s="138"/>
      <c r="S76" s="138"/>
      <c r="T76" s="138"/>
      <c r="U76" s="138"/>
      <c r="V76" s="138"/>
      <c r="W76" s="138"/>
      <c r="X76" s="138"/>
      <c r="Y76" s="138"/>
      <c r="Z76" s="137">
        <f t="shared" si="5"/>
        <v>0</v>
      </c>
      <c r="AA76" s="231">
        <f t="shared" si="10"/>
        <v>0</v>
      </c>
    </row>
    <row r="77" spans="1:27" s="136" customFormat="1">
      <c r="A77" s="11">
        <v>69</v>
      </c>
      <c r="B77" s="138"/>
      <c r="C77" s="138"/>
      <c r="D77" s="138"/>
      <c r="E77" s="139"/>
      <c r="F77" s="139"/>
      <c r="G77" s="135">
        <f t="shared" si="4"/>
        <v>0</v>
      </c>
      <c r="H77" s="138"/>
      <c r="I77" s="138"/>
      <c r="J77" s="138"/>
      <c r="K77" s="138"/>
      <c r="L77" s="138"/>
      <c r="M77" s="138"/>
      <c r="N77" s="14"/>
      <c r="O77" s="14"/>
      <c r="P77" s="14"/>
      <c r="Q77" s="14"/>
      <c r="R77" s="138"/>
      <c r="S77" s="138"/>
      <c r="T77" s="138"/>
      <c r="U77" s="138"/>
      <c r="V77" s="138"/>
      <c r="W77" s="138"/>
      <c r="X77" s="138"/>
      <c r="Y77" s="138"/>
      <c r="Z77" s="137">
        <f t="shared" si="5"/>
        <v>0</v>
      </c>
      <c r="AA77" s="231">
        <f t="shared" si="10"/>
        <v>0</v>
      </c>
    </row>
    <row r="78" spans="1:27" s="136" customFormat="1">
      <c r="A78" s="11">
        <v>70</v>
      </c>
      <c r="B78" s="138"/>
      <c r="C78" s="138"/>
      <c r="D78" s="138"/>
      <c r="E78" s="139"/>
      <c r="F78" s="139"/>
      <c r="G78" s="135">
        <f t="shared" si="4"/>
        <v>0</v>
      </c>
      <c r="H78" s="138"/>
      <c r="I78" s="138"/>
      <c r="J78" s="138"/>
      <c r="K78" s="138"/>
      <c r="L78" s="138"/>
      <c r="M78" s="138"/>
      <c r="N78" s="14"/>
      <c r="O78" s="14"/>
      <c r="P78" s="14"/>
      <c r="Q78" s="14"/>
      <c r="R78" s="138"/>
      <c r="S78" s="138"/>
      <c r="T78" s="138"/>
      <c r="U78" s="138"/>
      <c r="V78" s="138"/>
      <c r="W78" s="138"/>
      <c r="X78" s="138"/>
      <c r="Y78" s="138"/>
      <c r="Z78" s="137">
        <f t="shared" si="5"/>
        <v>0</v>
      </c>
      <c r="AA78" s="231">
        <f t="shared" si="10"/>
        <v>0</v>
      </c>
    </row>
    <row r="79" spans="1:27" s="136" customFormat="1">
      <c r="A79" s="11">
        <v>71</v>
      </c>
      <c r="B79" s="138"/>
      <c r="C79" s="138"/>
      <c r="D79" s="138"/>
      <c r="E79" s="139"/>
      <c r="F79" s="139"/>
      <c r="G79" s="135">
        <f t="shared" si="4"/>
        <v>0</v>
      </c>
      <c r="H79" s="138"/>
      <c r="I79" s="138"/>
      <c r="J79" s="138"/>
      <c r="K79" s="138"/>
      <c r="L79" s="138"/>
      <c r="M79" s="138"/>
      <c r="N79" s="14"/>
      <c r="O79" s="14"/>
      <c r="P79" s="14"/>
      <c r="Q79" s="14"/>
      <c r="R79" s="138"/>
      <c r="S79" s="138"/>
      <c r="T79" s="138"/>
      <c r="U79" s="138"/>
      <c r="V79" s="138"/>
      <c r="W79" s="138"/>
      <c r="X79" s="138"/>
      <c r="Y79" s="138"/>
      <c r="Z79" s="137">
        <f t="shared" si="5"/>
        <v>0</v>
      </c>
      <c r="AA79" s="231">
        <f t="shared" si="10"/>
        <v>0</v>
      </c>
    </row>
    <row r="80" spans="1:27" s="136" customFormat="1">
      <c r="A80" s="11">
        <v>72</v>
      </c>
      <c r="B80" s="138"/>
      <c r="C80" s="138"/>
      <c r="D80" s="138"/>
      <c r="E80" s="139"/>
      <c r="F80" s="139"/>
      <c r="G80" s="135">
        <f t="shared" si="4"/>
        <v>0</v>
      </c>
      <c r="H80" s="138"/>
      <c r="I80" s="138"/>
      <c r="J80" s="138"/>
      <c r="K80" s="138"/>
      <c r="L80" s="138"/>
      <c r="M80" s="138"/>
      <c r="N80" s="14"/>
      <c r="O80" s="14"/>
      <c r="P80" s="14"/>
      <c r="Q80" s="14"/>
      <c r="R80" s="138"/>
      <c r="S80" s="138"/>
      <c r="T80" s="138"/>
      <c r="U80" s="138"/>
      <c r="V80" s="138"/>
      <c r="W80" s="138"/>
      <c r="X80" s="138"/>
      <c r="Y80" s="138"/>
      <c r="Z80" s="137">
        <f t="shared" si="5"/>
        <v>0</v>
      </c>
      <c r="AA80" s="231">
        <f t="shared" si="10"/>
        <v>0</v>
      </c>
    </row>
    <row r="81" spans="1:27" s="136" customFormat="1">
      <c r="A81" s="11">
        <v>73</v>
      </c>
      <c r="B81" s="138"/>
      <c r="C81" s="138"/>
      <c r="D81" s="138"/>
      <c r="E81" s="139"/>
      <c r="F81" s="139"/>
      <c r="G81" s="135">
        <f t="shared" si="4"/>
        <v>0</v>
      </c>
      <c r="H81" s="138"/>
      <c r="I81" s="138"/>
      <c r="J81" s="138"/>
      <c r="K81" s="138"/>
      <c r="L81" s="138"/>
      <c r="M81" s="138"/>
      <c r="N81" s="14"/>
      <c r="O81" s="14"/>
      <c r="P81" s="14"/>
      <c r="Q81" s="14"/>
      <c r="R81" s="138"/>
      <c r="S81" s="138"/>
      <c r="T81" s="138"/>
      <c r="U81" s="138"/>
      <c r="V81" s="138"/>
      <c r="W81" s="138"/>
      <c r="X81" s="138"/>
      <c r="Y81" s="138"/>
      <c r="Z81" s="137">
        <f t="shared" si="5"/>
        <v>0</v>
      </c>
      <c r="AA81" s="231">
        <f t="shared" si="10"/>
        <v>0</v>
      </c>
    </row>
    <row r="82" spans="1:27" s="136" customFormat="1">
      <c r="A82" s="11">
        <v>74</v>
      </c>
      <c r="B82" s="138"/>
      <c r="C82" s="138"/>
      <c r="D82" s="138"/>
      <c r="E82" s="139"/>
      <c r="F82" s="139"/>
      <c r="G82" s="135">
        <f t="shared" si="4"/>
        <v>0</v>
      </c>
      <c r="H82" s="138"/>
      <c r="I82" s="138"/>
      <c r="J82" s="138"/>
      <c r="K82" s="138"/>
      <c r="L82" s="138"/>
      <c r="M82" s="138"/>
      <c r="N82" s="14"/>
      <c r="O82" s="14"/>
      <c r="P82" s="14"/>
      <c r="Q82" s="14"/>
      <c r="R82" s="138"/>
      <c r="S82" s="138"/>
      <c r="T82" s="138"/>
      <c r="U82" s="138"/>
      <c r="V82" s="138"/>
      <c r="W82" s="138"/>
      <c r="X82" s="138"/>
      <c r="Y82" s="138"/>
      <c r="Z82" s="137">
        <f t="shared" si="5"/>
        <v>0</v>
      </c>
      <c r="AA82" s="231">
        <f t="shared" si="10"/>
        <v>0</v>
      </c>
    </row>
    <row r="83" spans="1:27" s="136" customFormat="1">
      <c r="A83" s="11">
        <v>75</v>
      </c>
      <c r="B83" s="138"/>
      <c r="C83" s="138"/>
      <c r="D83" s="138"/>
      <c r="E83" s="139"/>
      <c r="F83" s="139"/>
      <c r="G83" s="135">
        <f t="shared" si="4"/>
        <v>0</v>
      </c>
      <c r="H83" s="138"/>
      <c r="I83" s="138"/>
      <c r="J83" s="138"/>
      <c r="K83" s="138"/>
      <c r="L83" s="138"/>
      <c r="M83" s="138"/>
      <c r="N83" s="14"/>
      <c r="O83" s="14"/>
      <c r="P83" s="14"/>
      <c r="Q83" s="14"/>
      <c r="R83" s="138"/>
      <c r="S83" s="138"/>
      <c r="T83" s="138"/>
      <c r="U83" s="138"/>
      <c r="V83" s="138"/>
      <c r="W83" s="138"/>
      <c r="X83" s="138"/>
      <c r="Y83" s="138"/>
      <c r="Z83" s="137">
        <f t="shared" si="5"/>
        <v>0</v>
      </c>
      <c r="AA83" s="231">
        <f t="shared" si="10"/>
        <v>0</v>
      </c>
    </row>
    <row r="84" spans="1:27" s="136" customFormat="1">
      <c r="A84" s="11">
        <v>76</v>
      </c>
      <c r="B84" s="138"/>
      <c r="C84" s="138"/>
      <c r="D84" s="138"/>
      <c r="E84" s="139"/>
      <c r="F84" s="139"/>
      <c r="G84" s="135">
        <f t="shared" si="4"/>
        <v>0</v>
      </c>
      <c r="H84" s="138"/>
      <c r="I84" s="138"/>
      <c r="J84" s="138"/>
      <c r="K84" s="138"/>
      <c r="L84" s="138"/>
      <c r="M84" s="138"/>
      <c r="N84" s="14"/>
      <c r="O84" s="14"/>
      <c r="P84" s="14"/>
      <c r="Q84" s="14"/>
      <c r="R84" s="138"/>
      <c r="S84" s="138"/>
      <c r="T84" s="138"/>
      <c r="U84" s="138"/>
      <c r="V84" s="138"/>
      <c r="W84" s="138"/>
      <c r="X84" s="138"/>
      <c r="Y84" s="138"/>
      <c r="Z84" s="137">
        <f t="shared" si="5"/>
        <v>0</v>
      </c>
      <c r="AA84" s="231">
        <f t="shared" si="10"/>
        <v>0</v>
      </c>
    </row>
    <row r="85" spans="1:27" s="136" customFormat="1">
      <c r="A85" s="11">
        <v>77</v>
      </c>
      <c r="B85" s="138"/>
      <c r="C85" s="138"/>
      <c r="D85" s="138"/>
      <c r="E85" s="139"/>
      <c r="F85" s="139"/>
      <c r="G85" s="135">
        <f t="shared" si="4"/>
        <v>0</v>
      </c>
      <c r="H85" s="138"/>
      <c r="I85" s="138"/>
      <c r="J85" s="138"/>
      <c r="K85" s="138"/>
      <c r="L85" s="138"/>
      <c r="M85" s="138"/>
      <c r="N85" s="14"/>
      <c r="O85" s="14"/>
      <c r="P85" s="14"/>
      <c r="Q85" s="14"/>
      <c r="R85" s="138"/>
      <c r="S85" s="138"/>
      <c r="T85" s="138"/>
      <c r="U85" s="138"/>
      <c r="V85" s="138"/>
      <c r="W85" s="138"/>
      <c r="X85" s="138"/>
      <c r="Y85" s="138"/>
      <c r="Z85" s="137">
        <f t="shared" si="5"/>
        <v>0</v>
      </c>
      <c r="AA85" s="231">
        <f t="shared" si="10"/>
        <v>0</v>
      </c>
    </row>
    <row r="86" spans="1:27" s="136" customFormat="1">
      <c r="A86" s="11">
        <v>78</v>
      </c>
      <c r="B86" s="138"/>
      <c r="C86" s="138"/>
      <c r="D86" s="138"/>
      <c r="E86" s="139"/>
      <c r="F86" s="139"/>
      <c r="G86" s="135">
        <f t="shared" si="4"/>
        <v>0</v>
      </c>
      <c r="H86" s="138"/>
      <c r="I86" s="138"/>
      <c r="J86" s="138"/>
      <c r="K86" s="138"/>
      <c r="L86" s="138"/>
      <c r="M86" s="138"/>
      <c r="N86" s="14"/>
      <c r="O86" s="14"/>
      <c r="P86" s="14"/>
      <c r="Q86" s="14"/>
      <c r="R86" s="138"/>
      <c r="S86" s="138"/>
      <c r="T86" s="138"/>
      <c r="U86" s="138"/>
      <c r="V86" s="138"/>
      <c r="W86" s="138"/>
      <c r="X86" s="138"/>
      <c r="Y86" s="138"/>
      <c r="Z86" s="137">
        <f t="shared" si="5"/>
        <v>0</v>
      </c>
      <c r="AA86" s="231">
        <f t="shared" si="10"/>
        <v>0</v>
      </c>
    </row>
    <row r="87" spans="1:27" s="136" customFormat="1">
      <c r="A87" s="11">
        <v>79</v>
      </c>
      <c r="B87" s="138"/>
      <c r="C87" s="138"/>
      <c r="D87" s="138"/>
      <c r="E87" s="139"/>
      <c r="F87" s="139"/>
      <c r="G87" s="135">
        <f t="shared" si="4"/>
        <v>0</v>
      </c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7">
        <f t="shared" si="5"/>
        <v>0</v>
      </c>
      <c r="AA87" s="231">
        <f t="shared" si="10"/>
        <v>0</v>
      </c>
    </row>
    <row r="88" spans="1:27" s="136" customFormat="1">
      <c r="A88" s="11">
        <v>80</v>
      </c>
      <c r="B88" s="138"/>
      <c r="C88" s="138"/>
      <c r="D88" s="138"/>
      <c r="E88" s="139"/>
      <c r="F88" s="139"/>
      <c r="G88" s="135">
        <f t="shared" si="4"/>
        <v>0</v>
      </c>
      <c r="H88" s="138"/>
      <c r="I88" s="138"/>
      <c r="J88" s="138"/>
      <c r="K88" s="138"/>
      <c r="L88" s="138"/>
      <c r="M88" s="138"/>
      <c r="N88" s="14"/>
      <c r="O88" s="14"/>
      <c r="P88" s="14"/>
      <c r="Q88" s="14"/>
      <c r="R88" s="138"/>
      <c r="S88" s="138"/>
      <c r="T88" s="138"/>
      <c r="U88" s="138"/>
      <c r="V88" s="138"/>
      <c r="W88" s="138"/>
      <c r="X88" s="138"/>
      <c r="Y88" s="138"/>
      <c r="Z88" s="137">
        <f t="shared" si="5"/>
        <v>0</v>
      </c>
      <c r="AA88" s="231">
        <f t="shared" si="10"/>
        <v>0</v>
      </c>
    </row>
    <row r="89" spans="1:27" s="12" customFormat="1" ht="29.25" customHeight="1">
      <c r="A89" s="618" t="s">
        <v>383</v>
      </c>
      <c r="B89" s="619"/>
      <c r="C89" s="619"/>
      <c r="D89" s="619"/>
      <c r="E89" s="619"/>
      <c r="F89" s="620"/>
      <c r="G89" s="153">
        <f t="shared" ref="G89:T89" si="11">SUM(G9:G88)</f>
        <v>366675</v>
      </c>
      <c r="H89" s="153">
        <f t="shared" si="11"/>
        <v>0</v>
      </c>
      <c r="I89" s="153">
        <f t="shared" si="11"/>
        <v>366675</v>
      </c>
      <c r="J89" s="153">
        <f t="shared" si="11"/>
        <v>0</v>
      </c>
      <c r="K89" s="153">
        <f t="shared" si="11"/>
        <v>0</v>
      </c>
      <c r="L89" s="153">
        <f t="shared" si="11"/>
        <v>0</v>
      </c>
      <c r="M89" s="153">
        <f t="shared" si="11"/>
        <v>0</v>
      </c>
      <c r="N89" s="153">
        <f t="shared" si="11"/>
        <v>0</v>
      </c>
      <c r="O89" s="153">
        <f t="shared" si="11"/>
        <v>0</v>
      </c>
      <c r="P89" s="153">
        <f t="shared" si="11"/>
        <v>0</v>
      </c>
      <c r="Q89" s="153">
        <f t="shared" si="11"/>
        <v>0</v>
      </c>
      <c r="R89" s="153">
        <f t="shared" si="11"/>
        <v>0</v>
      </c>
      <c r="S89" s="153">
        <f t="shared" si="11"/>
        <v>0</v>
      </c>
      <c r="T89" s="153">
        <f t="shared" si="11"/>
        <v>0</v>
      </c>
      <c r="U89" s="154"/>
      <c r="V89" s="153">
        <f>SUM(V9:V88)</f>
        <v>0</v>
      </c>
      <c r="W89" s="154"/>
      <c r="X89" s="153">
        <f>SUM(X9:X88)</f>
        <v>0</v>
      </c>
      <c r="Y89" s="153">
        <f>SUM(Y9:Y88)</f>
        <v>0</v>
      </c>
      <c r="Z89" s="153">
        <f>SUM(Z9:Z88)</f>
        <v>366675</v>
      </c>
      <c r="AA89" s="231"/>
    </row>
    <row r="90" spans="1:27" s="12" customFormat="1" ht="29.25" customHeight="1">
      <c r="A90" s="618" t="s">
        <v>802</v>
      </c>
      <c r="B90" s="619"/>
      <c r="C90" s="619"/>
      <c r="D90" s="619"/>
      <c r="E90" s="619"/>
      <c r="F90" s="620"/>
      <c r="G90" s="153">
        <f>+SUMIF($F$9:$F$88,$AA$90,$G$9:$G$88)</f>
        <v>212103</v>
      </c>
      <c r="H90" s="153">
        <f>+SUMIF($F$9:$F$88,$AA$90,$H$9:$H$88)</f>
        <v>0</v>
      </c>
      <c r="I90" s="153">
        <f>+SUMIF($F$9:$F$88,$AA$90,$I$9:$I$88)</f>
        <v>212103</v>
      </c>
      <c r="J90" s="153">
        <f>+SUMIF($F$9:$F$88,$AA$90,$J$9:$J$88)</f>
        <v>0</v>
      </c>
      <c r="K90" s="153">
        <f>+SUMIF($F$9:$F$88,$AA$90,$K$9:$K$88)</f>
        <v>0</v>
      </c>
      <c r="L90" s="153">
        <f>+SUMIF($F$9:$F$88,$AA$90,$L$9:$L$88)</f>
        <v>0</v>
      </c>
      <c r="M90" s="153">
        <f>+SUMIF($F$9:$F$88,$AA$90,$M$9:$M$88)</f>
        <v>0</v>
      </c>
      <c r="N90" s="153">
        <f>+SUMIF($F$9:$F$88,$AA$90,$N$9:$N$88)</f>
        <v>0</v>
      </c>
      <c r="O90" s="153">
        <f>+SUMIF($F$9:$F$88,$AA$90,$O$9:$O$88)</f>
        <v>0</v>
      </c>
      <c r="P90" s="153">
        <f>+SUMIF($F$9:$F$88,$AA$90,$P$9:$P$88)</f>
        <v>0</v>
      </c>
      <c r="Q90" s="153">
        <f>+SUMIF($F$9:$F$88,$AA$90,$Q$9:$Q$88)</f>
        <v>0</v>
      </c>
      <c r="R90" s="153">
        <f>+SUMIF($F$9:$F$88,$AA$90,$R$9:$R$88)</f>
        <v>0</v>
      </c>
      <c r="S90" s="153">
        <f>+SUMIF($F$9:$F$88,$AA$90,$S$9:$S$88)</f>
        <v>0</v>
      </c>
      <c r="T90" s="153">
        <f>+SUMIF($F$9:$F$88,$AA$90,$T$9:$T$88)</f>
        <v>0</v>
      </c>
      <c r="U90" s="154"/>
      <c r="V90" s="153">
        <f>+SUMIF($F$9:$F$88,$AA$90,$V$9:$V$88)</f>
        <v>0</v>
      </c>
      <c r="W90" s="154"/>
      <c r="X90" s="153">
        <f>+SUMIF($F$9:$F$88,$AA$90,$X$9:$X$88)</f>
        <v>0</v>
      </c>
      <c r="Y90" s="153">
        <f>+SUMIF($F$9:$F$88,$AA$90,$Y$9:$Y$88)</f>
        <v>0</v>
      </c>
      <c r="Z90" s="153">
        <f>+MAX(AA9:AA88)</f>
        <v>212103</v>
      </c>
      <c r="AA90" s="231">
        <f>INDEX($F$9:$F$88,MATCH($Z90,$AA$9:$AA$88,0))</f>
        <v>2</v>
      </c>
    </row>
    <row r="91" spans="1:27" s="12" customFormat="1">
      <c r="AA91" s="233"/>
    </row>
    <row r="92" spans="1:27" ht="16.5" customHeight="1">
      <c r="B92" s="98" t="s">
        <v>690</v>
      </c>
      <c r="F92" s="81"/>
      <c r="G92" s="81"/>
      <c r="H92" s="81"/>
      <c r="I92" s="81"/>
      <c r="J92" s="81"/>
      <c r="K92" s="81"/>
      <c r="L92" s="81"/>
      <c r="M92" s="81"/>
      <c r="AA92" s="24"/>
    </row>
    <row r="93" spans="1:27" ht="11.25" customHeight="1">
      <c r="B93" s="98"/>
      <c r="F93" s="81"/>
      <c r="G93" s="81"/>
      <c r="H93" s="81"/>
      <c r="I93" s="81"/>
      <c r="J93" s="81"/>
      <c r="K93" s="81"/>
      <c r="L93" s="81"/>
      <c r="M93" s="81"/>
      <c r="AA93" s="24"/>
    </row>
    <row r="94" spans="1:27" ht="16.5" customHeight="1">
      <c r="B94" s="98" t="s">
        <v>691</v>
      </c>
      <c r="F94" s="81"/>
      <c r="G94" s="81"/>
      <c r="H94" s="81"/>
      <c r="I94" s="81"/>
      <c r="J94" s="81"/>
      <c r="K94" s="81"/>
      <c r="L94" s="81"/>
      <c r="M94" s="81"/>
      <c r="AA94" s="24"/>
    </row>
    <row r="95" spans="1:27" s="12" customFormat="1">
      <c r="B95" s="99"/>
      <c r="AA95" s="233"/>
    </row>
    <row r="96" spans="1:27" s="12" customFormat="1">
      <c r="B96" s="99"/>
      <c r="AA96" s="233"/>
    </row>
    <row r="97" spans="2:27" s="12" customFormat="1">
      <c r="B97" s="99"/>
      <c r="AA97" s="233"/>
    </row>
    <row r="98" spans="2:27" s="12" customFormat="1">
      <c r="AA98" s="233"/>
    </row>
    <row r="99" spans="2:27" s="12" customFormat="1" ht="15.75">
      <c r="B99" s="630"/>
      <c r="C99" s="630"/>
      <c r="D99" s="630"/>
      <c r="E99" s="630"/>
      <c r="F99" s="630"/>
      <c r="G99" s="630"/>
      <c r="H99" s="630"/>
      <c r="I99" s="630"/>
      <c r="J99" s="630"/>
      <c r="K99" s="630"/>
      <c r="L99" s="630"/>
      <c r="M99" s="630"/>
      <c r="N99" s="630"/>
      <c r="O99" s="630"/>
      <c r="P99" s="630"/>
      <c r="Q99" s="630"/>
      <c r="R99" s="630"/>
      <c r="S99" s="630"/>
      <c r="T99" s="630"/>
      <c r="AA99" s="233"/>
    </row>
    <row r="100" spans="2:27">
      <c r="AA100" s="234"/>
    </row>
    <row r="101" spans="2:27">
      <c r="AA101" s="234"/>
    </row>
    <row r="102" spans="2:27">
      <c r="AA102" s="234"/>
    </row>
    <row r="103" spans="2:27">
      <c r="AA103" s="234"/>
    </row>
    <row r="104" spans="2:27">
      <c r="AA104" s="234"/>
    </row>
    <row r="105" spans="2:27">
      <c r="AA105" s="234"/>
    </row>
    <row r="106" spans="2:27">
      <c r="AA106" s="234"/>
    </row>
    <row r="107" spans="2:27">
      <c r="AA107" s="234"/>
    </row>
    <row r="108" spans="2:27">
      <c r="AA108" s="234"/>
    </row>
    <row r="109" spans="2:27">
      <c r="AA109" s="234"/>
    </row>
    <row r="110" spans="2:27">
      <c r="AA110" s="234"/>
    </row>
    <row r="111" spans="2:27">
      <c r="AA111" s="234"/>
    </row>
    <row r="112" spans="2:27">
      <c r="AA112" s="234"/>
    </row>
    <row r="113" spans="27:27">
      <c r="AA113" s="234"/>
    </row>
    <row r="114" spans="27:27">
      <c r="AA114" s="234"/>
    </row>
    <row r="115" spans="27:27">
      <c r="AA115" s="234"/>
    </row>
    <row r="116" spans="27:27">
      <c r="AA116" s="234"/>
    </row>
    <row r="117" spans="27:27">
      <c r="AA117" s="234"/>
    </row>
    <row r="118" spans="27:27">
      <c r="AA118" s="234"/>
    </row>
    <row r="119" spans="27:27">
      <c r="AA119" s="234"/>
    </row>
    <row r="120" spans="27:27">
      <c r="AA120" s="234"/>
    </row>
    <row r="121" spans="27:27">
      <c r="AA121" s="234"/>
    </row>
    <row r="122" spans="27:27">
      <c r="AA122" s="234"/>
    </row>
    <row r="123" spans="27:27">
      <c r="AA123" s="234"/>
    </row>
    <row r="124" spans="27:27">
      <c r="AA124" s="234"/>
    </row>
    <row r="125" spans="27:27">
      <c r="AA125" s="234"/>
    </row>
    <row r="126" spans="27:27">
      <c r="AA126" s="234"/>
    </row>
    <row r="127" spans="27:27">
      <c r="AA127" s="234"/>
    </row>
    <row r="128" spans="27:27">
      <c r="AA128" s="234"/>
    </row>
    <row r="129" spans="27:27">
      <c r="AA129" s="234"/>
    </row>
    <row r="130" spans="27:27">
      <c r="AA130" s="234"/>
    </row>
    <row r="131" spans="27:27">
      <c r="AA131" s="234"/>
    </row>
  </sheetData>
  <sheetProtection algorithmName="SHA-512" hashValue="gUU+F2aLx9BPUZ26p9J+kSq23acX8nAv5orXo9EzVrFvgDIeeTnoTlE+HKQCoxqC9os/L3HzKazDmPyVtM8VGg==" saltValue="4zfMIUviyMRZbEvwjqke8Q==" spinCount="100000" sheet="1" objects="1" scenarios="1"/>
  <mergeCells count="37">
    <mergeCell ref="U3:V3"/>
    <mergeCell ref="D4:D7"/>
    <mergeCell ref="E4:E7"/>
    <mergeCell ref="H5:K5"/>
    <mergeCell ref="L5:S5"/>
    <mergeCell ref="H6:H7"/>
    <mergeCell ref="P6:Q6"/>
    <mergeCell ref="R6:S6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Z4:Z7"/>
    <mergeCell ref="U6:U7"/>
    <mergeCell ref="V6:V7"/>
    <mergeCell ref="T4:T7"/>
    <mergeCell ref="U4:V5"/>
    <mergeCell ref="W4:W7"/>
    <mergeCell ref="X4:X7"/>
    <mergeCell ref="Y4:Y7"/>
    <mergeCell ref="A89:F89"/>
    <mergeCell ref="A90:F90"/>
    <mergeCell ref="L8:M8"/>
    <mergeCell ref="N8:O8"/>
    <mergeCell ref="P8:Q8"/>
  </mergeCells>
  <dataValidations disablePrompts="1"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A131"/>
  <sheetViews>
    <sheetView view="pageBreakPreview" zoomScale="85" zoomScaleNormal="40" zoomScaleSheetLayoutView="85" workbookViewId="0">
      <pane xSplit="2" ySplit="8" topLeftCell="C9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C9" sqref="C9"/>
    </sheetView>
  </sheetViews>
  <sheetFormatPr defaultRowHeight="12.75"/>
  <cols>
    <col min="1" max="1" width="5.140625" style="24" customWidth="1"/>
    <col min="2" max="2" width="43.42578125" style="24" customWidth="1"/>
    <col min="3" max="3" width="14.140625" style="24" customWidth="1"/>
    <col min="4" max="6" width="10.140625" style="24" customWidth="1"/>
    <col min="7" max="7" width="16" style="24" customWidth="1"/>
    <col min="8" max="8" width="15.42578125" style="24" customWidth="1"/>
    <col min="9" max="9" width="16" style="24" customWidth="1"/>
    <col min="10" max="10" width="13.85546875" style="24" customWidth="1"/>
    <col min="11" max="11" width="18.28515625" style="24" customWidth="1"/>
    <col min="12" max="19" width="13.85546875" style="24" customWidth="1"/>
    <col min="20" max="20" width="8.28515625" style="24" customWidth="1"/>
    <col min="21" max="21" width="10.140625" style="24" customWidth="1"/>
    <col min="22" max="22" width="14" style="24" customWidth="1"/>
    <col min="23" max="23" width="9.85546875" style="24" customWidth="1"/>
    <col min="24" max="24" width="14" style="24" customWidth="1"/>
    <col min="25" max="25" width="13.28515625" style="24" customWidth="1"/>
    <col min="26" max="26" width="14.7109375" style="24" customWidth="1"/>
    <col min="27" max="27" width="17.42578125" style="226" customWidth="1"/>
    <col min="28" max="16384" width="9.140625" style="24"/>
  </cols>
  <sheetData>
    <row r="1" spans="1:27" ht="20.25">
      <c r="A1" s="632" t="s">
        <v>384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Y1" s="216" t="s">
        <v>385</v>
      </c>
    </row>
    <row r="2" spans="1:27">
      <c r="A2" s="144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Q2" s="118"/>
      <c r="R2" s="118"/>
      <c r="S2" s="118"/>
      <c r="T2" s="118"/>
    </row>
    <row r="3" spans="1:27" ht="15.75">
      <c r="A3" s="120"/>
      <c r="B3" s="33" t="str">
        <f>+'Asset quality'!B3</f>
        <v>MKBANK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Q3" s="120"/>
      <c r="R3" s="120"/>
      <c r="T3" s="118"/>
      <c r="U3" s="646">
        <f>+'Asset quality'!Q3</f>
        <v>46021</v>
      </c>
      <c r="V3" s="646"/>
      <c r="W3" s="156"/>
      <c r="Y3" s="631" t="str">
        <f>+'Asset quality'!T3</f>
        <v>минг. сўмда</v>
      </c>
      <c r="Z3" s="631"/>
    </row>
    <row r="4" spans="1:27" ht="27.75" customHeight="1">
      <c r="A4" s="636" t="s">
        <v>23</v>
      </c>
      <c r="B4" s="636" t="s">
        <v>358</v>
      </c>
      <c r="C4" s="623" t="s">
        <v>359</v>
      </c>
      <c r="D4" s="623" t="s">
        <v>360</v>
      </c>
      <c r="E4" s="623" t="s">
        <v>361</v>
      </c>
      <c r="F4" s="623" t="s">
        <v>362</v>
      </c>
      <c r="G4" s="623" t="s">
        <v>363</v>
      </c>
      <c r="H4" s="633" t="s">
        <v>266</v>
      </c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23" t="s">
        <v>364</v>
      </c>
      <c r="U4" s="626" t="s">
        <v>365</v>
      </c>
      <c r="V4" s="627"/>
      <c r="W4" s="623" t="s">
        <v>366</v>
      </c>
      <c r="X4" s="623" t="s">
        <v>367</v>
      </c>
      <c r="Y4" s="623" t="s">
        <v>368</v>
      </c>
      <c r="Z4" s="623" t="s">
        <v>369</v>
      </c>
    </row>
    <row r="5" spans="1:27" ht="27.75" customHeight="1">
      <c r="A5" s="637"/>
      <c r="B5" s="637"/>
      <c r="C5" s="624"/>
      <c r="D5" s="624"/>
      <c r="E5" s="624"/>
      <c r="F5" s="624"/>
      <c r="G5" s="624"/>
      <c r="H5" s="633" t="s">
        <v>370</v>
      </c>
      <c r="I5" s="634"/>
      <c r="J5" s="634"/>
      <c r="K5" s="634"/>
      <c r="L5" s="633" t="s">
        <v>371</v>
      </c>
      <c r="M5" s="634"/>
      <c r="N5" s="634"/>
      <c r="O5" s="634"/>
      <c r="P5" s="634"/>
      <c r="Q5" s="634"/>
      <c r="R5" s="634"/>
      <c r="S5" s="634"/>
      <c r="T5" s="624"/>
      <c r="U5" s="628"/>
      <c r="V5" s="629"/>
      <c r="W5" s="624"/>
      <c r="X5" s="624"/>
      <c r="Y5" s="624"/>
      <c r="Z5" s="624"/>
    </row>
    <row r="6" spans="1:27" ht="108.75" customHeight="1">
      <c r="A6" s="637"/>
      <c r="B6" s="637"/>
      <c r="C6" s="624"/>
      <c r="D6" s="624"/>
      <c r="E6" s="624"/>
      <c r="F6" s="624"/>
      <c r="G6" s="624"/>
      <c r="H6" s="623" t="s">
        <v>372</v>
      </c>
      <c r="I6" s="623" t="s">
        <v>373</v>
      </c>
      <c r="J6" s="623" t="s">
        <v>374</v>
      </c>
      <c r="K6" s="623" t="s">
        <v>375</v>
      </c>
      <c r="L6" s="639" t="s">
        <v>376</v>
      </c>
      <c r="M6" s="640"/>
      <c r="N6" s="639" t="s">
        <v>377</v>
      </c>
      <c r="O6" s="640"/>
      <c r="P6" s="639" t="s">
        <v>378</v>
      </c>
      <c r="Q6" s="640"/>
      <c r="R6" s="639" t="s">
        <v>379</v>
      </c>
      <c r="S6" s="640"/>
      <c r="T6" s="624"/>
      <c r="U6" s="623" t="s">
        <v>380</v>
      </c>
      <c r="V6" s="623" t="s">
        <v>100</v>
      </c>
      <c r="W6" s="624"/>
      <c r="X6" s="624"/>
      <c r="Y6" s="624"/>
      <c r="Z6" s="624"/>
    </row>
    <row r="7" spans="1:27" ht="41.25" customHeight="1">
      <c r="A7" s="638"/>
      <c r="B7" s="638"/>
      <c r="C7" s="625"/>
      <c r="D7" s="625"/>
      <c r="E7" s="625"/>
      <c r="F7" s="625"/>
      <c r="G7" s="625"/>
      <c r="H7" s="625"/>
      <c r="I7" s="625"/>
      <c r="J7" s="625"/>
      <c r="K7" s="625"/>
      <c r="L7" s="227" t="s">
        <v>381</v>
      </c>
      <c r="M7" s="227" t="s">
        <v>382</v>
      </c>
      <c r="N7" s="227" t="s">
        <v>381</v>
      </c>
      <c r="O7" s="227" t="s">
        <v>382</v>
      </c>
      <c r="P7" s="227" t="s">
        <v>381</v>
      </c>
      <c r="Q7" s="227" t="s">
        <v>382</v>
      </c>
      <c r="R7" s="227" t="s">
        <v>381</v>
      </c>
      <c r="S7" s="227" t="s">
        <v>382</v>
      </c>
      <c r="T7" s="625"/>
      <c r="U7" s="625"/>
      <c r="V7" s="625"/>
      <c r="W7" s="625"/>
      <c r="X7" s="625"/>
      <c r="Y7" s="625"/>
      <c r="Z7" s="625"/>
    </row>
    <row r="8" spans="1:27" s="143" customFormat="1" ht="15">
      <c r="A8" s="228"/>
      <c r="B8" s="228" t="s">
        <v>40</v>
      </c>
      <c r="C8" s="228" t="s">
        <v>41</v>
      </c>
      <c r="D8" s="228" t="s">
        <v>51</v>
      </c>
      <c r="E8" s="228" t="s">
        <v>42</v>
      </c>
      <c r="F8" s="228" t="s">
        <v>43</v>
      </c>
      <c r="G8" s="133" t="s">
        <v>52</v>
      </c>
      <c r="H8" s="228" t="s">
        <v>160</v>
      </c>
      <c r="I8" s="228" t="s">
        <v>159</v>
      </c>
      <c r="J8" s="228" t="s">
        <v>158</v>
      </c>
      <c r="K8" s="228" t="s">
        <v>157</v>
      </c>
      <c r="L8" s="621" t="s">
        <v>156</v>
      </c>
      <c r="M8" s="622"/>
      <c r="N8" s="621" t="s">
        <v>155</v>
      </c>
      <c r="O8" s="622"/>
      <c r="P8" s="621" t="s">
        <v>154</v>
      </c>
      <c r="Q8" s="622"/>
      <c r="R8" s="621" t="s">
        <v>153</v>
      </c>
      <c r="S8" s="622"/>
      <c r="T8" s="228" t="s">
        <v>44</v>
      </c>
      <c r="U8" s="228" t="s">
        <v>45</v>
      </c>
      <c r="V8" s="228" t="s">
        <v>46</v>
      </c>
      <c r="W8" s="228" t="s">
        <v>47</v>
      </c>
      <c r="X8" s="228" t="s">
        <v>48</v>
      </c>
      <c r="Y8" s="228" t="s">
        <v>49</v>
      </c>
      <c r="Z8" s="228" t="s">
        <v>50</v>
      </c>
      <c r="AA8" s="229"/>
    </row>
    <row r="9" spans="1:27" s="136" customFormat="1">
      <c r="A9" s="11">
        <v>1</v>
      </c>
      <c r="B9" s="138" t="s">
        <v>795</v>
      </c>
      <c r="C9" s="140">
        <v>306892604</v>
      </c>
      <c r="D9" s="140">
        <v>11220</v>
      </c>
      <c r="E9" s="139">
        <v>978</v>
      </c>
      <c r="F9" s="139">
        <v>1</v>
      </c>
      <c r="G9" s="148">
        <f t="shared" ref="G9:G65" si="0">+H9+I9+J9+K9+M9+O9+Q9+S9</f>
        <v>615368189.1135</v>
      </c>
      <c r="H9" s="146">
        <v>0</v>
      </c>
      <c r="I9" s="146">
        <v>615368189.1135</v>
      </c>
      <c r="J9" s="146">
        <v>0</v>
      </c>
      <c r="K9" s="146">
        <v>0</v>
      </c>
      <c r="L9" s="146">
        <v>0</v>
      </c>
      <c r="M9" s="146">
        <v>0</v>
      </c>
      <c r="N9" s="147">
        <v>0</v>
      </c>
      <c r="O9" s="146">
        <v>0</v>
      </c>
      <c r="P9" s="146">
        <v>0</v>
      </c>
      <c r="Q9" s="146">
        <v>0</v>
      </c>
      <c r="R9" s="146">
        <v>0</v>
      </c>
      <c r="S9" s="146">
        <v>0</v>
      </c>
      <c r="T9" s="149">
        <v>0</v>
      </c>
      <c r="U9" s="149">
        <v>0</v>
      </c>
      <c r="V9" s="146">
        <v>0</v>
      </c>
      <c r="W9" s="230">
        <v>1</v>
      </c>
      <c r="X9" s="146">
        <v>0</v>
      </c>
      <c r="Y9" s="146"/>
      <c r="Z9" s="145">
        <f t="shared" ref="Z9:Z65" si="1">+G9-V9-X9</f>
        <v>615368189.1135</v>
      </c>
      <c r="AA9" s="231">
        <f t="shared" ref="AA9:AA40" si="2">SUMIF($F$9:$F$88,$F9,$Z$9:$Z$88)</f>
        <v>615368189.1135</v>
      </c>
    </row>
    <row r="10" spans="1:27" s="136" customFormat="1" ht="25.5">
      <c r="A10" s="11">
        <v>2</v>
      </c>
      <c r="B10" s="138" t="s">
        <v>796</v>
      </c>
      <c r="C10" s="140">
        <v>305922787</v>
      </c>
      <c r="D10" s="140">
        <v>11220</v>
      </c>
      <c r="E10" s="139" t="s">
        <v>797</v>
      </c>
      <c r="F10" s="139">
        <v>2</v>
      </c>
      <c r="G10" s="148">
        <f t="shared" si="0"/>
        <v>566953644.67952001</v>
      </c>
      <c r="H10" s="146">
        <v>0</v>
      </c>
      <c r="I10" s="146">
        <v>566953644.67952001</v>
      </c>
      <c r="J10" s="146">
        <v>0</v>
      </c>
      <c r="K10" s="146">
        <v>0</v>
      </c>
      <c r="L10" s="146">
        <v>0</v>
      </c>
      <c r="M10" s="146">
        <v>0</v>
      </c>
      <c r="N10" s="147">
        <v>0</v>
      </c>
      <c r="O10" s="146">
        <v>0</v>
      </c>
      <c r="P10" s="146">
        <v>0</v>
      </c>
      <c r="Q10" s="146">
        <v>0</v>
      </c>
      <c r="R10" s="146">
        <v>0</v>
      </c>
      <c r="S10" s="146">
        <v>0</v>
      </c>
      <c r="T10" s="149">
        <v>0</v>
      </c>
      <c r="U10" s="149">
        <v>0</v>
      </c>
      <c r="V10" s="146">
        <v>0</v>
      </c>
      <c r="W10" s="230">
        <v>1</v>
      </c>
      <c r="X10" s="146">
        <v>0</v>
      </c>
      <c r="Y10" s="149"/>
      <c r="Z10" s="145">
        <f t="shared" si="1"/>
        <v>566953644.67952001</v>
      </c>
      <c r="AA10" s="231">
        <f t="shared" si="2"/>
        <v>566953644.67952001</v>
      </c>
    </row>
    <row r="11" spans="1:27" s="136" customFormat="1">
      <c r="A11" s="11">
        <v>3</v>
      </c>
      <c r="B11" s="138"/>
      <c r="C11" s="140"/>
      <c r="D11" s="140"/>
      <c r="E11" s="139"/>
      <c r="F11" s="139"/>
      <c r="G11" s="148">
        <f t="shared" si="0"/>
        <v>0</v>
      </c>
      <c r="H11" s="146"/>
      <c r="I11" s="146"/>
      <c r="J11" s="146"/>
      <c r="K11" s="146"/>
      <c r="L11" s="146"/>
      <c r="M11" s="146"/>
      <c r="N11" s="147"/>
      <c r="O11" s="146"/>
      <c r="P11" s="146"/>
      <c r="Q11" s="146"/>
      <c r="R11" s="146"/>
      <c r="S11" s="146"/>
      <c r="T11" s="149"/>
      <c r="U11" s="146"/>
      <c r="V11" s="146"/>
      <c r="W11" s="230"/>
      <c r="X11" s="146"/>
      <c r="Y11" s="149"/>
      <c r="Z11" s="145">
        <f t="shared" si="1"/>
        <v>0</v>
      </c>
      <c r="AA11" s="231">
        <f t="shared" si="2"/>
        <v>0</v>
      </c>
    </row>
    <row r="12" spans="1:27" s="136" customFormat="1">
      <c r="A12" s="11">
        <v>4</v>
      </c>
      <c r="B12" s="138"/>
      <c r="C12" s="140"/>
      <c r="D12" s="140"/>
      <c r="E12" s="139"/>
      <c r="F12" s="139"/>
      <c r="G12" s="148">
        <f t="shared" si="0"/>
        <v>0</v>
      </c>
      <c r="H12" s="146"/>
      <c r="I12" s="146"/>
      <c r="J12" s="146"/>
      <c r="K12" s="146"/>
      <c r="L12" s="146"/>
      <c r="M12" s="146"/>
      <c r="N12" s="147"/>
      <c r="O12" s="146"/>
      <c r="P12" s="146"/>
      <c r="Q12" s="146"/>
      <c r="R12" s="146"/>
      <c r="S12" s="146"/>
      <c r="T12" s="149"/>
      <c r="U12" s="146"/>
      <c r="V12" s="146"/>
      <c r="W12" s="230"/>
      <c r="X12" s="146"/>
      <c r="Y12" s="146"/>
      <c r="Z12" s="145">
        <f t="shared" si="1"/>
        <v>0</v>
      </c>
      <c r="AA12" s="231">
        <f t="shared" si="2"/>
        <v>0</v>
      </c>
    </row>
    <row r="13" spans="1:27" s="136" customFormat="1">
      <c r="A13" s="11">
        <v>5</v>
      </c>
      <c r="B13" s="138"/>
      <c r="C13" s="140"/>
      <c r="D13" s="140"/>
      <c r="E13" s="139"/>
      <c r="F13" s="139"/>
      <c r="G13" s="148">
        <f t="shared" si="0"/>
        <v>0</v>
      </c>
      <c r="H13" s="146"/>
      <c r="I13" s="146"/>
      <c r="J13" s="146"/>
      <c r="K13" s="146"/>
      <c r="L13" s="146"/>
      <c r="M13" s="146"/>
      <c r="N13" s="147"/>
      <c r="O13" s="146"/>
      <c r="P13" s="146"/>
      <c r="Q13" s="146"/>
      <c r="R13" s="146"/>
      <c r="S13" s="146"/>
      <c r="T13" s="149"/>
      <c r="U13" s="146"/>
      <c r="V13" s="146"/>
      <c r="W13" s="230"/>
      <c r="X13" s="146"/>
      <c r="Y13" s="146"/>
      <c r="Z13" s="145">
        <f t="shared" si="1"/>
        <v>0</v>
      </c>
      <c r="AA13" s="231">
        <f t="shared" si="2"/>
        <v>0</v>
      </c>
    </row>
    <row r="14" spans="1:27" s="136" customFormat="1">
      <c r="A14" s="11">
        <v>6</v>
      </c>
      <c r="B14" s="138"/>
      <c r="C14" s="140"/>
      <c r="D14" s="140"/>
      <c r="E14" s="139"/>
      <c r="F14" s="139"/>
      <c r="G14" s="148">
        <f t="shared" si="0"/>
        <v>0</v>
      </c>
      <c r="H14" s="146"/>
      <c r="I14" s="146"/>
      <c r="J14" s="146"/>
      <c r="K14" s="146"/>
      <c r="L14" s="146"/>
      <c r="M14" s="146"/>
      <c r="N14" s="147"/>
      <c r="O14" s="146"/>
      <c r="P14" s="146"/>
      <c r="Q14" s="140"/>
      <c r="R14" s="146"/>
      <c r="S14" s="146"/>
      <c r="T14" s="149"/>
      <c r="U14" s="146"/>
      <c r="V14" s="146"/>
      <c r="W14" s="230"/>
      <c r="X14" s="146"/>
      <c r="Y14" s="146"/>
      <c r="Z14" s="145">
        <f t="shared" si="1"/>
        <v>0</v>
      </c>
      <c r="AA14" s="231">
        <f t="shared" si="2"/>
        <v>0</v>
      </c>
    </row>
    <row r="15" spans="1:27" s="136" customFormat="1">
      <c r="A15" s="11">
        <v>7</v>
      </c>
      <c r="B15" s="138"/>
      <c r="C15" s="140"/>
      <c r="D15" s="140"/>
      <c r="E15" s="139"/>
      <c r="F15" s="139"/>
      <c r="G15" s="148">
        <f t="shared" si="0"/>
        <v>0</v>
      </c>
      <c r="H15" s="146"/>
      <c r="I15" s="146"/>
      <c r="J15" s="146"/>
      <c r="K15" s="146"/>
      <c r="L15" s="146"/>
      <c r="M15" s="146"/>
      <c r="N15" s="147"/>
      <c r="O15" s="146"/>
      <c r="P15" s="146"/>
      <c r="Q15" s="147"/>
      <c r="R15" s="146"/>
      <c r="S15" s="146"/>
      <c r="T15" s="149"/>
      <c r="U15" s="146"/>
      <c r="V15" s="146"/>
      <c r="W15" s="230"/>
      <c r="X15" s="146"/>
      <c r="Y15" s="146"/>
      <c r="Z15" s="145">
        <f t="shared" si="1"/>
        <v>0</v>
      </c>
      <c r="AA15" s="231">
        <f t="shared" si="2"/>
        <v>0</v>
      </c>
    </row>
    <row r="16" spans="1:27" s="136" customFormat="1">
      <c r="A16" s="11">
        <v>8</v>
      </c>
      <c r="B16" s="138"/>
      <c r="C16" s="140"/>
      <c r="D16" s="140"/>
      <c r="E16" s="139"/>
      <c r="F16" s="139"/>
      <c r="G16" s="148">
        <f t="shared" si="0"/>
        <v>0</v>
      </c>
      <c r="H16" s="146"/>
      <c r="I16" s="146"/>
      <c r="J16" s="146"/>
      <c r="K16" s="146"/>
      <c r="L16" s="146"/>
      <c r="M16" s="146"/>
      <c r="N16" s="147"/>
      <c r="O16" s="146"/>
      <c r="P16" s="146"/>
      <c r="Q16" s="147"/>
      <c r="R16" s="146"/>
      <c r="S16" s="146"/>
      <c r="T16" s="149"/>
      <c r="U16" s="146"/>
      <c r="V16" s="146"/>
      <c r="W16" s="230"/>
      <c r="X16" s="146"/>
      <c r="Y16" s="146"/>
      <c r="Z16" s="145">
        <f t="shared" si="1"/>
        <v>0</v>
      </c>
      <c r="AA16" s="231">
        <f t="shared" si="2"/>
        <v>0</v>
      </c>
    </row>
    <row r="17" spans="1:27" s="136" customFormat="1">
      <c r="A17" s="11">
        <v>9</v>
      </c>
      <c r="B17" s="138"/>
      <c r="C17" s="140"/>
      <c r="D17" s="140"/>
      <c r="E17" s="139"/>
      <c r="F17" s="139"/>
      <c r="G17" s="148">
        <f t="shared" si="0"/>
        <v>0</v>
      </c>
      <c r="H17" s="146"/>
      <c r="I17" s="146"/>
      <c r="J17" s="146"/>
      <c r="K17" s="146"/>
      <c r="L17" s="146"/>
      <c r="M17" s="146"/>
      <c r="N17" s="147"/>
      <c r="O17" s="146"/>
      <c r="P17" s="146"/>
      <c r="Q17" s="147"/>
      <c r="R17" s="146"/>
      <c r="S17" s="146"/>
      <c r="T17" s="149"/>
      <c r="U17" s="146"/>
      <c r="V17" s="146"/>
      <c r="W17" s="230"/>
      <c r="X17" s="146"/>
      <c r="Y17" s="146"/>
      <c r="Z17" s="145">
        <f t="shared" si="1"/>
        <v>0</v>
      </c>
      <c r="AA17" s="231">
        <f t="shared" si="2"/>
        <v>0</v>
      </c>
    </row>
    <row r="18" spans="1:27" s="136" customFormat="1">
      <c r="A18" s="11">
        <v>10</v>
      </c>
      <c r="B18" s="138"/>
      <c r="C18" s="140"/>
      <c r="D18" s="140"/>
      <c r="E18" s="139"/>
      <c r="F18" s="139"/>
      <c r="G18" s="148">
        <f t="shared" si="0"/>
        <v>0</v>
      </c>
      <c r="H18" s="146"/>
      <c r="I18" s="146"/>
      <c r="J18" s="146"/>
      <c r="K18" s="146"/>
      <c r="L18" s="146"/>
      <c r="M18" s="146"/>
      <c r="N18" s="147"/>
      <c r="O18" s="146"/>
      <c r="P18" s="146"/>
      <c r="Q18" s="146"/>
      <c r="R18" s="146"/>
      <c r="S18" s="146"/>
      <c r="T18" s="149"/>
      <c r="U18" s="146"/>
      <c r="V18" s="146"/>
      <c r="W18" s="230"/>
      <c r="X18" s="146"/>
      <c r="Y18" s="146"/>
      <c r="Z18" s="145">
        <f t="shared" si="1"/>
        <v>0</v>
      </c>
      <c r="AA18" s="231">
        <f t="shared" si="2"/>
        <v>0</v>
      </c>
    </row>
    <row r="19" spans="1:27" s="136" customFormat="1">
      <c r="A19" s="11">
        <v>11</v>
      </c>
      <c r="B19" s="138"/>
      <c r="C19" s="140"/>
      <c r="D19" s="140"/>
      <c r="E19" s="139"/>
      <c r="F19" s="139"/>
      <c r="G19" s="148">
        <f t="shared" si="0"/>
        <v>0</v>
      </c>
      <c r="H19" s="146"/>
      <c r="I19" s="146"/>
      <c r="J19" s="146"/>
      <c r="K19" s="146"/>
      <c r="L19" s="146"/>
      <c r="M19" s="146"/>
      <c r="N19" s="147"/>
      <c r="O19" s="146"/>
      <c r="P19" s="146"/>
      <c r="Q19" s="146"/>
      <c r="R19" s="146"/>
      <c r="S19" s="146"/>
      <c r="T19" s="149"/>
      <c r="U19" s="146"/>
      <c r="V19" s="146"/>
      <c r="W19" s="230"/>
      <c r="X19" s="146"/>
      <c r="Y19" s="146"/>
      <c r="Z19" s="145">
        <f t="shared" si="1"/>
        <v>0</v>
      </c>
      <c r="AA19" s="231">
        <f t="shared" si="2"/>
        <v>0</v>
      </c>
    </row>
    <row r="20" spans="1:27" s="136" customFormat="1">
      <c r="A20" s="11">
        <v>12</v>
      </c>
      <c r="B20" s="138"/>
      <c r="C20" s="140"/>
      <c r="D20" s="140"/>
      <c r="E20" s="139"/>
      <c r="F20" s="139"/>
      <c r="G20" s="148">
        <f t="shared" si="0"/>
        <v>0</v>
      </c>
      <c r="H20" s="146"/>
      <c r="I20" s="146"/>
      <c r="J20" s="146"/>
      <c r="K20" s="146"/>
      <c r="L20" s="146"/>
      <c r="M20" s="146"/>
      <c r="N20" s="147"/>
      <c r="O20" s="146"/>
      <c r="P20" s="146"/>
      <c r="Q20" s="146"/>
      <c r="R20" s="146"/>
      <c r="S20" s="146"/>
      <c r="T20" s="149"/>
      <c r="U20" s="146"/>
      <c r="V20" s="146"/>
      <c r="W20" s="230"/>
      <c r="X20" s="146"/>
      <c r="Y20" s="146"/>
      <c r="Z20" s="145">
        <f t="shared" si="1"/>
        <v>0</v>
      </c>
      <c r="AA20" s="231">
        <f t="shared" si="2"/>
        <v>0</v>
      </c>
    </row>
    <row r="21" spans="1:27" s="136" customFormat="1">
      <c r="A21" s="11">
        <v>13</v>
      </c>
      <c r="B21" s="138"/>
      <c r="C21" s="140"/>
      <c r="D21" s="140"/>
      <c r="E21" s="139"/>
      <c r="F21" s="139"/>
      <c r="G21" s="148">
        <f t="shared" si="0"/>
        <v>0</v>
      </c>
      <c r="H21" s="146"/>
      <c r="I21" s="146"/>
      <c r="J21" s="146"/>
      <c r="K21" s="146"/>
      <c r="L21" s="146"/>
      <c r="M21" s="146"/>
      <c r="N21" s="147"/>
      <c r="O21" s="146"/>
      <c r="P21" s="146"/>
      <c r="Q21" s="140"/>
      <c r="R21" s="146"/>
      <c r="S21" s="146"/>
      <c r="T21" s="149"/>
      <c r="U21" s="146"/>
      <c r="V21" s="146"/>
      <c r="W21" s="230"/>
      <c r="X21" s="146"/>
      <c r="Y21" s="146"/>
      <c r="Z21" s="145">
        <f t="shared" si="1"/>
        <v>0</v>
      </c>
      <c r="AA21" s="231">
        <f t="shared" si="2"/>
        <v>0</v>
      </c>
    </row>
    <row r="22" spans="1:27" s="136" customFormat="1">
      <c r="A22" s="11">
        <v>14</v>
      </c>
      <c r="B22" s="138"/>
      <c r="C22" s="140"/>
      <c r="D22" s="140"/>
      <c r="E22" s="139"/>
      <c r="F22" s="139"/>
      <c r="G22" s="148">
        <f t="shared" si="0"/>
        <v>0</v>
      </c>
      <c r="H22" s="146"/>
      <c r="I22" s="146"/>
      <c r="J22" s="146"/>
      <c r="K22" s="146"/>
      <c r="L22" s="146"/>
      <c r="M22" s="146"/>
      <c r="N22" s="147"/>
      <c r="O22" s="146"/>
      <c r="P22" s="146"/>
      <c r="Q22" s="147"/>
      <c r="R22" s="146"/>
      <c r="S22" s="146"/>
      <c r="T22" s="149"/>
      <c r="U22" s="146"/>
      <c r="V22" s="146"/>
      <c r="W22" s="230"/>
      <c r="X22" s="146"/>
      <c r="Y22" s="146"/>
      <c r="Z22" s="145">
        <f t="shared" si="1"/>
        <v>0</v>
      </c>
      <c r="AA22" s="231">
        <f t="shared" si="2"/>
        <v>0</v>
      </c>
    </row>
    <row r="23" spans="1:27" s="136" customFormat="1">
      <c r="A23" s="11">
        <v>15</v>
      </c>
      <c r="B23" s="138"/>
      <c r="C23" s="140"/>
      <c r="D23" s="140"/>
      <c r="E23" s="139"/>
      <c r="F23" s="139"/>
      <c r="G23" s="148">
        <f t="shared" si="0"/>
        <v>0</v>
      </c>
      <c r="H23" s="146"/>
      <c r="I23" s="146"/>
      <c r="J23" s="146"/>
      <c r="K23" s="146"/>
      <c r="L23" s="146"/>
      <c r="M23" s="146"/>
      <c r="N23" s="147"/>
      <c r="O23" s="146"/>
      <c r="P23" s="146"/>
      <c r="Q23" s="147"/>
      <c r="R23" s="146"/>
      <c r="S23" s="146"/>
      <c r="T23" s="149"/>
      <c r="U23" s="146"/>
      <c r="V23" s="146"/>
      <c r="W23" s="230"/>
      <c r="X23" s="146"/>
      <c r="Y23" s="146"/>
      <c r="Z23" s="145">
        <f t="shared" si="1"/>
        <v>0</v>
      </c>
      <c r="AA23" s="231">
        <f t="shared" si="2"/>
        <v>0</v>
      </c>
    </row>
    <row r="24" spans="1:27" s="136" customFormat="1">
      <c r="A24" s="11">
        <v>16</v>
      </c>
      <c r="B24" s="138"/>
      <c r="C24" s="140"/>
      <c r="D24" s="140"/>
      <c r="E24" s="139"/>
      <c r="F24" s="139"/>
      <c r="G24" s="148">
        <f t="shared" si="0"/>
        <v>0</v>
      </c>
      <c r="H24" s="146"/>
      <c r="I24" s="146"/>
      <c r="J24" s="146"/>
      <c r="K24" s="146"/>
      <c r="L24" s="146"/>
      <c r="M24" s="146"/>
      <c r="N24" s="147"/>
      <c r="O24" s="146"/>
      <c r="P24" s="146"/>
      <c r="Q24" s="147"/>
      <c r="R24" s="146"/>
      <c r="S24" s="146"/>
      <c r="T24" s="149"/>
      <c r="U24" s="146"/>
      <c r="V24" s="146"/>
      <c r="W24" s="230"/>
      <c r="X24" s="146"/>
      <c r="Y24" s="146"/>
      <c r="Z24" s="145">
        <f t="shared" si="1"/>
        <v>0</v>
      </c>
      <c r="AA24" s="231">
        <f t="shared" si="2"/>
        <v>0</v>
      </c>
    </row>
    <row r="25" spans="1:27" s="136" customFormat="1">
      <c r="A25" s="11">
        <v>17</v>
      </c>
      <c r="B25" s="138"/>
      <c r="C25" s="140"/>
      <c r="D25" s="140"/>
      <c r="E25" s="139"/>
      <c r="F25" s="139"/>
      <c r="G25" s="148">
        <f t="shared" si="0"/>
        <v>0</v>
      </c>
      <c r="H25" s="146"/>
      <c r="I25" s="146"/>
      <c r="J25" s="146"/>
      <c r="K25" s="146"/>
      <c r="L25" s="146"/>
      <c r="M25" s="146"/>
      <c r="N25" s="147"/>
      <c r="O25" s="146"/>
      <c r="P25" s="146"/>
      <c r="Q25" s="147"/>
      <c r="R25" s="146"/>
      <c r="S25" s="146"/>
      <c r="T25" s="149"/>
      <c r="U25" s="146"/>
      <c r="V25" s="146"/>
      <c r="W25" s="230"/>
      <c r="X25" s="146"/>
      <c r="Y25" s="146"/>
      <c r="Z25" s="145">
        <f t="shared" si="1"/>
        <v>0</v>
      </c>
      <c r="AA25" s="231">
        <f t="shared" si="2"/>
        <v>0</v>
      </c>
    </row>
    <row r="26" spans="1:27" s="136" customFormat="1">
      <c r="A26" s="11">
        <v>18</v>
      </c>
      <c r="B26" s="138"/>
      <c r="C26" s="140"/>
      <c r="D26" s="140"/>
      <c r="E26" s="139"/>
      <c r="F26" s="139"/>
      <c r="G26" s="148">
        <f t="shared" si="0"/>
        <v>0</v>
      </c>
      <c r="H26" s="146"/>
      <c r="I26" s="146"/>
      <c r="J26" s="146"/>
      <c r="K26" s="146"/>
      <c r="L26" s="146"/>
      <c r="M26" s="146"/>
      <c r="N26" s="147"/>
      <c r="O26" s="146"/>
      <c r="P26" s="146"/>
      <c r="Q26" s="147"/>
      <c r="R26" s="146"/>
      <c r="S26" s="146"/>
      <c r="T26" s="149"/>
      <c r="U26" s="146"/>
      <c r="V26" s="146"/>
      <c r="W26" s="230"/>
      <c r="X26" s="146"/>
      <c r="Y26" s="146"/>
      <c r="Z26" s="145">
        <f t="shared" si="1"/>
        <v>0</v>
      </c>
      <c r="AA26" s="231">
        <f t="shared" si="2"/>
        <v>0</v>
      </c>
    </row>
    <row r="27" spans="1:27" s="136" customFormat="1">
      <c r="A27" s="11">
        <v>19</v>
      </c>
      <c r="B27" s="138"/>
      <c r="C27" s="140"/>
      <c r="D27" s="140"/>
      <c r="E27" s="139"/>
      <c r="F27" s="139"/>
      <c r="G27" s="148">
        <f t="shared" si="0"/>
        <v>0</v>
      </c>
      <c r="H27" s="146"/>
      <c r="I27" s="146"/>
      <c r="J27" s="146"/>
      <c r="K27" s="146"/>
      <c r="L27" s="146"/>
      <c r="M27" s="146"/>
      <c r="N27" s="147"/>
      <c r="O27" s="146"/>
      <c r="P27" s="146"/>
      <c r="Q27" s="147"/>
      <c r="R27" s="146"/>
      <c r="S27" s="146"/>
      <c r="T27" s="149"/>
      <c r="U27" s="146"/>
      <c r="V27" s="146"/>
      <c r="W27" s="230"/>
      <c r="X27" s="146"/>
      <c r="Y27" s="146"/>
      <c r="Z27" s="145">
        <f t="shared" si="1"/>
        <v>0</v>
      </c>
      <c r="AA27" s="231">
        <f t="shared" si="2"/>
        <v>0</v>
      </c>
    </row>
    <row r="28" spans="1:27" s="136" customFormat="1">
      <c r="A28" s="11">
        <v>20</v>
      </c>
      <c r="B28" s="138"/>
      <c r="C28" s="140"/>
      <c r="D28" s="140"/>
      <c r="E28" s="139"/>
      <c r="F28" s="139"/>
      <c r="G28" s="148">
        <f t="shared" si="0"/>
        <v>0</v>
      </c>
      <c r="H28" s="146"/>
      <c r="I28" s="146"/>
      <c r="J28" s="146"/>
      <c r="K28" s="146"/>
      <c r="L28" s="146"/>
      <c r="M28" s="146"/>
      <c r="N28" s="147"/>
      <c r="O28" s="146"/>
      <c r="P28" s="146"/>
      <c r="Q28" s="147"/>
      <c r="R28" s="146"/>
      <c r="S28" s="146"/>
      <c r="T28" s="149"/>
      <c r="U28" s="146"/>
      <c r="V28" s="146"/>
      <c r="W28" s="230"/>
      <c r="X28" s="146"/>
      <c r="Y28" s="146"/>
      <c r="Z28" s="145">
        <f t="shared" si="1"/>
        <v>0</v>
      </c>
      <c r="AA28" s="231">
        <f t="shared" si="2"/>
        <v>0</v>
      </c>
    </row>
    <row r="29" spans="1:27" s="136" customFormat="1">
      <c r="A29" s="11">
        <v>21</v>
      </c>
      <c r="B29" s="138"/>
      <c r="C29" s="140"/>
      <c r="D29" s="140"/>
      <c r="E29" s="139"/>
      <c r="F29" s="139"/>
      <c r="G29" s="148">
        <f t="shared" si="0"/>
        <v>0</v>
      </c>
      <c r="H29" s="146"/>
      <c r="I29" s="146"/>
      <c r="J29" s="146"/>
      <c r="K29" s="146"/>
      <c r="L29" s="146"/>
      <c r="M29" s="146"/>
      <c r="N29" s="147"/>
      <c r="O29" s="146"/>
      <c r="P29" s="146"/>
      <c r="Q29" s="147"/>
      <c r="R29" s="146"/>
      <c r="S29" s="146"/>
      <c r="T29" s="149"/>
      <c r="U29" s="146"/>
      <c r="V29" s="146"/>
      <c r="W29" s="230"/>
      <c r="X29" s="146"/>
      <c r="Y29" s="146"/>
      <c r="Z29" s="145">
        <f t="shared" si="1"/>
        <v>0</v>
      </c>
      <c r="AA29" s="231">
        <f t="shared" si="2"/>
        <v>0</v>
      </c>
    </row>
    <row r="30" spans="1:27" s="136" customFormat="1">
      <c r="A30" s="11">
        <v>22</v>
      </c>
      <c r="B30" s="138"/>
      <c r="C30" s="140"/>
      <c r="D30" s="140"/>
      <c r="E30" s="139"/>
      <c r="F30" s="139"/>
      <c r="G30" s="148">
        <f t="shared" si="0"/>
        <v>0</v>
      </c>
      <c r="H30" s="146"/>
      <c r="I30" s="146"/>
      <c r="J30" s="146"/>
      <c r="K30" s="146"/>
      <c r="L30" s="146"/>
      <c r="M30" s="146"/>
      <c r="N30" s="147"/>
      <c r="O30" s="146"/>
      <c r="P30" s="146"/>
      <c r="Q30" s="147"/>
      <c r="R30" s="146"/>
      <c r="S30" s="146"/>
      <c r="T30" s="149"/>
      <c r="U30" s="146"/>
      <c r="V30" s="146"/>
      <c r="W30" s="230"/>
      <c r="X30" s="146"/>
      <c r="Y30" s="146"/>
      <c r="Z30" s="145">
        <f t="shared" si="1"/>
        <v>0</v>
      </c>
      <c r="AA30" s="231">
        <f t="shared" si="2"/>
        <v>0</v>
      </c>
    </row>
    <row r="31" spans="1:27" s="136" customFormat="1">
      <c r="A31" s="11">
        <v>23</v>
      </c>
      <c r="B31" s="138"/>
      <c r="C31" s="140"/>
      <c r="D31" s="140"/>
      <c r="E31" s="139"/>
      <c r="F31" s="139"/>
      <c r="G31" s="148">
        <f t="shared" si="0"/>
        <v>0</v>
      </c>
      <c r="H31" s="146"/>
      <c r="I31" s="146"/>
      <c r="J31" s="146"/>
      <c r="K31" s="146"/>
      <c r="L31" s="146"/>
      <c r="M31" s="146"/>
      <c r="N31" s="147"/>
      <c r="O31" s="146"/>
      <c r="P31" s="146"/>
      <c r="Q31" s="147"/>
      <c r="R31" s="146"/>
      <c r="S31" s="146"/>
      <c r="T31" s="149"/>
      <c r="U31" s="146"/>
      <c r="V31" s="146"/>
      <c r="W31" s="230"/>
      <c r="X31" s="146"/>
      <c r="Y31" s="146"/>
      <c r="Z31" s="145">
        <f t="shared" si="1"/>
        <v>0</v>
      </c>
      <c r="AA31" s="231">
        <f t="shared" si="2"/>
        <v>0</v>
      </c>
    </row>
    <row r="32" spans="1:27" s="136" customFormat="1">
      <c r="A32" s="11">
        <v>24</v>
      </c>
      <c r="B32" s="138"/>
      <c r="C32" s="140"/>
      <c r="D32" s="140"/>
      <c r="E32" s="139"/>
      <c r="F32" s="139"/>
      <c r="G32" s="148">
        <f t="shared" si="0"/>
        <v>0</v>
      </c>
      <c r="H32" s="146"/>
      <c r="I32" s="146"/>
      <c r="J32" s="146"/>
      <c r="K32" s="146"/>
      <c r="L32" s="146"/>
      <c r="M32" s="146"/>
      <c r="N32" s="147"/>
      <c r="O32" s="146"/>
      <c r="P32" s="146"/>
      <c r="Q32" s="147"/>
      <c r="R32" s="146"/>
      <c r="S32" s="146"/>
      <c r="T32" s="149"/>
      <c r="U32" s="146"/>
      <c r="V32" s="146"/>
      <c r="W32" s="230"/>
      <c r="X32" s="146"/>
      <c r="Y32" s="146"/>
      <c r="Z32" s="145">
        <f t="shared" si="1"/>
        <v>0</v>
      </c>
      <c r="AA32" s="231">
        <f t="shared" si="2"/>
        <v>0</v>
      </c>
    </row>
    <row r="33" spans="1:27" s="136" customFormat="1">
      <c r="A33" s="11">
        <v>25</v>
      </c>
      <c r="B33" s="138"/>
      <c r="C33" s="140"/>
      <c r="D33" s="140"/>
      <c r="E33" s="139"/>
      <c r="F33" s="139"/>
      <c r="G33" s="148">
        <f t="shared" si="0"/>
        <v>0</v>
      </c>
      <c r="H33" s="146"/>
      <c r="I33" s="146"/>
      <c r="J33" s="146"/>
      <c r="K33" s="146"/>
      <c r="L33" s="146"/>
      <c r="M33" s="146"/>
      <c r="N33" s="147"/>
      <c r="O33" s="146"/>
      <c r="P33" s="146"/>
      <c r="Q33" s="146"/>
      <c r="R33" s="146"/>
      <c r="S33" s="146"/>
      <c r="T33" s="149"/>
      <c r="U33" s="146"/>
      <c r="V33" s="146"/>
      <c r="W33" s="230"/>
      <c r="X33" s="146"/>
      <c r="Y33" s="146"/>
      <c r="Z33" s="145">
        <f t="shared" si="1"/>
        <v>0</v>
      </c>
      <c r="AA33" s="231">
        <f t="shared" si="2"/>
        <v>0</v>
      </c>
    </row>
    <row r="34" spans="1:27" s="136" customFormat="1">
      <c r="A34" s="11">
        <v>26</v>
      </c>
      <c r="B34" s="138"/>
      <c r="C34" s="140"/>
      <c r="D34" s="140"/>
      <c r="E34" s="139"/>
      <c r="F34" s="139"/>
      <c r="G34" s="148">
        <f t="shared" ref="G34:G58" si="3">+H34+I34+J34+K34+M34+O34+Q34+S34</f>
        <v>0</v>
      </c>
      <c r="H34" s="146"/>
      <c r="I34" s="146"/>
      <c r="J34" s="146"/>
      <c r="K34" s="146"/>
      <c r="L34" s="146"/>
      <c r="M34" s="146"/>
      <c r="N34" s="147"/>
      <c r="O34" s="146"/>
      <c r="P34" s="146"/>
      <c r="Q34" s="146"/>
      <c r="R34" s="146"/>
      <c r="S34" s="146"/>
      <c r="T34" s="149"/>
      <c r="U34" s="146"/>
      <c r="V34" s="146"/>
      <c r="W34" s="230"/>
      <c r="X34" s="146"/>
      <c r="Y34" s="146"/>
      <c r="Z34" s="145">
        <f t="shared" ref="Z34:Z58" si="4">+G34-V34-X34</f>
        <v>0</v>
      </c>
      <c r="AA34" s="231">
        <f t="shared" si="2"/>
        <v>0</v>
      </c>
    </row>
    <row r="35" spans="1:27" s="136" customFormat="1">
      <c r="A35" s="11">
        <v>27</v>
      </c>
      <c r="B35" s="138"/>
      <c r="C35" s="140"/>
      <c r="D35" s="140"/>
      <c r="E35" s="139"/>
      <c r="F35" s="139"/>
      <c r="G35" s="148">
        <f t="shared" si="3"/>
        <v>0</v>
      </c>
      <c r="H35" s="146"/>
      <c r="I35" s="146"/>
      <c r="J35" s="146"/>
      <c r="K35" s="146"/>
      <c r="L35" s="146"/>
      <c r="M35" s="146"/>
      <c r="N35" s="147"/>
      <c r="O35" s="146"/>
      <c r="P35" s="146"/>
      <c r="Q35" s="146"/>
      <c r="R35" s="146"/>
      <c r="S35" s="146"/>
      <c r="T35" s="149"/>
      <c r="U35" s="146"/>
      <c r="V35" s="146"/>
      <c r="W35" s="230"/>
      <c r="X35" s="146"/>
      <c r="Y35" s="146"/>
      <c r="Z35" s="145">
        <f t="shared" si="4"/>
        <v>0</v>
      </c>
      <c r="AA35" s="231">
        <f t="shared" si="2"/>
        <v>0</v>
      </c>
    </row>
    <row r="36" spans="1:27" s="136" customFormat="1">
      <c r="A36" s="11">
        <v>28</v>
      </c>
      <c r="B36" s="138"/>
      <c r="C36" s="140"/>
      <c r="D36" s="140"/>
      <c r="E36" s="139"/>
      <c r="F36" s="139"/>
      <c r="G36" s="148">
        <f t="shared" si="3"/>
        <v>0</v>
      </c>
      <c r="H36" s="146"/>
      <c r="I36" s="146"/>
      <c r="J36" s="146"/>
      <c r="K36" s="146"/>
      <c r="L36" s="146"/>
      <c r="M36" s="146"/>
      <c r="N36" s="147"/>
      <c r="O36" s="146"/>
      <c r="P36" s="146"/>
      <c r="Q36" s="146"/>
      <c r="R36" s="146"/>
      <c r="S36" s="146"/>
      <c r="T36" s="149"/>
      <c r="U36" s="146"/>
      <c r="V36" s="146"/>
      <c r="W36" s="230"/>
      <c r="X36" s="146"/>
      <c r="Y36" s="146"/>
      <c r="Z36" s="145">
        <f t="shared" si="4"/>
        <v>0</v>
      </c>
      <c r="AA36" s="231">
        <f t="shared" si="2"/>
        <v>0</v>
      </c>
    </row>
    <row r="37" spans="1:27" s="136" customFormat="1">
      <c r="A37" s="11">
        <v>29</v>
      </c>
      <c r="B37" s="138"/>
      <c r="C37" s="140"/>
      <c r="D37" s="140"/>
      <c r="E37" s="139"/>
      <c r="F37" s="139"/>
      <c r="G37" s="148">
        <f t="shared" si="3"/>
        <v>0</v>
      </c>
      <c r="H37" s="146"/>
      <c r="I37" s="146"/>
      <c r="J37" s="146"/>
      <c r="K37" s="146"/>
      <c r="L37" s="146"/>
      <c r="M37" s="146"/>
      <c r="N37" s="147"/>
      <c r="O37" s="146"/>
      <c r="P37" s="146"/>
      <c r="Q37" s="146"/>
      <c r="R37" s="146"/>
      <c r="S37" s="146"/>
      <c r="T37" s="149"/>
      <c r="U37" s="146"/>
      <c r="V37" s="146"/>
      <c r="W37" s="230"/>
      <c r="X37" s="146"/>
      <c r="Y37" s="146"/>
      <c r="Z37" s="145">
        <f t="shared" si="4"/>
        <v>0</v>
      </c>
      <c r="AA37" s="231">
        <f t="shared" si="2"/>
        <v>0</v>
      </c>
    </row>
    <row r="38" spans="1:27" s="136" customFormat="1">
      <c r="A38" s="11">
        <v>30</v>
      </c>
      <c r="B38" s="138"/>
      <c r="C38" s="140"/>
      <c r="D38" s="140"/>
      <c r="E38" s="139"/>
      <c r="F38" s="139"/>
      <c r="G38" s="148">
        <f t="shared" si="3"/>
        <v>0</v>
      </c>
      <c r="H38" s="146"/>
      <c r="I38" s="146"/>
      <c r="J38" s="146"/>
      <c r="K38" s="146"/>
      <c r="L38" s="146"/>
      <c r="M38" s="146"/>
      <c r="N38" s="147"/>
      <c r="O38" s="146"/>
      <c r="P38" s="146"/>
      <c r="Q38" s="146"/>
      <c r="R38" s="146"/>
      <c r="S38" s="146"/>
      <c r="T38" s="149"/>
      <c r="U38" s="146"/>
      <c r="V38" s="146"/>
      <c r="W38" s="230"/>
      <c r="X38" s="146"/>
      <c r="Y38" s="146"/>
      <c r="Z38" s="145">
        <f t="shared" si="4"/>
        <v>0</v>
      </c>
      <c r="AA38" s="231">
        <f t="shared" si="2"/>
        <v>0</v>
      </c>
    </row>
    <row r="39" spans="1:27" s="136" customFormat="1">
      <c r="A39" s="11">
        <v>31</v>
      </c>
      <c r="B39" s="138"/>
      <c r="C39" s="140"/>
      <c r="D39" s="140"/>
      <c r="E39" s="139"/>
      <c r="F39" s="139"/>
      <c r="G39" s="148">
        <f t="shared" si="3"/>
        <v>0</v>
      </c>
      <c r="H39" s="146"/>
      <c r="I39" s="146"/>
      <c r="J39" s="146"/>
      <c r="K39" s="146"/>
      <c r="L39" s="146"/>
      <c r="M39" s="146"/>
      <c r="N39" s="147"/>
      <c r="O39" s="146"/>
      <c r="P39" s="146"/>
      <c r="Q39" s="146"/>
      <c r="R39" s="146"/>
      <c r="S39" s="146"/>
      <c r="T39" s="149"/>
      <c r="U39" s="146"/>
      <c r="V39" s="146"/>
      <c r="W39" s="149"/>
      <c r="X39" s="146"/>
      <c r="Y39" s="146"/>
      <c r="Z39" s="145">
        <f t="shared" si="4"/>
        <v>0</v>
      </c>
      <c r="AA39" s="231">
        <f t="shared" si="2"/>
        <v>0</v>
      </c>
    </row>
    <row r="40" spans="1:27" s="136" customFormat="1">
      <c r="A40" s="11">
        <v>32</v>
      </c>
      <c r="B40" s="138"/>
      <c r="C40" s="140"/>
      <c r="D40" s="140"/>
      <c r="E40" s="139"/>
      <c r="F40" s="139"/>
      <c r="G40" s="148">
        <f t="shared" si="3"/>
        <v>0</v>
      </c>
      <c r="H40" s="146"/>
      <c r="I40" s="146"/>
      <c r="J40" s="146"/>
      <c r="K40" s="146"/>
      <c r="L40" s="146"/>
      <c r="M40" s="146"/>
      <c r="N40" s="147"/>
      <c r="O40" s="146"/>
      <c r="P40" s="146"/>
      <c r="Q40" s="146"/>
      <c r="R40" s="146"/>
      <c r="S40" s="146"/>
      <c r="T40" s="149"/>
      <c r="U40" s="146"/>
      <c r="V40" s="146"/>
      <c r="W40" s="149"/>
      <c r="X40" s="146"/>
      <c r="Y40" s="146"/>
      <c r="Z40" s="145">
        <f t="shared" si="4"/>
        <v>0</v>
      </c>
      <c r="AA40" s="231">
        <f t="shared" si="2"/>
        <v>0</v>
      </c>
    </row>
    <row r="41" spans="1:27" s="136" customFormat="1">
      <c r="A41" s="11">
        <v>33</v>
      </c>
      <c r="B41" s="138"/>
      <c r="C41" s="140"/>
      <c r="D41" s="140"/>
      <c r="E41" s="139"/>
      <c r="F41" s="139"/>
      <c r="G41" s="148">
        <f t="shared" si="3"/>
        <v>0</v>
      </c>
      <c r="H41" s="146"/>
      <c r="I41" s="146"/>
      <c r="J41" s="146"/>
      <c r="K41" s="146"/>
      <c r="L41" s="146"/>
      <c r="M41" s="146"/>
      <c r="N41" s="147"/>
      <c r="O41" s="146"/>
      <c r="P41" s="146"/>
      <c r="Q41" s="147"/>
      <c r="R41" s="146"/>
      <c r="S41" s="146"/>
      <c r="T41" s="149"/>
      <c r="U41" s="146"/>
      <c r="V41" s="146"/>
      <c r="W41" s="149"/>
      <c r="X41" s="146"/>
      <c r="Y41" s="146"/>
      <c r="Z41" s="145">
        <f t="shared" si="4"/>
        <v>0</v>
      </c>
      <c r="AA41" s="231">
        <f t="shared" ref="AA41:AA72" si="5">SUMIF($F$9:$F$88,$F41,$Z$9:$Z$88)</f>
        <v>0</v>
      </c>
    </row>
    <row r="42" spans="1:27" s="136" customFormat="1">
      <c r="A42" s="11">
        <v>34</v>
      </c>
      <c r="B42" s="138"/>
      <c r="C42" s="140"/>
      <c r="D42" s="140"/>
      <c r="E42" s="139"/>
      <c r="F42" s="139"/>
      <c r="G42" s="148">
        <f t="shared" si="3"/>
        <v>0</v>
      </c>
      <c r="H42" s="146"/>
      <c r="I42" s="146"/>
      <c r="J42" s="146"/>
      <c r="K42" s="146"/>
      <c r="L42" s="146"/>
      <c r="M42" s="146"/>
      <c r="N42" s="147"/>
      <c r="O42" s="146"/>
      <c r="P42" s="146"/>
      <c r="Q42" s="147"/>
      <c r="R42" s="146"/>
      <c r="S42" s="146"/>
      <c r="T42" s="149"/>
      <c r="U42" s="146"/>
      <c r="V42" s="146"/>
      <c r="W42" s="149"/>
      <c r="X42" s="146"/>
      <c r="Y42" s="146"/>
      <c r="Z42" s="145">
        <f t="shared" si="4"/>
        <v>0</v>
      </c>
      <c r="AA42" s="231">
        <f t="shared" si="5"/>
        <v>0</v>
      </c>
    </row>
    <row r="43" spans="1:27" s="136" customFormat="1">
      <c r="A43" s="11">
        <v>35</v>
      </c>
      <c r="B43" s="138"/>
      <c r="C43" s="140"/>
      <c r="D43" s="140"/>
      <c r="E43" s="139"/>
      <c r="F43" s="139"/>
      <c r="G43" s="148">
        <f t="shared" si="3"/>
        <v>0</v>
      </c>
      <c r="H43" s="146"/>
      <c r="I43" s="146"/>
      <c r="J43" s="146"/>
      <c r="K43" s="146"/>
      <c r="L43" s="146"/>
      <c r="M43" s="146"/>
      <c r="N43" s="147"/>
      <c r="O43" s="146"/>
      <c r="P43" s="146"/>
      <c r="Q43" s="147"/>
      <c r="R43" s="146"/>
      <c r="S43" s="146"/>
      <c r="T43" s="149"/>
      <c r="U43" s="146"/>
      <c r="V43" s="146"/>
      <c r="W43" s="149"/>
      <c r="X43" s="146"/>
      <c r="Y43" s="146"/>
      <c r="Z43" s="145">
        <f t="shared" si="4"/>
        <v>0</v>
      </c>
      <c r="AA43" s="231">
        <f t="shared" si="5"/>
        <v>0</v>
      </c>
    </row>
    <row r="44" spans="1:27" s="136" customFormat="1">
      <c r="A44" s="11">
        <v>36</v>
      </c>
      <c r="B44" s="138"/>
      <c r="C44" s="140"/>
      <c r="D44" s="140"/>
      <c r="E44" s="139"/>
      <c r="F44" s="139"/>
      <c r="G44" s="148">
        <f t="shared" si="3"/>
        <v>0</v>
      </c>
      <c r="H44" s="146"/>
      <c r="I44" s="146"/>
      <c r="J44" s="146"/>
      <c r="K44" s="146"/>
      <c r="L44" s="146"/>
      <c r="M44" s="146"/>
      <c r="N44" s="147"/>
      <c r="O44" s="146"/>
      <c r="P44" s="146"/>
      <c r="Q44" s="147"/>
      <c r="R44" s="146"/>
      <c r="S44" s="146"/>
      <c r="T44" s="149"/>
      <c r="U44" s="146"/>
      <c r="V44" s="146"/>
      <c r="W44" s="149"/>
      <c r="X44" s="146"/>
      <c r="Y44" s="146"/>
      <c r="Z44" s="145">
        <f t="shared" si="4"/>
        <v>0</v>
      </c>
      <c r="AA44" s="231">
        <f t="shared" si="5"/>
        <v>0</v>
      </c>
    </row>
    <row r="45" spans="1:27" s="136" customFormat="1">
      <c r="A45" s="11">
        <v>37</v>
      </c>
      <c r="B45" s="138"/>
      <c r="C45" s="140"/>
      <c r="D45" s="140"/>
      <c r="E45" s="139"/>
      <c r="F45" s="139"/>
      <c r="G45" s="148">
        <f t="shared" si="3"/>
        <v>0</v>
      </c>
      <c r="H45" s="146"/>
      <c r="I45" s="146"/>
      <c r="J45" s="146"/>
      <c r="K45" s="146"/>
      <c r="L45" s="146"/>
      <c r="M45" s="146"/>
      <c r="N45" s="147"/>
      <c r="O45" s="146"/>
      <c r="P45" s="146"/>
      <c r="Q45" s="147"/>
      <c r="R45" s="146"/>
      <c r="S45" s="146"/>
      <c r="T45" s="149"/>
      <c r="U45" s="146"/>
      <c r="V45" s="146"/>
      <c r="W45" s="149"/>
      <c r="X45" s="146"/>
      <c r="Y45" s="146"/>
      <c r="Z45" s="145">
        <f t="shared" si="4"/>
        <v>0</v>
      </c>
      <c r="AA45" s="231">
        <f t="shared" si="5"/>
        <v>0</v>
      </c>
    </row>
    <row r="46" spans="1:27" s="136" customFormat="1">
      <c r="A46" s="11">
        <v>38</v>
      </c>
      <c r="B46" s="138"/>
      <c r="C46" s="140"/>
      <c r="D46" s="140"/>
      <c r="E46" s="139"/>
      <c r="F46" s="139"/>
      <c r="G46" s="148">
        <f t="shared" si="3"/>
        <v>0</v>
      </c>
      <c r="H46" s="146"/>
      <c r="I46" s="146"/>
      <c r="J46" s="146"/>
      <c r="K46" s="146"/>
      <c r="L46" s="146"/>
      <c r="M46" s="146"/>
      <c r="N46" s="147"/>
      <c r="O46" s="146"/>
      <c r="P46" s="146"/>
      <c r="Q46" s="147"/>
      <c r="R46" s="146"/>
      <c r="S46" s="146"/>
      <c r="T46" s="149"/>
      <c r="U46" s="146"/>
      <c r="V46" s="146"/>
      <c r="W46" s="149"/>
      <c r="X46" s="146"/>
      <c r="Y46" s="146"/>
      <c r="Z46" s="145">
        <f t="shared" si="4"/>
        <v>0</v>
      </c>
      <c r="AA46" s="231">
        <f t="shared" si="5"/>
        <v>0</v>
      </c>
    </row>
    <row r="47" spans="1:27" s="136" customFormat="1">
      <c r="A47" s="11">
        <v>39</v>
      </c>
      <c r="B47" s="138"/>
      <c r="C47" s="138"/>
      <c r="D47" s="140"/>
      <c r="E47" s="140"/>
      <c r="F47" s="139"/>
      <c r="G47" s="148">
        <f t="shared" si="3"/>
        <v>0</v>
      </c>
      <c r="H47" s="146"/>
      <c r="I47" s="146"/>
      <c r="J47" s="146"/>
      <c r="K47" s="146"/>
      <c r="L47" s="146"/>
      <c r="M47" s="146"/>
      <c r="N47" s="147"/>
      <c r="O47" s="146"/>
      <c r="P47" s="146"/>
      <c r="Q47" s="147"/>
      <c r="R47" s="146"/>
      <c r="S47" s="146"/>
      <c r="T47" s="149"/>
      <c r="U47" s="146"/>
      <c r="V47" s="146"/>
      <c r="W47" s="149"/>
      <c r="X47" s="146"/>
      <c r="Y47" s="146"/>
      <c r="Z47" s="145">
        <f t="shared" si="4"/>
        <v>0</v>
      </c>
      <c r="AA47" s="231">
        <f t="shared" si="5"/>
        <v>0</v>
      </c>
    </row>
    <row r="48" spans="1:27" s="136" customFormat="1">
      <c r="A48" s="11">
        <v>40</v>
      </c>
      <c r="B48" s="138"/>
      <c r="C48" s="138"/>
      <c r="D48" s="138"/>
      <c r="E48" s="139"/>
      <c r="F48" s="139"/>
      <c r="G48" s="148">
        <f t="shared" si="3"/>
        <v>0</v>
      </c>
      <c r="H48" s="146"/>
      <c r="I48" s="146"/>
      <c r="J48" s="146"/>
      <c r="K48" s="146"/>
      <c r="L48" s="146"/>
      <c r="M48" s="146"/>
      <c r="N48" s="147"/>
      <c r="O48" s="146"/>
      <c r="P48" s="146"/>
      <c r="Q48" s="147"/>
      <c r="R48" s="146"/>
      <c r="S48" s="146"/>
      <c r="T48" s="149"/>
      <c r="U48" s="146"/>
      <c r="V48" s="146"/>
      <c r="W48" s="149"/>
      <c r="X48" s="146"/>
      <c r="Y48" s="146"/>
      <c r="Z48" s="145">
        <f t="shared" si="4"/>
        <v>0</v>
      </c>
      <c r="AA48" s="231">
        <f t="shared" si="5"/>
        <v>0</v>
      </c>
    </row>
    <row r="49" spans="1:27" s="136" customFormat="1">
      <c r="A49" s="11">
        <v>41</v>
      </c>
      <c r="B49" s="138"/>
      <c r="C49" s="138"/>
      <c r="D49" s="138"/>
      <c r="E49" s="139"/>
      <c r="F49" s="139"/>
      <c r="G49" s="148">
        <f t="shared" si="3"/>
        <v>0</v>
      </c>
      <c r="H49" s="146"/>
      <c r="I49" s="146"/>
      <c r="J49" s="146"/>
      <c r="K49" s="146"/>
      <c r="L49" s="146"/>
      <c r="M49" s="146"/>
      <c r="N49" s="147"/>
      <c r="O49" s="147"/>
      <c r="P49" s="147"/>
      <c r="Q49" s="147"/>
      <c r="R49" s="146"/>
      <c r="S49" s="146"/>
      <c r="T49" s="149"/>
      <c r="U49" s="146"/>
      <c r="V49" s="146"/>
      <c r="W49" s="149"/>
      <c r="X49" s="146"/>
      <c r="Y49" s="146"/>
      <c r="Z49" s="145">
        <f t="shared" si="4"/>
        <v>0</v>
      </c>
      <c r="AA49" s="231">
        <f t="shared" si="5"/>
        <v>0</v>
      </c>
    </row>
    <row r="50" spans="1:27" s="136" customFormat="1">
      <c r="A50" s="11">
        <v>42</v>
      </c>
      <c r="B50" s="138"/>
      <c r="C50" s="138"/>
      <c r="D50" s="138"/>
      <c r="E50" s="139"/>
      <c r="F50" s="139"/>
      <c r="G50" s="148">
        <f t="shared" si="3"/>
        <v>0</v>
      </c>
      <c r="H50" s="146"/>
      <c r="I50" s="146"/>
      <c r="J50" s="146"/>
      <c r="K50" s="146"/>
      <c r="L50" s="146"/>
      <c r="M50" s="146"/>
      <c r="N50" s="147"/>
      <c r="O50" s="147"/>
      <c r="P50" s="147"/>
      <c r="Q50" s="147"/>
      <c r="R50" s="146"/>
      <c r="S50" s="146"/>
      <c r="T50" s="149"/>
      <c r="U50" s="146"/>
      <c r="V50" s="146"/>
      <c r="W50" s="149"/>
      <c r="X50" s="146"/>
      <c r="Y50" s="146"/>
      <c r="Z50" s="145">
        <f t="shared" si="4"/>
        <v>0</v>
      </c>
      <c r="AA50" s="231">
        <f t="shared" si="5"/>
        <v>0</v>
      </c>
    </row>
    <row r="51" spans="1:27" s="136" customFormat="1">
      <c r="A51" s="11">
        <v>43</v>
      </c>
      <c r="B51" s="138"/>
      <c r="C51" s="138"/>
      <c r="D51" s="138"/>
      <c r="E51" s="139"/>
      <c r="F51" s="139"/>
      <c r="G51" s="148">
        <f t="shared" si="3"/>
        <v>0</v>
      </c>
      <c r="H51" s="146"/>
      <c r="I51" s="146"/>
      <c r="J51" s="146"/>
      <c r="K51" s="146"/>
      <c r="L51" s="146"/>
      <c r="M51" s="146"/>
      <c r="N51" s="147"/>
      <c r="O51" s="147"/>
      <c r="P51" s="147"/>
      <c r="Q51" s="147"/>
      <c r="R51" s="146"/>
      <c r="S51" s="146"/>
      <c r="T51" s="149"/>
      <c r="U51" s="146"/>
      <c r="V51" s="146"/>
      <c r="W51" s="146"/>
      <c r="X51" s="146"/>
      <c r="Y51" s="146"/>
      <c r="Z51" s="145">
        <f t="shared" si="4"/>
        <v>0</v>
      </c>
      <c r="AA51" s="231">
        <f t="shared" si="5"/>
        <v>0</v>
      </c>
    </row>
    <row r="52" spans="1:27" s="136" customFormat="1">
      <c r="A52" s="11">
        <v>44</v>
      </c>
      <c r="B52" s="138"/>
      <c r="C52" s="138"/>
      <c r="D52" s="138"/>
      <c r="E52" s="139"/>
      <c r="F52" s="139"/>
      <c r="G52" s="148">
        <f t="shared" si="3"/>
        <v>0</v>
      </c>
      <c r="H52" s="146"/>
      <c r="I52" s="146"/>
      <c r="J52" s="146"/>
      <c r="K52" s="146"/>
      <c r="L52" s="146"/>
      <c r="M52" s="146"/>
      <c r="N52" s="147"/>
      <c r="O52" s="147"/>
      <c r="P52" s="146"/>
      <c r="Q52" s="147"/>
      <c r="R52" s="146"/>
      <c r="S52" s="146"/>
      <c r="T52" s="149"/>
      <c r="U52" s="146"/>
      <c r="V52" s="146"/>
      <c r="W52" s="146"/>
      <c r="X52" s="146"/>
      <c r="Y52" s="146"/>
      <c r="Z52" s="145">
        <f t="shared" si="4"/>
        <v>0</v>
      </c>
      <c r="AA52" s="231">
        <f t="shared" si="5"/>
        <v>0</v>
      </c>
    </row>
    <row r="53" spans="1:27" s="136" customFormat="1">
      <c r="A53" s="11">
        <v>45</v>
      </c>
      <c r="B53" s="138"/>
      <c r="C53" s="138"/>
      <c r="D53" s="138"/>
      <c r="E53" s="139"/>
      <c r="F53" s="139"/>
      <c r="G53" s="148">
        <f t="shared" si="3"/>
        <v>0</v>
      </c>
      <c r="H53" s="146"/>
      <c r="I53" s="146"/>
      <c r="J53" s="146"/>
      <c r="K53" s="146"/>
      <c r="L53" s="146"/>
      <c r="M53" s="146"/>
      <c r="N53" s="147"/>
      <c r="O53" s="147"/>
      <c r="P53" s="146"/>
      <c r="Q53" s="147"/>
      <c r="R53" s="146"/>
      <c r="S53" s="146"/>
      <c r="T53" s="149"/>
      <c r="U53" s="146"/>
      <c r="V53" s="146"/>
      <c r="W53" s="146"/>
      <c r="X53" s="146"/>
      <c r="Y53" s="146"/>
      <c r="Z53" s="145">
        <f t="shared" si="4"/>
        <v>0</v>
      </c>
      <c r="AA53" s="231">
        <f t="shared" si="5"/>
        <v>0</v>
      </c>
    </row>
    <row r="54" spans="1:27" s="136" customFormat="1">
      <c r="A54" s="11">
        <v>46</v>
      </c>
      <c r="B54" s="138"/>
      <c r="C54" s="138"/>
      <c r="D54" s="138"/>
      <c r="E54" s="139"/>
      <c r="F54" s="139"/>
      <c r="G54" s="148">
        <f t="shared" si="3"/>
        <v>0</v>
      </c>
      <c r="H54" s="146"/>
      <c r="I54" s="146"/>
      <c r="J54" s="146"/>
      <c r="K54" s="146"/>
      <c r="L54" s="146"/>
      <c r="M54" s="146"/>
      <c r="N54" s="147"/>
      <c r="O54" s="147"/>
      <c r="P54" s="146"/>
      <c r="Q54" s="147"/>
      <c r="R54" s="146"/>
      <c r="S54" s="146"/>
      <c r="T54" s="149"/>
      <c r="U54" s="146"/>
      <c r="V54" s="146"/>
      <c r="W54" s="146"/>
      <c r="X54" s="146"/>
      <c r="Y54" s="146"/>
      <c r="Z54" s="145">
        <f t="shared" si="4"/>
        <v>0</v>
      </c>
      <c r="AA54" s="231">
        <f t="shared" si="5"/>
        <v>0</v>
      </c>
    </row>
    <row r="55" spans="1:27" s="136" customFormat="1">
      <c r="A55" s="11">
        <v>47</v>
      </c>
      <c r="B55" s="138"/>
      <c r="C55" s="138"/>
      <c r="D55" s="138"/>
      <c r="E55" s="139"/>
      <c r="F55" s="139"/>
      <c r="G55" s="148">
        <f t="shared" si="3"/>
        <v>0</v>
      </c>
      <c r="H55" s="146"/>
      <c r="I55" s="146"/>
      <c r="J55" s="146"/>
      <c r="K55" s="146"/>
      <c r="L55" s="146"/>
      <c r="M55" s="146"/>
      <c r="N55" s="147"/>
      <c r="O55" s="147"/>
      <c r="P55" s="14"/>
      <c r="Q55" s="147"/>
      <c r="R55" s="146"/>
      <c r="S55" s="146"/>
      <c r="T55" s="149"/>
      <c r="U55" s="146"/>
      <c r="V55" s="146"/>
      <c r="W55" s="146"/>
      <c r="X55" s="146"/>
      <c r="Y55" s="146"/>
      <c r="Z55" s="145">
        <f t="shared" si="4"/>
        <v>0</v>
      </c>
      <c r="AA55" s="231">
        <f t="shared" si="5"/>
        <v>0</v>
      </c>
    </row>
    <row r="56" spans="1:27" s="136" customFormat="1">
      <c r="A56" s="11">
        <v>48</v>
      </c>
      <c r="B56" s="138"/>
      <c r="C56" s="138"/>
      <c r="D56" s="138"/>
      <c r="E56" s="139"/>
      <c r="F56" s="139"/>
      <c r="G56" s="148">
        <f t="shared" si="3"/>
        <v>0</v>
      </c>
      <c r="H56" s="146"/>
      <c r="I56" s="146"/>
      <c r="J56" s="146"/>
      <c r="K56" s="146"/>
      <c r="L56" s="146"/>
      <c r="M56" s="146"/>
      <c r="N56" s="147"/>
      <c r="O56" s="147"/>
      <c r="P56" s="147"/>
      <c r="Q56" s="147"/>
      <c r="R56" s="146"/>
      <c r="S56" s="146"/>
      <c r="T56" s="149"/>
      <c r="U56" s="146"/>
      <c r="V56" s="146"/>
      <c r="W56" s="146"/>
      <c r="X56" s="146"/>
      <c r="Y56" s="146"/>
      <c r="Z56" s="145">
        <f t="shared" si="4"/>
        <v>0</v>
      </c>
      <c r="AA56" s="231">
        <f t="shared" si="5"/>
        <v>0</v>
      </c>
    </row>
    <row r="57" spans="1:27" s="136" customFormat="1">
      <c r="A57" s="11">
        <v>49</v>
      </c>
      <c r="B57" s="138"/>
      <c r="C57" s="138"/>
      <c r="D57" s="138"/>
      <c r="E57" s="139"/>
      <c r="F57" s="139"/>
      <c r="G57" s="148">
        <f t="shared" si="3"/>
        <v>0</v>
      </c>
      <c r="H57" s="146"/>
      <c r="I57" s="146"/>
      <c r="J57" s="146"/>
      <c r="K57" s="146"/>
      <c r="L57" s="146"/>
      <c r="M57" s="146"/>
      <c r="N57" s="147"/>
      <c r="O57" s="147"/>
      <c r="P57" s="147"/>
      <c r="Q57" s="147"/>
      <c r="R57" s="146"/>
      <c r="S57" s="146"/>
      <c r="T57" s="149"/>
      <c r="U57" s="146"/>
      <c r="V57" s="146"/>
      <c r="W57" s="146"/>
      <c r="X57" s="146"/>
      <c r="Y57" s="146"/>
      <c r="Z57" s="145">
        <f t="shared" si="4"/>
        <v>0</v>
      </c>
      <c r="AA57" s="231">
        <f t="shared" si="5"/>
        <v>0</v>
      </c>
    </row>
    <row r="58" spans="1:27" s="136" customFormat="1">
      <c r="A58" s="11">
        <v>50</v>
      </c>
      <c r="B58" s="138"/>
      <c r="C58" s="138"/>
      <c r="D58" s="138"/>
      <c r="E58" s="139"/>
      <c r="F58" s="139"/>
      <c r="G58" s="148">
        <f t="shared" si="3"/>
        <v>0</v>
      </c>
      <c r="H58" s="146"/>
      <c r="I58" s="146"/>
      <c r="J58" s="146"/>
      <c r="K58" s="146"/>
      <c r="L58" s="146"/>
      <c r="M58" s="146"/>
      <c r="N58" s="147"/>
      <c r="O58" s="147"/>
      <c r="P58" s="147"/>
      <c r="Q58" s="147"/>
      <c r="R58" s="146"/>
      <c r="S58" s="146"/>
      <c r="T58" s="146"/>
      <c r="U58" s="146"/>
      <c r="V58" s="146"/>
      <c r="W58" s="146"/>
      <c r="X58" s="146"/>
      <c r="Y58" s="146"/>
      <c r="Z58" s="145">
        <f t="shared" si="4"/>
        <v>0</v>
      </c>
      <c r="AA58" s="231">
        <f t="shared" si="5"/>
        <v>0</v>
      </c>
    </row>
    <row r="59" spans="1:27" s="136" customFormat="1">
      <c r="A59" s="11">
        <v>51</v>
      </c>
      <c r="B59" s="138"/>
      <c r="C59" s="140"/>
      <c r="D59" s="140"/>
      <c r="E59" s="139"/>
      <c r="F59" s="139"/>
      <c r="G59" s="148">
        <f t="shared" si="0"/>
        <v>0</v>
      </c>
      <c r="H59" s="146"/>
      <c r="I59" s="146"/>
      <c r="J59" s="146"/>
      <c r="K59" s="146"/>
      <c r="L59" s="146"/>
      <c r="M59" s="146"/>
      <c r="N59" s="147"/>
      <c r="O59" s="146"/>
      <c r="P59" s="146"/>
      <c r="Q59" s="146"/>
      <c r="R59" s="146"/>
      <c r="S59" s="146"/>
      <c r="T59" s="149"/>
      <c r="U59" s="146"/>
      <c r="V59" s="146"/>
      <c r="W59" s="230"/>
      <c r="X59" s="146"/>
      <c r="Y59" s="146"/>
      <c r="Z59" s="145">
        <f t="shared" si="1"/>
        <v>0</v>
      </c>
      <c r="AA59" s="231">
        <f t="shared" si="5"/>
        <v>0</v>
      </c>
    </row>
    <row r="60" spans="1:27" s="136" customFormat="1">
      <c r="A60" s="11">
        <v>52</v>
      </c>
      <c r="B60" s="138"/>
      <c r="C60" s="140"/>
      <c r="D60" s="140"/>
      <c r="E60" s="139"/>
      <c r="F60" s="139"/>
      <c r="G60" s="148">
        <f t="shared" si="0"/>
        <v>0</v>
      </c>
      <c r="H60" s="146"/>
      <c r="I60" s="146"/>
      <c r="J60" s="146"/>
      <c r="K60" s="146"/>
      <c r="L60" s="146"/>
      <c r="M60" s="146"/>
      <c r="N60" s="147"/>
      <c r="O60" s="146"/>
      <c r="P60" s="146"/>
      <c r="Q60" s="146"/>
      <c r="R60" s="146"/>
      <c r="S60" s="146"/>
      <c r="T60" s="149"/>
      <c r="U60" s="146"/>
      <c r="V60" s="146"/>
      <c r="W60" s="230"/>
      <c r="X60" s="146"/>
      <c r="Y60" s="146"/>
      <c r="Z60" s="145">
        <f t="shared" si="1"/>
        <v>0</v>
      </c>
      <c r="AA60" s="231">
        <f t="shared" si="5"/>
        <v>0</v>
      </c>
    </row>
    <row r="61" spans="1:27" s="136" customFormat="1">
      <c r="A61" s="11">
        <v>53</v>
      </c>
      <c r="B61" s="138"/>
      <c r="C61" s="140"/>
      <c r="D61" s="140"/>
      <c r="E61" s="139"/>
      <c r="F61" s="139"/>
      <c r="G61" s="148">
        <f t="shared" si="0"/>
        <v>0</v>
      </c>
      <c r="H61" s="146"/>
      <c r="I61" s="146"/>
      <c r="J61" s="146"/>
      <c r="K61" s="146"/>
      <c r="L61" s="146"/>
      <c r="M61" s="146"/>
      <c r="N61" s="147"/>
      <c r="O61" s="146"/>
      <c r="P61" s="146"/>
      <c r="Q61" s="146"/>
      <c r="R61" s="146"/>
      <c r="S61" s="146"/>
      <c r="T61" s="149"/>
      <c r="U61" s="146"/>
      <c r="V61" s="146"/>
      <c r="W61" s="230"/>
      <c r="X61" s="146"/>
      <c r="Y61" s="146"/>
      <c r="Z61" s="145">
        <f t="shared" si="1"/>
        <v>0</v>
      </c>
      <c r="AA61" s="231">
        <f t="shared" si="5"/>
        <v>0</v>
      </c>
    </row>
    <row r="62" spans="1:27" s="136" customFormat="1">
      <c r="A62" s="11">
        <v>54</v>
      </c>
      <c r="B62" s="138"/>
      <c r="C62" s="140"/>
      <c r="D62" s="140"/>
      <c r="E62" s="139"/>
      <c r="F62" s="139"/>
      <c r="G62" s="148">
        <f t="shared" si="0"/>
        <v>0</v>
      </c>
      <c r="H62" s="146"/>
      <c r="I62" s="146"/>
      <c r="J62" s="146"/>
      <c r="K62" s="146"/>
      <c r="L62" s="146"/>
      <c r="M62" s="146"/>
      <c r="N62" s="147"/>
      <c r="O62" s="146"/>
      <c r="P62" s="146"/>
      <c r="Q62" s="146"/>
      <c r="R62" s="146"/>
      <c r="S62" s="146"/>
      <c r="T62" s="149"/>
      <c r="U62" s="146"/>
      <c r="V62" s="146"/>
      <c r="W62" s="230"/>
      <c r="X62" s="146"/>
      <c r="Y62" s="146"/>
      <c r="Z62" s="145">
        <f t="shared" si="1"/>
        <v>0</v>
      </c>
      <c r="AA62" s="231">
        <f t="shared" si="5"/>
        <v>0</v>
      </c>
    </row>
    <row r="63" spans="1:27" s="136" customFormat="1">
      <c r="A63" s="11">
        <v>55</v>
      </c>
      <c r="B63" s="138"/>
      <c r="C63" s="140"/>
      <c r="D63" s="140"/>
      <c r="E63" s="139"/>
      <c r="F63" s="139"/>
      <c r="G63" s="148">
        <f t="shared" si="0"/>
        <v>0</v>
      </c>
      <c r="H63" s="146"/>
      <c r="I63" s="146"/>
      <c r="J63" s="146"/>
      <c r="K63" s="146"/>
      <c r="L63" s="146"/>
      <c r="M63" s="146"/>
      <c r="N63" s="147"/>
      <c r="O63" s="146"/>
      <c r="P63" s="146"/>
      <c r="Q63" s="146"/>
      <c r="R63" s="146"/>
      <c r="S63" s="146"/>
      <c r="T63" s="149"/>
      <c r="U63" s="146"/>
      <c r="V63" s="146"/>
      <c r="W63" s="230"/>
      <c r="X63" s="146"/>
      <c r="Y63" s="146"/>
      <c r="Z63" s="145">
        <f t="shared" si="1"/>
        <v>0</v>
      </c>
      <c r="AA63" s="231">
        <f t="shared" si="5"/>
        <v>0</v>
      </c>
    </row>
    <row r="64" spans="1:27" s="136" customFormat="1">
      <c r="A64" s="11">
        <v>56</v>
      </c>
      <c r="B64" s="138"/>
      <c r="C64" s="140"/>
      <c r="D64" s="140"/>
      <c r="E64" s="139"/>
      <c r="F64" s="139"/>
      <c r="G64" s="148">
        <f t="shared" si="0"/>
        <v>0</v>
      </c>
      <c r="H64" s="146"/>
      <c r="I64" s="146"/>
      <c r="J64" s="146"/>
      <c r="K64" s="146"/>
      <c r="L64" s="146"/>
      <c r="M64" s="146"/>
      <c r="N64" s="147"/>
      <c r="O64" s="146"/>
      <c r="P64" s="146"/>
      <c r="Q64" s="146"/>
      <c r="R64" s="146"/>
      <c r="S64" s="146"/>
      <c r="T64" s="149"/>
      <c r="U64" s="146"/>
      <c r="V64" s="146"/>
      <c r="W64" s="149"/>
      <c r="X64" s="146"/>
      <c r="Y64" s="146"/>
      <c r="Z64" s="145">
        <f t="shared" si="1"/>
        <v>0</v>
      </c>
      <c r="AA64" s="231">
        <f t="shared" si="5"/>
        <v>0</v>
      </c>
    </row>
    <row r="65" spans="1:27" s="136" customFormat="1">
      <c r="A65" s="11">
        <v>57</v>
      </c>
      <c r="B65" s="138"/>
      <c r="C65" s="140"/>
      <c r="D65" s="140"/>
      <c r="E65" s="139"/>
      <c r="F65" s="139"/>
      <c r="G65" s="148">
        <f t="shared" si="0"/>
        <v>0</v>
      </c>
      <c r="H65" s="146"/>
      <c r="I65" s="146"/>
      <c r="J65" s="146"/>
      <c r="K65" s="146"/>
      <c r="L65" s="146"/>
      <c r="M65" s="146"/>
      <c r="N65" s="147"/>
      <c r="O65" s="146"/>
      <c r="P65" s="146"/>
      <c r="Q65" s="146"/>
      <c r="R65" s="146"/>
      <c r="S65" s="146"/>
      <c r="T65" s="149"/>
      <c r="U65" s="146"/>
      <c r="V65" s="146"/>
      <c r="W65" s="149"/>
      <c r="X65" s="146"/>
      <c r="Y65" s="146"/>
      <c r="Z65" s="145">
        <f t="shared" si="1"/>
        <v>0</v>
      </c>
      <c r="AA65" s="231">
        <f t="shared" si="5"/>
        <v>0</v>
      </c>
    </row>
    <row r="66" spans="1:27" s="136" customFormat="1">
      <c r="A66" s="11">
        <v>58</v>
      </c>
      <c r="B66" s="138"/>
      <c r="C66" s="140"/>
      <c r="D66" s="140"/>
      <c r="E66" s="139"/>
      <c r="F66" s="139"/>
      <c r="G66" s="148">
        <f t="shared" ref="G66:G88" si="6">+H66+I66+J66+K66+M66+O66+Q66+S66</f>
        <v>0</v>
      </c>
      <c r="H66" s="146"/>
      <c r="I66" s="146"/>
      <c r="J66" s="146"/>
      <c r="K66" s="146"/>
      <c r="L66" s="146"/>
      <c r="M66" s="146"/>
      <c r="N66" s="147"/>
      <c r="O66" s="146"/>
      <c r="P66" s="146"/>
      <c r="Q66" s="147"/>
      <c r="R66" s="146"/>
      <c r="S66" s="146"/>
      <c r="T66" s="149"/>
      <c r="U66" s="146"/>
      <c r="V66" s="146"/>
      <c r="W66" s="149"/>
      <c r="X66" s="146"/>
      <c r="Y66" s="146"/>
      <c r="Z66" s="145">
        <f t="shared" ref="Z66:Z88" si="7">+G66-V66-X66</f>
        <v>0</v>
      </c>
      <c r="AA66" s="231">
        <f t="shared" si="5"/>
        <v>0</v>
      </c>
    </row>
    <row r="67" spans="1:27" s="136" customFormat="1">
      <c r="A67" s="11">
        <v>59</v>
      </c>
      <c r="B67" s="138"/>
      <c r="C67" s="140"/>
      <c r="D67" s="140"/>
      <c r="E67" s="139"/>
      <c r="F67" s="139"/>
      <c r="G67" s="148">
        <f t="shared" si="6"/>
        <v>0</v>
      </c>
      <c r="H67" s="146"/>
      <c r="I67" s="146"/>
      <c r="J67" s="146"/>
      <c r="K67" s="146"/>
      <c r="L67" s="146"/>
      <c r="M67" s="146"/>
      <c r="N67" s="147"/>
      <c r="O67" s="146"/>
      <c r="P67" s="146"/>
      <c r="Q67" s="147"/>
      <c r="R67" s="146"/>
      <c r="S67" s="146"/>
      <c r="T67" s="149"/>
      <c r="U67" s="146"/>
      <c r="V67" s="146"/>
      <c r="W67" s="149"/>
      <c r="X67" s="146"/>
      <c r="Y67" s="146"/>
      <c r="Z67" s="145">
        <f t="shared" si="7"/>
        <v>0</v>
      </c>
      <c r="AA67" s="231">
        <f t="shared" si="5"/>
        <v>0</v>
      </c>
    </row>
    <row r="68" spans="1:27" s="136" customFormat="1">
      <c r="A68" s="11">
        <v>60</v>
      </c>
      <c r="B68" s="138"/>
      <c r="C68" s="140"/>
      <c r="D68" s="140"/>
      <c r="E68" s="139"/>
      <c r="F68" s="139"/>
      <c r="G68" s="148">
        <f t="shared" si="6"/>
        <v>0</v>
      </c>
      <c r="H68" s="146"/>
      <c r="I68" s="146"/>
      <c r="J68" s="146"/>
      <c r="K68" s="146"/>
      <c r="L68" s="146"/>
      <c r="M68" s="146"/>
      <c r="N68" s="147"/>
      <c r="O68" s="146"/>
      <c r="P68" s="146"/>
      <c r="Q68" s="147"/>
      <c r="R68" s="146"/>
      <c r="S68" s="146"/>
      <c r="T68" s="149"/>
      <c r="U68" s="146"/>
      <c r="V68" s="146"/>
      <c r="W68" s="149"/>
      <c r="X68" s="146"/>
      <c r="Y68" s="146"/>
      <c r="Z68" s="145">
        <f t="shared" si="7"/>
        <v>0</v>
      </c>
      <c r="AA68" s="231">
        <f t="shared" si="5"/>
        <v>0</v>
      </c>
    </row>
    <row r="69" spans="1:27" s="136" customFormat="1">
      <c r="A69" s="11">
        <v>61</v>
      </c>
      <c r="B69" s="138"/>
      <c r="C69" s="140"/>
      <c r="D69" s="140"/>
      <c r="E69" s="139"/>
      <c r="F69" s="139"/>
      <c r="G69" s="148">
        <f t="shared" si="6"/>
        <v>0</v>
      </c>
      <c r="H69" s="146"/>
      <c r="I69" s="146"/>
      <c r="J69" s="146"/>
      <c r="K69" s="146"/>
      <c r="L69" s="146"/>
      <c r="M69" s="146"/>
      <c r="N69" s="147"/>
      <c r="O69" s="146"/>
      <c r="P69" s="146"/>
      <c r="Q69" s="147"/>
      <c r="R69" s="146"/>
      <c r="S69" s="146"/>
      <c r="T69" s="149"/>
      <c r="U69" s="146"/>
      <c r="V69" s="146"/>
      <c r="W69" s="149"/>
      <c r="X69" s="146"/>
      <c r="Y69" s="146"/>
      <c r="Z69" s="145">
        <f t="shared" si="7"/>
        <v>0</v>
      </c>
      <c r="AA69" s="231">
        <f t="shared" si="5"/>
        <v>0</v>
      </c>
    </row>
    <row r="70" spans="1:27" s="136" customFormat="1">
      <c r="A70" s="11">
        <v>62</v>
      </c>
      <c r="B70" s="138"/>
      <c r="C70" s="140"/>
      <c r="D70" s="140"/>
      <c r="E70" s="139"/>
      <c r="F70" s="139"/>
      <c r="G70" s="148">
        <f t="shared" si="6"/>
        <v>0</v>
      </c>
      <c r="H70" s="146"/>
      <c r="I70" s="146"/>
      <c r="J70" s="146"/>
      <c r="K70" s="146"/>
      <c r="L70" s="146"/>
      <c r="M70" s="146"/>
      <c r="N70" s="147"/>
      <c r="O70" s="146"/>
      <c r="P70" s="146"/>
      <c r="Q70" s="147"/>
      <c r="R70" s="146"/>
      <c r="S70" s="146"/>
      <c r="T70" s="149"/>
      <c r="U70" s="146"/>
      <c r="V70" s="146"/>
      <c r="W70" s="149"/>
      <c r="X70" s="146"/>
      <c r="Y70" s="146"/>
      <c r="Z70" s="145">
        <f t="shared" si="7"/>
        <v>0</v>
      </c>
      <c r="AA70" s="231">
        <f t="shared" si="5"/>
        <v>0</v>
      </c>
    </row>
    <row r="71" spans="1:27" s="136" customFormat="1">
      <c r="A71" s="11">
        <v>63</v>
      </c>
      <c r="B71" s="138"/>
      <c r="C71" s="140"/>
      <c r="D71" s="140"/>
      <c r="E71" s="139"/>
      <c r="F71" s="139"/>
      <c r="G71" s="148">
        <f t="shared" si="6"/>
        <v>0</v>
      </c>
      <c r="H71" s="146"/>
      <c r="I71" s="146"/>
      <c r="J71" s="146"/>
      <c r="K71" s="146"/>
      <c r="L71" s="146"/>
      <c r="M71" s="146"/>
      <c r="N71" s="147"/>
      <c r="O71" s="146"/>
      <c r="P71" s="146"/>
      <c r="Q71" s="147"/>
      <c r="R71" s="146"/>
      <c r="S71" s="146"/>
      <c r="T71" s="149"/>
      <c r="U71" s="146"/>
      <c r="V71" s="146"/>
      <c r="W71" s="149"/>
      <c r="X71" s="146"/>
      <c r="Y71" s="146"/>
      <c r="Z71" s="145">
        <f t="shared" si="7"/>
        <v>0</v>
      </c>
      <c r="AA71" s="231">
        <f t="shared" si="5"/>
        <v>0</v>
      </c>
    </row>
    <row r="72" spans="1:27" s="136" customFormat="1">
      <c r="A72" s="11">
        <v>64</v>
      </c>
      <c r="B72" s="138"/>
      <c r="C72" s="138"/>
      <c r="D72" s="140"/>
      <c r="E72" s="140"/>
      <c r="F72" s="139"/>
      <c r="G72" s="148">
        <f t="shared" si="6"/>
        <v>0</v>
      </c>
      <c r="H72" s="146"/>
      <c r="I72" s="146"/>
      <c r="J72" s="146"/>
      <c r="K72" s="146"/>
      <c r="L72" s="146"/>
      <c r="M72" s="146"/>
      <c r="N72" s="147"/>
      <c r="O72" s="146"/>
      <c r="P72" s="146"/>
      <c r="Q72" s="147"/>
      <c r="R72" s="146"/>
      <c r="S72" s="146"/>
      <c r="T72" s="149"/>
      <c r="U72" s="146"/>
      <c r="V72" s="146"/>
      <c r="W72" s="149"/>
      <c r="X72" s="146"/>
      <c r="Y72" s="146"/>
      <c r="Z72" s="145">
        <f t="shared" si="7"/>
        <v>0</v>
      </c>
      <c r="AA72" s="231">
        <f t="shared" si="5"/>
        <v>0</v>
      </c>
    </row>
    <row r="73" spans="1:27" s="136" customFormat="1">
      <c r="A73" s="11">
        <v>65</v>
      </c>
      <c r="B73" s="138"/>
      <c r="C73" s="138"/>
      <c r="D73" s="138"/>
      <c r="E73" s="139"/>
      <c r="F73" s="139"/>
      <c r="G73" s="148">
        <f t="shared" si="6"/>
        <v>0</v>
      </c>
      <c r="H73" s="146"/>
      <c r="I73" s="146"/>
      <c r="J73" s="146"/>
      <c r="K73" s="146"/>
      <c r="L73" s="146"/>
      <c r="M73" s="146"/>
      <c r="N73" s="147"/>
      <c r="O73" s="146"/>
      <c r="P73" s="146"/>
      <c r="Q73" s="147"/>
      <c r="R73" s="146"/>
      <c r="S73" s="146"/>
      <c r="T73" s="149"/>
      <c r="U73" s="146"/>
      <c r="V73" s="146"/>
      <c r="W73" s="149"/>
      <c r="X73" s="146"/>
      <c r="Y73" s="146"/>
      <c r="Z73" s="145">
        <f t="shared" si="7"/>
        <v>0</v>
      </c>
      <c r="AA73" s="231">
        <f t="shared" ref="AA73:AA88" si="8">SUMIF($F$9:$F$88,$F73,$Z$9:$Z$88)</f>
        <v>0</v>
      </c>
    </row>
    <row r="74" spans="1:27" s="136" customFormat="1">
      <c r="A74" s="11">
        <v>66</v>
      </c>
      <c r="B74" s="138"/>
      <c r="C74" s="138"/>
      <c r="D74" s="138"/>
      <c r="E74" s="139"/>
      <c r="F74" s="139"/>
      <c r="G74" s="148">
        <f t="shared" si="6"/>
        <v>0</v>
      </c>
      <c r="H74" s="146"/>
      <c r="I74" s="146"/>
      <c r="J74" s="146"/>
      <c r="K74" s="146"/>
      <c r="L74" s="146"/>
      <c r="M74" s="146"/>
      <c r="N74" s="147"/>
      <c r="O74" s="147"/>
      <c r="P74" s="147"/>
      <c r="Q74" s="147"/>
      <c r="R74" s="146"/>
      <c r="S74" s="146"/>
      <c r="T74" s="149"/>
      <c r="U74" s="146"/>
      <c r="V74" s="146"/>
      <c r="W74" s="149"/>
      <c r="X74" s="146"/>
      <c r="Y74" s="146"/>
      <c r="Z74" s="145">
        <f t="shared" si="7"/>
        <v>0</v>
      </c>
      <c r="AA74" s="231">
        <f t="shared" si="8"/>
        <v>0</v>
      </c>
    </row>
    <row r="75" spans="1:27" s="136" customFormat="1">
      <c r="A75" s="11">
        <v>67</v>
      </c>
      <c r="B75" s="138"/>
      <c r="C75" s="138"/>
      <c r="D75" s="138"/>
      <c r="E75" s="139"/>
      <c r="F75" s="139"/>
      <c r="G75" s="148">
        <f t="shared" si="6"/>
        <v>0</v>
      </c>
      <c r="H75" s="146"/>
      <c r="I75" s="146"/>
      <c r="J75" s="146"/>
      <c r="K75" s="146"/>
      <c r="L75" s="146"/>
      <c r="M75" s="146"/>
      <c r="N75" s="147"/>
      <c r="O75" s="147"/>
      <c r="P75" s="147"/>
      <c r="Q75" s="147"/>
      <c r="R75" s="146"/>
      <c r="S75" s="146"/>
      <c r="T75" s="149"/>
      <c r="U75" s="146"/>
      <c r="V75" s="146"/>
      <c r="W75" s="149"/>
      <c r="X75" s="146"/>
      <c r="Y75" s="146"/>
      <c r="Z75" s="145">
        <f t="shared" si="7"/>
        <v>0</v>
      </c>
      <c r="AA75" s="231">
        <f t="shared" si="8"/>
        <v>0</v>
      </c>
    </row>
    <row r="76" spans="1:27" s="136" customFormat="1">
      <c r="A76" s="11">
        <v>68</v>
      </c>
      <c r="B76" s="138"/>
      <c r="C76" s="138"/>
      <c r="D76" s="138"/>
      <c r="E76" s="139"/>
      <c r="F76" s="139"/>
      <c r="G76" s="148">
        <f t="shared" si="6"/>
        <v>0</v>
      </c>
      <c r="H76" s="146"/>
      <c r="I76" s="146"/>
      <c r="J76" s="146"/>
      <c r="K76" s="146"/>
      <c r="L76" s="146"/>
      <c r="M76" s="146"/>
      <c r="N76" s="147"/>
      <c r="O76" s="147"/>
      <c r="P76" s="147"/>
      <c r="Q76" s="147"/>
      <c r="R76" s="146"/>
      <c r="S76" s="146"/>
      <c r="T76" s="149"/>
      <c r="U76" s="146"/>
      <c r="V76" s="146"/>
      <c r="W76" s="146"/>
      <c r="X76" s="146"/>
      <c r="Y76" s="146"/>
      <c r="Z76" s="145">
        <f t="shared" si="7"/>
        <v>0</v>
      </c>
      <c r="AA76" s="231">
        <f t="shared" si="8"/>
        <v>0</v>
      </c>
    </row>
    <row r="77" spans="1:27" s="136" customFormat="1">
      <c r="A77" s="11">
        <v>69</v>
      </c>
      <c r="B77" s="138"/>
      <c r="C77" s="138"/>
      <c r="D77" s="138"/>
      <c r="E77" s="139"/>
      <c r="F77" s="139"/>
      <c r="G77" s="148">
        <f t="shared" si="6"/>
        <v>0</v>
      </c>
      <c r="H77" s="146"/>
      <c r="I77" s="146"/>
      <c r="J77" s="146"/>
      <c r="K77" s="146"/>
      <c r="L77" s="146"/>
      <c r="M77" s="146"/>
      <c r="N77" s="147"/>
      <c r="O77" s="147"/>
      <c r="P77" s="146"/>
      <c r="Q77" s="147"/>
      <c r="R77" s="146"/>
      <c r="S77" s="146"/>
      <c r="T77" s="149"/>
      <c r="U77" s="146"/>
      <c r="V77" s="146"/>
      <c r="W77" s="146"/>
      <c r="X77" s="146"/>
      <c r="Y77" s="146"/>
      <c r="Z77" s="145">
        <f t="shared" si="7"/>
        <v>0</v>
      </c>
      <c r="AA77" s="231">
        <f t="shared" si="8"/>
        <v>0</v>
      </c>
    </row>
    <row r="78" spans="1:27" s="136" customFormat="1">
      <c r="A78" s="11">
        <v>70</v>
      </c>
      <c r="B78" s="138"/>
      <c r="C78" s="138"/>
      <c r="D78" s="138"/>
      <c r="E78" s="139"/>
      <c r="F78" s="139"/>
      <c r="G78" s="148">
        <f t="shared" si="6"/>
        <v>0</v>
      </c>
      <c r="H78" s="146"/>
      <c r="I78" s="146"/>
      <c r="J78" s="146"/>
      <c r="K78" s="146"/>
      <c r="L78" s="146"/>
      <c r="M78" s="146"/>
      <c r="N78" s="147"/>
      <c r="O78" s="147"/>
      <c r="P78" s="146"/>
      <c r="Q78" s="147"/>
      <c r="R78" s="146"/>
      <c r="S78" s="146"/>
      <c r="T78" s="149"/>
      <c r="U78" s="146"/>
      <c r="V78" s="146"/>
      <c r="W78" s="146"/>
      <c r="X78" s="146"/>
      <c r="Y78" s="146"/>
      <c r="Z78" s="145">
        <f t="shared" si="7"/>
        <v>0</v>
      </c>
      <c r="AA78" s="231">
        <f t="shared" si="8"/>
        <v>0</v>
      </c>
    </row>
    <row r="79" spans="1:27" s="136" customFormat="1">
      <c r="A79" s="11">
        <v>71</v>
      </c>
      <c r="B79" s="138"/>
      <c r="C79" s="138"/>
      <c r="D79" s="138"/>
      <c r="E79" s="139"/>
      <c r="F79" s="139"/>
      <c r="G79" s="148">
        <f t="shared" si="6"/>
        <v>0</v>
      </c>
      <c r="H79" s="146"/>
      <c r="I79" s="146"/>
      <c r="J79" s="146"/>
      <c r="K79" s="146"/>
      <c r="L79" s="146"/>
      <c r="M79" s="146"/>
      <c r="N79" s="147"/>
      <c r="O79" s="147"/>
      <c r="P79" s="146"/>
      <c r="Q79" s="147"/>
      <c r="R79" s="146"/>
      <c r="S79" s="146"/>
      <c r="T79" s="149"/>
      <c r="U79" s="146"/>
      <c r="V79" s="146"/>
      <c r="W79" s="146"/>
      <c r="X79" s="146"/>
      <c r="Y79" s="146"/>
      <c r="Z79" s="145">
        <f t="shared" si="7"/>
        <v>0</v>
      </c>
      <c r="AA79" s="231">
        <f t="shared" si="8"/>
        <v>0</v>
      </c>
    </row>
    <row r="80" spans="1:27" s="136" customFormat="1">
      <c r="A80" s="11">
        <v>72</v>
      </c>
      <c r="B80" s="138"/>
      <c r="C80" s="138"/>
      <c r="D80" s="138"/>
      <c r="E80" s="139"/>
      <c r="F80" s="139"/>
      <c r="G80" s="148">
        <f t="shared" si="6"/>
        <v>0</v>
      </c>
      <c r="H80" s="146"/>
      <c r="I80" s="146"/>
      <c r="J80" s="146"/>
      <c r="K80" s="146"/>
      <c r="L80" s="146"/>
      <c r="M80" s="146"/>
      <c r="N80" s="147"/>
      <c r="O80" s="147"/>
      <c r="P80" s="14"/>
      <c r="Q80" s="147"/>
      <c r="R80" s="146"/>
      <c r="S80" s="146"/>
      <c r="T80" s="149"/>
      <c r="U80" s="146"/>
      <c r="V80" s="146"/>
      <c r="W80" s="146"/>
      <c r="X80" s="146"/>
      <c r="Y80" s="146"/>
      <c r="Z80" s="145">
        <f t="shared" si="7"/>
        <v>0</v>
      </c>
      <c r="AA80" s="231">
        <f t="shared" si="8"/>
        <v>0</v>
      </c>
    </row>
    <row r="81" spans="1:27" s="136" customFormat="1">
      <c r="A81" s="11">
        <v>73</v>
      </c>
      <c r="B81" s="138"/>
      <c r="C81" s="138"/>
      <c r="D81" s="138"/>
      <c r="E81" s="139"/>
      <c r="F81" s="139"/>
      <c r="G81" s="148">
        <f t="shared" si="6"/>
        <v>0</v>
      </c>
      <c r="H81" s="146"/>
      <c r="I81" s="146"/>
      <c r="J81" s="146"/>
      <c r="K81" s="146"/>
      <c r="L81" s="146"/>
      <c r="M81" s="146"/>
      <c r="N81" s="147"/>
      <c r="O81" s="147"/>
      <c r="P81" s="147"/>
      <c r="Q81" s="147"/>
      <c r="R81" s="146"/>
      <c r="S81" s="146"/>
      <c r="T81" s="149"/>
      <c r="U81" s="146"/>
      <c r="V81" s="146"/>
      <c r="W81" s="146"/>
      <c r="X81" s="146"/>
      <c r="Y81" s="146"/>
      <c r="Z81" s="145">
        <f t="shared" si="7"/>
        <v>0</v>
      </c>
      <c r="AA81" s="231">
        <f t="shared" si="8"/>
        <v>0</v>
      </c>
    </row>
    <row r="82" spans="1:27" s="136" customFormat="1">
      <c r="A82" s="11">
        <v>74</v>
      </c>
      <c r="B82" s="138"/>
      <c r="C82" s="138"/>
      <c r="D82" s="138"/>
      <c r="E82" s="139"/>
      <c r="F82" s="139"/>
      <c r="G82" s="148">
        <f t="shared" si="6"/>
        <v>0</v>
      </c>
      <c r="H82" s="146"/>
      <c r="I82" s="146"/>
      <c r="J82" s="146"/>
      <c r="K82" s="146"/>
      <c r="L82" s="146"/>
      <c r="M82" s="146"/>
      <c r="N82" s="147"/>
      <c r="O82" s="147"/>
      <c r="P82" s="147"/>
      <c r="Q82" s="147"/>
      <c r="R82" s="146"/>
      <c r="S82" s="146"/>
      <c r="T82" s="149"/>
      <c r="U82" s="146"/>
      <c r="V82" s="146"/>
      <c r="W82" s="146"/>
      <c r="X82" s="146"/>
      <c r="Y82" s="146"/>
      <c r="Z82" s="145">
        <f t="shared" si="7"/>
        <v>0</v>
      </c>
      <c r="AA82" s="231">
        <f t="shared" si="8"/>
        <v>0</v>
      </c>
    </row>
    <row r="83" spans="1:27" s="136" customFormat="1">
      <c r="A83" s="11">
        <v>75</v>
      </c>
      <c r="B83" s="138"/>
      <c r="C83" s="138"/>
      <c r="D83" s="138"/>
      <c r="E83" s="139"/>
      <c r="F83" s="139"/>
      <c r="G83" s="148">
        <f t="shared" si="6"/>
        <v>0</v>
      </c>
      <c r="H83" s="146"/>
      <c r="I83" s="146"/>
      <c r="J83" s="146"/>
      <c r="K83" s="146"/>
      <c r="L83" s="146"/>
      <c r="M83" s="146"/>
      <c r="N83" s="147"/>
      <c r="O83" s="147"/>
      <c r="P83" s="147"/>
      <c r="Q83" s="147"/>
      <c r="R83" s="146"/>
      <c r="S83" s="146"/>
      <c r="T83" s="146"/>
      <c r="U83" s="146"/>
      <c r="V83" s="146"/>
      <c r="W83" s="146"/>
      <c r="X83" s="146"/>
      <c r="Y83" s="146"/>
      <c r="Z83" s="145">
        <f t="shared" si="7"/>
        <v>0</v>
      </c>
      <c r="AA83" s="231">
        <f t="shared" si="8"/>
        <v>0</v>
      </c>
    </row>
    <row r="84" spans="1:27" s="136" customFormat="1">
      <c r="A84" s="11">
        <v>76</v>
      </c>
      <c r="B84" s="138"/>
      <c r="C84" s="138"/>
      <c r="D84" s="138"/>
      <c r="E84" s="139"/>
      <c r="F84" s="139"/>
      <c r="G84" s="148">
        <f t="shared" si="6"/>
        <v>0</v>
      </c>
      <c r="H84" s="146"/>
      <c r="I84" s="146"/>
      <c r="J84" s="146"/>
      <c r="K84" s="146"/>
      <c r="L84" s="146"/>
      <c r="M84" s="146"/>
      <c r="N84" s="147"/>
      <c r="O84" s="147"/>
      <c r="P84" s="147"/>
      <c r="Q84" s="147"/>
      <c r="R84" s="146"/>
      <c r="S84" s="146"/>
      <c r="T84" s="146"/>
      <c r="U84" s="146"/>
      <c r="V84" s="146"/>
      <c r="W84" s="146"/>
      <c r="X84" s="146"/>
      <c r="Y84" s="146"/>
      <c r="Z84" s="145">
        <f t="shared" si="7"/>
        <v>0</v>
      </c>
      <c r="AA84" s="231">
        <f t="shared" si="8"/>
        <v>0</v>
      </c>
    </row>
    <row r="85" spans="1:27" s="136" customFormat="1">
      <c r="A85" s="11">
        <v>77</v>
      </c>
      <c r="B85" s="138"/>
      <c r="C85" s="138"/>
      <c r="D85" s="138"/>
      <c r="E85" s="139"/>
      <c r="F85" s="139"/>
      <c r="G85" s="148">
        <f t="shared" si="6"/>
        <v>0</v>
      </c>
      <c r="H85" s="146"/>
      <c r="I85" s="146"/>
      <c r="J85" s="146"/>
      <c r="K85" s="146"/>
      <c r="L85" s="146"/>
      <c r="M85" s="146"/>
      <c r="N85" s="147"/>
      <c r="O85" s="147"/>
      <c r="P85" s="147"/>
      <c r="Q85" s="147"/>
      <c r="R85" s="146"/>
      <c r="S85" s="146"/>
      <c r="T85" s="146"/>
      <c r="U85" s="146"/>
      <c r="V85" s="146"/>
      <c r="W85" s="146"/>
      <c r="X85" s="146"/>
      <c r="Y85" s="146"/>
      <c r="Z85" s="145">
        <f t="shared" si="7"/>
        <v>0</v>
      </c>
      <c r="AA85" s="231">
        <f t="shared" si="8"/>
        <v>0</v>
      </c>
    </row>
    <row r="86" spans="1:27" s="136" customFormat="1">
      <c r="A86" s="11">
        <v>78</v>
      </c>
      <c r="B86" s="138"/>
      <c r="C86" s="138"/>
      <c r="D86" s="138"/>
      <c r="E86" s="139"/>
      <c r="F86" s="139"/>
      <c r="G86" s="148">
        <f t="shared" si="6"/>
        <v>0</v>
      </c>
      <c r="H86" s="146"/>
      <c r="I86" s="146"/>
      <c r="J86" s="146"/>
      <c r="K86" s="146"/>
      <c r="L86" s="146"/>
      <c r="M86" s="146"/>
      <c r="N86" s="147"/>
      <c r="O86" s="147"/>
      <c r="P86" s="147"/>
      <c r="Q86" s="147"/>
      <c r="R86" s="146"/>
      <c r="S86" s="146"/>
      <c r="T86" s="146"/>
      <c r="U86" s="146"/>
      <c r="V86" s="146"/>
      <c r="W86" s="146"/>
      <c r="X86" s="146"/>
      <c r="Y86" s="146"/>
      <c r="Z86" s="145">
        <f t="shared" si="7"/>
        <v>0</v>
      </c>
      <c r="AA86" s="231">
        <f t="shared" si="8"/>
        <v>0</v>
      </c>
    </row>
    <row r="87" spans="1:27" s="136" customFormat="1">
      <c r="A87" s="11">
        <v>79</v>
      </c>
      <c r="B87" s="138"/>
      <c r="C87" s="138"/>
      <c r="D87" s="138"/>
      <c r="E87" s="139"/>
      <c r="F87" s="139"/>
      <c r="G87" s="148">
        <f t="shared" si="6"/>
        <v>0</v>
      </c>
      <c r="H87" s="146"/>
      <c r="I87" s="146"/>
      <c r="J87" s="146"/>
      <c r="K87" s="146"/>
      <c r="L87" s="146"/>
      <c r="M87" s="146"/>
      <c r="N87" s="147"/>
      <c r="O87" s="147"/>
      <c r="P87" s="147"/>
      <c r="Q87" s="147"/>
      <c r="R87" s="146"/>
      <c r="S87" s="146"/>
      <c r="T87" s="146"/>
      <c r="U87" s="146"/>
      <c r="V87" s="146"/>
      <c r="W87" s="146"/>
      <c r="X87" s="146"/>
      <c r="Y87" s="146"/>
      <c r="Z87" s="145">
        <f t="shared" si="7"/>
        <v>0</v>
      </c>
      <c r="AA87" s="231">
        <f t="shared" si="8"/>
        <v>0</v>
      </c>
    </row>
    <row r="88" spans="1:27" s="136" customFormat="1">
      <c r="A88" s="11">
        <v>80</v>
      </c>
      <c r="B88" s="138"/>
      <c r="C88" s="138"/>
      <c r="D88" s="138"/>
      <c r="E88" s="139"/>
      <c r="F88" s="139"/>
      <c r="G88" s="148">
        <f t="shared" si="6"/>
        <v>0</v>
      </c>
      <c r="H88" s="146"/>
      <c r="I88" s="146"/>
      <c r="J88" s="146"/>
      <c r="K88" s="146"/>
      <c r="L88" s="146"/>
      <c r="M88" s="146"/>
      <c r="N88" s="147"/>
      <c r="O88" s="147"/>
      <c r="P88" s="147"/>
      <c r="Q88" s="147"/>
      <c r="R88" s="146"/>
      <c r="S88" s="146"/>
      <c r="T88" s="146"/>
      <c r="U88" s="146"/>
      <c r="V88" s="146"/>
      <c r="W88" s="146"/>
      <c r="X88" s="146"/>
      <c r="Y88" s="146"/>
      <c r="Z88" s="145">
        <f t="shared" si="7"/>
        <v>0</v>
      </c>
      <c r="AA88" s="231">
        <f t="shared" si="8"/>
        <v>0</v>
      </c>
    </row>
    <row r="89" spans="1:27" s="155" customFormat="1" ht="19.5" customHeight="1">
      <c r="A89" s="643" t="s">
        <v>386</v>
      </c>
      <c r="B89" s="644"/>
      <c r="C89" s="644"/>
      <c r="D89" s="644"/>
      <c r="E89" s="644"/>
      <c r="F89" s="645"/>
      <c r="G89" s="135">
        <f>SUM(G9:G88)</f>
        <v>1182321833.79302</v>
      </c>
      <c r="H89" s="135">
        <f t="shared" ref="H89:V89" si="9">SUM(H9:H88)</f>
        <v>0</v>
      </c>
      <c r="I89" s="135">
        <f t="shared" si="9"/>
        <v>1182321833.79302</v>
      </c>
      <c r="J89" s="135">
        <f t="shared" si="9"/>
        <v>0</v>
      </c>
      <c r="K89" s="135">
        <f t="shared" si="9"/>
        <v>0</v>
      </c>
      <c r="L89" s="135">
        <f t="shared" si="9"/>
        <v>0</v>
      </c>
      <c r="M89" s="135">
        <f t="shared" si="9"/>
        <v>0</v>
      </c>
      <c r="N89" s="135">
        <f t="shared" si="9"/>
        <v>0</v>
      </c>
      <c r="O89" s="135">
        <f t="shared" si="9"/>
        <v>0</v>
      </c>
      <c r="P89" s="135">
        <f t="shared" si="9"/>
        <v>0</v>
      </c>
      <c r="Q89" s="135">
        <f t="shared" si="9"/>
        <v>0</v>
      </c>
      <c r="R89" s="135">
        <f t="shared" si="9"/>
        <v>0</v>
      </c>
      <c r="S89" s="135">
        <f t="shared" si="9"/>
        <v>0</v>
      </c>
      <c r="T89" s="135">
        <f t="shared" si="9"/>
        <v>0</v>
      </c>
      <c r="U89" s="152"/>
      <c r="V89" s="135">
        <f t="shared" si="9"/>
        <v>0</v>
      </c>
      <c r="W89" s="152"/>
      <c r="X89" s="135">
        <f t="shared" ref="X89:Z89" si="10">SUM(X9:X88)</f>
        <v>0</v>
      </c>
      <c r="Y89" s="135">
        <f t="shared" si="10"/>
        <v>0</v>
      </c>
      <c r="Z89" s="135">
        <f t="shared" si="10"/>
        <v>1182321833.79302</v>
      </c>
      <c r="AA89" s="235"/>
    </row>
    <row r="90" spans="1:27" s="155" customFormat="1" ht="19.5" customHeight="1">
      <c r="A90" s="643" t="s">
        <v>387</v>
      </c>
      <c r="B90" s="644"/>
      <c r="C90" s="644"/>
      <c r="D90" s="644"/>
      <c r="E90" s="644"/>
      <c r="F90" s="645"/>
      <c r="G90" s="135">
        <f>+SUMIF($F$9:$F$88,$AA$90,$G$9:$G$88)</f>
        <v>615368189.1135</v>
      </c>
      <c r="H90" s="135">
        <f>+SUMIF($F$9:$F$88,$AA$90,$H$9:$H$88)</f>
        <v>0</v>
      </c>
      <c r="I90" s="135">
        <f>+SUMIF($F$9:$F$88,$AA$90,$I$9:$I$88)</f>
        <v>615368189.1135</v>
      </c>
      <c r="J90" s="135">
        <f>+SUMIF($F$9:$F$88,$AA$90,$J$9:$J$88)</f>
        <v>0</v>
      </c>
      <c r="K90" s="135">
        <f>+SUMIF($F$9:$F$88,$AA$90,$K$9:$K$88)</f>
        <v>0</v>
      </c>
      <c r="L90" s="135">
        <f>+SUMIF($F$9:$F$88,$AA$90,$L$9:$L$88)</f>
        <v>0</v>
      </c>
      <c r="M90" s="135">
        <f>+SUMIF($F$9:$F$88,$AA$90,$M$9:$M$88)</f>
        <v>0</v>
      </c>
      <c r="N90" s="135">
        <f>+SUMIF($F$9:$F$88,$AA$90,$N$9:$N$88)</f>
        <v>0</v>
      </c>
      <c r="O90" s="135">
        <f>+SUMIF($F$9:$F$88,$AA$90,$O$9:$O$88)</f>
        <v>0</v>
      </c>
      <c r="P90" s="135">
        <f>+SUMIF($F$9:$F$88,$AA$90,$P$9:$P$88)</f>
        <v>0</v>
      </c>
      <c r="Q90" s="135">
        <f>+SUMIF($F$9:$F$88,$AA$90,$Q$9:$Q$88)</f>
        <v>0</v>
      </c>
      <c r="R90" s="135">
        <f>+SUMIF($F$9:$F$88,$AA$90,$R$9:$R$88)</f>
        <v>0</v>
      </c>
      <c r="S90" s="135">
        <f>+SUMIF($F$9:$F$88,$AA$90,$S$9:$S$88)</f>
        <v>0</v>
      </c>
      <c r="T90" s="135">
        <f>+SUMIF($F$9:$F$88,$AA$90,$T$9:$T$88)</f>
        <v>0</v>
      </c>
      <c r="U90" s="152"/>
      <c r="V90" s="135">
        <f>+SUMIF($F$9:$F$88,$AA$90,$V$9:$V$88)</f>
        <v>0</v>
      </c>
      <c r="W90" s="152"/>
      <c r="X90" s="135">
        <f>+SUMIF($F$9:$F$88,$AA$90,$X$9:$X$88)</f>
        <v>0</v>
      </c>
      <c r="Y90" s="135">
        <f>+SUMIF($F$9:$F$88,$AA$90,$Y$9:$Y$88)</f>
        <v>0</v>
      </c>
      <c r="Z90" s="135">
        <f>+MAX(AA9:AA88)</f>
        <v>615368189.1135</v>
      </c>
      <c r="AA90" s="235">
        <f>INDEX($F$9:$F$88,MATCH($Z90,$AA$9:$AA$88,0))</f>
        <v>1</v>
      </c>
    </row>
    <row r="91" spans="1:27" s="12" customFormat="1">
      <c r="AA91" s="233"/>
    </row>
    <row r="92" spans="1:27" ht="15" customHeight="1">
      <c r="B92" s="98" t="s">
        <v>690</v>
      </c>
      <c r="F92" s="81"/>
      <c r="G92" s="81"/>
      <c r="H92" s="81"/>
      <c r="I92" s="81"/>
      <c r="J92" s="81"/>
      <c r="K92" s="81"/>
      <c r="L92" s="81"/>
      <c r="M92" s="81"/>
      <c r="AA92" s="24"/>
    </row>
    <row r="93" spans="1:27" ht="11.25" customHeight="1">
      <c r="B93" s="98"/>
      <c r="F93" s="81"/>
      <c r="G93" s="81"/>
      <c r="H93" s="81"/>
      <c r="I93" s="81"/>
      <c r="J93" s="81"/>
      <c r="K93" s="81"/>
      <c r="L93" s="81"/>
      <c r="M93" s="81"/>
      <c r="AA93" s="24"/>
    </row>
    <row r="94" spans="1:27" ht="15" customHeight="1">
      <c r="B94" s="98" t="s">
        <v>691</v>
      </c>
      <c r="F94" s="81"/>
      <c r="G94" s="81"/>
      <c r="H94" s="81"/>
      <c r="I94" s="81"/>
      <c r="J94" s="81"/>
      <c r="K94" s="81"/>
      <c r="L94" s="81"/>
      <c r="M94" s="81"/>
      <c r="AA94" s="24"/>
    </row>
    <row r="95" spans="1:27" s="12" customFormat="1">
      <c r="B95" s="99"/>
      <c r="AA95" s="233"/>
    </row>
    <row r="96" spans="1:27" s="12" customFormat="1">
      <c r="B96" s="99"/>
      <c r="AA96" s="233"/>
    </row>
    <row r="97" spans="2:27" s="12" customFormat="1">
      <c r="B97" s="99"/>
      <c r="AA97" s="233"/>
    </row>
    <row r="98" spans="2:27" s="12" customFormat="1">
      <c r="AA98" s="233"/>
    </row>
    <row r="99" spans="2:27" s="12" customFormat="1" ht="15.75">
      <c r="B99" s="630"/>
      <c r="C99" s="630"/>
      <c r="D99" s="630"/>
      <c r="E99" s="630"/>
      <c r="F99" s="630"/>
      <c r="G99" s="630"/>
      <c r="H99" s="630"/>
      <c r="I99" s="630"/>
      <c r="J99" s="630"/>
      <c r="K99" s="630"/>
      <c r="L99" s="630"/>
      <c r="M99" s="630"/>
      <c r="N99" s="630"/>
      <c r="O99" s="630"/>
      <c r="P99" s="630"/>
      <c r="Q99" s="630"/>
      <c r="R99" s="630"/>
      <c r="S99" s="630"/>
      <c r="T99" s="630"/>
      <c r="AA99" s="233"/>
    </row>
    <row r="100" spans="2:27">
      <c r="AA100" s="234"/>
    </row>
    <row r="101" spans="2:27">
      <c r="AA101" s="234"/>
    </row>
    <row r="102" spans="2:27">
      <c r="AA102" s="234"/>
    </row>
    <row r="103" spans="2:27">
      <c r="AA103" s="234"/>
    </row>
    <row r="104" spans="2:27">
      <c r="AA104" s="234"/>
    </row>
    <row r="105" spans="2:27">
      <c r="AA105" s="234"/>
    </row>
    <row r="106" spans="2:27">
      <c r="AA106" s="234"/>
    </row>
    <row r="107" spans="2:27">
      <c r="AA107" s="234"/>
    </row>
    <row r="108" spans="2:27">
      <c r="AA108" s="234"/>
    </row>
    <row r="109" spans="2:27">
      <c r="AA109" s="234"/>
    </row>
    <row r="110" spans="2:27">
      <c r="AA110" s="234"/>
    </row>
    <row r="111" spans="2:27">
      <c r="AA111" s="234"/>
    </row>
    <row r="112" spans="2:27">
      <c r="AA112" s="234"/>
    </row>
    <row r="113" spans="27:27">
      <c r="AA113" s="234"/>
    </row>
    <row r="114" spans="27:27">
      <c r="AA114" s="234"/>
    </row>
    <row r="115" spans="27:27">
      <c r="AA115" s="234"/>
    </row>
    <row r="116" spans="27:27">
      <c r="AA116" s="234"/>
    </row>
    <row r="117" spans="27:27">
      <c r="AA117" s="234"/>
    </row>
    <row r="118" spans="27:27">
      <c r="AA118" s="234"/>
    </row>
    <row r="119" spans="27:27">
      <c r="AA119" s="234"/>
    </row>
    <row r="120" spans="27:27">
      <c r="AA120" s="234"/>
    </row>
    <row r="121" spans="27:27">
      <c r="AA121" s="234"/>
    </row>
    <row r="122" spans="27:27">
      <c r="AA122" s="234"/>
    </row>
    <row r="123" spans="27:27">
      <c r="AA123" s="234"/>
    </row>
    <row r="124" spans="27:27">
      <c r="AA124" s="234"/>
    </row>
    <row r="125" spans="27:27">
      <c r="AA125" s="234"/>
    </row>
    <row r="126" spans="27:27">
      <c r="AA126" s="234"/>
    </row>
    <row r="127" spans="27:27">
      <c r="AA127" s="234"/>
    </row>
    <row r="128" spans="27:27">
      <c r="AA128" s="234"/>
    </row>
    <row r="129" spans="27:27">
      <c r="AA129" s="234"/>
    </row>
    <row r="130" spans="27:27">
      <c r="AA130" s="234"/>
    </row>
    <row r="131" spans="27:27">
      <c r="AA131" s="234"/>
    </row>
  </sheetData>
  <sheetProtection password="CACA" sheet="1" objects="1" scenarios="1"/>
  <mergeCells count="36"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  <mergeCell ref="Y3:Z3"/>
    <mergeCell ref="X4:X7"/>
    <mergeCell ref="Y4:Y7"/>
    <mergeCell ref="T4:T7"/>
    <mergeCell ref="Z4:Z7"/>
    <mergeCell ref="U6:U7"/>
    <mergeCell ref="V6:V7"/>
    <mergeCell ref="U3:V3"/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</mergeCells>
  <printOptions horizontalCentered="1"/>
  <pageMargins left="0.15748031496062992" right="0.19685039370078741" top="0.49" bottom="0.19685039370078741" header="0.51181102362204722" footer="0.51181102362204722"/>
  <pageSetup paperSize="9" scale="3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O53"/>
  <sheetViews>
    <sheetView view="pageBreakPreview" topLeftCell="A17" zoomScale="85" zoomScaleNormal="75" zoomScaleSheetLayoutView="85" workbookViewId="0">
      <selection sqref="A1:I1"/>
    </sheetView>
  </sheetViews>
  <sheetFormatPr defaultColWidth="9.42578125" defaultRowHeight="15"/>
  <cols>
    <col min="1" max="1" width="11" style="49" bestFit="1" customWidth="1"/>
    <col min="2" max="2" width="31" style="4" customWidth="1"/>
    <col min="3" max="3" width="17.28515625" style="4" customWidth="1"/>
    <col min="4" max="9" width="17.42578125" style="4" customWidth="1"/>
    <col min="10" max="10" width="16.28515625" style="4" customWidth="1"/>
    <col min="11" max="11" width="9.42578125" style="4"/>
    <col min="12" max="13" width="18.85546875" style="421" customWidth="1"/>
    <col min="14" max="14" width="18.85546875" style="4" customWidth="1"/>
    <col min="15" max="16384" width="9.42578125" style="4"/>
  </cols>
  <sheetData>
    <row r="1" spans="1:14" s="12" customFormat="1" ht="35.25" customHeight="1">
      <c r="A1" s="654" t="s">
        <v>389</v>
      </c>
      <c r="B1" s="654"/>
      <c r="C1" s="654"/>
      <c r="D1" s="654"/>
      <c r="E1" s="654"/>
      <c r="F1" s="654"/>
      <c r="G1" s="654"/>
      <c r="H1" s="654"/>
      <c r="I1" s="654"/>
      <c r="J1" s="418" t="s">
        <v>388</v>
      </c>
      <c r="L1" s="419"/>
      <c r="M1" s="419"/>
    </row>
    <row r="2" spans="1:14" s="24" customFormat="1" ht="15.75" customHeight="1">
      <c r="A2" s="120"/>
      <c r="B2" s="121"/>
      <c r="C2" s="121"/>
      <c r="E2" s="122"/>
      <c r="L2" s="322"/>
      <c r="M2" s="322"/>
    </row>
    <row r="3" spans="1:14" s="24" customFormat="1" ht="16.5" customHeight="1">
      <c r="A3" s="123" t="s">
        <v>390</v>
      </c>
      <c r="C3" s="123"/>
      <c r="F3" s="124"/>
      <c r="G3" s="646">
        <f>+'Asset quality'!Q3</f>
        <v>46021</v>
      </c>
      <c r="H3" s="646"/>
      <c r="J3" s="151" t="str">
        <f>+'Asset quality'!T3</f>
        <v>минг. сўмда</v>
      </c>
      <c r="L3" s="420"/>
      <c r="M3" s="322"/>
    </row>
    <row r="4" spans="1:14" s="99" customFormat="1" ht="36" customHeight="1">
      <c r="A4" s="655" t="s">
        <v>23</v>
      </c>
      <c r="B4" s="655" t="s">
        <v>391</v>
      </c>
      <c r="C4" s="636" t="str">
        <f>"Ҳисобдан чиқарилган кредитлар, лизинглар ва факторинглар қолдиғи"&amp;" "&amp;DAY(G3)&amp;"."&amp;IF(LEN(MONTH(G3))&lt;2,"0"&amp;MONTH(G3),MONTH(G3))&amp;"."&amp;YEAR(G3)-1&amp;"г"</f>
        <v>Ҳисобдан чиқарилган кредитлар, лизинглар ва факторинглар қолдиғи 30.12.2024г</v>
      </c>
      <c r="D4" s="621" t="s">
        <v>718</v>
      </c>
      <c r="E4" s="650"/>
      <c r="F4" s="650"/>
      <c r="G4" s="650"/>
      <c r="H4" s="650"/>
      <c r="I4" s="622"/>
      <c r="J4" s="636" t="str">
        <f>"Ҳисобдан чиқарилган кредитлар, лизинглар ва факторинглар қолдиғи"&amp;" "&amp;DAY(G3)&amp;"."&amp;IF(LEN(MONTH(G3))&lt;2,"0"&amp;MONTH(G3),MONTH(G3))&amp;"."&amp;YEAR(G3)&amp;"г"</f>
        <v>Ҳисобдан чиқарилган кредитлар, лизинглар ва факторинглар қолдиғи 30.12.2025г</v>
      </c>
      <c r="L4" s="323"/>
      <c r="M4" s="323"/>
    </row>
    <row r="5" spans="1:14" s="99" customFormat="1" ht="33.75" customHeight="1">
      <c r="A5" s="656"/>
      <c r="B5" s="656"/>
      <c r="C5" s="637"/>
      <c r="D5" s="651" t="s">
        <v>392</v>
      </c>
      <c r="E5" s="652"/>
      <c r="F5" s="628" t="s">
        <v>393</v>
      </c>
      <c r="G5" s="653"/>
      <c r="H5" s="628" t="s">
        <v>394</v>
      </c>
      <c r="I5" s="653"/>
      <c r="J5" s="637"/>
      <c r="L5" s="323"/>
      <c r="M5" s="323"/>
      <c r="N5" s="125"/>
    </row>
    <row r="6" spans="1:14" s="99" customFormat="1" ht="44.25" customHeight="1">
      <c r="A6" s="657"/>
      <c r="B6" s="657"/>
      <c r="C6" s="638"/>
      <c r="D6" s="133" t="s">
        <v>166</v>
      </c>
      <c r="E6" s="133" t="s">
        <v>395</v>
      </c>
      <c r="F6" s="133" t="s">
        <v>166</v>
      </c>
      <c r="G6" s="133" t="s">
        <v>395</v>
      </c>
      <c r="H6" s="133" t="s">
        <v>166</v>
      </c>
      <c r="I6" s="133" t="s">
        <v>395</v>
      </c>
      <c r="J6" s="638"/>
      <c r="L6" s="323"/>
      <c r="M6" s="323"/>
    </row>
    <row r="7" spans="1:14" ht="19.5" customHeight="1">
      <c r="A7" s="133"/>
      <c r="B7" s="133" t="s">
        <v>40</v>
      </c>
      <c r="C7" s="133" t="s">
        <v>41</v>
      </c>
      <c r="D7" s="133" t="s">
        <v>51</v>
      </c>
      <c r="E7" s="133" t="s">
        <v>42</v>
      </c>
      <c r="F7" s="133" t="s">
        <v>43</v>
      </c>
      <c r="G7" s="133" t="s">
        <v>52</v>
      </c>
      <c r="H7" s="133" t="s">
        <v>44</v>
      </c>
      <c r="I7" s="133" t="s">
        <v>45</v>
      </c>
      <c r="J7" s="133" t="s">
        <v>46</v>
      </c>
      <c r="M7" s="323"/>
    </row>
    <row r="8" spans="1:14" ht="19.5" customHeight="1">
      <c r="A8" s="133">
        <v>1</v>
      </c>
      <c r="B8" s="133" t="s">
        <v>396</v>
      </c>
      <c r="C8" s="133">
        <f>SUM(C10:C17)</f>
        <v>710867822</v>
      </c>
      <c r="D8" s="133">
        <f t="shared" ref="D8:J8" si="0">SUM(D10:D17)</f>
        <v>496348551.98940313</v>
      </c>
      <c r="E8" s="133">
        <f t="shared" si="0"/>
        <v>270143668</v>
      </c>
      <c r="F8" s="133">
        <f t="shared" si="0"/>
        <v>46650888</v>
      </c>
      <c r="G8" s="133">
        <f t="shared" si="0"/>
        <v>9077003</v>
      </c>
      <c r="H8" s="133">
        <f t="shared" si="0"/>
        <v>446003011.86919469</v>
      </c>
      <c r="I8" s="133">
        <f t="shared" si="0"/>
        <v>260957545</v>
      </c>
      <c r="J8" s="133">
        <f t="shared" si="0"/>
        <v>807555359</v>
      </c>
      <c r="L8" s="422">
        <f>+'loans type'!Y27</f>
        <v>807555359</v>
      </c>
    </row>
    <row r="9" spans="1:14" ht="19.5" customHeight="1">
      <c r="A9" s="236"/>
      <c r="B9" s="237" t="s">
        <v>266</v>
      </c>
      <c r="C9" s="126"/>
      <c r="D9" s="127"/>
      <c r="E9" s="127"/>
      <c r="F9" s="127"/>
      <c r="G9" s="127"/>
      <c r="H9" s="127"/>
      <c r="I9" s="127"/>
      <c r="J9" s="127"/>
      <c r="K9" s="49"/>
    </row>
    <row r="10" spans="1:14" ht="28.5" customHeight="1">
      <c r="A10" s="238" t="s">
        <v>67</v>
      </c>
      <c r="B10" s="126" t="s">
        <v>397</v>
      </c>
      <c r="C10" s="134">
        <v>229270724</v>
      </c>
      <c r="D10" s="134">
        <v>148471594</v>
      </c>
      <c r="E10" s="134">
        <v>107073154</v>
      </c>
      <c r="F10" s="134">
        <v>17240512</v>
      </c>
      <c r="G10" s="134">
        <v>3107292</v>
      </c>
      <c r="H10" s="134">
        <v>131231082</v>
      </c>
      <c r="I10" s="134">
        <v>103965862</v>
      </c>
      <c r="J10" s="134">
        <v>266773943</v>
      </c>
    </row>
    <row r="11" spans="1:14" ht="28.5" customHeight="1">
      <c r="A11" s="238" t="s">
        <v>68</v>
      </c>
      <c r="B11" s="126" t="s">
        <v>398</v>
      </c>
      <c r="C11" s="134">
        <v>232704199</v>
      </c>
      <c r="D11" s="134">
        <v>138020347</v>
      </c>
      <c r="E11" s="134">
        <v>129871290</v>
      </c>
      <c r="F11" s="134">
        <v>6060752</v>
      </c>
      <c r="G11" s="134">
        <v>545073</v>
      </c>
      <c r="H11" s="134">
        <v>131905035</v>
      </c>
      <c r="I11" s="134">
        <v>129271657</v>
      </c>
      <c r="J11" s="134">
        <v>291847742</v>
      </c>
    </row>
    <row r="12" spans="1:14" ht="28.5" customHeight="1">
      <c r="A12" s="238" t="s">
        <v>69</v>
      </c>
      <c r="B12" s="126" t="s">
        <v>399</v>
      </c>
      <c r="C12" s="134">
        <v>11237114</v>
      </c>
      <c r="D12" s="134">
        <v>7206414</v>
      </c>
      <c r="E12" s="134">
        <v>3756128</v>
      </c>
      <c r="F12" s="134">
        <v>59375</v>
      </c>
      <c r="G12" s="134">
        <v>0</v>
      </c>
      <c r="H12" s="134">
        <v>7147039</v>
      </c>
      <c r="I12" s="134">
        <v>3756128</v>
      </c>
      <c r="J12" s="134">
        <v>16382921</v>
      </c>
    </row>
    <row r="13" spans="1:14" ht="28.5" customHeight="1">
      <c r="A13" s="238" t="s">
        <v>70</v>
      </c>
      <c r="B13" s="126" t="s">
        <v>400</v>
      </c>
      <c r="C13" s="134">
        <v>39157397</v>
      </c>
      <c r="D13" s="134">
        <v>23665629</v>
      </c>
      <c r="E13" s="134">
        <v>0</v>
      </c>
      <c r="F13" s="134">
        <v>522237</v>
      </c>
      <c r="G13" s="134">
        <v>0</v>
      </c>
      <c r="H13" s="134">
        <v>23143392</v>
      </c>
      <c r="I13" s="134">
        <v>0</v>
      </c>
      <c r="J13" s="134">
        <v>59686566</v>
      </c>
    </row>
    <row r="14" spans="1:14" ht="28.5" customHeight="1">
      <c r="A14" s="238" t="s">
        <v>71</v>
      </c>
      <c r="B14" s="126" t="s">
        <v>401</v>
      </c>
      <c r="C14" s="134">
        <v>137242451</v>
      </c>
      <c r="D14" s="134">
        <v>63173550</v>
      </c>
      <c r="E14" s="134">
        <v>21349247</v>
      </c>
      <c r="F14" s="134">
        <v>7695427</v>
      </c>
      <c r="G14" s="134">
        <v>5001267</v>
      </c>
      <c r="H14" s="134">
        <v>55423563</v>
      </c>
      <c r="I14" s="134">
        <v>16293420</v>
      </c>
      <c r="J14" s="134">
        <v>119864924</v>
      </c>
    </row>
    <row r="15" spans="1:14" ht="28.5" customHeight="1">
      <c r="A15" s="238" t="s">
        <v>83</v>
      </c>
      <c r="B15" s="126" t="s">
        <v>402</v>
      </c>
      <c r="C15" s="134">
        <v>30829270</v>
      </c>
      <c r="D15" s="134">
        <v>6607287</v>
      </c>
      <c r="E15" s="134">
        <v>6947127</v>
      </c>
      <c r="F15" s="134">
        <v>233745</v>
      </c>
      <c r="G15" s="134">
        <v>0</v>
      </c>
      <c r="H15" s="134">
        <v>6373542</v>
      </c>
      <c r="I15" s="134">
        <v>6947127</v>
      </c>
      <c r="J15" s="134">
        <v>23560247</v>
      </c>
    </row>
    <row r="16" spans="1:14" ht="28.5" customHeight="1">
      <c r="A16" s="238" t="s">
        <v>151</v>
      </c>
      <c r="B16" s="126" t="s">
        <v>403</v>
      </c>
      <c r="C16" s="134">
        <v>30426667</v>
      </c>
      <c r="D16" s="134">
        <v>14301819</v>
      </c>
      <c r="E16" s="134">
        <v>1146722</v>
      </c>
      <c r="F16" s="134">
        <v>3274465</v>
      </c>
      <c r="G16" s="134">
        <v>423371</v>
      </c>
      <c r="H16" s="134">
        <v>7441821.8797915429</v>
      </c>
      <c r="I16" s="134">
        <v>723351</v>
      </c>
      <c r="J16" s="134">
        <v>29439016</v>
      </c>
    </row>
    <row r="17" spans="1:15" ht="28.5" customHeight="1">
      <c r="A17" s="238" t="s">
        <v>152</v>
      </c>
      <c r="B17" s="126" t="s">
        <v>404</v>
      </c>
      <c r="C17" s="134">
        <v>0</v>
      </c>
      <c r="D17" s="134">
        <v>94901911.989403144</v>
      </c>
      <c r="E17" s="134">
        <v>0</v>
      </c>
      <c r="F17" s="134">
        <v>11564375</v>
      </c>
      <c r="G17" s="134">
        <v>0</v>
      </c>
      <c r="H17" s="134">
        <v>83337536.989403144</v>
      </c>
      <c r="I17" s="134">
        <v>0</v>
      </c>
      <c r="J17" s="134">
        <v>0</v>
      </c>
    </row>
    <row r="18" spans="1:15" ht="19.5" customHeight="1">
      <c r="A18" s="133">
        <v>2</v>
      </c>
      <c r="B18" s="133" t="s">
        <v>329</v>
      </c>
      <c r="C18" s="133">
        <f>SUM(C20:C24)</f>
        <v>602357326</v>
      </c>
      <c r="D18" s="133">
        <f t="shared" ref="D18:J18" si="1">SUM(D20:D24)</f>
        <v>85260885</v>
      </c>
      <c r="E18" s="133">
        <f t="shared" si="1"/>
        <v>54560</v>
      </c>
      <c r="F18" s="133">
        <f t="shared" si="1"/>
        <v>470130660</v>
      </c>
      <c r="G18" s="133">
        <f t="shared" si="1"/>
        <v>0</v>
      </c>
      <c r="H18" s="133">
        <f t="shared" si="1"/>
        <v>178055747</v>
      </c>
      <c r="I18" s="133">
        <f t="shared" si="1"/>
        <v>0</v>
      </c>
      <c r="J18" s="133">
        <f t="shared" si="1"/>
        <v>631353319</v>
      </c>
      <c r="L18" s="422">
        <f>+'loans type'!Y9</f>
        <v>631353319</v>
      </c>
    </row>
    <row r="19" spans="1:15" ht="19.5" customHeight="1">
      <c r="A19" s="48"/>
      <c r="B19" s="237" t="s">
        <v>266</v>
      </c>
      <c r="C19" s="126"/>
      <c r="D19" s="127"/>
      <c r="E19" s="127"/>
      <c r="F19" s="127"/>
      <c r="G19" s="127"/>
      <c r="H19" s="127"/>
      <c r="I19" s="127"/>
      <c r="J19" s="127"/>
    </row>
    <row r="20" spans="1:15" ht="28.5" customHeight="1">
      <c r="A20" s="238" t="s">
        <v>73</v>
      </c>
      <c r="B20" s="126" t="s">
        <v>405</v>
      </c>
      <c r="C20" s="134">
        <v>1547967</v>
      </c>
      <c r="D20" s="134">
        <v>18743952</v>
      </c>
      <c r="E20" s="134">
        <v>54560</v>
      </c>
      <c r="F20" s="134">
        <v>3859760</v>
      </c>
      <c r="G20" s="134">
        <v>0</v>
      </c>
      <c r="H20" s="134">
        <v>14884192</v>
      </c>
      <c r="I20" s="134">
        <v>0</v>
      </c>
      <c r="J20" s="134">
        <v>254067</v>
      </c>
    </row>
    <row r="21" spans="1:15" ht="28.5" customHeight="1">
      <c r="A21" s="238" t="s">
        <v>74</v>
      </c>
      <c r="B21" s="126" t="s">
        <v>110</v>
      </c>
      <c r="C21" s="134">
        <v>0</v>
      </c>
      <c r="D21" s="134">
        <v>12516431</v>
      </c>
      <c r="E21" s="134">
        <v>0</v>
      </c>
      <c r="F21" s="134">
        <v>4865701</v>
      </c>
      <c r="G21" s="134">
        <v>0</v>
      </c>
      <c r="H21" s="134">
        <v>7650730</v>
      </c>
      <c r="I21" s="134">
        <v>0</v>
      </c>
      <c r="J21" s="134">
        <v>1445138</v>
      </c>
    </row>
    <row r="22" spans="1:15" ht="28.5" customHeight="1">
      <c r="A22" s="238" t="s">
        <v>75</v>
      </c>
      <c r="B22" s="126" t="s">
        <v>406</v>
      </c>
      <c r="C22" s="134">
        <v>30715288</v>
      </c>
      <c r="D22" s="134">
        <v>1754862</v>
      </c>
      <c r="E22" s="134">
        <v>0</v>
      </c>
      <c r="F22" s="134">
        <v>644034</v>
      </c>
      <c r="G22" s="134">
        <v>0</v>
      </c>
      <c r="H22" s="134">
        <v>22342412</v>
      </c>
      <c r="I22" s="134">
        <v>0</v>
      </c>
      <c r="J22" s="134">
        <v>29946087</v>
      </c>
    </row>
    <row r="23" spans="1:15" ht="28.5" customHeight="1">
      <c r="A23" s="238" t="s">
        <v>76</v>
      </c>
      <c r="B23" s="126" t="s">
        <v>407</v>
      </c>
      <c r="C23" s="134">
        <v>1391996</v>
      </c>
      <c r="D23" s="134">
        <v>18657324</v>
      </c>
      <c r="E23" s="134">
        <v>0</v>
      </c>
      <c r="F23" s="134">
        <v>11325380</v>
      </c>
      <c r="G23" s="134">
        <v>0</v>
      </c>
      <c r="H23" s="134">
        <v>7330944</v>
      </c>
      <c r="I23" s="134">
        <v>0</v>
      </c>
      <c r="J23" s="134">
        <v>1686846</v>
      </c>
    </row>
    <row r="24" spans="1:15" ht="28.5" customHeight="1">
      <c r="A24" s="238" t="s">
        <v>111</v>
      </c>
      <c r="B24" s="126" t="s">
        <v>408</v>
      </c>
      <c r="C24" s="134">
        <v>568702075</v>
      </c>
      <c r="D24" s="134">
        <v>33588316</v>
      </c>
      <c r="E24" s="134">
        <v>0</v>
      </c>
      <c r="F24" s="134">
        <v>449435785</v>
      </c>
      <c r="G24" s="134">
        <v>0</v>
      </c>
      <c r="H24" s="134">
        <v>125847469</v>
      </c>
      <c r="I24" s="134">
        <v>0</v>
      </c>
      <c r="J24" s="134">
        <v>598021181</v>
      </c>
    </row>
    <row r="25" spans="1:15" ht="19.5" customHeight="1">
      <c r="A25" s="133">
        <v>3</v>
      </c>
      <c r="B25" s="133" t="s">
        <v>166</v>
      </c>
      <c r="C25" s="133">
        <f>+C18+C8</f>
        <v>1313225148</v>
      </c>
      <c r="D25" s="133">
        <f t="shared" ref="D25:J25" si="2">+D18+D8</f>
        <v>581609436.98940313</v>
      </c>
      <c r="E25" s="133">
        <f t="shared" si="2"/>
        <v>270198228</v>
      </c>
      <c r="F25" s="133">
        <f t="shared" si="2"/>
        <v>516781548</v>
      </c>
      <c r="G25" s="133">
        <f t="shared" si="2"/>
        <v>9077003</v>
      </c>
      <c r="H25" s="133">
        <f t="shared" si="2"/>
        <v>624058758.86919475</v>
      </c>
      <c r="I25" s="133">
        <f t="shared" si="2"/>
        <v>260957545</v>
      </c>
      <c r="J25" s="133">
        <f t="shared" si="2"/>
        <v>1438908678</v>
      </c>
      <c r="L25" s="423">
        <f>+'loans type'!Y8</f>
        <v>1438908678</v>
      </c>
    </row>
    <row r="26" spans="1:15">
      <c r="B26" s="120"/>
      <c r="C26" s="120"/>
      <c r="D26" s="120"/>
      <c r="E26" s="120"/>
      <c r="F26" s="120"/>
      <c r="G26" s="120"/>
      <c r="H26" s="120"/>
      <c r="I26" s="120"/>
      <c r="J26" s="120"/>
    </row>
    <row r="27" spans="1:15" s="24" customFormat="1" ht="16.5" customHeight="1">
      <c r="A27" s="123" t="s">
        <v>412</v>
      </c>
      <c r="B27" s="123"/>
      <c r="C27" s="123"/>
      <c r="G27" s="128"/>
      <c r="H27" s="116"/>
      <c r="L27" s="421"/>
      <c r="M27" s="322"/>
      <c r="N27" s="17"/>
      <c r="O27" s="17"/>
    </row>
    <row r="28" spans="1:15" s="99" customFormat="1" ht="33.75" customHeight="1">
      <c r="A28" s="647" t="s">
        <v>23</v>
      </c>
      <c r="B28" s="636" t="s">
        <v>391</v>
      </c>
      <c r="C28" s="636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"&amp;DAY(G3)&amp;"."&amp;IF(LEN(MONTH(G3))&lt;2,"0"&amp;MONTH(G3),MONTH(G3))&amp;"."&amp;YEAR(G3)-1&amp;"г"</f>
        <v>Кредитлар, лизинглар ва факторинглар бўйича эҳтимолий йўқотишларга қарши захиралар 30.12.2024г</v>
      </c>
      <c r="D28" s="621" t="s">
        <v>719</v>
      </c>
      <c r="E28" s="650"/>
      <c r="F28" s="650"/>
      <c r="G28" s="622"/>
      <c r="H28" s="636" t="s">
        <v>411</v>
      </c>
      <c r="I28" s="636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"&amp;DAY(G3)&amp;"."&amp;IF(LEN(MONTH(G3))&lt;2,"0"&amp;MONTH(G3),MONTH(G3))&amp;"."&amp;YEAR(G3)&amp;"г"</f>
        <v>Кредитлар, лизинглар ва факторинглар бўйича эҳтимолий йўқотишларга қарши захиралар 30.12.2025г</v>
      </c>
      <c r="L28" s="421"/>
      <c r="M28" s="323"/>
    </row>
    <row r="29" spans="1:15" s="99" customFormat="1" ht="28.5" customHeight="1">
      <c r="A29" s="648"/>
      <c r="B29" s="637"/>
      <c r="C29" s="637"/>
      <c r="D29" s="621" t="s">
        <v>409</v>
      </c>
      <c r="E29" s="622"/>
      <c r="F29" s="621" t="s">
        <v>410</v>
      </c>
      <c r="G29" s="622"/>
      <c r="H29" s="637"/>
      <c r="I29" s="637"/>
      <c r="L29" s="421"/>
      <c r="M29" s="323"/>
    </row>
    <row r="30" spans="1:15" s="99" customFormat="1" ht="78" customHeight="1">
      <c r="A30" s="649"/>
      <c r="B30" s="638"/>
      <c r="C30" s="638"/>
      <c r="D30" s="133" t="s">
        <v>166</v>
      </c>
      <c r="E30" s="133" t="s">
        <v>395</v>
      </c>
      <c r="F30" s="133" t="s">
        <v>166</v>
      </c>
      <c r="G30" s="133" t="s">
        <v>395</v>
      </c>
      <c r="H30" s="638"/>
      <c r="I30" s="638"/>
      <c r="L30" s="421"/>
      <c r="M30" s="323"/>
    </row>
    <row r="31" spans="1:15" ht="19.5" customHeight="1">
      <c r="A31" s="133"/>
      <c r="B31" s="133" t="s">
        <v>40</v>
      </c>
      <c r="C31" s="133" t="s">
        <v>41</v>
      </c>
      <c r="D31" s="133" t="s">
        <v>51</v>
      </c>
      <c r="E31" s="133" t="s">
        <v>42</v>
      </c>
      <c r="F31" s="133" t="s">
        <v>43</v>
      </c>
      <c r="G31" s="133" t="s">
        <v>52</v>
      </c>
      <c r="H31" s="133" t="s">
        <v>44</v>
      </c>
      <c r="I31" s="133" t="s">
        <v>45</v>
      </c>
    </row>
    <row r="32" spans="1:15" ht="19.5" customHeight="1">
      <c r="A32" s="133">
        <v>1</v>
      </c>
      <c r="B32" s="133" t="s">
        <v>396</v>
      </c>
      <c r="C32" s="133">
        <f>SUM(C34:C41)</f>
        <v>491121500</v>
      </c>
      <c r="D32" s="133">
        <f t="shared" ref="D32:H32" si="3">SUM(D34:D41)</f>
        <v>646479457.18146241</v>
      </c>
      <c r="E32" s="133">
        <f t="shared" si="3"/>
        <v>36219022.591365792</v>
      </c>
      <c r="F32" s="133">
        <f t="shared" si="3"/>
        <v>830923179.49684238</v>
      </c>
      <c r="G32" s="133">
        <f t="shared" si="3"/>
        <v>220919003.50080022</v>
      </c>
      <c r="H32" s="133">
        <f t="shared" si="3"/>
        <v>0</v>
      </c>
      <c r="I32" s="133">
        <f>SUM(I34:I41)</f>
        <v>118619077</v>
      </c>
      <c r="L32" s="422">
        <f>+'Asset Classification'!Y31-'Asset Classification'!Y13</f>
        <v>118619077</v>
      </c>
    </row>
    <row r="33" spans="1:12" ht="19.5" customHeight="1">
      <c r="A33" s="48"/>
      <c r="B33" s="237" t="s">
        <v>266</v>
      </c>
      <c r="C33" s="126"/>
      <c r="D33" s="127"/>
      <c r="E33" s="127"/>
      <c r="F33" s="127"/>
      <c r="G33" s="127"/>
      <c r="H33" s="127"/>
      <c r="I33" s="127"/>
    </row>
    <row r="34" spans="1:12" ht="28.5" customHeight="1">
      <c r="A34" s="238" t="s">
        <v>67</v>
      </c>
      <c r="B34" s="126" t="s">
        <v>397</v>
      </c>
      <c r="C34" s="134">
        <v>132060893</v>
      </c>
      <c r="D34" s="134">
        <v>87328941</v>
      </c>
      <c r="E34" s="134">
        <v>23978685.576100174</v>
      </c>
      <c r="F34" s="134">
        <v>453091425.09586316</v>
      </c>
      <c r="G34" s="134">
        <v>46582464</v>
      </c>
      <c r="H34" s="134"/>
      <c r="I34" s="356">
        <v>30046560</v>
      </c>
    </row>
    <row r="35" spans="1:12" ht="28.5" customHeight="1">
      <c r="A35" s="238" t="s">
        <v>68</v>
      </c>
      <c r="B35" s="126" t="s">
        <v>398</v>
      </c>
      <c r="C35" s="134">
        <v>150730903</v>
      </c>
      <c r="D35" s="134">
        <v>5319782</v>
      </c>
      <c r="E35" s="134">
        <v>0</v>
      </c>
      <c r="F35" s="134">
        <v>54869573</v>
      </c>
      <c r="G35" s="134">
        <v>0</v>
      </c>
      <c r="H35" s="134"/>
      <c r="I35" s="356">
        <v>48802303</v>
      </c>
    </row>
    <row r="36" spans="1:12" ht="28.5" customHeight="1">
      <c r="A36" s="238" t="s">
        <v>69</v>
      </c>
      <c r="B36" s="126" t="s">
        <v>399</v>
      </c>
      <c r="C36" s="134">
        <v>8688459</v>
      </c>
      <c r="D36" s="134">
        <v>42098889</v>
      </c>
      <c r="E36" s="134">
        <v>8343131.2255071141</v>
      </c>
      <c r="F36" s="134">
        <v>47309181.449082054</v>
      </c>
      <c r="G36" s="134">
        <v>4566254</v>
      </c>
      <c r="H36" s="134"/>
      <c r="I36" s="356">
        <v>2568992</v>
      </c>
    </row>
    <row r="37" spans="1:12" ht="28.5" customHeight="1">
      <c r="A37" s="238" t="s">
        <v>70</v>
      </c>
      <c r="B37" s="126" t="s">
        <v>400</v>
      </c>
      <c r="C37" s="134">
        <v>62360105</v>
      </c>
      <c r="D37" s="134">
        <v>46695756.294302709</v>
      </c>
      <c r="E37" s="134">
        <v>0</v>
      </c>
      <c r="F37" s="134">
        <v>53862254.521256417</v>
      </c>
      <c r="G37" s="134">
        <v>0</v>
      </c>
      <c r="H37" s="134"/>
      <c r="I37" s="356">
        <v>4752066</v>
      </c>
    </row>
    <row r="38" spans="1:12" ht="28.5" customHeight="1">
      <c r="A38" s="238" t="s">
        <v>71</v>
      </c>
      <c r="B38" s="126" t="s">
        <v>401</v>
      </c>
      <c r="C38" s="134">
        <v>96415204</v>
      </c>
      <c r="D38" s="134">
        <v>268838536.13417017</v>
      </c>
      <c r="E38" s="134">
        <v>0</v>
      </c>
      <c r="F38" s="134">
        <v>0</v>
      </c>
      <c r="G38" s="134">
        <v>0</v>
      </c>
      <c r="H38" s="134"/>
      <c r="I38" s="356">
        <v>18257155</v>
      </c>
    </row>
    <row r="39" spans="1:12" ht="28.5" customHeight="1">
      <c r="A39" s="238" t="s">
        <v>83</v>
      </c>
      <c r="B39" s="126" t="s">
        <v>402</v>
      </c>
      <c r="C39" s="134">
        <v>10439858</v>
      </c>
      <c r="D39" s="134">
        <v>77997757.189047813</v>
      </c>
      <c r="E39" s="134">
        <v>2729921.5016166735</v>
      </c>
      <c r="F39" s="134">
        <v>60632244.821714364</v>
      </c>
      <c r="G39" s="134">
        <v>169770285.50080022</v>
      </c>
      <c r="H39" s="134"/>
      <c r="I39" s="356">
        <v>1827907</v>
      </c>
    </row>
    <row r="40" spans="1:12" ht="28.5" customHeight="1">
      <c r="A40" s="238" t="s">
        <v>151</v>
      </c>
      <c r="B40" s="126" t="s">
        <v>403</v>
      </c>
      <c r="C40" s="134">
        <v>30426078</v>
      </c>
      <c r="D40" s="134">
        <v>84848815.902746618</v>
      </c>
      <c r="E40" s="134">
        <v>0</v>
      </c>
      <c r="F40" s="134">
        <v>161158500.60892636</v>
      </c>
      <c r="G40" s="134">
        <v>0</v>
      </c>
      <c r="H40" s="134"/>
      <c r="I40" s="356">
        <v>12364094</v>
      </c>
    </row>
    <row r="41" spans="1:12" ht="28.5" customHeight="1">
      <c r="A41" s="238" t="s">
        <v>152</v>
      </c>
      <c r="B41" s="126" t="s">
        <v>404</v>
      </c>
      <c r="C41" s="134">
        <v>0</v>
      </c>
      <c r="D41" s="134">
        <v>33350979.661195215</v>
      </c>
      <c r="E41" s="134">
        <v>1167284.2881418327</v>
      </c>
      <c r="F41" s="134">
        <v>0</v>
      </c>
      <c r="G41" s="134">
        <v>0</v>
      </c>
      <c r="H41" s="134"/>
      <c r="I41" s="356">
        <v>0</v>
      </c>
    </row>
    <row r="42" spans="1:12" ht="19.5" customHeight="1">
      <c r="A42" s="133">
        <v>2</v>
      </c>
      <c r="B42" s="133" t="s">
        <v>329</v>
      </c>
      <c r="C42" s="133">
        <f>SUM(C44:C48)</f>
        <v>630019</v>
      </c>
      <c r="D42" s="133">
        <f t="shared" ref="D42:H42" si="4">SUM(D44:D48)</f>
        <v>1772614</v>
      </c>
      <c r="E42" s="133">
        <f t="shared" si="4"/>
        <v>0</v>
      </c>
      <c r="F42" s="133">
        <f t="shared" si="4"/>
        <v>1894700</v>
      </c>
      <c r="G42" s="133">
        <f t="shared" si="4"/>
        <v>0</v>
      </c>
      <c r="H42" s="133">
        <f t="shared" si="4"/>
        <v>0</v>
      </c>
      <c r="I42" s="133">
        <f>SUM(I44:I48)</f>
        <v>9077535</v>
      </c>
      <c r="L42" s="422">
        <f>+'Asset Classification'!Y13</f>
        <v>9077535</v>
      </c>
    </row>
    <row r="43" spans="1:12" ht="19.5" customHeight="1">
      <c r="A43" s="48"/>
      <c r="B43" s="237" t="s">
        <v>266</v>
      </c>
      <c r="C43" s="129"/>
      <c r="D43" s="35"/>
      <c r="E43" s="35"/>
      <c r="F43" s="35"/>
      <c r="G43" s="35"/>
      <c r="H43" s="35"/>
      <c r="I43" s="35"/>
    </row>
    <row r="44" spans="1:12" ht="28.5" customHeight="1">
      <c r="A44" s="238" t="s">
        <v>73</v>
      </c>
      <c r="B44" s="126" t="s">
        <v>405</v>
      </c>
      <c r="C44" s="134">
        <v>217188</v>
      </c>
      <c r="D44" s="134">
        <v>214823</v>
      </c>
      <c r="E44" s="134">
        <v>0</v>
      </c>
      <c r="F44" s="134">
        <v>131295</v>
      </c>
      <c r="G44" s="134">
        <v>0</v>
      </c>
      <c r="H44" s="134"/>
      <c r="I44" s="134">
        <v>995528</v>
      </c>
    </row>
    <row r="45" spans="1:12" ht="28.5" customHeight="1">
      <c r="A45" s="238" t="s">
        <v>74</v>
      </c>
      <c r="B45" s="126" t="s">
        <v>110</v>
      </c>
      <c r="C45" s="134">
        <v>211097</v>
      </c>
      <c r="D45" s="134">
        <v>995623</v>
      </c>
      <c r="E45" s="134">
        <v>0</v>
      </c>
      <c r="F45" s="134">
        <v>515486</v>
      </c>
      <c r="G45" s="134">
        <v>0</v>
      </c>
      <c r="H45" s="134"/>
      <c r="I45" s="134">
        <v>1518518</v>
      </c>
    </row>
    <row r="46" spans="1:12" ht="28.5" customHeight="1">
      <c r="A46" s="238" t="s">
        <v>75</v>
      </c>
      <c r="B46" s="126" t="s">
        <v>406</v>
      </c>
      <c r="C46" s="134">
        <v>52670</v>
      </c>
      <c r="D46" s="134">
        <v>51473</v>
      </c>
      <c r="E46" s="134">
        <v>0</v>
      </c>
      <c r="F46" s="134">
        <v>456483</v>
      </c>
      <c r="G46" s="134">
        <v>0</v>
      </c>
      <c r="H46" s="134"/>
      <c r="I46" s="134">
        <v>1120119</v>
      </c>
    </row>
    <row r="47" spans="1:12" ht="28.5" customHeight="1">
      <c r="A47" s="238" t="s">
        <v>76</v>
      </c>
      <c r="B47" s="126" t="s">
        <v>407</v>
      </c>
      <c r="C47" s="134">
        <v>5083</v>
      </c>
      <c r="D47" s="134">
        <v>26480</v>
      </c>
      <c r="E47" s="134">
        <v>0</v>
      </c>
      <c r="F47" s="134">
        <v>89486</v>
      </c>
      <c r="G47" s="134">
        <v>0</v>
      </c>
      <c r="H47" s="134"/>
      <c r="I47" s="134">
        <v>31276</v>
      </c>
    </row>
    <row r="48" spans="1:12" ht="28.5" customHeight="1">
      <c r="A48" s="238" t="s">
        <v>111</v>
      </c>
      <c r="B48" s="126" t="s">
        <v>408</v>
      </c>
      <c r="C48" s="134">
        <v>143981</v>
      </c>
      <c r="D48" s="134">
        <v>484215</v>
      </c>
      <c r="E48" s="134">
        <v>0</v>
      </c>
      <c r="F48" s="134">
        <v>701950</v>
      </c>
      <c r="G48" s="134">
        <v>0</v>
      </c>
      <c r="H48" s="134"/>
      <c r="I48" s="134">
        <v>5412094</v>
      </c>
    </row>
    <row r="49" spans="1:13" ht="19.5" customHeight="1">
      <c r="A49" s="133">
        <v>3</v>
      </c>
      <c r="B49" s="133" t="s">
        <v>166</v>
      </c>
      <c r="C49" s="133">
        <f>+C42+C32</f>
        <v>491751519</v>
      </c>
      <c r="D49" s="133">
        <f t="shared" ref="D49:H49" si="5">+D42+D32</f>
        <v>648252071.18146241</v>
      </c>
      <c r="E49" s="133">
        <f t="shared" si="5"/>
        <v>36219022.591365792</v>
      </c>
      <c r="F49" s="133">
        <f t="shared" si="5"/>
        <v>832817879.49684238</v>
      </c>
      <c r="G49" s="133">
        <f t="shared" si="5"/>
        <v>220919003.50080022</v>
      </c>
      <c r="H49" s="133">
        <f t="shared" si="5"/>
        <v>0</v>
      </c>
      <c r="I49" s="133">
        <f>+I42+I32</f>
        <v>127696612</v>
      </c>
      <c r="L49" s="422">
        <f>+'Asset Classification'!Y31</f>
        <v>127696612</v>
      </c>
      <c r="M49" s="422">
        <f>+[8]Balance!$C$26</f>
        <v>127696612</v>
      </c>
    </row>
    <row r="51" spans="1:13" s="24" customFormat="1" ht="18.75" customHeight="1">
      <c r="B51" s="98" t="s">
        <v>690</v>
      </c>
      <c r="F51" s="81"/>
      <c r="G51" s="81"/>
      <c r="H51" s="81"/>
      <c r="I51" s="81"/>
      <c r="J51" s="81"/>
      <c r="K51" s="81"/>
      <c r="L51" s="424"/>
      <c r="M51" s="424"/>
    </row>
    <row r="52" spans="1:13" s="24" customFormat="1" ht="11.25" customHeight="1">
      <c r="B52" s="98"/>
      <c r="F52" s="81"/>
      <c r="G52" s="81"/>
      <c r="H52" s="81"/>
      <c r="I52" s="81"/>
      <c r="J52" s="81"/>
      <c r="K52" s="81"/>
      <c r="L52" s="424"/>
      <c r="M52" s="424"/>
    </row>
    <row r="53" spans="1:13" s="24" customFormat="1" ht="18.75" customHeight="1">
      <c r="B53" s="98" t="s">
        <v>691</v>
      </c>
      <c r="F53" s="81"/>
      <c r="G53" s="81"/>
      <c r="H53" s="81"/>
      <c r="I53" s="81"/>
      <c r="J53" s="81"/>
      <c r="K53" s="81"/>
      <c r="L53" s="424"/>
      <c r="M53" s="424"/>
    </row>
  </sheetData>
  <sheetProtection password="CACA" sheet="1" objects="1" scenarios="1"/>
  <mergeCells count="18">
    <mergeCell ref="A1:I1"/>
    <mergeCell ref="A4:A6"/>
    <mergeCell ref="B4:B6"/>
    <mergeCell ref="C4:C6"/>
    <mergeCell ref="D4:I4"/>
    <mergeCell ref="J4:J6"/>
    <mergeCell ref="D5:E5"/>
    <mergeCell ref="F5:G5"/>
    <mergeCell ref="H5:I5"/>
    <mergeCell ref="G3:H3"/>
    <mergeCell ref="I28:I30"/>
    <mergeCell ref="D29:E29"/>
    <mergeCell ref="F29:G29"/>
    <mergeCell ref="A28:A30"/>
    <mergeCell ref="B28:B30"/>
    <mergeCell ref="C28:C30"/>
    <mergeCell ref="D28:G28"/>
    <mergeCell ref="H28:H30"/>
  </mergeCells>
  <phoneticPr fontId="14" type="noConversion"/>
  <conditionalFormatting sqref="I32">
    <cfRule type="cellIs" dxfId="95" priority="2" operator="notEqual">
      <formula>$L$32</formula>
    </cfRule>
  </conditionalFormatting>
  <conditionalFormatting sqref="I42">
    <cfRule type="cellIs" dxfId="94" priority="3" operator="notEqual">
      <formula>$L$42</formula>
    </cfRule>
  </conditionalFormatting>
  <conditionalFormatting sqref="I49">
    <cfRule type="cellIs" dxfId="93" priority="1" operator="notEqual">
      <formula>$M$49</formula>
    </cfRule>
    <cfRule type="cellIs" dxfId="92" priority="4" operator="notEqual">
      <formula>$L$49</formula>
    </cfRule>
  </conditionalFormatting>
  <conditionalFormatting sqref="J8">
    <cfRule type="cellIs" dxfId="91" priority="5" operator="notEqual">
      <formula>$L$8</formula>
    </cfRule>
  </conditionalFormatting>
  <conditionalFormatting sqref="J18">
    <cfRule type="cellIs" dxfId="90" priority="6" operator="notEqual">
      <formula>$L$18</formula>
    </cfRule>
  </conditionalFormatting>
  <conditionalFormatting sqref="J25">
    <cfRule type="cellIs" dxfId="89" priority="7" operator="notEqual">
      <formula>$L$25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2" orientation="portrait" r:id="rId1"/>
  <headerFooter alignWithMargins="0"/>
  <ignoredErrors>
    <ignoredError sqref="H49 H18:I19 J18:J19 H25:J26 H42:H43 I42:I43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M63"/>
  <sheetViews>
    <sheetView view="pageBreakPreview" zoomScaleNormal="75" zoomScaleSheetLayoutView="100" workbookViewId="0">
      <pane xSplit="4" ySplit="7" topLeftCell="E35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C52" sqref="C52"/>
    </sheetView>
  </sheetViews>
  <sheetFormatPr defaultRowHeight="15.75"/>
  <cols>
    <col min="1" max="1" width="10.140625" style="25" customWidth="1"/>
    <col min="2" max="2" width="53" style="25" customWidth="1"/>
    <col min="3" max="3" width="19.140625" style="445" customWidth="1"/>
    <col min="4" max="4" width="12.28515625" style="38" customWidth="1"/>
    <col min="5" max="5" width="19.140625" style="445" customWidth="1"/>
    <col min="6" max="6" width="12.28515625" style="25" customWidth="1"/>
    <col min="7" max="7" width="19.140625" style="445" customWidth="1"/>
    <col min="8" max="8" width="13.85546875" style="25" customWidth="1"/>
    <col min="9" max="9" width="9.140625" style="25"/>
    <col min="10" max="12" width="16.85546875" style="25" customWidth="1"/>
    <col min="13" max="16384" width="9.140625" style="25"/>
  </cols>
  <sheetData>
    <row r="1" spans="1:12" s="27" customFormat="1" ht="37.5" customHeight="1">
      <c r="A1" s="658" t="s">
        <v>414</v>
      </c>
      <c r="B1" s="658"/>
      <c r="C1" s="658"/>
      <c r="D1" s="658"/>
      <c r="E1" s="658"/>
      <c r="F1" s="658"/>
      <c r="G1" s="658"/>
      <c r="H1" s="13" t="s">
        <v>413</v>
      </c>
    </row>
    <row r="2" spans="1:12" ht="19.5" customHeight="1">
      <c r="B2" s="659"/>
      <c r="C2" s="659"/>
      <c r="D2" s="659"/>
      <c r="E2" s="659"/>
      <c r="F2" s="659"/>
      <c r="G2" s="659"/>
      <c r="H2" s="659"/>
    </row>
    <row r="3" spans="1:12" ht="19.5" customHeight="1">
      <c r="B3" s="548" t="str">
        <f>+'Asset quality'!B3</f>
        <v>MKBANK</v>
      </c>
      <c r="C3" s="434"/>
      <c r="D3" s="239"/>
      <c r="F3" s="642">
        <f>+'Asset quality'!Q3</f>
        <v>46021</v>
      </c>
      <c r="G3" s="642"/>
      <c r="H3" s="240" t="str">
        <f>+'Asset quality'!T3</f>
        <v>минг. сўмда</v>
      </c>
    </row>
    <row r="4" spans="1:12" s="26" customFormat="1" ht="29.25" customHeight="1">
      <c r="A4" s="647" t="s">
        <v>23</v>
      </c>
      <c r="B4" s="647" t="s">
        <v>415</v>
      </c>
      <c r="C4" s="660" t="s">
        <v>416</v>
      </c>
      <c r="D4" s="661"/>
      <c r="E4" s="664" t="s">
        <v>417</v>
      </c>
      <c r="F4" s="665"/>
      <c r="G4" s="665"/>
      <c r="H4" s="666"/>
    </row>
    <row r="5" spans="1:12" s="26" customFormat="1" ht="30" customHeight="1">
      <c r="A5" s="648"/>
      <c r="B5" s="648"/>
      <c r="C5" s="662"/>
      <c r="D5" s="663"/>
      <c r="E5" s="664" t="s">
        <v>217</v>
      </c>
      <c r="F5" s="666"/>
      <c r="G5" s="664" t="s">
        <v>418</v>
      </c>
      <c r="H5" s="666"/>
    </row>
    <row r="6" spans="1:12" s="26" customFormat="1" ht="72.75" customHeight="1">
      <c r="A6" s="648"/>
      <c r="B6" s="649"/>
      <c r="C6" s="435" t="s">
        <v>419</v>
      </c>
      <c r="D6" s="241" t="s">
        <v>420</v>
      </c>
      <c r="E6" s="435" t="s">
        <v>419</v>
      </c>
      <c r="F6" s="241" t="s">
        <v>420</v>
      </c>
      <c r="G6" s="435" t="s">
        <v>419</v>
      </c>
      <c r="H6" s="241" t="s">
        <v>420</v>
      </c>
    </row>
    <row r="7" spans="1:12" s="26" customFormat="1">
      <c r="A7" s="649"/>
      <c r="B7" s="241" t="s">
        <v>40</v>
      </c>
      <c r="C7" s="435" t="s">
        <v>41</v>
      </c>
      <c r="D7" s="241" t="s">
        <v>51</v>
      </c>
      <c r="E7" s="435" t="s">
        <v>42</v>
      </c>
      <c r="F7" s="241" t="s">
        <v>43</v>
      </c>
      <c r="G7" s="435" t="s">
        <v>52</v>
      </c>
      <c r="H7" s="241" t="s">
        <v>44</v>
      </c>
    </row>
    <row r="8" spans="1:12" s="26" customFormat="1" ht="24" customHeight="1">
      <c r="A8" s="242">
        <v>1</v>
      </c>
      <c r="B8" s="243" t="s">
        <v>421</v>
      </c>
      <c r="C8" s="436">
        <f>SUM(C10:C16)</f>
        <v>4421864078</v>
      </c>
      <c r="D8" s="244">
        <f>IFERROR(((C10*D10)/C8)+((C11*D11)/C8)+((C12*D12)/C8)+((C13*D13)/C8)+((C14*D14)/C8)+((C15*D15)/C8)+((C16*D16)/C8),0)</f>
        <v>0.16410908720918443</v>
      </c>
      <c r="E8" s="436">
        <f>SUM(E10:E16)</f>
        <v>4421864078</v>
      </c>
      <c r="F8" s="244">
        <f>IFERROR(((E10*F10)/E8)+((E11*F11)/E8)+((E12*F12)/E8)+((E13*F13)/E8)+((E14*F14)/E8)+((E15*F15)/E8)+((E16*F16)/E8),0)</f>
        <v>0.16410908720918443</v>
      </c>
      <c r="G8" s="436">
        <f>SUM(G10:G16)</f>
        <v>0</v>
      </c>
      <c r="H8" s="244">
        <f>IFERROR(((G10*H10)/G8)+((G11*H11)/G8)+((G12*H12)/G8)+((G13*H13)/G8)+((G14*H14)/G8)+((G15*H15)/G8)+((G16*H16)/G8),0)</f>
        <v>0</v>
      </c>
      <c r="J8" s="318">
        <f>+C8+C18+C28+C37</f>
        <v>20277891345</v>
      </c>
      <c r="K8" s="318">
        <f>+E8+E18+E28+E37</f>
        <v>16539892398</v>
      </c>
      <c r="L8" s="318">
        <f>+G8+G18+G28+G37</f>
        <v>3737998947</v>
      </c>
    </row>
    <row r="9" spans="1:12" s="26" customFormat="1" ht="17.25" customHeight="1">
      <c r="A9" s="242"/>
      <c r="B9" s="245" t="s">
        <v>422</v>
      </c>
      <c r="C9" s="437"/>
      <c r="D9" s="36"/>
      <c r="E9" s="437"/>
      <c r="F9" s="36"/>
      <c r="G9" s="437"/>
      <c r="H9" s="36"/>
      <c r="J9" s="318">
        <f>+'loans type'!C8</f>
        <v>20277891345</v>
      </c>
      <c r="K9" s="318">
        <f>+'loans type'!E8</f>
        <v>16539892398</v>
      </c>
      <c r="L9" s="318">
        <f>+'loans type'!G8</f>
        <v>3737998947</v>
      </c>
    </row>
    <row r="10" spans="1:12" s="26" customFormat="1" ht="24" customHeight="1">
      <c r="A10" s="238" t="s">
        <v>67</v>
      </c>
      <c r="B10" s="246" t="s">
        <v>405</v>
      </c>
      <c r="C10" s="437">
        <f>+E10+G10</f>
        <v>909660952</v>
      </c>
      <c r="D10" s="354">
        <f>IFERROR((((E10*F10)+(G10*H10))/C10),0)</f>
        <v>0.1673830264018947</v>
      </c>
      <c r="E10" s="446">
        <v>909660952</v>
      </c>
      <c r="F10" s="247">
        <v>0.1673830264018947</v>
      </c>
      <c r="G10" s="446">
        <v>0</v>
      </c>
      <c r="H10" s="247">
        <v>0</v>
      </c>
      <c r="J10" s="318">
        <f>+J8-J9</f>
        <v>0</v>
      </c>
      <c r="K10" s="318">
        <f t="shared" ref="K10:L10" si="0">+K8-K9</f>
        <v>0</v>
      </c>
      <c r="L10" s="318">
        <f t="shared" si="0"/>
        <v>0</v>
      </c>
    </row>
    <row r="11" spans="1:12" s="26" customFormat="1" ht="24" customHeight="1">
      <c r="A11" s="238" t="s">
        <v>68</v>
      </c>
      <c r="B11" s="246" t="s">
        <v>110</v>
      </c>
      <c r="C11" s="437">
        <f t="shared" ref="C11:C16" si="1">+E11+G11</f>
        <v>10187990</v>
      </c>
      <c r="D11" s="354">
        <f t="shared" ref="D11:D16" si="2">IFERROR((((E11*F11)+(G11*H11))/C11),0)</f>
        <v>7.2758603368850164E-2</v>
      </c>
      <c r="E11" s="446">
        <v>10187990</v>
      </c>
      <c r="F11" s="247">
        <v>7.2758603368850164E-2</v>
      </c>
      <c r="G11" s="446">
        <v>0</v>
      </c>
      <c r="H11" s="247">
        <v>0</v>
      </c>
    </row>
    <row r="12" spans="1:12" s="26" customFormat="1" ht="24" customHeight="1">
      <c r="A12" s="238" t="s">
        <v>69</v>
      </c>
      <c r="B12" s="246" t="s">
        <v>423</v>
      </c>
      <c r="C12" s="437">
        <f t="shared" si="1"/>
        <v>1139306</v>
      </c>
      <c r="D12" s="354">
        <f t="shared" si="2"/>
        <v>0.12227290672386887</v>
      </c>
      <c r="E12" s="446">
        <v>1139306</v>
      </c>
      <c r="F12" s="247">
        <v>0.12227290672386887</v>
      </c>
      <c r="G12" s="446">
        <v>0</v>
      </c>
      <c r="H12" s="247">
        <v>0</v>
      </c>
    </row>
    <row r="13" spans="1:12" s="26" customFormat="1" ht="24" customHeight="1">
      <c r="A13" s="238" t="s">
        <v>70</v>
      </c>
      <c r="B13" s="246" t="s">
        <v>407</v>
      </c>
      <c r="C13" s="437">
        <f t="shared" si="1"/>
        <v>8422152</v>
      </c>
      <c r="D13" s="354">
        <f t="shared" si="2"/>
        <v>0.14997046399388864</v>
      </c>
      <c r="E13" s="446">
        <v>8422152</v>
      </c>
      <c r="F13" s="247">
        <v>0.14997046399388864</v>
      </c>
      <c r="G13" s="446">
        <v>0</v>
      </c>
      <c r="H13" s="247">
        <v>0</v>
      </c>
    </row>
    <row r="14" spans="1:12" s="26" customFormat="1" ht="24" customHeight="1">
      <c r="A14" s="238" t="s">
        <v>71</v>
      </c>
      <c r="B14" s="246" t="s">
        <v>449</v>
      </c>
      <c r="C14" s="437">
        <f t="shared" si="1"/>
        <v>432481108</v>
      </c>
      <c r="D14" s="354">
        <f t="shared" si="2"/>
        <v>0.13901127469589394</v>
      </c>
      <c r="E14" s="446">
        <v>432481108</v>
      </c>
      <c r="F14" s="247">
        <v>0.13901127469589394</v>
      </c>
      <c r="G14" s="446">
        <v>0</v>
      </c>
      <c r="H14" s="247">
        <v>0</v>
      </c>
    </row>
    <row r="15" spans="1:12" s="26" customFormat="1" ht="33.75" customHeight="1">
      <c r="A15" s="238" t="s">
        <v>83</v>
      </c>
      <c r="B15" s="246" t="s">
        <v>450</v>
      </c>
      <c r="C15" s="437">
        <f t="shared" si="1"/>
        <v>3059972570</v>
      </c>
      <c r="D15" s="354">
        <f t="shared" si="2"/>
        <v>0.16704165427542703</v>
      </c>
      <c r="E15" s="446">
        <v>3059972570</v>
      </c>
      <c r="F15" s="247">
        <v>0.16704165427542703</v>
      </c>
      <c r="G15" s="446">
        <v>0</v>
      </c>
      <c r="H15" s="247">
        <v>0</v>
      </c>
    </row>
    <row r="16" spans="1:12" s="26" customFormat="1" ht="24" customHeight="1">
      <c r="A16" s="238" t="s">
        <v>151</v>
      </c>
      <c r="B16" s="246" t="s">
        <v>408</v>
      </c>
      <c r="C16" s="437">
        <f t="shared" si="1"/>
        <v>0</v>
      </c>
      <c r="D16" s="354">
        <f t="shared" si="2"/>
        <v>0</v>
      </c>
      <c r="E16" s="446">
        <v>0</v>
      </c>
      <c r="F16" s="247">
        <v>0</v>
      </c>
      <c r="G16" s="446">
        <v>0</v>
      </c>
      <c r="H16" s="247">
        <v>0</v>
      </c>
    </row>
    <row r="17" spans="1:8" s="26" customFormat="1">
      <c r="A17" s="248"/>
      <c r="B17" s="249"/>
      <c r="C17" s="437"/>
      <c r="D17" s="39"/>
      <c r="E17" s="437"/>
      <c r="F17" s="39"/>
      <c r="G17" s="437"/>
      <c r="H17" s="39"/>
    </row>
    <row r="18" spans="1:8" s="26" customFormat="1" ht="24" customHeight="1">
      <c r="A18" s="248">
        <v>2</v>
      </c>
      <c r="B18" s="243" t="s">
        <v>424</v>
      </c>
      <c r="C18" s="436">
        <f>SUM(C20:C26)</f>
        <v>3997303738</v>
      </c>
      <c r="D18" s="244">
        <f>IFERROR(((C20*D20)/C18)+((C21*D21)/C18)+((C22*D22)/C18)+((C23*D23)/C18)+((C24*D24)/C18)+((C25*D25)/C18)+((C26*D26)/C18),0)</f>
        <v>0.24540989350729059</v>
      </c>
      <c r="E18" s="436">
        <f>SUM(E20:E26)</f>
        <v>3997303738</v>
      </c>
      <c r="F18" s="244">
        <f>IFERROR(((E20*F20)/E18)+((E21*F21)/E18)+((E22*F22)/E18)+((E23*F23)/E18)+((E24*F24)/E18)+((E25*F25)/E18)+((E26*F26)/E18),0)</f>
        <v>0.24540989350729059</v>
      </c>
      <c r="G18" s="436">
        <f>SUM(G20:G26)</f>
        <v>0</v>
      </c>
      <c r="H18" s="244">
        <f>IFERROR(((G20*H20)/G18)+((G21*H21)/G18)+((G22*H22)/G18)+((G23*H23)/G18)+((G24*H24)/G18)+((G25*H25)/G18)+((G26*H26)/G18),0)</f>
        <v>0</v>
      </c>
    </row>
    <row r="19" spans="1:8" s="26" customFormat="1" ht="17.25" customHeight="1">
      <c r="A19" s="248"/>
      <c r="B19" s="245" t="s">
        <v>422</v>
      </c>
      <c r="C19" s="437"/>
      <c r="D19" s="36"/>
      <c r="E19" s="437"/>
      <c r="F19" s="36"/>
      <c r="G19" s="437"/>
      <c r="H19" s="36"/>
    </row>
    <row r="20" spans="1:8" s="26" customFormat="1" ht="24" customHeight="1">
      <c r="A20" s="238" t="s">
        <v>73</v>
      </c>
      <c r="B20" s="246" t="s">
        <v>405</v>
      </c>
      <c r="C20" s="437">
        <f t="shared" ref="C20:C26" si="3">+E20+G20</f>
        <v>577897545</v>
      </c>
      <c r="D20" s="354">
        <f>IFERROR((((E20*F20)+(G20*H20))/C20),0)</f>
        <v>0.21930622579404932</v>
      </c>
      <c r="E20" s="446">
        <v>577897545</v>
      </c>
      <c r="F20" s="247">
        <v>0.21930622579404932</v>
      </c>
      <c r="G20" s="446">
        <v>0</v>
      </c>
      <c r="H20" s="247">
        <v>0</v>
      </c>
    </row>
    <row r="21" spans="1:8" s="26" customFormat="1" ht="24" customHeight="1">
      <c r="A21" s="238" t="s">
        <v>74</v>
      </c>
      <c r="B21" s="246" t="s">
        <v>110</v>
      </c>
      <c r="C21" s="437">
        <f t="shared" si="3"/>
        <v>710643371</v>
      </c>
      <c r="D21" s="354">
        <f t="shared" ref="D21:D26" si="4">IFERROR((((E21*F21)+(G21*H21))/C21),0)</f>
        <v>0.27512709334017638</v>
      </c>
      <c r="E21" s="446">
        <v>710643371</v>
      </c>
      <c r="F21" s="247">
        <v>0.27512709334017638</v>
      </c>
      <c r="G21" s="446">
        <v>0</v>
      </c>
      <c r="H21" s="247">
        <v>0</v>
      </c>
    </row>
    <row r="22" spans="1:8" s="26" customFormat="1" ht="24" customHeight="1">
      <c r="A22" s="238" t="s">
        <v>75</v>
      </c>
      <c r="B22" s="246" t="s">
        <v>423</v>
      </c>
      <c r="C22" s="437">
        <f t="shared" si="3"/>
        <v>1927616775</v>
      </c>
      <c r="D22" s="354">
        <f t="shared" si="4"/>
        <v>0.26775329945393317</v>
      </c>
      <c r="E22" s="446">
        <v>1927616775</v>
      </c>
      <c r="F22" s="247">
        <v>0.26775329945393317</v>
      </c>
      <c r="G22" s="446">
        <v>0</v>
      </c>
      <c r="H22" s="247">
        <v>0</v>
      </c>
    </row>
    <row r="23" spans="1:8" s="26" customFormat="1" ht="24" customHeight="1">
      <c r="A23" s="238" t="s">
        <v>76</v>
      </c>
      <c r="B23" s="246" t="s">
        <v>407</v>
      </c>
      <c r="C23" s="437">
        <f t="shared" si="3"/>
        <v>81395203</v>
      </c>
      <c r="D23" s="354">
        <f t="shared" si="4"/>
        <v>0.20442097710137366</v>
      </c>
      <c r="E23" s="446">
        <v>81395203</v>
      </c>
      <c r="F23" s="247">
        <v>0.20442097710137366</v>
      </c>
      <c r="G23" s="446">
        <v>0</v>
      </c>
      <c r="H23" s="247">
        <v>0</v>
      </c>
    </row>
    <row r="24" spans="1:8" s="26" customFormat="1" ht="24" customHeight="1">
      <c r="A24" s="238" t="s">
        <v>111</v>
      </c>
      <c r="B24" s="246" t="s">
        <v>449</v>
      </c>
      <c r="C24" s="437">
        <f t="shared" si="3"/>
        <v>57248</v>
      </c>
      <c r="D24" s="354">
        <f t="shared" si="4"/>
        <v>0.25545533392548669</v>
      </c>
      <c r="E24" s="446">
        <v>57248</v>
      </c>
      <c r="F24" s="247">
        <v>0.25545533392548669</v>
      </c>
      <c r="G24" s="446"/>
      <c r="H24" s="247"/>
    </row>
    <row r="25" spans="1:8" s="26" customFormat="1" ht="33.75" customHeight="1">
      <c r="A25" s="238" t="s">
        <v>693</v>
      </c>
      <c r="B25" s="246" t="s">
        <v>450</v>
      </c>
      <c r="C25" s="437">
        <f t="shared" si="3"/>
        <v>699693596</v>
      </c>
      <c r="D25" s="354">
        <f t="shared" si="4"/>
        <v>0.18000000000000282</v>
      </c>
      <c r="E25" s="446">
        <v>699693596</v>
      </c>
      <c r="F25" s="247">
        <v>0.18000000000000282</v>
      </c>
      <c r="G25" s="446"/>
      <c r="H25" s="247"/>
    </row>
    <row r="26" spans="1:8" s="26" customFormat="1" ht="24" customHeight="1">
      <c r="A26" s="238" t="s">
        <v>694</v>
      </c>
      <c r="B26" s="246" t="s">
        <v>408</v>
      </c>
      <c r="C26" s="437">
        <f t="shared" si="3"/>
        <v>0</v>
      </c>
      <c r="D26" s="354">
        <f t="shared" si="4"/>
        <v>0</v>
      </c>
      <c r="E26" s="446">
        <v>0</v>
      </c>
      <c r="F26" s="247">
        <v>0</v>
      </c>
      <c r="G26" s="446">
        <v>0</v>
      </c>
      <c r="H26" s="247">
        <v>0</v>
      </c>
    </row>
    <row r="27" spans="1:8" s="26" customFormat="1">
      <c r="A27" s="248"/>
      <c r="B27" s="249"/>
      <c r="C27" s="437"/>
      <c r="D27" s="39"/>
      <c r="E27" s="437"/>
      <c r="F27" s="39"/>
      <c r="G27" s="437"/>
      <c r="H27" s="39"/>
    </row>
    <row r="28" spans="1:8" s="26" customFormat="1" ht="36.75" customHeight="1">
      <c r="A28" s="248">
        <v>3</v>
      </c>
      <c r="B28" s="243" t="s">
        <v>425</v>
      </c>
      <c r="C28" s="436">
        <f>SUM(C30:C35)</f>
        <v>2305982364</v>
      </c>
      <c r="D28" s="244">
        <f>IFERROR(((C30*D30)/C28)+((C31*D31)/C28)+((C32*D32)/C28)+((C33*D33)/C28)+((C34*D34)/C28)+((C35*D35)/C28),0)</f>
        <v>0.11027265774178012</v>
      </c>
      <c r="E28" s="436">
        <f>SUM(E30:E35)</f>
        <v>2157111337</v>
      </c>
      <c r="F28" s="244">
        <f>IFERROR(((E30*F30)/E28)+((E31*F31)/E28)+((E32*F32)/E28)+((E33*F33)/E28)+((E34*F34)/E28)+((E35*F35)/E28),0)</f>
        <v>0.11733239050582028</v>
      </c>
      <c r="G28" s="436">
        <f>SUM(G30:G35)</f>
        <v>148871027</v>
      </c>
      <c r="H28" s="244">
        <f>IFERROR(((G30*H30)/G28)+((G31*H31)/G28)+((G32*H32)/G28)+((G33*H33)/G28)+((G34*H34)/G28)+((G35*H35)/G28),0)</f>
        <v>7.9785452580839449E-3</v>
      </c>
    </row>
    <row r="29" spans="1:8" s="26" customFormat="1">
      <c r="A29" s="248"/>
      <c r="B29" s="245" t="s">
        <v>422</v>
      </c>
      <c r="C29" s="437"/>
      <c r="D29" s="39"/>
      <c r="E29" s="437"/>
      <c r="F29" s="39"/>
      <c r="G29" s="437"/>
      <c r="H29" s="39"/>
    </row>
    <row r="30" spans="1:8" s="26" customFormat="1" ht="24" customHeight="1">
      <c r="A30" s="238" t="s">
        <v>77</v>
      </c>
      <c r="B30" s="249" t="s">
        <v>112</v>
      </c>
      <c r="C30" s="437">
        <f t="shared" ref="C30:C35" si="5">+E30+G30</f>
        <v>0</v>
      </c>
      <c r="D30" s="354">
        <f t="shared" ref="D30:D35" si="6">IFERROR((((E30*F30)+(G30*H30))/C30),0)</f>
        <v>0</v>
      </c>
      <c r="E30" s="446">
        <v>0</v>
      </c>
      <c r="F30" s="247">
        <v>0</v>
      </c>
      <c r="G30" s="446">
        <v>0</v>
      </c>
      <c r="H30" s="247">
        <v>0</v>
      </c>
    </row>
    <row r="31" spans="1:8" s="26" customFormat="1" ht="24" customHeight="1">
      <c r="A31" s="238" t="s">
        <v>78</v>
      </c>
      <c r="B31" s="249" t="s">
        <v>426</v>
      </c>
      <c r="C31" s="437">
        <f t="shared" si="5"/>
        <v>0</v>
      </c>
      <c r="D31" s="354">
        <f t="shared" si="6"/>
        <v>0</v>
      </c>
      <c r="E31" s="446">
        <v>0</v>
      </c>
      <c r="F31" s="247">
        <v>0</v>
      </c>
      <c r="G31" s="446">
        <v>0</v>
      </c>
      <c r="H31" s="247">
        <v>0</v>
      </c>
    </row>
    <row r="32" spans="1:8" s="26" customFormat="1" ht="24" customHeight="1">
      <c r="A32" s="238" t="s">
        <v>79</v>
      </c>
      <c r="B32" s="249" t="s">
        <v>113</v>
      </c>
      <c r="C32" s="437">
        <f t="shared" si="5"/>
        <v>0</v>
      </c>
      <c r="D32" s="354">
        <f t="shared" si="6"/>
        <v>0</v>
      </c>
      <c r="E32" s="446">
        <v>0</v>
      </c>
      <c r="F32" s="247">
        <v>0</v>
      </c>
      <c r="G32" s="446">
        <v>0</v>
      </c>
      <c r="H32" s="247">
        <v>0</v>
      </c>
    </row>
    <row r="33" spans="1:13" s="26" customFormat="1" ht="32.25" customHeight="1">
      <c r="A33" s="238" t="s">
        <v>80</v>
      </c>
      <c r="B33" s="249" t="s">
        <v>114</v>
      </c>
      <c r="C33" s="437">
        <f t="shared" si="5"/>
        <v>0</v>
      </c>
      <c r="D33" s="354">
        <f t="shared" si="6"/>
        <v>0</v>
      </c>
      <c r="E33" s="446">
        <v>0</v>
      </c>
      <c r="F33" s="247">
        <v>0</v>
      </c>
      <c r="G33" s="446">
        <v>0</v>
      </c>
      <c r="H33" s="247">
        <v>2.673090501118058E-2</v>
      </c>
    </row>
    <row r="34" spans="1:13" s="26" customFormat="1" ht="32.25" customHeight="1">
      <c r="A34" s="238" t="s">
        <v>81</v>
      </c>
      <c r="B34" s="249" t="s">
        <v>427</v>
      </c>
      <c r="C34" s="437">
        <f t="shared" si="5"/>
        <v>0</v>
      </c>
      <c r="D34" s="354">
        <f t="shared" si="6"/>
        <v>0</v>
      </c>
      <c r="E34" s="446">
        <v>0</v>
      </c>
      <c r="F34" s="247">
        <v>0</v>
      </c>
      <c r="G34" s="446">
        <v>0</v>
      </c>
      <c r="H34" s="247">
        <v>0</v>
      </c>
    </row>
    <row r="35" spans="1:13" s="26" customFormat="1" ht="32.25" customHeight="1">
      <c r="A35" s="238" t="s">
        <v>82</v>
      </c>
      <c r="B35" s="246" t="s">
        <v>428</v>
      </c>
      <c r="C35" s="437">
        <f t="shared" si="5"/>
        <v>2305982364</v>
      </c>
      <c r="D35" s="354">
        <f t="shared" si="6"/>
        <v>0.11027265774178012</v>
      </c>
      <c r="E35" s="446">
        <v>2157111337</v>
      </c>
      <c r="F35" s="247">
        <v>0.11733239050582028</v>
      </c>
      <c r="G35" s="446">
        <v>148871027</v>
      </c>
      <c r="H35" s="247">
        <v>7.9785452580839449E-3</v>
      </c>
    </row>
    <row r="36" spans="1:13" s="26" customFormat="1">
      <c r="A36" s="248"/>
      <c r="B36" s="249"/>
      <c r="C36" s="437"/>
      <c r="D36" s="354"/>
      <c r="E36" s="446"/>
      <c r="F36" s="247"/>
      <c r="G36" s="446"/>
      <c r="H36" s="247"/>
    </row>
    <row r="37" spans="1:13" s="26" customFormat="1" ht="36.75" customHeight="1">
      <c r="A37" s="248">
        <v>4</v>
      </c>
      <c r="B37" s="243" t="s">
        <v>429</v>
      </c>
      <c r="C37" s="436">
        <f>SUM(C39:C44)</f>
        <v>9552741165</v>
      </c>
      <c r="D37" s="244">
        <f>IFERROR(((C39*D39)/C37)+((C40*D40)/C37)+((C41*D41)/C37)+((C42*D42)/C37)+((C43*D43)/C37)+((C44*D44)/C37),0)</f>
        <v>0.17393987957987878</v>
      </c>
      <c r="E37" s="436">
        <f>SUM(E39:E44)</f>
        <v>5963613245</v>
      </c>
      <c r="F37" s="244">
        <f>IFERROR(((E39*F39)/E37)+((E40*F40)/E37)+((E41*F41)/E37)+((E42*F42)/E37)+((E43*F43)/E37)+((E44*F44)/E37),0)</f>
        <v>0.21543098801265698</v>
      </c>
      <c r="G37" s="436">
        <f>SUM(G39:G44)</f>
        <v>3589127920</v>
      </c>
      <c r="H37" s="244">
        <f>IFERROR(((G39*H39)/G37)+((G40*H40)/G37)+((G41*H41)/G37)+((G42*H42)/G37)+((G43*H43)/G37)+((G44*H44)/G37),0)</f>
        <v>0.10499919835739198</v>
      </c>
    </row>
    <row r="38" spans="1:13" s="26" customFormat="1">
      <c r="A38" s="248"/>
      <c r="B38" s="245" t="s">
        <v>422</v>
      </c>
      <c r="C38" s="437"/>
      <c r="D38" s="39"/>
      <c r="E38" s="437"/>
      <c r="F38" s="39"/>
      <c r="G38" s="437"/>
      <c r="H38" s="39"/>
    </row>
    <row r="39" spans="1:13" s="26" customFormat="1" ht="24" customHeight="1">
      <c r="A39" s="238" t="s">
        <v>98</v>
      </c>
      <c r="B39" s="249" t="s">
        <v>112</v>
      </c>
      <c r="C39" s="437">
        <f t="shared" ref="C39:C44" si="7">+E39+G39</f>
        <v>457409631</v>
      </c>
      <c r="D39" s="354">
        <f t="shared" ref="D39:D44" si="8">IFERROR((((E39*F39)+(G39*H39))/C39),0)</f>
        <v>0.20170784410190928</v>
      </c>
      <c r="E39" s="446">
        <v>457409631</v>
      </c>
      <c r="F39" s="247">
        <v>0.20170784410190928</v>
      </c>
      <c r="G39" s="446">
        <v>0</v>
      </c>
      <c r="H39" s="247">
        <v>0</v>
      </c>
    </row>
    <row r="40" spans="1:13" s="26" customFormat="1" ht="24" customHeight="1">
      <c r="A40" s="238" t="s">
        <v>99</v>
      </c>
      <c r="B40" s="249" t="s">
        <v>426</v>
      </c>
      <c r="C40" s="437">
        <f t="shared" si="7"/>
        <v>0</v>
      </c>
      <c r="D40" s="354">
        <f t="shared" si="8"/>
        <v>0</v>
      </c>
      <c r="E40" s="446">
        <v>0</v>
      </c>
      <c r="F40" s="247">
        <v>0</v>
      </c>
      <c r="G40" s="446">
        <v>0</v>
      </c>
      <c r="H40" s="247">
        <v>0</v>
      </c>
    </row>
    <row r="41" spans="1:13" s="26" customFormat="1" ht="24" customHeight="1">
      <c r="A41" s="238" t="s">
        <v>118</v>
      </c>
      <c r="B41" s="249" t="s">
        <v>113</v>
      </c>
      <c r="C41" s="437">
        <f t="shared" si="7"/>
        <v>25220848</v>
      </c>
      <c r="D41" s="354">
        <f t="shared" si="8"/>
        <v>0.19982486873106614</v>
      </c>
      <c r="E41" s="446">
        <v>25220848</v>
      </c>
      <c r="F41" s="247">
        <v>0.19982486873106614</v>
      </c>
      <c r="G41" s="446">
        <v>0</v>
      </c>
      <c r="H41" s="247">
        <v>0</v>
      </c>
    </row>
    <row r="42" spans="1:13" s="26" customFormat="1" ht="32.25" customHeight="1">
      <c r="A42" s="238" t="s">
        <v>119</v>
      </c>
      <c r="B42" s="249" t="s">
        <v>114</v>
      </c>
      <c r="C42" s="437">
        <f t="shared" si="7"/>
        <v>316939901</v>
      </c>
      <c r="D42" s="354">
        <f t="shared" si="8"/>
        <v>9.0660972835188494E-2</v>
      </c>
      <c r="E42" s="446">
        <v>235405291</v>
      </c>
      <c r="F42" s="247">
        <v>9.5606265088219899E-2</v>
      </c>
      <c r="G42" s="446">
        <v>81534610</v>
      </c>
      <c r="H42" s="247">
        <v>7.6383012078340501E-2</v>
      </c>
    </row>
    <row r="43" spans="1:13" s="26" customFormat="1" ht="32.25" customHeight="1">
      <c r="A43" s="238" t="s">
        <v>120</v>
      </c>
      <c r="B43" s="249" t="s">
        <v>427</v>
      </c>
      <c r="C43" s="437">
        <f t="shared" si="7"/>
        <v>0</v>
      </c>
      <c r="D43" s="354">
        <f t="shared" si="8"/>
        <v>0</v>
      </c>
      <c r="E43" s="446">
        <v>0</v>
      </c>
      <c r="F43" s="247">
        <v>0</v>
      </c>
      <c r="G43" s="446">
        <v>0</v>
      </c>
      <c r="H43" s="247">
        <v>0</v>
      </c>
    </row>
    <row r="44" spans="1:13" s="26" customFormat="1" ht="32.25" customHeight="1">
      <c r="A44" s="238" t="s">
        <v>121</v>
      </c>
      <c r="B44" s="246" t="s">
        <v>428</v>
      </c>
      <c r="C44" s="437">
        <f t="shared" si="7"/>
        <v>8753170785</v>
      </c>
      <c r="D44" s="354">
        <f t="shared" si="8"/>
        <v>0.17542965202883981</v>
      </c>
      <c r="E44" s="446">
        <v>5245577475</v>
      </c>
      <c r="F44" s="247">
        <v>0.2220800312666921</v>
      </c>
      <c r="G44" s="446">
        <v>3507593310</v>
      </c>
      <c r="H44" s="247">
        <v>0.10566438653108871</v>
      </c>
    </row>
    <row r="45" spans="1:13" s="12" customFormat="1" ht="22.5" customHeight="1">
      <c r="B45" s="136"/>
      <c r="C45" s="438"/>
      <c r="E45" s="438"/>
      <c r="G45" s="438"/>
    </row>
    <row r="46" spans="1:13" s="24" customFormat="1" ht="20.25" customHeight="1">
      <c r="B46" s="23" t="s">
        <v>690</v>
      </c>
      <c r="C46" s="374"/>
      <c r="E46" s="374"/>
      <c r="F46" s="81"/>
      <c r="G46" s="447"/>
      <c r="H46" s="81"/>
      <c r="I46" s="81"/>
      <c r="J46" s="81"/>
      <c r="K46" s="81"/>
      <c r="L46" s="81"/>
      <c r="M46" s="81"/>
    </row>
    <row r="47" spans="1:13" s="24" customFormat="1" ht="11.25" customHeight="1">
      <c r="B47" s="23"/>
      <c r="C47" s="374"/>
      <c r="E47" s="374"/>
      <c r="F47" s="81"/>
      <c r="G47" s="447"/>
      <c r="H47" s="81"/>
      <c r="I47" s="81"/>
      <c r="J47" s="81"/>
      <c r="K47" s="81"/>
      <c r="L47" s="81"/>
      <c r="M47" s="81"/>
    </row>
    <row r="48" spans="1:13" s="24" customFormat="1" ht="20.25" customHeight="1">
      <c r="B48" s="23" t="s">
        <v>691</v>
      </c>
      <c r="C48" s="374"/>
      <c r="E48" s="374"/>
      <c r="F48" s="81"/>
      <c r="G48" s="447"/>
      <c r="H48" s="81"/>
      <c r="I48" s="81"/>
      <c r="J48" s="81"/>
      <c r="K48" s="81"/>
      <c r="L48" s="81"/>
      <c r="M48" s="81"/>
    </row>
    <row r="49" spans="1:10" s="4" customFormat="1">
      <c r="A49" s="19"/>
      <c r="B49" s="23"/>
      <c r="C49" s="439"/>
      <c r="E49" s="439"/>
      <c r="G49" s="439"/>
      <c r="J49" s="19"/>
    </row>
    <row r="50" spans="1:10" s="4" customFormat="1">
      <c r="A50" s="19"/>
      <c r="B50" s="310"/>
      <c r="C50" s="440"/>
      <c r="D50" s="311"/>
      <c r="E50" s="440"/>
      <c r="F50" s="311"/>
      <c r="G50" s="440"/>
      <c r="J50" s="19"/>
    </row>
    <row r="51" spans="1:10">
      <c r="A51" s="30"/>
      <c r="B51" s="312" t="s">
        <v>39</v>
      </c>
      <c r="C51" s="441">
        <f>+C8+C18+C28+C37</f>
        <v>20277891345</v>
      </c>
      <c r="D51" s="313"/>
      <c r="E51" s="441">
        <f>+E8+E18+E28+E37</f>
        <v>16539892398</v>
      </c>
      <c r="F51" s="313"/>
      <c r="G51" s="441">
        <f>+G8+G18+G28+G37</f>
        <v>3737998947</v>
      </c>
    </row>
    <row r="52" spans="1:10">
      <c r="A52" s="30"/>
      <c r="B52" s="314"/>
      <c r="C52" s="441">
        <f>+C54+C58</f>
        <v>20277891345</v>
      </c>
      <c r="D52" s="313"/>
      <c r="E52" s="441">
        <f>+E9+E19+E29+E38</f>
        <v>0</v>
      </c>
      <c r="F52" s="313"/>
      <c r="G52" s="441">
        <f>+G54+G58</f>
        <v>3737998947</v>
      </c>
    </row>
    <row r="53" spans="1:10">
      <c r="A53" s="30"/>
      <c r="B53" s="312"/>
      <c r="C53" s="441"/>
      <c r="D53" s="313"/>
      <c r="E53" s="441"/>
      <c r="F53" s="313"/>
      <c r="G53" s="441"/>
    </row>
    <row r="54" spans="1:10">
      <c r="B54" s="312" t="s">
        <v>123</v>
      </c>
      <c r="C54" s="441">
        <f>+'Asset Classification'!C13</f>
        <v>8419167816</v>
      </c>
      <c r="D54" s="313"/>
      <c r="E54" s="441"/>
      <c r="F54" s="313"/>
      <c r="G54" s="441">
        <f>+'Asset Classification'!D13</f>
        <v>0</v>
      </c>
      <c r="H54" s="250"/>
    </row>
    <row r="55" spans="1:10">
      <c r="B55" s="312"/>
      <c r="C55" s="441">
        <f>C8+C18</f>
        <v>8419167816</v>
      </c>
      <c r="D55" s="313"/>
      <c r="E55" s="441"/>
      <c r="F55" s="313"/>
      <c r="G55" s="441">
        <f>G8+G18</f>
        <v>0</v>
      </c>
      <c r="H55" s="250"/>
    </row>
    <row r="56" spans="1:10">
      <c r="B56" s="312"/>
      <c r="C56" s="441">
        <f>+C54-C55</f>
        <v>0</v>
      </c>
      <c r="D56" s="313"/>
      <c r="E56" s="441"/>
      <c r="F56" s="313"/>
      <c r="G56" s="441">
        <f>+G54-G55</f>
        <v>0</v>
      </c>
      <c r="H56" s="250"/>
    </row>
    <row r="57" spans="1:10">
      <c r="B57" s="312"/>
      <c r="C57" s="442"/>
      <c r="D57" s="315"/>
      <c r="E57" s="442"/>
      <c r="F57" s="315"/>
      <c r="G57" s="442"/>
      <c r="H57" s="250"/>
    </row>
    <row r="58" spans="1:10">
      <c r="B58" s="312" t="s">
        <v>124</v>
      </c>
      <c r="C58" s="441">
        <f>+'Asset Classification'!C31-'Asset Classification'!C13</f>
        <v>11858723529</v>
      </c>
      <c r="D58" s="313"/>
      <c r="E58" s="441"/>
      <c r="F58" s="313"/>
      <c r="G58" s="441">
        <f>+'Asset Classification'!D31-'Asset Classification'!D13</f>
        <v>3737998947</v>
      </c>
      <c r="H58" s="250"/>
    </row>
    <row r="59" spans="1:10">
      <c r="B59" s="312"/>
      <c r="C59" s="441">
        <f>C28+C37</f>
        <v>11858723529</v>
      </c>
      <c r="D59" s="313"/>
      <c r="E59" s="441"/>
      <c r="F59" s="313"/>
      <c r="G59" s="441">
        <f>G28+G37</f>
        <v>3737998947</v>
      </c>
      <c r="H59" s="250"/>
    </row>
    <row r="60" spans="1:10">
      <c r="B60" s="312"/>
      <c r="C60" s="441">
        <f>+C58-C59</f>
        <v>0</v>
      </c>
      <c r="D60" s="313"/>
      <c r="E60" s="441"/>
      <c r="F60" s="313"/>
      <c r="G60" s="441">
        <f>+G58-G59</f>
        <v>0</v>
      </c>
      <c r="H60" s="250"/>
    </row>
    <row r="61" spans="1:10">
      <c r="B61" s="312"/>
      <c r="C61" s="443"/>
      <c r="D61" s="316"/>
      <c r="E61" s="443"/>
      <c r="F61" s="316"/>
      <c r="G61" s="443"/>
      <c r="H61" s="250"/>
    </row>
    <row r="62" spans="1:10">
      <c r="B62" s="312"/>
      <c r="C62" s="443"/>
      <c r="D62" s="316"/>
      <c r="E62" s="443"/>
      <c r="F62" s="316"/>
      <c r="G62" s="443"/>
      <c r="H62" s="250"/>
    </row>
    <row r="63" spans="1:10">
      <c r="B63" s="312"/>
      <c r="C63" s="444"/>
      <c r="D63" s="317"/>
      <c r="E63" s="444"/>
      <c r="F63" s="314"/>
      <c r="G63" s="444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18">
    <cfRule type="cellIs" dxfId="88" priority="39" operator="notEqual">
      <formula>$C$54-$C$8</formula>
    </cfRule>
  </conditionalFormatting>
  <conditionalFormatting sqref="C37">
    <cfRule type="cellIs" dxfId="87" priority="38" operator="notEqual">
      <formula>$C$58-$C$28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30">
    <pageSetUpPr fitToPage="1"/>
  </sheetPr>
  <dimension ref="A1:AI51"/>
  <sheetViews>
    <sheetView view="pageBreakPreview" zoomScale="60" zoomScaleNormal="50" workbookViewId="0">
      <pane xSplit="2" ySplit="7" topLeftCell="E20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B84" activeCellId="1" sqref="D10 B84"/>
    </sheetView>
  </sheetViews>
  <sheetFormatPr defaultRowHeight="18.75"/>
  <cols>
    <col min="1" max="1" width="9.5703125" style="58" customWidth="1"/>
    <col min="2" max="2" width="61.7109375" style="58" customWidth="1"/>
    <col min="3" max="3" width="19.140625" style="449" customWidth="1"/>
    <col min="4" max="4" width="19.140625" style="59" customWidth="1"/>
    <col min="5" max="5" width="19.140625" style="449" customWidth="1"/>
    <col min="6" max="6" width="19.140625" style="58" customWidth="1"/>
    <col min="7" max="7" width="19.140625" style="449" customWidth="1"/>
    <col min="8" max="8" width="19.140625" style="58" customWidth="1"/>
    <col min="9" max="25" width="18.85546875" style="449" customWidth="1"/>
    <col min="26" max="26" width="21.7109375" style="449" customWidth="1"/>
    <col min="27" max="29" width="27.42578125" style="58" customWidth="1"/>
    <col min="30" max="34" width="22.140625" style="58" customWidth="1"/>
    <col min="35" max="35" width="22.5703125" style="58" customWidth="1"/>
    <col min="36" max="16384" width="9.140625" style="58"/>
  </cols>
  <sheetData>
    <row r="1" spans="1:35">
      <c r="Z1" s="458" t="s">
        <v>430</v>
      </c>
    </row>
    <row r="2" spans="1:35" s="60" customFormat="1" ht="50.25" customHeight="1">
      <c r="A2" s="668" t="s">
        <v>777</v>
      </c>
      <c r="B2" s="668"/>
      <c r="C2" s="669"/>
      <c r="D2" s="668"/>
      <c r="E2" s="669"/>
      <c r="F2" s="668"/>
      <c r="G2" s="669"/>
      <c r="H2" s="668"/>
      <c r="I2" s="669"/>
      <c r="J2" s="669"/>
      <c r="K2" s="669"/>
      <c r="L2" s="669"/>
      <c r="M2" s="669"/>
      <c r="N2" s="669"/>
      <c r="O2" s="669"/>
      <c r="P2" s="669"/>
      <c r="Q2" s="669"/>
      <c r="R2" s="669"/>
      <c r="S2" s="669"/>
      <c r="T2" s="669"/>
      <c r="U2" s="669"/>
      <c r="V2" s="669"/>
      <c r="W2" s="669"/>
      <c r="X2" s="669"/>
      <c r="Y2" s="669"/>
      <c r="Z2" s="669"/>
    </row>
    <row r="3" spans="1:35" ht="19.5" customHeight="1">
      <c r="B3" s="251" t="str">
        <f>+'Asset quality'!B3</f>
        <v>MKBANK</v>
      </c>
      <c r="C3" s="450"/>
      <c r="D3" s="251"/>
      <c r="E3" s="450"/>
      <c r="F3" s="251"/>
      <c r="G3" s="450"/>
      <c r="H3" s="251"/>
      <c r="I3" s="450"/>
      <c r="J3" s="450"/>
      <c r="K3" s="450"/>
      <c r="L3" s="450"/>
      <c r="M3" s="450"/>
      <c r="V3" s="595">
        <f>+'Asset quality'!Q3</f>
        <v>46021</v>
      </c>
      <c r="W3" s="595"/>
      <c r="Z3" s="445" t="str">
        <f>+'Asset quality'!T3</f>
        <v>минг. сўмда</v>
      </c>
    </row>
    <row r="4" spans="1:35" s="61" customFormat="1" ht="29.25" customHeight="1">
      <c r="A4" s="670" t="s">
        <v>23</v>
      </c>
      <c r="B4" s="670" t="s">
        <v>415</v>
      </c>
      <c r="C4" s="673" t="s">
        <v>166</v>
      </c>
      <c r="D4" s="674"/>
      <c r="E4" s="675"/>
      <c r="F4" s="674"/>
      <c r="G4" s="675"/>
      <c r="H4" s="676"/>
      <c r="I4" s="681" t="s">
        <v>431</v>
      </c>
      <c r="J4" s="682"/>
      <c r="K4" s="682"/>
      <c r="L4" s="682"/>
      <c r="M4" s="683"/>
      <c r="N4" s="673" t="s">
        <v>432</v>
      </c>
      <c r="O4" s="675"/>
      <c r="P4" s="675"/>
      <c r="Q4" s="675"/>
      <c r="R4" s="684"/>
      <c r="S4" s="667" t="s">
        <v>165</v>
      </c>
      <c r="T4" s="667"/>
      <c r="U4" s="667"/>
      <c r="V4" s="667"/>
      <c r="W4" s="667"/>
      <c r="X4" s="667"/>
      <c r="Y4" s="686" t="s">
        <v>433</v>
      </c>
      <c r="Z4" s="686" t="s">
        <v>434</v>
      </c>
    </row>
    <row r="5" spans="1:35" s="61" customFormat="1" ht="29.25" customHeight="1">
      <c r="A5" s="671"/>
      <c r="B5" s="671"/>
      <c r="C5" s="677"/>
      <c r="D5" s="678"/>
      <c r="E5" s="679"/>
      <c r="F5" s="678"/>
      <c r="G5" s="679"/>
      <c r="H5" s="680"/>
      <c r="I5" s="667" t="s">
        <v>435</v>
      </c>
      <c r="J5" s="667" t="s">
        <v>436</v>
      </c>
      <c r="K5" s="667" t="s">
        <v>437</v>
      </c>
      <c r="L5" s="667" t="s">
        <v>438</v>
      </c>
      <c r="M5" s="667" t="s">
        <v>439</v>
      </c>
      <c r="N5" s="677"/>
      <c r="O5" s="679"/>
      <c r="P5" s="679"/>
      <c r="Q5" s="679"/>
      <c r="R5" s="685"/>
      <c r="S5" s="667" t="s">
        <v>166</v>
      </c>
      <c r="T5" s="681" t="s">
        <v>440</v>
      </c>
      <c r="U5" s="682"/>
      <c r="V5" s="682"/>
      <c r="W5" s="682"/>
      <c r="X5" s="683"/>
      <c r="Y5" s="687"/>
      <c r="Z5" s="687"/>
    </row>
    <row r="6" spans="1:35" s="61" customFormat="1" ht="90" customHeight="1">
      <c r="A6" s="671"/>
      <c r="B6" s="672"/>
      <c r="C6" s="451" t="s">
        <v>419</v>
      </c>
      <c r="D6" s="150" t="s">
        <v>420</v>
      </c>
      <c r="E6" s="451" t="s">
        <v>217</v>
      </c>
      <c r="F6" s="150" t="s">
        <v>420</v>
      </c>
      <c r="G6" s="451" t="s">
        <v>218</v>
      </c>
      <c r="H6" s="150" t="s">
        <v>420</v>
      </c>
      <c r="I6" s="667"/>
      <c r="J6" s="667"/>
      <c r="K6" s="667"/>
      <c r="L6" s="667"/>
      <c r="M6" s="667"/>
      <c r="N6" s="459" t="s">
        <v>72</v>
      </c>
      <c r="O6" s="459" t="s">
        <v>19</v>
      </c>
      <c r="P6" s="459" t="s">
        <v>20</v>
      </c>
      <c r="Q6" s="459" t="s">
        <v>21</v>
      </c>
      <c r="R6" s="459" t="s">
        <v>22</v>
      </c>
      <c r="S6" s="667"/>
      <c r="T6" s="459" t="s">
        <v>72</v>
      </c>
      <c r="U6" s="459" t="s">
        <v>19</v>
      </c>
      <c r="V6" s="459" t="s">
        <v>20</v>
      </c>
      <c r="W6" s="459" t="s">
        <v>21</v>
      </c>
      <c r="X6" s="459" t="s">
        <v>22</v>
      </c>
      <c r="Y6" s="688"/>
      <c r="Z6" s="688"/>
      <c r="AA6" s="253"/>
      <c r="AB6" s="253"/>
      <c r="AC6" s="253"/>
      <c r="AD6" s="252" t="s">
        <v>72</v>
      </c>
      <c r="AE6" s="252" t="s">
        <v>19</v>
      </c>
      <c r="AF6" s="252" t="s">
        <v>20</v>
      </c>
      <c r="AG6" s="252" t="s">
        <v>21</v>
      </c>
      <c r="AH6" s="252" t="s">
        <v>22</v>
      </c>
    </row>
    <row r="7" spans="1:35" s="61" customFormat="1">
      <c r="A7" s="672"/>
      <c r="B7" s="150" t="s">
        <v>40</v>
      </c>
      <c r="C7" s="451" t="s">
        <v>41</v>
      </c>
      <c r="D7" s="150" t="s">
        <v>51</v>
      </c>
      <c r="E7" s="451" t="s">
        <v>42</v>
      </c>
      <c r="F7" s="150" t="s">
        <v>43</v>
      </c>
      <c r="G7" s="451" t="s">
        <v>52</v>
      </c>
      <c r="H7" s="150" t="s">
        <v>44</v>
      </c>
      <c r="I7" s="451" t="s">
        <v>45</v>
      </c>
      <c r="J7" s="451" t="s">
        <v>46</v>
      </c>
      <c r="K7" s="451" t="s">
        <v>47</v>
      </c>
      <c r="L7" s="451" t="s">
        <v>48</v>
      </c>
      <c r="M7" s="451" t="s">
        <v>49</v>
      </c>
      <c r="N7" s="451" t="s">
        <v>50</v>
      </c>
      <c r="O7" s="451" t="s">
        <v>91</v>
      </c>
      <c r="P7" s="451" t="s">
        <v>92</v>
      </c>
      <c r="Q7" s="451" t="s">
        <v>93</v>
      </c>
      <c r="R7" s="451" t="s">
        <v>94</v>
      </c>
      <c r="S7" s="451" t="s">
        <v>115</v>
      </c>
      <c r="T7" s="451" t="s">
        <v>122</v>
      </c>
      <c r="U7" s="451" t="s">
        <v>125</v>
      </c>
      <c r="V7" s="451" t="s">
        <v>126</v>
      </c>
      <c r="W7" s="451" t="s">
        <v>127</v>
      </c>
      <c r="X7" s="451" t="s">
        <v>128</v>
      </c>
      <c r="Y7" s="451" t="s">
        <v>129</v>
      </c>
      <c r="Z7" s="451" t="s">
        <v>441</v>
      </c>
      <c r="AA7" s="253"/>
      <c r="AB7" s="253"/>
      <c r="AC7" s="253"/>
    </row>
    <row r="8" spans="1:35" s="61" customFormat="1" ht="49.5" customHeight="1">
      <c r="A8" s="254"/>
      <c r="B8" s="255" t="s">
        <v>442</v>
      </c>
      <c r="C8" s="452">
        <f>+C9+C27</f>
        <v>20277891345</v>
      </c>
      <c r="D8" s="256">
        <f>IFERROR(((C9*D9)/C8)+((C27*D27)/C8),0)</f>
        <v>0.17259510624990076</v>
      </c>
      <c r="E8" s="452">
        <f t="shared" ref="E8:G8" si="0">+E9+E27</f>
        <v>16539892398</v>
      </c>
      <c r="F8" s="256">
        <f>IFERROR(((E9*F9)/E8)+((E27*F27)/E8),0)</f>
        <v>0.18875348316884419</v>
      </c>
      <c r="G8" s="452">
        <f t="shared" si="0"/>
        <v>3737998947</v>
      </c>
      <c r="H8" s="256">
        <f>IFERROR(((G9*H9)/G8)+((G27*H27)/G8),0)</f>
        <v>0.10109754315397114</v>
      </c>
      <c r="I8" s="452">
        <f t="shared" ref="I8:Z8" si="1">+I9+I27</f>
        <v>3197718906</v>
      </c>
      <c r="J8" s="452">
        <f t="shared" si="1"/>
        <v>10782057571</v>
      </c>
      <c r="K8" s="452">
        <f t="shared" si="1"/>
        <v>4868601305</v>
      </c>
      <c r="L8" s="452">
        <f t="shared" si="1"/>
        <v>406534772</v>
      </c>
      <c r="M8" s="452">
        <f t="shared" si="1"/>
        <v>1022978791</v>
      </c>
      <c r="N8" s="452">
        <f t="shared" si="1"/>
        <v>17551658885</v>
      </c>
      <c r="O8" s="452">
        <f t="shared" si="1"/>
        <v>1832228607</v>
      </c>
      <c r="P8" s="452">
        <f t="shared" si="1"/>
        <v>254152148</v>
      </c>
      <c r="Q8" s="452">
        <f t="shared" si="1"/>
        <v>373965402</v>
      </c>
      <c r="R8" s="452">
        <f t="shared" si="1"/>
        <v>265886303</v>
      </c>
      <c r="S8" s="452">
        <f t="shared" si="1"/>
        <v>251070647</v>
      </c>
      <c r="T8" s="452">
        <f t="shared" si="1"/>
        <v>123374035</v>
      </c>
      <c r="U8" s="452">
        <f t="shared" si="1"/>
        <v>21612533</v>
      </c>
      <c r="V8" s="452">
        <f t="shared" si="1"/>
        <v>2666899</v>
      </c>
      <c r="W8" s="452">
        <f t="shared" si="1"/>
        <v>47165627</v>
      </c>
      <c r="X8" s="452">
        <f t="shared" si="1"/>
        <v>56251553</v>
      </c>
      <c r="Y8" s="452">
        <f t="shared" si="1"/>
        <v>1438908678</v>
      </c>
      <c r="Z8" s="452">
        <f t="shared" si="1"/>
        <v>1131683854</v>
      </c>
      <c r="AA8" s="463">
        <f>+'Loans Receivable'!C85</f>
        <v>20277891345</v>
      </c>
      <c r="AB8" s="463">
        <f>+AA8-AC8</f>
        <v>16539892398</v>
      </c>
      <c r="AC8" s="463">
        <f>+'Asset Classification'!D31</f>
        <v>3737998947</v>
      </c>
      <c r="AD8" s="464">
        <f>+'Asset Classification'!E31</f>
        <v>17551658885</v>
      </c>
      <c r="AE8" s="464">
        <f>+'Asset Classification'!I31</f>
        <v>1832228607</v>
      </c>
      <c r="AF8" s="464">
        <f>+'Asset Classification'!M31</f>
        <v>254152148</v>
      </c>
      <c r="AG8" s="464">
        <f>+'Asset Classification'!Q31</f>
        <v>373965402</v>
      </c>
      <c r="AH8" s="464">
        <f>+'Asset Classification'!U31</f>
        <v>265886303</v>
      </c>
    </row>
    <row r="9" spans="1:35" s="64" customFormat="1" ht="49.5" customHeight="1">
      <c r="A9" s="255" t="s">
        <v>72</v>
      </c>
      <c r="B9" s="255" t="s">
        <v>443</v>
      </c>
      <c r="C9" s="452">
        <f>+C11+C16+C21+C22+C24+C25+C26</f>
        <v>8419167816</v>
      </c>
      <c r="D9" s="256">
        <f>IFERROR(((C11*D11)/C9)+((C16*D16)/C9)+((C21*D21)/C9)+((C22*D22)/C9)+((C24*D24)/C9)+((C25*D25)/C9)+((C26*D26)/C9),0)</f>
        <v>0.19646360678775063</v>
      </c>
      <c r="E9" s="452">
        <f>+E11+E16+E21+E22+E24+E25+E26</f>
        <v>8419167816</v>
      </c>
      <c r="F9" s="256">
        <f>IFERROR(((E11*F11)/E9)+((E16*F16)/E9)+((E21*F21)/E9)+((E22*F22)/E9)+((E24*F24)/E9)+((E25*F25)/E9)+((E26*F26)/E9),0)</f>
        <v>0.19646360678775063</v>
      </c>
      <c r="G9" s="452">
        <f>+G11+G16+G21+G22+G24+G25+G26</f>
        <v>0</v>
      </c>
      <c r="H9" s="256">
        <f>IFERROR(((G11*H11)/G9)+((G16*H16)/G9)+((G21*H21)/G9)+((G22*H22)/G9)+((G24*H24)/G9)+((G25*H25)/G9)+((G26*H26)/G9),0)</f>
        <v>0</v>
      </c>
      <c r="I9" s="452">
        <f>+I11+I16+I21+I22+I24+I25+I26</f>
        <v>623153750</v>
      </c>
      <c r="J9" s="452">
        <f t="shared" ref="J9:Z9" si="2">+J11+J16+J21+J22+J24+J25+J26</f>
        <v>5415589738</v>
      </c>
      <c r="K9" s="452">
        <f t="shared" si="2"/>
        <v>1075616583</v>
      </c>
      <c r="L9" s="452">
        <f t="shared" si="2"/>
        <v>281828954</v>
      </c>
      <c r="M9" s="452">
        <f t="shared" si="2"/>
        <v>1022978791</v>
      </c>
      <c r="N9" s="452">
        <f t="shared" si="2"/>
        <v>7066030436</v>
      </c>
      <c r="O9" s="452">
        <f t="shared" si="2"/>
        <v>945973383</v>
      </c>
      <c r="P9" s="452">
        <f t="shared" si="2"/>
        <v>173943343</v>
      </c>
      <c r="Q9" s="452">
        <f t="shared" si="2"/>
        <v>110154468</v>
      </c>
      <c r="R9" s="452">
        <f t="shared" si="2"/>
        <v>123066186</v>
      </c>
      <c r="S9" s="452">
        <f t="shared" si="2"/>
        <v>93269214</v>
      </c>
      <c r="T9" s="452">
        <f t="shared" si="2"/>
        <v>84191679</v>
      </c>
      <c r="U9" s="452">
        <f t="shared" si="2"/>
        <v>5688849</v>
      </c>
      <c r="V9" s="452">
        <f t="shared" si="2"/>
        <v>2184405</v>
      </c>
      <c r="W9" s="452">
        <f t="shared" si="2"/>
        <v>853013</v>
      </c>
      <c r="X9" s="452">
        <f t="shared" si="2"/>
        <v>351268</v>
      </c>
      <c r="Y9" s="452">
        <f t="shared" si="2"/>
        <v>631353319</v>
      </c>
      <c r="Z9" s="452">
        <f t="shared" si="2"/>
        <v>0</v>
      </c>
      <c r="AA9" s="463">
        <f>+'Loans Receivable'!C73</f>
        <v>8419167816</v>
      </c>
      <c r="AB9" s="463">
        <f>+'Loans Receivable'!D71</f>
        <v>8419167816</v>
      </c>
      <c r="AC9" s="253">
        <f>+'Loans Receivable'!E71</f>
        <v>0</v>
      </c>
      <c r="AD9" s="326">
        <f>+N8-AD8</f>
        <v>0</v>
      </c>
      <c r="AE9" s="326">
        <f>+O8-AE8</f>
        <v>0</v>
      </c>
      <c r="AF9" s="326">
        <f>+P8-AF8</f>
        <v>0</v>
      </c>
      <c r="AG9" s="326">
        <f>+Q8-AG8</f>
        <v>0</v>
      </c>
      <c r="AH9" s="326">
        <f>+R8-AH8</f>
        <v>0</v>
      </c>
      <c r="AI9" s="61"/>
    </row>
    <row r="10" spans="1:35" s="61" customFormat="1" ht="33.75" customHeight="1">
      <c r="A10" s="254"/>
      <c r="B10" s="255" t="s">
        <v>422</v>
      </c>
      <c r="C10" s="452"/>
      <c r="D10" s="62"/>
      <c r="E10" s="456"/>
      <c r="F10" s="325"/>
      <c r="G10" s="456"/>
      <c r="H10" s="325"/>
      <c r="I10" s="456"/>
      <c r="J10" s="456"/>
      <c r="K10" s="456"/>
      <c r="L10" s="456"/>
      <c r="M10" s="452"/>
      <c r="N10" s="452"/>
      <c r="O10" s="452"/>
      <c r="P10" s="452"/>
      <c r="Q10" s="452"/>
      <c r="R10" s="452"/>
      <c r="S10" s="452"/>
      <c r="T10" s="452"/>
      <c r="U10" s="452"/>
      <c r="V10" s="452"/>
      <c r="W10" s="452"/>
      <c r="X10" s="452"/>
      <c r="Y10" s="452"/>
      <c r="Z10" s="452"/>
      <c r="AA10" s="253"/>
      <c r="AB10" s="253"/>
      <c r="AC10" s="253"/>
      <c r="AD10" s="463">
        <f>+'Asset Classification'!G31</f>
        <v>123374035</v>
      </c>
      <c r="AE10" s="463">
        <f>+'Asset Classification'!K31</f>
        <v>21612533</v>
      </c>
      <c r="AF10" s="463">
        <f>+'Asset Classification'!O53</f>
        <v>2666899</v>
      </c>
      <c r="AG10" s="463">
        <f>+'Asset Classification'!S53</f>
        <v>47165627</v>
      </c>
      <c r="AH10" s="463">
        <f>+'Asset Classification'!W53</f>
        <v>56251553</v>
      </c>
      <c r="AI10" s="64"/>
    </row>
    <row r="11" spans="1:35" s="61" customFormat="1" ht="49.5" customHeight="1">
      <c r="A11" s="257">
        <v>1</v>
      </c>
      <c r="B11" s="258" t="s">
        <v>657</v>
      </c>
      <c r="C11" s="453">
        <f>SUM(C12:C15)</f>
        <v>909660952</v>
      </c>
      <c r="D11" s="259">
        <f>IFERROR(((C12*D12)/C11)+((C13*D13)/C11)+((C14*D14)/C11)+((C15*D15)/C11),0)</f>
        <v>0.16738302640202679</v>
      </c>
      <c r="E11" s="453">
        <f t="shared" ref="E11:Z11" si="3">SUM(E12:E15)</f>
        <v>909660952</v>
      </c>
      <c r="F11" s="259">
        <f>IFERROR(((E12*F12)/E11)+((E13*F13)/E11)+((E14*F14)/E11)+((E15*F15)/E11),0)</f>
        <v>0.16738302640202679</v>
      </c>
      <c r="G11" s="453">
        <f t="shared" si="3"/>
        <v>0</v>
      </c>
      <c r="H11" s="259">
        <f>IFERROR(((G12*H12)/G11)+((G13*H13)/G11)+((G14*H14)/G11)+((G15*H15)/G11),0)</f>
        <v>0</v>
      </c>
      <c r="I11" s="453">
        <f t="shared" si="3"/>
        <v>165288</v>
      </c>
      <c r="J11" s="453">
        <f t="shared" si="3"/>
        <v>3337216</v>
      </c>
      <c r="K11" s="453">
        <f t="shared" si="3"/>
        <v>59761326</v>
      </c>
      <c r="L11" s="453">
        <f t="shared" si="3"/>
        <v>66208044</v>
      </c>
      <c r="M11" s="453">
        <f t="shared" si="3"/>
        <v>780189078</v>
      </c>
      <c r="N11" s="453">
        <f t="shared" si="3"/>
        <v>816493075</v>
      </c>
      <c r="O11" s="453">
        <f t="shared" si="3"/>
        <v>80726347</v>
      </c>
      <c r="P11" s="453">
        <f t="shared" si="3"/>
        <v>2981394</v>
      </c>
      <c r="Q11" s="453">
        <f t="shared" si="3"/>
        <v>6021793</v>
      </c>
      <c r="R11" s="453">
        <f t="shared" si="3"/>
        <v>3438343</v>
      </c>
      <c r="S11" s="453">
        <f t="shared" si="3"/>
        <v>11554897</v>
      </c>
      <c r="T11" s="453">
        <f t="shared" si="3"/>
        <v>10830107</v>
      </c>
      <c r="U11" s="453">
        <f t="shared" si="3"/>
        <v>701381</v>
      </c>
      <c r="V11" s="453">
        <f t="shared" si="3"/>
        <v>23409</v>
      </c>
      <c r="W11" s="453">
        <f t="shared" si="3"/>
        <v>0</v>
      </c>
      <c r="X11" s="453">
        <f t="shared" si="3"/>
        <v>0</v>
      </c>
      <c r="Y11" s="453">
        <f t="shared" si="3"/>
        <v>254067</v>
      </c>
      <c r="Z11" s="453">
        <f t="shared" si="3"/>
        <v>0</v>
      </c>
      <c r="AA11" s="463">
        <f>+'loans_av rate'!C10</f>
        <v>909660952</v>
      </c>
      <c r="AB11" s="463">
        <f>+'loans_av rate'!E10</f>
        <v>909660952</v>
      </c>
      <c r="AC11" s="61">
        <f>+'loans_av rate'!G10</f>
        <v>0</v>
      </c>
      <c r="AD11" s="341">
        <f>+T8-AD10</f>
        <v>0</v>
      </c>
      <c r="AE11" s="341">
        <f t="shared" ref="AE11:AH11" si="4">+U8-AE10</f>
        <v>0</v>
      </c>
      <c r="AF11" s="341">
        <f t="shared" si="4"/>
        <v>0</v>
      </c>
      <c r="AG11" s="341">
        <f t="shared" si="4"/>
        <v>0</v>
      </c>
      <c r="AH11" s="341">
        <f t="shared" si="4"/>
        <v>0</v>
      </c>
    </row>
    <row r="12" spans="1:35" s="61" customFormat="1" ht="49.5" customHeight="1">
      <c r="A12" s="260" t="s">
        <v>67</v>
      </c>
      <c r="B12" s="261" t="s">
        <v>444</v>
      </c>
      <c r="C12" s="448">
        <f>+E12+G12</f>
        <v>840068822</v>
      </c>
      <c r="D12" s="355">
        <f>IFERROR((((E12*F12)+(G12*H12))/C12),0)</f>
        <v>0.16750383319736742</v>
      </c>
      <c r="E12" s="457">
        <v>840068822</v>
      </c>
      <c r="F12" s="262">
        <v>0.16750383319736742</v>
      </c>
      <c r="G12" s="457"/>
      <c r="H12" s="262"/>
      <c r="I12" s="457">
        <v>165288</v>
      </c>
      <c r="J12" s="457">
        <v>3337216</v>
      </c>
      <c r="K12" s="457">
        <v>59723217</v>
      </c>
      <c r="L12" s="457">
        <v>66208044</v>
      </c>
      <c r="M12" s="457">
        <v>710635057</v>
      </c>
      <c r="N12" s="457">
        <v>760558856</v>
      </c>
      <c r="O12" s="457">
        <v>68224905</v>
      </c>
      <c r="P12" s="457">
        <v>2497357</v>
      </c>
      <c r="Q12" s="457">
        <v>5349361</v>
      </c>
      <c r="R12" s="457">
        <v>3438343</v>
      </c>
      <c r="S12" s="448">
        <f>SUM(T12:X12)</f>
        <v>11293283</v>
      </c>
      <c r="T12" s="457">
        <v>10584903</v>
      </c>
      <c r="U12" s="457">
        <v>684971</v>
      </c>
      <c r="V12" s="457">
        <v>23409</v>
      </c>
      <c r="W12" s="457">
        <v>0</v>
      </c>
      <c r="X12" s="457">
        <v>0</v>
      </c>
      <c r="Y12" s="457">
        <v>254067</v>
      </c>
      <c r="Z12" s="457">
        <v>0</v>
      </c>
      <c r="AA12" s="342">
        <f>+'loans_av rate'!D10</f>
        <v>0.1673830264018947</v>
      </c>
      <c r="AB12" s="342">
        <f>+'loans_av rate'!F10</f>
        <v>0.1673830264018947</v>
      </c>
      <c r="AC12" s="342">
        <f>+'loans_av rate'!H10</f>
        <v>0</v>
      </c>
    </row>
    <row r="13" spans="1:35" s="61" customFormat="1" ht="49.5" customHeight="1">
      <c r="A13" s="260" t="s">
        <v>68</v>
      </c>
      <c r="B13" s="261" t="s">
        <v>445</v>
      </c>
      <c r="C13" s="448">
        <f>+E13+G13</f>
        <v>0</v>
      </c>
      <c r="D13" s="355">
        <f>IFERROR((((E13*F13)+(G13*H13))/C13),0)</f>
        <v>0</v>
      </c>
      <c r="E13" s="457"/>
      <c r="F13" s="262"/>
      <c r="G13" s="457"/>
      <c r="H13" s="262"/>
      <c r="I13" s="457"/>
      <c r="J13" s="457"/>
      <c r="K13" s="457">
        <v>0</v>
      </c>
      <c r="L13" s="457"/>
      <c r="M13" s="457"/>
      <c r="N13" s="457"/>
      <c r="O13" s="457"/>
      <c r="P13" s="457"/>
      <c r="Q13" s="457"/>
      <c r="R13" s="457"/>
      <c r="S13" s="448">
        <f t="shared" ref="S13:S26" si="5">SUM(T13:X13)</f>
        <v>0</v>
      </c>
      <c r="T13" s="457"/>
      <c r="U13" s="457"/>
      <c r="V13" s="457"/>
      <c r="W13" s="457"/>
      <c r="X13" s="457"/>
      <c r="Y13" s="457"/>
      <c r="Z13" s="457"/>
      <c r="AA13" s="253"/>
      <c r="AD13" s="463">
        <f>+'Asset Classification'!E13</f>
        <v>7066030436</v>
      </c>
      <c r="AE13" s="463">
        <f>+'Asset Classification'!I13</f>
        <v>945973383</v>
      </c>
      <c r="AF13" s="463">
        <f>+'Asset Classification'!M13</f>
        <v>173943343</v>
      </c>
      <c r="AG13" s="463">
        <f>+'Asset Classification'!Q13</f>
        <v>110154468</v>
      </c>
      <c r="AH13" s="463">
        <f>+'Asset Classification'!U13</f>
        <v>123066186</v>
      </c>
    </row>
    <row r="14" spans="1:35" s="61" customFormat="1" ht="49.5" customHeight="1">
      <c r="A14" s="260" t="s">
        <v>69</v>
      </c>
      <c r="B14" s="261" t="s">
        <v>446</v>
      </c>
      <c r="C14" s="448">
        <f>+E14+G14</f>
        <v>0</v>
      </c>
      <c r="D14" s="355">
        <f>IFERROR((((E14*F14)+(G14*H14))/C14),0)</f>
        <v>0</v>
      </c>
      <c r="E14" s="457"/>
      <c r="F14" s="262"/>
      <c r="G14" s="457"/>
      <c r="H14" s="262"/>
      <c r="I14" s="457"/>
      <c r="J14" s="457"/>
      <c r="K14" s="457"/>
      <c r="L14" s="457"/>
      <c r="M14" s="457"/>
      <c r="N14" s="457"/>
      <c r="O14" s="457"/>
      <c r="P14" s="457"/>
      <c r="Q14" s="457"/>
      <c r="R14" s="457"/>
      <c r="S14" s="448">
        <f t="shared" si="5"/>
        <v>0</v>
      </c>
      <c r="T14" s="457"/>
      <c r="U14" s="457"/>
      <c r="V14" s="457"/>
      <c r="W14" s="457"/>
      <c r="X14" s="457"/>
      <c r="Y14" s="457"/>
      <c r="Z14" s="457"/>
      <c r="AA14" s="253"/>
      <c r="AD14" s="341">
        <f>+N9-AD13</f>
        <v>0</v>
      </c>
      <c r="AE14" s="341">
        <f t="shared" ref="AE14:AH14" si="6">+O9-AE13</f>
        <v>0</v>
      </c>
      <c r="AF14" s="341">
        <f t="shared" si="6"/>
        <v>0</v>
      </c>
      <c r="AG14" s="341">
        <f t="shared" si="6"/>
        <v>0</v>
      </c>
      <c r="AH14" s="341">
        <f t="shared" si="6"/>
        <v>0</v>
      </c>
    </row>
    <row r="15" spans="1:35" s="61" customFormat="1" ht="49.5" customHeight="1">
      <c r="A15" s="260" t="s">
        <v>70</v>
      </c>
      <c r="B15" s="261" t="s">
        <v>447</v>
      </c>
      <c r="C15" s="448">
        <f>+E15+G15</f>
        <v>69592130</v>
      </c>
      <c r="D15" s="355">
        <f>IFERROR((((E15*F15)+(G15*H15))/C15),0)</f>
        <v>0.1659247290018552</v>
      </c>
      <c r="E15" s="457">
        <v>69592130</v>
      </c>
      <c r="F15" s="262">
        <v>0.1659247290018552</v>
      </c>
      <c r="G15" s="457"/>
      <c r="H15" s="262"/>
      <c r="I15" s="457">
        <v>0</v>
      </c>
      <c r="J15" s="457">
        <v>0</v>
      </c>
      <c r="K15" s="457">
        <v>38109</v>
      </c>
      <c r="L15" s="457">
        <v>0</v>
      </c>
      <c r="M15" s="457">
        <v>69554021</v>
      </c>
      <c r="N15" s="457">
        <v>55934219</v>
      </c>
      <c r="O15" s="457">
        <v>12501442</v>
      </c>
      <c r="P15" s="457">
        <v>484037</v>
      </c>
      <c r="Q15" s="457">
        <v>672432</v>
      </c>
      <c r="R15" s="457">
        <v>0</v>
      </c>
      <c r="S15" s="448">
        <f t="shared" si="5"/>
        <v>261614</v>
      </c>
      <c r="T15" s="457">
        <v>245204</v>
      </c>
      <c r="U15" s="457">
        <v>16410</v>
      </c>
      <c r="V15" s="457">
        <v>0</v>
      </c>
      <c r="W15" s="457">
        <v>0</v>
      </c>
      <c r="X15" s="457">
        <v>0</v>
      </c>
      <c r="Y15" s="457">
        <v>0</v>
      </c>
      <c r="Z15" s="457">
        <v>0</v>
      </c>
      <c r="AA15" s="253"/>
      <c r="AD15" s="463">
        <f>+'Asset Classification'!G13</f>
        <v>84191679</v>
      </c>
      <c r="AE15" s="463">
        <f>+'Asset Classification'!K13</f>
        <v>5688849</v>
      </c>
      <c r="AF15" s="463">
        <f>+'Asset Classification'!O13</f>
        <v>2184405</v>
      </c>
      <c r="AG15" s="463">
        <f>+'Asset Classification'!S13</f>
        <v>853013</v>
      </c>
      <c r="AH15" s="463">
        <f>+'Asset Classification'!W13</f>
        <v>351268</v>
      </c>
    </row>
    <row r="16" spans="1:35" s="61" customFormat="1" ht="49.5" customHeight="1">
      <c r="A16" s="257">
        <v>2</v>
      </c>
      <c r="B16" s="258" t="s">
        <v>658</v>
      </c>
      <c r="C16" s="453">
        <f>SUM(C17:C20)</f>
        <v>577897545</v>
      </c>
      <c r="D16" s="259">
        <f>IFERROR(((C17*D17)/C16)+((C18*D18)/C16)+((C19*D19)/C16)+((C20*D20)/C16),0)</f>
        <v>0.21930622579404932</v>
      </c>
      <c r="E16" s="453">
        <f t="shared" ref="E16:Z16" si="7">SUM(E17:E20)</f>
        <v>577897545</v>
      </c>
      <c r="F16" s="259">
        <f>IFERROR(((E17*F17)/E16)+((E18*F18)/E16)+((E19*F19)/E16)+((E20*F20)/E16),0)</f>
        <v>0.21930622579404932</v>
      </c>
      <c r="G16" s="453">
        <f t="shared" si="7"/>
        <v>0</v>
      </c>
      <c r="H16" s="259">
        <f>IFERROR(((G17*H17)/G16)+((G18*H18)/G16)+((G19*H19)/G16)+((G20*H20)/G16),0)</f>
        <v>0</v>
      </c>
      <c r="I16" s="453">
        <f t="shared" si="7"/>
        <v>0</v>
      </c>
      <c r="J16" s="453">
        <f t="shared" si="7"/>
        <v>28826026</v>
      </c>
      <c r="K16" s="453">
        <f t="shared" si="7"/>
        <v>181579427</v>
      </c>
      <c r="L16" s="453">
        <f t="shared" si="7"/>
        <v>124720379</v>
      </c>
      <c r="M16" s="453">
        <f t="shared" si="7"/>
        <v>242771713</v>
      </c>
      <c r="N16" s="453">
        <f t="shared" si="7"/>
        <v>540906010</v>
      </c>
      <c r="O16" s="453">
        <f t="shared" si="7"/>
        <v>34037328</v>
      </c>
      <c r="P16" s="453">
        <f t="shared" si="7"/>
        <v>1428657</v>
      </c>
      <c r="Q16" s="453">
        <f t="shared" si="7"/>
        <v>480281</v>
      </c>
      <c r="R16" s="453">
        <f t="shared" si="7"/>
        <v>1045269</v>
      </c>
      <c r="S16" s="453">
        <f>SUM(S17:S20)</f>
        <v>4316215</v>
      </c>
      <c r="T16" s="453">
        <f t="shared" si="7"/>
        <v>4045477</v>
      </c>
      <c r="U16" s="453">
        <f t="shared" si="7"/>
        <v>270738</v>
      </c>
      <c r="V16" s="453">
        <f t="shared" si="7"/>
        <v>0</v>
      </c>
      <c r="W16" s="453">
        <f t="shared" si="7"/>
        <v>0</v>
      </c>
      <c r="X16" s="453">
        <f t="shared" si="7"/>
        <v>0</v>
      </c>
      <c r="Y16" s="453">
        <f t="shared" si="7"/>
        <v>0</v>
      </c>
      <c r="Z16" s="453">
        <f t="shared" si="7"/>
        <v>0</v>
      </c>
      <c r="AA16" s="463">
        <f>+'loans_av rate'!C20</f>
        <v>577897545</v>
      </c>
      <c r="AB16" s="463">
        <f>+'loans_av rate'!E20</f>
        <v>577897545</v>
      </c>
      <c r="AC16" s="61">
        <f>+'loans_av rate'!G20</f>
        <v>0</v>
      </c>
      <c r="AD16" s="341">
        <f>+AD15-T9</f>
        <v>0</v>
      </c>
      <c r="AE16" s="341">
        <f t="shared" ref="AE16:AH16" si="8">+AE15-U9</f>
        <v>0</v>
      </c>
      <c r="AF16" s="341">
        <f t="shared" si="8"/>
        <v>0</v>
      </c>
      <c r="AG16" s="341">
        <f t="shared" si="8"/>
        <v>0</v>
      </c>
      <c r="AH16" s="341">
        <f t="shared" si="8"/>
        <v>0</v>
      </c>
    </row>
    <row r="17" spans="1:29" s="63" customFormat="1" ht="49.5" customHeight="1">
      <c r="A17" s="263" t="s">
        <v>73</v>
      </c>
      <c r="B17" s="264" t="s">
        <v>444</v>
      </c>
      <c r="C17" s="448">
        <f t="shared" ref="C17:C26" si="9">+E17+G17</f>
        <v>577897545</v>
      </c>
      <c r="D17" s="355">
        <f t="shared" ref="D17:D26" si="10">IFERROR((((E17*F17)+(G17*H17))/C17),0)</f>
        <v>0.21930622579404932</v>
      </c>
      <c r="E17" s="457">
        <v>577897545</v>
      </c>
      <c r="F17" s="262">
        <v>0.21930622579404932</v>
      </c>
      <c r="G17" s="457"/>
      <c r="H17" s="262"/>
      <c r="I17" s="457">
        <v>0</v>
      </c>
      <c r="J17" s="457">
        <v>28826026</v>
      </c>
      <c r="K17" s="457">
        <v>181579427</v>
      </c>
      <c r="L17" s="457">
        <v>124720379</v>
      </c>
      <c r="M17" s="457">
        <v>242771713</v>
      </c>
      <c r="N17" s="457">
        <v>540906010</v>
      </c>
      <c r="O17" s="457">
        <v>34037328</v>
      </c>
      <c r="P17" s="457">
        <v>1428657</v>
      </c>
      <c r="Q17" s="457">
        <v>480281</v>
      </c>
      <c r="R17" s="457">
        <v>1045269</v>
      </c>
      <c r="S17" s="448">
        <f t="shared" si="5"/>
        <v>4316215</v>
      </c>
      <c r="T17" s="457">
        <v>4045477</v>
      </c>
      <c r="U17" s="457">
        <v>270738</v>
      </c>
      <c r="V17" s="457">
        <v>0</v>
      </c>
      <c r="W17" s="457">
        <v>0</v>
      </c>
      <c r="X17" s="457">
        <v>0</v>
      </c>
      <c r="Y17" s="457">
        <v>0</v>
      </c>
      <c r="Z17" s="457">
        <v>0</v>
      </c>
      <c r="AA17" s="342">
        <f>+'loans_av rate'!D20</f>
        <v>0.21930622579404932</v>
      </c>
      <c r="AB17" s="342">
        <f>+'loans_av rate'!F20</f>
        <v>0.21930622579404932</v>
      </c>
      <c r="AC17" s="342">
        <f>+'loans_av rate'!H20</f>
        <v>0</v>
      </c>
    </row>
    <row r="18" spans="1:29" s="63" customFormat="1" ht="49.5" customHeight="1">
      <c r="A18" s="263" t="s">
        <v>74</v>
      </c>
      <c r="B18" s="264" t="s">
        <v>445</v>
      </c>
      <c r="C18" s="448">
        <f t="shared" si="9"/>
        <v>0</v>
      </c>
      <c r="D18" s="355">
        <f t="shared" si="10"/>
        <v>0</v>
      </c>
      <c r="E18" s="457"/>
      <c r="F18" s="262"/>
      <c r="G18" s="457"/>
      <c r="H18" s="262"/>
      <c r="I18" s="457"/>
      <c r="J18" s="457"/>
      <c r="K18" s="457"/>
      <c r="L18" s="457"/>
      <c r="M18" s="457"/>
      <c r="N18" s="457"/>
      <c r="O18" s="457"/>
      <c r="P18" s="457"/>
      <c r="Q18" s="457"/>
      <c r="R18" s="457"/>
      <c r="S18" s="448">
        <f t="shared" si="5"/>
        <v>0</v>
      </c>
      <c r="T18" s="457"/>
      <c r="U18" s="457"/>
      <c r="V18" s="457"/>
      <c r="W18" s="457"/>
      <c r="X18" s="457"/>
      <c r="Y18" s="457"/>
      <c r="Z18" s="457"/>
      <c r="AA18" s="253"/>
    </row>
    <row r="19" spans="1:29" s="63" customFormat="1" ht="49.5" customHeight="1">
      <c r="A19" s="263" t="s">
        <v>75</v>
      </c>
      <c r="B19" s="264" t="s">
        <v>446</v>
      </c>
      <c r="C19" s="448">
        <f t="shared" si="9"/>
        <v>0</v>
      </c>
      <c r="D19" s="355">
        <f t="shared" si="10"/>
        <v>0</v>
      </c>
      <c r="E19" s="457"/>
      <c r="F19" s="262"/>
      <c r="G19" s="457"/>
      <c r="H19" s="262"/>
      <c r="I19" s="457"/>
      <c r="J19" s="457"/>
      <c r="K19" s="457"/>
      <c r="L19" s="457"/>
      <c r="M19" s="457"/>
      <c r="N19" s="457"/>
      <c r="O19" s="457"/>
      <c r="P19" s="457"/>
      <c r="Q19" s="457"/>
      <c r="R19" s="457"/>
      <c r="S19" s="448">
        <f t="shared" si="5"/>
        <v>0</v>
      </c>
      <c r="T19" s="457"/>
      <c r="U19" s="457"/>
      <c r="V19" s="457"/>
      <c r="W19" s="457"/>
      <c r="X19" s="457"/>
      <c r="Y19" s="457"/>
      <c r="Z19" s="457"/>
      <c r="AA19" s="253"/>
    </row>
    <row r="20" spans="1:29" s="63" customFormat="1" ht="49.5" customHeight="1">
      <c r="A20" s="263" t="s">
        <v>76</v>
      </c>
      <c r="B20" s="264" t="s">
        <v>447</v>
      </c>
      <c r="C20" s="448">
        <f t="shared" si="9"/>
        <v>0</v>
      </c>
      <c r="D20" s="355">
        <f t="shared" si="10"/>
        <v>0</v>
      </c>
      <c r="E20" s="457">
        <v>0</v>
      </c>
      <c r="F20" s="262">
        <v>0</v>
      </c>
      <c r="G20" s="457"/>
      <c r="H20" s="262"/>
      <c r="I20" s="457">
        <v>0</v>
      </c>
      <c r="J20" s="457">
        <v>0</v>
      </c>
      <c r="K20" s="457">
        <v>0</v>
      </c>
      <c r="L20" s="457">
        <v>0</v>
      </c>
      <c r="M20" s="457">
        <v>0</v>
      </c>
      <c r="N20" s="457">
        <v>0</v>
      </c>
      <c r="O20" s="457">
        <v>0</v>
      </c>
      <c r="P20" s="457">
        <v>0</v>
      </c>
      <c r="Q20" s="457">
        <v>0</v>
      </c>
      <c r="R20" s="457">
        <v>0</v>
      </c>
      <c r="S20" s="448">
        <f t="shared" si="5"/>
        <v>0</v>
      </c>
      <c r="T20" s="457"/>
      <c r="U20" s="457">
        <v>0</v>
      </c>
      <c r="V20" s="457">
        <v>0</v>
      </c>
      <c r="W20" s="457">
        <v>0</v>
      </c>
      <c r="X20" s="457">
        <v>0</v>
      </c>
      <c r="Y20" s="457"/>
      <c r="Z20" s="457"/>
      <c r="AA20" s="253"/>
    </row>
    <row r="21" spans="1:29" s="61" customFormat="1" ht="49.5" customHeight="1">
      <c r="A21" s="260">
        <v>3</v>
      </c>
      <c r="B21" s="265" t="s">
        <v>423</v>
      </c>
      <c r="C21" s="448">
        <f t="shared" si="9"/>
        <v>1928756081</v>
      </c>
      <c r="D21" s="355">
        <f t="shared" si="10"/>
        <v>0.26766736496747823</v>
      </c>
      <c r="E21" s="457">
        <v>1928756081</v>
      </c>
      <c r="F21" s="262">
        <v>0.26766736496747823</v>
      </c>
      <c r="G21" s="457"/>
      <c r="H21" s="262"/>
      <c r="I21" s="457">
        <v>96108866</v>
      </c>
      <c r="J21" s="457">
        <v>1831214430</v>
      </c>
      <c r="K21" s="457">
        <v>1432785</v>
      </c>
      <c r="L21" s="457">
        <v>0</v>
      </c>
      <c r="M21" s="457">
        <v>0</v>
      </c>
      <c r="N21" s="457">
        <v>1719190233</v>
      </c>
      <c r="O21" s="457">
        <v>140487596</v>
      </c>
      <c r="P21" s="457">
        <v>30176706</v>
      </c>
      <c r="Q21" s="457">
        <v>17957142</v>
      </c>
      <c r="R21" s="457">
        <v>20944404</v>
      </c>
      <c r="S21" s="448">
        <f t="shared" si="5"/>
        <v>20407680</v>
      </c>
      <c r="T21" s="457">
        <v>19287561</v>
      </c>
      <c r="U21" s="457">
        <v>877359</v>
      </c>
      <c r="V21" s="457">
        <v>185244</v>
      </c>
      <c r="W21" s="457">
        <v>53411</v>
      </c>
      <c r="X21" s="457">
        <v>4105</v>
      </c>
      <c r="Y21" s="457">
        <v>29946087</v>
      </c>
      <c r="Z21" s="457">
        <v>0</v>
      </c>
      <c r="AA21" s="463">
        <f>+'loans_av rate'!C12+'loans_av rate'!C22</f>
        <v>1928756081</v>
      </c>
      <c r="AB21" s="463">
        <f>+'loans_av rate'!E12+'loans_av rate'!E22</f>
        <v>1928756081</v>
      </c>
      <c r="AC21" s="463">
        <f>+'loans_av rate'!G12+'loans_av rate'!G22</f>
        <v>0</v>
      </c>
    </row>
    <row r="22" spans="1:29" s="61" customFormat="1" ht="49.5" customHeight="1">
      <c r="A22" s="260">
        <v>4</v>
      </c>
      <c r="B22" s="265" t="s">
        <v>407</v>
      </c>
      <c r="C22" s="448">
        <f t="shared" si="9"/>
        <v>810648716</v>
      </c>
      <c r="D22" s="355">
        <f t="shared" si="10"/>
        <v>0.19931516547584877</v>
      </c>
      <c r="E22" s="457">
        <v>810648716</v>
      </c>
      <c r="F22" s="262">
        <v>0.19931516547584877</v>
      </c>
      <c r="G22" s="457"/>
      <c r="H22" s="262"/>
      <c r="I22" s="457">
        <v>19536232</v>
      </c>
      <c r="J22" s="457">
        <v>789516469</v>
      </c>
      <c r="K22" s="457">
        <v>1596015</v>
      </c>
      <c r="L22" s="457">
        <v>0</v>
      </c>
      <c r="M22" s="457">
        <v>0</v>
      </c>
      <c r="N22" s="457">
        <v>628942831</v>
      </c>
      <c r="O22" s="457">
        <v>90669073</v>
      </c>
      <c r="P22" s="457">
        <v>30395548</v>
      </c>
      <c r="Q22" s="457">
        <v>21198456</v>
      </c>
      <c r="R22" s="457">
        <v>39442808</v>
      </c>
      <c r="S22" s="448">
        <f t="shared" si="5"/>
        <v>9656282</v>
      </c>
      <c r="T22" s="457">
        <v>8106488</v>
      </c>
      <c r="U22" s="457">
        <v>665755</v>
      </c>
      <c r="V22" s="457">
        <v>635475</v>
      </c>
      <c r="W22" s="457">
        <v>243884</v>
      </c>
      <c r="X22" s="457">
        <v>4680</v>
      </c>
      <c r="Y22" s="457">
        <v>3131984</v>
      </c>
      <c r="Z22" s="457">
        <v>0</v>
      </c>
      <c r="AA22" s="463">
        <f>+'loans_av rate'!C11+'loans_av rate'!C13+'loans_av rate'!C21+'loans_av rate'!C23</f>
        <v>810648716</v>
      </c>
      <c r="AB22" s="463">
        <f>+'loans_av rate'!E11+'loans_av rate'!E13+'loans_av rate'!E21+'loans_av rate'!E23</f>
        <v>810648716</v>
      </c>
      <c r="AC22" s="463">
        <f>+'loans_av rate'!G11+'loans_av rate'!G13+'loans_av rate'!G21+'loans_av rate'!G23</f>
        <v>0</v>
      </c>
    </row>
    <row r="23" spans="1:29" s="61" customFormat="1" ht="49.5" customHeight="1">
      <c r="A23" s="260" t="s">
        <v>98</v>
      </c>
      <c r="B23" s="265" t="s">
        <v>448</v>
      </c>
      <c r="C23" s="448">
        <f t="shared" si="9"/>
        <v>720831361</v>
      </c>
      <c r="D23" s="355">
        <f t="shared" si="10"/>
        <v>0.27201222147914284</v>
      </c>
      <c r="E23" s="457">
        <v>720831361</v>
      </c>
      <c r="F23" s="262">
        <v>0.27201222147914284</v>
      </c>
      <c r="G23" s="457"/>
      <c r="H23" s="262"/>
      <c r="I23" s="457">
        <v>10379785</v>
      </c>
      <c r="J23" s="457">
        <v>708920261</v>
      </c>
      <c r="K23" s="457">
        <v>1531315</v>
      </c>
      <c r="L23" s="457">
        <v>0</v>
      </c>
      <c r="M23" s="457">
        <v>0</v>
      </c>
      <c r="N23" s="457">
        <v>552793307</v>
      </c>
      <c r="O23" s="457">
        <v>87922979</v>
      </c>
      <c r="P23" s="457">
        <v>29327523</v>
      </c>
      <c r="Q23" s="457">
        <v>17337929</v>
      </c>
      <c r="R23" s="457">
        <v>33449623</v>
      </c>
      <c r="S23" s="448">
        <f t="shared" si="5"/>
        <v>8726832</v>
      </c>
      <c r="T23" s="457">
        <v>7208314</v>
      </c>
      <c r="U23" s="457">
        <v>658069</v>
      </c>
      <c r="V23" s="457">
        <v>618850</v>
      </c>
      <c r="W23" s="457">
        <v>241599</v>
      </c>
      <c r="X23" s="457">
        <v>0</v>
      </c>
      <c r="Y23" s="555">
        <v>1445138</v>
      </c>
      <c r="Z23" s="457">
        <v>0</v>
      </c>
      <c r="AA23" s="463">
        <f>+'loans_av rate'!C11+'loans_av rate'!C21</f>
        <v>720831361</v>
      </c>
      <c r="AB23" s="463">
        <f>+'loans_av rate'!E11+'loans_av rate'!E21</f>
        <v>720831361</v>
      </c>
      <c r="AC23" s="463">
        <f>+'loans_av rate'!G11+'loans_av rate'!G21</f>
        <v>0</v>
      </c>
    </row>
    <row r="24" spans="1:29" s="61" customFormat="1" ht="49.5" customHeight="1">
      <c r="A24" s="260">
        <v>5</v>
      </c>
      <c r="B24" s="265" t="s">
        <v>449</v>
      </c>
      <c r="C24" s="448">
        <f t="shared" si="9"/>
        <v>432538356</v>
      </c>
      <c r="D24" s="355">
        <f t="shared" si="10"/>
        <v>0.1390266864738143</v>
      </c>
      <c r="E24" s="457">
        <v>432538356</v>
      </c>
      <c r="F24" s="262">
        <v>0.1390266864738143</v>
      </c>
      <c r="G24" s="457"/>
      <c r="H24" s="262"/>
      <c r="I24" s="457">
        <v>120733</v>
      </c>
      <c r="J24" s="457">
        <v>2019591</v>
      </c>
      <c r="K24" s="457">
        <v>339479501</v>
      </c>
      <c r="L24" s="457">
        <v>90900531</v>
      </c>
      <c r="M24" s="457">
        <v>18000</v>
      </c>
      <c r="N24" s="457">
        <v>428721765</v>
      </c>
      <c r="O24" s="457">
        <v>3438465</v>
      </c>
      <c r="P24" s="457">
        <v>136601</v>
      </c>
      <c r="Q24" s="457">
        <v>106934</v>
      </c>
      <c r="R24" s="457">
        <v>134591</v>
      </c>
      <c r="S24" s="448">
        <f t="shared" si="5"/>
        <v>4344285</v>
      </c>
      <c r="T24" s="457">
        <v>4325384</v>
      </c>
      <c r="U24" s="457">
        <v>7005</v>
      </c>
      <c r="V24" s="457">
        <v>1441</v>
      </c>
      <c r="W24" s="457">
        <v>10455</v>
      </c>
      <c r="X24" s="457">
        <v>0</v>
      </c>
      <c r="Y24" s="457">
        <v>13311</v>
      </c>
      <c r="Z24" s="457">
        <v>0</v>
      </c>
      <c r="AA24" s="463">
        <f>+'loans_av rate'!C14+'loans_av rate'!C24</f>
        <v>432538356</v>
      </c>
      <c r="AB24" s="463">
        <f>+'loans_av rate'!E14+'loans_av rate'!E24</f>
        <v>432538356</v>
      </c>
      <c r="AC24" s="463">
        <f>+'loans_av rate'!G14+'loans_av rate'!G24</f>
        <v>0</v>
      </c>
    </row>
    <row r="25" spans="1:29" s="61" customFormat="1" ht="49.5" customHeight="1">
      <c r="A25" s="260">
        <v>6</v>
      </c>
      <c r="B25" s="265" t="s">
        <v>450</v>
      </c>
      <c r="C25" s="448">
        <f t="shared" si="9"/>
        <v>3759666166</v>
      </c>
      <c r="D25" s="355">
        <f t="shared" si="10"/>
        <v>0.16945327038951208</v>
      </c>
      <c r="E25" s="457">
        <v>3759666166</v>
      </c>
      <c r="F25" s="262">
        <v>0.16945327038951208</v>
      </c>
      <c r="G25" s="457"/>
      <c r="H25" s="262"/>
      <c r="I25" s="457">
        <v>507222631</v>
      </c>
      <c r="J25" s="457">
        <v>2760676006</v>
      </c>
      <c r="K25" s="457">
        <v>491767529</v>
      </c>
      <c r="L25" s="457">
        <v>0</v>
      </c>
      <c r="M25" s="457">
        <v>0</v>
      </c>
      <c r="N25" s="457">
        <v>2931776522</v>
      </c>
      <c r="O25" s="457">
        <v>596614574</v>
      </c>
      <c r="P25" s="457">
        <v>108824437</v>
      </c>
      <c r="Q25" s="457">
        <v>64389862</v>
      </c>
      <c r="R25" s="457">
        <v>58060771</v>
      </c>
      <c r="S25" s="448">
        <f t="shared" si="5"/>
        <v>42989855</v>
      </c>
      <c r="T25" s="457">
        <v>37596662</v>
      </c>
      <c r="U25" s="457">
        <v>3166611</v>
      </c>
      <c r="V25" s="457">
        <v>1338836</v>
      </c>
      <c r="W25" s="457">
        <v>545263</v>
      </c>
      <c r="X25" s="457">
        <v>342483</v>
      </c>
      <c r="Y25" s="457">
        <v>598007870</v>
      </c>
      <c r="Z25" s="457">
        <v>0</v>
      </c>
      <c r="AA25" s="463">
        <f>+'loans_av rate'!C15+'loans_av rate'!C25</f>
        <v>3759666166</v>
      </c>
      <c r="AB25" s="463">
        <f>+'loans_av rate'!E15+'loans_av rate'!E25</f>
        <v>3759666166</v>
      </c>
      <c r="AC25" s="463">
        <f>+'loans_av rate'!G15+'loans_av rate'!G25</f>
        <v>0</v>
      </c>
    </row>
    <row r="26" spans="1:29" s="61" customFormat="1" ht="49.5" customHeight="1">
      <c r="A26" s="260">
        <v>7</v>
      </c>
      <c r="B26" s="265" t="s">
        <v>408</v>
      </c>
      <c r="C26" s="448">
        <f t="shared" si="9"/>
        <v>0</v>
      </c>
      <c r="D26" s="355">
        <f t="shared" si="10"/>
        <v>0</v>
      </c>
      <c r="E26" s="457">
        <v>0</v>
      </c>
      <c r="F26" s="262">
        <v>0</v>
      </c>
      <c r="G26" s="457"/>
      <c r="H26" s="262"/>
      <c r="I26" s="457">
        <v>0</v>
      </c>
      <c r="J26" s="457">
        <v>0</v>
      </c>
      <c r="K26" s="457">
        <v>0</v>
      </c>
      <c r="L26" s="457">
        <v>0</v>
      </c>
      <c r="M26" s="457">
        <v>0</v>
      </c>
      <c r="N26" s="457">
        <v>0</v>
      </c>
      <c r="O26" s="457">
        <v>0</v>
      </c>
      <c r="P26" s="457">
        <v>0</v>
      </c>
      <c r="Q26" s="457">
        <v>0</v>
      </c>
      <c r="R26" s="457">
        <v>0</v>
      </c>
      <c r="S26" s="448">
        <f t="shared" si="5"/>
        <v>0</v>
      </c>
      <c r="T26" s="457"/>
      <c r="U26" s="457">
        <v>0</v>
      </c>
      <c r="V26" s="457">
        <v>0</v>
      </c>
      <c r="W26" s="457">
        <v>0</v>
      </c>
      <c r="X26" s="457">
        <v>0</v>
      </c>
      <c r="Y26" s="457"/>
      <c r="Z26" s="457">
        <v>0</v>
      </c>
      <c r="AA26" s="463">
        <f>+'loans_av rate'!C16+'loans_av rate'!C26</f>
        <v>0</v>
      </c>
      <c r="AB26" s="463">
        <f>+'loans_av rate'!E16+'loans_av rate'!E26</f>
        <v>0</v>
      </c>
      <c r="AC26" s="463">
        <f>+'loans_av rate'!G16+'loans_av rate'!G26</f>
        <v>0</v>
      </c>
    </row>
    <row r="27" spans="1:29" s="64" customFormat="1" ht="49.5" customHeight="1">
      <c r="A27" s="255" t="s">
        <v>19</v>
      </c>
      <c r="B27" s="255" t="s">
        <v>451</v>
      </c>
      <c r="C27" s="452">
        <f>+C28</f>
        <v>11858723529</v>
      </c>
      <c r="D27" s="256">
        <f>IFERROR(((C29*D29)/C27)+((C30*D30)/C27)+((C31*D31)/C27)+((C32*D32)/C27)+((C33*D33)/C27)+((C34*D34)/C27)+((C35*D35)/C27),0)</f>
        <v>0.15564952934585857</v>
      </c>
      <c r="E27" s="452">
        <f t="shared" ref="E27:Z27" si="11">+E28</f>
        <v>8120724582</v>
      </c>
      <c r="F27" s="256">
        <f>IFERROR(((E29*F29)/E27)+((E30*F30)/E27)+((E31*F31)/E27)+((E32*F32)/E27)+((E33*F33)/E27)+((E34*F34)/E27)+((E35*F35)/E27),0)</f>
        <v>0.18076000623532512</v>
      </c>
      <c r="G27" s="452">
        <f t="shared" si="11"/>
        <v>3737998947</v>
      </c>
      <c r="H27" s="256">
        <f>IFERROR(((G29*H29)/G27)+((G30*H30)/G27)+((G31*H31)/G27)+((G32*H32)/G27)+((G33*H33)/G27)+((G34*H34)/G27)+((G35*H35)/G27),0)</f>
        <v>0.10109754315397114</v>
      </c>
      <c r="I27" s="452">
        <f t="shared" si="11"/>
        <v>2574565156</v>
      </c>
      <c r="J27" s="452">
        <f t="shared" si="11"/>
        <v>5366467833</v>
      </c>
      <c r="K27" s="452">
        <f t="shared" si="11"/>
        <v>3792984722</v>
      </c>
      <c r="L27" s="452">
        <f t="shared" si="11"/>
        <v>124705818</v>
      </c>
      <c r="M27" s="452">
        <f t="shared" si="11"/>
        <v>0</v>
      </c>
      <c r="N27" s="452">
        <f t="shared" si="11"/>
        <v>10485628449</v>
      </c>
      <c r="O27" s="452">
        <f t="shared" si="11"/>
        <v>886255224</v>
      </c>
      <c r="P27" s="452">
        <f t="shared" si="11"/>
        <v>80208805</v>
      </c>
      <c r="Q27" s="452">
        <f t="shared" si="11"/>
        <v>263810934</v>
      </c>
      <c r="R27" s="452">
        <f t="shared" si="11"/>
        <v>142820117</v>
      </c>
      <c r="S27" s="452">
        <f t="shared" si="11"/>
        <v>157801433</v>
      </c>
      <c r="T27" s="452">
        <f t="shared" si="11"/>
        <v>39182356</v>
      </c>
      <c r="U27" s="452">
        <f t="shared" si="11"/>
        <v>15923684</v>
      </c>
      <c r="V27" s="452">
        <f t="shared" si="11"/>
        <v>482494</v>
      </c>
      <c r="W27" s="452">
        <f t="shared" si="11"/>
        <v>46312614</v>
      </c>
      <c r="X27" s="452">
        <f t="shared" si="11"/>
        <v>55900285</v>
      </c>
      <c r="Y27" s="452">
        <f t="shared" si="11"/>
        <v>807555359</v>
      </c>
      <c r="Z27" s="452">
        <f t="shared" si="11"/>
        <v>1131683854</v>
      </c>
      <c r="AA27" s="463">
        <f>+'loans_av rate'!C28+'loans_av rate'!C37</f>
        <v>11858723529</v>
      </c>
      <c r="AB27" s="463">
        <f>+'loans_av rate'!E28+'loans_av rate'!E37</f>
        <v>8120724582</v>
      </c>
      <c r="AC27" s="463">
        <f>+'loans_av rate'!G28+'loans_av rate'!G37</f>
        <v>3737998947</v>
      </c>
    </row>
    <row r="28" spans="1:29" s="64" customFormat="1" ht="33.75" customHeight="1">
      <c r="A28" s="255"/>
      <c r="B28" s="255" t="s">
        <v>452</v>
      </c>
      <c r="C28" s="452">
        <f>SUM(C29:C35)</f>
        <v>11858723529</v>
      </c>
      <c r="D28" s="256">
        <f>IFERROR(((C29*D29)/C28)+((C30*D30)/C28)+((C31*D31)/C28)+((C32*D32)/C28)+((C33*D33)/C28)+((C34*D34)/C28)+((C35*D35)/C28),0)</f>
        <v>0.15564952934585857</v>
      </c>
      <c r="E28" s="452">
        <f>SUM(E29:E35)</f>
        <v>8120724582</v>
      </c>
      <c r="F28" s="256">
        <f>IFERROR(((E29*F29)/E28)+((E30*F30)/E28)+((E31*F31)/E28)+((E32*F32)/E28)+((E33*F33)/E28)+((E34*F34)/E28)+((E35*F35)/E28),0)</f>
        <v>0.18076000623532512</v>
      </c>
      <c r="G28" s="452">
        <f>SUM(G29:G35)</f>
        <v>3737998947</v>
      </c>
      <c r="H28" s="256">
        <f>IFERROR(+((G29*H29)/G28)+((G30*H30)/G28)+((G31*H31)/G28)+((G32*H32)/G28)+((G33*H33)/G28)+((G34*H34)/G28)+((G35*H35)/G28),0)</f>
        <v>0.10109754315397114</v>
      </c>
      <c r="I28" s="452">
        <f>SUM(I29:I35)</f>
        <v>2574565156</v>
      </c>
      <c r="J28" s="452">
        <f t="shared" ref="J28:R28" si="12">SUM(J29:J35)</f>
        <v>5366467833</v>
      </c>
      <c r="K28" s="452">
        <f t="shared" si="12"/>
        <v>3792984722</v>
      </c>
      <c r="L28" s="452">
        <f t="shared" si="12"/>
        <v>124705818</v>
      </c>
      <c r="M28" s="452">
        <f t="shared" si="12"/>
        <v>0</v>
      </c>
      <c r="N28" s="452">
        <f t="shared" si="12"/>
        <v>10485628449</v>
      </c>
      <c r="O28" s="452">
        <f t="shared" si="12"/>
        <v>886255224</v>
      </c>
      <c r="P28" s="452">
        <f t="shared" si="12"/>
        <v>80208805</v>
      </c>
      <c r="Q28" s="452">
        <f t="shared" si="12"/>
        <v>263810934</v>
      </c>
      <c r="R28" s="452">
        <f t="shared" si="12"/>
        <v>142820117</v>
      </c>
      <c r="S28" s="452">
        <f t="shared" ref="S28" si="13">SUM(S29:S35)</f>
        <v>157801433</v>
      </c>
      <c r="T28" s="452">
        <f t="shared" ref="T28" si="14">SUM(T29:T35)</f>
        <v>39182356</v>
      </c>
      <c r="U28" s="452">
        <f t="shared" ref="U28" si="15">SUM(U29:U35)</f>
        <v>15923684</v>
      </c>
      <c r="V28" s="452">
        <f t="shared" ref="V28" si="16">SUM(V29:V35)</f>
        <v>482494</v>
      </c>
      <c r="W28" s="452">
        <f t="shared" ref="W28" si="17">SUM(W29:W35)</f>
        <v>46312614</v>
      </c>
      <c r="X28" s="452">
        <f t="shared" ref="X28" si="18">SUM(X29:X35)</f>
        <v>55900285</v>
      </c>
      <c r="Y28" s="452">
        <f t="shared" ref="Y28" si="19">SUM(Y29:Y35)</f>
        <v>807555359</v>
      </c>
      <c r="Z28" s="452">
        <f t="shared" ref="Z28" si="20">SUM(Z29:Z35)</f>
        <v>1131683854</v>
      </c>
      <c r="AA28" s="463">
        <f>+'loans_av rate'!C28+'loans_av rate'!C37</f>
        <v>11858723529</v>
      </c>
      <c r="AB28" s="463">
        <f>+'loans_av rate'!E28+'loans_av rate'!E37</f>
        <v>8120724582</v>
      </c>
      <c r="AC28" s="463">
        <f>+'loans_av rate'!G28+'loans_av rate'!G37</f>
        <v>3737998947</v>
      </c>
    </row>
    <row r="29" spans="1:29" s="61" customFormat="1" ht="49.5" customHeight="1">
      <c r="A29" s="260">
        <v>1</v>
      </c>
      <c r="B29" s="265" t="s">
        <v>112</v>
      </c>
      <c r="C29" s="448">
        <f t="shared" ref="C29:C34" si="21">+E29+G29</f>
        <v>457409631</v>
      </c>
      <c r="D29" s="355">
        <f t="shared" ref="D29:D35" si="22">IFERROR((((E29*F29)+(G29*H29))/C29),0)</f>
        <v>0.19071838735770846</v>
      </c>
      <c r="E29" s="457">
        <v>457409631</v>
      </c>
      <c r="F29" s="262">
        <v>0.19071838735770846</v>
      </c>
      <c r="G29" s="457">
        <v>0</v>
      </c>
      <c r="H29" s="262">
        <v>0</v>
      </c>
      <c r="I29" s="457">
        <v>73774345</v>
      </c>
      <c r="J29" s="457">
        <v>12889702</v>
      </c>
      <c r="K29" s="457">
        <v>370745584</v>
      </c>
      <c r="L29" s="457">
        <v>0</v>
      </c>
      <c r="M29" s="457">
        <v>0</v>
      </c>
      <c r="N29" s="457">
        <v>367405623</v>
      </c>
      <c r="O29" s="457">
        <v>79229309</v>
      </c>
      <c r="P29" s="457">
        <v>1223696</v>
      </c>
      <c r="Q29" s="457">
        <v>5687733</v>
      </c>
      <c r="R29" s="457">
        <v>3863270</v>
      </c>
      <c r="S29" s="448">
        <f t="shared" ref="S29:S35" si="23">SUM(T29:X29)</f>
        <v>4845799</v>
      </c>
      <c r="T29" s="457">
        <v>4574096</v>
      </c>
      <c r="U29" s="457">
        <v>213397</v>
      </c>
      <c r="V29" s="457">
        <v>47097</v>
      </c>
      <c r="W29" s="457">
        <v>0</v>
      </c>
      <c r="X29" s="457">
        <v>11209</v>
      </c>
      <c r="Y29" s="457">
        <v>1008542</v>
      </c>
      <c r="Z29" s="457">
        <v>0</v>
      </c>
      <c r="AA29" s="463">
        <f>+'loans_av rate'!C30+'loans_av rate'!C39</f>
        <v>457409631</v>
      </c>
      <c r="AB29" s="463">
        <f>+'loans_av rate'!E30+'loans_av rate'!E39</f>
        <v>457409631</v>
      </c>
      <c r="AC29" s="463">
        <f>+'loans_av rate'!G30+'loans_av rate'!G39</f>
        <v>0</v>
      </c>
    </row>
    <row r="30" spans="1:29" s="61" customFormat="1" ht="49.5" customHeight="1">
      <c r="A30" s="260">
        <v>2</v>
      </c>
      <c r="B30" s="265" t="s">
        <v>426</v>
      </c>
      <c r="C30" s="448">
        <f t="shared" si="21"/>
        <v>0</v>
      </c>
      <c r="D30" s="355">
        <f t="shared" si="22"/>
        <v>0</v>
      </c>
      <c r="E30" s="457"/>
      <c r="F30" s="262"/>
      <c r="G30" s="457"/>
      <c r="H30" s="262"/>
      <c r="I30" s="457"/>
      <c r="J30" s="457"/>
      <c r="K30" s="457"/>
      <c r="L30" s="457"/>
      <c r="M30" s="457"/>
      <c r="N30" s="457"/>
      <c r="O30" s="457"/>
      <c r="P30" s="457"/>
      <c r="Q30" s="457"/>
      <c r="R30" s="457"/>
      <c r="S30" s="448">
        <f t="shared" si="23"/>
        <v>0</v>
      </c>
      <c r="T30" s="457"/>
      <c r="U30" s="457"/>
      <c r="V30" s="457"/>
      <c r="W30" s="457"/>
      <c r="X30" s="457"/>
      <c r="Y30" s="457"/>
      <c r="Z30" s="457"/>
      <c r="AA30" s="463">
        <f>+'loans_av rate'!C31+'loans_av rate'!C40</f>
        <v>0</v>
      </c>
      <c r="AB30" s="463">
        <f>+'loans_av rate'!E31+'loans_av rate'!E40</f>
        <v>0</v>
      </c>
      <c r="AC30" s="463">
        <f>+'loans_av rate'!G31+'loans_av rate'!G40</f>
        <v>0</v>
      </c>
    </row>
    <row r="31" spans="1:29" s="61" customFormat="1" ht="49.5" customHeight="1">
      <c r="A31" s="260">
        <v>3</v>
      </c>
      <c r="B31" s="265" t="s">
        <v>113</v>
      </c>
      <c r="C31" s="448">
        <f t="shared" si="21"/>
        <v>25220848</v>
      </c>
      <c r="D31" s="355">
        <f t="shared" si="22"/>
        <v>0.19982486873106614</v>
      </c>
      <c r="E31" s="457">
        <v>25220848</v>
      </c>
      <c r="F31" s="262">
        <v>0.19982486873106614</v>
      </c>
      <c r="G31" s="457">
        <v>0</v>
      </c>
      <c r="H31" s="262">
        <v>0</v>
      </c>
      <c r="I31" s="457">
        <v>25220848</v>
      </c>
      <c r="J31" s="457">
        <v>0</v>
      </c>
      <c r="K31" s="457">
        <v>0</v>
      </c>
      <c r="L31" s="457">
        <v>0</v>
      </c>
      <c r="M31" s="457">
        <v>0</v>
      </c>
      <c r="N31" s="457">
        <v>25000000</v>
      </c>
      <c r="O31" s="457">
        <v>0</v>
      </c>
      <c r="P31" s="457">
        <v>0</v>
      </c>
      <c r="Q31" s="457">
        <v>220848</v>
      </c>
      <c r="R31" s="457">
        <v>0</v>
      </c>
      <c r="S31" s="448">
        <f t="shared" si="23"/>
        <v>223056</v>
      </c>
      <c r="T31" s="457">
        <v>2208</v>
      </c>
      <c r="U31" s="457">
        <v>0</v>
      </c>
      <c r="V31" s="457">
        <v>0</v>
      </c>
      <c r="W31" s="457">
        <v>220848</v>
      </c>
      <c r="X31" s="457">
        <v>0</v>
      </c>
      <c r="Y31" s="457">
        <v>1871129</v>
      </c>
      <c r="Z31" s="457">
        <v>0</v>
      </c>
      <c r="AA31" s="463">
        <f>+'loans_av rate'!C32+'loans_av rate'!C41</f>
        <v>25220848</v>
      </c>
      <c r="AB31" s="463">
        <f>+'loans_av rate'!E32+'loans_av rate'!E41</f>
        <v>25220848</v>
      </c>
      <c r="AC31" s="463">
        <f>+'loans_av rate'!G32+'loans_av rate'!G41</f>
        <v>0</v>
      </c>
    </row>
    <row r="32" spans="1:29" s="61" customFormat="1" ht="49.5" customHeight="1">
      <c r="A32" s="260">
        <v>4</v>
      </c>
      <c r="B32" s="265" t="s">
        <v>114</v>
      </c>
      <c r="C32" s="448">
        <f t="shared" si="21"/>
        <v>316939901</v>
      </c>
      <c r="D32" s="355">
        <f t="shared" si="22"/>
        <v>9.021666527541343E-2</v>
      </c>
      <c r="E32" s="457">
        <v>235405291</v>
      </c>
      <c r="F32" s="262">
        <v>9.5606265088219899E-2</v>
      </c>
      <c r="G32" s="457">
        <v>81534610</v>
      </c>
      <c r="H32" s="262">
        <v>7.4655907551702538E-2</v>
      </c>
      <c r="I32" s="457">
        <v>316939901</v>
      </c>
      <c r="J32" s="457">
        <v>0</v>
      </c>
      <c r="K32" s="457">
        <v>0</v>
      </c>
      <c r="L32" s="457">
        <v>0</v>
      </c>
      <c r="M32" s="457">
        <v>0</v>
      </c>
      <c r="N32" s="457">
        <v>313277456</v>
      </c>
      <c r="O32" s="457">
        <v>3662445</v>
      </c>
      <c r="P32" s="457">
        <v>0</v>
      </c>
      <c r="Q32" s="457">
        <v>0</v>
      </c>
      <c r="R32" s="457">
        <v>0</v>
      </c>
      <c r="S32" s="448">
        <f t="shared" si="23"/>
        <v>739490</v>
      </c>
      <c r="T32" s="457">
        <v>739490</v>
      </c>
      <c r="U32" s="457">
        <v>0</v>
      </c>
      <c r="V32" s="457">
        <v>0</v>
      </c>
      <c r="W32" s="457">
        <v>0</v>
      </c>
      <c r="X32" s="457">
        <v>0</v>
      </c>
      <c r="Y32" s="457">
        <v>2163221</v>
      </c>
      <c r="Z32" s="457">
        <v>0</v>
      </c>
      <c r="AA32" s="463">
        <f>+'loans_av rate'!C33+'loans_av rate'!C42</f>
        <v>316939901</v>
      </c>
      <c r="AB32" s="463">
        <f>+'loans_av rate'!E33+'loans_av rate'!E42</f>
        <v>235405291</v>
      </c>
      <c r="AC32" s="463">
        <f>+'loans_av rate'!G33+'loans_av rate'!G42</f>
        <v>81534610</v>
      </c>
    </row>
    <row r="33" spans="1:35" s="61" customFormat="1" ht="49.5" customHeight="1">
      <c r="A33" s="260">
        <v>5</v>
      </c>
      <c r="B33" s="265" t="s">
        <v>427</v>
      </c>
      <c r="C33" s="448">
        <f t="shared" si="21"/>
        <v>0</v>
      </c>
      <c r="D33" s="355">
        <f t="shared" si="22"/>
        <v>0</v>
      </c>
      <c r="E33" s="457"/>
      <c r="F33" s="262"/>
      <c r="G33" s="457"/>
      <c r="H33" s="262"/>
      <c r="I33" s="457">
        <v>0</v>
      </c>
      <c r="J33" s="457">
        <v>0</v>
      </c>
      <c r="K33" s="457">
        <v>0</v>
      </c>
      <c r="L33" s="457">
        <v>0</v>
      </c>
      <c r="M33" s="457">
        <v>0</v>
      </c>
      <c r="N33" s="457"/>
      <c r="O33" s="457"/>
      <c r="P33" s="457"/>
      <c r="Q33" s="457"/>
      <c r="R33" s="457"/>
      <c r="S33" s="448">
        <f t="shared" si="23"/>
        <v>0</v>
      </c>
      <c r="T33" s="457"/>
      <c r="U33" s="457"/>
      <c r="V33" s="457"/>
      <c r="W33" s="457"/>
      <c r="X33" s="457"/>
      <c r="Y33" s="457"/>
      <c r="Z33" s="457"/>
      <c r="AA33" s="463">
        <f>+'loans_av rate'!C34+'loans_av rate'!C43</f>
        <v>0</v>
      </c>
      <c r="AB33" s="463">
        <f>+'loans_av rate'!E34+'loans_av rate'!E43</f>
        <v>0</v>
      </c>
      <c r="AC33" s="463">
        <f>+'loans_av rate'!G34+'loans_av rate'!G43</f>
        <v>0</v>
      </c>
      <c r="AD33" s="253">
        <f>+'Asset Classification'!E9</f>
        <v>0</v>
      </c>
      <c r="AE33" s="253">
        <f>+'Asset Classification'!I9</f>
        <v>0</v>
      </c>
      <c r="AF33" s="253">
        <f>+'Asset Classification'!M9</f>
        <v>0</v>
      </c>
      <c r="AG33" s="253">
        <f>+'Asset Classification'!Q9</f>
        <v>0</v>
      </c>
      <c r="AH33" s="253">
        <f>+'Asset Classification'!U9</f>
        <v>0</v>
      </c>
      <c r="AI33" s="253">
        <f>+'Asset Classification'!C9</f>
        <v>0</v>
      </c>
    </row>
    <row r="34" spans="1:35" s="61" customFormat="1" ht="49.5" customHeight="1">
      <c r="A34" s="260">
        <v>6</v>
      </c>
      <c r="B34" s="265" t="s">
        <v>453</v>
      </c>
      <c r="C34" s="448">
        <f t="shared" si="21"/>
        <v>0</v>
      </c>
      <c r="D34" s="355">
        <f t="shared" si="22"/>
        <v>0</v>
      </c>
      <c r="E34" s="457"/>
      <c r="F34" s="262"/>
      <c r="G34" s="457"/>
      <c r="H34" s="262"/>
      <c r="I34" s="457"/>
      <c r="J34" s="457"/>
      <c r="K34" s="457"/>
      <c r="L34" s="457"/>
      <c r="M34" s="457"/>
      <c r="N34" s="457"/>
      <c r="O34" s="457"/>
      <c r="P34" s="457"/>
      <c r="Q34" s="457"/>
      <c r="R34" s="457"/>
      <c r="S34" s="448">
        <f t="shared" si="23"/>
        <v>0</v>
      </c>
      <c r="T34" s="457"/>
      <c r="U34" s="457"/>
      <c r="V34" s="457"/>
      <c r="W34" s="457"/>
      <c r="X34" s="457"/>
      <c r="Y34" s="457"/>
      <c r="Z34" s="457"/>
      <c r="AA34" s="463"/>
      <c r="AB34" s="463"/>
      <c r="AC34" s="463"/>
      <c r="AD34" s="253">
        <f>+N33-AD33</f>
        <v>0</v>
      </c>
      <c r="AE34" s="253">
        <f t="shared" ref="AE34:AH34" si="24">+O33-AE33</f>
        <v>0</v>
      </c>
      <c r="AF34" s="253">
        <f t="shared" si="24"/>
        <v>0</v>
      </c>
      <c r="AG34" s="253">
        <f t="shared" si="24"/>
        <v>0</v>
      </c>
      <c r="AH34" s="253">
        <f t="shared" si="24"/>
        <v>0</v>
      </c>
      <c r="AI34" s="253">
        <f>+C33-AI33</f>
        <v>0</v>
      </c>
    </row>
    <row r="35" spans="1:35" s="61" customFormat="1" ht="49.5" customHeight="1">
      <c r="A35" s="260">
        <v>7</v>
      </c>
      <c r="B35" s="265" t="s">
        <v>454</v>
      </c>
      <c r="C35" s="448">
        <f t="shared" ref="C35" si="25">+E35+G35</f>
        <v>11059153149</v>
      </c>
      <c r="D35" s="355">
        <f t="shared" si="22"/>
        <v>0.15597354263056321</v>
      </c>
      <c r="E35" s="457">
        <v>7402688812</v>
      </c>
      <c r="F35" s="262">
        <v>0.18278761406296323</v>
      </c>
      <c r="G35" s="457">
        <v>3656464337</v>
      </c>
      <c r="H35" s="262">
        <v>0.10168715876290167</v>
      </c>
      <c r="I35" s="457">
        <v>2158630062</v>
      </c>
      <c r="J35" s="457">
        <v>5353578131</v>
      </c>
      <c r="K35" s="457">
        <v>3422239138</v>
      </c>
      <c r="L35" s="457">
        <v>124705818</v>
      </c>
      <c r="M35" s="457">
        <v>0</v>
      </c>
      <c r="N35" s="457">
        <v>9779945370</v>
      </c>
      <c r="O35" s="457">
        <v>803363470</v>
      </c>
      <c r="P35" s="457">
        <v>78985109</v>
      </c>
      <c r="Q35" s="457">
        <v>257902353</v>
      </c>
      <c r="R35" s="457">
        <v>138956847</v>
      </c>
      <c r="S35" s="448">
        <f t="shared" si="23"/>
        <v>151993088</v>
      </c>
      <c r="T35" s="457">
        <v>33866562</v>
      </c>
      <c r="U35" s="457">
        <v>15710287</v>
      </c>
      <c r="V35" s="457">
        <v>435397</v>
      </c>
      <c r="W35" s="457">
        <v>46091766</v>
      </c>
      <c r="X35" s="457">
        <v>55889076</v>
      </c>
      <c r="Y35" s="457">
        <v>802512467</v>
      </c>
      <c r="Z35" s="457">
        <v>1131683854</v>
      </c>
      <c r="AA35" s="463">
        <f>+'loans_av rate'!C35+'loans_av rate'!C44</f>
        <v>11059153149</v>
      </c>
      <c r="AB35" s="463">
        <f>+'loans_av rate'!E35+'loans_av rate'!E44</f>
        <v>7402688812</v>
      </c>
      <c r="AC35" s="463">
        <f>+'loans_av rate'!G35+'loans_av rate'!G44</f>
        <v>3656464337</v>
      </c>
    </row>
    <row r="36" spans="1:35" s="64" customFormat="1" ht="33.75" customHeight="1">
      <c r="A36" s="255"/>
      <c r="B36" s="255" t="s">
        <v>455</v>
      </c>
      <c r="C36" s="452">
        <f>SUM(C37:C42)</f>
        <v>11858723529</v>
      </c>
      <c r="D36" s="256">
        <f>IFERROR(((C37*D37)/C36)+((C38*D38)/C36)+((C39*D39)/C36)+((C40*D40)/C36)+((C41*D41)/C36)+((C42*D42)/C36),0)</f>
        <v>0.15439687254167531</v>
      </c>
      <c r="E36" s="452">
        <f>SUM(E37:E42)</f>
        <v>8120724582</v>
      </c>
      <c r="F36" s="256">
        <f>IFERROR(((E37*F37)/E36)+((E38*F38)/E36)+((E39*F39)/E36)+((E40*F40)/E36)+((E41*F41)/E36)+((E42*F42)/E36),0)</f>
        <v>0.18076000624826566</v>
      </c>
      <c r="G36" s="452">
        <f>SUM(G37:G42)</f>
        <v>3737998947</v>
      </c>
      <c r="H36" s="256">
        <f>IFERROR(((G37*H37)/G36)+((G38*H38)/G36)+((G39*H39)/G36)+((G40*H40)/G36)+((G41*H41)/G36)+((G42*H42)/G36),0)</f>
        <v>9.7123515597184767E-2</v>
      </c>
      <c r="I36" s="452">
        <f t="shared" ref="I36:Z36" si="26">SUM(I37:I42)</f>
        <v>2574565156</v>
      </c>
      <c r="J36" s="452">
        <f t="shared" si="26"/>
        <v>5366467833</v>
      </c>
      <c r="K36" s="452">
        <f t="shared" si="26"/>
        <v>3792984722</v>
      </c>
      <c r="L36" s="452">
        <f t="shared" si="26"/>
        <v>124705818</v>
      </c>
      <c r="M36" s="452">
        <f t="shared" si="26"/>
        <v>0</v>
      </c>
      <c r="N36" s="452">
        <f t="shared" si="26"/>
        <v>10485628449</v>
      </c>
      <c r="O36" s="452">
        <f t="shared" si="26"/>
        <v>886255224</v>
      </c>
      <c r="P36" s="452">
        <f t="shared" si="26"/>
        <v>80208805</v>
      </c>
      <c r="Q36" s="452">
        <f t="shared" si="26"/>
        <v>263810934</v>
      </c>
      <c r="R36" s="452">
        <f t="shared" si="26"/>
        <v>142820117</v>
      </c>
      <c r="S36" s="452">
        <f t="shared" si="26"/>
        <v>157801433</v>
      </c>
      <c r="T36" s="452">
        <f t="shared" si="26"/>
        <v>39182356</v>
      </c>
      <c r="U36" s="452">
        <f t="shared" si="26"/>
        <v>15923684</v>
      </c>
      <c r="V36" s="452">
        <f t="shared" si="26"/>
        <v>482494</v>
      </c>
      <c r="W36" s="452">
        <f t="shared" si="26"/>
        <v>46312614</v>
      </c>
      <c r="X36" s="452">
        <f t="shared" si="26"/>
        <v>55900285</v>
      </c>
      <c r="Y36" s="452">
        <f t="shared" si="26"/>
        <v>807555359</v>
      </c>
      <c r="Z36" s="452">
        <f t="shared" si="26"/>
        <v>1131683854</v>
      </c>
      <c r="AA36" s="463">
        <f>+'loans_av rate'!C28+'loans_av rate'!C37</f>
        <v>11858723529</v>
      </c>
      <c r="AB36" s="463">
        <f>+'loans_av rate'!E28+'loans_av rate'!E37</f>
        <v>8120724582</v>
      </c>
      <c r="AC36" s="463">
        <f>+'loans_av rate'!G28+'loans_av rate'!G37</f>
        <v>3737998947</v>
      </c>
    </row>
    <row r="37" spans="1:35" s="61" customFormat="1" ht="49.5" customHeight="1">
      <c r="A37" s="260">
        <v>1</v>
      </c>
      <c r="B37" s="265" t="s">
        <v>456</v>
      </c>
      <c r="C37" s="448">
        <f t="shared" ref="C37:C42" si="27">+E37+G37</f>
        <v>3503117390</v>
      </c>
      <c r="D37" s="355">
        <f t="shared" ref="D37:D42" si="28">IFERROR((((E37*F37)+(G37*H37))/C37),0)</f>
        <v>0.15022363884752751</v>
      </c>
      <c r="E37" s="457">
        <v>1846477437</v>
      </c>
      <c r="F37" s="262">
        <v>0.18110816511159392</v>
      </c>
      <c r="G37" s="457">
        <v>1656639953</v>
      </c>
      <c r="H37" s="262">
        <v>0.11579999670623933</v>
      </c>
      <c r="I37" s="457">
        <v>681035234</v>
      </c>
      <c r="J37" s="457">
        <v>1175813008</v>
      </c>
      <c r="K37" s="457">
        <v>1606005410</v>
      </c>
      <c r="L37" s="457">
        <v>40263738</v>
      </c>
      <c r="M37" s="457">
        <v>0</v>
      </c>
      <c r="N37" s="457">
        <v>3249114058</v>
      </c>
      <c r="O37" s="457">
        <v>157873890</v>
      </c>
      <c r="P37" s="457">
        <v>20917785</v>
      </c>
      <c r="Q37" s="457">
        <v>51647896</v>
      </c>
      <c r="R37" s="457">
        <v>23563761</v>
      </c>
      <c r="S37" s="448">
        <f t="shared" ref="S37:S42" si="29">SUM(T37:X37)</f>
        <v>26547682</v>
      </c>
      <c r="T37" s="457">
        <v>9444335</v>
      </c>
      <c r="U37" s="457">
        <v>709596</v>
      </c>
      <c r="V37" s="457">
        <v>0</v>
      </c>
      <c r="W37" s="457">
        <v>7626354</v>
      </c>
      <c r="X37" s="457">
        <v>8767397</v>
      </c>
      <c r="Y37" s="457">
        <v>95949450</v>
      </c>
      <c r="Z37" s="457">
        <v>85533956</v>
      </c>
      <c r="AA37" s="463"/>
      <c r="AB37" s="463"/>
      <c r="AC37" s="463"/>
    </row>
    <row r="38" spans="1:35" s="61" customFormat="1" ht="49.5" customHeight="1">
      <c r="A38" s="260">
        <v>2</v>
      </c>
      <c r="B38" s="265" t="s">
        <v>457</v>
      </c>
      <c r="C38" s="448">
        <f t="shared" si="27"/>
        <v>1920967407</v>
      </c>
      <c r="D38" s="355">
        <f t="shared" si="28"/>
        <v>0.20099474280703</v>
      </c>
      <c r="E38" s="457">
        <v>1784789348</v>
      </c>
      <c r="F38" s="262">
        <v>0.21633048759693313</v>
      </c>
      <c r="G38" s="457">
        <v>136178059</v>
      </c>
      <c r="H38" s="262">
        <v>0</v>
      </c>
      <c r="I38" s="457">
        <v>774796189</v>
      </c>
      <c r="J38" s="457">
        <v>1026910356</v>
      </c>
      <c r="K38" s="457">
        <v>117858672</v>
      </c>
      <c r="L38" s="457">
        <v>1402190</v>
      </c>
      <c r="M38" s="457">
        <v>0</v>
      </c>
      <c r="N38" s="457">
        <v>1763630115</v>
      </c>
      <c r="O38" s="457">
        <v>106573090</v>
      </c>
      <c r="P38" s="457">
        <v>1511957</v>
      </c>
      <c r="Q38" s="457">
        <v>31326233</v>
      </c>
      <c r="R38" s="457">
        <v>17926012</v>
      </c>
      <c r="S38" s="448">
        <f t="shared" si="29"/>
        <v>23942769</v>
      </c>
      <c r="T38" s="457">
        <v>7510409</v>
      </c>
      <c r="U38" s="457">
        <v>6229477</v>
      </c>
      <c r="V38" s="457">
        <v>0</v>
      </c>
      <c r="W38" s="457">
        <v>4451552</v>
      </c>
      <c r="X38" s="457">
        <v>5751331</v>
      </c>
      <c r="Y38" s="457">
        <v>85396519</v>
      </c>
      <c r="Z38" s="457">
        <v>53885818</v>
      </c>
      <c r="AA38" s="463"/>
      <c r="AB38" s="463"/>
      <c r="AC38" s="463"/>
    </row>
    <row r="39" spans="1:35" s="61" customFormat="1" ht="58.5" customHeight="1">
      <c r="A39" s="260">
        <v>3</v>
      </c>
      <c r="B39" s="265" t="s">
        <v>458</v>
      </c>
      <c r="C39" s="448">
        <f t="shared" si="27"/>
        <v>1675732753</v>
      </c>
      <c r="D39" s="355">
        <f t="shared" si="28"/>
        <v>0.1598377949503032</v>
      </c>
      <c r="E39" s="457">
        <v>1305441077</v>
      </c>
      <c r="F39" s="262">
        <v>0.17619452222908288</v>
      </c>
      <c r="G39" s="457">
        <v>370291676</v>
      </c>
      <c r="H39" s="262">
        <v>0.10217313474064338</v>
      </c>
      <c r="I39" s="457">
        <v>277980946</v>
      </c>
      <c r="J39" s="457">
        <v>929049197</v>
      </c>
      <c r="K39" s="457">
        <v>419083761</v>
      </c>
      <c r="L39" s="457">
        <v>49618849</v>
      </c>
      <c r="M39" s="457">
        <v>0</v>
      </c>
      <c r="N39" s="457">
        <v>1345591633</v>
      </c>
      <c r="O39" s="457">
        <v>239047437</v>
      </c>
      <c r="P39" s="457">
        <v>4068838</v>
      </c>
      <c r="Q39" s="457">
        <v>60837415</v>
      </c>
      <c r="R39" s="457">
        <v>26187430</v>
      </c>
      <c r="S39" s="448">
        <f t="shared" si="29"/>
        <v>25903054</v>
      </c>
      <c r="T39" s="457">
        <v>6022010</v>
      </c>
      <c r="U39" s="457">
        <v>1456155</v>
      </c>
      <c r="V39" s="457">
        <v>121447</v>
      </c>
      <c r="W39" s="457">
        <v>7316159</v>
      </c>
      <c r="X39" s="457">
        <v>10987283</v>
      </c>
      <c r="Y39" s="457">
        <v>80226104</v>
      </c>
      <c r="Z39" s="457">
        <v>178804034</v>
      </c>
      <c r="AA39" s="463"/>
      <c r="AB39" s="463"/>
      <c r="AC39" s="463"/>
    </row>
    <row r="40" spans="1:35" s="61" customFormat="1" ht="49.5" customHeight="1">
      <c r="A40" s="260">
        <v>4</v>
      </c>
      <c r="B40" s="265" t="s">
        <v>459</v>
      </c>
      <c r="C40" s="448">
        <f t="shared" si="27"/>
        <v>0</v>
      </c>
      <c r="D40" s="355">
        <f t="shared" si="28"/>
        <v>0</v>
      </c>
      <c r="E40" s="457">
        <v>0</v>
      </c>
      <c r="F40" s="262">
        <v>0</v>
      </c>
      <c r="G40" s="457">
        <v>0</v>
      </c>
      <c r="H40" s="262">
        <v>0</v>
      </c>
      <c r="I40" s="457">
        <v>0</v>
      </c>
      <c r="J40" s="457">
        <v>0</v>
      </c>
      <c r="K40" s="457">
        <v>0</v>
      </c>
      <c r="L40" s="457">
        <v>0</v>
      </c>
      <c r="M40" s="457">
        <v>0</v>
      </c>
      <c r="N40" s="457">
        <v>0</v>
      </c>
      <c r="O40" s="457">
        <v>0</v>
      </c>
      <c r="P40" s="457">
        <v>0</v>
      </c>
      <c r="Q40" s="457">
        <v>0</v>
      </c>
      <c r="R40" s="457">
        <v>0</v>
      </c>
      <c r="S40" s="448">
        <f t="shared" si="29"/>
        <v>0</v>
      </c>
      <c r="T40" s="457">
        <v>0</v>
      </c>
      <c r="U40" s="457">
        <v>0</v>
      </c>
      <c r="V40" s="457">
        <v>0</v>
      </c>
      <c r="W40" s="457">
        <v>0</v>
      </c>
      <c r="X40" s="457">
        <v>0</v>
      </c>
      <c r="Y40" s="457">
        <v>0</v>
      </c>
      <c r="Z40" s="457">
        <v>0</v>
      </c>
      <c r="AA40" s="463"/>
      <c r="AB40" s="463"/>
      <c r="AC40" s="463"/>
    </row>
    <row r="41" spans="1:35" s="61" customFormat="1" ht="49.5" customHeight="1">
      <c r="A41" s="260">
        <v>5</v>
      </c>
      <c r="B41" s="265" t="s">
        <v>776</v>
      </c>
      <c r="C41" s="448">
        <f t="shared" si="27"/>
        <v>454063907</v>
      </c>
      <c r="D41" s="355">
        <f t="shared" si="28"/>
        <v>0.18671091597339623</v>
      </c>
      <c r="E41" s="457">
        <v>442038577</v>
      </c>
      <c r="F41" s="262">
        <v>0.19015799199450642</v>
      </c>
      <c r="G41" s="457">
        <v>12025330</v>
      </c>
      <c r="H41" s="262">
        <v>0.06</v>
      </c>
      <c r="I41" s="457">
        <v>38763090</v>
      </c>
      <c r="J41" s="457">
        <v>189825414</v>
      </c>
      <c r="K41" s="457">
        <v>225475403</v>
      </c>
      <c r="L41" s="457">
        <v>0</v>
      </c>
      <c r="M41" s="457">
        <v>0</v>
      </c>
      <c r="N41" s="457">
        <v>385791070</v>
      </c>
      <c r="O41" s="457">
        <v>45642406</v>
      </c>
      <c r="P41" s="457">
        <v>12371695</v>
      </c>
      <c r="Q41" s="457">
        <v>5806436</v>
      </c>
      <c r="R41" s="457">
        <v>4452300</v>
      </c>
      <c r="S41" s="448">
        <f t="shared" si="29"/>
        <v>5842186</v>
      </c>
      <c r="T41" s="457">
        <v>3785164</v>
      </c>
      <c r="U41" s="457">
        <v>1473838</v>
      </c>
      <c r="V41" s="457">
        <v>313949</v>
      </c>
      <c r="W41" s="457">
        <v>56417</v>
      </c>
      <c r="X41" s="457">
        <v>212818</v>
      </c>
      <c r="Y41" s="457">
        <v>78809008</v>
      </c>
      <c r="Z41" s="457">
        <v>3257566</v>
      </c>
      <c r="AA41" s="463"/>
      <c r="AB41" s="463"/>
    </row>
    <row r="42" spans="1:35" s="61" customFormat="1" ht="49.5" customHeight="1">
      <c r="A42" s="260">
        <v>6</v>
      </c>
      <c r="B42" s="265" t="s">
        <v>460</v>
      </c>
      <c r="C42" s="448">
        <f t="shared" si="27"/>
        <v>4304842072</v>
      </c>
      <c r="D42" s="355">
        <f t="shared" si="28"/>
        <v>0.13147295720713337</v>
      </c>
      <c r="E42" s="457">
        <v>2741978143</v>
      </c>
      <c r="F42" s="262">
        <v>0.15803080042655895</v>
      </c>
      <c r="G42" s="457">
        <v>1562863929</v>
      </c>
      <c r="H42" s="262">
        <v>8.4878353363739056E-2</v>
      </c>
      <c r="I42" s="457">
        <v>801989697</v>
      </c>
      <c r="J42" s="457">
        <v>2044869858</v>
      </c>
      <c r="K42" s="457">
        <v>1424561476</v>
      </c>
      <c r="L42" s="457">
        <v>33421041</v>
      </c>
      <c r="M42" s="457">
        <v>0</v>
      </c>
      <c r="N42" s="457">
        <v>3741501573</v>
      </c>
      <c r="O42" s="457">
        <v>337118401</v>
      </c>
      <c r="P42" s="457">
        <v>41338530</v>
      </c>
      <c r="Q42" s="457">
        <v>114192954</v>
      </c>
      <c r="R42" s="457">
        <v>70690614</v>
      </c>
      <c r="S42" s="448">
        <f t="shared" si="29"/>
        <v>75565742</v>
      </c>
      <c r="T42" s="457">
        <v>12420438</v>
      </c>
      <c r="U42" s="554">
        <v>6054618</v>
      </c>
      <c r="V42" s="554">
        <v>47098</v>
      </c>
      <c r="W42" s="554">
        <v>26862132</v>
      </c>
      <c r="X42" s="554">
        <v>30181456</v>
      </c>
      <c r="Y42" s="457">
        <v>467174278</v>
      </c>
      <c r="Z42" s="457">
        <v>810202480</v>
      </c>
    </row>
    <row r="43" spans="1:35" s="61" customFormat="1" ht="37.5" customHeight="1">
      <c r="A43" s="266"/>
      <c r="B43" s="267"/>
      <c r="C43" s="454"/>
      <c r="D43" s="268"/>
      <c r="E43" s="454"/>
      <c r="F43" s="65"/>
      <c r="G43" s="454"/>
      <c r="H43" s="65"/>
      <c r="I43" s="460"/>
      <c r="J43" s="460"/>
      <c r="K43" s="460"/>
      <c r="L43" s="460"/>
      <c r="M43" s="460"/>
      <c r="N43" s="461"/>
      <c r="O43" s="461"/>
      <c r="P43" s="461"/>
      <c r="Q43" s="461"/>
      <c r="R43" s="461"/>
      <c r="S43" s="461"/>
      <c r="T43" s="461"/>
      <c r="U43" s="461"/>
      <c r="V43" s="461"/>
      <c r="W43" s="461"/>
      <c r="X43" s="461"/>
      <c r="Y43" s="461"/>
      <c r="Z43" s="461"/>
    </row>
    <row r="44" spans="1:35" s="24" customFormat="1" ht="21" customHeight="1">
      <c r="B44" s="330" t="s">
        <v>690</v>
      </c>
      <c r="C44" s="374"/>
      <c r="E44" s="374"/>
      <c r="F44" s="81"/>
      <c r="G44" s="447"/>
      <c r="H44" s="81"/>
      <c r="I44" s="447"/>
      <c r="J44" s="447"/>
      <c r="K44" s="447"/>
      <c r="L44" s="447"/>
      <c r="M44" s="447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</row>
    <row r="45" spans="1:35" s="24" customFormat="1" ht="21" customHeight="1">
      <c r="B45" s="330"/>
      <c r="C45" s="374"/>
      <c r="E45" s="374"/>
      <c r="F45" s="81"/>
      <c r="G45" s="447"/>
      <c r="H45" s="81"/>
      <c r="I45" s="447"/>
      <c r="J45" s="447"/>
      <c r="K45" s="447"/>
      <c r="L45" s="447"/>
      <c r="M45" s="447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</row>
    <row r="46" spans="1:35" s="24" customFormat="1" ht="21" customHeight="1">
      <c r="B46" s="330" t="s">
        <v>691</v>
      </c>
      <c r="C46" s="374"/>
      <c r="E46" s="374"/>
      <c r="F46" s="81"/>
      <c r="G46" s="447"/>
      <c r="H46" s="81"/>
      <c r="I46" s="447"/>
      <c r="J46" s="447"/>
      <c r="K46" s="447"/>
      <c r="L46" s="447"/>
      <c r="M46" s="447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</row>
    <row r="47" spans="1:35" s="25" customFormat="1" ht="15.75">
      <c r="A47" s="30"/>
      <c r="C47" s="445"/>
      <c r="E47" s="445"/>
      <c r="G47" s="445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5"/>
      <c r="V47" s="445"/>
      <c r="W47" s="445"/>
      <c r="X47" s="445"/>
      <c r="Y47" s="445"/>
      <c r="Z47" s="445"/>
    </row>
    <row r="48" spans="1:35" s="4" customFormat="1" ht="15.75">
      <c r="A48" s="19"/>
      <c r="B48" s="23"/>
      <c r="C48" s="439"/>
      <c r="E48" s="439"/>
      <c r="G48" s="439"/>
      <c r="I48" s="439"/>
      <c r="J48" s="462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s="4" customFormat="1" ht="15.75">
      <c r="A49" s="19"/>
      <c r="B49" s="23"/>
      <c r="C49" s="439"/>
      <c r="E49" s="439"/>
      <c r="G49" s="439"/>
      <c r="I49" s="439"/>
      <c r="J49" s="462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s="4" customFormat="1" ht="15.75">
      <c r="A50" s="19"/>
      <c r="B50" s="23"/>
      <c r="C50" s="439"/>
      <c r="E50" s="439"/>
      <c r="G50" s="439"/>
      <c r="I50" s="439"/>
      <c r="J50" s="462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s="67" customFormat="1" ht="15.75">
      <c r="A51" s="66"/>
      <c r="C51" s="455"/>
      <c r="E51" s="455"/>
      <c r="G51" s="455"/>
      <c r="I51" s="455"/>
      <c r="J51" s="455"/>
      <c r="K51" s="455"/>
      <c r="L51" s="455"/>
      <c r="M51" s="455"/>
      <c r="N51" s="455"/>
      <c r="O51" s="455"/>
      <c r="P51" s="455"/>
      <c r="Q51" s="455"/>
      <c r="R51" s="455"/>
      <c r="S51" s="455"/>
      <c r="T51" s="455"/>
      <c r="U51" s="455"/>
      <c r="V51" s="455"/>
      <c r="W51" s="455"/>
      <c r="X51" s="455"/>
      <c r="Y51" s="455"/>
      <c r="Z51" s="455"/>
    </row>
  </sheetData>
  <sheetProtection password="CACA" sheet="1" objects="1" scenarios="1"/>
  <mergeCells count="17">
    <mergeCell ref="J5:J6"/>
    <mergeCell ref="K5:K6"/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</mergeCells>
  <conditionalFormatting sqref="C8:C9">
    <cfRule type="cellIs" dxfId="86" priority="194" operator="notEqual">
      <formula>I8+J8+K8+L8+M8</formula>
    </cfRule>
    <cfRule type="cellIs" dxfId="85" priority="193" operator="notEqual">
      <formula>N8+O8+P8+Q8+R8</formula>
    </cfRule>
    <cfRule type="cellIs" dxfId="84" priority="192" operator="notEqual">
      <formula>AA8</formula>
    </cfRule>
  </conditionalFormatting>
  <conditionalFormatting sqref="C11 C16">
    <cfRule type="cellIs" dxfId="83" priority="837" operator="notEqual">
      <formula>I11+J11+K11+L11+M11</formula>
    </cfRule>
    <cfRule type="cellIs" dxfId="82" priority="836" operator="notEqual">
      <formula>N11+O11+P11+Q11+R11</formula>
    </cfRule>
    <cfRule type="cellIs" dxfId="81" priority="835" operator="notEqual">
      <formula>AA11</formula>
    </cfRule>
  </conditionalFormatting>
  <conditionalFormatting sqref="C12:C15">
    <cfRule type="cellIs" dxfId="80" priority="316" operator="notEqual">
      <formula>I12+J12+K12+L12+M12</formula>
    </cfRule>
    <cfRule type="cellIs" dxfId="79" priority="315" operator="notEqual">
      <formula>N12+O12+P12+Q12+R12</formula>
    </cfRule>
  </conditionalFormatting>
  <conditionalFormatting sqref="C17:C26">
    <cfRule type="cellIs" dxfId="78" priority="10" operator="notEqual">
      <formula>N17+O17+P17+Q17+R17</formula>
    </cfRule>
    <cfRule type="cellIs" dxfId="77" priority="11" operator="notEqual">
      <formula>I17+J17+K17+L17+M17</formula>
    </cfRule>
  </conditionalFormatting>
  <conditionalFormatting sqref="C21:C26">
    <cfRule type="cellIs" dxfId="76" priority="9" operator="notEqual">
      <formula>AA21</formula>
    </cfRule>
  </conditionalFormatting>
  <conditionalFormatting sqref="C27">
    <cfRule type="cellIs" dxfId="75" priority="86" operator="notEqual">
      <formula>C36</formula>
    </cfRule>
  </conditionalFormatting>
  <conditionalFormatting sqref="C27:C28">
    <cfRule type="cellIs" dxfId="74" priority="173" operator="notEqual">
      <formula>AA27</formula>
    </cfRule>
    <cfRule type="cellIs" dxfId="73" priority="174" operator="notEqual">
      <formula>N27+O27+P27+Q27+R27</formula>
    </cfRule>
    <cfRule type="cellIs" dxfId="72" priority="175" operator="notEqual">
      <formula>I27+J27+K27+L27+M27</formula>
    </cfRule>
  </conditionalFormatting>
  <conditionalFormatting sqref="C29:C33">
    <cfRule type="cellIs" dxfId="71" priority="128" operator="notEqual">
      <formula>AA29</formula>
    </cfRule>
    <cfRule type="cellIs" dxfId="70" priority="129" operator="notEqual">
      <formula>N29+O29+P29+Q29+R29</formula>
    </cfRule>
    <cfRule type="cellIs" dxfId="69" priority="130" operator="notEqual">
      <formula>I29+J29+K29+L29+M29</formula>
    </cfRule>
  </conditionalFormatting>
  <conditionalFormatting sqref="C33">
    <cfRule type="cellIs" dxfId="68" priority="6" operator="notEqual">
      <formula>$AI$33</formula>
    </cfRule>
  </conditionalFormatting>
  <conditionalFormatting sqref="C35:C42">
    <cfRule type="cellIs" dxfId="67" priority="102" operator="notEqual">
      <formula>N35+O35+P35+Q35+R35</formula>
    </cfRule>
    <cfRule type="cellIs" dxfId="66" priority="103" operator="notEqual">
      <formula>I35+J35+K35+L35+M35</formula>
    </cfRule>
  </conditionalFormatting>
  <conditionalFormatting sqref="C36">
    <cfRule type="cellIs" dxfId="65" priority="100" operator="notEqual">
      <formula>C27</formula>
    </cfRule>
    <cfRule type="cellIs" dxfId="64" priority="101" operator="notEqual">
      <formula>AA36</formula>
    </cfRule>
  </conditionalFormatting>
  <conditionalFormatting sqref="E8">
    <cfRule type="cellIs" dxfId="63" priority="191" operator="notEqual">
      <formula>$AB$8</formula>
    </cfRule>
  </conditionalFormatting>
  <conditionalFormatting sqref="E9">
    <cfRule type="cellIs" dxfId="62" priority="189" operator="notEqual">
      <formula>$AB$9</formula>
    </cfRule>
  </conditionalFormatting>
  <conditionalFormatting sqref="E11">
    <cfRule type="cellIs" dxfId="61" priority="187" operator="notEqual">
      <formula>$AB$11</formula>
    </cfRule>
  </conditionalFormatting>
  <conditionalFormatting sqref="E16">
    <cfRule type="cellIs" dxfId="60" priority="185" operator="notEqual">
      <formula>$AB$16</formula>
    </cfRule>
  </conditionalFormatting>
  <conditionalFormatting sqref="E27">
    <cfRule type="cellIs" dxfId="59" priority="85" operator="notEqual">
      <formula>E36</formula>
    </cfRule>
  </conditionalFormatting>
  <conditionalFormatting sqref="E27:E28">
    <cfRule type="cellIs" dxfId="58" priority="172" operator="notEqual">
      <formula>AB27</formula>
    </cfRule>
  </conditionalFormatting>
  <conditionalFormatting sqref="E36">
    <cfRule type="cellIs" dxfId="57" priority="367" operator="notEqual">
      <formula>$AB$36</formula>
    </cfRule>
    <cfRule type="cellIs" dxfId="56" priority="99" operator="notEqual">
      <formula>E27</formula>
    </cfRule>
  </conditionalFormatting>
  <conditionalFormatting sqref="G8">
    <cfRule type="cellIs" dxfId="55" priority="190" operator="notEqual">
      <formula>$AC$8</formula>
    </cfRule>
  </conditionalFormatting>
  <conditionalFormatting sqref="G9">
    <cfRule type="cellIs" dxfId="54" priority="188" operator="notEqual">
      <formula>$AC$9</formula>
    </cfRule>
  </conditionalFormatting>
  <conditionalFormatting sqref="G11">
    <cfRule type="cellIs" dxfId="53" priority="186" operator="notEqual">
      <formula>$AC$11</formula>
    </cfRule>
  </conditionalFormatting>
  <conditionalFormatting sqref="G16">
    <cfRule type="cellIs" dxfId="52" priority="184" operator="notEqual">
      <formula>$AC$16</formula>
    </cfRule>
  </conditionalFormatting>
  <conditionalFormatting sqref="G27">
    <cfRule type="cellIs" dxfId="51" priority="84" operator="notEqual">
      <formula>$G$36</formula>
    </cfRule>
    <cfRule type="cellIs" dxfId="50" priority="176" operator="notEqual">
      <formula>$AC$27</formula>
    </cfRule>
  </conditionalFormatting>
  <conditionalFormatting sqref="G28">
    <cfRule type="cellIs" dxfId="49" priority="171" operator="notEqual">
      <formula>$AC$28</formula>
    </cfRule>
  </conditionalFormatting>
  <conditionalFormatting sqref="G36">
    <cfRule type="cellIs" dxfId="48" priority="98" operator="notEqual">
      <formula>G27</formula>
    </cfRule>
    <cfRule type="cellIs" dxfId="47" priority="366" operator="notEqual">
      <formula>$AC$36</formula>
    </cfRule>
  </conditionalFormatting>
  <conditionalFormatting sqref="I27:Z27">
    <cfRule type="cellIs" dxfId="46" priority="32" operator="notEqual">
      <formula>I28</formula>
    </cfRule>
    <cfRule type="cellIs" dxfId="45" priority="30" operator="notEqual">
      <formula>I36</formula>
    </cfRule>
  </conditionalFormatting>
  <conditionalFormatting sqref="I28:Z28">
    <cfRule type="cellIs" dxfId="44" priority="31" operator="notEqual">
      <formula>I27</formula>
    </cfRule>
  </conditionalFormatting>
  <conditionalFormatting sqref="I36:Z36">
    <cfRule type="cellIs" dxfId="43" priority="12" operator="notEqual">
      <formula>I27</formula>
    </cfRule>
  </conditionalFormatting>
  <conditionalFormatting sqref="N8">
    <cfRule type="cellIs" dxfId="42" priority="838" operator="notEqual">
      <formula>AD8</formula>
    </cfRule>
  </conditionalFormatting>
  <conditionalFormatting sqref="N9">
    <cfRule type="cellIs" dxfId="41" priority="241" operator="notEqual">
      <formula>$AD$13</formula>
    </cfRule>
  </conditionalFormatting>
  <conditionalFormatting sqref="N33">
    <cfRule type="cellIs" dxfId="40" priority="5" operator="notEqual">
      <formula>$AD$33</formula>
    </cfRule>
  </conditionalFormatting>
  <conditionalFormatting sqref="O8">
    <cfRule type="cellIs" dxfId="39" priority="839" operator="notEqual">
      <formula>$AE$8</formula>
    </cfRule>
  </conditionalFormatting>
  <conditionalFormatting sqref="O9">
    <cfRule type="cellIs" dxfId="38" priority="240" operator="notEqual">
      <formula>$AE$13</formula>
    </cfRule>
  </conditionalFormatting>
  <conditionalFormatting sqref="O33">
    <cfRule type="cellIs" dxfId="37" priority="4" operator="notEqual">
      <formula>$AE$33</formula>
    </cfRule>
  </conditionalFormatting>
  <conditionalFormatting sqref="P8">
    <cfRule type="cellIs" dxfId="36" priority="840" operator="notEqual">
      <formula>$AF$8</formula>
    </cfRule>
  </conditionalFormatting>
  <conditionalFormatting sqref="P9">
    <cfRule type="cellIs" dxfId="35" priority="239" operator="notEqual">
      <formula>$AF$13</formula>
    </cfRule>
  </conditionalFormatting>
  <conditionalFormatting sqref="P33">
    <cfRule type="cellIs" dxfId="34" priority="3" operator="notEqual">
      <formula>$AF$33</formula>
    </cfRule>
  </conditionalFormatting>
  <conditionalFormatting sqref="Q8">
    <cfRule type="cellIs" dxfId="33" priority="841" operator="notEqual">
      <formula>$AG$8</formula>
    </cfRule>
  </conditionalFormatting>
  <conditionalFormatting sqref="Q9">
    <cfRule type="cellIs" dxfId="32" priority="238" operator="notEqual">
      <formula>$AG$13</formula>
    </cfRule>
  </conditionalFormatting>
  <conditionalFormatting sqref="Q33">
    <cfRule type="cellIs" dxfId="31" priority="2" operator="notEqual">
      <formula>$AG$33</formula>
    </cfRule>
  </conditionalFormatting>
  <conditionalFormatting sqref="R8">
    <cfRule type="cellIs" dxfId="30" priority="842" operator="notEqual">
      <formula>$AH$8</formula>
    </cfRule>
  </conditionalFormatting>
  <conditionalFormatting sqref="R9">
    <cfRule type="cellIs" dxfId="29" priority="237" operator="notEqual">
      <formula>$AH$13</formula>
    </cfRule>
  </conditionalFormatting>
  <conditionalFormatting sqref="R33">
    <cfRule type="cellIs" dxfId="28" priority="1" operator="notEqual">
      <formula>$AH$33</formula>
    </cfRule>
  </conditionalFormatting>
  <conditionalFormatting sqref="T8">
    <cfRule type="cellIs" dxfId="27" priority="378" operator="notEqual">
      <formula>$AD$10</formula>
    </cfRule>
  </conditionalFormatting>
  <conditionalFormatting sqref="T9">
    <cfRule type="cellIs" dxfId="26" priority="236" operator="notEqual">
      <formula>$AD$15</formula>
    </cfRule>
  </conditionalFormatting>
  <conditionalFormatting sqref="U8">
    <cfRule type="cellIs" dxfId="25" priority="377" operator="notEqual">
      <formula>$AE$10</formula>
    </cfRule>
  </conditionalFormatting>
  <conditionalFormatting sqref="U9">
    <cfRule type="cellIs" dxfId="24" priority="235" operator="notEqual">
      <formula>$AE$15</formula>
    </cfRule>
  </conditionalFormatting>
  <conditionalFormatting sqref="V8">
    <cfRule type="cellIs" dxfId="23" priority="376" operator="notEqual">
      <formula>$AF$10</formula>
    </cfRule>
  </conditionalFormatting>
  <conditionalFormatting sqref="V9">
    <cfRule type="cellIs" dxfId="22" priority="234" operator="notEqual">
      <formula>$AF$15</formula>
    </cfRule>
  </conditionalFormatting>
  <conditionalFormatting sqref="W8">
    <cfRule type="cellIs" dxfId="21" priority="375" operator="notEqual">
      <formula>$AG$10</formula>
    </cfRule>
  </conditionalFormatting>
  <conditionalFormatting sqref="W9">
    <cfRule type="cellIs" dxfId="20" priority="233" operator="notEqual">
      <formula>$AG$15</formula>
    </cfRule>
  </conditionalFormatting>
  <conditionalFormatting sqref="X8">
    <cfRule type="cellIs" dxfId="19" priority="374" operator="notEqual">
      <formula>$AH$10</formula>
    </cfRule>
  </conditionalFormatting>
  <conditionalFormatting sqref="X9">
    <cfRule type="cellIs" dxfId="18" priority="232" operator="notEqual">
      <formula>$AH$15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H45"/>
  <sheetViews>
    <sheetView view="pageBreakPreview" zoomScale="80" zoomScaleNormal="55" zoomScaleSheetLayoutView="80" workbookViewId="0">
      <pane xSplit="2" ySplit="6" topLeftCell="C7" activePane="bottomRight" state="frozen"/>
      <selection activeCell="I44" sqref="I44:I45"/>
      <selection pane="topRight" activeCell="I44" sqref="I44:I45"/>
      <selection pane="bottomLeft" activeCell="I44" sqref="I44:I45"/>
      <selection pane="bottomRight" activeCell="I44" sqref="I44:I45"/>
    </sheetView>
  </sheetViews>
  <sheetFormatPr defaultRowHeight="15"/>
  <cols>
    <col min="1" max="1" width="9.140625" style="525"/>
    <col min="2" max="2" width="61.85546875" style="525" customWidth="1"/>
    <col min="3" max="3" width="20.140625" style="525" customWidth="1"/>
    <col min="4" max="4" width="9.85546875" style="533" customWidth="1"/>
    <col min="5" max="5" width="20.140625" style="525" customWidth="1"/>
    <col min="6" max="6" width="10.42578125" style="533" customWidth="1"/>
    <col min="7" max="7" width="20.140625" style="525" customWidth="1"/>
    <col min="8" max="8" width="10.42578125" style="533" customWidth="1"/>
    <col min="9" max="9" width="20.140625" style="525" customWidth="1"/>
    <col min="10" max="10" width="9.85546875" style="533" customWidth="1"/>
    <col min="11" max="11" width="20.140625" style="525" customWidth="1"/>
    <col min="12" max="12" width="10.42578125" style="533" customWidth="1"/>
    <col min="13" max="13" width="20.140625" style="525" customWidth="1"/>
    <col min="14" max="14" width="10.42578125" style="533" customWidth="1"/>
    <col min="15" max="15" width="20.140625" style="525" customWidth="1"/>
    <col min="16" max="16" width="9.85546875" style="533" customWidth="1"/>
    <col min="17" max="17" width="20.140625" style="525" customWidth="1"/>
    <col min="18" max="18" width="10.42578125" style="533" customWidth="1"/>
    <col min="19" max="19" width="20.140625" style="525" customWidth="1"/>
    <col min="20" max="20" width="10.42578125" style="533" customWidth="1"/>
    <col min="21" max="21" width="20.140625" style="525" customWidth="1"/>
    <col min="22" max="22" width="9.85546875" style="533" customWidth="1"/>
    <col min="23" max="23" width="20.140625" style="525" customWidth="1"/>
    <col min="24" max="24" width="10.42578125" style="533" customWidth="1"/>
    <col min="25" max="25" width="20.140625" style="525" customWidth="1"/>
    <col min="26" max="26" width="10.42578125" style="533" customWidth="1"/>
    <col min="27" max="27" width="20.140625" style="525" customWidth="1"/>
    <col min="28" max="28" width="9.85546875" style="533" customWidth="1"/>
    <col min="29" max="29" width="20.140625" style="525" customWidth="1"/>
    <col min="30" max="30" width="10.42578125" style="533" customWidth="1"/>
    <col min="31" max="31" width="20.140625" style="525" customWidth="1"/>
    <col min="32" max="32" width="10.42578125" style="533" customWidth="1"/>
    <col min="33" max="33" width="20.140625" style="525" customWidth="1"/>
    <col min="34" max="34" width="9.85546875" style="533" customWidth="1"/>
    <col min="35" max="35" width="20.140625" style="525" customWidth="1"/>
    <col min="36" max="36" width="10.42578125" style="533" customWidth="1"/>
    <col min="37" max="37" width="20.140625" style="525" customWidth="1"/>
    <col min="38" max="38" width="10.42578125" style="533" customWidth="1"/>
    <col min="39" max="39" width="20.140625" style="525" customWidth="1"/>
    <col min="40" max="40" width="9.85546875" style="533" customWidth="1"/>
    <col min="41" max="41" width="20.140625" style="525" customWidth="1"/>
    <col min="42" max="42" width="10.42578125" style="533" customWidth="1"/>
    <col min="43" max="43" width="20.140625" style="525" customWidth="1"/>
    <col min="44" max="44" width="10.42578125" style="533" customWidth="1"/>
    <col min="45" max="45" width="20.140625" style="525" customWidth="1"/>
    <col min="46" max="46" width="9.85546875" style="533" customWidth="1"/>
    <col min="47" max="47" width="20.140625" style="525" customWidth="1"/>
    <col min="48" max="48" width="10.42578125" style="533" customWidth="1"/>
    <col min="49" max="49" width="20.140625" style="525" customWidth="1"/>
    <col min="50" max="50" width="10.42578125" style="533" customWidth="1"/>
    <col min="51" max="51" width="23" style="525" customWidth="1"/>
    <col min="52" max="52" width="9.85546875" style="533" customWidth="1"/>
    <col min="53" max="53" width="24.85546875" style="525" customWidth="1"/>
    <col min="54" max="54" width="10.42578125" style="533" customWidth="1"/>
    <col min="55" max="55" width="24.85546875" style="525" customWidth="1"/>
    <col min="56" max="56" width="9.85546875" style="533" customWidth="1"/>
    <col min="57" max="57" width="5.85546875" style="525" customWidth="1"/>
    <col min="58" max="59" width="18.7109375" style="534" customWidth="1"/>
    <col min="60" max="66" width="27.28515625" style="525" customWidth="1"/>
    <col min="67" max="16384" width="9.140625" style="525"/>
  </cols>
  <sheetData>
    <row r="1" spans="1:60" s="531" customFormat="1" ht="28.5" customHeight="1">
      <c r="A1" s="689" t="s">
        <v>788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89"/>
      <c r="AA1" s="689"/>
      <c r="AB1" s="689"/>
      <c r="AC1" s="689"/>
      <c r="AD1" s="689"/>
      <c r="AE1" s="689"/>
      <c r="AF1" s="689"/>
      <c r="AG1" s="689"/>
      <c r="AH1" s="689"/>
      <c r="AI1" s="689"/>
      <c r="AJ1" s="689"/>
      <c r="AK1" s="689"/>
      <c r="AL1" s="689"/>
      <c r="AM1" s="689"/>
      <c r="AN1" s="689"/>
      <c r="AO1" s="689"/>
      <c r="AP1" s="689"/>
      <c r="AQ1" s="689"/>
      <c r="AR1" s="689"/>
      <c r="AS1" s="689"/>
      <c r="AT1" s="689"/>
      <c r="AU1" s="689"/>
      <c r="AV1" s="689"/>
      <c r="AW1" s="689"/>
      <c r="AX1" s="689"/>
      <c r="AY1" s="689"/>
      <c r="AZ1" s="689"/>
      <c r="BA1" s="689"/>
      <c r="BB1" s="689"/>
      <c r="BC1" s="690" t="s">
        <v>461</v>
      </c>
      <c r="BD1" s="690"/>
      <c r="BF1" s="532"/>
      <c r="BG1" s="532"/>
    </row>
    <row r="3" spans="1:60">
      <c r="BA3" s="691">
        <f>+'Asset quality'!Q3</f>
        <v>46021</v>
      </c>
      <c r="BB3" s="691"/>
      <c r="BD3" s="522" t="s">
        <v>721</v>
      </c>
    </row>
    <row r="4" spans="1:60" ht="22.5" customHeight="1">
      <c r="A4" s="692" t="s">
        <v>23</v>
      </c>
      <c r="B4" s="692" t="s">
        <v>216</v>
      </c>
      <c r="C4" s="692" t="s">
        <v>462</v>
      </c>
      <c r="D4" s="692"/>
      <c r="E4" s="692"/>
      <c r="F4" s="692"/>
      <c r="G4" s="692"/>
      <c r="H4" s="692"/>
      <c r="I4" s="692" t="s">
        <v>722</v>
      </c>
      <c r="J4" s="692"/>
      <c r="K4" s="692"/>
      <c r="L4" s="692"/>
      <c r="M4" s="692"/>
      <c r="N4" s="692"/>
      <c r="O4" s="692" t="s">
        <v>723</v>
      </c>
      <c r="P4" s="692"/>
      <c r="Q4" s="692"/>
      <c r="R4" s="692"/>
      <c r="S4" s="692"/>
      <c r="T4" s="692"/>
      <c r="U4" s="692" t="s">
        <v>724</v>
      </c>
      <c r="V4" s="692"/>
      <c r="W4" s="692"/>
      <c r="X4" s="692"/>
      <c r="Y4" s="692"/>
      <c r="Z4" s="692"/>
      <c r="AA4" s="692" t="s">
        <v>725</v>
      </c>
      <c r="AB4" s="692"/>
      <c r="AC4" s="692"/>
      <c r="AD4" s="692"/>
      <c r="AE4" s="692"/>
      <c r="AF4" s="692"/>
      <c r="AG4" s="692" t="s">
        <v>726</v>
      </c>
      <c r="AH4" s="692"/>
      <c r="AI4" s="692"/>
      <c r="AJ4" s="692"/>
      <c r="AK4" s="692"/>
      <c r="AL4" s="692"/>
      <c r="AM4" s="692" t="s">
        <v>727</v>
      </c>
      <c r="AN4" s="692"/>
      <c r="AO4" s="692"/>
      <c r="AP4" s="692"/>
      <c r="AQ4" s="692"/>
      <c r="AR4" s="692"/>
      <c r="AS4" s="692" t="s">
        <v>466</v>
      </c>
      <c r="AT4" s="692"/>
      <c r="AU4" s="692"/>
      <c r="AV4" s="692"/>
      <c r="AW4" s="692"/>
      <c r="AX4" s="692"/>
      <c r="AY4" s="692" t="s">
        <v>166</v>
      </c>
      <c r="AZ4" s="692" t="s">
        <v>729</v>
      </c>
      <c r="BA4" s="693" t="s">
        <v>728</v>
      </c>
      <c r="BB4" s="694"/>
      <c r="BC4" s="695"/>
      <c r="BD4" s="696"/>
    </row>
    <row r="5" spans="1:60" ht="22.5" customHeight="1">
      <c r="A5" s="692"/>
      <c r="B5" s="692"/>
      <c r="C5" s="700" t="s">
        <v>100</v>
      </c>
      <c r="D5" s="700" t="s">
        <v>784</v>
      </c>
      <c r="E5" s="702" t="s">
        <v>730</v>
      </c>
      <c r="F5" s="703"/>
      <c r="G5" s="703"/>
      <c r="H5" s="704"/>
      <c r="I5" s="700" t="s">
        <v>100</v>
      </c>
      <c r="J5" s="700" t="s">
        <v>784</v>
      </c>
      <c r="K5" s="702" t="s">
        <v>730</v>
      </c>
      <c r="L5" s="703"/>
      <c r="M5" s="703"/>
      <c r="N5" s="704"/>
      <c r="O5" s="700" t="s">
        <v>100</v>
      </c>
      <c r="P5" s="700" t="s">
        <v>784</v>
      </c>
      <c r="Q5" s="702" t="s">
        <v>730</v>
      </c>
      <c r="R5" s="703"/>
      <c r="S5" s="703"/>
      <c r="T5" s="704"/>
      <c r="U5" s="700" t="s">
        <v>100</v>
      </c>
      <c r="V5" s="700" t="s">
        <v>784</v>
      </c>
      <c r="W5" s="702" t="s">
        <v>730</v>
      </c>
      <c r="X5" s="703"/>
      <c r="Y5" s="703"/>
      <c r="Z5" s="704"/>
      <c r="AA5" s="700" t="s">
        <v>100</v>
      </c>
      <c r="AB5" s="700" t="s">
        <v>784</v>
      </c>
      <c r="AC5" s="702" t="s">
        <v>730</v>
      </c>
      <c r="AD5" s="703"/>
      <c r="AE5" s="703"/>
      <c r="AF5" s="704"/>
      <c r="AG5" s="700" t="s">
        <v>100</v>
      </c>
      <c r="AH5" s="700" t="s">
        <v>784</v>
      </c>
      <c r="AI5" s="702" t="s">
        <v>730</v>
      </c>
      <c r="AJ5" s="703"/>
      <c r="AK5" s="703"/>
      <c r="AL5" s="704"/>
      <c r="AM5" s="700" t="s">
        <v>100</v>
      </c>
      <c r="AN5" s="700" t="s">
        <v>784</v>
      </c>
      <c r="AO5" s="702" t="s">
        <v>730</v>
      </c>
      <c r="AP5" s="703"/>
      <c r="AQ5" s="703"/>
      <c r="AR5" s="704"/>
      <c r="AS5" s="700" t="s">
        <v>100</v>
      </c>
      <c r="AT5" s="700" t="s">
        <v>784</v>
      </c>
      <c r="AU5" s="702" t="s">
        <v>730</v>
      </c>
      <c r="AV5" s="703"/>
      <c r="AW5" s="703"/>
      <c r="AX5" s="704"/>
      <c r="AY5" s="692"/>
      <c r="AZ5" s="692"/>
      <c r="BA5" s="697"/>
      <c r="BB5" s="698"/>
      <c r="BC5" s="698"/>
      <c r="BD5" s="699"/>
    </row>
    <row r="6" spans="1:60" ht="111.75" customHeight="1">
      <c r="A6" s="692"/>
      <c r="B6" s="692"/>
      <c r="C6" s="701"/>
      <c r="D6" s="701"/>
      <c r="E6" s="504" t="s">
        <v>217</v>
      </c>
      <c r="F6" s="504" t="s">
        <v>785</v>
      </c>
      <c r="G6" s="504" t="s">
        <v>731</v>
      </c>
      <c r="H6" s="504" t="s">
        <v>786</v>
      </c>
      <c r="I6" s="701"/>
      <c r="J6" s="701"/>
      <c r="K6" s="504" t="s">
        <v>217</v>
      </c>
      <c r="L6" s="504" t="s">
        <v>785</v>
      </c>
      <c r="M6" s="504" t="s">
        <v>731</v>
      </c>
      <c r="N6" s="504" t="s">
        <v>786</v>
      </c>
      <c r="O6" s="701"/>
      <c r="P6" s="701"/>
      <c r="Q6" s="504" t="s">
        <v>217</v>
      </c>
      <c r="R6" s="504" t="s">
        <v>785</v>
      </c>
      <c r="S6" s="504" t="s">
        <v>731</v>
      </c>
      <c r="T6" s="504" t="s">
        <v>786</v>
      </c>
      <c r="U6" s="701"/>
      <c r="V6" s="701"/>
      <c r="W6" s="504" t="s">
        <v>217</v>
      </c>
      <c r="X6" s="504" t="s">
        <v>785</v>
      </c>
      <c r="Y6" s="504" t="s">
        <v>731</v>
      </c>
      <c r="Z6" s="504" t="s">
        <v>786</v>
      </c>
      <c r="AA6" s="701"/>
      <c r="AB6" s="701"/>
      <c r="AC6" s="504" t="s">
        <v>217</v>
      </c>
      <c r="AD6" s="504" t="s">
        <v>785</v>
      </c>
      <c r="AE6" s="504" t="s">
        <v>731</v>
      </c>
      <c r="AF6" s="504" t="s">
        <v>786</v>
      </c>
      <c r="AG6" s="701"/>
      <c r="AH6" s="701"/>
      <c r="AI6" s="504" t="s">
        <v>217</v>
      </c>
      <c r="AJ6" s="504" t="s">
        <v>785</v>
      </c>
      <c r="AK6" s="504" t="s">
        <v>731</v>
      </c>
      <c r="AL6" s="504" t="s">
        <v>786</v>
      </c>
      <c r="AM6" s="701"/>
      <c r="AN6" s="701"/>
      <c r="AO6" s="504" t="s">
        <v>217</v>
      </c>
      <c r="AP6" s="504" t="s">
        <v>785</v>
      </c>
      <c r="AQ6" s="504" t="s">
        <v>731</v>
      </c>
      <c r="AR6" s="504" t="s">
        <v>786</v>
      </c>
      <c r="AS6" s="701"/>
      <c r="AT6" s="701"/>
      <c r="AU6" s="504" t="s">
        <v>217</v>
      </c>
      <c r="AV6" s="504" t="s">
        <v>785</v>
      </c>
      <c r="AW6" s="504" t="s">
        <v>731</v>
      </c>
      <c r="AX6" s="504" t="s">
        <v>786</v>
      </c>
      <c r="AY6" s="692"/>
      <c r="AZ6" s="692"/>
      <c r="BA6" s="504" t="s">
        <v>217</v>
      </c>
      <c r="BB6" s="504" t="s">
        <v>785</v>
      </c>
      <c r="BC6" s="504" t="s">
        <v>731</v>
      </c>
      <c r="BD6" s="504" t="s">
        <v>786</v>
      </c>
    </row>
    <row r="7" spans="1:60" s="524" customFormat="1" ht="30" customHeight="1">
      <c r="A7" s="505" t="s">
        <v>732</v>
      </c>
      <c r="B7" s="506" t="s">
        <v>733</v>
      </c>
      <c r="C7" s="507"/>
      <c r="D7" s="519"/>
      <c r="E7" s="507"/>
      <c r="F7" s="519"/>
      <c r="G7" s="507"/>
      <c r="H7" s="519"/>
      <c r="I7" s="507"/>
      <c r="J7" s="519"/>
      <c r="K7" s="507"/>
      <c r="L7" s="519"/>
      <c r="M7" s="507"/>
      <c r="N7" s="519"/>
      <c r="O7" s="507"/>
      <c r="P7" s="519"/>
      <c r="Q7" s="507"/>
      <c r="R7" s="519"/>
      <c r="S7" s="507"/>
      <c r="T7" s="519"/>
      <c r="U7" s="507"/>
      <c r="V7" s="519"/>
      <c r="W7" s="507"/>
      <c r="X7" s="519"/>
      <c r="Y7" s="507"/>
      <c r="Z7" s="519"/>
      <c r="AA7" s="507"/>
      <c r="AB7" s="519"/>
      <c r="AC7" s="507"/>
      <c r="AD7" s="519"/>
      <c r="AE7" s="507"/>
      <c r="AF7" s="519"/>
      <c r="AG7" s="507"/>
      <c r="AH7" s="519"/>
      <c r="AI7" s="507"/>
      <c r="AJ7" s="519"/>
      <c r="AK7" s="507"/>
      <c r="AL7" s="519"/>
      <c r="AM7" s="507"/>
      <c r="AN7" s="519"/>
      <c r="AO7" s="507"/>
      <c r="AP7" s="519"/>
      <c r="AQ7" s="507"/>
      <c r="AR7" s="519"/>
      <c r="AS7" s="507"/>
      <c r="AT7" s="519"/>
      <c r="AU7" s="507"/>
      <c r="AV7" s="519"/>
      <c r="AW7" s="507"/>
      <c r="AX7" s="519"/>
      <c r="AY7" s="507"/>
      <c r="AZ7" s="519"/>
      <c r="BA7" s="507"/>
      <c r="BB7" s="519"/>
      <c r="BC7" s="507"/>
      <c r="BD7" s="519"/>
      <c r="BF7" s="526"/>
      <c r="BG7" s="526"/>
    </row>
    <row r="8" spans="1:60" s="537" customFormat="1" ht="30">
      <c r="A8" s="508" t="s">
        <v>0</v>
      </c>
      <c r="B8" s="509" t="s">
        <v>734</v>
      </c>
      <c r="C8" s="535">
        <f>+E8+G8</f>
        <v>260000000</v>
      </c>
      <c r="D8" s="523">
        <f>IFERROR((((E8*F8)+(G8*H8))/C8),0)</f>
        <v>0.12</v>
      </c>
      <c r="E8" s="536">
        <v>260000000</v>
      </c>
      <c r="F8" s="550">
        <v>0.12</v>
      </c>
      <c r="G8" s="536"/>
      <c r="H8" s="550"/>
      <c r="I8" s="535">
        <f>+K8+M8</f>
        <v>0</v>
      </c>
      <c r="J8" s="523">
        <f>IFERROR((((K8*L8)+(M8*N8))/I8),0)</f>
        <v>0</v>
      </c>
      <c r="K8" s="536"/>
      <c r="L8" s="550"/>
      <c r="M8" s="536"/>
      <c r="N8" s="550"/>
      <c r="O8" s="535">
        <f>+Q8+S8</f>
        <v>0</v>
      </c>
      <c r="P8" s="523">
        <f>IFERROR((((Q8*R8)+(S8*T8))/O8),0)</f>
        <v>0</v>
      </c>
      <c r="Q8" s="536"/>
      <c r="R8" s="550"/>
      <c r="S8" s="536"/>
      <c r="T8" s="550"/>
      <c r="U8" s="535">
        <f>+W8+Y8</f>
        <v>0</v>
      </c>
      <c r="V8" s="523">
        <f>IFERROR((((W8*X8)+(Y8*Z8))/U8),0)</f>
        <v>0</v>
      </c>
      <c r="W8" s="536"/>
      <c r="X8" s="550"/>
      <c r="Y8" s="536"/>
      <c r="Z8" s="550"/>
      <c r="AA8" s="535">
        <f>+AC8+AE8</f>
        <v>0</v>
      </c>
      <c r="AB8" s="523">
        <f>IFERROR((((AC8*AD8)+(AE8*AF8))/AA8),0)</f>
        <v>0</v>
      </c>
      <c r="AC8" s="536"/>
      <c r="AD8" s="550"/>
      <c r="AE8" s="536"/>
      <c r="AF8" s="550"/>
      <c r="AG8" s="535">
        <f>+AI8+AK8</f>
        <v>0</v>
      </c>
      <c r="AH8" s="523">
        <f>IFERROR((((AI8*AJ8)+(AK8*AL8))/AG8),0)</f>
        <v>0</v>
      </c>
      <c r="AI8" s="536"/>
      <c r="AJ8" s="550"/>
      <c r="AK8" s="536"/>
      <c r="AL8" s="550"/>
      <c r="AM8" s="535">
        <f>+AO8+AQ8</f>
        <v>0</v>
      </c>
      <c r="AN8" s="523">
        <f>IFERROR((((AO8*AP8)+(AQ8*AR8))/AM8),0)</f>
        <v>0</v>
      </c>
      <c r="AO8" s="536"/>
      <c r="AP8" s="550"/>
      <c r="AQ8" s="536"/>
      <c r="AR8" s="550"/>
      <c r="AS8" s="535">
        <f>+AU8+AW8</f>
        <v>0</v>
      </c>
      <c r="AT8" s="523">
        <f>IFERROR((((AU8*AV8)+(AW8*AX8))/AS8),0)</f>
        <v>0</v>
      </c>
      <c r="AU8" s="536"/>
      <c r="AV8" s="550"/>
      <c r="AW8" s="536"/>
      <c r="AX8" s="550"/>
      <c r="AY8" s="510">
        <f t="shared" ref="AY8:AY20" si="0">+C8+I8+O8+U8+AA8+AG8+AM8+AS8</f>
        <v>260000000</v>
      </c>
      <c r="AZ8" s="520">
        <f t="shared" ref="AZ8:AZ20" si="1">IFERROR(((C8*D8)/AY8)+((I8*J8)/AY8)+((O8*P8)/AY8)+((U8*V8)/AY8)+((AA8*AB8)/AY8)+((AG8*AH8)/AY8)+((AM8*AN8)/AY8)+((AS8*AT8)/AY8),0)</f>
        <v>0.12</v>
      </c>
      <c r="BA8" s="510">
        <f t="shared" ref="BA8:BA20" si="2">+E8+K8+Q8+W8+AC8+AI8+AO8+AU8</f>
        <v>260000000</v>
      </c>
      <c r="BB8" s="520">
        <f t="shared" ref="BB8:BB20" si="3">IFERROR(((E8*F8)/BA8)+((K8*L8)/BA8)+((Q8*R8)/BA8)+((W8*X8)/BA8)+((AC8*AD8)/BA8)+((AI8*AJ8)/BA8)+((AO8*AP8)/BA8)+((AU8*AV8)/BA8),0)</f>
        <v>0.12</v>
      </c>
      <c r="BC8" s="510">
        <f t="shared" ref="BC8:BC20" si="4">+G8+M8+S8+Y8+AE8+AK8+AQ8+AW8</f>
        <v>0</v>
      </c>
      <c r="BD8" s="520">
        <f t="shared" ref="BD8:BD20" si="5">IFERROR(((G8*H8)/BC8)+((M8*N8)/BC8)+((S8*T8)/BC8)+((Y8*Z8)/BC8)+((AE8*AF8)/BC8)+((AK8*AL8)/BC8)+((AQ8*AR8)/BC8)+((AW8*AX8)/BC8),0)</f>
        <v>0</v>
      </c>
      <c r="BF8" s="527"/>
      <c r="BG8" s="527"/>
    </row>
    <row r="9" spans="1:60" s="537" customFormat="1" ht="30" customHeight="1">
      <c r="A9" s="508" t="s">
        <v>3</v>
      </c>
      <c r="B9" s="509" t="s">
        <v>735</v>
      </c>
      <c r="C9" s="535">
        <f t="shared" ref="C9:C20" si="6">+E9+G9</f>
        <v>1038016</v>
      </c>
      <c r="D9" s="523">
        <f t="shared" ref="D9:D20" si="7">IFERROR((((E9*F9)+(G9*H9))/C9),0)</f>
        <v>0</v>
      </c>
      <c r="E9" s="536">
        <v>715294</v>
      </c>
      <c r="F9" s="550">
        <v>0</v>
      </c>
      <c r="G9" s="536">
        <v>322722</v>
      </c>
      <c r="H9" s="550">
        <v>0</v>
      </c>
      <c r="I9" s="535">
        <f t="shared" ref="I9:I20" si="8">+K9+M9</f>
        <v>348734570</v>
      </c>
      <c r="J9" s="523">
        <f t="shared" ref="J9:J20" si="9">IFERROR((((K9*L9)+(M9*N9))/I9),0)</f>
        <v>3.5000000000000003E-2</v>
      </c>
      <c r="K9" s="536"/>
      <c r="L9" s="550"/>
      <c r="M9" s="536">
        <v>348734570</v>
      </c>
      <c r="N9" s="550">
        <v>3.5000000000000003E-2</v>
      </c>
      <c r="O9" s="535">
        <f t="shared" ref="O9:O20" si="10">+Q9+S9</f>
        <v>240506600</v>
      </c>
      <c r="P9" s="523">
        <f t="shared" ref="P9:P20" si="11">IFERROR((((Q9*R9)+(S9*T9))/O9),0)</f>
        <v>3.4000000000000002E-2</v>
      </c>
      <c r="Q9" s="536"/>
      <c r="R9" s="550"/>
      <c r="S9" s="536">
        <v>240506600</v>
      </c>
      <c r="T9" s="550">
        <v>3.4000000000000002E-2</v>
      </c>
      <c r="U9" s="535">
        <f t="shared" ref="U9:U20" si="12">+W9+Y9</f>
        <v>649969087</v>
      </c>
      <c r="V9" s="523">
        <f t="shared" ref="V9:V20" si="13">IFERROR((((W9*X9)+(Y9*Z9))/U9),0)</f>
        <v>5.7571692876965772E-2</v>
      </c>
      <c r="W9" s="536"/>
      <c r="X9" s="550"/>
      <c r="Y9" s="536">
        <v>649969087</v>
      </c>
      <c r="Z9" s="550">
        <v>5.7571692876965772E-2</v>
      </c>
      <c r="AA9" s="535">
        <f t="shared" ref="AA9:AA20" si="14">+AC9+AE9</f>
        <v>75536209</v>
      </c>
      <c r="AB9" s="523">
        <f t="shared" ref="AB9:AB20" si="15">IFERROR((((AC9*AD9)+(AE9*AF9))/AA9),0)</f>
        <v>8.3682046869153676E-2</v>
      </c>
      <c r="AC9" s="536">
        <v>3624736</v>
      </c>
      <c r="AD9" s="550">
        <v>9.9999999999999992E-2</v>
      </c>
      <c r="AE9" s="536">
        <v>71911473</v>
      </c>
      <c r="AF9" s="550">
        <v>8.2859531772575254E-2</v>
      </c>
      <c r="AG9" s="535">
        <f t="shared" ref="AG9:AG20" si="16">+AI9+AK9</f>
        <v>42407095</v>
      </c>
      <c r="AH9" s="523">
        <f t="shared" ref="AH9:AH20" si="17">IFERROR((((AI9*AJ9)+(AK9*AL9))/AG9),0)</f>
        <v>3.2624047744840817E-2</v>
      </c>
      <c r="AI9" s="536">
        <v>2723506</v>
      </c>
      <c r="AJ9" s="550">
        <v>9.9999999999999992E-2</v>
      </c>
      <c r="AK9" s="536">
        <v>39683589</v>
      </c>
      <c r="AL9" s="550">
        <v>2.8000000000000001E-2</v>
      </c>
      <c r="AM9" s="535">
        <f t="shared" ref="AM9:AM20" si="18">+AO9+AQ9</f>
        <v>59290263</v>
      </c>
      <c r="AN9" s="523">
        <f t="shared" ref="AN9:AN20" si="19">IFERROR((((AO9*AP9)+(AQ9*AR9))/AM9),0)</f>
        <v>7.4687173556832492E-2</v>
      </c>
      <c r="AO9" s="536">
        <v>1742617</v>
      </c>
      <c r="AP9" s="550">
        <v>0.1</v>
      </c>
      <c r="AQ9" s="536">
        <v>57547646</v>
      </c>
      <c r="AR9" s="550">
        <v>7.3920668499824357E-2</v>
      </c>
      <c r="AS9" s="535">
        <f t="shared" ref="AS9:AS20" si="20">+AU9+AW9</f>
        <v>0</v>
      </c>
      <c r="AT9" s="523">
        <f t="shared" ref="AT9:AT20" si="21">IFERROR((((AU9*AV9)+(AW9*AX9))/AS9),0)</f>
        <v>0</v>
      </c>
      <c r="AU9" s="536"/>
      <c r="AV9" s="550"/>
      <c r="AW9" s="536"/>
      <c r="AX9" s="550"/>
      <c r="AY9" s="510">
        <f t="shared" si="0"/>
        <v>1417481840</v>
      </c>
      <c r="AZ9" s="520">
        <f t="shared" si="1"/>
        <v>4.9337840436145045E-2</v>
      </c>
      <c r="BA9" s="510">
        <f t="shared" si="2"/>
        <v>8806153</v>
      </c>
      <c r="BB9" s="520">
        <f t="shared" si="3"/>
        <v>9.1877338492756144E-2</v>
      </c>
      <c r="BC9" s="510">
        <f t="shared" si="4"/>
        <v>1408675687</v>
      </c>
      <c r="BD9" s="520">
        <f t="shared" si="5"/>
        <v>4.9071910292048132E-2</v>
      </c>
      <c r="BF9" s="527"/>
      <c r="BG9" s="527"/>
    </row>
    <row r="10" spans="1:60" s="537" customFormat="1" ht="23.25" customHeight="1">
      <c r="A10" s="508" t="s">
        <v>4</v>
      </c>
      <c r="B10" s="509" t="s">
        <v>736</v>
      </c>
      <c r="C10" s="535">
        <f t="shared" si="6"/>
        <v>0</v>
      </c>
      <c r="D10" s="523">
        <f t="shared" si="7"/>
        <v>0</v>
      </c>
      <c r="E10" s="536"/>
      <c r="F10" s="550"/>
      <c r="G10" s="536"/>
      <c r="H10" s="550"/>
      <c r="I10" s="535">
        <f t="shared" si="8"/>
        <v>400700000</v>
      </c>
      <c r="J10" s="523">
        <f t="shared" si="9"/>
        <v>0.1392761517344647</v>
      </c>
      <c r="K10" s="536">
        <v>400700000</v>
      </c>
      <c r="L10" s="550">
        <v>0.1392761517344647</v>
      </c>
      <c r="M10" s="536"/>
      <c r="N10" s="550"/>
      <c r="O10" s="535">
        <f t="shared" si="10"/>
        <v>0</v>
      </c>
      <c r="P10" s="523">
        <f t="shared" si="11"/>
        <v>0</v>
      </c>
      <c r="Q10" s="536"/>
      <c r="R10" s="550"/>
      <c r="S10" s="536"/>
      <c r="T10" s="550"/>
      <c r="U10" s="535">
        <f t="shared" si="12"/>
        <v>0</v>
      </c>
      <c r="V10" s="523">
        <f t="shared" si="13"/>
        <v>0</v>
      </c>
      <c r="W10" s="536"/>
      <c r="X10" s="550"/>
      <c r="Y10" s="536"/>
      <c r="Z10" s="550"/>
      <c r="AA10" s="535">
        <f t="shared" si="14"/>
        <v>56500000</v>
      </c>
      <c r="AB10" s="523">
        <f t="shared" si="15"/>
        <v>0.12456399999999999</v>
      </c>
      <c r="AC10" s="536">
        <v>56500000</v>
      </c>
      <c r="AD10" s="550">
        <v>0.12456399999999999</v>
      </c>
      <c r="AE10" s="536"/>
      <c r="AF10" s="550"/>
      <c r="AG10" s="535">
        <f t="shared" si="16"/>
        <v>56900000</v>
      </c>
      <c r="AH10" s="523">
        <f t="shared" si="17"/>
        <v>0.12250400702987697</v>
      </c>
      <c r="AI10" s="536">
        <v>56900000</v>
      </c>
      <c r="AJ10" s="550">
        <v>0.12250400702987697</v>
      </c>
      <c r="AK10" s="536"/>
      <c r="AL10" s="550"/>
      <c r="AM10" s="535">
        <f t="shared" si="18"/>
        <v>0</v>
      </c>
      <c r="AN10" s="523">
        <f t="shared" si="19"/>
        <v>0</v>
      </c>
      <c r="AO10" s="536"/>
      <c r="AP10" s="550"/>
      <c r="AQ10" s="536"/>
      <c r="AR10" s="550"/>
      <c r="AS10" s="535">
        <f t="shared" si="20"/>
        <v>0</v>
      </c>
      <c r="AT10" s="523">
        <f t="shared" si="21"/>
        <v>0</v>
      </c>
      <c r="AU10" s="536"/>
      <c r="AV10" s="550"/>
      <c r="AW10" s="536"/>
      <c r="AX10" s="550"/>
      <c r="AY10" s="510">
        <f t="shared" si="0"/>
        <v>514100000</v>
      </c>
      <c r="AZ10" s="520">
        <f t="shared" si="1"/>
        <v>0.13580295273293133</v>
      </c>
      <c r="BA10" s="510">
        <f t="shared" si="2"/>
        <v>514100000</v>
      </c>
      <c r="BB10" s="520">
        <f t="shared" si="3"/>
        <v>0.13580295273293133</v>
      </c>
      <c r="BC10" s="510">
        <f t="shared" si="4"/>
        <v>0</v>
      </c>
      <c r="BD10" s="520">
        <f t="shared" si="5"/>
        <v>0</v>
      </c>
      <c r="BF10" s="527"/>
      <c r="BG10" s="527"/>
    </row>
    <row r="11" spans="1:60" s="537" customFormat="1" ht="33" customHeight="1">
      <c r="A11" s="508" t="s">
        <v>2</v>
      </c>
      <c r="B11" s="509" t="s">
        <v>737</v>
      </c>
      <c r="C11" s="535">
        <f t="shared" si="6"/>
        <v>0</v>
      </c>
      <c r="D11" s="523">
        <f t="shared" si="7"/>
        <v>0</v>
      </c>
      <c r="E11" s="536"/>
      <c r="F11" s="550"/>
      <c r="G11" s="536"/>
      <c r="H11" s="550"/>
      <c r="I11" s="535">
        <f t="shared" si="8"/>
        <v>0</v>
      </c>
      <c r="J11" s="523">
        <f t="shared" si="9"/>
        <v>0</v>
      </c>
      <c r="K11" s="536"/>
      <c r="L11" s="550"/>
      <c r="M11" s="536"/>
      <c r="N11" s="550"/>
      <c r="O11" s="535">
        <f t="shared" si="10"/>
        <v>0</v>
      </c>
      <c r="P11" s="523">
        <f t="shared" si="11"/>
        <v>0</v>
      </c>
      <c r="Q11" s="536"/>
      <c r="R11" s="550"/>
      <c r="S11" s="536"/>
      <c r="T11" s="550"/>
      <c r="U11" s="535">
        <f t="shared" si="12"/>
        <v>0</v>
      </c>
      <c r="V11" s="523">
        <f t="shared" si="13"/>
        <v>0</v>
      </c>
      <c r="W11" s="536"/>
      <c r="X11" s="550"/>
      <c r="Y11" s="536"/>
      <c r="Z11" s="550"/>
      <c r="AA11" s="535">
        <f t="shared" si="14"/>
        <v>0</v>
      </c>
      <c r="AB11" s="523">
        <f t="shared" si="15"/>
        <v>0</v>
      </c>
      <c r="AC11" s="536"/>
      <c r="AD11" s="550"/>
      <c r="AE11" s="536"/>
      <c r="AF11" s="550"/>
      <c r="AG11" s="535">
        <f t="shared" si="16"/>
        <v>10000000</v>
      </c>
      <c r="AH11" s="523">
        <f t="shared" si="17"/>
        <v>0.19</v>
      </c>
      <c r="AI11" s="536">
        <v>10000000</v>
      </c>
      <c r="AJ11" s="550">
        <v>0.19</v>
      </c>
      <c r="AK11" s="536"/>
      <c r="AL11" s="550"/>
      <c r="AM11" s="535">
        <f t="shared" si="18"/>
        <v>0</v>
      </c>
      <c r="AN11" s="523">
        <f t="shared" si="19"/>
        <v>0</v>
      </c>
      <c r="AO11" s="536"/>
      <c r="AP11" s="550"/>
      <c r="AQ11" s="536"/>
      <c r="AR11" s="550"/>
      <c r="AS11" s="535">
        <f t="shared" si="20"/>
        <v>0</v>
      </c>
      <c r="AT11" s="523">
        <f t="shared" si="21"/>
        <v>0</v>
      </c>
      <c r="AU11" s="536"/>
      <c r="AV11" s="550"/>
      <c r="AW11" s="536"/>
      <c r="AX11" s="550"/>
      <c r="AY11" s="510">
        <f t="shared" si="0"/>
        <v>10000000</v>
      </c>
      <c r="AZ11" s="520">
        <f t="shared" si="1"/>
        <v>0.19</v>
      </c>
      <c r="BA11" s="510">
        <f t="shared" si="2"/>
        <v>10000000</v>
      </c>
      <c r="BB11" s="520">
        <f t="shared" si="3"/>
        <v>0.19</v>
      </c>
      <c r="BC11" s="510">
        <f t="shared" si="4"/>
        <v>0</v>
      </c>
      <c r="BD11" s="520">
        <f t="shared" si="5"/>
        <v>0</v>
      </c>
      <c r="BF11" s="527">
        <f>+'[8]Bank Assets Analysis'!$S$23</f>
        <v>10000000</v>
      </c>
      <c r="BG11" s="527">
        <f>+AY11+'IRRBB_floating%'!AY11</f>
        <v>10000000</v>
      </c>
      <c r="BH11" s="538">
        <f>+BF11-BG11</f>
        <v>0</v>
      </c>
    </row>
    <row r="12" spans="1:60" s="537" customFormat="1" ht="52.5" customHeight="1">
      <c r="A12" s="508" t="s">
        <v>1</v>
      </c>
      <c r="B12" s="509" t="s">
        <v>738</v>
      </c>
      <c r="C12" s="535">
        <f t="shared" si="6"/>
        <v>0</v>
      </c>
      <c r="D12" s="523">
        <f t="shared" si="7"/>
        <v>0</v>
      </c>
      <c r="E12" s="536"/>
      <c r="F12" s="550"/>
      <c r="G12" s="536"/>
      <c r="H12" s="550"/>
      <c r="I12" s="535">
        <f t="shared" si="8"/>
        <v>0</v>
      </c>
      <c r="J12" s="523">
        <f t="shared" si="9"/>
        <v>0</v>
      </c>
      <c r="K12" s="536"/>
      <c r="L12" s="550"/>
      <c r="M12" s="536"/>
      <c r="N12" s="550"/>
      <c r="O12" s="535">
        <f t="shared" si="10"/>
        <v>0</v>
      </c>
      <c r="P12" s="523">
        <f t="shared" si="11"/>
        <v>0</v>
      </c>
      <c r="Q12" s="536"/>
      <c r="R12" s="550"/>
      <c r="S12" s="536"/>
      <c r="T12" s="550"/>
      <c r="U12" s="535">
        <f t="shared" si="12"/>
        <v>0</v>
      </c>
      <c r="V12" s="523">
        <f t="shared" si="13"/>
        <v>0</v>
      </c>
      <c r="W12" s="536"/>
      <c r="X12" s="550"/>
      <c r="Y12" s="536"/>
      <c r="Z12" s="550"/>
      <c r="AA12" s="535">
        <f t="shared" si="14"/>
        <v>0</v>
      </c>
      <c r="AB12" s="523">
        <f t="shared" si="15"/>
        <v>0</v>
      </c>
      <c r="AC12" s="536"/>
      <c r="AD12" s="550"/>
      <c r="AE12" s="536"/>
      <c r="AF12" s="550"/>
      <c r="AG12" s="535">
        <f t="shared" si="16"/>
        <v>0</v>
      </c>
      <c r="AH12" s="523">
        <f t="shared" si="17"/>
        <v>0</v>
      </c>
      <c r="AI12" s="536"/>
      <c r="AJ12" s="550"/>
      <c r="AK12" s="536"/>
      <c r="AL12" s="550"/>
      <c r="AM12" s="535">
        <f t="shared" si="18"/>
        <v>0</v>
      </c>
      <c r="AN12" s="523">
        <f t="shared" si="19"/>
        <v>0</v>
      </c>
      <c r="AO12" s="536"/>
      <c r="AP12" s="550"/>
      <c r="AQ12" s="536"/>
      <c r="AR12" s="550"/>
      <c r="AS12" s="535">
        <f t="shared" si="20"/>
        <v>0</v>
      </c>
      <c r="AT12" s="523">
        <f t="shared" si="21"/>
        <v>0</v>
      </c>
      <c r="AU12" s="536"/>
      <c r="AV12" s="550"/>
      <c r="AW12" s="536"/>
      <c r="AX12" s="550"/>
      <c r="AY12" s="510">
        <f t="shared" si="0"/>
        <v>0</v>
      </c>
      <c r="AZ12" s="520">
        <f t="shared" si="1"/>
        <v>0</v>
      </c>
      <c r="BA12" s="510">
        <f t="shared" si="2"/>
        <v>0</v>
      </c>
      <c r="BB12" s="520">
        <f t="shared" si="3"/>
        <v>0</v>
      </c>
      <c r="BC12" s="510">
        <f t="shared" si="4"/>
        <v>0</v>
      </c>
      <c r="BD12" s="520">
        <f t="shared" si="5"/>
        <v>0</v>
      </c>
      <c r="BF12" s="527">
        <f>+'[8]Bank Assets Analysis'!$S$24</f>
        <v>0</v>
      </c>
      <c r="BG12" s="527">
        <f>+AY12+'IRRBB_floating%'!AY12</f>
        <v>0</v>
      </c>
      <c r="BH12" s="538">
        <f t="shared" ref="BH12:BH19" si="22">+BF12-BG12</f>
        <v>0</v>
      </c>
    </row>
    <row r="13" spans="1:60" s="537" customFormat="1" ht="36.75" customHeight="1">
      <c r="A13" s="508" t="s">
        <v>6</v>
      </c>
      <c r="B13" s="509" t="s">
        <v>739</v>
      </c>
      <c r="C13" s="535">
        <f t="shared" si="6"/>
        <v>38191497</v>
      </c>
      <c r="D13" s="523">
        <f t="shared" si="7"/>
        <v>0</v>
      </c>
      <c r="E13" s="536">
        <v>1400024</v>
      </c>
      <c r="F13" s="550"/>
      <c r="G13" s="536">
        <v>36791473</v>
      </c>
      <c r="H13" s="550"/>
      <c r="I13" s="535">
        <f t="shared" si="8"/>
        <v>0</v>
      </c>
      <c r="J13" s="523">
        <f t="shared" si="9"/>
        <v>0</v>
      </c>
      <c r="K13" s="536"/>
      <c r="L13" s="550"/>
      <c r="M13" s="536"/>
      <c r="N13" s="550"/>
      <c r="O13" s="535">
        <f t="shared" si="10"/>
        <v>0</v>
      </c>
      <c r="P13" s="523">
        <f t="shared" si="11"/>
        <v>0</v>
      </c>
      <c r="Q13" s="536"/>
      <c r="R13" s="550"/>
      <c r="S13" s="536"/>
      <c r="T13" s="550"/>
      <c r="U13" s="535">
        <f t="shared" si="12"/>
        <v>0</v>
      </c>
      <c r="V13" s="523">
        <f t="shared" si="13"/>
        <v>0</v>
      </c>
      <c r="W13" s="536"/>
      <c r="X13" s="550"/>
      <c r="Y13" s="536"/>
      <c r="Z13" s="550"/>
      <c r="AA13" s="535">
        <f t="shared" si="14"/>
        <v>0</v>
      </c>
      <c r="AB13" s="523">
        <f t="shared" si="15"/>
        <v>0</v>
      </c>
      <c r="AC13" s="536"/>
      <c r="AD13" s="550"/>
      <c r="AE13" s="536"/>
      <c r="AF13" s="550"/>
      <c r="AG13" s="535">
        <f t="shared" si="16"/>
        <v>0</v>
      </c>
      <c r="AH13" s="523">
        <f t="shared" si="17"/>
        <v>0</v>
      </c>
      <c r="AI13" s="536"/>
      <c r="AJ13" s="550"/>
      <c r="AK13" s="536"/>
      <c r="AL13" s="550"/>
      <c r="AM13" s="535">
        <f t="shared" si="18"/>
        <v>0</v>
      </c>
      <c r="AN13" s="523">
        <f t="shared" si="19"/>
        <v>0</v>
      </c>
      <c r="AO13" s="536"/>
      <c r="AP13" s="550"/>
      <c r="AQ13" s="536"/>
      <c r="AR13" s="550"/>
      <c r="AS13" s="535">
        <f t="shared" si="20"/>
        <v>0</v>
      </c>
      <c r="AT13" s="523">
        <f t="shared" si="21"/>
        <v>0</v>
      </c>
      <c r="AU13" s="536"/>
      <c r="AV13" s="550"/>
      <c r="AW13" s="536"/>
      <c r="AX13" s="550"/>
      <c r="AY13" s="510">
        <f t="shared" si="0"/>
        <v>38191497</v>
      </c>
      <c r="AZ13" s="520">
        <f t="shared" si="1"/>
        <v>0</v>
      </c>
      <c r="BA13" s="510">
        <f t="shared" si="2"/>
        <v>1400024</v>
      </c>
      <c r="BB13" s="520">
        <f t="shared" si="3"/>
        <v>0</v>
      </c>
      <c r="BC13" s="510">
        <f t="shared" si="4"/>
        <v>36791473</v>
      </c>
      <c r="BD13" s="520">
        <f t="shared" si="5"/>
        <v>0</v>
      </c>
      <c r="BF13" s="527">
        <f>+'[8]Bank Assets Analysis'!$S$26</f>
        <v>38191497</v>
      </c>
      <c r="BG13" s="527">
        <f>+AY13+'IRRBB_floating%'!AY13</f>
        <v>38191497</v>
      </c>
      <c r="BH13" s="538">
        <f t="shared" si="22"/>
        <v>0</v>
      </c>
    </row>
    <row r="14" spans="1:60" s="537" customFormat="1" ht="33" customHeight="1">
      <c r="A14" s="508" t="s">
        <v>5</v>
      </c>
      <c r="B14" s="509" t="s">
        <v>740</v>
      </c>
      <c r="C14" s="535">
        <f t="shared" si="6"/>
        <v>0</v>
      </c>
      <c r="D14" s="523">
        <f t="shared" si="7"/>
        <v>0</v>
      </c>
      <c r="E14" s="536"/>
      <c r="F14" s="550"/>
      <c r="G14" s="536"/>
      <c r="H14" s="550"/>
      <c r="I14" s="535">
        <f t="shared" si="8"/>
        <v>0</v>
      </c>
      <c r="J14" s="523">
        <f t="shared" si="9"/>
        <v>0</v>
      </c>
      <c r="K14" s="536"/>
      <c r="L14" s="550"/>
      <c r="M14" s="536"/>
      <c r="N14" s="550"/>
      <c r="O14" s="535">
        <f t="shared" si="10"/>
        <v>0</v>
      </c>
      <c r="P14" s="523">
        <f t="shared" si="11"/>
        <v>0</v>
      </c>
      <c r="Q14" s="536"/>
      <c r="R14" s="550"/>
      <c r="S14" s="536"/>
      <c r="T14" s="550"/>
      <c r="U14" s="535">
        <f t="shared" si="12"/>
        <v>0</v>
      </c>
      <c r="V14" s="523">
        <f t="shared" si="13"/>
        <v>0</v>
      </c>
      <c r="W14" s="536"/>
      <c r="X14" s="550"/>
      <c r="Y14" s="536"/>
      <c r="Z14" s="550"/>
      <c r="AA14" s="535">
        <f t="shared" si="14"/>
        <v>0</v>
      </c>
      <c r="AB14" s="523">
        <f t="shared" si="15"/>
        <v>0</v>
      </c>
      <c r="AC14" s="536"/>
      <c r="AD14" s="550"/>
      <c r="AE14" s="536"/>
      <c r="AF14" s="550"/>
      <c r="AG14" s="535">
        <f t="shared" si="16"/>
        <v>0</v>
      </c>
      <c r="AH14" s="523">
        <f t="shared" si="17"/>
        <v>0</v>
      </c>
      <c r="AI14" s="536"/>
      <c r="AJ14" s="550"/>
      <c r="AK14" s="536"/>
      <c r="AL14" s="550"/>
      <c r="AM14" s="535">
        <f t="shared" si="18"/>
        <v>0</v>
      </c>
      <c r="AN14" s="523">
        <f t="shared" si="19"/>
        <v>0</v>
      </c>
      <c r="AO14" s="536"/>
      <c r="AP14" s="550"/>
      <c r="AQ14" s="536"/>
      <c r="AR14" s="550"/>
      <c r="AS14" s="535">
        <f t="shared" si="20"/>
        <v>0</v>
      </c>
      <c r="AT14" s="523">
        <f t="shared" si="21"/>
        <v>0</v>
      </c>
      <c r="AU14" s="536"/>
      <c r="AV14" s="550"/>
      <c r="AW14" s="536"/>
      <c r="AX14" s="550"/>
      <c r="AY14" s="510">
        <f t="shared" si="0"/>
        <v>0</v>
      </c>
      <c r="AZ14" s="520">
        <f t="shared" si="1"/>
        <v>0</v>
      </c>
      <c r="BA14" s="510">
        <f t="shared" si="2"/>
        <v>0</v>
      </c>
      <c r="BB14" s="520">
        <f t="shared" si="3"/>
        <v>0</v>
      </c>
      <c r="BC14" s="510">
        <f t="shared" si="4"/>
        <v>0</v>
      </c>
      <c r="BD14" s="520">
        <f t="shared" si="5"/>
        <v>0</v>
      </c>
      <c r="BF14" s="527">
        <f>+'[8]Bank Assets Analysis'!$S$27</f>
        <v>0</v>
      </c>
      <c r="BG14" s="527">
        <f>+AY14+'IRRBB_floating%'!AY14</f>
        <v>0</v>
      </c>
      <c r="BH14" s="538">
        <f t="shared" si="22"/>
        <v>0</v>
      </c>
    </row>
    <row r="15" spans="1:60" s="537" customFormat="1" ht="20.25" customHeight="1">
      <c r="A15" s="508" t="s">
        <v>743</v>
      </c>
      <c r="B15" s="509" t="s">
        <v>741</v>
      </c>
      <c r="C15" s="535">
        <f t="shared" si="6"/>
        <v>0</v>
      </c>
      <c r="D15" s="523">
        <f t="shared" si="7"/>
        <v>0</v>
      </c>
      <c r="E15" s="536"/>
      <c r="F15" s="550"/>
      <c r="G15" s="536"/>
      <c r="H15" s="550"/>
      <c r="I15" s="535">
        <f t="shared" si="8"/>
        <v>0</v>
      </c>
      <c r="J15" s="523">
        <f t="shared" si="9"/>
        <v>0</v>
      </c>
      <c r="K15" s="536"/>
      <c r="L15" s="550"/>
      <c r="M15" s="536"/>
      <c r="N15" s="550"/>
      <c r="O15" s="535">
        <f t="shared" si="10"/>
        <v>0</v>
      </c>
      <c r="P15" s="523">
        <f t="shared" si="11"/>
        <v>0</v>
      </c>
      <c r="Q15" s="536"/>
      <c r="R15" s="550"/>
      <c r="S15" s="536"/>
      <c r="T15" s="550"/>
      <c r="U15" s="535">
        <f t="shared" si="12"/>
        <v>0</v>
      </c>
      <c r="V15" s="523">
        <f t="shared" si="13"/>
        <v>0</v>
      </c>
      <c r="W15" s="536"/>
      <c r="X15" s="550"/>
      <c r="Y15" s="536"/>
      <c r="Z15" s="550"/>
      <c r="AA15" s="535">
        <f t="shared" si="14"/>
        <v>0</v>
      </c>
      <c r="AB15" s="523">
        <f t="shared" si="15"/>
        <v>0</v>
      </c>
      <c r="AC15" s="536"/>
      <c r="AD15" s="550"/>
      <c r="AE15" s="536"/>
      <c r="AF15" s="550"/>
      <c r="AG15" s="535">
        <f t="shared" si="16"/>
        <v>0</v>
      </c>
      <c r="AH15" s="523">
        <f t="shared" si="17"/>
        <v>0</v>
      </c>
      <c r="AI15" s="536"/>
      <c r="AJ15" s="550"/>
      <c r="AK15" s="536"/>
      <c r="AL15" s="550"/>
      <c r="AM15" s="535">
        <f t="shared" si="18"/>
        <v>0</v>
      </c>
      <c r="AN15" s="523">
        <f t="shared" si="19"/>
        <v>0</v>
      </c>
      <c r="AO15" s="536"/>
      <c r="AP15" s="550"/>
      <c r="AQ15" s="536"/>
      <c r="AR15" s="550"/>
      <c r="AS15" s="535">
        <f t="shared" si="20"/>
        <v>0</v>
      </c>
      <c r="AT15" s="523">
        <f t="shared" si="21"/>
        <v>0</v>
      </c>
      <c r="AU15" s="536"/>
      <c r="AV15" s="550"/>
      <c r="AW15" s="536"/>
      <c r="AX15" s="550"/>
      <c r="AY15" s="510">
        <f t="shared" si="0"/>
        <v>0</v>
      </c>
      <c r="AZ15" s="520">
        <f t="shared" si="1"/>
        <v>0</v>
      </c>
      <c r="BA15" s="510">
        <f t="shared" si="2"/>
        <v>0</v>
      </c>
      <c r="BB15" s="520">
        <f t="shared" si="3"/>
        <v>0</v>
      </c>
      <c r="BC15" s="510">
        <f t="shared" si="4"/>
        <v>0</v>
      </c>
      <c r="BD15" s="520">
        <f t="shared" si="5"/>
        <v>0</v>
      </c>
      <c r="BF15" s="527">
        <f>+'[8]Bank Assets Analysis'!$S$28</f>
        <v>0</v>
      </c>
      <c r="BG15" s="527">
        <f>+AY15+'IRRBB_floating%'!AY15</f>
        <v>0</v>
      </c>
      <c r="BH15" s="538">
        <f t="shared" si="22"/>
        <v>0</v>
      </c>
    </row>
    <row r="16" spans="1:60" s="537" customFormat="1" ht="20.25" customHeight="1">
      <c r="A16" s="508" t="s">
        <v>746</v>
      </c>
      <c r="B16" s="509" t="s">
        <v>742</v>
      </c>
      <c r="C16" s="535">
        <f t="shared" si="6"/>
        <v>0</v>
      </c>
      <c r="D16" s="523">
        <f t="shared" si="7"/>
        <v>0</v>
      </c>
      <c r="E16" s="536"/>
      <c r="F16" s="550"/>
      <c r="G16" s="536"/>
      <c r="H16" s="550"/>
      <c r="I16" s="535">
        <f t="shared" si="8"/>
        <v>0</v>
      </c>
      <c r="J16" s="523">
        <f t="shared" si="9"/>
        <v>0</v>
      </c>
      <c r="K16" s="536"/>
      <c r="L16" s="550"/>
      <c r="M16" s="536"/>
      <c r="N16" s="550"/>
      <c r="O16" s="535">
        <f t="shared" si="10"/>
        <v>0</v>
      </c>
      <c r="P16" s="523">
        <f t="shared" si="11"/>
        <v>0</v>
      </c>
      <c r="Q16" s="536"/>
      <c r="R16" s="550"/>
      <c r="S16" s="536"/>
      <c r="T16" s="550"/>
      <c r="U16" s="535">
        <f t="shared" si="12"/>
        <v>0</v>
      </c>
      <c r="V16" s="523">
        <f t="shared" si="13"/>
        <v>0</v>
      </c>
      <c r="W16" s="536"/>
      <c r="X16" s="550"/>
      <c r="Y16" s="536"/>
      <c r="Z16" s="550"/>
      <c r="AA16" s="535">
        <f t="shared" si="14"/>
        <v>0</v>
      </c>
      <c r="AB16" s="523">
        <f t="shared" si="15"/>
        <v>0</v>
      </c>
      <c r="AC16" s="536"/>
      <c r="AD16" s="550"/>
      <c r="AE16" s="536"/>
      <c r="AF16" s="550"/>
      <c r="AG16" s="535">
        <f t="shared" si="16"/>
        <v>0</v>
      </c>
      <c r="AH16" s="523">
        <f t="shared" si="17"/>
        <v>0</v>
      </c>
      <c r="AI16" s="536"/>
      <c r="AJ16" s="550"/>
      <c r="AK16" s="536"/>
      <c r="AL16" s="550"/>
      <c r="AM16" s="535">
        <f t="shared" si="18"/>
        <v>0</v>
      </c>
      <c r="AN16" s="523">
        <f t="shared" si="19"/>
        <v>0</v>
      </c>
      <c r="AO16" s="536"/>
      <c r="AP16" s="550"/>
      <c r="AQ16" s="536"/>
      <c r="AR16" s="550"/>
      <c r="AS16" s="535">
        <f t="shared" si="20"/>
        <v>0</v>
      </c>
      <c r="AT16" s="523">
        <f t="shared" si="21"/>
        <v>0</v>
      </c>
      <c r="AU16" s="536"/>
      <c r="AV16" s="550"/>
      <c r="AW16" s="536"/>
      <c r="AX16" s="550"/>
      <c r="AY16" s="510">
        <f t="shared" si="0"/>
        <v>0</v>
      </c>
      <c r="AZ16" s="520">
        <f t="shared" si="1"/>
        <v>0</v>
      </c>
      <c r="BA16" s="510">
        <f t="shared" si="2"/>
        <v>0</v>
      </c>
      <c r="BB16" s="520">
        <f t="shared" si="3"/>
        <v>0</v>
      </c>
      <c r="BC16" s="510">
        <f t="shared" si="4"/>
        <v>0</v>
      </c>
      <c r="BD16" s="520">
        <f t="shared" si="5"/>
        <v>0</v>
      </c>
      <c r="BF16" s="527">
        <f>+'[8]Bank Assets Analysis'!$S$29</f>
        <v>0</v>
      </c>
      <c r="BG16" s="527">
        <f>+AY16+'IRRBB_floating%'!AY16</f>
        <v>0</v>
      </c>
      <c r="BH16" s="538">
        <f t="shared" si="22"/>
        <v>0</v>
      </c>
    </row>
    <row r="17" spans="1:60" s="537" customFormat="1" ht="20.25" customHeight="1">
      <c r="A17" s="508" t="s">
        <v>748</v>
      </c>
      <c r="B17" s="509" t="s">
        <v>744</v>
      </c>
      <c r="C17" s="535">
        <f t="shared" si="6"/>
        <v>720077979</v>
      </c>
      <c r="D17" s="523">
        <f t="shared" si="7"/>
        <v>0.17762261064670276</v>
      </c>
      <c r="E17" s="536">
        <v>563201707</v>
      </c>
      <c r="F17" s="550">
        <v>0.19864642126193219</v>
      </c>
      <c r="G17" s="536">
        <v>156876272</v>
      </c>
      <c r="H17" s="550">
        <v>0.10214500096624109</v>
      </c>
      <c r="I17" s="535">
        <f t="shared" si="8"/>
        <v>451801972</v>
      </c>
      <c r="J17" s="523">
        <f t="shared" si="9"/>
        <v>0.1528206359794067</v>
      </c>
      <c r="K17" s="536">
        <v>277274523</v>
      </c>
      <c r="L17" s="550">
        <v>0.20219708227801583</v>
      </c>
      <c r="M17" s="536">
        <v>174527449</v>
      </c>
      <c r="N17" s="550">
        <v>7.4375493548648058E-2</v>
      </c>
      <c r="O17" s="535">
        <f t="shared" si="10"/>
        <v>51877002</v>
      </c>
      <c r="P17" s="523">
        <f t="shared" si="11"/>
        <v>0.13958211313402599</v>
      </c>
      <c r="Q17" s="536">
        <v>24539177</v>
      </c>
      <c r="R17" s="550">
        <v>0.14159248881900621</v>
      </c>
      <c r="S17" s="536">
        <v>27337825</v>
      </c>
      <c r="T17" s="550">
        <v>0.13777754511260418</v>
      </c>
      <c r="U17" s="535">
        <f t="shared" si="12"/>
        <v>1233587961</v>
      </c>
      <c r="V17" s="523">
        <f t="shared" si="13"/>
        <v>0.15210513921402061</v>
      </c>
      <c r="W17" s="536">
        <v>736618110</v>
      </c>
      <c r="X17" s="550">
        <v>0.19779878471732373</v>
      </c>
      <c r="Y17" s="536">
        <v>496969851</v>
      </c>
      <c r="Z17" s="550">
        <v>8.4377153860532572E-2</v>
      </c>
      <c r="AA17" s="535">
        <f t="shared" si="14"/>
        <v>1450347767</v>
      </c>
      <c r="AB17" s="523">
        <f t="shared" si="15"/>
        <v>0.17593717897318092</v>
      </c>
      <c r="AC17" s="536">
        <v>1260969789</v>
      </c>
      <c r="AD17" s="550">
        <v>0.18341054047645222</v>
      </c>
      <c r="AE17" s="536">
        <v>189377978</v>
      </c>
      <c r="AF17" s="550">
        <v>0.12617593863561249</v>
      </c>
      <c r="AG17" s="535">
        <f t="shared" si="16"/>
        <v>2416115125</v>
      </c>
      <c r="AH17" s="523">
        <f t="shared" si="17"/>
        <v>0.19127892379689365</v>
      </c>
      <c r="AI17" s="536">
        <v>2079763591</v>
      </c>
      <c r="AJ17" s="550">
        <v>0.2031092263210923</v>
      </c>
      <c r="AK17" s="536">
        <v>336351534</v>
      </c>
      <c r="AL17" s="550">
        <v>0.11812857372195197</v>
      </c>
      <c r="AM17" s="535">
        <f t="shared" si="18"/>
        <v>3734154020</v>
      </c>
      <c r="AN17" s="523">
        <f t="shared" si="19"/>
        <v>0.19160434183513278</v>
      </c>
      <c r="AO17" s="536">
        <v>3211337897</v>
      </c>
      <c r="AP17" s="550">
        <v>0.20585073471621593</v>
      </c>
      <c r="AQ17" s="536">
        <v>522816123</v>
      </c>
      <c r="AR17" s="550">
        <v>0.10409751229810001</v>
      </c>
      <c r="AS17" s="535">
        <f t="shared" si="20"/>
        <v>7781788246</v>
      </c>
      <c r="AT17" s="523">
        <f t="shared" si="21"/>
        <v>0.17180073282276898</v>
      </c>
      <c r="AU17" s="536">
        <v>6483561505</v>
      </c>
      <c r="AV17" s="550">
        <v>0.18663985720184487</v>
      </c>
      <c r="AW17" s="536">
        <v>1298226741</v>
      </c>
      <c r="AX17" s="550">
        <v>9.7691663464072598E-2</v>
      </c>
      <c r="AY17" s="510">
        <f t="shared" si="0"/>
        <v>17839750072</v>
      </c>
      <c r="AZ17" s="520">
        <f t="shared" si="1"/>
        <v>0.17721896297442644</v>
      </c>
      <c r="BA17" s="510">
        <f t="shared" si="2"/>
        <v>14637266299</v>
      </c>
      <c r="BB17" s="520">
        <f t="shared" si="3"/>
        <v>0.19415923428123538</v>
      </c>
      <c r="BC17" s="510">
        <f t="shared" si="4"/>
        <v>3202483773</v>
      </c>
      <c r="BD17" s="520">
        <f t="shared" si="5"/>
        <v>9.9791790857082646E-2</v>
      </c>
      <c r="BF17" s="527">
        <f>+'[8]Bank Assets Analysis'!$S$30</f>
        <v>19982231496</v>
      </c>
      <c r="BG17" s="527">
        <f>+AY17+'IRRBB_floating%'!AY17</f>
        <v>19982231497</v>
      </c>
      <c r="BH17" s="538">
        <f t="shared" si="22"/>
        <v>-1</v>
      </c>
    </row>
    <row r="18" spans="1:60" s="537" customFormat="1" ht="30.75" customHeight="1">
      <c r="A18" s="508" t="s">
        <v>773</v>
      </c>
      <c r="B18" s="509" t="s">
        <v>745</v>
      </c>
      <c r="C18" s="535">
        <f t="shared" si="6"/>
        <v>254506671</v>
      </c>
      <c r="D18" s="523">
        <f t="shared" si="7"/>
        <v>0.1895597857833268</v>
      </c>
      <c r="E18" s="536">
        <v>254506671</v>
      </c>
      <c r="F18" s="550">
        <v>0.1895597857833268</v>
      </c>
      <c r="G18" s="536"/>
      <c r="H18" s="550"/>
      <c r="I18" s="535">
        <f t="shared" si="8"/>
        <v>163599239</v>
      </c>
      <c r="J18" s="523">
        <f t="shared" si="9"/>
        <v>0.19740991848445261</v>
      </c>
      <c r="K18" s="536">
        <v>163599239</v>
      </c>
      <c r="L18" s="550">
        <v>0.19740991848445261</v>
      </c>
      <c r="M18" s="536"/>
      <c r="N18" s="550"/>
      <c r="O18" s="535">
        <f t="shared" si="10"/>
        <v>3045170</v>
      </c>
      <c r="P18" s="523">
        <f t="shared" si="11"/>
        <v>0.20640735055351914</v>
      </c>
      <c r="Q18" s="536">
        <v>3045170</v>
      </c>
      <c r="R18" s="550">
        <v>0.20640735055351914</v>
      </c>
      <c r="S18" s="536"/>
      <c r="T18" s="550"/>
      <c r="U18" s="535">
        <f t="shared" si="12"/>
        <v>374326736</v>
      </c>
      <c r="V18" s="523">
        <f t="shared" si="13"/>
        <v>0.20197237824888706</v>
      </c>
      <c r="W18" s="536">
        <v>374326736</v>
      </c>
      <c r="X18" s="550">
        <v>0.20197237824888706</v>
      </c>
      <c r="Y18" s="536"/>
      <c r="Z18" s="550"/>
      <c r="AA18" s="535">
        <f t="shared" si="14"/>
        <v>523615700</v>
      </c>
      <c r="AB18" s="523">
        <f t="shared" si="15"/>
        <v>0.20170798536844206</v>
      </c>
      <c r="AC18" s="536">
        <v>523615700</v>
      </c>
      <c r="AD18" s="550">
        <v>0.20170798536844206</v>
      </c>
      <c r="AE18" s="536"/>
      <c r="AF18" s="550"/>
      <c r="AG18" s="535">
        <f t="shared" si="16"/>
        <v>1006435467</v>
      </c>
      <c r="AH18" s="523">
        <f t="shared" si="17"/>
        <v>0.20851457312119254</v>
      </c>
      <c r="AI18" s="536">
        <v>1006435467</v>
      </c>
      <c r="AJ18" s="550">
        <v>0.20851457312119254</v>
      </c>
      <c r="AK18" s="536"/>
      <c r="AL18" s="550"/>
      <c r="AM18" s="535">
        <f t="shared" si="18"/>
        <v>1727720168</v>
      </c>
      <c r="AN18" s="523">
        <f t="shared" si="19"/>
        <v>0.21387590278183552</v>
      </c>
      <c r="AO18" s="536">
        <v>1727720168</v>
      </c>
      <c r="AP18" s="550">
        <v>0.21387590278183552</v>
      </c>
      <c r="AQ18" s="536"/>
      <c r="AR18" s="550"/>
      <c r="AS18" s="535">
        <f t="shared" si="20"/>
        <v>3134823251</v>
      </c>
      <c r="AT18" s="523">
        <f t="shared" si="21"/>
        <v>0.20918847259465106</v>
      </c>
      <c r="AU18" s="536">
        <v>3134823251</v>
      </c>
      <c r="AV18" s="550">
        <v>0.20918847259465109</v>
      </c>
      <c r="AW18" s="536"/>
      <c r="AX18" s="550"/>
      <c r="AY18" s="510">
        <f t="shared" si="0"/>
        <v>7188072402</v>
      </c>
      <c r="AZ18" s="520">
        <f t="shared" si="1"/>
        <v>0.20833583657051999</v>
      </c>
      <c r="BA18" s="510">
        <f t="shared" si="2"/>
        <v>7188072402</v>
      </c>
      <c r="BB18" s="520">
        <f t="shared" si="3"/>
        <v>0.20833583657051999</v>
      </c>
      <c r="BC18" s="510">
        <f t="shared" si="4"/>
        <v>0</v>
      </c>
      <c r="BD18" s="520">
        <f t="shared" si="5"/>
        <v>0</v>
      </c>
      <c r="BF18" s="527">
        <f>+'[8]Bank Assets Analysis'!$S$31</f>
        <v>8406486387</v>
      </c>
      <c r="BG18" s="527">
        <f>+AY18+'IRRBB_floating%'!AY18</f>
        <v>8406486388</v>
      </c>
      <c r="BH18" s="538">
        <f t="shared" si="22"/>
        <v>-1</v>
      </c>
    </row>
    <row r="19" spans="1:60" s="537" customFormat="1" ht="30" customHeight="1">
      <c r="A19" s="508" t="s">
        <v>750</v>
      </c>
      <c r="B19" s="509" t="s">
        <v>747</v>
      </c>
      <c r="C19" s="535">
        <f t="shared" si="6"/>
        <v>190601623</v>
      </c>
      <c r="D19" s="523">
        <f t="shared" si="7"/>
        <v>0.136166802290619</v>
      </c>
      <c r="E19" s="536">
        <v>63692241</v>
      </c>
      <c r="F19" s="550">
        <v>0.19833309091096143</v>
      </c>
      <c r="G19" s="536">
        <v>126909382</v>
      </c>
      <c r="H19" s="550">
        <v>0.10496729462236473</v>
      </c>
      <c r="I19" s="535">
        <f t="shared" si="8"/>
        <v>0</v>
      </c>
      <c r="J19" s="523">
        <f t="shared" si="9"/>
        <v>0</v>
      </c>
      <c r="K19" s="536"/>
      <c r="L19" s="550"/>
      <c r="M19" s="536"/>
      <c r="N19" s="550"/>
      <c r="O19" s="535">
        <f t="shared" si="10"/>
        <v>0</v>
      </c>
      <c r="P19" s="523">
        <f t="shared" si="11"/>
        <v>0</v>
      </c>
      <c r="Q19" s="536"/>
      <c r="R19" s="550"/>
      <c r="S19" s="536"/>
      <c r="T19" s="550"/>
      <c r="U19" s="535">
        <f t="shared" si="12"/>
        <v>0</v>
      </c>
      <c r="V19" s="523">
        <f t="shared" si="13"/>
        <v>0</v>
      </c>
      <c r="W19" s="536"/>
      <c r="X19" s="550"/>
      <c r="Y19" s="536"/>
      <c r="Z19" s="550"/>
      <c r="AA19" s="535">
        <f t="shared" si="14"/>
        <v>0</v>
      </c>
      <c r="AB19" s="523">
        <f t="shared" si="15"/>
        <v>0</v>
      </c>
      <c r="AC19" s="536"/>
      <c r="AD19" s="550"/>
      <c r="AE19" s="536"/>
      <c r="AF19" s="550"/>
      <c r="AG19" s="535">
        <f t="shared" si="16"/>
        <v>0</v>
      </c>
      <c r="AH19" s="523">
        <f t="shared" si="17"/>
        <v>0</v>
      </c>
      <c r="AI19" s="536"/>
      <c r="AJ19" s="550"/>
      <c r="AK19" s="536"/>
      <c r="AL19" s="550"/>
      <c r="AM19" s="535">
        <f t="shared" si="18"/>
        <v>0</v>
      </c>
      <c r="AN19" s="523">
        <f t="shared" si="19"/>
        <v>0</v>
      </c>
      <c r="AO19" s="536"/>
      <c r="AP19" s="550"/>
      <c r="AQ19" s="536"/>
      <c r="AR19" s="550"/>
      <c r="AS19" s="535">
        <f t="shared" si="20"/>
        <v>0</v>
      </c>
      <c r="AT19" s="523">
        <f t="shared" si="21"/>
        <v>0</v>
      </c>
      <c r="AU19" s="536"/>
      <c r="AV19" s="550"/>
      <c r="AW19" s="536"/>
      <c r="AX19" s="550"/>
      <c r="AY19" s="510">
        <f t="shared" si="0"/>
        <v>190601623</v>
      </c>
      <c r="AZ19" s="520">
        <f t="shared" si="1"/>
        <v>0.136166802290619</v>
      </c>
      <c r="BA19" s="510">
        <f t="shared" si="2"/>
        <v>63692241</v>
      </c>
      <c r="BB19" s="520">
        <f t="shared" si="3"/>
        <v>0.19833309091096143</v>
      </c>
      <c r="BC19" s="510">
        <f t="shared" si="4"/>
        <v>126909382</v>
      </c>
      <c r="BD19" s="520">
        <f t="shared" si="5"/>
        <v>0.10496729462236473</v>
      </c>
      <c r="BF19" s="527">
        <f>+'[8]Bank Assets Analysis'!$S$32</f>
        <v>167963237</v>
      </c>
      <c r="BG19" s="527">
        <f>+AY19+'IRRBB_floating%'!AY19</f>
        <v>190809773</v>
      </c>
      <c r="BH19" s="538">
        <f t="shared" si="22"/>
        <v>-22846536</v>
      </c>
    </row>
    <row r="20" spans="1:60" s="537" customFormat="1" ht="20.25" customHeight="1">
      <c r="A20" s="508" t="s">
        <v>774</v>
      </c>
      <c r="B20" s="509" t="s">
        <v>749</v>
      </c>
      <c r="C20" s="535">
        <f t="shared" si="6"/>
        <v>0</v>
      </c>
      <c r="D20" s="523">
        <f t="shared" si="7"/>
        <v>0</v>
      </c>
      <c r="E20" s="536"/>
      <c r="F20" s="550"/>
      <c r="G20" s="536"/>
      <c r="H20" s="550"/>
      <c r="I20" s="535">
        <f t="shared" si="8"/>
        <v>0</v>
      </c>
      <c r="J20" s="523">
        <f t="shared" si="9"/>
        <v>0</v>
      </c>
      <c r="K20" s="536"/>
      <c r="L20" s="550"/>
      <c r="M20" s="536"/>
      <c r="N20" s="550"/>
      <c r="O20" s="535">
        <f t="shared" si="10"/>
        <v>0</v>
      </c>
      <c r="P20" s="523">
        <f t="shared" si="11"/>
        <v>0</v>
      </c>
      <c r="Q20" s="536"/>
      <c r="R20" s="550"/>
      <c r="S20" s="536"/>
      <c r="T20" s="550"/>
      <c r="U20" s="535">
        <f t="shared" si="12"/>
        <v>0</v>
      </c>
      <c r="V20" s="523">
        <f t="shared" si="13"/>
        <v>0</v>
      </c>
      <c r="W20" s="536"/>
      <c r="X20" s="550"/>
      <c r="Y20" s="536"/>
      <c r="Z20" s="550"/>
      <c r="AA20" s="535">
        <f t="shared" si="14"/>
        <v>0</v>
      </c>
      <c r="AB20" s="523">
        <f t="shared" si="15"/>
        <v>0</v>
      </c>
      <c r="AC20" s="536"/>
      <c r="AD20" s="550"/>
      <c r="AE20" s="536"/>
      <c r="AF20" s="550"/>
      <c r="AG20" s="535">
        <f t="shared" si="16"/>
        <v>0</v>
      </c>
      <c r="AH20" s="523">
        <f t="shared" si="17"/>
        <v>0</v>
      </c>
      <c r="AI20" s="536"/>
      <c r="AJ20" s="550"/>
      <c r="AK20" s="536"/>
      <c r="AL20" s="550"/>
      <c r="AM20" s="535">
        <f t="shared" si="18"/>
        <v>0</v>
      </c>
      <c r="AN20" s="523">
        <f t="shared" si="19"/>
        <v>0</v>
      </c>
      <c r="AO20" s="536"/>
      <c r="AP20" s="550"/>
      <c r="AQ20" s="536"/>
      <c r="AR20" s="550"/>
      <c r="AS20" s="535">
        <f t="shared" si="20"/>
        <v>0</v>
      </c>
      <c r="AT20" s="523">
        <f t="shared" si="21"/>
        <v>0</v>
      </c>
      <c r="AU20" s="536"/>
      <c r="AV20" s="550"/>
      <c r="AW20" s="536"/>
      <c r="AX20" s="550"/>
      <c r="AY20" s="510">
        <f t="shared" si="0"/>
        <v>0</v>
      </c>
      <c r="AZ20" s="520">
        <f t="shared" si="1"/>
        <v>0</v>
      </c>
      <c r="BA20" s="510">
        <f t="shared" si="2"/>
        <v>0</v>
      </c>
      <c r="BB20" s="520">
        <f t="shared" si="3"/>
        <v>0</v>
      </c>
      <c r="BC20" s="510">
        <f t="shared" si="4"/>
        <v>0</v>
      </c>
      <c r="BD20" s="520">
        <f t="shared" si="5"/>
        <v>0</v>
      </c>
      <c r="BF20" s="527"/>
      <c r="BG20" s="527"/>
    </row>
    <row r="21" spans="1:60" s="542" customFormat="1" ht="30" customHeight="1">
      <c r="A21" s="517" t="s">
        <v>750</v>
      </c>
      <c r="B21" s="518" t="s">
        <v>751</v>
      </c>
      <c r="C21" s="539">
        <f>+C8+C9+C10+C13+C14+C15+C16+C17+C19+C20</f>
        <v>1209909115</v>
      </c>
      <c r="D21" s="516">
        <f>IFERROR(((C8*D8)/C21)+((C9*D9)/C21)+((C10*D10)/C21)+((C13*D13)/C21)+((C14*D14)/C21)+((C20*D20)/C21)+((C19*D19)/C21)+((C17*D17)/C21)+((C16*D16)/C21)+((C15*D15)/C21),0)</f>
        <v>0.1529501197406003</v>
      </c>
      <c r="E21" s="539">
        <f>+E8+E9+E10+E13+E14+E15+E16+E17+E19+E20</f>
        <v>889009266</v>
      </c>
      <c r="F21" s="516">
        <f>IFERROR(((E8*F8)/E21)+((E9*F9)/E21)+((E10*F10)/E21)+((E13*F13)/E21)+((E14*F14)/E21)+((E20*F20)/E21)+((E19*F19)/E21)+((E17*F17)/E21)+((E16*F16)/E21)+((E15*F15)/E21),0)</f>
        <v>0.17515034828527554</v>
      </c>
      <c r="G21" s="539">
        <f>+G8+G9+G10+G13+G14+G15+G16+G17+G19+G20</f>
        <v>320899849</v>
      </c>
      <c r="H21" s="516">
        <f>IFERROR(((G8*H8)/G21)+((G9*H9)/G21)+((G10*H10)/G21)+((G13*H13)/G21)+((G14*H14)/G21)+((G20*H20)/G21)+((G19*H19)/G21)+((G17*H17)/G21)+((G16*H16)/G21)+((G15*H15)/G21),0)</f>
        <v>9.1447414316971315E-2</v>
      </c>
      <c r="I21" s="539">
        <f>+I8+I9+I10+I13+I14+I15+I16+I17+I19+I20</f>
        <v>1201236542</v>
      </c>
      <c r="J21" s="516">
        <f>IFERROR(((I8*J8)/I21)+((I9*J9)/I21)+((I10*J10)/I21)+((I13*J13)/I21)+((I14*J14)/I21)+((I20*J20)/I21)+((I19*J19)/I21)+((I17*J17)/I21)+((I16*J16)/I21)+((I15*J15)/I21),0)</f>
        <v>0.11409770170627237</v>
      </c>
      <c r="K21" s="539">
        <f>+K8+K9+K10+K13+K14+K15+K16+K17+K19+K20</f>
        <v>677974523</v>
      </c>
      <c r="L21" s="516">
        <f>IFERROR(((K8*L8)/K21)+((K9*L9)/K21)+((K10*L10)/K21)+((K13*L13)/K21)+((K14*L14)/K21)+((K20*L20)/K21)+((K19*L19)/K21)+((K17*L17)/K21)+((K16*L16)/K21)+((K15*L15)/K21),0)</f>
        <v>0.16500922932266088</v>
      </c>
      <c r="M21" s="539">
        <f>+M8+M9+M10+M13+M14+M15+M16+M17+M19+M20</f>
        <v>523262019</v>
      </c>
      <c r="N21" s="516">
        <f>IFERROR(((M8*N8)/M21)+((M9*N9)/M21)+((M10*N10)/M21)+((M13*N13)/M21)+((M14*N14)/M21)+((M20*N20)/M21)+((M19*N19)/M21)+((M17*N17)/M21)+((M16*N16)/M21)+((M15*N15)/M21),0)</f>
        <v>4.813319941564783E-2</v>
      </c>
      <c r="O21" s="539">
        <f>+O8+O9+O10+O13+O14+O15+O16+O17+O19+O20</f>
        <v>292383602</v>
      </c>
      <c r="P21" s="516">
        <f>IFERROR(((O8*P8)/O21)+((O9*P9)/O21)+((O10*P10)/O21)+((O13*P13)/O21)+((O14*P14)/O21)+((O20*P20)/O21)+((O19*P19)/O21)+((O17*P17)/O21)+((O16*P16)/O21)+((O15*P15)/O21),0)</f>
        <v>5.2733210264705926E-2</v>
      </c>
      <c r="Q21" s="539">
        <f>+Q8+Q9+Q10+Q13+Q14+Q15+Q16+Q17+Q19+Q20</f>
        <v>24539177</v>
      </c>
      <c r="R21" s="516">
        <f>IFERROR(((Q8*R8)/Q21)+((Q9*R9)/Q21)+((Q10*R10)/Q21)+((Q13*R13)/Q21)+((Q14*R14)/Q21)+((Q20*R20)/Q21)+((Q19*R19)/Q21)+((Q17*R17)/Q21)+((Q16*R16)/Q21)+((Q15*R15)/Q21),0)</f>
        <v>0.14159248881900621</v>
      </c>
      <c r="S21" s="539">
        <f>+S8+S9+S10+S13+S14+S15+S16+S17+S19+S20</f>
        <v>267844425</v>
      </c>
      <c r="T21" s="516">
        <f>IFERROR(((S8*T8)/S21)+((S9*T9)/S21)+((S10*T10)/S21)+((S13*T13)/S21)+((S14*T14)/S21)+((S20*T20)/S21)+((S19*T19)/S21)+((S17*T17)/S21)+((S16*T16)/S21)+((S15*T15)/S21),0)</f>
        <v>4.4592165086945454E-2</v>
      </c>
      <c r="U21" s="539">
        <f>+U8+U9+U10+U13+U14+U15+U16+U17+U19+U20</f>
        <v>1883557048</v>
      </c>
      <c r="V21" s="516">
        <f>IFERROR(((U8*V8)/U21)+((U9*V9)/U21)+((U10*V10)/U21)+((U13*V13)/U21)+((U14*V14)/U21)+((U20*V20)/U21)+((U19*V19)/U21)+((U17*V17)/U21)+((U16*V16)/U21)+((U15*V15)/U21),0)</f>
        <v>0.11948397816561947</v>
      </c>
      <c r="W21" s="539">
        <f>+W8+W9+W10+W13+W14+W15+W16+W17+W19+W20</f>
        <v>736618110</v>
      </c>
      <c r="X21" s="516">
        <f>IFERROR(((W8*X8)/W21)+((W9*X9)/W21)+((W10*X10)/W21)+((W13*X13)/W21)+((W14*X14)/W21)+((W20*X20)/W21)+((W19*X19)/W21)+((W17*X17)/W21)+((W16*X16)/W21)+((W15*X15)/W21),0)</f>
        <v>0.19779878471732373</v>
      </c>
      <c r="Y21" s="539">
        <f>+Y8+Y9+Y10+Y13+Y14+Y15+Y16+Y17+Y19+Y20</f>
        <v>1146938938</v>
      </c>
      <c r="Z21" s="516">
        <f>IFERROR(((Y8*Z8)/Y21)+((Y9*Z9)/Y21)+((Y10*Z10)/Y21)+((Y13*Z13)/Y21)+((Y14*Z14)/Y21)+((Y20*Z20)/Y21)+((Y19*Z19)/Y21)+((Y17*Z17)/Y21)+((Y16*Z16)/Y21)+((Y15*Z15)/Y21),0)</f>
        <v>6.9186527380901239E-2</v>
      </c>
      <c r="AA21" s="539">
        <f>+AA8+AA9+AA10+AA13+AA14+AA15+AA16+AA17+AA19+AA20</f>
        <v>1582383976</v>
      </c>
      <c r="AB21" s="516">
        <f>IFERROR(((AA8*AB8)/AA21)+((AA9*AB9)/AA21)+((AA10*AB10)/AA21)+((AA13*AB13)/AA21)+((AA14*AB14)/AA21)+((AA20*AB20)/AA21)+((AA19*AB19)/AA21)+((AA17*AB17)/AA21)+((AA16*AB16)/AA21)+((AA15*AB15)/AA21),0)</f>
        <v>0.16969900435713747</v>
      </c>
      <c r="AC21" s="539">
        <f>+AC8+AC9+AC10+AC13+AC14+AC15+AC16+AC17+AC19+AC20</f>
        <v>1321094525</v>
      </c>
      <c r="AD21" s="516">
        <f>IFERROR(((AC8*AD8)/AC21)+((AC9*AD9)/AC21)+((AC10*AD10)/AC21)+((AC13*AD13)/AC21)+((AC14*AD14)/AC21)+((AC20*AD20)/AC21)+((AC19*AD19)/AC21)+((AC17*AD17)/AC21)+((AC16*AD16)/AC21)+((AC15*AD15)/AC21),0)</f>
        <v>0.18066496046145367</v>
      </c>
      <c r="AE21" s="539">
        <f>+AE8+AE9+AE10+AE13+AE14+AE15+AE16+AE17+AE19+AE20</f>
        <v>261289451</v>
      </c>
      <c r="AF21" s="516">
        <f>IFERROR(((AE8*AF8)/AE21)+((AE9*AF9)/AE21)+((AE10*AF10)/AE21)+((AE13*AF13)/AE21)+((AE14*AF14)/AE21)+((AE20*AF20)/AE21)+((AE19*AF19)/AE21)+((AE17*AF17)/AE21)+((AE16*AF16)/AE21)+((AE15*AF15)/AE21),0)</f>
        <v>0.11425449821516354</v>
      </c>
      <c r="AG21" s="539">
        <f>+AG8+AG9+AG10+AG13+AG14+AG15+AG16+AG17+AG19+AG20</f>
        <v>2515422220</v>
      </c>
      <c r="AH21" s="516">
        <f>IFERROR(((AG8*AH8)/AG21)+((AG9*AH9)/AG21)+((AG10*AH10)/AG21)+((AG13*AH13)/AG21)+((AG14*AH14)/AG21)+((AG20*AH20)/AG21)+((AG19*AH19)/AG21)+((AG17*AH17)/AG21)+((AG16*AH16)/AG21)+((AG15*AH15)/AG21),0)</f>
        <v>0.18704846694540098</v>
      </c>
      <c r="AI21" s="539">
        <f>+AI8+AI9+AI10+AI13+AI14+AI15+AI16+AI17+AI19+AI20</f>
        <v>2139387097</v>
      </c>
      <c r="AJ21" s="516">
        <f>IFERROR(((AI8*AJ8)/AI21)+((AI9*AJ9)/AI21)+((AI10*AJ10)/AI21)+((AI13*AJ13)/AI21)+((AI14*AJ14)/AI21)+((AI20*AJ20)/AI21)+((AI19*AJ19)/AI21)+((AI17*AJ17)/AI21)+((AI16*AJ16)/AI21)+((AI15*AJ15)/AI21),0)</f>
        <v>0.20083415624095755</v>
      </c>
      <c r="AK21" s="539">
        <f>+AK8+AK9+AK10+AK13+AK14+AK15+AK16+AK17+AK19+AK20</f>
        <v>376035123</v>
      </c>
      <c r="AL21" s="516">
        <f>IFERROR(((AK8*AL8)/AK21)+((AK9*AL9)/AK21)+((AK10*AL10)/AK21)+((AK13*AL13)/AK21)+((AK14*AL14)/AK21)+((AK20*AL20)/AK21)+((AK19*AL19)/AK21)+((AK17*AL17)/AK21)+((AK16*AL16)/AK21)+((AK15*AL15)/AK21),0)</f>
        <v>0.10861716093634857</v>
      </c>
      <c r="AM21" s="539">
        <f>+AM8+AM9+AM10+AM13+AM14+AM15+AM16+AM17+AM19+AM20</f>
        <v>3793444283</v>
      </c>
      <c r="AN21" s="516">
        <f>IFERROR(((AM8*AN8)/AM21)+((AM9*AN9)/AM21)+((AM10*AN10)/AM21)+((AM13*AN13)/AM21)+((AM14*AN14)/AM21)+((AM20*AN20)/AM21)+((AM19*AN19)/AM21)+((AM17*AN17)/AM21)+((AM16*AN16)/AM21)+((AM15*AN15)/AM21),0)</f>
        <v>0.18977696567265662</v>
      </c>
      <c r="AO21" s="539">
        <f>+AO8+AO9+AO10+AO13+AO14+AO15+AO16+AO17+AO19+AO20</f>
        <v>3213080514</v>
      </c>
      <c r="AP21" s="516">
        <f>IFERROR(((AO8*AP8)/AO21)+((AO9*AP9)/AO21)+((AO10*AP10)/AO21)+((AO13*AP13)/AO21)+((AO14*AP14)/AO21)+((AO20*AP20)/AO21)+((AO19*AP19)/AO21)+((AO17*AP17)/AO21)+((AO16*AP16)/AO21)+((AO15*AP15)/AO21),0)</f>
        <v>0.20579332647855264</v>
      </c>
      <c r="AQ21" s="539">
        <f>+AQ8+AQ9+AQ10+AQ13+AQ14+AQ15+AQ16+AQ17+AQ19+AQ20</f>
        <v>580363769</v>
      </c>
      <c r="AR21" s="516">
        <f>IFERROR(((AQ8*AR8)/AQ21)+((AQ9*AR9)/AQ21)+((AQ10*AR10)/AQ21)+((AQ13*AR13)/AQ21)+((AQ14*AR14)/AQ21)+((AQ20*AR20)/AQ21)+((AQ19*AR19)/AQ21)+((AQ17*AR17)/AQ21)+((AQ16*AR16)/AQ21)+((AQ15*AR15)/AQ21),0)</f>
        <v>0.10110524018005802</v>
      </c>
      <c r="AS21" s="539">
        <f>+AS8+AS9+AS10+AS13+AS14+AS15+AS16+AS17+AS19+AS20</f>
        <v>7781788246</v>
      </c>
      <c r="AT21" s="516">
        <f>IFERROR(((AS8*AT8)/AS21)+((AS9*AT9)/AS21)+((AS10*AT10)/AS21)+((AS13*AT13)/AS21)+((AS14*AT14)/AS21)+((AS20*AT20)/AS21)+((AS19*AT19)/AS21)+((AS17*AT17)/AS21)+((AS16*AT16)/AS21)+((AS15*AT15)/AS21),0)</f>
        <v>0.17180073282276898</v>
      </c>
      <c r="AU21" s="539">
        <f>+AU8+AU9+AU10+AU13+AU14+AU15+AU16+AU17+AU19+AU20</f>
        <v>6483561505</v>
      </c>
      <c r="AV21" s="516">
        <f>IFERROR(((AU8*AV8)/AU21)+((AU9*AV9)/AU21)+((AU10*AV10)/AU21)+((AU13*AV13)/AU21)+((AU14*AV14)/AU21)+((AU20*AV20)/AU21)+((AU19*AV19)/AU21)+((AU17*AV17)/AU21)+((AU16*AV16)/AU21)+((AU15*AV15)/AU21),0)</f>
        <v>0.18663985720184487</v>
      </c>
      <c r="AW21" s="539">
        <f>+AW8+AW9+AW10+AW13+AW14+AW15+AW16+AW17+AW19+AW20</f>
        <v>1298226741</v>
      </c>
      <c r="AX21" s="516">
        <f>IFERROR(((AW8*AX8)/AW21)+((AW9*AX9)/AW21)+((AW10*AX10)/AW21)+((AW13*AX13)/AW21)+((AW14*AX14)/AW21)+((AW20*AX20)/AW21)+((AW19*AX19)/AW21)+((AW17*AX17)/AW21)+((AW16*AX16)/AW21)+((AW15*AX15)/AW21),0)</f>
        <v>9.7691663464072598E-2</v>
      </c>
      <c r="AY21" s="540">
        <f>+AY8+AY9+AY10+AY13+AY14+AY15+AY16+AY17+AY19+AY20</f>
        <v>20260125032</v>
      </c>
      <c r="AZ21" s="516">
        <f>IFERROR(((AY8*AZ8)/AY21)+((AY9*AZ9)/AY21)+((AY10*AZ10)/AY21)+((AY13*AZ13)/AY21)+((AY14*AZ14)/AY21)+((AY20*AZ20)/AY21)+((AY19*AZ19)/AY21)+((AY17*AZ17)/AY21)+((AY16*AZ16)/AY21)+((AY15*AZ15)/AY21),0)</f>
        <v>0.16576637145805523</v>
      </c>
      <c r="BA21" s="540">
        <f>+BA8+BA9+BA10+BA13+BA14+BA15+BA16+BA17+BA19+BA20</f>
        <v>15485264717</v>
      </c>
      <c r="BB21" s="516">
        <f>IFERROR(((BA8*BB8)/BA21)+((BA9*BB9)/BA21)+((BA10*BB10)/BA21)+((BA13*BB13)/BA21)+((BA14*BB14)/BA21)+((BA20*BB20)/BA21)+((BA19*BB19)/BA21)+((BA17*BB17)/BA21)+((BA16*BB16)/BA21)+((BA15*BB15)/BA21),0)</f>
        <v>0.19091814919142708</v>
      </c>
      <c r="BC21" s="540">
        <f>+BC8+BC9+BC10+BC13+BC14+BC15+BC16+BC17+BC19+BC20</f>
        <v>4774860315</v>
      </c>
      <c r="BD21" s="516">
        <f>IFERROR(((BC8*BD8)/BC21)+((BC9*BD9)/BC21)+((BC10*BD10)/BC21)+((BC13*BD13)/BC21)+((BC14*BD14)/BC21)+((BC20*BD20)/BC21)+((BC19*BD19)/BC21)+((BC17*BD17)/BC21)+((BC16*BD16)/BC21)+((BC15*BD15)/BC21),0)</f>
        <v>8.419708762353742E-2</v>
      </c>
      <c r="BE21" s="541"/>
      <c r="BF21" s="526"/>
      <c r="BG21" s="526"/>
    </row>
    <row r="22" spans="1:60" s="524" customFormat="1" ht="30" customHeight="1">
      <c r="A22" s="505" t="s">
        <v>752</v>
      </c>
      <c r="B22" s="506" t="s">
        <v>753</v>
      </c>
      <c r="C22" s="507"/>
      <c r="D22" s="519"/>
      <c r="E22" s="507"/>
      <c r="F22" s="519"/>
      <c r="G22" s="507"/>
      <c r="H22" s="519"/>
      <c r="I22" s="507"/>
      <c r="J22" s="519"/>
      <c r="K22" s="507"/>
      <c r="L22" s="519"/>
      <c r="M22" s="507"/>
      <c r="N22" s="519"/>
      <c r="O22" s="507"/>
      <c r="P22" s="519"/>
      <c r="Q22" s="507"/>
      <c r="R22" s="519"/>
      <c r="S22" s="507"/>
      <c r="T22" s="519"/>
      <c r="U22" s="507"/>
      <c r="V22" s="519"/>
      <c r="W22" s="507"/>
      <c r="X22" s="519"/>
      <c r="Y22" s="507"/>
      <c r="Z22" s="519"/>
      <c r="AA22" s="507"/>
      <c r="AB22" s="519"/>
      <c r="AC22" s="507"/>
      <c r="AD22" s="519"/>
      <c r="AE22" s="507"/>
      <c r="AF22" s="519"/>
      <c r="AG22" s="507"/>
      <c r="AH22" s="519"/>
      <c r="AI22" s="507"/>
      <c r="AJ22" s="519"/>
      <c r="AK22" s="507"/>
      <c r="AL22" s="519"/>
      <c r="AM22" s="507"/>
      <c r="AN22" s="519"/>
      <c r="AO22" s="507"/>
      <c r="AP22" s="519"/>
      <c r="AQ22" s="507"/>
      <c r="AR22" s="519"/>
      <c r="AS22" s="507"/>
      <c r="AT22" s="519"/>
      <c r="AU22" s="507"/>
      <c r="AV22" s="519"/>
      <c r="AW22" s="507"/>
      <c r="AX22" s="519"/>
      <c r="AY22" s="507"/>
      <c r="AZ22" s="519"/>
      <c r="BA22" s="507"/>
      <c r="BB22" s="519"/>
      <c r="BC22" s="507"/>
      <c r="BD22" s="519"/>
      <c r="BF22" s="526"/>
      <c r="BG22" s="526"/>
    </row>
    <row r="23" spans="1:60" ht="22.5" customHeight="1">
      <c r="A23" s="511" t="s">
        <v>0</v>
      </c>
      <c r="B23" s="512" t="s">
        <v>754</v>
      </c>
      <c r="C23" s="513"/>
      <c r="D23" s="521"/>
      <c r="E23" s="513"/>
      <c r="F23" s="521"/>
      <c r="G23" s="513"/>
      <c r="H23" s="521"/>
      <c r="I23" s="513"/>
      <c r="J23" s="521"/>
      <c r="K23" s="513"/>
      <c r="L23" s="521"/>
      <c r="M23" s="513"/>
      <c r="N23" s="521"/>
      <c r="O23" s="513"/>
      <c r="P23" s="521"/>
      <c r="Q23" s="513"/>
      <c r="R23" s="521"/>
      <c r="S23" s="513"/>
      <c r="T23" s="521"/>
      <c r="U23" s="513"/>
      <c r="V23" s="521"/>
      <c r="W23" s="513"/>
      <c r="X23" s="521"/>
      <c r="Y23" s="513"/>
      <c r="Z23" s="521"/>
      <c r="AA23" s="513"/>
      <c r="AB23" s="521"/>
      <c r="AC23" s="513"/>
      <c r="AD23" s="521"/>
      <c r="AE23" s="513"/>
      <c r="AF23" s="521"/>
      <c r="AG23" s="513"/>
      <c r="AH23" s="521"/>
      <c r="AI23" s="513"/>
      <c r="AJ23" s="521"/>
      <c r="AK23" s="513"/>
      <c r="AL23" s="521"/>
      <c r="AM23" s="513"/>
      <c r="AN23" s="521"/>
      <c r="AO23" s="513"/>
      <c r="AP23" s="521"/>
      <c r="AQ23" s="513"/>
      <c r="AR23" s="521"/>
      <c r="AS23" s="513"/>
      <c r="AT23" s="521"/>
      <c r="AU23" s="513"/>
      <c r="AV23" s="521"/>
      <c r="AW23" s="513"/>
      <c r="AX23" s="521"/>
      <c r="AY23" s="513"/>
      <c r="AZ23" s="521"/>
      <c r="BA23" s="513"/>
      <c r="BB23" s="521"/>
      <c r="BC23" s="513"/>
      <c r="BD23" s="521"/>
      <c r="BF23" s="527"/>
      <c r="BG23" s="527"/>
    </row>
    <row r="24" spans="1:60" ht="20.25" customHeight="1">
      <c r="A24" s="511" t="s">
        <v>54</v>
      </c>
      <c r="B24" s="512" t="s">
        <v>755</v>
      </c>
      <c r="C24" s="543">
        <f>+E24+G24</f>
        <v>916450291</v>
      </c>
      <c r="D24" s="523">
        <f>IFERROR((((E24*F24)+(G24*H24))/C24),0)</f>
        <v>0</v>
      </c>
      <c r="E24" s="543">
        <f>+E25+E26+E27+E28+E29</f>
        <v>849557398</v>
      </c>
      <c r="F24" s="551">
        <f>IFERROR(((E25*F25)/E24)+((E26*F26)/E24)+((E27*F27)/E24)+((E28*F28)/E24)+((E29*F29)/E24),0)</f>
        <v>0</v>
      </c>
      <c r="G24" s="543">
        <f>+G25+G26+G27+G28+G29</f>
        <v>66892893</v>
      </c>
      <c r="H24" s="551">
        <f>IFERROR(((G25*H25)/G24)+((G26*H26)/G24)+((G27*H27)/G24)+((G28*H28)/G24)+((G29*H29)/G24),0)</f>
        <v>0</v>
      </c>
      <c r="I24" s="543">
        <f>+K24+M24</f>
        <v>0</v>
      </c>
      <c r="J24" s="523">
        <f>IFERROR((((K24*L24)+(M24*N24))/I24),0)</f>
        <v>0</v>
      </c>
      <c r="K24" s="543">
        <f>+K25+K26+K27+K28+K29</f>
        <v>0</v>
      </c>
      <c r="L24" s="551">
        <f>IFERROR(((K25*L25)/K24)+((K26*L26)/K24)+((K27*L27)/K24)+((K28*L28)/K24)+((K29*L29)/K24),0)</f>
        <v>0</v>
      </c>
      <c r="M24" s="543">
        <f>+M25+M26+M27+M28+M29</f>
        <v>0</v>
      </c>
      <c r="N24" s="551">
        <f>IFERROR(((M25*N25)/M24)+((M26*N26)/M24)+((M27*N27)/M24)+((M28*N28)/M24)+((M29*N29)/M24),0)</f>
        <v>0</v>
      </c>
      <c r="O24" s="543">
        <f>+Q24+S24</f>
        <v>0</v>
      </c>
      <c r="P24" s="523">
        <f>IFERROR((((Q24*R24)+(S24*T24))/O24),0)</f>
        <v>0</v>
      </c>
      <c r="Q24" s="543">
        <f>+Q25+Q26+Q27+Q28+Q29</f>
        <v>0</v>
      </c>
      <c r="R24" s="551">
        <f>IFERROR(((Q25*R25)/Q24)+((Q26*R26)/Q24)+((Q27*R27)/Q24)+((Q28*R28)/Q24)+((Q29*R29)/Q24),0)</f>
        <v>0</v>
      </c>
      <c r="S24" s="543">
        <f>+S25+S26+S27+S28+S29</f>
        <v>0</v>
      </c>
      <c r="T24" s="551">
        <f>IFERROR(((S25*T25)/S24)+((S26*T26)/S24)+((S27*T27)/S24)+((S28*T28)/S24)+((S29*T29)/S24),0)</f>
        <v>0</v>
      </c>
      <c r="U24" s="543">
        <f>+W24+Y24</f>
        <v>0</v>
      </c>
      <c r="V24" s="523">
        <f>IFERROR((((W24*X24)+(Y24*Z24))/U24),0)</f>
        <v>0</v>
      </c>
      <c r="W24" s="543">
        <f>+W25+W26+W27+W28+W29</f>
        <v>0</v>
      </c>
      <c r="X24" s="551">
        <f>IFERROR(((W25*X25)/W24)+((W26*X26)/W24)+((W27*X27)/W24)+((W28*X28)/W24)+((W29*X29)/W24),0)</f>
        <v>0</v>
      </c>
      <c r="Y24" s="543">
        <f>+Y25+Y26+Y27+Y28+Y29</f>
        <v>0</v>
      </c>
      <c r="Z24" s="551">
        <f>IFERROR(((Y25*Z25)/Y24)+((Y26*Z26)/Y24)+((Y27*Z27)/Y24)+((Y28*Z28)/Y24)+((Y29*Z29)/Y24),0)</f>
        <v>0</v>
      </c>
      <c r="AA24" s="543">
        <f>+AC24+AE24</f>
        <v>0</v>
      </c>
      <c r="AB24" s="523">
        <f>IFERROR((((AC24*AD24)+(AE24*AF24))/AA24),0)</f>
        <v>0</v>
      </c>
      <c r="AC24" s="543">
        <f>+AC25+AC26+AC27+AC28+AC29</f>
        <v>0</v>
      </c>
      <c r="AD24" s="551">
        <f>IFERROR(((AC25*AD25)/AC24)+((AC26*AD26)/AC24)+((AC27*AD27)/AC24)+((AC28*AD28)/AC24)+((AC29*AD29)/AC24),0)</f>
        <v>0</v>
      </c>
      <c r="AE24" s="543">
        <f>+AE25+AE26+AE27+AE28+AE29</f>
        <v>0</v>
      </c>
      <c r="AF24" s="551">
        <f>IFERROR(((AE25*AF25)/AE24)+((AE26*AF26)/AE24)+((AE27*AF27)/AE24)+((AE28*AF28)/AE24)+((AE29*AF29)/AE24),0)</f>
        <v>0</v>
      </c>
      <c r="AG24" s="543">
        <f>+AI24+AK24</f>
        <v>0</v>
      </c>
      <c r="AH24" s="523">
        <f>IFERROR((((AI24*AJ24)+(AK24*AL24))/AG24),0)</f>
        <v>0</v>
      </c>
      <c r="AI24" s="543">
        <f>+AI25+AI26+AI27+AI28+AI29</f>
        <v>0</v>
      </c>
      <c r="AJ24" s="551">
        <f>IFERROR(((AI25*AJ25)/AI24)+((AI26*AJ26)/AI24)+((AI27*AJ27)/AI24)+((AI28*AJ28)/AI24)+((AI29*AJ29)/AI24),0)</f>
        <v>0</v>
      </c>
      <c r="AK24" s="543">
        <f>+AK25+AK26+AK27+AK28+AK29</f>
        <v>0</v>
      </c>
      <c r="AL24" s="551">
        <f>IFERROR(((AK25*AL25)/AK24)+((AK26*AL26)/AK24)+((AK27*AL27)/AK24)+((AK28*AL28)/AK24)+((AK29*AL29)/AK24),0)</f>
        <v>0</v>
      </c>
      <c r="AM24" s="543">
        <f>+AO24+AQ24</f>
        <v>0</v>
      </c>
      <c r="AN24" s="523">
        <f>IFERROR((((AO24*AP24)+(AQ24*AR24))/AM24),0)</f>
        <v>0</v>
      </c>
      <c r="AO24" s="543">
        <f>+AO25+AO26+AO27+AO28+AO29</f>
        <v>0</v>
      </c>
      <c r="AP24" s="551">
        <f>IFERROR(((AO25*AP25)/AO24)+((AO26*AP26)/AO24)+((AO27*AP27)/AO24)+((AO28*AP28)/AO24)+((AO29*AP29)/AO24),0)</f>
        <v>0</v>
      </c>
      <c r="AQ24" s="543">
        <f>+AQ25+AQ26+AQ27+AQ28+AQ29</f>
        <v>0</v>
      </c>
      <c r="AR24" s="551">
        <f>IFERROR(((AQ25*AR25)/AQ24)+((AQ26*AR26)/AQ24)+((AQ27*AR27)/AQ24)+((AQ28*AR28)/AQ24)+((AQ29*AR29)/AQ24),0)</f>
        <v>0</v>
      </c>
      <c r="AS24" s="543">
        <f>+AU24+AW24</f>
        <v>0</v>
      </c>
      <c r="AT24" s="523">
        <f>IFERROR((((AU24*AV24)+(AW24*AX24))/AS24),0)</f>
        <v>0</v>
      </c>
      <c r="AU24" s="543">
        <f>+AU25+AU26+AU27+AU28+AU29</f>
        <v>0</v>
      </c>
      <c r="AV24" s="551">
        <f>IFERROR(((AU25*AV25)/AU24)+((AU26*AV26)/AU24)+((AU27*AV27)/AU24)+((AU28*AV28)/AU24)+((AU29*AV29)/AU24),0)</f>
        <v>0</v>
      </c>
      <c r="AW24" s="543">
        <f>+AW25+AW26+AW27+AW28+AW29</f>
        <v>0</v>
      </c>
      <c r="AX24" s="551">
        <f>IFERROR(((AW25*AX25)/AW24)+((AW26*AX26)/AW24)+((AW27*AX27)/AW24)+((AW28*AX28)/AW24)+((AW29*AX29)/AW24),0)</f>
        <v>0</v>
      </c>
      <c r="AY24" s="543">
        <f t="shared" ref="AY24:AY39" si="23">+C24+I24+O24+U24+AA24+AG24+AM24+AS24</f>
        <v>916450291</v>
      </c>
      <c r="AZ24" s="520">
        <f t="shared" ref="AZ24:AZ39" si="24">IFERROR(((C24*D24)/AY24)+((I24*J24)/AY24)+((O24*P24)/AY24)+((U24*V24)/AY24)+((AA24*AB24)/AY24)+((AG24*AH24)/AY24)+((AM24*AN24)/AY24)+((AS24*AT24)/AY24),0)</f>
        <v>0</v>
      </c>
      <c r="BA24" s="543">
        <f t="shared" ref="BA24:BA39" si="25">+E24+K24+Q24+W24+AC24+AI24+AO24+AU24</f>
        <v>849557398</v>
      </c>
      <c r="BB24" s="520">
        <f t="shared" ref="BB24:BB39" si="26">IFERROR(((E24*F24)/BA24)+((K24*L24)/BA24)+((Q24*R24)/BA24)+((W24*X24)/BA24)+((AC24*AD24)/BA24)+((AI24*AJ24)/BA24)+((AO24*AP24)/BA24)+((AU24*AV24)/BA24),0)</f>
        <v>0</v>
      </c>
      <c r="BC24" s="543">
        <f t="shared" ref="BC24:BC39" si="27">+G24+M24+S24+Y24+AE24+AK24+AQ24+AW24</f>
        <v>66892893</v>
      </c>
      <c r="BD24" s="520">
        <f t="shared" ref="BD24:BD39" si="28">IFERROR(((G24*H24)/BC24)+((M24*N24)/BC24)+((S24*T24)/BC24)+((Y24*Z24)/BC24)+((AE24*AF24)/BC24)+((AK24*AL24)/BC24)+((AQ24*AR24)/BC24)+((AW24*AX24)/BC24),0)</f>
        <v>0</v>
      </c>
      <c r="BE24" s="537"/>
      <c r="BF24" s="527"/>
      <c r="BG24" s="527"/>
    </row>
    <row r="25" spans="1:60" ht="20.25" customHeight="1">
      <c r="A25" s="511" t="s">
        <v>756</v>
      </c>
      <c r="B25" s="512" t="s">
        <v>757</v>
      </c>
      <c r="C25" s="543">
        <f t="shared" ref="C25:C32" si="29">+E25+G25</f>
        <v>12200326</v>
      </c>
      <c r="D25" s="523">
        <f t="shared" ref="D25:D32" si="30">IFERROR((((E25*F25)+(G25*H25))/C25),0)</f>
        <v>0</v>
      </c>
      <c r="E25" s="536">
        <v>7825049</v>
      </c>
      <c r="F25" s="550"/>
      <c r="G25" s="536">
        <v>4375277</v>
      </c>
      <c r="H25" s="550">
        <v>0</v>
      </c>
      <c r="I25" s="543">
        <f t="shared" ref="I25:I32" si="31">+K25+M25</f>
        <v>0</v>
      </c>
      <c r="J25" s="523">
        <f t="shared" ref="J25:J32" si="32">IFERROR((((K25*L25)+(M25*N25))/I25),0)</f>
        <v>0</v>
      </c>
      <c r="K25" s="536"/>
      <c r="L25" s="550"/>
      <c r="M25" s="536"/>
      <c r="N25" s="550"/>
      <c r="O25" s="543">
        <f t="shared" ref="O25:O32" si="33">+Q25+S25</f>
        <v>0</v>
      </c>
      <c r="P25" s="523">
        <f t="shared" ref="P25:P32" si="34">IFERROR((((Q25*R25)+(S25*T25))/O25),0)</f>
        <v>0</v>
      </c>
      <c r="Q25" s="536"/>
      <c r="R25" s="550"/>
      <c r="S25" s="536"/>
      <c r="T25" s="550"/>
      <c r="U25" s="543">
        <f t="shared" ref="U25:U32" si="35">+W25+Y25</f>
        <v>0</v>
      </c>
      <c r="V25" s="523">
        <f t="shared" ref="V25:V32" si="36">IFERROR((((W25*X25)+(Y25*Z25))/U25),0)</f>
        <v>0</v>
      </c>
      <c r="W25" s="536"/>
      <c r="X25" s="550"/>
      <c r="Y25" s="536"/>
      <c r="Z25" s="550"/>
      <c r="AA25" s="543">
        <f t="shared" ref="AA25:AA32" si="37">+AC25+AE25</f>
        <v>0</v>
      </c>
      <c r="AB25" s="523">
        <f t="shared" ref="AB25:AB32" si="38">IFERROR((((AC25*AD25)+(AE25*AF25))/AA25),0)</f>
        <v>0</v>
      </c>
      <c r="AC25" s="536"/>
      <c r="AD25" s="550"/>
      <c r="AE25" s="536"/>
      <c r="AF25" s="550"/>
      <c r="AG25" s="543">
        <f t="shared" ref="AG25:AG32" si="39">+AI25+AK25</f>
        <v>0</v>
      </c>
      <c r="AH25" s="523">
        <f t="shared" ref="AH25:AH32" si="40">IFERROR((((AI25*AJ25)+(AK25*AL25))/AG25),0)</f>
        <v>0</v>
      </c>
      <c r="AI25" s="536"/>
      <c r="AJ25" s="550"/>
      <c r="AK25" s="536"/>
      <c r="AL25" s="550"/>
      <c r="AM25" s="543">
        <f t="shared" ref="AM25:AM32" si="41">+AO25+AQ25</f>
        <v>0</v>
      </c>
      <c r="AN25" s="523">
        <f t="shared" ref="AN25:AN32" si="42">IFERROR((((AO25*AP25)+(AQ25*AR25))/AM25),0)</f>
        <v>0</v>
      </c>
      <c r="AO25" s="536"/>
      <c r="AP25" s="550"/>
      <c r="AQ25" s="536"/>
      <c r="AR25" s="550"/>
      <c r="AS25" s="543">
        <f t="shared" ref="AS25:AS32" si="43">+AU25+AW25</f>
        <v>0</v>
      </c>
      <c r="AT25" s="523">
        <f t="shared" ref="AT25:AT32" si="44">IFERROR((((AU25*AV25)+(AW25*AX25))/AS25),0)</f>
        <v>0</v>
      </c>
      <c r="AU25" s="536"/>
      <c r="AV25" s="550"/>
      <c r="AW25" s="536"/>
      <c r="AX25" s="550"/>
      <c r="AY25" s="543">
        <f t="shared" si="23"/>
        <v>12200326</v>
      </c>
      <c r="AZ25" s="520">
        <f t="shared" si="24"/>
        <v>0</v>
      </c>
      <c r="BA25" s="543">
        <f t="shared" si="25"/>
        <v>7825049</v>
      </c>
      <c r="BB25" s="520">
        <f t="shared" si="26"/>
        <v>0</v>
      </c>
      <c r="BC25" s="543">
        <f t="shared" si="27"/>
        <v>4375277</v>
      </c>
      <c r="BD25" s="520">
        <f t="shared" si="28"/>
        <v>0</v>
      </c>
      <c r="BE25" s="537"/>
      <c r="BF25" s="527"/>
      <c r="BG25" s="527"/>
    </row>
    <row r="26" spans="1:60" ht="20.25" customHeight="1">
      <c r="A26" s="511" t="s">
        <v>758</v>
      </c>
      <c r="B26" s="512" t="s">
        <v>759</v>
      </c>
      <c r="C26" s="543">
        <f t="shared" si="29"/>
        <v>557227426</v>
      </c>
      <c r="D26" s="523">
        <f t="shared" si="30"/>
        <v>0</v>
      </c>
      <c r="E26" s="536">
        <v>526547926</v>
      </c>
      <c r="F26" s="550"/>
      <c r="G26" s="536">
        <v>30679500</v>
      </c>
      <c r="H26" s="550">
        <v>0</v>
      </c>
      <c r="I26" s="543">
        <f t="shared" si="31"/>
        <v>0</v>
      </c>
      <c r="J26" s="523">
        <f t="shared" si="32"/>
        <v>0</v>
      </c>
      <c r="K26" s="536"/>
      <c r="L26" s="550"/>
      <c r="M26" s="536"/>
      <c r="N26" s="550"/>
      <c r="O26" s="543">
        <f t="shared" si="33"/>
        <v>0</v>
      </c>
      <c r="P26" s="523">
        <f t="shared" si="34"/>
        <v>0</v>
      </c>
      <c r="Q26" s="536"/>
      <c r="R26" s="550"/>
      <c r="S26" s="536"/>
      <c r="T26" s="550"/>
      <c r="U26" s="543">
        <f t="shared" si="35"/>
        <v>0</v>
      </c>
      <c r="V26" s="523">
        <f t="shared" si="36"/>
        <v>0</v>
      </c>
      <c r="W26" s="536"/>
      <c r="X26" s="550"/>
      <c r="Y26" s="536"/>
      <c r="Z26" s="550"/>
      <c r="AA26" s="543">
        <f t="shared" si="37"/>
        <v>0</v>
      </c>
      <c r="AB26" s="523">
        <f t="shared" si="38"/>
        <v>0</v>
      </c>
      <c r="AC26" s="536"/>
      <c r="AD26" s="550"/>
      <c r="AE26" s="536"/>
      <c r="AF26" s="550"/>
      <c r="AG26" s="543">
        <f t="shared" si="39"/>
        <v>0</v>
      </c>
      <c r="AH26" s="523">
        <f t="shared" si="40"/>
        <v>0</v>
      </c>
      <c r="AI26" s="536"/>
      <c r="AJ26" s="550"/>
      <c r="AK26" s="536"/>
      <c r="AL26" s="550"/>
      <c r="AM26" s="543">
        <f t="shared" si="41"/>
        <v>0</v>
      </c>
      <c r="AN26" s="523">
        <f t="shared" si="42"/>
        <v>0</v>
      </c>
      <c r="AO26" s="536"/>
      <c r="AP26" s="550"/>
      <c r="AQ26" s="536"/>
      <c r="AR26" s="550"/>
      <c r="AS26" s="543">
        <f t="shared" si="43"/>
        <v>0</v>
      </c>
      <c r="AT26" s="523">
        <f t="shared" si="44"/>
        <v>0</v>
      </c>
      <c r="AU26" s="536"/>
      <c r="AV26" s="550"/>
      <c r="AW26" s="536"/>
      <c r="AX26" s="550"/>
      <c r="AY26" s="543">
        <f t="shared" si="23"/>
        <v>557227426</v>
      </c>
      <c r="AZ26" s="520">
        <f t="shared" si="24"/>
        <v>0</v>
      </c>
      <c r="BA26" s="543">
        <f t="shared" si="25"/>
        <v>526547926</v>
      </c>
      <c r="BB26" s="520">
        <f t="shared" si="26"/>
        <v>0</v>
      </c>
      <c r="BC26" s="543">
        <f t="shared" si="27"/>
        <v>30679500</v>
      </c>
      <c r="BD26" s="520">
        <f t="shared" si="28"/>
        <v>0</v>
      </c>
      <c r="BE26" s="537"/>
      <c r="BF26" s="527"/>
      <c r="BG26" s="527"/>
    </row>
    <row r="27" spans="1:60" ht="36.75" customHeight="1">
      <c r="A27" s="511" t="s">
        <v>790</v>
      </c>
      <c r="B27" s="512" t="s">
        <v>763</v>
      </c>
      <c r="C27" s="543">
        <f t="shared" si="29"/>
        <v>0</v>
      </c>
      <c r="D27" s="523">
        <f t="shared" si="30"/>
        <v>0</v>
      </c>
      <c r="E27" s="536"/>
      <c r="F27" s="550"/>
      <c r="G27" s="536"/>
      <c r="H27" s="550"/>
      <c r="I27" s="543">
        <f t="shared" si="31"/>
        <v>0</v>
      </c>
      <c r="J27" s="523">
        <f t="shared" si="32"/>
        <v>0</v>
      </c>
      <c r="K27" s="536"/>
      <c r="L27" s="550"/>
      <c r="M27" s="536"/>
      <c r="N27" s="550"/>
      <c r="O27" s="543">
        <f t="shared" si="33"/>
        <v>0</v>
      </c>
      <c r="P27" s="523">
        <f t="shared" si="34"/>
        <v>0</v>
      </c>
      <c r="Q27" s="536"/>
      <c r="R27" s="550"/>
      <c r="S27" s="536"/>
      <c r="T27" s="550"/>
      <c r="U27" s="543">
        <f t="shared" si="35"/>
        <v>0</v>
      </c>
      <c r="V27" s="523">
        <f t="shared" si="36"/>
        <v>0</v>
      </c>
      <c r="W27" s="536"/>
      <c r="X27" s="550"/>
      <c r="Y27" s="536"/>
      <c r="Z27" s="550"/>
      <c r="AA27" s="543">
        <f t="shared" si="37"/>
        <v>0</v>
      </c>
      <c r="AB27" s="523">
        <f t="shared" si="38"/>
        <v>0</v>
      </c>
      <c r="AC27" s="536"/>
      <c r="AD27" s="550"/>
      <c r="AE27" s="536"/>
      <c r="AF27" s="550"/>
      <c r="AG27" s="543">
        <f t="shared" si="39"/>
        <v>0</v>
      </c>
      <c r="AH27" s="523">
        <f t="shared" si="40"/>
        <v>0</v>
      </c>
      <c r="AI27" s="536"/>
      <c r="AJ27" s="550"/>
      <c r="AK27" s="536"/>
      <c r="AL27" s="550"/>
      <c r="AM27" s="543">
        <f t="shared" si="41"/>
        <v>0</v>
      </c>
      <c r="AN27" s="523">
        <f t="shared" si="42"/>
        <v>0</v>
      </c>
      <c r="AO27" s="536"/>
      <c r="AP27" s="550"/>
      <c r="AQ27" s="536"/>
      <c r="AR27" s="550"/>
      <c r="AS27" s="543">
        <f t="shared" si="43"/>
        <v>0</v>
      </c>
      <c r="AT27" s="523">
        <f t="shared" si="44"/>
        <v>0</v>
      </c>
      <c r="AU27" s="536"/>
      <c r="AV27" s="550"/>
      <c r="AW27" s="536"/>
      <c r="AX27" s="550"/>
      <c r="AY27" s="543">
        <f t="shared" si="23"/>
        <v>0</v>
      </c>
      <c r="AZ27" s="520">
        <f t="shared" si="24"/>
        <v>0</v>
      </c>
      <c r="BA27" s="543">
        <f t="shared" si="25"/>
        <v>0</v>
      </c>
      <c r="BB27" s="520">
        <f t="shared" si="26"/>
        <v>0</v>
      </c>
      <c r="BC27" s="543">
        <f t="shared" si="27"/>
        <v>0</v>
      </c>
      <c r="BD27" s="520">
        <f t="shared" si="28"/>
        <v>0</v>
      </c>
      <c r="BE27" s="537"/>
      <c r="BF27" s="527"/>
      <c r="BG27" s="527"/>
    </row>
    <row r="28" spans="1:60" ht="36.75" customHeight="1">
      <c r="A28" s="511" t="s">
        <v>791</v>
      </c>
      <c r="B28" s="512" t="s">
        <v>764</v>
      </c>
      <c r="C28" s="543">
        <f t="shared" si="29"/>
        <v>0</v>
      </c>
      <c r="D28" s="523">
        <f t="shared" si="30"/>
        <v>0</v>
      </c>
      <c r="E28" s="536"/>
      <c r="F28" s="550"/>
      <c r="G28" s="536"/>
      <c r="H28" s="550"/>
      <c r="I28" s="543">
        <f t="shared" si="31"/>
        <v>0</v>
      </c>
      <c r="J28" s="523">
        <f t="shared" si="32"/>
        <v>0</v>
      </c>
      <c r="K28" s="536"/>
      <c r="L28" s="550"/>
      <c r="M28" s="536"/>
      <c r="N28" s="550"/>
      <c r="O28" s="543">
        <f t="shared" si="33"/>
        <v>0</v>
      </c>
      <c r="P28" s="523">
        <f t="shared" si="34"/>
        <v>0</v>
      </c>
      <c r="Q28" s="536"/>
      <c r="R28" s="550"/>
      <c r="S28" s="536"/>
      <c r="T28" s="550"/>
      <c r="U28" s="543">
        <f t="shared" si="35"/>
        <v>0</v>
      </c>
      <c r="V28" s="523">
        <f t="shared" si="36"/>
        <v>0</v>
      </c>
      <c r="W28" s="536"/>
      <c r="X28" s="550"/>
      <c r="Y28" s="536"/>
      <c r="Z28" s="550"/>
      <c r="AA28" s="543">
        <f t="shared" si="37"/>
        <v>0</v>
      </c>
      <c r="AB28" s="523">
        <f t="shared" si="38"/>
        <v>0</v>
      </c>
      <c r="AC28" s="536"/>
      <c r="AD28" s="550"/>
      <c r="AE28" s="536"/>
      <c r="AF28" s="550"/>
      <c r="AG28" s="543">
        <f t="shared" si="39"/>
        <v>0</v>
      </c>
      <c r="AH28" s="523">
        <f t="shared" si="40"/>
        <v>0</v>
      </c>
      <c r="AI28" s="536"/>
      <c r="AJ28" s="550"/>
      <c r="AK28" s="536"/>
      <c r="AL28" s="550"/>
      <c r="AM28" s="543">
        <f t="shared" si="41"/>
        <v>0</v>
      </c>
      <c r="AN28" s="523">
        <f t="shared" si="42"/>
        <v>0</v>
      </c>
      <c r="AO28" s="536"/>
      <c r="AP28" s="550"/>
      <c r="AQ28" s="536"/>
      <c r="AR28" s="550"/>
      <c r="AS28" s="543">
        <f t="shared" si="43"/>
        <v>0</v>
      </c>
      <c r="AT28" s="523">
        <f t="shared" si="44"/>
        <v>0</v>
      </c>
      <c r="AU28" s="536"/>
      <c r="AV28" s="550"/>
      <c r="AW28" s="536"/>
      <c r="AX28" s="550"/>
      <c r="AY28" s="543">
        <f t="shared" si="23"/>
        <v>0</v>
      </c>
      <c r="AZ28" s="520">
        <f t="shared" si="24"/>
        <v>0</v>
      </c>
      <c r="BA28" s="543">
        <f t="shared" si="25"/>
        <v>0</v>
      </c>
      <c r="BB28" s="520">
        <f t="shared" si="26"/>
        <v>0</v>
      </c>
      <c r="BC28" s="543">
        <f t="shared" si="27"/>
        <v>0</v>
      </c>
      <c r="BD28" s="520">
        <f t="shared" si="28"/>
        <v>0</v>
      </c>
      <c r="BE28" s="537"/>
      <c r="BF28" s="527"/>
      <c r="BG28" s="527"/>
    </row>
    <row r="29" spans="1:60" ht="20.25" customHeight="1">
      <c r="A29" s="511" t="s">
        <v>792</v>
      </c>
      <c r="B29" s="512" t="s">
        <v>579</v>
      </c>
      <c r="C29" s="543">
        <f>+E29+G29</f>
        <v>347022539</v>
      </c>
      <c r="D29" s="523">
        <f>IFERROR((((E29*F29)+(G29*H29))/C29),0)</f>
        <v>0</v>
      </c>
      <c r="E29" s="536">
        <v>315184423</v>
      </c>
      <c r="F29" s="550"/>
      <c r="G29" s="536">
        <v>31838116</v>
      </c>
      <c r="H29" s="550"/>
      <c r="I29" s="543">
        <f t="shared" si="31"/>
        <v>0</v>
      </c>
      <c r="J29" s="523">
        <f t="shared" si="32"/>
        <v>0</v>
      </c>
      <c r="K29" s="536"/>
      <c r="L29" s="550"/>
      <c r="M29" s="536"/>
      <c r="N29" s="550"/>
      <c r="O29" s="543">
        <f t="shared" si="33"/>
        <v>0</v>
      </c>
      <c r="P29" s="523">
        <f t="shared" si="34"/>
        <v>0</v>
      </c>
      <c r="Q29" s="536"/>
      <c r="R29" s="550"/>
      <c r="S29" s="536"/>
      <c r="T29" s="550"/>
      <c r="U29" s="543">
        <f t="shared" si="35"/>
        <v>0</v>
      </c>
      <c r="V29" s="523">
        <f t="shared" si="36"/>
        <v>0</v>
      </c>
      <c r="W29" s="536"/>
      <c r="X29" s="550"/>
      <c r="Y29" s="536"/>
      <c r="Z29" s="550"/>
      <c r="AA29" s="543">
        <f t="shared" si="37"/>
        <v>0</v>
      </c>
      <c r="AB29" s="523">
        <f t="shared" si="38"/>
        <v>0</v>
      </c>
      <c r="AC29" s="536"/>
      <c r="AD29" s="550"/>
      <c r="AE29" s="536"/>
      <c r="AF29" s="550"/>
      <c r="AG29" s="543">
        <f t="shared" si="39"/>
        <v>0</v>
      </c>
      <c r="AH29" s="523">
        <f t="shared" si="40"/>
        <v>0</v>
      </c>
      <c r="AI29" s="536"/>
      <c r="AJ29" s="550"/>
      <c r="AK29" s="536"/>
      <c r="AL29" s="550"/>
      <c r="AM29" s="543">
        <f t="shared" si="41"/>
        <v>0</v>
      </c>
      <c r="AN29" s="523">
        <f t="shared" si="42"/>
        <v>0</v>
      </c>
      <c r="AO29" s="536"/>
      <c r="AP29" s="550"/>
      <c r="AQ29" s="536"/>
      <c r="AR29" s="550"/>
      <c r="AS29" s="543">
        <f t="shared" si="43"/>
        <v>0</v>
      </c>
      <c r="AT29" s="523">
        <f t="shared" si="44"/>
        <v>0</v>
      </c>
      <c r="AU29" s="536"/>
      <c r="AV29" s="550"/>
      <c r="AW29" s="536"/>
      <c r="AX29" s="550"/>
      <c r="AY29" s="543">
        <f t="shared" si="23"/>
        <v>347022539</v>
      </c>
      <c r="AZ29" s="520">
        <f t="shared" si="24"/>
        <v>0</v>
      </c>
      <c r="BA29" s="543">
        <f t="shared" si="25"/>
        <v>315184423</v>
      </c>
      <c r="BB29" s="520">
        <f>IFERROR(((E29*F29)/BA29)+((K29*L29)/BA29)+((Q29*R29)/BA29)+((W29*X29)/BA29)+((AC29*AD29)/BA29)+((AI29*AJ29)/BA29)+((AO29*AP29)/BA29)+((AU29*AV29)/BA29),0)</f>
        <v>0</v>
      </c>
      <c r="BC29" s="543">
        <f>+G29+M29+S29+Y29+AE29+AK29+AQ29+AW29</f>
        <v>31838116</v>
      </c>
      <c r="BD29" s="520">
        <f>IFERROR(((G29*H29)/BC29)+((M29*N29)/BC29)+((S29*T29)/BC29)+((Y29*Z29)/BC29)+((AE29*AF29)/BC29)+((AK29*AL29)/BC29)+((AQ29*AR29)/BC29)+((AW29*AX29)/BC29),0)</f>
        <v>0</v>
      </c>
      <c r="BE29" s="537"/>
      <c r="BF29" s="527"/>
      <c r="BG29" s="527"/>
      <c r="BH29" s="538"/>
    </row>
    <row r="30" spans="1:60" ht="20.25" customHeight="1">
      <c r="A30" s="511" t="s">
        <v>55</v>
      </c>
      <c r="B30" s="512" t="s">
        <v>336</v>
      </c>
      <c r="C30" s="543">
        <f t="shared" si="29"/>
        <v>15227290</v>
      </c>
      <c r="D30" s="523">
        <f t="shared" si="30"/>
        <v>0.17062748244961998</v>
      </c>
      <c r="E30" s="543">
        <f>+E31+E32</f>
        <v>13507098</v>
      </c>
      <c r="F30" s="551">
        <f>IFERROR(((E31*F31)/E30)+((E32*F32)/E30),0)</f>
        <v>0.19068588779337139</v>
      </c>
      <c r="G30" s="543">
        <f>+G31+G32</f>
        <v>1720192</v>
      </c>
      <c r="H30" s="551">
        <f>IFERROR(((G31*H31)/G30)+((G32*H32)/G30),0)</f>
        <v>1.3127129755400851E-2</v>
      </c>
      <c r="I30" s="543">
        <f t="shared" si="31"/>
        <v>228665261</v>
      </c>
      <c r="J30" s="523">
        <f t="shared" si="32"/>
        <v>0.16133558250333241</v>
      </c>
      <c r="K30" s="543">
        <f>+K31+K32</f>
        <v>228665261</v>
      </c>
      <c r="L30" s="551">
        <f>IFERROR(((K31*L31)/K30)+((K32*L32)/K30),0)</f>
        <v>0.16133558250333241</v>
      </c>
      <c r="M30" s="543">
        <f>+M31+M32</f>
        <v>0</v>
      </c>
      <c r="N30" s="551">
        <f>IFERROR(((M31*N31)/M30)+((M32*N32)/M30),0)</f>
        <v>0</v>
      </c>
      <c r="O30" s="543">
        <f t="shared" si="33"/>
        <v>131791639</v>
      </c>
      <c r="P30" s="523">
        <f t="shared" si="34"/>
        <v>0.21205381911617913</v>
      </c>
      <c r="Q30" s="543">
        <f>+Q31+Q32</f>
        <v>131791639</v>
      </c>
      <c r="R30" s="551">
        <f>IFERROR(((Q31*R31)/Q30)+((Q32*R32)/Q30),0)</f>
        <v>0.21205381911617913</v>
      </c>
      <c r="S30" s="543">
        <f>+S31+S32</f>
        <v>0</v>
      </c>
      <c r="T30" s="551">
        <f>IFERROR(((S31*T31)/S30)+((S32*T32)/S30),0)</f>
        <v>0</v>
      </c>
      <c r="U30" s="543">
        <f t="shared" si="35"/>
        <v>752909171</v>
      </c>
      <c r="V30" s="523">
        <f t="shared" si="36"/>
        <v>0.2268522592307089</v>
      </c>
      <c r="W30" s="543">
        <f>+W31+W32</f>
        <v>752252095</v>
      </c>
      <c r="X30" s="551">
        <f>IFERROR(((W31*X31)/W30)+((W32*X32)/W30),0)</f>
        <v>0.22698926630024224</v>
      </c>
      <c r="Y30" s="543">
        <f>+Y31+Y32</f>
        <v>657076</v>
      </c>
      <c r="Z30" s="551">
        <f>IFERROR(((Y31*Z31)/Y30)+((Y32*Z32)/Y30),0)</f>
        <v>7.0000000000000007E-2</v>
      </c>
      <c r="AA30" s="543">
        <f t="shared" si="37"/>
        <v>2038901810</v>
      </c>
      <c r="AB30" s="523">
        <f t="shared" si="38"/>
        <v>0.18715936367579494</v>
      </c>
      <c r="AC30" s="543">
        <f>+AC31+AC32</f>
        <v>1652867408</v>
      </c>
      <c r="AD30" s="551">
        <f>IFERROR(((AC31*AD31)/AC30)+((AC32*AD32)/AC30),0)</f>
        <v>0.21137178531593465</v>
      </c>
      <c r="AE30" s="543">
        <f>+AE31+AE32</f>
        <v>386034402</v>
      </c>
      <c r="AF30" s="551">
        <f>IFERROR(((AE31*AF31)/AE30)+((AE32*AF32)/AE30),0)</f>
        <v>8.3490047183787594E-2</v>
      </c>
      <c r="AG30" s="543">
        <f t="shared" si="39"/>
        <v>2112814633</v>
      </c>
      <c r="AH30" s="523">
        <f t="shared" si="40"/>
        <v>0.19448933305212662</v>
      </c>
      <c r="AI30" s="543">
        <f>+AI31+AI32</f>
        <v>1867817795</v>
      </c>
      <c r="AJ30" s="551">
        <f>IFERROR(((AI31*AJ31)/AI30)+((AI32*AJ32)/AI30),0)</f>
        <v>0.21064021086505219</v>
      </c>
      <c r="AK30" s="543">
        <f>+AK31+AK32</f>
        <v>244996838</v>
      </c>
      <c r="AL30" s="551">
        <f>IFERROR(((AK31*AL31)/AK30)+((AK32*AL32)/AK30),0)</f>
        <v>7.1357552127455912E-2</v>
      </c>
      <c r="AM30" s="543">
        <f t="shared" si="41"/>
        <v>1181328761</v>
      </c>
      <c r="AN30" s="523">
        <f t="shared" si="42"/>
        <v>0.18976170724988883</v>
      </c>
      <c r="AO30" s="543">
        <f>+AO31+AO32</f>
        <v>1080560361</v>
      </c>
      <c r="AP30" s="551">
        <f>IFERROR(((AO31*AP31)/AO30)+((AO32*AP32)/AO30),0)</f>
        <v>0.20480153504604018</v>
      </c>
      <c r="AQ30" s="543">
        <f>+AQ31+AQ32</f>
        <v>100768400</v>
      </c>
      <c r="AR30" s="551">
        <f>IFERROR(((AQ31*AR31)/AQ30)+((AQ32*AR32)/AQ30),0)</f>
        <v>2.8486528197853401E-2</v>
      </c>
      <c r="AS30" s="543">
        <f t="shared" si="43"/>
        <v>734786387</v>
      </c>
      <c r="AT30" s="523">
        <f t="shared" si="44"/>
        <v>0.12020544001188502</v>
      </c>
      <c r="AU30" s="543">
        <f>+AU31+AU32</f>
        <v>713846905</v>
      </c>
      <c r="AV30" s="551">
        <f>IFERROR(((AU31*AV31)/AU30)+((AU32*AV32)/AU30),0)</f>
        <v>0.12156515614998534</v>
      </c>
      <c r="AW30" s="543">
        <f>+AW31+AW32</f>
        <v>20939482</v>
      </c>
      <c r="AX30" s="551">
        <f>IFERROR(((AW31*AX31)/AW30)+((AW32*AX32)/AW30),0)</f>
        <v>7.3851420516013164E-2</v>
      </c>
      <c r="AY30" s="543">
        <f>+C30+I30+O30+U30+AA30+AG30+AM30+AS30</f>
        <v>7196424952</v>
      </c>
      <c r="AZ30" s="520">
        <f>IFERROR(((C30*D30)/AY30)+((I30*J30)/AY30)+((O30*P30)/AY30)+((U30*V30)/AY30)+((AA30*AB30)/AY30)+((AG30*AH30)/AY30)+((AM30*AN30)/AY30)+((AS30*AT30)/AY30),0)</f>
        <v>0.18665543942716115</v>
      </c>
      <c r="BA30" s="543">
        <f>+E30+K30+Q30+W30+AC30+AI30+AO30+AU30</f>
        <v>6441308562</v>
      </c>
      <c r="BB30" s="520">
        <f>IFERROR(((E30*F30)/BA30)+((K30*L30)/BA30)+((Q30*R30)/BA30)+((W30*X30)/BA30)+((AC30*AD30)/BA30)+((AI30*AJ30)/BA30)+((AO30*AP30)/BA30)+((AU30*AV30)/BA30),0)</f>
        <v>0.20012298982017696</v>
      </c>
      <c r="BC30" s="543">
        <f>+G30+M30+S30+Y30+AE30+AK30+AQ30+AW30</f>
        <v>755116390</v>
      </c>
      <c r="BD30" s="520">
        <f>IFERROR(((G30*H30)/BC30)+((M30*N30)/BC30)+((S30*T30)/BC30)+((Y30*Z30)/BC30)+((AE30*AF30)/BC30)+((AK30*AL30)/BC30)+((AQ30*AR30)/BC30)+((AW30*AX30)/BC30),0)</f>
        <v>7.1774278318078033E-2</v>
      </c>
      <c r="BE30" s="537"/>
      <c r="BF30" s="527">
        <f>+'[8]Bank Liabilities Analysis'!$S$12</f>
        <v>8810218869</v>
      </c>
      <c r="BG30" s="527">
        <f>+AY30+'IRRBB_floating%'!AY30</f>
        <v>8810218868</v>
      </c>
      <c r="BH30" s="538">
        <f>+BF30-BG30</f>
        <v>1</v>
      </c>
    </row>
    <row r="31" spans="1:60" ht="20.25" customHeight="1">
      <c r="A31" s="511" t="s">
        <v>760</v>
      </c>
      <c r="B31" s="512" t="s">
        <v>761</v>
      </c>
      <c r="C31" s="543">
        <f t="shared" si="29"/>
        <v>11915602</v>
      </c>
      <c r="D31" s="523">
        <f t="shared" si="30"/>
        <v>0.20152730818183828</v>
      </c>
      <c r="E31" s="536">
        <v>11578323</v>
      </c>
      <c r="F31" s="550">
        <v>0.20544754303692564</v>
      </c>
      <c r="G31" s="536">
        <v>337279</v>
      </c>
      <c r="H31" s="550">
        <v>6.6951051171885892E-2</v>
      </c>
      <c r="I31" s="543">
        <f t="shared" si="31"/>
        <v>7405261</v>
      </c>
      <c r="J31" s="523">
        <f t="shared" si="32"/>
        <v>0.20758796775853469</v>
      </c>
      <c r="K31" s="536">
        <v>7405261</v>
      </c>
      <c r="L31" s="550">
        <v>0.20758796775853469</v>
      </c>
      <c r="M31" s="536"/>
      <c r="N31" s="550"/>
      <c r="O31" s="543">
        <f t="shared" si="33"/>
        <v>29723296</v>
      </c>
      <c r="P31" s="523">
        <f t="shared" si="34"/>
        <v>0.21038048715859078</v>
      </c>
      <c r="Q31" s="536">
        <v>29723296</v>
      </c>
      <c r="R31" s="550">
        <v>0.21038048715859078</v>
      </c>
      <c r="S31" s="536"/>
      <c r="T31" s="550"/>
      <c r="U31" s="543">
        <f t="shared" si="35"/>
        <v>457559171</v>
      </c>
      <c r="V31" s="523">
        <f t="shared" si="36"/>
        <v>0.24143357501814805</v>
      </c>
      <c r="W31" s="536">
        <v>456902095</v>
      </c>
      <c r="X31" s="550">
        <v>0.24168011555488739</v>
      </c>
      <c r="Y31" s="536">
        <v>657076</v>
      </c>
      <c r="Z31" s="550">
        <v>7.0000000000000007E-2</v>
      </c>
      <c r="AA31" s="543">
        <f t="shared" si="37"/>
        <v>679808897</v>
      </c>
      <c r="AB31" s="523">
        <f t="shared" si="38"/>
        <v>0.21977284402730465</v>
      </c>
      <c r="AC31" s="536">
        <v>581016454</v>
      </c>
      <c r="AD31" s="550">
        <v>0.24186546895831934</v>
      </c>
      <c r="AE31" s="536">
        <v>98792443</v>
      </c>
      <c r="AF31" s="550">
        <v>8.9842069899468177E-2</v>
      </c>
      <c r="AG31" s="543">
        <f t="shared" si="39"/>
        <v>833425787</v>
      </c>
      <c r="AH31" s="523">
        <f t="shared" si="40"/>
        <v>0.226660966347355</v>
      </c>
      <c r="AI31" s="536">
        <v>765903579</v>
      </c>
      <c r="AJ31" s="550">
        <v>0.23908801078519715</v>
      </c>
      <c r="AK31" s="536">
        <v>67522208</v>
      </c>
      <c r="AL31" s="550">
        <v>8.5701153372410063E-2</v>
      </c>
      <c r="AM31" s="543">
        <f t="shared" si="41"/>
        <v>770664640</v>
      </c>
      <c r="AN31" s="523">
        <f t="shared" si="42"/>
        <v>0.21001269050030794</v>
      </c>
      <c r="AO31" s="536">
        <v>740027965</v>
      </c>
      <c r="AP31" s="550">
        <v>0.21577580504244681</v>
      </c>
      <c r="AQ31" s="536">
        <v>30636675</v>
      </c>
      <c r="AR31" s="550">
        <v>7.0804831727090831E-2</v>
      </c>
      <c r="AS31" s="543">
        <f t="shared" si="43"/>
        <v>104245380</v>
      </c>
      <c r="AT31" s="523">
        <f t="shared" si="44"/>
        <v>0.17525688206887258</v>
      </c>
      <c r="AU31" s="536">
        <v>83305898</v>
      </c>
      <c r="AV31" s="550">
        <v>0.20074580767757066</v>
      </c>
      <c r="AW31" s="536">
        <v>20939482</v>
      </c>
      <c r="AX31" s="550">
        <v>7.3851420516013164E-2</v>
      </c>
      <c r="AY31" s="543">
        <f>+C31+I31+O31+U31+AA31+AG31+AM31+AS31</f>
        <v>2894748034</v>
      </c>
      <c r="AZ31" s="520">
        <f>IFERROR(((C31*D31)/AY31)+((I31*J31)/AY31)+((O31*P31)/AY31)+((U31*V31)/AY31)+((AA31*AB31)/AY31)+((AG31*AH31)/AY31)+((AM31*AN31)/AY31)+((AS31*AT31)/AY31),0)</f>
        <v>0.2207755585076123</v>
      </c>
      <c r="BA31" s="543">
        <f>+E31+K31+Q31+W31+AC31+AI31+AO31+AU31</f>
        <v>2675862871</v>
      </c>
      <c r="BB31" s="520">
        <f>IFERROR(((E31*F31)/BA31)+((K31*L31)/BA31)+((Q31*R31)/BA31)+((W31*X31)/BA31)+((AC31*AD31)/BA31)+((AI31*AJ31)/BA31)+((AO31*AP31)/BA31)+((AU31*AV31)/BA31),0)</f>
        <v>0.23194124048203343</v>
      </c>
      <c r="BC31" s="543">
        <f>+G31+M31+S31+Y31+AE31+AK31+AQ31+AW31</f>
        <v>218885163</v>
      </c>
      <c r="BD31" s="520">
        <f>IFERROR(((G31*H31)/BC31)+((M31*N31)/BC31)+((S31*T31)/BC31)+((Y31*Z31)/BC31)+((AE31*AF31)/BC31)+((AK31*AL31)/BC31)+((AQ31*AR31)/BC31)+((AW31*AX31)/BC31),0)</f>
        <v>8.4275517046385001E-2</v>
      </c>
      <c r="BE31" s="537"/>
      <c r="BF31" s="527">
        <f>+'[8]Bank Liabilities Analysis'!$S$13</f>
        <v>2894748034</v>
      </c>
      <c r="BG31" s="527">
        <f>+AY31+'IRRBB_floating%'!AY31</f>
        <v>2894748034</v>
      </c>
      <c r="BH31" s="538">
        <f t="shared" ref="BH31:BH32" si="45">+BF31-BG31</f>
        <v>0</v>
      </c>
    </row>
    <row r="32" spans="1:60" ht="20.25" customHeight="1">
      <c r="A32" s="511" t="s">
        <v>775</v>
      </c>
      <c r="B32" s="512" t="s">
        <v>762</v>
      </c>
      <c r="C32" s="543">
        <f t="shared" si="29"/>
        <v>3311688</v>
      </c>
      <c r="D32" s="523">
        <f t="shared" si="30"/>
        <v>5.9448523171308755E-2</v>
      </c>
      <c r="E32" s="536">
        <v>1928775</v>
      </c>
      <c r="F32" s="550">
        <v>0.10207253868602877</v>
      </c>
      <c r="G32" s="536">
        <v>1382913</v>
      </c>
      <c r="H32" s="550">
        <v>0</v>
      </c>
      <c r="I32" s="543">
        <f t="shared" si="31"/>
        <v>221260000</v>
      </c>
      <c r="J32" s="523">
        <f t="shared" si="32"/>
        <v>0.15978758022236283</v>
      </c>
      <c r="K32" s="536">
        <v>221260000</v>
      </c>
      <c r="L32" s="550">
        <v>0.15978758022236283</v>
      </c>
      <c r="M32" s="536"/>
      <c r="N32" s="550"/>
      <c r="O32" s="543">
        <f t="shared" si="33"/>
        <v>102068343</v>
      </c>
      <c r="P32" s="523">
        <f t="shared" si="34"/>
        <v>0.2125411096865929</v>
      </c>
      <c r="Q32" s="536">
        <v>102068343</v>
      </c>
      <c r="R32" s="550">
        <v>0.21254110968659287</v>
      </c>
      <c r="S32" s="536"/>
      <c r="T32" s="550"/>
      <c r="U32" s="543">
        <f t="shared" si="35"/>
        <v>295350000</v>
      </c>
      <c r="V32" s="523">
        <f t="shared" si="36"/>
        <v>0.20426273912307433</v>
      </c>
      <c r="W32" s="536">
        <v>295350000</v>
      </c>
      <c r="X32" s="550">
        <v>0.20426273912307433</v>
      </c>
      <c r="Y32" s="536"/>
      <c r="Z32" s="550"/>
      <c r="AA32" s="543">
        <f t="shared" si="37"/>
        <v>1359092913</v>
      </c>
      <c r="AB32" s="523">
        <f t="shared" si="38"/>
        <v>0.17084632584517903</v>
      </c>
      <c r="AC32" s="536">
        <v>1071850954</v>
      </c>
      <c r="AD32" s="550">
        <v>0.19484212522357056</v>
      </c>
      <c r="AE32" s="536">
        <v>287241959</v>
      </c>
      <c r="AF32" s="550">
        <v>8.1305366908460616E-2</v>
      </c>
      <c r="AG32" s="543">
        <f t="shared" si="39"/>
        <v>1279388846</v>
      </c>
      <c r="AH32" s="523">
        <f t="shared" si="40"/>
        <v>0.17353192914636278</v>
      </c>
      <c r="AI32" s="536">
        <v>1101914216</v>
      </c>
      <c r="AJ32" s="550">
        <v>0.1908671001662835</v>
      </c>
      <c r="AK32" s="536">
        <v>177474630</v>
      </c>
      <c r="AL32" s="550">
        <v>6.5900368603642664E-2</v>
      </c>
      <c r="AM32" s="543">
        <f t="shared" si="41"/>
        <v>410664121</v>
      </c>
      <c r="AN32" s="523">
        <f t="shared" si="42"/>
        <v>0.15175810304330112</v>
      </c>
      <c r="AO32" s="536">
        <v>340532396</v>
      </c>
      <c r="AP32" s="550">
        <v>0.18095280056968405</v>
      </c>
      <c r="AQ32" s="536">
        <v>70131725</v>
      </c>
      <c r="AR32" s="550">
        <v>0.01</v>
      </c>
      <c r="AS32" s="543">
        <f t="shared" si="43"/>
        <v>630541007</v>
      </c>
      <c r="AT32" s="523">
        <f t="shared" si="44"/>
        <v>0.11110395663004582</v>
      </c>
      <c r="AU32" s="536">
        <v>630541007</v>
      </c>
      <c r="AV32" s="550">
        <v>0.11110395663004584</v>
      </c>
      <c r="AW32" s="536"/>
      <c r="AX32" s="550"/>
      <c r="AY32" s="543">
        <f>+C32+I32+O32+U32+AA32+AG32+AM32+AS32</f>
        <v>4301676918</v>
      </c>
      <c r="AZ32" s="520">
        <f>IFERROR(((C32*D32)/AY32)+((I32*J32)/AY32)+((O32*P32)/AY32)+((U32*V32)/AY32)+((AA32*AB32)/AY32)+((AG32*AH32)/AY32)+((AM32*AN32)/AY32)+((AS32*AT32)/AY32),0)</f>
        <v>0.16369482441335323</v>
      </c>
      <c r="BA32" s="543">
        <f>+E32+K32+Q32+W32+AC32+AI32+AO32+AU32</f>
        <v>3765445691</v>
      </c>
      <c r="BB32" s="520">
        <f>IFERROR(((E32*F32)/BA32)+((K32*L32)/BA32)+((Q32*R32)/BA32)+((W32*X32)/BA32)+((AC32*AD32)/BA32)+((AI32*AJ32)/BA32)+((AO32*AP32)/BA32)+((AU32*AV32)/BA32),0)</f>
        <v>0.17751178186417491</v>
      </c>
      <c r="BC32" s="543">
        <f>+G32+M32+S32+Y32+AE32+AK32+AQ32+AW32</f>
        <v>536231227</v>
      </c>
      <c r="BD32" s="520">
        <f>IFERROR(((G32*H32)/BC32)+((M32*N32)/BC32)+((S32*T32)/BC32)+((Y32*Z32)/BC32)+((AE32*AF32)/BC32)+((AK32*AL32)/BC32)+((AQ32*AR32)/BC32)+((AW32*AX32)/BC32),0)</f>
        <v>6.6671375803325036E-2</v>
      </c>
      <c r="BE32" s="537"/>
      <c r="BF32" s="527">
        <f>+'[8]Bank Liabilities Analysis'!$S$12-'[8]Bank Liabilities Analysis'!$S$13</f>
        <v>5915470835</v>
      </c>
      <c r="BG32" s="527">
        <f>+AY32+'IRRBB_floating%'!AY32</f>
        <v>5915470834</v>
      </c>
      <c r="BH32" s="538">
        <f t="shared" si="45"/>
        <v>1</v>
      </c>
    </row>
    <row r="33" spans="1:60" ht="20.25" customHeight="1">
      <c r="A33" s="511" t="s">
        <v>56</v>
      </c>
      <c r="B33" s="512" t="s">
        <v>765</v>
      </c>
      <c r="C33" s="543">
        <f>+C24+C30</f>
        <v>931677581</v>
      </c>
      <c r="D33" s="523">
        <f>IFERROR(((C24*D24)/C33)+((C30*D30)/C33),0)</f>
        <v>2.7887267121331255E-3</v>
      </c>
      <c r="E33" s="543">
        <f>+E24+E30</f>
        <v>863064496</v>
      </c>
      <c r="F33" s="551">
        <f>IFERROR(((E24*F24)/E33)+((E30*F30)/E33),0)</f>
        <v>2.9842647746247592E-3</v>
      </c>
      <c r="G33" s="543">
        <f>+G24+G30</f>
        <v>68613085</v>
      </c>
      <c r="H33" s="551">
        <f>IFERROR(((G24*H24)/G33)+((G30*H30)/G33),0)</f>
        <v>3.2910899704046977E-4</v>
      </c>
      <c r="I33" s="543">
        <f>+I24+I30</f>
        <v>228665261</v>
      </c>
      <c r="J33" s="523">
        <f>IFERROR(((I24*J24)/I33)+((I30*J30)/I33),0)</f>
        <v>0.16133558250333241</v>
      </c>
      <c r="K33" s="543">
        <f>+K24+K30</f>
        <v>228665261</v>
      </c>
      <c r="L33" s="551">
        <f>IFERROR(((K24*L24)/K33)+((K30*L30)/K33),0)</f>
        <v>0.16133558250333241</v>
      </c>
      <c r="M33" s="543">
        <f>+M24+M30</f>
        <v>0</v>
      </c>
      <c r="N33" s="551">
        <f>IFERROR(((M24*N24)/M33)+((M30*N30)/M33),0)</f>
        <v>0</v>
      </c>
      <c r="O33" s="543">
        <f>+O24+O30</f>
        <v>131791639</v>
      </c>
      <c r="P33" s="523">
        <f>IFERROR(((O24*P24)/O33)+((O30*P30)/O33),0)</f>
        <v>0.21205381911617913</v>
      </c>
      <c r="Q33" s="543">
        <f>+Q24+Q30</f>
        <v>131791639</v>
      </c>
      <c r="R33" s="551">
        <f>IFERROR(((Q24*R24)/Q33)+((Q30*R30)/Q33),0)</f>
        <v>0.21205381911617913</v>
      </c>
      <c r="S33" s="543">
        <f>+S24+S30</f>
        <v>0</v>
      </c>
      <c r="T33" s="551">
        <f>IFERROR(((S24*T24)/S33)+((S30*T30)/S33),0)</f>
        <v>0</v>
      </c>
      <c r="U33" s="543">
        <f>+U24+U30</f>
        <v>752909171</v>
      </c>
      <c r="V33" s="523">
        <f>IFERROR(((U24*V24)/U33)+((U30*V30)/U33),0)</f>
        <v>0.2268522592307089</v>
      </c>
      <c r="W33" s="543">
        <f>+W24+W30</f>
        <v>752252095</v>
      </c>
      <c r="X33" s="551">
        <f>IFERROR(((W24*X24)/W33)+((W30*X30)/W33),0)</f>
        <v>0.22698926630024224</v>
      </c>
      <c r="Y33" s="543">
        <f>+Y24+Y30</f>
        <v>657076</v>
      </c>
      <c r="Z33" s="551">
        <f>IFERROR(((Y24*Z24)/Y33)+((Y30*Z30)/Y33),0)</f>
        <v>7.0000000000000007E-2</v>
      </c>
      <c r="AA33" s="543">
        <f>+AA24+AA30</f>
        <v>2038901810</v>
      </c>
      <c r="AB33" s="523">
        <f>IFERROR(((AA24*AB24)/AA33)+((AA30*AB30)/AA33),0)</f>
        <v>0.18715936367579494</v>
      </c>
      <c r="AC33" s="543">
        <f>+AC24+AC30</f>
        <v>1652867408</v>
      </c>
      <c r="AD33" s="551">
        <f>IFERROR(((AC24*AD24)/AC33)+((AC30*AD30)/AC33),0)</f>
        <v>0.21137178531593465</v>
      </c>
      <c r="AE33" s="543">
        <f>+AE24+AE30</f>
        <v>386034402</v>
      </c>
      <c r="AF33" s="551">
        <f>IFERROR(((AE24*AF24)/AE33)+((AE30*AF30)/AE33),0)</f>
        <v>8.3490047183787594E-2</v>
      </c>
      <c r="AG33" s="543">
        <f>+AG24+AG30</f>
        <v>2112814633</v>
      </c>
      <c r="AH33" s="523">
        <f>IFERROR(((AG24*AH24)/AG33)+((AG30*AH30)/AG33),0)</f>
        <v>0.19448933305212662</v>
      </c>
      <c r="AI33" s="543">
        <f>+AI24+AI30</f>
        <v>1867817795</v>
      </c>
      <c r="AJ33" s="551">
        <f>IFERROR(((AI24*AJ24)/AI33)+((AI30*AJ30)/AI33),0)</f>
        <v>0.21064021086505219</v>
      </c>
      <c r="AK33" s="543">
        <f>+AK24+AK30</f>
        <v>244996838</v>
      </c>
      <c r="AL33" s="551">
        <f>IFERROR(((AK24*AL24)/AK33)+((AK30*AL30)/AK33),0)</f>
        <v>7.1357552127455912E-2</v>
      </c>
      <c r="AM33" s="543">
        <f>+AM24+AM30</f>
        <v>1181328761</v>
      </c>
      <c r="AN33" s="523">
        <f>IFERROR(((AM24*AN24)/AM33)+((AM30*AN30)/AM33),0)</f>
        <v>0.18976170724988883</v>
      </c>
      <c r="AO33" s="543">
        <f>+AO24+AO30</f>
        <v>1080560361</v>
      </c>
      <c r="AP33" s="551">
        <f>IFERROR(((AO24*AP24)/AO33)+((AO30*AP30)/AO33),0)</f>
        <v>0.20480153504604018</v>
      </c>
      <c r="AQ33" s="543">
        <f>+AQ24+AQ30</f>
        <v>100768400</v>
      </c>
      <c r="AR33" s="551">
        <f>IFERROR(((AQ24*AR24)/AQ33)+((AQ30*AR30)/AQ33),0)</f>
        <v>2.8486528197853401E-2</v>
      </c>
      <c r="AS33" s="543">
        <f>+AS24+AS30</f>
        <v>734786387</v>
      </c>
      <c r="AT33" s="523">
        <f>IFERROR(((AS24*AT24)/AS33)+((AS30*AT30)/AS33),0)</f>
        <v>0.12020544001188502</v>
      </c>
      <c r="AU33" s="543">
        <f>+AU24+AU30</f>
        <v>713846905</v>
      </c>
      <c r="AV33" s="551">
        <f>IFERROR(((AU24*AV24)/AU33)+((AU30*AV30)/AU33),0)</f>
        <v>0.12156515614998534</v>
      </c>
      <c r="AW33" s="543">
        <f>+AW24+AW30</f>
        <v>20939482</v>
      </c>
      <c r="AX33" s="551">
        <f>IFERROR(((AW24*AX24)/AW33)+((AW30*AX30)/AW33),0)</f>
        <v>7.3851420516013164E-2</v>
      </c>
      <c r="AY33" s="543">
        <f t="shared" si="23"/>
        <v>8112875243</v>
      </c>
      <c r="AZ33" s="520">
        <f t="shared" si="24"/>
        <v>0.16557038306229838</v>
      </c>
      <c r="BA33" s="543">
        <f t="shared" si="25"/>
        <v>7290865960</v>
      </c>
      <c r="BB33" s="520">
        <f t="shared" si="26"/>
        <v>0.1768039537215336</v>
      </c>
      <c r="BC33" s="543">
        <f t="shared" si="27"/>
        <v>822009283</v>
      </c>
      <c r="BD33" s="520">
        <f t="shared" si="28"/>
        <v>6.5933481603275709E-2</v>
      </c>
      <c r="BE33" s="537"/>
      <c r="BF33" s="527">
        <f>+'[8]Bank Liabilities Analysis'!$S$20</f>
        <v>9726669160</v>
      </c>
      <c r="BG33" s="527">
        <f>+AY33+'IRRBB_floating%'!AY33</f>
        <v>9726669159</v>
      </c>
      <c r="BH33" s="538">
        <f>+BF33-BG33</f>
        <v>1</v>
      </c>
    </row>
    <row r="34" spans="1:60" ht="20.25" customHeight="1">
      <c r="A34" s="511" t="s">
        <v>3</v>
      </c>
      <c r="B34" s="512" t="s">
        <v>766</v>
      </c>
      <c r="C34" s="543">
        <f t="shared" ref="C34:C39" si="46">+E34+G34</f>
        <v>442535</v>
      </c>
      <c r="D34" s="523">
        <f t="shared" ref="D34:D39" si="47">IFERROR((((E34*F34)+(G34*H34))/C34),0)</f>
        <v>0</v>
      </c>
      <c r="E34" s="536">
        <v>442535</v>
      </c>
      <c r="F34" s="550"/>
      <c r="G34" s="536"/>
      <c r="H34" s="550"/>
      <c r="I34" s="543">
        <f t="shared" ref="I34:I39" si="48">+K34+M34</f>
        <v>0</v>
      </c>
      <c r="J34" s="523">
        <f t="shared" ref="J34:J39" si="49">IFERROR((((K34*L34)+(M34*N34))/I34),0)</f>
        <v>0</v>
      </c>
      <c r="K34" s="536"/>
      <c r="L34" s="550"/>
      <c r="M34" s="536"/>
      <c r="N34" s="550"/>
      <c r="O34" s="543">
        <f t="shared" ref="O34:O39" si="50">+Q34+S34</f>
        <v>0</v>
      </c>
      <c r="P34" s="523">
        <f t="shared" ref="P34:P39" si="51">IFERROR((((Q34*R34)+(S34*T34))/O34),0)</f>
        <v>0</v>
      </c>
      <c r="Q34" s="536"/>
      <c r="R34" s="550"/>
      <c r="S34" s="536"/>
      <c r="T34" s="550"/>
      <c r="U34" s="543">
        <f t="shared" ref="U34:U39" si="52">+W34+Y34</f>
        <v>0</v>
      </c>
      <c r="V34" s="523">
        <f t="shared" ref="V34:V39" si="53">IFERROR((((W34*X34)+(Y34*Z34))/U34),0)</f>
        <v>0</v>
      </c>
      <c r="W34" s="536"/>
      <c r="X34" s="550"/>
      <c r="Y34" s="536"/>
      <c r="Z34" s="550"/>
      <c r="AA34" s="543">
        <f t="shared" ref="AA34:AA39" si="54">+AC34+AE34</f>
        <v>0</v>
      </c>
      <c r="AB34" s="523">
        <f t="shared" ref="AB34:AB39" si="55">IFERROR((((AC34*AD34)+(AE34*AF34))/AA34),0)</f>
        <v>0</v>
      </c>
      <c r="AC34" s="536"/>
      <c r="AD34" s="550"/>
      <c r="AE34" s="536"/>
      <c r="AF34" s="550"/>
      <c r="AG34" s="543">
        <f t="shared" ref="AG34:AG39" si="56">+AI34+AK34</f>
        <v>0</v>
      </c>
      <c r="AH34" s="523">
        <f t="shared" ref="AH34:AH39" si="57">IFERROR((((AI34*AJ34)+(AK34*AL34))/AG34),0)</f>
        <v>0</v>
      </c>
      <c r="AI34" s="536"/>
      <c r="AJ34" s="550"/>
      <c r="AK34" s="536"/>
      <c r="AL34" s="550"/>
      <c r="AM34" s="543">
        <f t="shared" ref="AM34:AM39" si="58">+AO34+AQ34</f>
        <v>0</v>
      </c>
      <c r="AN34" s="523">
        <f t="shared" ref="AN34:AN39" si="59">IFERROR((((AO34*AP34)+(AQ34*AR34))/AM34),0)</f>
        <v>0</v>
      </c>
      <c r="AO34" s="536"/>
      <c r="AP34" s="550"/>
      <c r="AQ34" s="536"/>
      <c r="AR34" s="550"/>
      <c r="AS34" s="543">
        <f t="shared" ref="AS34:AS39" si="60">+AU34+AW34</f>
        <v>0</v>
      </c>
      <c r="AT34" s="523">
        <f t="shared" ref="AT34:AT39" si="61">IFERROR((((AU34*AV34)+(AW34*AX34))/AS34),0)</f>
        <v>0</v>
      </c>
      <c r="AU34" s="536"/>
      <c r="AV34" s="550"/>
      <c r="AW34" s="536"/>
      <c r="AX34" s="550"/>
      <c r="AY34" s="543">
        <f t="shared" si="23"/>
        <v>442535</v>
      </c>
      <c r="AZ34" s="520">
        <f t="shared" si="24"/>
        <v>0</v>
      </c>
      <c r="BA34" s="543">
        <f t="shared" si="25"/>
        <v>442535</v>
      </c>
      <c r="BB34" s="520">
        <f t="shared" si="26"/>
        <v>0</v>
      </c>
      <c r="BC34" s="543">
        <f t="shared" si="27"/>
        <v>0</v>
      </c>
      <c r="BD34" s="520">
        <f t="shared" si="28"/>
        <v>0</v>
      </c>
      <c r="BE34" s="537"/>
      <c r="BF34" s="527"/>
      <c r="BG34" s="527"/>
      <c r="BH34" s="538"/>
    </row>
    <row r="35" spans="1:60" ht="20.25" customHeight="1">
      <c r="A35" s="511" t="s">
        <v>4</v>
      </c>
      <c r="B35" s="512" t="s">
        <v>767</v>
      </c>
      <c r="C35" s="543">
        <f t="shared" si="46"/>
        <v>0</v>
      </c>
      <c r="D35" s="523">
        <f t="shared" si="47"/>
        <v>0</v>
      </c>
      <c r="E35" s="536"/>
      <c r="F35" s="550"/>
      <c r="G35" s="536"/>
      <c r="H35" s="550"/>
      <c r="I35" s="543">
        <f t="shared" si="48"/>
        <v>2600000</v>
      </c>
      <c r="J35" s="523">
        <f t="shared" si="49"/>
        <v>7.0000000000000007E-2</v>
      </c>
      <c r="K35" s="536">
        <v>2600000</v>
      </c>
      <c r="L35" s="550">
        <v>7.0000000000000007E-2</v>
      </c>
      <c r="M35" s="536"/>
      <c r="N35" s="550"/>
      <c r="O35" s="543">
        <f t="shared" si="50"/>
        <v>212433450</v>
      </c>
      <c r="P35" s="523">
        <f t="shared" si="51"/>
        <v>4.766666666666667E-2</v>
      </c>
      <c r="Q35" s="536"/>
      <c r="R35" s="550"/>
      <c r="S35" s="536">
        <v>212433450</v>
      </c>
      <c r="T35" s="550">
        <v>4.766666666666667E-2</v>
      </c>
      <c r="U35" s="543">
        <f t="shared" si="52"/>
        <v>703020867</v>
      </c>
      <c r="V35" s="523">
        <f t="shared" si="53"/>
        <v>0.16817513052091496</v>
      </c>
      <c r="W35" s="536">
        <v>703020867</v>
      </c>
      <c r="X35" s="550">
        <v>0.16817513052091496</v>
      </c>
      <c r="Y35" s="536"/>
      <c r="Z35" s="550"/>
      <c r="AA35" s="543">
        <f t="shared" si="54"/>
        <v>263404500</v>
      </c>
      <c r="AB35" s="523">
        <f t="shared" si="55"/>
        <v>0.14526697472627767</v>
      </c>
      <c r="AC35" s="536">
        <v>192593350</v>
      </c>
      <c r="AD35" s="550">
        <v>0.1729405212811751</v>
      </c>
      <c r="AE35" s="536">
        <v>70811150</v>
      </c>
      <c r="AF35" s="550">
        <v>7.0000000000000007E-2</v>
      </c>
      <c r="AG35" s="543">
        <f t="shared" si="56"/>
        <v>41922444</v>
      </c>
      <c r="AH35" s="523">
        <f t="shared" si="57"/>
        <v>0.1163967499618678</v>
      </c>
      <c r="AI35" s="536">
        <v>41548733</v>
      </c>
      <c r="AJ35" s="550">
        <v>0.11689771561405747</v>
      </c>
      <c r="AK35" s="536">
        <v>373711</v>
      </c>
      <c r="AL35" s="550">
        <v>6.0700000000000004E-2</v>
      </c>
      <c r="AM35" s="543">
        <f t="shared" si="58"/>
        <v>134925207</v>
      </c>
      <c r="AN35" s="523">
        <f t="shared" si="59"/>
        <v>0.12620443856749877</v>
      </c>
      <c r="AO35" s="536">
        <v>133430362</v>
      </c>
      <c r="AP35" s="550">
        <v>0.12693829689631328</v>
      </c>
      <c r="AQ35" s="536">
        <v>1494845</v>
      </c>
      <c r="AR35" s="550">
        <v>6.0700000000000004E-2</v>
      </c>
      <c r="AS35" s="543">
        <f>+AU35+AW35</f>
        <v>686600733</v>
      </c>
      <c r="AT35" s="523">
        <f>IFERROR((((AU35*AV35)+(AW35*AX35))/AS35),0)</f>
        <v>0.11740509660928519</v>
      </c>
      <c r="AU35" s="536">
        <v>477517650</v>
      </c>
      <c r="AV35" s="550">
        <v>0.13618497978884622</v>
      </c>
      <c r="AW35" s="536">
        <v>209083083</v>
      </c>
      <c r="AX35" s="550">
        <v>7.4514368414032278E-2</v>
      </c>
      <c r="AY35" s="543">
        <f t="shared" si="23"/>
        <v>2044907201</v>
      </c>
      <c r="AZ35" s="520">
        <f t="shared" si="24"/>
        <v>0.13170319750901383</v>
      </c>
      <c r="BA35" s="543">
        <f>+E35+K35+Q35+W35+AC35+AI35+AO35+AU35</f>
        <v>1550710962</v>
      </c>
      <c r="BB35" s="520">
        <f>IFERROR(((E35*F35)/BA35)+((K35*L35)/BA35)+((Q35*R35)/BA35)+((W35*X35)/BA35)+((AC35*AD35)/BA35)+((AI35*AJ35)/BA35)+((AO35*AP35)/BA35)+((AU35*AV35)/BA35),0)</f>
        <v>0.1538293935178256</v>
      </c>
      <c r="BC35" s="543">
        <f t="shared" si="27"/>
        <v>494196239</v>
      </c>
      <c r="BD35" s="520">
        <f t="shared" si="28"/>
        <v>6.2274634540477936E-2</v>
      </c>
      <c r="BE35" s="537"/>
      <c r="BF35" s="527"/>
      <c r="BG35" s="527"/>
      <c r="BH35" s="538"/>
    </row>
    <row r="36" spans="1:60" ht="20.25" customHeight="1">
      <c r="A36" s="511" t="s">
        <v>2</v>
      </c>
      <c r="B36" s="512" t="s">
        <v>772</v>
      </c>
      <c r="C36" s="543">
        <f t="shared" si="46"/>
        <v>0</v>
      </c>
      <c r="D36" s="523">
        <f t="shared" si="47"/>
        <v>0</v>
      </c>
      <c r="E36" s="536"/>
      <c r="F36" s="550"/>
      <c r="G36" s="536"/>
      <c r="H36" s="550"/>
      <c r="I36" s="543">
        <f t="shared" si="48"/>
        <v>0</v>
      </c>
      <c r="J36" s="523">
        <f t="shared" si="49"/>
        <v>0</v>
      </c>
      <c r="K36" s="536"/>
      <c r="L36" s="550"/>
      <c r="M36" s="536"/>
      <c r="N36" s="550"/>
      <c r="O36" s="543">
        <f t="shared" si="50"/>
        <v>0</v>
      </c>
      <c r="P36" s="523">
        <f t="shared" si="51"/>
        <v>0</v>
      </c>
      <c r="Q36" s="536"/>
      <c r="R36" s="550"/>
      <c r="S36" s="536"/>
      <c r="T36" s="550"/>
      <c r="U36" s="543">
        <f t="shared" si="52"/>
        <v>0</v>
      </c>
      <c r="V36" s="523">
        <f t="shared" si="53"/>
        <v>0</v>
      </c>
      <c r="W36" s="536"/>
      <c r="X36" s="550"/>
      <c r="Y36" s="536"/>
      <c r="Z36" s="550"/>
      <c r="AA36" s="543">
        <f t="shared" si="54"/>
        <v>0</v>
      </c>
      <c r="AB36" s="523">
        <f t="shared" si="55"/>
        <v>0</v>
      </c>
      <c r="AC36" s="536"/>
      <c r="AD36" s="550"/>
      <c r="AE36" s="536"/>
      <c r="AF36" s="550"/>
      <c r="AG36" s="543">
        <f t="shared" si="56"/>
        <v>0</v>
      </c>
      <c r="AH36" s="523">
        <f t="shared" si="57"/>
        <v>0</v>
      </c>
      <c r="AI36" s="536"/>
      <c r="AJ36" s="550"/>
      <c r="AK36" s="536"/>
      <c r="AL36" s="550"/>
      <c r="AM36" s="543">
        <f t="shared" si="58"/>
        <v>0</v>
      </c>
      <c r="AN36" s="523">
        <f t="shared" si="59"/>
        <v>0</v>
      </c>
      <c r="AO36" s="536"/>
      <c r="AP36" s="550"/>
      <c r="AQ36" s="536"/>
      <c r="AR36" s="550"/>
      <c r="AS36" s="543">
        <f t="shared" si="60"/>
        <v>0</v>
      </c>
      <c r="AT36" s="523">
        <f t="shared" si="61"/>
        <v>0</v>
      </c>
      <c r="AU36" s="536"/>
      <c r="AV36" s="550"/>
      <c r="AW36" s="536"/>
      <c r="AX36" s="550"/>
      <c r="AY36" s="543">
        <f t="shared" si="23"/>
        <v>0</v>
      </c>
      <c r="AZ36" s="520">
        <f t="shared" si="24"/>
        <v>0</v>
      </c>
      <c r="BA36" s="543">
        <f t="shared" si="25"/>
        <v>0</v>
      </c>
      <c r="BB36" s="520">
        <f t="shared" si="26"/>
        <v>0</v>
      </c>
      <c r="BC36" s="543">
        <f t="shared" si="27"/>
        <v>0</v>
      </c>
      <c r="BD36" s="520">
        <f t="shared" si="28"/>
        <v>0</v>
      </c>
      <c r="BE36" s="537"/>
      <c r="BF36" s="527"/>
      <c r="BG36" s="527"/>
      <c r="BH36" s="538"/>
    </row>
    <row r="37" spans="1:60" ht="34.5" customHeight="1">
      <c r="A37" s="511" t="s">
        <v>1</v>
      </c>
      <c r="B37" s="512" t="s">
        <v>768</v>
      </c>
      <c r="C37" s="543">
        <f t="shared" si="46"/>
        <v>2359851</v>
      </c>
      <c r="D37" s="523">
        <f t="shared" si="47"/>
        <v>0.1195608457873624</v>
      </c>
      <c r="E37" s="536">
        <v>2359851</v>
      </c>
      <c r="F37" s="550">
        <v>0.1195608457873624</v>
      </c>
      <c r="G37" s="536">
        <v>0</v>
      </c>
      <c r="H37" s="550">
        <v>0</v>
      </c>
      <c r="I37" s="543">
        <f t="shared" si="48"/>
        <v>9017653</v>
      </c>
      <c r="J37" s="523">
        <f t="shared" si="49"/>
        <v>5.1440514156559057E-2</v>
      </c>
      <c r="K37" s="536">
        <v>836360</v>
      </c>
      <c r="L37" s="550">
        <v>0.13884786915702901</v>
      </c>
      <c r="M37" s="536">
        <v>8181293</v>
      </c>
      <c r="N37" s="550">
        <v>4.2505005377177482E-2</v>
      </c>
      <c r="O37" s="543">
        <f t="shared" si="50"/>
        <v>11726193</v>
      </c>
      <c r="P37" s="523">
        <f t="shared" si="51"/>
        <v>0.11130638154794434</v>
      </c>
      <c r="Q37" s="536">
        <v>10968850</v>
      </c>
      <c r="R37" s="550">
        <v>0.11761062027129864</v>
      </c>
      <c r="S37" s="536">
        <v>757343</v>
      </c>
      <c r="T37" s="550">
        <v>0.02</v>
      </c>
      <c r="U37" s="543">
        <f t="shared" si="52"/>
        <v>206993695</v>
      </c>
      <c r="V37" s="523">
        <f t="shared" si="53"/>
        <v>0.10253870658520731</v>
      </c>
      <c r="W37" s="536">
        <v>144640016</v>
      </c>
      <c r="X37" s="550">
        <v>0.12046449848319607</v>
      </c>
      <c r="Y37" s="536">
        <v>62353679</v>
      </c>
      <c r="Z37" s="550">
        <v>6.0956768381725077E-2</v>
      </c>
      <c r="AA37" s="543">
        <f t="shared" si="54"/>
        <v>529591717</v>
      </c>
      <c r="AB37" s="523">
        <f t="shared" si="55"/>
        <v>0.1101650990121547</v>
      </c>
      <c r="AC37" s="536">
        <v>316635677</v>
      </c>
      <c r="AD37" s="550">
        <v>0.11957989261856206</v>
      </c>
      <c r="AE37" s="536">
        <v>212956040</v>
      </c>
      <c r="AF37" s="550">
        <v>9.6166625207983331E-2</v>
      </c>
      <c r="AG37" s="543">
        <f t="shared" si="56"/>
        <v>667900273</v>
      </c>
      <c r="AH37" s="523">
        <f t="shared" si="57"/>
        <v>0.11580782467036306</v>
      </c>
      <c r="AI37" s="536">
        <v>346197391</v>
      </c>
      <c r="AJ37" s="550">
        <v>0.12529635901857925</v>
      </c>
      <c r="AK37" s="536">
        <v>321702882</v>
      </c>
      <c r="AL37" s="550">
        <v>0.10559683179599297</v>
      </c>
      <c r="AM37" s="543">
        <f t="shared" si="58"/>
        <v>1205412758</v>
      </c>
      <c r="AN37" s="523">
        <f t="shared" si="59"/>
        <v>0.10950165902709981</v>
      </c>
      <c r="AO37" s="536">
        <v>528839656</v>
      </c>
      <c r="AP37" s="550">
        <v>0.12983552588480657</v>
      </c>
      <c r="AQ37" s="536">
        <v>676573102</v>
      </c>
      <c r="AR37" s="550">
        <v>9.3607803474179185E-2</v>
      </c>
      <c r="AS37" s="543">
        <f t="shared" si="60"/>
        <v>3017766378</v>
      </c>
      <c r="AT37" s="523">
        <f t="shared" si="61"/>
        <v>0.11541984314888427</v>
      </c>
      <c r="AU37" s="536">
        <v>2318207261</v>
      </c>
      <c r="AV37" s="550">
        <v>0.13390644760202638</v>
      </c>
      <c r="AW37" s="536">
        <v>699559117</v>
      </c>
      <c r="AX37" s="550">
        <v>5.4158715056819122E-2</v>
      </c>
      <c r="AY37" s="543">
        <f t="shared" si="23"/>
        <v>5650768518</v>
      </c>
      <c r="AZ37" s="520">
        <f t="shared" si="24"/>
        <v>0.11313001104098944</v>
      </c>
      <c r="BA37" s="543">
        <f t="shared" si="25"/>
        <v>3668685062</v>
      </c>
      <c r="BB37" s="520">
        <f t="shared" si="26"/>
        <v>0.13068385853330999</v>
      </c>
      <c r="BC37" s="543">
        <f t="shared" si="27"/>
        <v>1982083456</v>
      </c>
      <c r="BD37" s="520">
        <f t="shared" si="28"/>
        <v>8.0639180303889252E-2</v>
      </c>
      <c r="BE37" s="537"/>
      <c r="BF37" s="527">
        <f>+'[8]Bank Liabilities Analysis'!$S$30</f>
        <v>12083353501</v>
      </c>
      <c r="BG37" s="527">
        <f>+AY37+'IRRBB_floating%'!AY37</f>
        <v>12083353502</v>
      </c>
      <c r="BH37" s="538">
        <f t="shared" ref="BH37:BH39" si="62">+BF37-BG37</f>
        <v>-1</v>
      </c>
    </row>
    <row r="38" spans="1:60" ht="20.25" customHeight="1">
      <c r="A38" s="511" t="s">
        <v>6</v>
      </c>
      <c r="B38" s="512" t="s">
        <v>769</v>
      </c>
      <c r="C38" s="543">
        <f t="shared" si="46"/>
        <v>0</v>
      </c>
      <c r="D38" s="523">
        <f t="shared" si="47"/>
        <v>0</v>
      </c>
      <c r="E38" s="536"/>
      <c r="F38" s="550"/>
      <c r="G38" s="536"/>
      <c r="H38" s="550"/>
      <c r="I38" s="543">
        <f t="shared" si="48"/>
        <v>0</v>
      </c>
      <c r="J38" s="523">
        <f t="shared" si="49"/>
        <v>0</v>
      </c>
      <c r="K38" s="536"/>
      <c r="L38" s="550"/>
      <c r="M38" s="536"/>
      <c r="N38" s="550"/>
      <c r="O38" s="543">
        <f t="shared" si="50"/>
        <v>0</v>
      </c>
      <c r="P38" s="523">
        <f t="shared" si="51"/>
        <v>0</v>
      </c>
      <c r="Q38" s="536"/>
      <c r="R38" s="550"/>
      <c r="S38" s="536"/>
      <c r="T38" s="550"/>
      <c r="U38" s="543">
        <f t="shared" si="52"/>
        <v>0</v>
      </c>
      <c r="V38" s="523">
        <f t="shared" si="53"/>
        <v>0</v>
      </c>
      <c r="W38" s="536"/>
      <c r="X38" s="550"/>
      <c r="Y38" s="536"/>
      <c r="Z38" s="550"/>
      <c r="AA38" s="543">
        <f t="shared" si="54"/>
        <v>0</v>
      </c>
      <c r="AB38" s="523">
        <f t="shared" si="55"/>
        <v>0</v>
      </c>
      <c r="AC38" s="536"/>
      <c r="AD38" s="550"/>
      <c r="AE38" s="536"/>
      <c r="AF38" s="550"/>
      <c r="AG38" s="543">
        <f t="shared" si="56"/>
        <v>0</v>
      </c>
      <c r="AH38" s="523">
        <f t="shared" si="57"/>
        <v>0</v>
      </c>
      <c r="AI38" s="536"/>
      <c r="AJ38" s="550"/>
      <c r="AK38" s="536"/>
      <c r="AL38" s="550"/>
      <c r="AM38" s="543">
        <f t="shared" si="58"/>
        <v>0</v>
      </c>
      <c r="AN38" s="523">
        <f t="shared" si="59"/>
        <v>0</v>
      </c>
      <c r="AO38" s="536"/>
      <c r="AP38" s="550"/>
      <c r="AQ38" s="536"/>
      <c r="AR38" s="550"/>
      <c r="AS38" s="543">
        <f t="shared" si="60"/>
        <v>0</v>
      </c>
      <c r="AT38" s="523">
        <f t="shared" si="61"/>
        <v>0</v>
      </c>
      <c r="AU38" s="536"/>
      <c r="AV38" s="550"/>
      <c r="AW38" s="536"/>
      <c r="AX38" s="550"/>
      <c r="AY38" s="543">
        <f t="shared" si="23"/>
        <v>0</v>
      </c>
      <c r="AZ38" s="520">
        <f t="shared" si="24"/>
        <v>0</v>
      </c>
      <c r="BA38" s="543">
        <f t="shared" si="25"/>
        <v>0</v>
      </c>
      <c r="BB38" s="520">
        <f t="shared" si="26"/>
        <v>0</v>
      </c>
      <c r="BC38" s="543">
        <f t="shared" si="27"/>
        <v>0</v>
      </c>
      <c r="BD38" s="520">
        <f t="shared" si="28"/>
        <v>0</v>
      </c>
      <c r="BE38" s="537"/>
      <c r="BF38" s="527">
        <f>+'[8]Bank Liabilities Analysis'!$S$31</f>
        <v>0</v>
      </c>
      <c r="BG38" s="527">
        <f>+AY38+'IRRBB_floating%'!AY38</f>
        <v>0</v>
      </c>
      <c r="BH38" s="538">
        <f t="shared" si="62"/>
        <v>0</v>
      </c>
    </row>
    <row r="39" spans="1:60" ht="20.25" customHeight="1">
      <c r="A39" s="511" t="s">
        <v>5</v>
      </c>
      <c r="B39" s="512" t="s">
        <v>770</v>
      </c>
      <c r="C39" s="543">
        <f t="shared" si="46"/>
        <v>0</v>
      </c>
      <c r="D39" s="523">
        <f t="shared" si="47"/>
        <v>0</v>
      </c>
      <c r="E39" s="536"/>
      <c r="F39" s="550"/>
      <c r="G39" s="536"/>
      <c r="H39" s="550"/>
      <c r="I39" s="543">
        <f t="shared" si="48"/>
        <v>0</v>
      </c>
      <c r="J39" s="523">
        <f t="shared" si="49"/>
        <v>0</v>
      </c>
      <c r="K39" s="536"/>
      <c r="L39" s="550"/>
      <c r="M39" s="536"/>
      <c r="N39" s="550"/>
      <c r="O39" s="543">
        <f t="shared" si="50"/>
        <v>0</v>
      </c>
      <c r="P39" s="523">
        <f t="shared" si="51"/>
        <v>0</v>
      </c>
      <c r="Q39" s="536"/>
      <c r="R39" s="550"/>
      <c r="S39" s="536"/>
      <c r="T39" s="550"/>
      <c r="U39" s="543">
        <f t="shared" si="52"/>
        <v>0</v>
      </c>
      <c r="V39" s="523">
        <f t="shared" si="53"/>
        <v>0</v>
      </c>
      <c r="W39" s="536"/>
      <c r="X39" s="550"/>
      <c r="Y39" s="536"/>
      <c r="Z39" s="550"/>
      <c r="AA39" s="543">
        <f t="shared" si="54"/>
        <v>0</v>
      </c>
      <c r="AB39" s="523">
        <f t="shared" si="55"/>
        <v>0</v>
      </c>
      <c r="AC39" s="536"/>
      <c r="AD39" s="550"/>
      <c r="AE39" s="536"/>
      <c r="AF39" s="550"/>
      <c r="AG39" s="543">
        <f t="shared" si="56"/>
        <v>0</v>
      </c>
      <c r="AH39" s="523">
        <f t="shared" si="57"/>
        <v>0</v>
      </c>
      <c r="AI39" s="536"/>
      <c r="AJ39" s="550"/>
      <c r="AK39" s="536"/>
      <c r="AL39" s="550"/>
      <c r="AM39" s="543">
        <f t="shared" si="58"/>
        <v>0</v>
      </c>
      <c r="AN39" s="523">
        <f t="shared" si="59"/>
        <v>0</v>
      </c>
      <c r="AO39" s="536"/>
      <c r="AP39" s="550"/>
      <c r="AQ39" s="536"/>
      <c r="AR39" s="550"/>
      <c r="AS39" s="543">
        <f t="shared" si="60"/>
        <v>703058234</v>
      </c>
      <c r="AT39" s="523">
        <f t="shared" si="61"/>
        <v>0.10600000000000001</v>
      </c>
      <c r="AU39" s="536">
        <v>703058234</v>
      </c>
      <c r="AV39" s="550">
        <v>0.106</v>
      </c>
      <c r="AW39" s="536"/>
      <c r="AX39" s="550"/>
      <c r="AY39" s="543">
        <f t="shared" si="23"/>
        <v>703058234</v>
      </c>
      <c r="AZ39" s="520">
        <f t="shared" si="24"/>
        <v>0.10600000000000001</v>
      </c>
      <c r="BA39" s="543">
        <f t="shared" si="25"/>
        <v>703058234</v>
      </c>
      <c r="BB39" s="520">
        <f t="shared" si="26"/>
        <v>0.10600000000000001</v>
      </c>
      <c r="BC39" s="543">
        <f t="shared" si="27"/>
        <v>0</v>
      </c>
      <c r="BD39" s="520">
        <f t="shared" si="28"/>
        <v>0</v>
      </c>
      <c r="BE39" s="537"/>
      <c r="BF39" s="527">
        <f>+'[8]Bank Liabilities Analysis'!$S$32</f>
        <v>703058234</v>
      </c>
      <c r="BG39" s="527">
        <f>+AY39+'IRRBB_floating%'!AY39</f>
        <v>1266496067</v>
      </c>
      <c r="BH39" s="538">
        <f t="shared" si="62"/>
        <v>-563437833</v>
      </c>
    </row>
    <row r="40" spans="1:60" ht="30" customHeight="1">
      <c r="A40" s="514" t="s">
        <v>743</v>
      </c>
      <c r="B40" s="515" t="s">
        <v>771</v>
      </c>
      <c r="C40" s="544">
        <f>SUM(C33+C34+C35+C36+C37+C38+C39)</f>
        <v>934479967</v>
      </c>
      <c r="D40" s="516">
        <f>IFERROR(((C33*D33)/C40)+((C34*D34)/C40)+((C35*D35)/C40)+((C36*D36)/C40)+((C37*D37)/C40)+((C38*D38)/C40)+((C39*D39)/C40),0)</f>
        <v>3.0822917991161461E-3</v>
      </c>
      <c r="E40" s="544">
        <f>SUM(E33+E34+E35+E36+E37+E38+E39)</f>
        <v>865866882</v>
      </c>
      <c r="F40" s="516">
        <f>IFERROR(((E33*F33)/E40)+((E34*F34)/E40)+((E35*F35)/E40)+((E36*F36)/E40)+((E37*F37)/E40)+((E38*F38)/E40)+((E39*F39)/E40),0)</f>
        <v>3.3004597063850103E-3</v>
      </c>
      <c r="G40" s="544">
        <f>SUM(G33+G34+G35+G36+G37+G38+G39)</f>
        <v>68613085</v>
      </c>
      <c r="H40" s="516">
        <f>IFERROR(((G33*H33)/G40)+((G34*H34)/G40)+((G35*H35)/G40)+((G36*H36)/G40)+((G37*H37)/G40)+((G38*H38)/G40)+((G39*H39)/G40),0)</f>
        <v>3.2910899704046977E-4</v>
      </c>
      <c r="I40" s="544">
        <f>SUM(I33+I34+I35+I36+I37+I38+I39)</f>
        <v>240282914</v>
      </c>
      <c r="J40" s="516">
        <f>IFERROR(((I33*J33)/I40)+((I34*J34)/I40)+((I35*J35)/I40)+((I36*J36)/I40)+((I37*J37)/I40)+((I38*J38)/I40)+((I39*J39)/I40),0)</f>
        <v>0.15622299215381155</v>
      </c>
      <c r="K40" s="544">
        <f>SUM(K33+K34+K35+K36+K37+K38+K39)</f>
        <v>232101621</v>
      </c>
      <c r="L40" s="516">
        <f>IFERROR(((K33*L33)/K40)+((K34*L34)/K40)+((K35*L35)/K40)+((K36*L36)/K40)+((K37*L37)/K40)+((K38*L38)/K40)+((K39*L39)/K40),0)</f>
        <v>0.16023140952367459</v>
      </c>
      <c r="M40" s="544">
        <f>SUM(M33+M34+M35+M36+M37+M38+M39)</f>
        <v>8181293</v>
      </c>
      <c r="N40" s="516">
        <f>IFERROR(((M33*N33)/M40)+((M34*N34)/M40)+((M35*N35)/M40)+((M36*N36)/M40)+((M37*N37)/M40)+((M38*N38)/M40)+((M39*N39)/M40),0)</f>
        <v>4.2505005377177482E-2</v>
      </c>
      <c r="O40" s="544">
        <f>SUM(O33+O34+O35+O36+O37+O38+O39)</f>
        <v>355951282</v>
      </c>
      <c r="P40" s="516">
        <f>IFERROR(((O33*P33)/O40)+((O34*P34)/O40)+((O35*P35)/O40)+((O36*P36)/O40)+((O37*P37)/O40)+((O38*P38)/O40)+((O39*P39)/O40),0)</f>
        <v>0.11062782164581056</v>
      </c>
      <c r="Q40" s="544">
        <f>SUM(Q33+Q34+Q35+Q36+Q37+Q38+Q39)</f>
        <v>142760489</v>
      </c>
      <c r="R40" s="516">
        <f>IFERROR(((Q33*R33)/Q40)+((Q34*R34)/Q40)+((Q35*R35)/Q40)+((Q36*R36)/Q40)+((Q37*R37)/Q40)+((Q38*R38)/Q40)+((Q39*R39)/Q40),0)</f>
        <v>0.20479737660252492</v>
      </c>
      <c r="S40" s="544">
        <f>SUM(S33+S34+S35+S36+S37+S38+S39)</f>
        <v>213190793</v>
      </c>
      <c r="T40" s="516">
        <f>IFERROR(((S33*T33)/S40)+((S34*T34)/S40)+((S35*T35)/S40)+((S36*T36)/S40)+((S37*T37)/S40)+((S38*T38)/S40)+((S39*T39)/S40),0)</f>
        <v>4.7568383077406171E-2</v>
      </c>
      <c r="U40" s="544">
        <f>SUM(U33+U34+U35+U36+U37+U38+U39)</f>
        <v>1662923733</v>
      </c>
      <c r="V40" s="516">
        <f>IFERROR(((U33*V33)/U40)+((U34*V34)/U40)+((U35*V35)/U40)+((U36*V36)/U40)+((U37*V37)/U40)+((U38*V38)/U40)+((U39*V39)/U40),0)</f>
        <v>0.18657177843051134</v>
      </c>
      <c r="W40" s="544">
        <f>SUM(W33+W34+W35+W36+W37+W38+W39)</f>
        <v>1599912978</v>
      </c>
      <c r="X40" s="516">
        <f>IFERROR(((W33*X33)/W40)+((W34*X34)/W40)+((W35*X35)/W40)+((W36*X36)/W40)+((W37*X37)/W40)+((W38*X38)/W40)+((W39*X39)/W40),0)</f>
        <v>0.19151526888330761</v>
      </c>
      <c r="Y40" s="544">
        <f>SUM(Y33+Y34+Y35+Y36+Y37+Y38+Y39)</f>
        <v>63010755</v>
      </c>
      <c r="Z40" s="516">
        <f>IFERROR(((Y33*Z33)/Y40)+((Y34*Z34)/Y40)+((Y35*Z35)/Y40)+((Y36*Z36)/Y40)+((Y37*Z37)/Y40)+((Y38*Z38)/Y40)+((Y39*Z39)/Y40),0)</f>
        <v>6.1051071179061965E-2</v>
      </c>
      <c r="AA40" s="544">
        <f>SUM(AA33+AA34+AA35+AA36+AA37+AA38+AA39)</f>
        <v>2831898027</v>
      </c>
      <c r="AB40" s="516">
        <f>IFERROR(((AA33*AB33)/AA40)+((AA34*AB34)/AA40)+((AA35*AB35)/AA40)+((AA36*AB36)/AA40)+((AA37*AB37)/AA40)+((AA38*AB38)/AA40)+((AA39*AB39)/AA40),0)</f>
        <v>0.16886415385769693</v>
      </c>
      <c r="AC40" s="544">
        <f>SUM(AC33+AC34+AC35+AC36+AC37+AC38+AC39)</f>
        <v>2162096435</v>
      </c>
      <c r="AD40" s="516">
        <f>IFERROR(((AC33*AD33)/AC40)+((AC34*AD34)/AC40)+((AC35*AD35)/AC40)+((AC36*AD36)/AC40)+((AC37*AD37)/AC40)+((AC38*AD38)/AC40)+((AC39*AD39)/AC40),0)</f>
        <v>0.19450565789339311</v>
      </c>
      <c r="AE40" s="544">
        <f>SUM(AE33+AE34+AE35+AE36+AE37+AE38+AE39)</f>
        <v>669801592</v>
      </c>
      <c r="AF40" s="516">
        <f>IFERROR(((AE33*AF33)/AE40)+((AE34*AF34)/AE40)+((AE35*AF35)/AE40)+((AE36*AF36)/AE40)+((AE37*AF37)/AE40)+((AE38*AF38)/AE40)+((AE39*AF39)/AE40),0)</f>
        <v>8.6094263302380347E-2</v>
      </c>
      <c r="AG40" s="544">
        <f>SUM(AG33+AG34+AG35+AG36+AG37+AG38+AG39)</f>
        <v>2822637350</v>
      </c>
      <c r="AH40" s="516">
        <f>IFERROR(((AG33*AH33)/AG40)+((AG34*AH34)/AG40)+((AG35*AH35)/AG40)+((AG36*AH36)/AG40)+((AG37*AH37)/AG40)+((AG38*AH38)/AG40)+((AG39*AH39)/AG40),0)</f>
        <v>0.17471164787778126</v>
      </c>
      <c r="AI40" s="544">
        <f>SUM(AI33+AI34+AI35+AI36+AI37+AI38+AI39)</f>
        <v>2255563919</v>
      </c>
      <c r="AJ40" s="516">
        <f>IFERROR(((AI33*AJ33)/AI40)+((AI34*AJ34)/AI40)+((AI35*AJ35)/AI40)+((AI36*AJ36)/AI40)+((AI37*AJ37)/AI40)+((AI38*AJ38)/AI40)+((AI39*AJ39)/AI40),0)</f>
        <v>0.19581433939611032</v>
      </c>
      <c r="AK40" s="544">
        <f>SUM(AK33+AK34+AK35+AK36+AK37+AK38+AK39)</f>
        <v>567073431</v>
      </c>
      <c r="AL40" s="516">
        <f>IFERROR(((AK33*AL33)/AK40)+((AK34*AL34)/AK40)+((AK35*AL35)/AK40)+((AK36*AL36)/AK40)+((AK37*AL37)/AK40)+((AK38*AL38)/AK40)+((AK39*AL39)/AK40),0)</f>
        <v>9.0774600256641275E-2</v>
      </c>
      <c r="AM40" s="544">
        <f>SUM(AM33+AM34+AM35+AM36+AM37+AM38+AM39)</f>
        <v>2521666726</v>
      </c>
      <c r="AN40" s="516">
        <f>IFERROR(((AM33*AN33)/AM40)+((AM34*AN34)/AM40)+((AM35*AN35)/AM40)+((AM36*AN36)/AM40)+((AM37*AN37)/AM40)+((AM38*AN38)/AM40)+((AM39*AN39)/AM40),0)</f>
        <v>0.14799490173477683</v>
      </c>
      <c r="AO40" s="544">
        <f>SUM(AO33+AO34+AO35+AO36+AO37+AO38+AO39)</f>
        <v>1742830379</v>
      </c>
      <c r="AP40" s="516">
        <f>IFERROR(((AO33*AP33)/AO40)+((AO34*AP34)/AO40)+((AO35*AP35)/AO40)+((AO36*AP36)/AO40)+((AO37*AP37)/AO40)+((AO38*AP38)/AO40)+((AO39*AP39)/AO40),0)</f>
        <v>0.17609287862587919</v>
      </c>
      <c r="AQ40" s="544">
        <f>SUM(AQ33+AQ34+AQ35+AQ36+AQ37+AQ38+AQ39)</f>
        <v>778836347</v>
      </c>
      <c r="AR40" s="516">
        <f>IFERROR(((AQ33*AR33)/AQ40)+((AQ34*AR34)/AQ40)+((AQ35*AR35)/AQ40)+((AQ36*AR36)/AQ40)+((AQ37*AR37)/AQ40)+((AQ38*AR38)/AQ40)+((AQ39*AR39)/AQ40),0)</f>
        <v>8.5119038399840308E-2</v>
      </c>
      <c r="AS40" s="544">
        <f>SUM(AS33+AS34+AS35+AS36+AS37+AS38+AS39)</f>
        <v>5142211732</v>
      </c>
      <c r="AT40" s="516">
        <f>IFERROR(((AS33*AT33)/AS40)+((AS34*AT34)/AS40)+((AS35*AT35)/AS40)+((AS36*AT36)/AS40)+((AS37*AT37)/AS40)+((AS38*AT38)/AS40)+((AS39*AT39)/AS40),0)</f>
        <v>0.11508083914244507</v>
      </c>
      <c r="AU40" s="544">
        <f>SUM(AU33+AU34+AU35+AU36+AU37+AU38+AU39)</f>
        <v>4212630050</v>
      </c>
      <c r="AV40" s="516">
        <f>IFERROR(((AU33*AV33)/AU40)+((AU34*AV34)/AU40)+((AU35*AV35)/AU40)+((AU36*AV36)/AU40)+((AU37*AV37)/AU40)+((AU38*AV38)/AU40)+((AU39*AV39)/AU40),0)</f>
        <v>0.12741605779441983</v>
      </c>
      <c r="AW40" s="544">
        <f>SUM(AW33+AW34+AW35+AW36+AW37+AW38+AW39)</f>
        <v>929581682</v>
      </c>
      <c r="AX40" s="516">
        <f>IFERROR(((AW33*AX33)/AW40)+((AW34*AX34)/AW40)+((AW35*AX35)/AW40)+((AW36*AX36)/AW40)+((AW37*AX37)/AW40)+((AW38*AX38)/AW40)+((AW39*AX39)/AW40),0)</f>
        <v>5.9180735071085622E-2</v>
      </c>
      <c r="AY40" s="544">
        <f>SUM(AY33+AY34+AY35+AY36+AY37+AY38+AY39)</f>
        <v>16512051731</v>
      </c>
      <c r="AZ40" s="516">
        <f>IFERROR(((AY33*AZ33)/AY40)+((AY34*AZ34)/AY40)+((AY35*AZ35)/AY40)+((AY36*AZ36)/AY40)+((AY37*AZ37)/AY40)+((AY38*AZ38)/AY40)+((AY39*AZ39)/AY40),0)</f>
        <v>0.14088911506792992</v>
      </c>
      <c r="BA40" s="544">
        <f>SUM(BA33+BA34+BA35+BA36+BA37+BA38+BA39)</f>
        <v>13213762753</v>
      </c>
      <c r="BB40" s="516">
        <f>IFERROR(((BA33*BB33)/BA40)+((BA34*BB34)/BA40)+((BA35*BB35)/BA40)+((BA36*BB36)/BA40)+((BA37*BB37)/BA40)+((BA38*BB38)/BA40)+((BA39*BB39)/BA40),0)</f>
        <v>0.15752976543829159</v>
      </c>
      <c r="BC40" s="544">
        <f>SUM(BC33+BC34+BC35+BC36+BC37+BC38+BC39)</f>
        <v>3298288978</v>
      </c>
      <c r="BD40" s="516">
        <f>IFERROR(((BC33*BD33)/BC40)+((BC34*BD34)/BC40)+((BC35*BD35)/BC40)+((BC36*BD36)/BC40)+((BC37*BD37)/BC40)+((BC38*BD38)/BC40)+((BC39*BD39)/BC40),0)</f>
        <v>7.4222547184931958E-2</v>
      </c>
      <c r="BF40" s="527"/>
      <c r="BG40" s="527"/>
      <c r="BH40" s="538"/>
    </row>
    <row r="41" spans="1:60" s="537" customFormat="1">
      <c r="A41" s="545"/>
      <c r="B41" s="546"/>
      <c r="D41" s="547"/>
      <c r="F41" s="547"/>
      <c r="H41" s="547"/>
      <c r="J41" s="547"/>
      <c r="L41" s="547"/>
      <c r="N41" s="547"/>
      <c r="P41" s="547"/>
      <c r="R41" s="547"/>
      <c r="T41" s="547"/>
      <c r="V41" s="547"/>
      <c r="X41" s="547"/>
      <c r="Z41" s="547"/>
      <c r="AB41" s="547"/>
      <c r="AD41" s="547"/>
      <c r="AF41" s="547"/>
      <c r="AH41" s="547"/>
      <c r="AJ41" s="547"/>
      <c r="AL41" s="547"/>
      <c r="AN41" s="547"/>
      <c r="AP41" s="547"/>
      <c r="AR41" s="547"/>
      <c r="AT41" s="547"/>
      <c r="AV41" s="547"/>
      <c r="AX41" s="547"/>
      <c r="AZ41" s="547"/>
      <c r="BB41" s="547"/>
      <c r="BD41" s="547"/>
      <c r="BH41" s="538"/>
    </row>
    <row r="42" spans="1:60" s="537" customFormat="1" ht="15" customHeight="1">
      <c r="B42" s="542" t="s">
        <v>690</v>
      </c>
      <c r="D42" s="547"/>
      <c r="F42" s="547"/>
      <c r="H42" s="547"/>
      <c r="J42" s="547"/>
      <c r="L42" s="547"/>
      <c r="N42" s="547"/>
      <c r="P42" s="547"/>
      <c r="R42" s="547"/>
      <c r="T42" s="547"/>
      <c r="V42" s="547"/>
      <c r="X42" s="547"/>
      <c r="Z42" s="547"/>
      <c r="AB42" s="547"/>
      <c r="AD42" s="547"/>
      <c r="AF42" s="547"/>
      <c r="AH42" s="547"/>
      <c r="AJ42" s="547"/>
      <c r="AL42" s="547"/>
      <c r="AN42" s="547"/>
      <c r="AP42" s="547"/>
      <c r="AR42" s="547"/>
      <c r="AT42" s="547"/>
      <c r="AV42" s="547"/>
      <c r="AX42" s="547"/>
      <c r="AZ42" s="547"/>
      <c r="BB42" s="547"/>
      <c r="BD42" s="547"/>
    </row>
    <row r="43" spans="1:60" s="537" customFormat="1" ht="11.25" customHeight="1">
      <c r="B43" s="542"/>
      <c r="D43" s="547"/>
      <c r="F43" s="547"/>
      <c r="H43" s="547"/>
      <c r="J43" s="547"/>
      <c r="L43" s="547"/>
      <c r="N43" s="547"/>
      <c r="P43" s="547"/>
      <c r="R43" s="547"/>
      <c r="T43" s="547"/>
      <c r="V43" s="547"/>
      <c r="X43" s="547"/>
      <c r="Z43" s="547"/>
      <c r="AB43" s="547"/>
      <c r="AD43" s="547"/>
      <c r="AF43" s="547"/>
      <c r="AH43" s="547"/>
      <c r="AJ43" s="547"/>
      <c r="AL43" s="547"/>
      <c r="AN43" s="547"/>
      <c r="AP43" s="547"/>
      <c r="AR43" s="547"/>
      <c r="AT43" s="547"/>
      <c r="AV43" s="547"/>
      <c r="AX43" s="547"/>
      <c r="AZ43" s="547"/>
      <c r="BB43" s="547"/>
      <c r="BD43" s="547"/>
    </row>
    <row r="44" spans="1:60" s="537" customFormat="1" ht="15" customHeight="1">
      <c r="B44" s="542" t="s">
        <v>691</v>
      </c>
      <c r="D44" s="547"/>
      <c r="F44" s="547"/>
      <c r="H44" s="547"/>
      <c r="J44" s="547"/>
      <c r="L44" s="547"/>
      <c r="N44" s="547"/>
      <c r="P44" s="547"/>
      <c r="R44" s="547"/>
      <c r="T44" s="547"/>
      <c r="V44" s="547"/>
      <c r="X44" s="547"/>
      <c r="Z44" s="547"/>
      <c r="AB44" s="547"/>
      <c r="AD44" s="547"/>
      <c r="AF44" s="547"/>
      <c r="AH44" s="547"/>
      <c r="AJ44" s="547"/>
      <c r="AL44" s="547"/>
      <c r="AN44" s="547"/>
      <c r="AP44" s="547"/>
      <c r="AR44" s="547"/>
      <c r="AT44" s="547"/>
      <c r="AV44" s="547"/>
      <c r="AX44" s="547"/>
      <c r="AZ44" s="547"/>
      <c r="BB44" s="547"/>
      <c r="BD44" s="547"/>
    </row>
    <row r="45" spans="1:60" s="537" customFormat="1">
      <c r="A45" s="545"/>
      <c r="B45" s="546"/>
      <c r="D45" s="547"/>
      <c r="F45" s="547"/>
      <c r="H45" s="547"/>
      <c r="J45" s="547"/>
      <c r="L45" s="547"/>
      <c r="N45" s="547"/>
      <c r="P45" s="547"/>
      <c r="R45" s="547"/>
      <c r="T45" s="547"/>
      <c r="V45" s="547"/>
      <c r="X45" s="547"/>
      <c r="Z45" s="547"/>
      <c r="AB45" s="547"/>
      <c r="AD45" s="547"/>
      <c r="AF45" s="547"/>
      <c r="AH45" s="547"/>
      <c r="AJ45" s="547"/>
      <c r="AL45" s="547"/>
      <c r="AN45" s="547"/>
      <c r="AP45" s="547"/>
      <c r="AR45" s="547"/>
      <c r="AT45" s="547"/>
      <c r="AV45" s="547"/>
      <c r="AX45" s="547"/>
      <c r="AZ45" s="547"/>
      <c r="BB45" s="547"/>
      <c r="BD45" s="547"/>
    </row>
  </sheetData>
  <sheetProtection password="CACA" sheet="1" objects="1" scenarios="1"/>
  <mergeCells count="40">
    <mergeCell ref="AU5:AX5"/>
    <mergeCell ref="AZ4:AZ6"/>
    <mergeCell ref="AI5:AL5"/>
    <mergeCell ref="AM5:AM6"/>
    <mergeCell ref="AN5:AN6"/>
    <mergeCell ref="AO5:AR5"/>
    <mergeCell ref="AS5:AS6"/>
    <mergeCell ref="AT5:AT6"/>
    <mergeCell ref="AG4:AL4"/>
    <mergeCell ref="AM4:AR4"/>
    <mergeCell ref="AS4:AX4"/>
    <mergeCell ref="AY4:AY6"/>
    <mergeCell ref="AH5:AH6"/>
    <mergeCell ref="AG5:AG6"/>
    <mergeCell ref="K5:N5"/>
    <mergeCell ref="O5:O6"/>
    <mergeCell ref="P5:P6"/>
    <mergeCell ref="Q5:T5"/>
    <mergeCell ref="U5:U6"/>
    <mergeCell ref="V5:V6"/>
    <mergeCell ref="W5:Z5"/>
    <mergeCell ref="AA5:AA6"/>
    <mergeCell ref="AB5:AB6"/>
    <mergeCell ref="AC5:AF5"/>
    <mergeCell ref="A1:BB1"/>
    <mergeCell ref="BC1:BD1"/>
    <mergeCell ref="BA3:BB3"/>
    <mergeCell ref="A4:A6"/>
    <mergeCell ref="B4:B6"/>
    <mergeCell ref="C4:H4"/>
    <mergeCell ref="I4:N4"/>
    <mergeCell ref="O4:T4"/>
    <mergeCell ref="U4:Z4"/>
    <mergeCell ref="AA4:AF4"/>
    <mergeCell ref="BA4:BD5"/>
    <mergeCell ref="C5:C6"/>
    <mergeCell ref="D5:D6"/>
    <mergeCell ref="E5:H5"/>
    <mergeCell ref="I5:I6"/>
    <mergeCell ref="J5:J6"/>
  </mergeCells>
  <conditionalFormatting sqref="G7:H7">
    <cfRule type="cellIs" dxfId="17" priority="1" operator="greaterThan">
      <formula>C7</formula>
    </cfRule>
  </conditionalFormatting>
  <conditionalFormatting sqref="M7:N7">
    <cfRule type="cellIs" dxfId="16" priority="2" operator="greaterThan">
      <formula>I7</formula>
    </cfRule>
  </conditionalFormatting>
  <conditionalFormatting sqref="S7:T7">
    <cfRule type="cellIs" dxfId="15" priority="3" operator="greaterThan">
      <formula>O7</formula>
    </cfRule>
  </conditionalFormatting>
  <conditionalFormatting sqref="Y7:Z7">
    <cfRule type="cellIs" dxfId="14" priority="4" operator="greaterThan">
      <formula>U7</formula>
    </cfRule>
  </conditionalFormatting>
  <conditionalFormatting sqref="AE7:AF7">
    <cfRule type="cellIs" dxfId="13" priority="5" operator="greaterThan">
      <formula>AA7</formula>
    </cfRule>
  </conditionalFormatting>
  <conditionalFormatting sqref="AK7:AL7">
    <cfRule type="cellIs" dxfId="12" priority="6" operator="greaterThan">
      <formula>AG7</formula>
    </cfRule>
  </conditionalFormatting>
  <conditionalFormatting sqref="AQ7:AR7">
    <cfRule type="cellIs" dxfId="11" priority="7" operator="greaterThan">
      <formula>AM7</formula>
    </cfRule>
  </conditionalFormatting>
  <conditionalFormatting sqref="AW7:AX7">
    <cfRule type="cellIs" dxfId="10" priority="8" operator="greaterThan">
      <formula>AS7</formula>
    </cfRule>
  </conditionalFormatting>
  <dataValidations count="3">
    <dataValidation type="date" operator="greaterThan" allowBlank="1" showInputMessage="1" showErrorMessage="1" prompt="Введите дату в формате ЧЧ.ММ.ГГГГ" sqref="BA3" xr:uid="{00000000-0002-0000-0D00-000000000000}">
      <formula1>DATE(96,1,1)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D00-000001000000}"/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D00-000002000000}">
      <formula1>-1E+28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  <colBreaks count="1" manualBreakCount="1">
    <brk id="56" max="43" man="1"/>
  </colBreaks>
  <ignoredErrors>
    <ignoredError sqref="AZ46:BD51 AA52:BD57 AZ41:BD45 D41:AY45" formula="1"/>
    <ignoredError sqref="A58:Z59 A54:C5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H45"/>
  <sheetViews>
    <sheetView view="pageBreakPreview" zoomScale="70" zoomScaleNormal="55" zoomScaleSheetLayoutView="70" workbookViewId="0">
      <pane xSplit="2" ySplit="6" topLeftCell="C7" activePane="bottomRight" state="frozen"/>
      <selection activeCell="I44" sqref="I44:I45"/>
      <selection pane="topRight" activeCell="I44" sqref="I44:I45"/>
      <selection pane="bottomLeft" activeCell="I44" sqref="I44:I45"/>
      <selection pane="bottomRight" activeCell="I44" sqref="I44:I45"/>
    </sheetView>
  </sheetViews>
  <sheetFormatPr defaultRowHeight="15"/>
  <cols>
    <col min="1" max="1" width="9.140625" style="525"/>
    <col min="2" max="2" width="61.85546875" style="525" customWidth="1"/>
    <col min="3" max="3" width="20.140625" style="525" customWidth="1"/>
    <col min="4" max="4" width="9.85546875" style="533" customWidth="1"/>
    <col min="5" max="5" width="20.140625" style="525" customWidth="1"/>
    <col min="6" max="6" width="10.42578125" style="533" customWidth="1"/>
    <col min="7" max="7" width="20.140625" style="525" customWidth="1"/>
    <col min="8" max="8" width="10.42578125" style="533" customWidth="1"/>
    <col min="9" max="9" width="20.140625" style="525" customWidth="1"/>
    <col min="10" max="10" width="9.85546875" style="533" customWidth="1"/>
    <col min="11" max="11" width="20.140625" style="525" customWidth="1"/>
    <col min="12" max="12" width="10.42578125" style="533" customWidth="1"/>
    <col min="13" max="13" width="20.140625" style="525" customWidth="1"/>
    <col min="14" max="14" width="10.42578125" style="533" customWidth="1"/>
    <col min="15" max="15" width="20.140625" style="525" customWidth="1"/>
    <col min="16" max="16" width="9.85546875" style="533" customWidth="1"/>
    <col min="17" max="17" width="20.140625" style="525" customWidth="1"/>
    <col min="18" max="18" width="10.42578125" style="533" customWidth="1"/>
    <col min="19" max="19" width="20.140625" style="525" customWidth="1"/>
    <col min="20" max="20" width="10.42578125" style="533" customWidth="1"/>
    <col min="21" max="21" width="20.140625" style="525" customWidth="1"/>
    <col min="22" max="22" width="9.85546875" style="533" customWidth="1"/>
    <col min="23" max="23" width="20.140625" style="525" customWidth="1"/>
    <col min="24" max="24" width="10.42578125" style="533" customWidth="1"/>
    <col min="25" max="25" width="20.140625" style="525" customWidth="1"/>
    <col min="26" max="26" width="10.42578125" style="533" customWidth="1"/>
    <col min="27" max="27" width="20.140625" style="525" customWidth="1"/>
    <col min="28" max="28" width="9.85546875" style="533" customWidth="1"/>
    <col min="29" max="29" width="20.140625" style="525" customWidth="1"/>
    <col min="30" max="30" width="10.42578125" style="533" customWidth="1"/>
    <col min="31" max="31" width="20.140625" style="525" customWidth="1"/>
    <col min="32" max="32" width="10.42578125" style="533" customWidth="1"/>
    <col min="33" max="33" width="20.140625" style="525" customWidth="1"/>
    <col min="34" max="34" width="9.85546875" style="533" customWidth="1"/>
    <col min="35" max="35" width="20.140625" style="525" customWidth="1"/>
    <col min="36" max="36" width="10.42578125" style="533" customWidth="1"/>
    <col min="37" max="37" width="20.140625" style="525" customWidth="1"/>
    <col min="38" max="38" width="10.42578125" style="533" customWidth="1"/>
    <col min="39" max="39" width="20.140625" style="525" customWidth="1"/>
    <col min="40" max="40" width="9.85546875" style="533" customWidth="1"/>
    <col min="41" max="41" width="20.140625" style="525" customWidth="1"/>
    <col min="42" max="42" width="10.42578125" style="533" customWidth="1"/>
    <col min="43" max="43" width="20.140625" style="525" customWidth="1"/>
    <col min="44" max="44" width="10.42578125" style="533" customWidth="1"/>
    <col min="45" max="45" width="20.140625" style="525" customWidth="1"/>
    <col min="46" max="46" width="9.85546875" style="533" customWidth="1"/>
    <col min="47" max="47" width="20.140625" style="525" customWidth="1"/>
    <col min="48" max="48" width="10.42578125" style="533" customWidth="1"/>
    <col min="49" max="49" width="20.140625" style="525" customWidth="1"/>
    <col min="50" max="50" width="10.42578125" style="533" customWidth="1"/>
    <col min="51" max="51" width="23" style="525" customWidth="1"/>
    <col min="52" max="52" width="9.85546875" style="533" customWidth="1"/>
    <col min="53" max="53" width="24.85546875" style="525" customWidth="1"/>
    <col min="54" max="54" width="10.42578125" style="533" customWidth="1"/>
    <col min="55" max="55" width="24.85546875" style="525" customWidth="1"/>
    <col min="56" max="56" width="9.85546875" style="533" customWidth="1"/>
    <col min="57" max="57" width="5.85546875" style="525" customWidth="1"/>
    <col min="58" max="59" width="18.7109375" style="534" customWidth="1"/>
    <col min="60" max="66" width="27.28515625" style="525" customWidth="1"/>
    <col min="67" max="16384" width="9.140625" style="525"/>
  </cols>
  <sheetData>
    <row r="1" spans="1:60" s="531" customFormat="1" ht="28.5" customHeight="1">
      <c r="A1" s="689" t="s">
        <v>789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89"/>
      <c r="AA1" s="689"/>
      <c r="AB1" s="689"/>
      <c r="AC1" s="689"/>
      <c r="AD1" s="689"/>
      <c r="AE1" s="689"/>
      <c r="AF1" s="689"/>
      <c r="AG1" s="689"/>
      <c r="AH1" s="689"/>
      <c r="AI1" s="689"/>
      <c r="AJ1" s="689"/>
      <c r="AK1" s="689"/>
      <c r="AL1" s="689"/>
      <c r="AM1" s="689"/>
      <c r="AN1" s="689"/>
      <c r="AO1" s="689"/>
      <c r="AP1" s="689"/>
      <c r="AQ1" s="689"/>
      <c r="AR1" s="689"/>
      <c r="AS1" s="689"/>
      <c r="AT1" s="689"/>
      <c r="AU1" s="689"/>
      <c r="AV1" s="689"/>
      <c r="AW1" s="689"/>
      <c r="AX1" s="689"/>
      <c r="AY1" s="689"/>
      <c r="AZ1" s="689"/>
      <c r="BA1" s="689"/>
      <c r="BB1" s="689"/>
      <c r="BC1" s="690" t="s">
        <v>787</v>
      </c>
      <c r="BD1" s="690"/>
      <c r="BF1" s="532"/>
      <c r="BG1" s="532"/>
    </row>
    <row r="3" spans="1:60">
      <c r="BA3" s="691">
        <f>+'Asset quality'!Q3</f>
        <v>46021</v>
      </c>
      <c r="BB3" s="691"/>
      <c r="BD3" s="522" t="s">
        <v>721</v>
      </c>
    </row>
    <row r="4" spans="1:60" ht="22.5" customHeight="1">
      <c r="A4" s="692" t="s">
        <v>23</v>
      </c>
      <c r="B4" s="692" t="s">
        <v>216</v>
      </c>
      <c r="C4" s="692" t="s">
        <v>462</v>
      </c>
      <c r="D4" s="692"/>
      <c r="E4" s="692"/>
      <c r="F4" s="692"/>
      <c r="G4" s="692"/>
      <c r="H4" s="692"/>
      <c r="I4" s="692" t="s">
        <v>722</v>
      </c>
      <c r="J4" s="692"/>
      <c r="K4" s="692"/>
      <c r="L4" s="692"/>
      <c r="M4" s="692"/>
      <c r="N4" s="692"/>
      <c r="O4" s="692" t="s">
        <v>723</v>
      </c>
      <c r="P4" s="692"/>
      <c r="Q4" s="692"/>
      <c r="R4" s="692"/>
      <c r="S4" s="692"/>
      <c r="T4" s="692"/>
      <c r="U4" s="692" t="s">
        <v>724</v>
      </c>
      <c r="V4" s="692"/>
      <c r="W4" s="692"/>
      <c r="X4" s="692"/>
      <c r="Y4" s="692"/>
      <c r="Z4" s="692"/>
      <c r="AA4" s="692" t="s">
        <v>725</v>
      </c>
      <c r="AB4" s="692"/>
      <c r="AC4" s="692"/>
      <c r="AD4" s="692"/>
      <c r="AE4" s="692"/>
      <c r="AF4" s="692"/>
      <c r="AG4" s="692" t="s">
        <v>726</v>
      </c>
      <c r="AH4" s="692"/>
      <c r="AI4" s="692"/>
      <c r="AJ4" s="692"/>
      <c r="AK4" s="692"/>
      <c r="AL4" s="692"/>
      <c r="AM4" s="692" t="s">
        <v>727</v>
      </c>
      <c r="AN4" s="692"/>
      <c r="AO4" s="692"/>
      <c r="AP4" s="692"/>
      <c r="AQ4" s="692"/>
      <c r="AR4" s="692"/>
      <c r="AS4" s="692" t="s">
        <v>466</v>
      </c>
      <c r="AT4" s="692"/>
      <c r="AU4" s="692"/>
      <c r="AV4" s="692"/>
      <c r="AW4" s="692"/>
      <c r="AX4" s="692"/>
      <c r="AY4" s="692" t="s">
        <v>166</v>
      </c>
      <c r="AZ4" s="692" t="s">
        <v>729</v>
      </c>
      <c r="BA4" s="693" t="s">
        <v>728</v>
      </c>
      <c r="BB4" s="694"/>
      <c r="BC4" s="695"/>
      <c r="BD4" s="696"/>
    </row>
    <row r="5" spans="1:60" ht="22.5" customHeight="1">
      <c r="A5" s="692"/>
      <c r="B5" s="692"/>
      <c r="C5" s="700" t="s">
        <v>100</v>
      </c>
      <c r="D5" s="700" t="s">
        <v>784</v>
      </c>
      <c r="E5" s="702" t="s">
        <v>730</v>
      </c>
      <c r="F5" s="703"/>
      <c r="G5" s="703"/>
      <c r="H5" s="704"/>
      <c r="I5" s="700" t="s">
        <v>100</v>
      </c>
      <c r="J5" s="700" t="s">
        <v>784</v>
      </c>
      <c r="K5" s="702" t="s">
        <v>730</v>
      </c>
      <c r="L5" s="703"/>
      <c r="M5" s="703"/>
      <c r="N5" s="704"/>
      <c r="O5" s="700" t="s">
        <v>100</v>
      </c>
      <c r="P5" s="700" t="s">
        <v>784</v>
      </c>
      <c r="Q5" s="702" t="s">
        <v>730</v>
      </c>
      <c r="R5" s="703"/>
      <c r="S5" s="703"/>
      <c r="T5" s="704"/>
      <c r="U5" s="700" t="s">
        <v>100</v>
      </c>
      <c r="V5" s="700" t="s">
        <v>784</v>
      </c>
      <c r="W5" s="702" t="s">
        <v>730</v>
      </c>
      <c r="X5" s="703"/>
      <c r="Y5" s="703"/>
      <c r="Z5" s="704"/>
      <c r="AA5" s="700" t="s">
        <v>100</v>
      </c>
      <c r="AB5" s="700" t="s">
        <v>784</v>
      </c>
      <c r="AC5" s="702" t="s">
        <v>730</v>
      </c>
      <c r="AD5" s="703"/>
      <c r="AE5" s="703"/>
      <c r="AF5" s="704"/>
      <c r="AG5" s="700" t="s">
        <v>100</v>
      </c>
      <c r="AH5" s="700" t="s">
        <v>784</v>
      </c>
      <c r="AI5" s="702" t="s">
        <v>730</v>
      </c>
      <c r="AJ5" s="703"/>
      <c r="AK5" s="703"/>
      <c r="AL5" s="704"/>
      <c r="AM5" s="700" t="s">
        <v>100</v>
      </c>
      <c r="AN5" s="700" t="s">
        <v>784</v>
      </c>
      <c r="AO5" s="702" t="s">
        <v>730</v>
      </c>
      <c r="AP5" s="703"/>
      <c r="AQ5" s="703"/>
      <c r="AR5" s="704"/>
      <c r="AS5" s="700" t="s">
        <v>100</v>
      </c>
      <c r="AT5" s="700" t="s">
        <v>784</v>
      </c>
      <c r="AU5" s="702" t="s">
        <v>730</v>
      </c>
      <c r="AV5" s="703"/>
      <c r="AW5" s="703"/>
      <c r="AX5" s="704"/>
      <c r="AY5" s="692"/>
      <c r="AZ5" s="692"/>
      <c r="BA5" s="697"/>
      <c r="BB5" s="698"/>
      <c r="BC5" s="698"/>
      <c r="BD5" s="699"/>
    </row>
    <row r="6" spans="1:60" ht="111.75" customHeight="1">
      <c r="A6" s="692"/>
      <c r="B6" s="692"/>
      <c r="C6" s="701"/>
      <c r="D6" s="701"/>
      <c r="E6" s="504" t="s">
        <v>217</v>
      </c>
      <c r="F6" s="504" t="s">
        <v>785</v>
      </c>
      <c r="G6" s="504" t="s">
        <v>731</v>
      </c>
      <c r="H6" s="504" t="s">
        <v>786</v>
      </c>
      <c r="I6" s="701"/>
      <c r="J6" s="701"/>
      <c r="K6" s="504" t="s">
        <v>217</v>
      </c>
      <c r="L6" s="504" t="s">
        <v>785</v>
      </c>
      <c r="M6" s="504" t="s">
        <v>731</v>
      </c>
      <c r="N6" s="504" t="s">
        <v>786</v>
      </c>
      <c r="O6" s="701"/>
      <c r="P6" s="701"/>
      <c r="Q6" s="504" t="s">
        <v>217</v>
      </c>
      <c r="R6" s="504" t="s">
        <v>785</v>
      </c>
      <c r="S6" s="504" t="s">
        <v>731</v>
      </c>
      <c r="T6" s="504" t="s">
        <v>786</v>
      </c>
      <c r="U6" s="701"/>
      <c r="V6" s="701"/>
      <c r="W6" s="504" t="s">
        <v>217</v>
      </c>
      <c r="X6" s="504" t="s">
        <v>785</v>
      </c>
      <c r="Y6" s="504" t="s">
        <v>731</v>
      </c>
      <c r="Z6" s="504" t="s">
        <v>786</v>
      </c>
      <c r="AA6" s="701"/>
      <c r="AB6" s="701"/>
      <c r="AC6" s="504" t="s">
        <v>217</v>
      </c>
      <c r="AD6" s="504" t="s">
        <v>785</v>
      </c>
      <c r="AE6" s="504" t="s">
        <v>731</v>
      </c>
      <c r="AF6" s="504" t="s">
        <v>786</v>
      </c>
      <c r="AG6" s="701"/>
      <c r="AH6" s="701"/>
      <c r="AI6" s="504" t="s">
        <v>217</v>
      </c>
      <c r="AJ6" s="504" t="s">
        <v>785</v>
      </c>
      <c r="AK6" s="504" t="s">
        <v>731</v>
      </c>
      <c r="AL6" s="504" t="s">
        <v>786</v>
      </c>
      <c r="AM6" s="701"/>
      <c r="AN6" s="701"/>
      <c r="AO6" s="504" t="s">
        <v>217</v>
      </c>
      <c r="AP6" s="504" t="s">
        <v>785</v>
      </c>
      <c r="AQ6" s="504" t="s">
        <v>731</v>
      </c>
      <c r="AR6" s="504" t="s">
        <v>786</v>
      </c>
      <c r="AS6" s="701"/>
      <c r="AT6" s="701"/>
      <c r="AU6" s="504" t="s">
        <v>217</v>
      </c>
      <c r="AV6" s="504" t="s">
        <v>785</v>
      </c>
      <c r="AW6" s="504" t="s">
        <v>731</v>
      </c>
      <c r="AX6" s="504" t="s">
        <v>786</v>
      </c>
      <c r="AY6" s="692"/>
      <c r="AZ6" s="692"/>
      <c r="BA6" s="504" t="s">
        <v>217</v>
      </c>
      <c r="BB6" s="504" t="s">
        <v>785</v>
      </c>
      <c r="BC6" s="504" t="s">
        <v>731</v>
      </c>
      <c r="BD6" s="504" t="s">
        <v>786</v>
      </c>
    </row>
    <row r="7" spans="1:60" s="524" customFormat="1" ht="30" customHeight="1">
      <c r="A7" s="505" t="s">
        <v>732</v>
      </c>
      <c r="B7" s="506" t="s">
        <v>733</v>
      </c>
      <c r="C7" s="507"/>
      <c r="D7" s="519"/>
      <c r="E7" s="507"/>
      <c r="F7" s="519"/>
      <c r="G7" s="507"/>
      <c r="H7" s="519"/>
      <c r="I7" s="507"/>
      <c r="J7" s="519"/>
      <c r="K7" s="507"/>
      <c r="L7" s="519"/>
      <c r="M7" s="507"/>
      <c r="N7" s="519"/>
      <c r="O7" s="507"/>
      <c r="P7" s="519"/>
      <c r="Q7" s="507"/>
      <c r="R7" s="519"/>
      <c r="S7" s="507"/>
      <c r="T7" s="519"/>
      <c r="U7" s="507"/>
      <c r="V7" s="519"/>
      <c r="W7" s="507"/>
      <c r="X7" s="519"/>
      <c r="Y7" s="507"/>
      <c r="Z7" s="519"/>
      <c r="AA7" s="507"/>
      <c r="AB7" s="519"/>
      <c r="AC7" s="507"/>
      <c r="AD7" s="519"/>
      <c r="AE7" s="507"/>
      <c r="AF7" s="519"/>
      <c r="AG7" s="507"/>
      <c r="AH7" s="519"/>
      <c r="AI7" s="507"/>
      <c r="AJ7" s="519"/>
      <c r="AK7" s="507"/>
      <c r="AL7" s="519"/>
      <c r="AM7" s="507"/>
      <c r="AN7" s="519"/>
      <c r="AO7" s="507"/>
      <c r="AP7" s="519"/>
      <c r="AQ7" s="507"/>
      <c r="AR7" s="519"/>
      <c r="AS7" s="507"/>
      <c r="AT7" s="519"/>
      <c r="AU7" s="507"/>
      <c r="AV7" s="519"/>
      <c r="AW7" s="507"/>
      <c r="AX7" s="519"/>
      <c r="AY7" s="507"/>
      <c r="AZ7" s="519"/>
      <c r="BA7" s="507"/>
      <c r="BB7" s="519"/>
      <c r="BC7" s="507"/>
      <c r="BD7" s="519"/>
      <c r="BF7" s="526"/>
      <c r="BG7" s="526"/>
    </row>
    <row r="8" spans="1:60" s="537" customFormat="1" ht="30">
      <c r="A8" s="508" t="s">
        <v>0</v>
      </c>
      <c r="B8" s="509" t="s">
        <v>734</v>
      </c>
      <c r="C8" s="535">
        <f t="shared" ref="C8:C20" si="0">+E8+G8</f>
        <v>0</v>
      </c>
      <c r="D8" s="523">
        <f t="shared" ref="D8:D20" si="1">IFERROR((((E8*F8)+(G8*H8))/C8),0)</f>
        <v>0</v>
      </c>
      <c r="E8" s="536"/>
      <c r="F8" s="550"/>
      <c r="G8" s="536"/>
      <c r="H8" s="550"/>
      <c r="I8" s="535">
        <f t="shared" ref="I8:I20" si="2">+K8+M8</f>
        <v>0</v>
      </c>
      <c r="J8" s="523">
        <f t="shared" ref="J8:J20" si="3">IFERROR((((K8*L8)+(M8*N8))/I8),0)</f>
        <v>0</v>
      </c>
      <c r="K8" s="536"/>
      <c r="L8" s="550"/>
      <c r="M8" s="536"/>
      <c r="N8" s="550"/>
      <c r="O8" s="535">
        <f t="shared" ref="O8:O20" si="4">+Q8+S8</f>
        <v>0</v>
      </c>
      <c r="P8" s="523">
        <f t="shared" ref="P8:P20" si="5">IFERROR((((Q8*R8)+(S8*T8))/O8),0)</f>
        <v>0</v>
      </c>
      <c r="Q8" s="536"/>
      <c r="R8" s="550"/>
      <c r="S8" s="536"/>
      <c r="T8" s="550"/>
      <c r="U8" s="535">
        <f t="shared" ref="U8:U20" si="6">+W8+Y8</f>
        <v>0</v>
      </c>
      <c r="V8" s="523">
        <f t="shared" ref="V8:V20" si="7">IFERROR((((W8*X8)+(Y8*Z8))/U8),0)</f>
        <v>0</v>
      </c>
      <c r="W8" s="536"/>
      <c r="X8" s="550"/>
      <c r="Y8" s="536"/>
      <c r="Z8" s="550"/>
      <c r="AA8" s="535">
        <f t="shared" ref="AA8:AA20" si="8">+AC8+AE8</f>
        <v>0</v>
      </c>
      <c r="AB8" s="523">
        <f t="shared" ref="AB8:AB20" si="9">IFERROR((((AC8*AD8)+(AE8*AF8))/AA8),0)</f>
        <v>0</v>
      </c>
      <c r="AC8" s="536"/>
      <c r="AD8" s="550"/>
      <c r="AE8" s="536"/>
      <c r="AF8" s="550"/>
      <c r="AG8" s="535">
        <f t="shared" ref="AG8:AG20" si="10">+AI8+AK8</f>
        <v>0</v>
      </c>
      <c r="AH8" s="523">
        <f t="shared" ref="AH8:AH20" si="11">IFERROR((((AI8*AJ8)+(AK8*AL8))/AG8),0)</f>
        <v>0</v>
      </c>
      <c r="AI8" s="536"/>
      <c r="AJ8" s="550"/>
      <c r="AK8" s="536"/>
      <c r="AL8" s="550"/>
      <c r="AM8" s="535">
        <f t="shared" ref="AM8:AM20" si="12">+AO8+AQ8</f>
        <v>0</v>
      </c>
      <c r="AN8" s="523">
        <f t="shared" ref="AN8:AN20" si="13">IFERROR((((AO8*AP8)+(AQ8*AR8))/AM8),0)</f>
        <v>0</v>
      </c>
      <c r="AO8" s="536"/>
      <c r="AP8" s="550"/>
      <c r="AQ8" s="536"/>
      <c r="AR8" s="550"/>
      <c r="AS8" s="535">
        <f t="shared" ref="AS8:AS20" si="14">+AU8+AW8</f>
        <v>0</v>
      </c>
      <c r="AT8" s="523">
        <f t="shared" ref="AT8:AT20" si="15">IFERROR((((AU8*AV8)+(AW8*AX8))/AS8),0)</f>
        <v>0</v>
      </c>
      <c r="AU8" s="536"/>
      <c r="AV8" s="550"/>
      <c r="AW8" s="536"/>
      <c r="AX8" s="550"/>
      <c r="AY8" s="510">
        <f t="shared" ref="AY8:AY20" si="16">+C8+I8+O8+U8+AA8+AG8+AM8+AS8</f>
        <v>0</v>
      </c>
      <c r="AZ8" s="520">
        <f t="shared" ref="AZ8:AZ20" si="17">IFERROR(((C8*D8)/AY8)+((I8*J8)/AY8)+((O8*P8)/AY8)+((U8*V8)/AY8)+((AA8*AB8)/AY8)+((AG8*AH8)/AY8)+((AM8*AN8)/AY8)+((AS8*AT8)/AY8),0)</f>
        <v>0</v>
      </c>
      <c r="BA8" s="510">
        <f t="shared" ref="BA8:BA20" si="18">+E8+K8+Q8+W8+AC8+AI8+AO8+AU8</f>
        <v>0</v>
      </c>
      <c r="BB8" s="520">
        <f t="shared" ref="BB8:BB20" si="19">IFERROR(((E8*F8)/BA8)+((K8*L8)/BA8)+((Q8*R8)/BA8)+((W8*X8)/BA8)+((AC8*AD8)/BA8)+((AI8*AJ8)/BA8)+((AO8*AP8)/BA8)+((AU8*AV8)/BA8),0)</f>
        <v>0</v>
      </c>
      <c r="BC8" s="510">
        <f t="shared" ref="BC8:BC20" si="20">+G8+M8+S8+Y8+AE8+AK8+AQ8+AW8</f>
        <v>0</v>
      </c>
      <c r="BD8" s="520">
        <f t="shared" ref="BD8:BD20" si="21">IFERROR(((G8*H8)/BC8)+((M8*N8)/BC8)+((S8*T8)/BC8)+((Y8*Z8)/BC8)+((AE8*AF8)/BC8)+((AK8*AL8)/BC8)+((AQ8*AR8)/BC8)+((AW8*AX8)/BC8),0)</f>
        <v>0</v>
      </c>
      <c r="BF8" s="527"/>
      <c r="BG8" s="527"/>
    </row>
    <row r="9" spans="1:60" s="537" customFormat="1" ht="30" customHeight="1">
      <c r="A9" s="508" t="s">
        <v>3</v>
      </c>
      <c r="B9" s="509" t="s">
        <v>735</v>
      </c>
      <c r="C9" s="535">
        <f t="shared" si="0"/>
        <v>0</v>
      </c>
      <c r="D9" s="523">
        <f t="shared" si="1"/>
        <v>0</v>
      </c>
      <c r="E9" s="536"/>
      <c r="F9" s="550"/>
      <c r="G9" s="536"/>
      <c r="H9" s="550"/>
      <c r="I9" s="535">
        <f t="shared" si="2"/>
        <v>0</v>
      </c>
      <c r="J9" s="523">
        <f t="shared" si="3"/>
        <v>0</v>
      </c>
      <c r="K9" s="536"/>
      <c r="L9" s="550"/>
      <c r="M9" s="536"/>
      <c r="N9" s="550"/>
      <c r="O9" s="535">
        <f t="shared" si="4"/>
        <v>1625000</v>
      </c>
      <c r="P9" s="523">
        <f t="shared" si="5"/>
        <v>9.5000000000000015E-2</v>
      </c>
      <c r="Q9" s="536">
        <v>1625000</v>
      </c>
      <c r="R9" s="550">
        <v>9.5000000000000015E-2</v>
      </c>
      <c r="S9" s="536"/>
      <c r="T9" s="550"/>
      <c r="U9" s="535">
        <f t="shared" si="6"/>
        <v>416667</v>
      </c>
      <c r="V9" s="523">
        <f t="shared" si="7"/>
        <v>9.5000000000000015E-2</v>
      </c>
      <c r="W9" s="536">
        <v>416667</v>
      </c>
      <c r="X9" s="550">
        <v>9.5000000000000015E-2</v>
      </c>
      <c r="Y9" s="536"/>
      <c r="Z9" s="550"/>
      <c r="AA9" s="535">
        <f t="shared" si="8"/>
        <v>877738</v>
      </c>
      <c r="AB9" s="523">
        <f t="shared" si="9"/>
        <v>9.5000000000000001E-2</v>
      </c>
      <c r="AC9" s="536">
        <v>877738</v>
      </c>
      <c r="AD9" s="550">
        <v>9.5000000000000001E-2</v>
      </c>
      <c r="AE9" s="536"/>
      <c r="AF9" s="550"/>
      <c r="AG9" s="535">
        <f t="shared" si="10"/>
        <v>5599763</v>
      </c>
      <c r="AH9" s="523">
        <f t="shared" si="11"/>
        <v>9.5000000000000015E-2</v>
      </c>
      <c r="AI9" s="536">
        <v>5599763</v>
      </c>
      <c r="AJ9" s="550">
        <v>9.5000000000000015E-2</v>
      </c>
      <c r="AK9" s="536"/>
      <c r="AL9" s="550"/>
      <c r="AM9" s="535">
        <f t="shared" si="12"/>
        <v>7032860</v>
      </c>
      <c r="AN9" s="523">
        <f t="shared" si="13"/>
        <v>9.4999999999999987E-2</v>
      </c>
      <c r="AO9" s="536">
        <v>7032860</v>
      </c>
      <c r="AP9" s="550">
        <v>9.5000000000000001E-2</v>
      </c>
      <c r="AQ9" s="536"/>
      <c r="AR9" s="550"/>
      <c r="AS9" s="535">
        <f t="shared" si="14"/>
        <v>26740011</v>
      </c>
      <c r="AT9" s="523">
        <f t="shared" si="15"/>
        <v>9.4999999999999973E-2</v>
      </c>
      <c r="AU9" s="536">
        <v>26740011</v>
      </c>
      <c r="AV9" s="550">
        <v>9.4999999999999987E-2</v>
      </c>
      <c r="AW9" s="536"/>
      <c r="AX9" s="550"/>
      <c r="AY9" s="510">
        <f t="shared" si="16"/>
        <v>42292039</v>
      </c>
      <c r="AZ9" s="520">
        <f t="shared" si="17"/>
        <v>9.4999999999999987E-2</v>
      </c>
      <c r="BA9" s="510">
        <f t="shared" si="18"/>
        <v>42292039</v>
      </c>
      <c r="BB9" s="520">
        <f t="shared" si="19"/>
        <v>9.4999999999999987E-2</v>
      </c>
      <c r="BC9" s="510">
        <f t="shared" si="20"/>
        <v>0</v>
      </c>
      <c r="BD9" s="520">
        <f t="shared" si="21"/>
        <v>0</v>
      </c>
      <c r="BF9" s="527"/>
      <c r="BG9" s="527"/>
    </row>
    <row r="10" spans="1:60" s="537" customFormat="1" ht="23.25" customHeight="1">
      <c r="A10" s="508" t="s">
        <v>4</v>
      </c>
      <c r="B10" s="509" t="s">
        <v>736</v>
      </c>
      <c r="C10" s="535">
        <f t="shared" si="0"/>
        <v>0</v>
      </c>
      <c r="D10" s="523">
        <f t="shared" si="1"/>
        <v>0</v>
      </c>
      <c r="E10" s="536"/>
      <c r="F10" s="550"/>
      <c r="G10" s="536"/>
      <c r="H10" s="550"/>
      <c r="I10" s="535">
        <f t="shared" si="2"/>
        <v>0</v>
      </c>
      <c r="J10" s="523">
        <f t="shared" si="3"/>
        <v>0</v>
      </c>
      <c r="K10" s="536"/>
      <c r="L10" s="550"/>
      <c r="M10" s="536"/>
      <c r="N10" s="550"/>
      <c r="O10" s="535">
        <f t="shared" si="4"/>
        <v>0</v>
      </c>
      <c r="P10" s="523">
        <f t="shared" si="5"/>
        <v>0</v>
      </c>
      <c r="Q10" s="536"/>
      <c r="R10" s="550"/>
      <c r="S10" s="536"/>
      <c r="T10" s="550"/>
      <c r="U10" s="535">
        <f t="shared" si="6"/>
        <v>0</v>
      </c>
      <c r="V10" s="523">
        <f t="shared" si="7"/>
        <v>0</v>
      </c>
      <c r="W10" s="536"/>
      <c r="X10" s="550"/>
      <c r="Y10" s="536"/>
      <c r="Z10" s="550"/>
      <c r="AA10" s="535">
        <f t="shared" si="8"/>
        <v>0</v>
      </c>
      <c r="AB10" s="523">
        <f t="shared" si="9"/>
        <v>0</v>
      </c>
      <c r="AC10" s="536"/>
      <c r="AD10" s="550"/>
      <c r="AE10" s="536"/>
      <c r="AF10" s="550"/>
      <c r="AG10" s="535">
        <f t="shared" si="10"/>
        <v>0</v>
      </c>
      <c r="AH10" s="523">
        <f t="shared" si="11"/>
        <v>0</v>
      </c>
      <c r="AI10" s="536"/>
      <c r="AJ10" s="550"/>
      <c r="AK10" s="536"/>
      <c r="AL10" s="550"/>
      <c r="AM10" s="535">
        <f t="shared" si="12"/>
        <v>0</v>
      </c>
      <c r="AN10" s="523">
        <f t="shared" si="13"/>
        <v>0</v>
      </c>
      <c r="AO10" s="536"/>
      <c r="AP10" s="550"/>
      <c r="AQ10" s="536"/>
      <c r="AR10" s="550"/>
      <c r="AS10" s="535">
        <f t="shared" si="14"/>
        <v>0</v>
      </c>
      <c r="AT10" s="523">
        <f t="shared" si="15"/>
        <v>0</v>
      </c>
      <c r="AU10" s="536"/>
      <c r="AV10" s="550"/>
      <c r="AW10" s="536"/>
      <c r="AX10" s="550"/>
      <c r="AY10" s="510">
        <f t="shared" si="16"/>
        <v>0</v>
      </c>
      <c r="AZ10" s="520">
        <f t="shared" si="17"/>
        <v>0</v>
      </c>
      <c r="BA10" s="510">
        <f t="shared" si="18"/>
        <v>0</v>
      </c>
      <c r="BB10" s="520">
        <f t="shared" si="19"/>
        <v>0</v>
      </c>
      <c r="BC10" s="510">
        <f t="shared" si="20"/>
        <v>0</v>
      </c>
      <c r="BD10" s="520">
        <f t="shared" si="21"/>
        <v>0</v>
      </c>
      <c r="BF10" s="527"/>
      <c r="BG10" s="527"/>
    </row>
    <row r="11" spans="1:60" s="537" customFormat="1" ht="33" customHeight="1">
      <c r="A11" s="508" t="s">
        <v>2</v>
      </c>
      <c r="B11" s="509" t="s">
        <v>737</v>
      </c>
      <c r="C11" s="535">
        <f t="shared" si="0"/>
        <v>0</v>
      </c>
      <c r="D11" s="523">
        <f t="shared" si="1"/>
        <v>0</v>
      </c>
      <c r="E11" s="536"/>
      <c r="F11" s="550"/>
      <c r="G11" s="536"/>
      <c r="H11" s="550"/>
      <c r="I11" s="535">
        <f t="shared" si="2"/>
        <v>0</v>
      </c>
      <c r="J11" s="523">
        <f t="shared" si="3"/>
        <v>0</v>
      </c>
      <c r="K11" s="536"/>
      <c r="L11" s="550"/>
      <c r="M11" s="536"/>
      <c r="N11" s="550"/>
      <c r="O11" s="535">
        <f t="shared" si="4"/>
        <v>0</v>
      </c>
      <c r="P11" s="523">
        <f t="shared" si="5"/>
        <v>0</v>
      </c>
      <c r="Q11" s="536"/>
      <c r="R11" s="550"/>
      <c r="S11" s="536"/>
      <c r="T11" s="550"/>
      <c r="U11" s="535">
        <f t="shared" si="6"/>
        <v>0</v>
      </c>
      <c r="V11" s="523">
        <f t="shared" si="7"/>
        <v>0</v>
      </c>
      <c r="W11" s="536"/>
      <c r="X11" s="550"/>
      <c r="Y11" s="536"/>
      <c r="Z11" s="550"/>
      <c r="AA11" s="535">
        <f t="shared" si="8"/>
        <v>0</v>
      </c>
      <c r="AB11" s="523">
        <f t="shared" si="9"/>
        <v>0</v>
      </c>
      <c r="AC11" s="536"/>
      <c r="AD11" s="550"/>
      <c r="AE11" s="536"/>
      <c r="AF11" s="550"/>
      <c r="AG11" s="535">
        <f t="shared" si="10"/>
        <v>0</v>
      </c>
      <c r="AH11" s="523">
        <f t="shared" si="11"/>
        <v>0</v>
      </c>
      <c r="AI11" s="536"/>
      <c r="AJ11" s="550"/>
      <c r="AK11" s="536"/>
      <c r="AL11" s="550"/>
      <c r="AM11" s="535">
        <f t="shared" si="12"/>
        <v>0</v>
      </c>
      <c r="AN11" s="523">
        <f t="shared" si="13"/>
        <v>0</v>
      </c>
      <c r="AO11" s="536"/>
      <c r="AP11" s="550"/>
      <c r="AQ11" s="536"/>
      <c r="AR11" s="550"/>
      <c r="AS11" s="535">
        <f t="shared" si="14"/>
        <v>0</v>
      </c>
      <c r="AT11" s="523">
        <f t="shared" si="15"/>
        <v>0</v>
      </c>
      <c r="AU11" s="536"/>
      <c r="AV11" s="550"/>
      <c r="AW11" s="536"/>
      <c r="AX11" s="550"/>
      <c r="AY11" s="510">
        <f t="shared" si="16"/>
        <v>0</v>
      </c>
      <c r="AZ11" s="520">
        <f t="shared" si="17"/>
        <v>0</v>
      </c>
      <c r="BA11" s="510">
        <f t="shared" si="18"/>
        <v>0</v>
      </c>
      <c r="BB11" s="520">
        <f t="shared" si="19"/>
        <v>0</v>
      </c>
      <c r="BC11" s="510">
        <f t="shared" si="20"/>
        <v>0</v>
      </c>
      <c r="BD11" s="520">
        <f t="shared" si="21"/>
        <v>0</v>
      </c>
      <c r="BF11" s="527"/>
      <c r="BG11" s="527"/>
      <c r="BH11" s="538"/>
    </row>
    <row r="12" spans="1:60" s="537" customFormat="1" ht="52.5" customHeight="1">
      <c r="A12" s="508" t="s">
        <v>1</v>
      </c>
      <c r="B12" s="509" t="s">
        <v>738</v>
      </c>
      <c r="C12" s="535">
        <f t="shared" si="0"/>
        <v>0</v>
      </c>
      <c r="D12" s="523">
        <f t="shared" si="1"/>
        <v>0</v>
      </c>
      <c r="E12" s="536"/>
      <c r="F12" s="550"/>
      <c r="G12" s="536"/>
      <c r="H12" s="550"/>
      <c r="I12" s="535">
        <f t="shared" si="2"/>
        <v>0</v>
      </c>
      <c r="J12" s="523">
        <f t="shared" si="3"/>
        <v>0</v>
      </c>
      <c r="K12" s="536"/>
      <c r="L12" s="550"/>
      <c r="M12" s="536"/>
      <c r="N12" s="550"/>
      <c r="O12" s="535">
        <f t="shared" si="4"/>
        <v>0</v>
      </c>
      <c r="P12" s="523">
        <f t="shared" si="5"/>
        <v>0</v>
      </c>
      <c r="Q12" s="536"/>
      <c r="R12" s="550"/>
      <c r="S12" s="536"/>
      <c r="T12" s="550"/>
      <c r="U12" s="535">
        <f t="shared" si="6"/>
        <v>0</v>
      </c>
      <c r="V12" s="523">
        <f t="shared" si="7"/>
        <v>0</v>
      </c>
      <c r="W12" s="536"/>
      <c r="X12" s="550"/>
      <c r="Y12" s="536"/>
      <c r="Z12" s="550"/>
      <c r="AA12" s="535">
        <f t="shared" si="8"/>
        <v>0</v>
      </c>
      <c r="AB12" s="523">
        <f t="shared" si="9"/>
        <v>0</v>
      </c>
      <c r="AC12" s="536"/>
      <c r="AD12" s="550"/>
      <c r="AE12" s="536"/>
      <c r="AF12" s="550"/>
      <c r="AG12" s="535">
        <f t="shared" si="10"/>
        <v>0</v>
      </c>
      <c r="AH12" s="523">
        <f t="shared" si="11"/>
        <v>0</v>
      </c>
      <c r="AI12" s="536"/>
      <c r="AJ12" s="550"/>
      <c r="AK12" s="536"/>
      <c r="AL12" s="550"/>
      <c r="AM12" s="535">
        <f t="shared" si="12"/>
        <v>0</v>
      </c>
      <c r="AN12" s="523">
        <f t="shared" si="13"/>
        <v>0</v>
      </c>
      <c r="AO12" s="536"/>
      <c r="AP12" s="550"/>
      <c r="AQ12" s="536"/>
      <c r="AR12" s="550"/>
      <c r="AS12" s="535">
        <f t="shared" si="14"/>
        <v>0</v>
      </c>
      <c r="AT12" s="523">
        <f t="shared" si="15"/>
        <v>0</v>
      </c>
      <c r="AU12" s="536"/>
      <c r="AV12" s="550"/>
      <c r="AW12" s="536"/>
      <c r="AX12" s="550"/>
      <c r="AY12" s="510">
        <f t="shared" si="16"/>
        <v>0</v>
      </c>
      <c r="AZ12" s="520">
        <f t="shared" si="17"/>
        <v>0</v>
      </c>
      <c r="BA12" s="510">
        <f t="shared" si="18"/>
        <v>0</v>
      </c>
      <c r="BB12" s="520">
        <f t="shared" si="19"/>
        <v>0</v>
      </c>
      <c r="BC12" s="510">
        <f t="shared" si="20"/>
        <v>0</v>
      </c>
      <c r="BD12" s="520">
        <f t="shared" si="21"/>
        <v>0</v>
      </c>
      <c r="BF12" s="527"/>
      <c r="BG12" s="527"/>
      <c r="BH12" s="538"/>
    </row>
    <row r="13" spans="1:60" s="537" customFormat="1" ht="36.75" customHeight="1">
      <c r="A13" s="508" t="s">
        <v>6</v>
      </c>
      <c r="B13" s="509" t="s">
        <v>739</v>
      </c>
      <c r="C13" s="535">
        <f t="shared" si="0"/>
        <v>0</v>
      </c>
      <c r="D13" s="523">
        <f t="shared" si="1"/>
        <v>0</v>
      </c>
      <c r="E13" s="536"/>
      <c r="F13" s="550"/>
      <c r="G13" s="536"/>
      <c r="H13" s="550"/>
      <c r="I13" s="535">
        <f t="shared" si="2"/>
        <v>0</v>
      </c>
      <c r="J13" s="523">
        <f t="shared" si="3"/>
        <v>0</v>
      </c>
      <c r="K13" s="536"/>
      <c r="L13" s="550"/>
      <c r="M13" s="536"/>
      <c r="N13" s="550"/>
      <c r="O13" s="535">
        <f t="shared" si="4"/>
        <v>0</v>
      </c>
      <c r="P13" s="523">
        <f t="shared" si="5"/>
        <v>0</v>
      </c>
      <c r="Q13" s="536"/>
      <c r="R13" s="550"/>
      <c r="S13" s="536"/>
      <c r="T13" s="550"/>
      <c r="U13" s="535">
        <f t="shared" si="6"/>
        <v>0</v>
      </c>
      <c r="V13" s="523">
        <f t="shared" si="7"/>
        <v>0</v>
      </c>
      <c r="W13" s="536"/>
      <c r="X13" s="550"/>
      <c r="Y13" s="536"/>
      <c r="Z13" s="550"/>
      <c r="AA13" s="535">
        <f t="shared" si="8"/>
        <v>0</v>
      </c>
      <c r="AB13" s="523">
        <f t="shared" si="9"/>
        <v>0</v>
      </c>
      <c r="AC13" s="536"/>
      <c r="AD13" s="550"/>
      <c r="AE13" s="536"/>
      <c r="AF13" s="550"/>
      <c r="AG13" s="535">
        <f t="shared" si="10"/>
        <v>0</v>
      </c>
      <c r="AH13" s="523">
        <f t="shared" si="11"/>
        <v>0</v>
      </c>
      <c r="AI13" s="536"/>
      <c r="AJ13" s="550"/>
      <c r="AK13" s="536"/>
      <c r="AL13" s="550"/>
      <c r="AM13" s="535">
        <f t="shared" si="12"/>
        <v>0</v>
      </c>
      <c r="AN13" s="523">
        <f t="shared" si="13"/>
        <v>0</v>
      </c>
      <c r="AO13" s="536"/>
      <c r="AP13" s="550"/>
      <c r="AQ13" s="536"/>
      <c r="AR13" s="550"/>
      <c r="AS13" s="535">
        <f t="shared" si="14"/>
        <v>0</v>
      </c>
      <c r="AT13" s="523">
        <f t="shared" si="15"/>
        <v>0</v>
      </c>
      <c r="AU13" s="536"/>
      <c r="AV13" s="550"/>
      <c r="AW13" s="536"/>
      <c r="AX13" s="550"/>
      <c r="AY13" s="510">
        <f t="shared" si="16"/>
        <v>0</v>
      </c>
      <c r="AZ13" s="520">
        <f t="shared" si="17"/>
        <v>0</v>
      </c>
      <c r="BA13" s="510">
        <f t="shared" si="18"/>
        <v>0</v>
      </c>
      <c r="BB13" s="520">
        <f t="shared" si="19"/>
        <v>0</v>
      </c>
      <c r="BC13" s="510">
        <f t="shared" si="20"/>
        <v>0</v>
      </c>
      <c r="BD13" s="520">
        <f t="shared" si="21"/>
        <v>0</v>
      </c>
      <c r="BF13" s="527"/>
      <c r="BG13" s="527"/>
      <c r="BH13" s="538"/>
    </row>
    <row r="14" spans="1:60" s="537" customFormat="1" ht="33" customHeight="1">
      <c r="A14" s="508" t="s">
        <v>5</v>
      </c>
      <c r="B14" s="509" t="s">
        <v>740</v>
      </c>
      <c r="C14" s="535">
        <f t="shared" si="0"/>
        <v>0</v>
      </c>
      <c r="D14" s="523">
        <f t="shared" si="1"/>
        <v>0</v>
      </c>
      <c r="E14" s="536"/>
      <c r="F14" s="550"/>
      <c r="G14" s="536"/>
      <c r="H14" s="550"/>
      <c r="I14" s="535">
        <f t="shared" si="2"/>
        <v>0</v>
      </c>
      <c r="J14" s="523">
        <f t="shared" si="3"/>
        <v>0</v>
      </c>
      <c r="K14" s="536"/>
      <c r="L14" s="550"/>
      <c r="M14" s="536"/>
      <c r="N14" s="550"/>
      <c r="O14" s="535">
        <f t="shared" si="4"/>
        <v>0</v>
      </c>
      <c r="P14" s="523">
        <f t="shared" si="5"/>
        <v>0</v>
      </c>
      <c r="Q14" s="536"/>
      <c r="R14" s="550"/>
      <c r="S14" s="536"/>
      <c r="T14" s="550"/>
      <c r="U14" s="535">
        <f t="shared" si="6"/>
        <v>0</v>
      </c>
      <c r="V14" s="523">
        <f t="shared" si="7"/>
        <v>0</v>
      </c>
      <c r="W14" s="536"/>
      <c r="X14" s="550"/>
      <c r="Y14" s="536"/>
      <c r="Z14" s="550"/>
      <c r="AA14" s="535">
        <f t="shared" si="8"/>
        <v>0</v>
      </c>
      <c r="AB14" s="523">
        <f t="shared" si="9"/>
        <v>0</v>
      </c>
      <c r="AC14" s="536"/>
      <c r="AD14" s="550"/>
      <c r="AE14" s="536"/>
      <c r="AF14" s="550"/>
      <c r="AG14" s="535">
        <f t="shared" si="10"/>
        <v>0</v>
      </c>
      <c r="AH14" s="523">
        <f t="shared" si="11"/>
        <v>0</v>
      </c>
      <c r="AI14" s="536"/>
      <c r="AJ14" s="550"/>
      <c r="AK14" s="536"/>
      <c r="AL14" s="550"/>
      <c r="AM14" s="535">
        <f t="shared" si="12"/>
        <v>0</v>
      </c>
      <c r="AN14" s="523">
        <f t="shared" si="13"/>
        <v>0</v>
      </c>
      <c r="AO14" s="536"/>
      <c r="AP14" s="550"/>
      <c r="AQ14" s="536"/>
      <c r="AR14" s="550"/>
      <c r="AS14" s="535">
        <f t="shared" si="14"/>
        <v>0</v>
      </c>
      <c r="AT14" s="523">
        <f t="shared" si="15"/>
        <v>0</v>
      </c>
      <c r="AU14" s="536"/>
      <c r="AV14" s="550"/>
      <c r="AW14" s="536"/>
      <c r="AX14" s="550"/>
      <c r="AY14" s="510">
        <f t="shared" si="16"/>
        <v>0</v>
      </c>
      <c r="AZ14" s="520">
        <f t="shared" si="17"/>
        <v>0</v>
      </c>
      <c r="BA14" s="510">
        <f t="shared" si="18"/>
        <v>0</v>
      </c>
      <c r="BB14" s="520">
        <f t="shared" si="19"/>
        <v>0</v>
      </c>
      <c r="BC14" s="510">
        <f t="shared" si="20"/>
        <v>0</v>
      </c>
      <c r="BD14" s="520">
        <f t="shared" si="21"/>
        <v>0</v>
      </c>
      <c r="BF14" s="527"/>
      <c r="BG14" s="527"/>
      <c r="BH14" s="538"/>
    </row>
    <row r="15" spans="1:60" s="537" customFormat="1" ht="20.25" customHeight="1">
      <c r="A15" s="508" t="s">
        <v>743</v>
      </c>
      <c r="B15" s="509" t="s">
        <v>741</v>
      </c>
      <c r="C15" s="535">
        <f t="shared" si="0"/>
        <v>0</v>
      </c>
      <c r="D15" s="523">
        <f t="shared" si="1"/>
        <v>0</v>
      </c>
      <c r="E15" s="536"/>
      <c r="F15" s="550"/>
      <c r="G15" s="536"/>
      <c r="H15" s="550"/>
      <c r="I15" s="535">
        <f t="shared" si="2"/>
        <v>0</v>
      </c>
      <c r="J15" s="523">
        <f t="shared" si="3"/>
        <v>0</v>
      </c>
      <c r="K15" s="536"/>
      <c r="L15" s="550"/>
      <c r="M15" s="536"/>
      <c r="N15" s="550"/>
      <c r="O15" s="535">
        <f t="shared" si="4"/>
        <v>0</v>
      </c>
      <c r="P15" s="523">
        <f t="shared" si="5"/>
        <v>0</v>
      </c>
      <c r="Q15" s="536"/>
      <c r="R15" s="550"/>
      <c r="S15" s="536"/>
      <c r="T15" s="550"/>
      <c r="U15" s="535">
        <f t="shared" si="6"/>
        <v>0</v>
      </c>
      <c r="V15" s="523">
        <f t="shared" si="7"/>
        <v>0</v>
      </c>
      <c r="W15" s="536"/>
      <c r="X15" s="550"/>
      <c r="Y15" s="536"/>
      <c r="Z15" s="550"/>
      <c r="AA15" s="535">
        <f t="shared" si="8"/>
        <v>0</v>
      </c>
      <c r="AB15" s="523">
        <f t="shared" si="9"/>
        <v>0</v>
      </c>
      <c r="AC15" s="536"/>
      <c r="AD15" s="550"/>
      <c r="AE15" s="536"/>
      <c r="AF15" s="550"/>
      <c r="AG15" s="535">
        <f t="shared" si="10"/>
        <v>0</v>
      </c>
      <c r="AH15" s="523">
        <f t="shared" si="11"/>
        <v>0</v>
      </c>
      <c r="AI15" s="536"/>
      <c r="AJ15" s="550"/>
      <c r="AK15" s="536"/>
      <c r="AL15" s="550"/>
      <c r="AM15" s="535">
        <f t="shared" si="12"/>
        <v>0</v>
      </c>
      <c r="AN15" s="523">
        <f t="shared" si="13"/>
        <v>0</v>
      </c>
      <c r="AO15" s="536"/>
      <c r="AP15" s="550"/>
      <c r="AQ15" s="536"/>
      <c r="AR15" s="550"/>
      <c r="AS15" s="535">
        <f t="shared" si="14"/>
        <v>0</v>
      </c>
      <c r="AT15" s="523">
        <f t="shared" si="15"/>
        <v>0</v>
      </c>
      <c r="AU15" s="536"/>
      <c r="AV15" s="550"/>
      <c r="AW15" s="536"/>
      <c r="AX15" s="550"/>
      <c r="AY15" s="510">
        <f t="shared" si="16"/>
        <v>0</v>
      </c>
      <c r="AZ15" s="520">
        <f t="shared" si="17"/>
        <v>0</v>
      </c>
      <c r="BA15" s="510">
        <f t="shared" si="18"/>
        <v>0</v>
      </c>
      <c r="BB15" s="520">
        <f t="shared" si="19"/>
        <v>0</v>
      </c>
      <c r="BC15" s="510">
        <f t="shared" si="20"/>
        <v>0</v>
      </c>
      <c r="BD15" s="520">
        <f t="shared" si="21"/>
        <v>0</v>
      </c>
      <c r="BF15" s="527"/>
      <c r="BG15" s="527"/>
      <c r="BH15" s="538"/>
    </row>
    <row r="16" spans="1:60" s="537" customFormat="1" ht="20.25" customHeight="1">
      <c r="A16" s="508" t="s">
        <v>746</v>
      </c>
      <c r="B16" s="509" t="s">
        <v>742</v>
      </c>
      <c r="C16" s="535">
        <f t="shared" si="0"/>
        <v>0</v>
      </c>
      <c r="D16" s="523">
        <f t="shared" si="1"/>
        <v>0</v>
      </c>
      <c r="E16" s="536"/>
      <c r="F16" s="550"/>
      <c r="G16" s="536"/>
      <c r="H16" s="550"/>
      <c r="I16" s="535">
        <f t="shared" si="2"/>
        <v>0</v>
      </c>
      <c r="J16" s="523">
        <f t="shared" si="3"/>
        <v>0</v>
      </c>
      <c r="K16" s="536"/>
      <c r="L16" s="550"/>
      <c r="M16" s="536"/>
      <c r="N16" s="550"/>
      <c r="O16" s="535">
        <f t="shared" si="4"/>
        <v>0</v>
      </c>
      <c r="P16" s="523">
        <f t="shared" si="5"/>
        <v>0</v>
      </c>
      <c r="Q16" s="536"/>
      <c r="R16" s="550"/>
      <c r="S16" s="536"/>
      <c r="T16" s="550"/>
      <c r="U16" s="535">
        <f t="shared" si="6"/>
        <v>0</v>
      </c>
      <c r="V16" s="523">
        <f t="shared" si="7"/>
        <v>0</v>
      </c>
      <c r="W16" s="536"/>
      <c r="X16" s="550"/>
      <c r="Y16" s="536"/>
      <c r="Z16" s="550"/>
      <c r="AA16" s="535">
        <f t="shared" si="8"/>
        <v>0</v>
      </c>
      <c r="AB16" s="523">
        <f t="shared" si="9"/>
        <v>0</v>
      </c>
      <c r="AC16" s="536"/>
      <c r="AD16" s="550"/>
      <c r="AE16" s="536"/>
      <c r="AF16" s="550"/>
      <c r="AG16" s="535">
        <f t="shared" si="10"/>
        <v>0</v>
      </c>
      <c r="AH16" s="523">
        <f t="shared" si="11"/>
        <v>0</v>
      </c>
      <c r="AI16" s="536"/>
      <c r="AJ16" s="550"/>
      <c r="AK16" s="536"/>
      <c r="AL16" s="550"/>
      <c r="AM16" s="535">
        <f t="shared" si="12"/>
        <v>0</v>
      </c>
      <c r="AN16" s="523">
        <f t="shared" si="13"/>
        <v>0</v>
      </c>
      <c r="AO16" s="536"/>
      <c r="AP16" s="550"/>
      <c r="AQ16" s="536"/>
      <c r="AR16" s="550"/>
      <c r="AS16" s="535">
        <f t="shared" si="14"/>
        <v>0</v>
      </c>
      <c r="AT16" s="523">
        <f t="shared" si="15"/>
        <v>0</v>
      </c>
      <c r="AU16" s="536"/>
      <c r="AV16" s="550"/>
      <c r="AW16" s="536"/>
      <c r="AX16" s="550"/>
      <c r="AY16" s="510">
        <f t="shared" si="16"/>
        <v>0</v>
      </c>
      <c r="AZ16" s="520">
        <f t="shared" si="17"/>
        <v>0</v>
      </c>
      <c r="BA16" s="510">
        <f t="shared" si="18"/>
        <v>0</v>
      </c>
      <c r="BB16" s="520">
        <f t="shared" si="19"/>
        <v>0</v>
      </c>
      <c r="BC16" s="510">
        <f t="shared" si="20"/>
        <v>0</v>
      </c>
      <c r="BD16" s="520">
        <f t="shared" si="21"/>
        <v>0</v>
      </c>
      <c r="BF16" s="527"/>
      <c r="BG16" s="527"/>
      <c r="BH16" s="538"/>
    </row>
    <row r="17" spans="1:60" s="537" customFormat="1" ht="20.25" customHeight="1">
      <c r="A17" s="508" t="s">
        <v>748</v>
      </c>
      <c r="B17" s="509" t="s">
        <v>744</v>
      </c>
      <c r="C17" s="535">
        <f t="shared" si="0"/>
        <v>2322015</v>
      </c>
      <c r="D17" s="523">
        <f t="shared" si="1"/>
        <v>0.17112229927316283</v>
      </c>
      <c r="E17" s="536">
        <v>2322015</v>
      </c>
      <c r="F17" s="550">
        <v>0.17112229927316283</v>
      </c>
      <c r="G17" s="536"/>
      <c r="H17" s="550"/>
      <c r="I17" s="535">
        <f t="shared" si="2"/>
        <v>4212159</v>
      </c>
      <c r="J17" s="523">
        <f t="shared" si="3"/>
        <v>0.17873567165856705</v>
      </c>
      <c r="K17" s="536">
        <v>4212159</v>
      </c>
      <c r="L17" s="550">
        <v>0.17873567165856705</v>
      </c>
      <c r="M17" s="536"/>
      <c r="N17" s="550"/>
      <c r="O17" s="535">
        <f t="shared" si="4"/>
        <v>45271</v>
      </c>
      <c r="P17" s="523">
        <f t="shared" si="5"/>
        <v>0.16666056854560798</v>
      </c>
      <c r="Q17" s="536">
        <v>45271</v>
      </c>
      <c r="R17" s="550">
        <v>0.16666056854560798</v>
      </c>
      <c r="S17" s="536"/>
      <c r="T17" s="550"/>
      <c r="U17" s="535">
        <f t="shared" si="6"/>
        <v>17829820</v>
      </c>
      <c r="V17" s="523">
        <f t="shared" si="7"/>
        <v>0.16561824133944542</v>
      </c>
      <c r="W17" s="536">
        <v>13104531</v>
      </c>
      <c r="X17" s="550">
        <v>0.18941700107067636</v>
      </c>
      <c r="Y17" s="536">
        <v>4725289</v>
      </c>
      <c r="Z17" s="550">
        <v>9.9617710015442271E-2</v>
      </c>
      <c r="AA17" s="535">
        <f t="shared" si="8"/>
        <v>35855181</v>
      </c>
      <c r="AB17" s="523">
        <f t="shared" si="9"/>
        <v>0.15335018891388938</v>
      </c>
      <c r="AC17" s="536">
        <v>22408145</v>
      </c>
      <c r="AD17" s="550">
        <v>0.18711968895234235</v>
      </c>
      <c r="AE17" s="536">
        <v>13447036</v>
      </c>
      <c r="AF17" s="550">
        <v>9.7076683478255793E-2</v>
      </c>
      <c r="AG17" s="535">
        <f t="shared" si="10"/>
        <v>94676376</v>
      </c>
      <c r="AH17" s="523">
        <f t="shared" si="11"/>
        <v>0.15961596088747573</v>
      </c>
      <c r="AI17" s="536">
        <v>63505784</v>
      </c>
      <c r="AJ17" s="550">
        <v>0.18750668938746418</v>
      </c>
      <c r="AK17" s="536">
        <v>31170592</v>
      </c>
      <c r="AL17" s="550">
        <v>0.10279244660443257</v>
      </c>
      <c r="AM17" s="535">
        <f t="shared" si="12"/>
        <v>241951432</v>
      </c>
      <c r="AN17" s="523">
        <f t="shared" si="13"/>
        <v>0.15139964088893643</v>
      </c>
      <c r="AO17" s="536">
        <v>130857462</v>
      </c>
      <c r="AP17" s="550">
        <v>0.18119907541781505</v>
      </c>
      <c r="AQ17" s="536">
        <v>111093970</v>
      </c>
      <c r="AR17" s="550">
        <v>0.11629892055745288</v>
      </c>
      <c r="AS17" s="535">
        <f t="shared" si="14"/>
        <v>1745589171</v>
      </c>
      <c r="AT17" s="523">
        <f t="shared" si="15"/>
        <v>0.16259426317710915</v>
      </c>
      <c r="AU17" s="536">
        <v>1513039733</v>
      </c>
      <c r="AV17" s="550">
        <v>0.1707008259120279</v>
      </c>
      <c r="AW17" s="536">
        <v>232549438</v>
      </c>
      <c r="AX17" s="550">
        <v>0.10985041816300405</v>
      </c>
      <c r="AY17" s="510">
        <f t="shared" si="16"/>
        <v>2142481425</v>
      </c>
      <c r="AZ17" s="520">
        <f t="shared" si="17"/>
        <v>0.16110996361644875</v>
      </c>
      <c r="BA17" s="510">
        <f t="shared" si="18"/>
        <v>1749495100</v>
      </c>
      <c r="BB17" s="520">
        <f t="shared" si="19"/>
        <v>0.17246640192975174</v>
      </c>
      <c r="BC17" s="510">
        <f t="shared" si="20"/>
        <v>392986325</v>
      </c>
      <c r="BD17" s="520">
        <f t="shared" si="21"/>
        <v>0.1105534126154035</v>
      </c>
      <c r="BF17" s="527"/>
      <c r="BG17" s="527"/>
      <c r="BH17" s="538"/>
    </row>
    <row r="18" spans="1:60" s="537" customFormat="1" ht="30.75" customHeight="1">
      <c r="A18" s="508" t="s">
        <v>773</v>
      </c>
      <c r="B18" s="509" t="s">
        <v>745</v>
      </c>
      <c r="C18" s="535">
        <f t="shared" si="0"/>
        <v>2026443</v>
      </c>
      <c r="D18" s="523">
        <f t="shared" si="1"/>
        <v>0.1688993922209297</v>
      </c>
      <c r="E18" s="536">
        <v>2026443</v>
      </c>
      <c r="F18" s="550">
        <v>0.1688993922209297</v>
      </c>
      <c r="G18" s="536"/>
      <c r="H18" s="550"/>
      <c r="I18" s="535">
        <f t="shared" si="2"/>
        <v>3321972</v>
      </c>
      <c r="J18" s="523">
        <f t="shared" si="3"/>
        <v>0.17339325720746657</v>
      </c>
      <c r="K18" s="536">
        <v>3321972</v>
      </c>
      <c r="L18" s="550">
        <v>0.17339325720746657</v>
      </c>
      <c r="M18" s="536"/>
      <c r="N18" s="550"/>
      <c r="O18" s="535">
        <f t="shared" si="4"/>
        <v>45271</v>
      </c>
      <c r="P18" s="523">
        <f t="shared" si="5"/>
        <v>0.16666056854560798</v>
      </c>
      <c r="Q18" s="536">
        <v>45271</v>
      </c>
      <c r="R18" s="550">
        <v>0.16666056854560798</v>
      </c>
      <c r="S18" s="536"/>
      <c r="T18" s="550"/>
      <c r="U18" s="535">
        <f t="shared" si="6"/>
        <v>7775533</v>
      </c>
      <c r="V18" s="523">
        <f t="shared" si="7"/>
        <v>0.17404481054974524</v>
      </c>
      <c r="W18" s="536">
        <v>7775533</v>
      </c>
      <c r="X18" s="550">
        <v>0.17404481054974524</v>
      </c>
      <c r="Y18" s="536"/>
      <c r="Z18" s="550"/>
      <c r="AA18" s="535">
        <f t="shared" si="8"/>
        <v>11899598</v>
      </c>
      <c r="AB18" s="523">
        <f t="shared" si="9"/>
        <v>0.17300337574776278</v>
      </c>
      <c r="AC18" s="536">
        <v>11899598</v>
      </c>
      <c r="AD18" s="550">
        <v>0.17300337574776278</v>
      </c>
      <c r="AE18" s="536"/>
      <c r="AF18" s="550"/>
      <c r="AG18" s="535">
        <f t="shared" si="10"/>
        <v>26541633</v>
      </c>
      <c r="AH18" s="523">
        <f t="shared" si="11"/>
        <v>0.17266699036188593</v>
      </c>
      <c r="AI18" s="536">
        <v>26541633</v>
      </c>
      <c r="AJ18" s="550">
        <v>0.17266699036188596</v>
      </c>
      <c r="AK18" s="536"/>
      <c r="AL18" s="550"/>
      <c r="AM18" s="535">
        <f t="shared" si="12"/>
        <v>57417187</v>
      </c>
      <c r="AN18" s="523">
        <f t="shared" si="13"/>
        <v>0.17124131468150683</v>
      </c>
      <c r="AO18" s="536">
        <v>57417187</v>
      </c>
      <c r="AP18" s="550">
        <v>0.17124131468150683</v>
      </c>
      <c r="AQ18" s="536"/>
      <c r="AR18" s="550"/>
      <c r="AS18" s="535">
        <f t="shared" si="14"/>
        <v>1109386349</v>
      </c>
      <c r="AT18" s="523">
        <f t="shared" si="15"/>
        <v>0.16890546573030998</v>
      </c>
      <c r="AU18" s="536">
        <v>1109386349</v>
      </c>
      <c r="AV18" s="550">
        <v>0.16890546573030998</v>
      </c>
      <c r="AW18" s="536"/>
      <c r="AX18" s="550"/>
      <c r="AY18" s="510">
        <f t="shared" si="16"/>
        <v>1218413986</v>
      </c>
      <c r="AZ18" s="520">
        <f t="shared" si="17"/>
        <v>0.16918244374809521</v>
      </c>
      <c r="BA18" s="510">
        <f t="shared" si="18"/>
        <v>1218413986</v>
      </c>
      <c r="BB18" s="520">
        <f t="shared" si="19"/>
        <v>0.16918244374809521</v>
      </c>
      <c r="BC18" s="510">
        <f t="shared" si="20"/>
        <v>0</v>
      </c>
      <c r="BD18" s="520">
        <f t="shared" si="21"/>
        <v>0</v>
      </c>
      <c r="BF18" s="527"/>
      <c r="BG18" s="527"/>
      <c r="BH18" s="538"/>
    </row>
    <row r="19" spans="1:60" s="537" customFormat="1" ht="30" customHeight="1">
      <c r="A19" s="508" t="s">
        <v>750</v>
      </c>
      <c r="B19" s="509" t="s">
        <v>747</v>
      </c>
      <c r="C19" s="535">
        <f t="shared" si="0"/>
        <v>208150</v>
      </c>
      <c r="D19" s="523">
        <f t="shared" si="1"/>
        <v>0.15</v>
      </c>
      <c r="E19" s="536">
        <v>208150</v>
      </c>
      <c r="F19" s="550">
        <v>0.15</v>
      </c>
      <c r="G19" s="536"/>
      <c r="H19" s="550"/>
      <c r="I19" s="535">
        <f t="shared" si="2"/>
        <v>0</v>
      </c>
      <c r="J19" s="523">
        <f t="shared" si="3"/>
        <v>0</v>
      </c>
      <c r="K19" s="536"/>
      <c r="L19" s="550"/>
      <c r="M19" s="536"/>
      <c r="N19" s="550"/>
      <c r="O19" s="535">
        <f t="shared" si="4"/>
        <v>0</v>
      </c>
      <c r="P19" s="523">
        <f t="shared" si="5"/>
        <v>0</v>
      </c>
      <c r="Q19" s="536"/>
      <c r="R19" s="550"/>
      <c r="S19" s="536"/>
      <c r="T19" s="550"/>
      <c r="U19" s="535">
        <f t="shared" si="6"/>
        <v>0</v>
      </c>
      <c r="V19" s="523">
        <f t="shared" si="7"/>
        <v>0</v>
      </c>
      <c r="W19" s="536"/>
      <c r="X19" s="550"/>
      <c r="Y19" s="536"/>
      <c r="Z19" s="550"/>
      <c r="AA19" s="535">
        <f t="shared" si="8"/>
        <v>0</v>
      </c>
      <c r="AB19" s="523">
        <f t="shared" si="9"/>
        <v>0</v>
      </c>
      <c r="AC19" s="536"/>
      <c r="AD19" s="550"/>
      <c r="AE19" s="536"/>
      <c r="AF19" s="550"/>
      <c r="AG19" s="535">
        <f t="shared" si="10"/>
        <v>0</v>
      </c>
      <c r="AH19" s="523">
        <f t="shared" si="11"/>
        <v>0</v>
      </c>
      <c r="AI19" s="536"/>
      <c r="AJ19" s="550"/>
      <c r="AK19" s="536"/>
      <c r="AL19" s="550"/>
      <c r="AM19" s="535">
        <f t="shared" si="12"/>
        <v>0</v>
      </c>
      <c r="AN19" s="523">
        <f t="shared" si="13"/>
        <v>0</v>
      </c>
      <c r="AO19" s="536"/>
      <c r="AP19" s="550"/>
      <c r="AQ19" s="536"/>
      <c r="AR19" s="550"/>
      <c r="AS19" s="535">
        <f t="shared" si="14"/>
        <v>0</v>
      </c>
      <c r="AT19" s="523">
        <f t="shared" si="15"/>
        <v>0</v>
      </c>
      <c r="AU19" s="536"/>
      <c r="AV19" s="550"/>
      <c r="AW19" s="536"/>
      <c r="AX19" s="550"/>
      <c r="AY19" s="510">
        <f t="shared" si="16"/>
        <v>208150</v>
      </c>
      <c r="AZ19" s="520">
        <f t="shared" si="17"/>
        <v>0.15</v>
      </c>
      <c r="BA19" s="510">
        <f t="shared" si="18"/>
        <v>208150</v>
      </c>
      <c r="BB19" s="520">
        <f t="shared" si="19"/>
        <v>0.15</v>
      </c>
      <c r="BC19" s="510">
        <f t="shared" si="20"/>
        <v>0</v>
      </c>
      <c r="BD19" s="520">
        <f t="shared" si="21"/>
        <v>0</v>
      </c>
      <c r="BF19" s="527"/>
      <c r="BG19" s="527"/>
      <c r="BH19" s="538"/>
    </row>
    <row r="20" spans="1:60" s="537" customFormat="1" ht="20.25" customHeight="1">
      <c r="A20" s="508" t="s">
        <v>774</v>
      </c>
      <c r="B20" s="509" t="s">
        <v>749</v>
      </c>
      <c r="C20" s="535">
        <f t="shared" si="0"/>
        <v>0</v>
      </c>
      <c r="D20" s="523">
        <f t="shared" si="1"/>
        <v>0</v>
      </c>
      <c r="E20" s="536"/>
      <c r="F20" s="550"/>
      <c r="G20" s="536"/>
      <c r="H20" s="550"/>
      <c r="I20" s="535">
        <f t="shared" si="2"/>
        <v>0</v>
      </c>
      <c r="J20" s="523">
        <f t="shared" si="3"/>
        <v>0</v>
      </c>
      <c r="K20" s="536"/>
      <c r="L20" s="550"/>
      <c r="M20" s="536"/>
      <c r="N20" s="550"/>
      <c r="O20" s="535">
        <f t="shared" si="4"/>
        <v>0</v>
      </c>
      <c r="P20" s="523">
        <f t="shared" si="5"/>
        <v>0</v>
      </c>
      <c r="Q20" s="536"/>
      <c r="R20" s="550"/>
      <c r="S20" s="536"/>
      <c r="T20" s="550"/>
      <c r="U20" s="535">
        <f t="shared" si="6"/>
        <v>0</v>
      </c>
      <c r="V20" s="523">
        <f t="shared" si="7"/>
        <v>0</v>
      </c>
      <c r="W20" s="536"/>
      <c r="X20" s="550"/>
      <c r="Y20" s="536"/>
      <c r="Z20" s="550"/>
      <c r="AA20" s="535">
        <f t="shared" si="8"/>
        <v>0</v>
      </c>
      <c r="AB20" s="523">
        <f t="shared" si="9"/>
        <v>0</v>
      </c>
      <c r="AC20" s="536"/>
      <c r="AD20" s="550"/>
      <c r="AE20" s="536"/>
      <c r="AF20" s="550"/>
      <c r="AG20" s="535">
        <f t="shared" si="10"/>
        <v>0</v>
      </c>
      <c r="AH20" s="523">
        <f t="shared" si="11"/>
        <v>0</v>
      </c>
      <c r="AI20" s="536"/>
      <c r="AJ20" s="550"/>
      <c r="AK20" s="536"/>
      <c r="AL20" s="550"/>
      <c r="AM20" s="535">
        <f t="shared" si="12"/>
        <v>0</v>
      </c>
      <c r="AN20" s="523">
        <f t="shared" si="13"/>
        <v>0</v>
      </c>
      <c r="AO20" s="536"/>
      <c r="AP20" s="550"/>
      <c r="AQ20" s="536"/>
      <c r="AR20" s="550"/>
      <c r="AS20" s="535">
        <f t="shared" si="14"/>
        <v>0</v>
      </c>
      <c r="AT20" s="523">
        <f t="shared" si="15"/>
        <v>0</v>
      </c>
      <c r="AU20" s="536"/>
      <c r="AV20" s="550"/>
      <c r="AW20" s="536"/>
      <c r="AX20" s="550"/>
      <c r="AY20" s="510">
        <f t="shared" si="16"/>
        <v>0</v>
      </c>
      <c r="AZ20" s="520">
        <f t="shared" si="17"/>
        <v>0</v>
      </c>
      <c r="BA20" s="510">
        <f t="shared" si="18"/>
        <v>0</v>
      </c>
      <c r="BB20" s="520">
        <f t="shared" si="19"/>
        <v>0</v>
      </c>
      <c r="BC20" s="510">
        <f t="shared" si="20"/>
        <v>0</v>
      </c>
      <c r="BD20" s="520">
        <f t="shared" si="21"/>
        <v>0</v>
      </c>
      <c r="BF20" s="527"/>
      <c r="BG20" s="527"/>
    </row>
    <row r="21" spans="1:60" s="542" customFormat="1" ht="30" customHeight="1">
      <c r="A21" s="517" t="s">
        <v>750</v>
      </c>
      <c r="B21" s="518" t="s">
        <v>751</v>
      </c>
      <c r="C21" s="539">
        <f>+C8+C9+C10+C13+C14+C15+C16+C17+C19+C20</f>
        <v>2530165</v>
      </c>
      <c r="D21" s="516">
        <f>IFERROR(((C8*D8)/C21)+((C9*D9)/C21)+((C10*D10)/C21)+((C13*D13)/C21)+((C14*D14)/C21)+((C20*D20)/C21)+((C19*D19)/C21)+((C17*D17)/C21)+((C16*D16)/C21)+((C15*D15)/C21),0)</f>
        <v>0.16938462343237426</v>
      </c>
      <c r="E21" s="539">
        <f>+E8+E9+E10+E13+E14+E15+E16+E17+E19+E20</f>
        <v>2530165</v>
      </c>
      <c r="F21" s="516">
        <f>IFERROR(((E8*F8)/E21)+((E9*F9)/E21)+((E10*F10)/E21)+((E13*F13)/E21)+((E14*F14)/E21)+((E20*F20)/E21)+((E19*F19)/E21)+((E17*F17)/E21)+((E16*F16)/E21)+((E15*F15)/E21),0)</f>
        <v>0.16938462343237426</v>
      </c>
      <c r="G21" s="539">
        <f>+G8+G9+G10+G13+G14+G15+G16+G17+G19+G20</f>
        <v>0</v>
      </c>
      <c r="H21" s="516">
        <f>IFERROR(((G8*H8)/G21)+((G9*H9)/G21)+((G10*H10)/G21)+((G13*H13)/G21)+((G14*H14)/G21)+((G20*H20)/G21)+((G19*H19)/G21)+((G17*H17)/G21)+((G16*H16)/G21)+((G15*H15)/G21),0)</f>
        <v>0</v>
      </c>
      <c r="I21" s="539">
        <f>+I8+I9+I10+I13+I14+I15+I16+I17+I19+I20</f>
        <v>4212159</v>
      </c>
      <c r="J21" s="516">
        <f>IFERROR(((I8*J8)/I21)+((I9*J9)/I21)+((I10*J10)/I21)+((I13*J13)/I21)+((I14*J14)/I21)+((I20*J20)/I21)+((I19*J19)/I21)+((I17*J17)/I21)+((I16*J16)/I21)+((I15*J15)/I21),0)</f>
        <v>0.17873567165856705</v>
      </c>
      <c r="K21" s="539">
        <f>+K8+K9+K10+K13+K14+K15+K16+K17+K19+K20</f>
        <v>4212159</v>
      </c>
      <c r="L21" s="516">
        <f>IFERROR(((K8*L8)/K21)+((K9*L9)/K21)+((K10*L10)/K21)+((K13*L13)/K21)+((K14*L14)/K21)+((K20*L20)/K21)+((K19*L19)/K21)+((K17*L17)/K21)+((K16*L16)/K21)+((K15*L15)/K21),0)</f>
        <v>0.17873567165856705</v>
      </c>
      <c r="M21" s="539">
        <f>+M8+M9+M10+M13+M14+M15+M16+M17+M19+M20</f>
        <v>0</v>
      </c>
      <c r="N21" s="516">
        <f>IFERROR(((M8*N8)/M21)+((M9*N9)/M21)+((M10*N10)/M21)+((M13*N13)/M21)+((M14*N14)/M21)+((M20*N20)/M21)+((M19*N19)/M21)+((M17*N17)/M21)+((M16*N16)/M21)+((M15*N15)/M21),0)</f>
        <v>0</v>
      </c>
      <c r="O21" s="539">
        <f>+O8+O9+O10+O13+O14+O15+O16+O17+O19+O20</f>
        <v>1670271</v>
      </c>
      <c r="P21" s="516">
        <f>IFERROR(((O8*P8)/O21)+((O9*P9)/O21)+((O10*P10)/O21)+((O13*P13)/O21)+((O14*P14)/O21)+((O20*P20)/O21)+((O19*P19)/O21)+((O17*P17)/O21)+((O16*P16)/O21)+((O15*P15)/O21),0)</f>
        <v>9.694228696937697E-2</v>
      </c>
      <c r="Q21" s="539">
        <f>+Q8+Q9+Q10+Q13+Q14+Q15+Q16+Q17+Q19+Q20</f>
        <v>1670271</v>
      </c>
      <c r="R21" s="516">
        <f>IFERROR(((Q8*R8)/Q21)+((Q9*R9)/Q21)+((Q10*R10)/Q21)+((Q13*R13)/Q21)+((Q14*R14)/Q21)+((Q20*R20)/Q21)+((Q19*R19)/Q21)+((Q17*R17)/Q21)+((Q16*R16)/Q21)+((Q15*R15)/Q21),0)</f>
        <v>9.694228696937697E-2</v>
      </c>
      <c r="S21" s="539">
        <f>+S8+S9+S10+S13+S14+S15+S16+S17+S19+S20</f>
        <v>0</v>
      </c>
      <c r="T21" s="516">
        <f>IFERROR(((S8*T8)/S21)+((S9*T9)/S21)+((S10*T10)/S21)+((S13*T13)/S21)+((S14*T14)/S21)+((S20*T20)/S21)+((S19*T19)/S21)+((S17*T17)/S21)+((S16*T16)/S21)+((S15*T15)/S21),0)</f>
        <v>0</v>
      </c>
      <c r="U21" s="539">
        <f>+U8+U9+U10+U13+U14+U15+U16+U17+U19+U20</f>
        <v>18246487</v>
      </c>
      <c r="V21" s="516">
        <f>IFERROR(((U8*V8)/U21)+((U9*V9)/U21)+((U10*V10)/U21)+((U13*V13)/U21)+((U14*V14)/U21)+((U20*V20)/U21)+((U19*V19)/U21)+((U17*V17)/U21)+((U16*V16)/U21)+((U15*V15)/U21),0)</f>
        <v>0.16400564102004242</v>
      </c>
      <c r="W21" s="539">
        <f>+W8+W9+W10+W13+W14+W15+W16+W17+W19+W20</f>
        <v>13521198</v>
      </c>
      <c r="X21" s="516">
        <f>IFERROR(((W8*X8)/W21)+((W9*X9)/W21)+((W10*X10)/W21)+((W13*X13)/W21)+((W14*X14)/W21)+((W20*X20)/W21)+((W19*X19)/W21)+((W17*X17)/W21)+((W16*X16)/W21)+((W15*X15)/W21),0)</f>
        <v>0.18650746239036745</v>
      </c>
      <c r="Y21" s="539">
        <f>+Y8+Y9+Y10+Y13+Y14+Y15+Y16+Y17+Y19+Y20</f>
        <v>4725289</v>
      </c>
      <c r="Z21" s="516">
        <f>IFERROR(((Y8*Z8)/Y21)+((Y9*Z9)/Y21)+((Y10*Z10)/Y21)+((Y13*Z13)/Y21)+((Y14*Z14)/Y21)+((Y20*Z20)/Y21)+((Y19*Z19)/Y21)+((Y17*Z17)/Y21)+((Y16*Z16)/Y21)+((Y15*Z15)/Y21),0)</f>
        <v>9.9617710015442271E-2</v>
      </c>
      <c r="AA21" s="539">
        <f>+AA8+AA9+AA10+AA13+AA14+AA15+AA16+AA17+AA19+AA20</f>
        <v>36732919</v>
      </c>
      <c r="AB21" s="516">
        <f>IFERROR(((AA8*AB8)/AA21)+((AA9*AB9)/AA21)+((AA10*AB10)/AA21)+((AA13*AB13)/AA21)+((AA14*AB14)/AA21)+((AA20*AB20)/AA21)+((AA19*AB19)/AA21)+((AA17*AB17)/AA21)+((AA16*AB16)/AA21)+((AA15*AB15)/AA21),0)</f>
        <v>0.15195590336536274</v>
      </c>
      <c r="AC21" s="539">
        <f>+AC8+AC9+AC10+AC13+AC14+AC15+AC16+AC17+AC19+AC20</f>
        <v>23285883</v>
      </c>
      <c r="AD21" s="516">
        <f>IFERROR(((AC8*AD8)/AC21)+((AC9*AD9)/AC21)+((AC10*AD10)/AC21)+((AC13*AD13)/AC21)+((AC14*AD14)/AC21)+((AC20*AD20)/AC21)+((AC19*AD19)/AC21)+((AC17*AD17)/AC21)+((AC16*AD16)/AC21)+((AC15*AD15)/AC21),0)</f>
        <v>0.1836473296889358</v>
      </c>
      <c r="AE21" s="539">
        <f>+AE8+AE9+AE10+AE13+AE14+AE15+AE16+AE17+AE19+AE20</f>
        <v>13447036</v>
      </c>
      <c r="AF21" s="516">
        <f>IFERROR(((AE8*AF8)/AE21)+((AE9*AF9)/AE21)+((AE10*AF10)/AE21)+((AE13*AF13)/AE21)+((AE14*AF14)/AE21)+((AE20*AF20)/AE21)+((AE19*AF19)/AE21)+((AE17*AF17)/AE21)+((AE16*AF16)/AE21)+((AE15*AF15)/AE21),0)</f>
        <v>9.7076683478255807E-2</v>
      </c>
      <c r="AG21" s="539">
        <f>+AG8+AG9+AG10+AG13+AG14+AG15+AG16+AG17+AG19+AG20</f>
        <v>100276139</v>
      </c>
      <c r="AH21" s="516">
        <f>IFERROR(((AG8*AH8)/AG21)+((AG9*AH9)/AG21)+((AG10*AH10)/AG21)+((AG13*AH13)/AG21)+((AG14*AH14)/AG21)+((AG20*AH20)/AG21)+((AG19*AH19)/AG21)+((AG17*AH17)/AG21)+((AG16*AH16)/AG21)+((AG15*AH15)/AG21),0)</f>
        <v>0.15600758435248435</v>
      </c>
      <c r="AI21" s="539">
        <f>+AI8+AI9+AI10+AI13+AI14+AI15+AI16+AI17+AI19+AI20</f>
        <v>69105547</v>
      </c>
      <c r="AJ21" s="516">
        <f>IFERROR(((AI8*AJ8)/AI21)+((AI9*AJ9)/AI21)+((AI10*AJ10)/AI21)+((AI13*AJ13)/AI21)+((AI14*AJ14)/AI21)+((AI20*AJ20)/AI21)+((AI19*AJ19)/AI21)+((AI17*AJ17)/AI21)+((AI16*AJ16)/AI21)+((AI15*AJ15)/AI21),0)</f>
        <v>0.18001068423342906</v>
      </c>
      <c r="AK21" s="539">
        <f>+AK8+AK9+AK10+AK13+AK14+AK15+AK16+AK17+AK19+AK20</f>
        <v>31170592</v>
      </c>
      <c r="AL21" s="516">
        <f>IFERROR(((AK8*AL8)/AK21)+((AK9*AL9)/AK21)+((AK10*AL10)/AK21)+((AK13*AL13)/AK21)+((AK14*AL14)/AK21)+((AK20*AL20)/AK21)+((AK19*AL19)/AK21)+((AK17*AL17)/AK21)+((AK16*AL16)/AK21)+((AK15*AL15)/AK21),0)</f>
        <v>0.10279244660443257</v>
      </c>
      <c r="AM21" s="539">
        <f>+AM8+AM9+AM10+AM13+AM14+AM15+AM16+AM17+AM19+AM20</f>
        <v>248984292</v>
      </c>
      <c r="AN21" s="516">
        <f>IFERROR(((AM8*AN8)/AM21)+((AM9*AN9)/AM21)+((AM10*AN10)/AM21)+((AM13*AN13)/AM21)+((AM14*AN14)/AM21)+((AM20*AN20)/AM21)+((AM19*AN19)/AM21)+((AM17*AN17)/AM21)+((AM16*AN16)/AM21)+((AM15*AN15)/AM21),0)</f>
        <v>0.14980656537707976</v>
      </c>
      <c r="AO21" s="539">
        <f>+AO8+AO9+AO10+AO13+AO14+AO15+AO16+AO17+AO19+AO20</f>
        <v>137890322</v>
      </c>
      <c r="AP21" s="516">
        <f>IFERROR(((AO8*AP8)/AO21)+((AO9*AP9)/AO21)+((AO10*AP10)/AO21)+((AO13*AP13)/AO21)+((AO14*AP14)/AO21)+((AO20*AP20)/AO21)+((AO19*AP19)/AO21)+((AO17*AP17)/AO21)+((AO16*AP16)/AO21)+((AO15*AP15)/AO21),0)</f>
        <v>0.17680263902728335</v>
      </c>
      <c r="AQ21" s="539">
        <f>+AQ8+AQ9+AQ10+AQ13+AQ14+AQ15+AQ16+AQ17+AQ19+AQ20</f>
        <v>111093970</v>
      </c>
      <c r="AR21" s="516">
        <f>IFERROR(((AQ8*AR8)/AQ21)+((AQ9*AR9)/AQ21)+((AQ10*AR10)/AQ21)+((AQ13*AR13)/AQ21)+((AQ14*AR14)/AQ21)+((AQ20*AR20)/AQ21)+((AQ19*AR19)/AQ21)+((AQ17*AR17)/AQ21)+((AQ16*AR16)/AQ21)+((AQ15*AR15)/AQ21),0)</f>
        <v>0.11629892055745288</v>
      </c>
      <c r="AS21" s="539">
        <f>+AS8+AS9+AS10+AS13+AS14+AS15+AS16+AS17+AS19+AS20</f>
        <v>1772329182</v>
      </c>
      <c r="AT21" s="516">
        <f>IFERROR(((AS8*AT8)/AS21)+((AS9*AT9)/AS21)+((AS10*AT10)/AS21)+((AS13*AT13)/AS21)+((AS14*AT14)/AS21)+((AS20*AT20)/AS21)+((AS19*AT19)/AS21)+((AS17*AT17)/AS21)+((AS16*AT16)/AS21)+((AS15*AT15)/AS21),0)</f>
        <v>0.16157443494246193</v>
      </c>
      <c r="AU21" s="539">
        <f>+AU8+AU9+AU10+AU13+AU14+AU15+AU16+AU17+AU19+AU20</f>
        <v>1539779744</v>
      </c>
      <c r="AV21" s="516">
        <f>IFERROR(((AU8*AV8)/AU21)+((AU9*AV9)/AU21)+((AU10*AV10)/AU21)+((AU13*AV13)/AU21)+((AU14*AV14)/AU21)+((AU20*AV20)/AU21)+((AU19*AV19)/AU21)+((AU17*AV17)/AU21)+((AU16*AV16)/AU21)+((AU15*AV15)/AU21),0)</f>
        <v>0.16938619573489738</v>
      </c>
      <c r="AW21" s="539">
        <f>+AW8+AW9+AW10+AW13+AW14+AW15+AW16+AW17+AW19+AW20</f>
        <v>232549438</v>
      </c>
      <c r="AX21" s="516">
        <f>IFERROR(((AW8*AX8)/AW21)+((AW9*AX9)/AW21)+((AW10*AX10)/AW21)+((AW13*AX13)/AW21)+((AW14*AX14)/AW21)+((AW20*AX20)/AW21)+((AW19*AX19)/AW21)+((AW17*AX17)/AW21)+((AW16*AX16)/AW21)+((AW15*AX15)/AW21),0)</f>
        <v>0.10985041816300405</v>
      </c>
      <c r="AY21" s="540">
        <f>+AY8+AY9+AY10+AY13+AY14+AY15+AY16+AY17+AY19+AY20</f>
        <v>2184981614</v>
      </c>
      <c r="AZ21" s="516">
        <f>IFERROR(((AY8*AZ8)/AY21)+((AY9*AZ9)/AY21)+((AY10*AZ10)/AY21)+((AY13*AZ13)/AY21)+((AY14*AZ14)/AY21)+((AY20*AZ20)/AY21)+((AY19*AZ19)/AY21)+((AY17*AZ17)/AY21)+((AY16*AZ16)/AY21)+((AY15*AZ15)/AY21),0)</f>
        <v>0.15982929485450001</v>
      </c>
      <c r="BA21" s="540">
        <f>+BA8+BA9+BA10+BA13+BA14+BA15+BA16+BA17+BA19+BA20</f>
        <v>1791995289</v>
      </c>
      <c r="BB21" s="516">
        <f>IFERROR(((BA8*BB8)/BA21)+((BA9*BB9)/BA21)+((BA10*BB10)/BA21)+((BA13*BB13)/BA21)+((BA14*BB14)/BA21)+((BA20*BB20)/BA21)+((BA19*BB19)/BA21)+((BA17*BB17)/BA21)+((BA16*BB16)/BA21)+((BA15*BB15)/BA21),0)</f>
        <v>0.17063554417398427</v>
      </c>
      <c r="BC21" s="540">
        <f>+BC8+BC9+BC10+BC13+BC14+BC15+BC16+BC17+BC19+BC20</f>
        <v>392986325</v>
      </c>
      <c r="BD21" s="516">
        <f>IFERROR(((BC8*BD8)/BC21)+((BC9*BD9)/BC21)+((BC10*BD10)/BC21)+((BC13*BD13)/BC21)+((BC14*BD14)/BC21)+((BC20*BD20)/BC21)+((BC19*BD19)/BC21)+((BC17*BD17)/BC21)+((BC16*BD16)/BC21)+((BC15*BD15)/BC21),0)</f>
        <v>0.11055341261540348</v>
      </c>
      <c r="BE21" s="541"/>
      <c r="BF21" s="526"/>
      <c r="BG21" s="526"/>
    </row>
    <row r="22" spans="1:60" s="524" customFormat="1" ht="30" customHeight="1">
      <c r="A22" s="505" t="s">
        <v>752</v>
      </c>
      <c r="B22" s="506" t="s">
        <v>753</v>
      </c>
      <c r="C22" s="507"/>
      <c r="D22" s="519"/>
      <c r="E22" s="507"/>
      <c r="F22" s="519"/>
      <c r="G22" s="507"/>
      <c r="H22" s="519"/>
      <c r="I22" s="507"/>
      <c r="J22" s="519"/>
      <c r="K22" s="507"/>
      <c r="L22" s="519"/>
      <c r="M22" s="507"/>
      <c r="N22" s="519"/>
      <c r="O22" s="507"/>
      <c r="P22" s="519"/>
      <c r="Q22" s="507"/>
      <c r="R22" s="519"/>
      <c r="S22" s="507"/>
      <c r="T22" s="519"/>
      <c r="U22" s="507"/>
      <c r="V22" s="519"/>
      <c r="W22" s="507"/>
      <c r="X22" s="519"/>
      <c r="Y22" s="507"/>
      <c r="Z22" s="519"/>
      <c r="AA22" s="507"/>
      <c r="AB22" s="519"/>
      <c r="AC22" s="507"/>
      <c r="AD22" s="519"/>
      <c r="AE22" s="507"/>
      <c r="AF22" s="519"/>
      <c r="AG22" s="507"/>
      <c r="AH22" s="519"/>
      <c r="AI22" s="507"/>
      <c r="AJ22" s="519"/>
      <c r="AK22" s="507"/>
      <c r="AL22" s="519"/>
      <c r="AM22" s="507"/>
      <c r="AN22" s="519"/>
      <c r="AO22" s="507"/>
      <c r="AP22" s="519"/>
      <c r="AQ22" s="507"/>
      <c r="AR22" s="519"/>
      <c r="AS22" s="507"/>
      <c r="AT22" s="519"/>
      <c r="AU22" s="507"/>
      <c r="AV22" s="519"/>
      <c r="AW22" s="507"/>
      <c r="AX22" s="519"/>
      <c r="AY22" s="507"/>
      <c r="AZ22" s="519"/>
      <c r="BA22" s="507"/>
      <c r="BB22" s="519"/>
      <c r="BC22" s="507"/>
      <c r="BD22" s="519"/>
      <c r="BF22" s="526"/>
      <c r="BG22" s="526"/>
    </row>
    <row r="23" spans="1:60" ht="22.5" customHeight="1">
      <c r="A23" s="511" t="s">
        <v>0</v>
      </c>
      <c r="B23" s="512" t="s">
        <v>754</v>
      </c>
      <c r="C23" s="513"/>
      <c r="D23" s="521"/>
      <c r="E23" s="513"/>
      <c r="F23" s="521"/>
      <c r="G23" s="513"/>
      <c r="H23" s="521"/>
      <c r="I23" s="513"/>
      <c r="J23" s="521"/>
      <c r="K23" s="513"/>
      <c r="L23" s="521"/>
      <c r="M23" s="513"/>
      <c r="N23" s="521"/>
      <c r="O23" s="513"/>
      <c r="P23" s="521"/>
      <c r="Q23" s="513"/>
      <c r="R23" s="521"/>
      <c r="S23" s="513"/>
      <c r="T23" s="521"/>
      <c r="U23" s="513"/>
      <c r="V23" s="521"/>
      <c r="W23" s="513"/>
      <c r="X23" s="521"/>
      <c r="Y23" s="513"/>
      <c r="Z23" s="521"/>
      <c r="AA23" s="513"/>
      <c r="AB23" s="521"/>
      <c r="AC23" s="513"/>
      <c r="AD23" s="521"/>
      <c r="AE23" s="513"/>
      <c r="AF23" s="521"/>
      <c r="AG23" s="513"/>
      <c r="AH23" s="521"/>
      <c r="AI23" s="513"/>
      <c r="AJ23" s="521"/>
      <c r="AK23" s="513"/>
      <c r="AL23" s="521"/>
      <c r="AM23" s="513"/>
      <c r="AN23" s="521"/>
      <c r="AO23" s="513"/>
      <c r="AP23" s="521"/>
      <c r="AQ23" s="513"/>
      <c r="AR23" s="521"/>
      <c r="AS23" s="513"/>
      <c r="AT23" s="521"/>
      <c r="AU23" s="513"/>
      <c r="AV23" s="521"/>
      <c r="AW23" s="513"/>
      <c r="AX23" s="521"/>
      <c r="AY23" s="513"/>
      <c r="AZ23" s="521"/>
      <c r="BA23" s="513"/>
      <c r="BB23" s="521"/>
      <c r="BC23" s="513"/>
      <c r="BD23" s="521"/>
      <c r="BF23" s="527"/>
      <c r="BG23" s="527"/>
    </row>
    <row r="24" spans="1:60" ht="20.25" customHeight="1">
      <c r="A24" s="511" t="s">
        <v>54</v>
      </c>
      <c r="B24" s="512" t="s">
        <v>755</v>
      </c>
      <c r="C24" s="543">
        <f t="shared" ref="C24:C32" si="22">+E24+G24</f>
        <v>0</v>
      </c>
      <c r="D24" s="523">
        <f t="shared" ref="D24:D32" si="23">IFERROR((((E24*F24)+(G24*H24))/C24),0)</f>
        <v>0</v>
      </c>
      <c r="E24" s="543">
        <f>+E25+E26+E27+E28+E29</f>
        <v>0</v>
      </c>
      <c r="F24" s="551">
        <f>IFERROR(((E25*F25)/E24)+((E26*F26)/E24)+((E27*F27)/E24)+((E28*F28)/E24)+((E29*F29)/E24),0)</f>
        <v>0</v>
      </c>
      <c r="G24" s="543">
        <f>+G25+G26+G27+G28+G29</f>
        <v>0</v>
      </c>
      <c r="H24" s="551">
        <f>IFERROR(((G25*H25)/G24)+((G26*H26)/G24)+((G27*H27)/G24)+((G28*H28)/G24)+((G29*H29)/G24),0)</f>
        <v>0</v>
      </c>
      <c r="I24" s="543">
        <f t="shared" ref="I24:I32" si="24">+K24+M24</f>
        <v>0</v>
      </c>
      <c r="J24" s="523">
        <f t="shared" ref="J24:J32" si="25">IFERROR((((K24*L24)+(M24*N24))/I24),0)</f>
        <v>0</v>
      </c>
      <c r="K24" s="543">
        <f>+K25+K26+K27+K28+K29</f>
        <v>0</v>
      </c>
      <c r="L24" s="551">
        <f>IFERROR(((K25*L25)/K24)+((K26*L26)/K24)+((K27*L27)/K24)+((K28*L28)/K24)+((K29*L29)/K24),0)</f>
        <v>0</v>
      </c>
      <c r="M24" s="543">
        <f>+M25+M26+M27+M28+M29</f>
        <v>0</v>
      </c>
      <c r="N24" s="551">
        <f>IFERROR(((M25*N25)/M24)+((M26*N26)/M24)+((M27*N27)/M24)+((M28*N28)/M24)+((M29*N29)/M24),0)</f>
        <v>0</v>
      </c>
      <c r="O24" s="543">
        <f t="shared" ref="O24:O32" si="26">+Q24+S24</f>
        <v>0</v>
      </c>
      <c r="P24" s="523">
        <f t="shared" ref="P24:P32" si="27">IFERROR((((Q24*R24)+(S24*T24))/O24),0)</f>
        <v>0</v>
      </c>
      <c r="Q24" s="543">
        <f>+Q25+Q26+Q27+Q28+Q29</f>
        <v>0</v>
      </c>
      <c r="R24" s="551">
        <f>IFERROR(((Q25*R25)/Q24)+((Q26*R26)/Q24)+((Q27*R27)/Q24)+((Q28*R28)/Q24)+((Q29*R29)/Q24),0)</f>
        <v>0</v>
      </c>
      <c r="S24" s="543">
        <f>+S25+S26+S27+S28+S29</f>
        <v>0</v>
      </c>
      <c r="T24" s="551">
        <f>IFERROR(((S25*T25)/S24)+((S26*T26)/S24)+((S27*T27)/S24)+((S28*T28)/S24)+((S29*T29)/S24),0)</f>
        <v>0</v>
      </c>
      <c r="U24" s="543">
        <f t="shared" ref="U24:U32" si="28">+W24+Y24</f>
        <v>0</v>
      </c>
      <c r="V24" s="523">
        <f t="shared" ref="V24:V32" si="29">IFERROR((((W24*X24)+(Y24*Z24))/U24),0)</f>
        <v>0</v>
      </c>
      <c r="W24" s="543">
        <f>+W25+W26+W27+W28+W29</f>
        <v>0</v>
      </c>
      <c r="X24" s="551">
        <f>IFERROR(((W25*X25)/W24)+((W26*X26)/W24)+((W27*X27)/W24)+((W28*X28)/W24)+((W29*X29)/W24),0)</f>
        <v>0</v>
      </c>
      <c r="Y24" s="543">
        <f>+Y25+Y26+Y27+Y28+Y29</f>
        <v>0</v>
      </c>
      <c r="Z24" s="551">
        <f>IFERROR(((Y25*Z25)/Y24)+((Y26*Z26)/Y24)+((Y27*Z27)/Y24)+((Y28*Z28)/Y24)+((Y29*Z29)/Y24),0)</f>
        <v>0</v>
      </c>
      <c r="AA24" s="543">
        <f t="shared" ref="AA24:AA32" si="30">+AC24+AE24</f>
        <v>0</v>
      </c>
      <c r="AB24" s="523">
        <f t="shared" ref="AB24:AB32" si="31">IFERROR((((AC24*AD24)+(AE24*AF24))/AA24),0)</f>
        <v>0</v>
      </c>
      <c r="AC24" s="543">
        <f>+AC25+AC26+AC27+AC28+AC29</f>
        <v>0</v>
      </c>
      <c r="AD24" s="551">
        <f>IFERROR(((AC25*AD25)/AC24)+((AC26*AD26)/AC24)+((AC27*AD27)/AC24)+((AC28*AD28)/AC24)+((AC29*AD29)/AC24),0)</f>
        <v>0</v>
      </c>
      <c r="AE24" s="543">
        <f>+AE25+AE26+AE27+AE28+AE29</f>
        <v>0</v>
      </c>
      <c r="AF24" s="551">
        <f>IFERROR(((AE25*AF25)/AE24)+((AE26*AF26)/AE24)+((AE27*AF27)/AE24)+((AE28*AF28)/AE24)+((AE29*AF29)/AE24),0)</f>
        <v>0</v>
      </c>
      <c r="AG24" s="543">
        <f t="shared" ref="AG24:AG32" si="32">+AI24+AK24</f>
        <v>0</v>
      </c>
      <c r="AH24" s="523">
        <f t="shared" ref="AH24:AH32" si="33">IFERROR((((AI24*AJ24)+(AK24*AL24))/AG24),0)</f>
        <v>0</v>
      </c>
      <c r="AI24" s="543">
        <f>+AI25+AI26+AI27+AI28+AI29</f>
        <v>0</v>
      </c>
      <c r="AJ24" s="551">
        <f>IFERROR(((AI25*AJ25)/AI24)+((AI26*AJ26)/AI24)+((AI27*AJ27)/AI24)+((AI28*AJ28)/AI24)+((AI29*AJ29)/AI24),0)</f>
        <v>0</v>
      </c>
      <c r="AK24" s="543">
        <f>+AK25+AK26+AK27+AK28+AK29</f>
        <v>0</v>
      </c>
      <c r="AL24" s="551">
        <f>IFERROR(((AK25*AL25)/AK24)+((AK26*AL26)/AK24)+((AK27*AL27)/AK24)+((AK28*AL28)/AK24)+((AK29*AL29)/AK24),0)</f>
        <v>0</v>
      </c>
      <c r="AM24" s="543">
        <f t="shared" ref="AM24:AM32" si="34">+AO24+AQ24</f>
        <v>0</v>
      </c>
      <c r="AN24" s="523">
        <f t="shared" ref="AN24:AN32" si="35">IFERROR((((AO24*AP24)+(AQ24*AR24))/AM24),0)</f>
        <v>0</v>
      </c>
      <c r="AO24" s="543">
        <f>+AO25+AO26+AO27+AO28+AO29</f>
        <v>0</v>
      </c>
      <c r="AP24" s="551">
        <f>IFERROR(((AO25*AP25)/AO24)+((AO26*AP26)/AO24)+((AO27*AP27)/AO24)+((AO28*AP28)/AO24)+((AO29*AP29)/AO24),0)</f>
        <v>0</v>
      </c>
      <c r="AQ24" s="543">
        <f>+AQ25+AQ26+AQ27+AQ28+AQ29</f>
        <v>0</v>
      </c>
      <c r="AR24" s="551">
        <f>IFERROR(((AQ25*AR25)/AQ24)+((AQ26*AR26)/AQ24)+((AQ27*AR27)/AQ24)+((AQ28*AR28)/AQ24)+((AQ29*AR29)/AQ24),0)</f>
        <v>0</v>
      </c>
      <c r="AS24" s="543">
        <f t="shared" ref="AS24:AS32" si="36">+AU24+AW24</f>
        <v>0</v>
      </c>
      <c r="AT24" s="523">
        <f t="shared" ref="AT24:AT32" si="37">IFERROR((((AU24*AV24)+(AW24*AX24))/AS24),0)</f>
        <v>0</v>
      </c>
      <c r="AU24" s="543">
        <f>+AU25+AU26+AU27+AU28+AU29</f>
        <v>0</v>
      </c>
      <c r="AV24" s="551">
        <f>IFERROR(((AU25*AV25)/AU24)+((AU26*AV26)/AU24)+((AU27*AV27)/AU24)+((AU28*AV28)/AU24)+((AU29*AV29)/AU24),0)</f>
        <v>0</v>
      </c>
      <c r="AW24" s="543">
        <f>+AW25+AW26+AW27+AW28+AW29</f>
        <v>0</v>
      </c>
      <c r="AX24" s="551">
        <f>IFERROR(((AW25*AX25)/AW24)+((AW26*AX26)/AW24)+((AW27*AX27)/AW24)+((AW28*AX28)/AW24)+((AW29*AX29)/AW24),0)</f>
        <v>0</v>
      </c>
      <c r="AY24" s="543">
        <f t="shared" ref="AY24:AY39" si="38">+C24+I24+O24+U24+AA24+AG24+AM24+AS24</f>
        <v>0</v>
      </c>
      <c r="AZ24" s="520">
        <f t="shared" ref="AZ24:AZ39" si="39">IFERROR(((C24*D24)/AY24)+((I24*J24)/AY24)+((O24*P24)/AY24)+((U24*V24)/AY24)+((AA24*AB24)/AY24)+((AG24*AH24)/AY24)+((AM24*AN24)/AY24)+((AS24*AT24)/AY24),0)</f>
        <v>0</v>
      </c>
      <c r="BA24" s="543">
        <f t="shared" ref="BA24:BA39" si="40">+E24+K24+Q24+W24+AC24+AI24+AO24+AU24</f>
        <v>0</v>
      </c>
      <c r="BB24" s="520">
        <f t="shared" ref="BB24:BB39" si="41">IFERROR(((E24*F24)/BA24)+((K24*L24)/BA24)+((Q24*R24)/BA24)+((W24*X24)/BA24)+((AC24*AD24)/BA24)+((AI24*AJ24)/BA24)+((AO24*AP24)/BA24)+((AU24*AV24)/BA24),0)</f>
        <v>0</v>
      </c>
      <c r="BC24" s="543">
        <f t="shared" ref="BC24:BC39" si="42">+G24+M24+S24+Y24+AE24+AK24+AQ24+AW24</f>
        <v>0</v>
      </c>
      <c r="BD24" s="520">
        <f t="shared" ref="BD24:BD39" si="43">IFERROR(((G24*H24)/BC24)+((M24*N24)/BC24)+((S24*T24)/BC24)+((Y24*Z24)/BC24)+((AE24*AF24)/BC24)+((AK24*AL24)/BC24)+((AQ24*AR24)/BC24)+((AW24*AX24)/BC24),0)</f>
        <v>0</v>
      </c>
      <c r="BE24" s="537"/>
      <c r="BF24" s="527"/>
      <c r="BG24" s="527"/>
    </row>
    <row r="25" spans="1:60" ht="20.25" customHeight="1">
      <c r="A25" s="511" t="s">
        <v>756</v>
      </c>
      <c r="B25" s="512" t="s">
        <v>757</v>
      </c>
      <c r="C25" s="543">
        <f t="shared" si="22"/>
        <v>0</v>
      </c>
      <c r="D25" s="523">
        <f t="shared" si="23"/>
        <v>0</v>
      </c>
      <c r="E25" s="536"/>
      <c r="F25" s="550"/>
      <c r="G25" s="536"/>
      <c r="H25" s="550"/>
      <c r="I25" s="543">
        <f t="shared" si="24"/>
        <v>0</v>
      </c>
      <c r="J25" s="523">
        <f t="shared" si="25"/>
        <v>0</v>
      </c>
      <c r="K25" s="536"/>
      <c r="L25" s="550"/>
      <c r="M25" s="536"/>
      <c r="N25" s="550"/>
      <c r="O25" s="543">
        <f t="shared" si="26"/>
        <v>0</v>
      </c>
      <c r="P25" s="523">
        <f t="shared" si="27"/>
        <v>0</v>
      </c>
      <c r="Q25" s="536"/>
      <c r="R25" s="550"/>
      <c r="S25" s="536"/>
      <c r="T25" s="550"/>
      <c r="U25" s="543">
        <f t="shared" si="28"/>
        <v>0</v>
      </c>
      <c r="V25" s="523">
        <f t="shared" si="29"/>
        <v>0</v>
      </c>
      <c r="W25" s="536"/>
      <c r="X25" s="550"/>
      <c r="Y25" s="536"/>
      <c r="Z25" s="550"/>
      <c r="AA25" s="543">
        <f t="shared" si="30"/>
        <v>0</v>
      </c>
      <c r="AB25" s="523">
        <f t="shared" si="31"/>
        <v>0</v>
      </c>
      <c r="AC25" s="536"/>
      <c r="AD25" s="550"/>
      <c r="AE25" s="536"/>
      <c r="AF25" s="550"/>
      <c r="AG25" s="543">
        <f t="shared" si="32"/>
        <v>0</v>
      </c>
      <c r="AH25" s="523">
        <f t="shared" si="33"/>
        <v>0</v>
      </c>
      <c r="AI25" s="536"/>
      <c r="AJ25" s="550"/>
      <c r="AK25" s="536"/>
      <c r="AL25" s="550"/>
      <c r="AM25" s="543">
        <f t="shared" si="34"/>
        <v>0</v>
      </c>
      <c r="AN25" s="523">
        <f t="shared" si="35"/>
        <v>0</v>
      </c>
      <c r="AO25" s="536"/>
      <c r="AP25" s="550"/>
      <c r="AQ25" s="536"/>
      <c r="AR25" s="550"/>
      <c r="AS25" s="543">
        <f t="shared" si="36"/>
        <v>0</v>
      </c>
      <c r="AT25" s="523">
        <f t="shared" si="37"/>
        <v>0</v>
      </c>
      <c r="AU25" s="536"/>
      <c r="AV25" s="550"/>
      <c r="AW25" s="536"/>
      <c r="AX25" s="550"/>
      <c r="AY25" s="543">
        <f t="shared" si="38"/>
        <v>0</v>
      </c>
      <c r="AZ25" s="520">
        <f t="shared" si="39"/>
        <v>0</v>
      </c>
      <c r="BA25" s="543">
        <f t="shared" si="40"/>
        <v>0</v>
      </c>
      <c r="BB25" s="520">
        <f t="shared" si="41"/>
        <v>0</v>
      </c>
      <c r="BC25" s="543">
        <f t="shared" si="42"/>
        <v>0</v>
      </c>
      <c r="BD25" s="520">
        <f t="shared" si="43"/>
        <v>0</v>
      </c>
      <c r="BE25" s="537"/>
      <c r="BF25" s="527"/>
      <c r="BG25" s="527"/>
    </row>
    <row r="26" spans="1:60" ht="20.25" customHeight="1">
      <c r="A26" s="511" t="s">
        <v>758</v>
      </c>
      <c r="B26" s="512" t="s">
        <v>759</v>
      </c>
      <c r="C26" s="543">
        <f t="shared" si="22"/>
        <v>0</v>
      </c>
      <c r="D26" s="523">
        <f t="shared" si="23"/>
        <v>0</v>
      </c>
      <c r="E26" s="536"/>
      <c r="F26" s="550"/>
      <c r="G26" s="536"/>
      <c r="H26" s="550"/>
      <c r="I26" s="543">
        <f t="shared" si="24"/>
        <v>0</v>
      </c>
      <c r="J26" s="523">
        <f t="shared" si="25"/>
        <v>0</v>
      </c>
      <c r="K26" s="536"/>
      <c r="L26" s="550"/>
      <c r="M26" s="536"/>
      <c r="N26" s="550"/>
      <c r="O26" s="543">
        <f t="shared" si="26"/>
        <v>0</v>
      </c>
      <c r="P26" s="523">
        <f t="shared" si="27"/>
        <v>0</v>
      </c>
      <c r="Q26" s="536"/>
      <c r="R26" s="550"/>
      <c r="S26" s="536"/>
      <c r="T26" s="550"/>
      <c r="U26" s="543">
        <f t="shared" si="28"/>
        <v>0</v>
      </c>
      <c r="V26" s="523">
        <f t="shared" si="29"/>
        <v>0</v>
      </c>
      <c r="W26" s="536"/>
      <c r="X26" s="550"/>
      <c r="Y26" s="536"/>
      <c r="Z26" s="550"/>
      <c r="AA26" s="543">
        <f t="shared" si="30"/>
        <v>0</v>
      </c>
      <c r="AB26" s="523">
        <f t="shared" si="31"/>
        <v>0</v>
      </c>
      <c r="AC26" s="536"/>
      <c r="AD26" s="550"/>
      <c r="AE26" s="536"/>
      <c r="AF26" s="550"/>
      <c r="AG26" s="543">
        <f t="shared" si="32"/>
        <v>0</v>
      </c>
      <c r="AH26" s="523">
        <f t="shared" si="33"/>
        <v>0</v>
      </c>
      <c r="AI26" s="536"/>
      <c r="AJ26" s="550"/>
      <c r="AK26" s="536"/>
      <c r="AL26" s="550"/>
      <c r="AM26" s="543">
        <f t="shared" si="34"/>
        <v>0</v>
      </c>
      <c r="AN26" s="523">
        <f t="shared" si="35"/>
        <v>0</v>
      </c>
      <c r="AO26" s="536"/>
      <c r="AP26" s="550"/>
      <c r="AQ26" s="536"/>
      <c r="AR26" s="550"/>
      <c r="AS26" s="543">
        <f t="shared" si="36"/>
        <v>0</v>
      </c>
      <c r="AT26" s="523">
        <f t="shared" si="37"/>
        <v>0</v>
      </c>
      <c r="AU26" s="536"/>
      <c r="AV26" s="550"/>
      <c r="AW26" s="536"/>
      <c r="AX26" s="550"/>
      <c r="AY26" s="543">
        <f t="shared" si="38"/>
        <v>0</v>
      </c>
      <c r="AZ26" s="520">
        <f t="shared" si="39"/>
        <v>0</v>
      </c>
      <c r="BA26" s="543">
        <f t="shared" si="40"/>
        <v>0</v>
      </c>
      <c r="BB26" s="520">
        <f t="shared" si="41"/>
        <v>0</v>
      </c>
      <c r="BC26" s="543">
        <f t="shared" si="42"/>
        <v>0</v>
      </c>
      <c r="BD26" s="520">
        <f t="shared" si="43"/>
        <v>0</v>
      </c>
      <c r="BE26" s="537"/>
      <c r="BF26" s="527"/>
      <c r="BG26" s="527"/>
    </row>
    <row r="27" spans="1:60" ht="36.75" customHeight="1">
      <c r="A27" s="511" t="s">
        <v>790</v>
      </c>
      <c r="B27" s="512" t="s">
        <v>763</v>
      </c>
      <c r="C27" s="543">
        <f t="shared" si="22"/>
        <v>0</v>
      </c>
      <c r="D27" s="523">
        <f t="shared" si="23"/>
        <v>0</v>
      </c>
      <c r="E27" s="536"/>
      <c r="F27" s="550"/>
      <c r="G27" s="536"/>
      <c r="H27" s="550"/>
      <c r="I27" s="543">
        <f t="shared" si="24"/>
        <v>0</v>
      </c>
      <c r="J27" s="523">
        <f t="shared" si="25"/>
        <v>0</v>
      </c>
      <c r="K27" s="536"/>
      <c r="L27" s="550"/>
      <c r="M27" s="536"/>
      <c r="N27" s="550"/>
      <c r="O27" s="543">
        <f t="shared" si="26"/>
        <v>0</v>
      </c>
      <c r="P27" s="523">
        <f t="shared" si="27"/>
        <v>0</v>
      </c>
      <c r="Q27" s="536"/>
      <c r="R27" s="550"/>
      <c r="S27" s="536"/>
      <c r="T27" s="550"/>
      <c r="U27" s="543">
        <f t="shared" si="28"/>
        <v>0</v>
      </c>
      <c r="V27" s="523">
        <f t="shared" si="29"/>
        <v>0</v>
      </c>
      <c r="W27" s="536"/>
      <c r="X27" s="550"/>
      <c r="Y27" s="536"/>
      <c r="Z27" s="550"/>
      <c r="AA27" s="543">
        <f t="shared" si="30"/>
        <v>0</v>
      </c>
      <c r="AB27" s="523">
        <f t="shared" si="31"/>
        <v>0</v>
      </c>
      <c r="AC27" s="536"/>
      <c r="AD27" s="550"/>
      <c r="AE27" s="536"/>
      <c r="AF27" s="550"/>
      <c r="AG27" s="543">
        <f t="shared" si="32"/>
        <v>0</v>
      </c>
      <c r="AH27" s="523">
        <f t="shared" si="33"/>
        <v>0</v>
      </c>
      <c r="AI27" s="536"/>
      <c r="AJ27" s="550"/>
      <c r="AK27" s="536"/>
      <c r="AL27" s="550"/>
      <c r="AM27" s="543">
        <f t="shared" si="34"/>
        <v>0</v>
      </c>
      <c r="AN27" s="523">
        <f t="shared" si="35"/>
        <v>0</v>
      </c>
      <c r="AO27" s="536"/>
      <c r="AP27" s="550"/>
      <c r="AQ27" s="536"/>
      <c r="AR27" s="550"/>
      <c r="AS27" s="543">
        <f t="shared" si="36"/>
        <v>0</v>
      </c>
      <c r="AT27" s="523">
        <f t="shared" si="37"/>
        <v>0</v>
      </c>
      <c r="AU27" s="536"/>
      <c r="AV27" s="550"/>
      <c r="AW27" s="536"/>
      <c r="AX27" s="550"/>
      <c r="AY27" s="543">
        <f t="shared" si="38"/>
        <v>0</v>
      </c>
      <c r="AZ27" s="520">
        <f t="shared" si="39"/>
        <v>0</v>
      </c>
      <c r="BA27" s="543">
        <f t="shared" si="40"/>
        <v>0</v>
      </c>
      <c r="BB27" s="520">
        <f t="shared" si="41"/>
        <v>0</v>
      </c>
      <c r="BC27" s="543">
        <f t="shared" si="42"/>
        <v>0</v>
      </c>
      <c r="BD27" s="520">
        <f t="shared" si="43"/>
        <v>0</v>
      </c>
      <c r="BE27" s="537"/>
      <c r="BF27" s="527"/>
      <c r="BG27" s="527"/>
    </row>
    <row r="28" spans="1:60" ht="36.75" customHeight="1">
      <c r="A28" s="511" t="s">
        <v>791</v>
      </c>
      <c r="B28" s="512" t="s">
        <v>764</v>
      </c>
      <c r="C28" s="543">
        <f t="shared" si="22"/>
        <v>0</v>
      </c>
      <c r="D28" s="523">
        <f t="shared" si="23"/>
        <v>0</v>
      </c>
      <c r="E28" s="536"/>
      <c r="F28" s="550"/>
      <c r="G28" s="536"/>
      <c r="H28" s="550"/>
      <c r="I28" s="543">
        <f t="shared" si="24"/>
        <v>0</v>
      </c>
      <c r="J28" s="523">
        <f t="shared" si="25"/>
        <v>0</v>
      </c>
      <c r="K28" s="536"/>
      <c r="L28" s="550"/>
      <c r="M28" s="536"/>
      <c r="N28" s="550"/>
      <c r="O28" s="543">
        <f t="shared" si="26"/>
        <v>0</v>
      </c>
      <c r="P28" s="523">
        <f t="shared" si="27"/>
        <v>0</v>
      </c>
      <c r="Q28" s="536"/>
      <c r="R28" s="550"/>
      <c r="S28" s="536"/>
      <c r="T28" s="550"/>
      <c r="U28" s="543">
        <f t="shared" si="28"/>
        <v>0</v>
      </c>
      <c r="V28" s="523">
        <f t="shared" si="29"/>
        <v>0</v>
      </c>
      <c r="W28" s="536"/>
      <c r="X28" s="550"/>
      <c r="Y28" s="536"/>
      <c r="Z28" s="550"/>
      <c r="AA28" s="543">
        <f t="shared" si="30"/>
        <v>0</v>
      </c>
      <c r="AB28" s="523">
        <f t="shared" si="31"/>
        <v>0</v>
      </c>
      <c r="AC28" s="536"/>
      <c r="AD28" s="550"/>
      <c r="AE28" s="536"/>
      <c r="AF28" s="550"/>
      <c r="AG28" s="543">
        <f t="shared" si="32"/>
        <v>0</v>
      </c>
      <c r="AH28" s="523">
        <f t="shared" si="33"/>
        <v>0</v>
      </c>
      <c r="AI28" s="536"/>
      <c r="AJ28" s="550"/>
      <c r="AK28" s="536"/>
      <c r="AL28" s="550"/>
      <c r="AM28" s="543">
        <f t="shared" si="34"/>
        <v>0</v>
      </c>
      <c r="AN28" s="523">
        <f t="shared" si="35"/>
        <v>0</v>
      </c>
      <c r="AO28" s="536"/>
      <c r="AP28" s="550"/>
      <c r="AQ28" s="536"/>
      <c r="AR28" s="550"/>
      <c r="AS28" s="543">
        <f t="shared" si="36"/>
        <v>0</v>
      </c>
      <c r="AT28" s="523">
        <f t="shared" si="37"/>
        <v>0</v>
      </c>
      <c r="AU28" s="536"/>
      <c r="AV28" s="550"/>
      <c r="AW28" s="536"/>
      <c r="AX28" s="550"/>
      <c r="AY28" s="543">
        <f t="shared" si="38"/>
        <v>0</v>
      </c>
      <c r="AZ28" s="520">
        <f t="shared" si="39"/>
        <v>0</v>
      </c>
      <c r="BA28" s="543">
        <f t="shared" si="40"/>
        <v>0</v>
      </c>
      <c r="BB28" s="520">
        <f t="shared" si="41"/>
        <v>0</v>
      </c>
      <c r="BC28" s="543">
        <f t="shared" si="42"/>
        <v>0</v>
      </c>
      <c r="BD28" s="520">
        <f t="shared" si="43"/>
        <v>0</v>
      </c>
      <c r="BE28" s="537"/>
      <c r="BF28" s="527"/>
      <c r="BG28" s="527"/>
    </row>
    <row r="29" spans="1:60" ht="20.25" customHeight="1">
      <c r="A29" s="511" t="s">
        <v>792</v>
      </c>
      <c r="B29" s="512" t="s">
        <v>579</v>
      </c>
      <c r="C29" s="543">
        <f t="shared" si="22"/>
        <v>0</v>
      </c>
      <c r="D29" s="523">
        <f t="shared" si="23"/>
        <v>0</v>
      </c>
      <c r="E29" s="536"/>
      <c r="F29" s="550"/>
      <c r="G29" s="536"/>
      <c r="H29" s="550"/>
      <c r="I29" s="543">
        <f t="shared" si="24"/>
        <v>0</v>
      </c>
      <c r="J29" s="523">
        <f t="shared" si="25"/>
        <v>0</v>
      </c>
      <c r="K29" s="536"/>
      <c r="L29" s="550"/>
      <c r="M29" s="536"/>
      <c r="N29" s="550"/>
      <c r="O29" s="543">
        <f t="shared" si="26"/>
        <v>0</v>
      </c>
      <c r="P29" s="523">
        <f t="shared" si="27"/>
        <v>0</v>
      </c>
      <c r="Q29" s="536"/>
      <c r="R29" s="550"/>
      <c r="S29" s="536"/>
      <c r="T29" s="550"/>
      <c r="U29" s="543">
        <f t="shared" si="28"/>
        <v>0</v>
      </c>
      <c r="V29" s="523">
        <f t="shared" si="29"/>
        <v>0</v>
      </c>
      <c r="W29" s="536"/>
      <c r="X29" s="550"/>
      <c r="Y29" s="536"/>
      <c r="Z29" s="550"/>
      <c r="AA29" s="543">
        <f t="shared" si="30"/>
        <v>0</v>
      </c>
      <c r="AB29" s="523">
        <f t="shared" si="31"/>
        <v>0</v>
      </c>
      <c r="AC29" s="536"/>
      <c r="AD29" s="550"/>
      <c r="AE29" s="536"/>
      <c r="AF29" s="550"/>
      <c r="AG29" s="543">
        <f t="shared" si="32"/>
        <v>0</v>
      </c>
      <c r="AH29" s="523">
        <f t="shared" si="33"/>
        <v>0</v>
      </c>
      <c r="AI29" s="536"/>
      <c r="AJ29" s="550"/>
      <c r="AK29" s="536"/>
      <c r="AL29" s="550"/>
      <c r="AM29" s="543">
        <f t="shared" si="34"/>
        <v>0</v>
      </c>
      <c r="AN29" s="523">
        <f t="shared" si="35"/>
        <v>0</v>
      </c>
      <c r="AO29" s="536"/>
      <c r="AP29" s="550"/>
      <c r="AQ29" s="536"/>
      <c r="AR29" s="550"/>
      <c r="AS29" s="543">
        <f t="shared" si="36"/>
        <v>0</v>
      </c>
      <c r="AT29" s="523">
        <f t="shared" si="37"/>
        <v>0</v>
      </c>
      <c r="AU29" s="536"/>
      <c r="AV29" s="550"/>
      <c r="AW29" s="536"/>
      <c r="AX29" s="550"/>
      <c r="AY29" s="543">
        <f t="shared" si="38"/>
        <v>0</v>
      </c>
      <c r="AZ29" s="520">
        <f t="shared" si="39"/>
        <v>0</v>
      </c>
      <c r="BA29" s="543">
        <f t="shared" si="40"/>
        <v>0</v>
      </c>
      <c r="BB29" s="520">
        <f t="shared" si="41"/>
        <v>0</v>
      </c>
      <c r="BC29" s="543">
        <f t="shared" si="42"/>
        <v>0</v>
      </c>
      <c r="BD29" s="520">
        <f t="shared" si="43"/>
        <v>0</v>
      </c>
      <c r="BE29" s="537"/>
      <c r="BF29" s="527"/>
      <c r="BG29" s="527"/>
    </row>
    <row r="30" spans="1:60" ht="20.25" customHeight="1">
      <c r="A30" s="511" t="s">
        <v>55</v>
      </c>
      <c r="B30" s="512" t="s">
        <v>336</v>
      </c>
      <c r="C30" s="543">
        <f t="shared" si="22"/>
        <v>0</v>
      </c>
      <c r="D30" s="523">
        <f t="shared" si="23"/>
        <v>0</v>
      </c>
      <c r="E30" s="543">
        <f>+E31+E32</f>
        <v>0</v>
      </c>
      <c r="F30" s="551">
        <f>IFERROR(((E31*F31)/E30)+((E32*F32)/E30),0)</f>
        <v>0</v>
      </c>
      <c r="G30" s="543">
        <f>+G31+G32</f>
        <v>0</v>
      </c>
      <c r="H30" s="551">
        <f>IFERROR(((G31*H31)/G30)+((G32*H32)/G30),0)</f>
        <v>0</v>
      </c>
      <c r="I30" s="543">
        <f t="shared" si="24"/>
        <v>9547130</v>
      </c>
      <c r="J30" s="523">
        <f t="shared" si="25"/>
        <v>0.13524289863501401</v>
      </c>
      <c r="K30" s="543">
        <f>+K31+K32</f>
        <v>9547130</v>
      </c>
      <c r="L30" s="551">
        <f>IFERROR(((K31*L31)/K30)+((K32*L32)/K30),0)</f>
        <v>0.13524289863501401</v>
      </c>
      <c r="M30" s="543">
        <f>+M31+M32</f>
        <v>0</v>
      </c>
      <c r="N30" s="551">
        <f>IFERROR(((M31*N31)/M30)+((M32*N32)/M30),0)</f>
        <v>0</v>
      </c>
      <c r="O30" s="543">
        <f t="shared" si="26"/>
        <v>452354</v>
      </c>
      <c r="P30" s="523">
        <f t="shared" si="27"/>
        <v>0.13500000000000001</v>
      </c>
      <c r="Q30" s="543">
        <f>+Q31+Q32</f>
        <v>452354</v>
      </c>
      <c r="R30" s="551">
        <f>IFERROR(((Q31*R31)/Q30)+((Q32*R32)/Q30),0)</f>
        <v>0.13500000000000001</v>
      </c>
      <c r="S30" s="543">
        <f>+S31+S32</f>
        <v>0</v>
      </c>
      <c r="T30" s="551">
        <f>IFERROR(((S31*T31)/S30)+((S32*T32)/S30),0)</f>
        <v>0</v>
      </c>
      <c r="U30" s="543">
        <f t="shared" si="28"/>
        <v>21833491</v>
      </c>
      <c r="V30" s="523">
        <f t="shared" si="29"/>
        <v>0.13539542843784105</v>
      </c>
      <c r="W30" s="543">
        <f>+W31+W32</f>
        <v>21833491</v>
      </c>
      <c r="X30" s="551">
        <f>IFERROR(((W31*X31)/W30)+((W32*X32)/W30),0)</f>
        <v>0.13539542843784105</v>
      </c>
      <c r="Y30" s="543">
        <f>+Y31+Y32</f>
        <v>0</v>
      </c>
      <c r="Z30" s="551">
        <f>IFERROR(((Y31*Z31)/Y30)+((Y32*Z32)/Y30),0)</f>
        <v>0</v>
      </c>
      <c r="AA30" s="543">
        <f t="shared" si="30"/>
        <v>5333804</v>
      </c>
      <c r="AB30" s="523">
        <f t="shared" si="31"/>
        <v>0.13654355338814006</v>
      </c>
      <c r="AC30" s="543">
        <f>+AC31+AC32</f>
        <v>5333804</v>
      </c>
      <c r="AD30" s="551">
        <f>IFERROR(((AC31*AD31)/AC30)+((AC32*AD32)/AC30),0)</f>
        <v>0.13654355338814006</v>
      </c>
      <c r="AE30" s="543">
        <f>+AE31+AE32</f>
        <v>0</v>
      </c>
      <c r="AF30" s="551">
        <f>IFERROR(((AE31*AF31)/AE30)+((AE32*AF32)/AE30),0)</f>
        <v>0</v>
      </c>
      <c r="AG30" s="543">
        <f t="shared" si="32"/>
        <v>13555261</v>
      </c>
      <c r="AH30" s="523">
        <f t="shared" si="33"/>
        <v>0.13332905096817294</v>
      </c>
      <c r="AI30" s="543">
        <f>+AI31+AI32</f>
        <v>13555261</v>
      </c>
      <c r="AJ30" s="551">
        <f>IFERROR(((AI31*AJ31)/AI30)+((AI32*AJ32)/AI30),0)</f>
        <v>0.13332905096817294</v>
      </c>
      <c r="AK30" s="543">
        <f>+AK31+AK32</f>
        <v>0</v>
      </c>
      <c r="AL30" s="551">
        <f>IFERROR(((AK31*AL31)/AK30)+((AK32*AL32)/AK30),0)</f>
        <v>0</v>
      </c>
      <c r="AM30" s="543">
        <f t="shared" si="34"/>
        <v>35651005</v>
      </c>
      <c r="AN30" s="523">
        <f t="shared" si="35"/>
        <v>0.13152301818642451</v>
      </c>
      <c r="AO30" s="543">
        <f>+AO31+AO32</f>
        <v>35651005</v>
      </c>
      <c r="AP30" s="551">
        <f>IFERROR(((AO31*AP31)/AO30)+((AO32*AP32)/AO30),0)</f>
        <v>0.13152301818642451</v>
      </c>
      <c r="AQ30" s="543">
        <f>+AQ31+AQ32</f>
        <v>0</v>
      </c>
      <c r="AR30" s="551">
        <f>IFERROR(((AQ31*AR31)/AQ30)+((AQ32*AR32)/AQ30),0)</f>
        <v>0</v>
      </c>
      <c r="AS30" s="543">
        <f t="shared" si="36"/>
        <v>1527420871</v>
      </c>
      <c r="AT30" s="523">
        <f t="shared" si="37"/>
        <v>0.12066466454541241</v>
      </c>
      <c r="AU30" s="543">
        <f>+AU31+AU32</f>
        <v>1527420871</v>
      </c>
      <c r="AV30" s="551">
        <f>IFERROR(((AU31*AV31)/AU30)+((AU32*AV32)/AU30),0)</f>
        <v>0.12066466454541241</v>
      </c>
      <c r="AW30" s="543">
        <f>+AW31+AW32</f>
        <v>0</v>
      </c>
      <c r="AX30" s="551">
        <f>IFERROR(((AW31*AX31)/AW30)+((AW32*AX32)/AW30),0)</f>
        <v>0</v>
      </c>
      <c r="AY30" s="543">
        <f t="shared" si="38"/>
        <v>1613793916</v>
      </c>
      <c r="AZ30" s="520">
        <f t="shared" si="39"/>
        <v>0.12135295819700671</v>
      </c>
      <c r="BA30" s="543">
        <f t="shared" si="40"/>
        <v>1613793916</v>
      </c>
      <c r="BB30" s="520">
        <f t="shared" si="41"/>
        <v>0.12135295819700671</v>
      </c>
      <c r="BC30" s="543">
        <f t="shared" si="42"/>
        <v>0</v>
      </c>
      <c r="BD30" s="520">
        <f t="shared" si="43"/>
        <v>0</v>
      </c>
      <c r="BE30" s="537"/>
      <c r="BF30" s="527"/>
      <c r="BG30" s="527"/>
      <c r="BH30" s="538"/>
    </row>
    <row r="31" spans="1:60" ht="20.25" customHeight="1">
      <c r="A31" s="511" t="s">
        <v>760</v>
      </c>
      <c r="B31" s="512" t="s">
        <v>761</v>
      </c>
      <c r="C31" s="543">
        <f t="shared" si="22"/>
        <v>0</v>
      </c>
      <c r="D31" s="523">
        <f t="shared" si="23"/>
        <v>0</v>
      </c>
      <c r="E31" s="536"/>
      <c r="F31" s="550"/>
      <c r="G31" s="536"/>
      <c r="H31" s="550"/>
      <c r="I31" s="543">
        <f t="shared" si="24"/>
        <v>0</v>
      </c>
      <c r="J31" s="523">
        <f t="shared" si="25"/>
        <v>0</v>
      </c>
      <c r="K31" s="536"/>
      <c r="L31" s="550"/>
      <c r="M31" s="536"/>
      <c r="N31" s="550"/>
      <c r="O31" s="543">
        <f t="shared" si="26"/>
        <v>0</v>
      </c>
      <c r="P31" s="523">
        <f t="shared" si="27"/>
        <v>0</v>
      </c>
      <c r="Q31" s="536"/>
      <c r="R31" s="550"/>
      <c r="S31" s="536"/>
      <c r="T31" s="550"/>
      <c r="U31" s="543">
        <f t="shared" si="28"/>
        <v>0</v>
      </c>
      <c r="V31" s="523">
        <f t="shared" si="29"/>
        <v>0</v>
      </c>
      <c r="W31" s="536"/>
      <c r="X31" s="550"/>
      <c r="Y31" s="536"/>
      <c r="Z31" s="550"/>
      <c r="AA31" s="543">
        <f t="shared" si="30"/>
        <v>0</v>
      </c>
      <c r="AB31" s="523">
        <f t="shared" si="31"/>
        <v>0</v>
      </c>
      <c r="AC31" s="536"/>
      <c r="AD31" s="550"/>
      <c r="AE31" s="536"/>
      <c r="AF31" s="550"/>
      <c r="AG31" s="543">
        <f t="shared" si="32"/>
        <v>0</v>
      </c>
      <c r="AH31" s="523">
        <f t="shared" si="33"/>
        <v>0</v>
      </c>
      <c r="AI31" s="536"/>
      <c r="AJ31" s="550"/>
      <c r="AK31" s="536"/>
      <c r="AL31" s="550"/>
      <c r="AM31" s="543">
        <f t="shared" si="34"/>
        <v>0</v>
      </c>
      <c r="AN31" s="523">
        <f t="shared" si="35"/>
        <v>0</v>
      </c>
      <c r="AO31" s="536"/>
      <c r="AP31" s="550"/>
      <c r="AQ31" s="536"/>
      <c r="AR31" s="550"/>
      <c r="AS31" s="543">
        <f t="shared" si="36"/>
        <v>0</v>
      </c>
      <c r="AT31" s="523">
        <f t="shared" si="37"/>
        <v>0</v>
      </c>
      <c r="AU31" s="536"/>
      <c r="AV31" s="550"/>
      <c r="AW31" s="536"/>
      <c r="AX31" s="550"/>
      <c r="AY31" s="543">
        <f t="shared" si="38"/>
        <v>0</v>
      </c>
      <c r="AZ31" s="520">
        <f t="shared" si="39"/>
        <v>0</v>
      </c>
      <c r="BA31" s="543">
        <f t="shared" si="40"/>
        <v>0</v>
      </c>
      <c r="BB31" s="520">
        <f t="shared" si="41"/>
        <v>0</v>
      </c>
      <c r="BC31" s="543">
        <f t="shared" si="42"/>
        <v>0</v>
      </c>
      <c r="BD31" s="520">
        <f t="shared" si="43"/>
        <v>0</v>
      </c>
      <c r="BE31" s="537"/>
      <c r="BF31" s="527"/>
      <c r="BG31" s="527"/>
      <c r="BH31" s="538"/>
    </row>
    <row r="32" spans="1:60" ht="20.25" customHeight="1">
      <c r="A32" s="511" t="s">
        <v>775</v>
      </c>
      <c r="B32" s="512" t="s">
        <v>762</v>
      </c>
      <c r="C32" s="543">
        <f t="shared" si="22"/>
        <v>0</v>
      </c>
      <c r="D32" s="523">
        <f t="shared" si="23"/>
        <v>0</v>
      </c>
      <c r="E32" s="536"/>
      <c r="F32" s="550"/>
      <c r="G32" s="536"/>
      <c r="H32" s="550"/>
      <c r="I32" s="543">
        <f t="shared" si="24"/>
        <v>9547130</v>
      </c>
      <c r="J32" s="523">
        <f t="shared" si="25"/>
        <v>0.13524289863501401</v>
      </c>
      <c r="K32" s="536">
        <v>9547130</v>
      </c>
      <c r="L32" s="550">
        <v>0.13524289863501401</v>
      </c>
      <c r="M32" s="536"/>
      <c r="N32" s="550"/>
      <c r="O32" s="543">
        <f t="shared" si="26"/>
        <v>452354</v>
      </c>
      <c r="P32" s="523">
        <f t="shared" si="27"/>
        <v>0.13500000000000001</v>
      </c>
      <c r="Q32" s="536">
        <v>452354</v>
      </c>
      <c r="R32" s="550">
        <v>0.13500000000000001</v>
      </c>
      <c r="S32" s="536"/>
      <c r="T32" s="550"/>
      <c r="U32" s="543">
        <f t="shared" si="28"/>
        <v>21833491</v>
      </c>
      <c r="V32" s="523">
        <f t="shared" si="29"/>
        <v>0.13539542843784105</v>
      </c>
      <c r="W32" s="536">
        <v>21833491</v>
      </c>
      <c r="X32" s="550">
        <v>0.13539542843784105</v>
      </c>
      <c r="Y32" s="536"/>
      <c r="Z32" s="550"/>
      <c r="AA32" s="543">
        <f t="shared" si="30"/>
        <v>5333804</v>
      </c>
      <c r="AB32" s="523">
        <f t="shared" si="31"/>
        <v>0.13654355338814006</v>
      </c>
      <c r="AC32" s="536">
        <v>5333804</v>
      </c>
      <c r="AD32" s="550">
        <v>0.13654355338814006</v>
      </c>
      <c r="AE32" s="536"/>
      <c r="AF32" s="550"/>
      <c r="AG32" s="543">
        <f t="shared" si="32"/>
        <v>13555261</v>
      </c>
      <c r="AH32" s="523">
        <f t="shared" si="33"/>
        <v>0.13332905096817294</v>
      </c>
      <c r="AI32" s="536">
        <v>13555261</v>
      </c>
      <c r="AJ32" s="550">
        <v>0.13332905096817294</v>
      </c>
      <c r="AK32" s="536"/>
      <c r="AL32" s="550"/>
      <c r="AM32" s="543">
        <f t="shared" si="34"/>
        <v>35651005</v>
      </c>
      <c r="AN32" s="523">
        <f t="shared" si="35"/>
        <v>0.13152301818642451</v>
      </c>
      <c r="AO32" s="536">
        <v>35651005</v>
      </c>
      <c r="AP32" s="550">
        <v>0.13152301818642451</v>
      </c>
      <c r="AQ32" s="536"/>
      <c r="AR32" s="550"/>
      <c r="AS32" s="543">
        <f t="shared" si="36"/>
        <v>1527420871</v>
      </c>
      <c r="AT32" s="523">
        <f t="shared" si="37"/>
        <v>0.12066466454541241</v>
      </c>
      <c r="AU32" s="536">
        <v>1527420871</v>
      </c>
      <c r="AV32" s="550">
        <v>0.1206646645454124</v>
      </c>
      <c r="AW32" s="536"/>
      <c r="AX32" s="550"/>
      <c r="AY32" s="543">
        <f t="shared" si="38"/>
        <v>1613793916</v>
      </c>
      <c r="AZ32" s="520">
        <f t="shared" si="39"/>
        <v>0.12135295819700671</v>
      </c>
      <c r="BA32" s="543">
        <f t="shared" si="40"/>
        <v>1613793916</v>
      </c>
      <c r="BB32" s="520">
        <f t="shared" si="41"/>
        <v>0.12135295819700671</v>
      </c>
      <c r="BC32" s="543">
        <f t="shared" si="42"/>
        <v>0</v>
      </c>
      <c r="BD32" s="520">
        <f t="shared" si="43"/>
        <v>0</v>
      </c>
      <c r="BE32" s="537"/>
      <c r="BF32" s="527"/>
      <c r="BG32" s="527"/>
      <c r="BH32" s="538"/>
    </row>
    <row r="33" spans="1:60" ht="20.25" customHeight="1">
      <c r="A33" s="511" t="s">
        <v>56</v>
      </c>
      <c r="B33" s="512" t="s">
        <v>765</v>
      </c>
      <c r="C33" s="543">
        <f>+C24+C30</f>
        <v>0</v>
      </c>
      <c r="D33" s="523">
        <f>IFERROR(((C24*D24)/C33)+((C30*D30)/C33),0)</f>
        <v>0</v>
      </c>
      <c r="E33" s="543">
        <f>+E24+E30</f>
        <v>0</v>
      </c>
      <c r="F33" s="551">
        <f>IFERROR(((E24*F24)/E33)+((E30*F30)/E33),0)</f>
        <v>0</v>
      </c>
      <c r="G33" s="543">
        <f>+G24+G30</f>
        <v>0</v>
      </c>
      <c r="H33" s="551">
        <f>IFERROR(((G24*H24)/G33)+((G30*H30)/G33),0)</f>
        <v>0</v>
      </c>
      <c r="I33" s="543">
        <f>+I24+I30</f>
        <v>9547130</v>
      </c>
      <c r="J33" s="523">
        <f>IFERROR(((I24*J24)/I33)+((I30*J30)/I33),0)</f>
        <v>0.13524289863501401</v>
      </c>
      <c r="K33" s="543">
        <f>+K24+K30</f>
        <v>9547130</v>
      </c>
      <c r="L33" s="551">
        <f>IFERROR(((K24*L24)/K33)+((K30*L30)/K33),0)</f>
        <v>0.13524289863501401</v>
      </c>
      <c r="M33" s="543">
        <f>+M24+M30</f>
        <v>0</v>
      </c>
      <c r="N33" s="551">
        <f>IFERROR(((M24*N24)/M33)+((M30*N30)/M33),0)</f>
        <v>0</v>
      </c>
      <c r="O33" s="543">
        <f>+O24+O30</f>
        <v>452354</v>
      </c>
      <c r="P33" s="523">
        <f>IFERROR(((O24*P24)/O33)+((O30*P30)/O33),0)</f>
        <v>0.13500000000000001</v>
      </c>
      <c r="Q33" s="543">
        <f>+Q24+Q30</f>
        <v>452354</v>
      </c>
      <c r="R33" s="551">
        <f>IFERROR(((Q24*R24)/Q33)+((Q30*R30)/Q33),0)</f>
        <v>0.13500000000000001</v>
      </c>
      <c r="S33" s="543">
        <f>+S24+S30</f>
        <v>0</v>
      </c>
      <c r="T33" s="551">
        <f>IFERROR(((S24*T24)/S33)+((S30*T30)/S33),0)</f>
        <v>0</v>
      </c>
      <c r="U33" s="543">
        <f>+U24+U30</f>
        <v>21833491</v>
      </c>
      <c r="V33" s="523">
        <f>IFERROR(((U24*V24)/U33)+((U30*V30)/U33),0)</f>
        <v>0.13539542843784105</v>
      </c>
      <c r="W33" s="543">
        <f>+W24+W30</f>
        <v>21833491</v>
      </c>
      <c r="X33" s="551">
        <f>IFERROR(((W24*X24)/W33)+((W30*X30)/W33),0)</f>
        <v>0.13539542843784105</v>
      </c>
      <c r="Y33" s="543">
        <f>+Y24+Y30</f>
        <v>0</v>
      </c>
      <c r="Z33" s="551">
        <f>IFERROR(((Y24*Z24)/Y33)+((Y30*Z30)/Y33),0)</f>
        <v>0</v>
      </c>
      <c r="AA33" s="543">
        <f>+AA24+AA30</f>
        <v>5333804</v>
      </c>
      <c r="AB33" s="523">
        <f>IFERROR(((AA24*AB24)/AA33)+((AA30*AB30)/AA33),0)</f>
        <v>0.13654355338814006</v>
      </c>
      <c r="AC33" s="543">
        <f>+AC24+AC30</f>
        <v>5333804</v>
      </c>
      <c r="AD33" s="551">
        <f>IFERROR(((AC24*AD24)/AC33)+((AC30*AD30)/AC33),0)</f>
        <v>0.13654355338814006</v>
      </c>
      <c r="AE33" s="543">
        <f>+AE24+AE30</f>
        <v>0</v>
      </c>
      <c r="AF33" s="551">
        <f>IFERROR(((AE24*AF24)/AE33)+((AE30*AF30)/AE33),0)</f>
        <v>0</v>
      </c>
      <c r="AG33" s="543">
        <f>+AG24+AG30</f>
        <v>13555261</v>
      </c>
      <c r="AH33" s="523">
        <f>IFERROR(((AG24*AH24)/AG33)+((AG30*AH30)/AG33),0)</f>
        <v>0.13332905096817294</v>
      </c>
      <c r="AI33" s="543">
        <f>+AI24+AI30</f>
        <v>13555261</v>
      </c>
      <c r="AJ33" s="551">
        <f>IFERROR(((AI24*AJ24)/AI33)+((AI30*AJ30)/AI33),0)</f>
        <v>0.13332905096817294</v>
      </c>
      <c r="AK33" s="543">
        <f>+AK24+AK30</f>
        <v>0</v>
      </c>
      <c r="AL33" s="551">
        <f>IFERROR(((AK24*AL24)/AK33)+((AK30*AL30)/AK33),0)</f>
        <v>0</v>
      </c>
      <c r="AM33" s="543">
        <f>+AM24+AM30</f>
        <v>35651005</v>
      </c>
      <c r="AN33" s="523">
        <f>IFERROR(((AM24*AN24)/AM33)+((AM30*AN30)/AM33),0)</f>
        <v>0.13152301818642451</v>
      </c>
      <c r="AO33" s="543">
        <f>+AO24+AO30</f>
        <v>35651005</v>
      </c>
      <c r="AP33" s="551">
        <f>IFERROR(((AO24*AP24)/AO33)+((AO30*AP30)/AO33),0)</f>
        <v>0.13152301818642451</v>
      </c>
      <c r="AQ33" s="543">
        <f>+AQ24+AQ30</f>
        <v>0</v>
      </c>
      <c r="AR33" s="551">
        <f>IFERROR(((AQ24*AR24)/AQ33)+((AQ30*AR30)/AQ33),0)</f>
        <v>0</v>
      </c>
      <c r="AS33" s="543">
        <f>+AS24+AS30</f>
        <v>1527420871</v>
      </c>
      <c r="AT33" s="523">
        <f>IFERROR(((AS24*AT24)/AS33)+((AS30*AT30)/AS33),0)</f>
        <v>0.12066466454541241</v>
      </c>
      <c r="AU33" s="543">
        <f>+AU24+AU30</f>
        <v>1527420871</v>
      </c>
      <c r="AV33" s="551">
        <f>IFERROR(((AU24*AV24)/AU33)+((AU30*AV30)/AU33),0)</f>
        <v>0.12066466454541241</v>
      </c>
      <c r="AW33" s="543">
        <f>+AW24+AW30</f>
        <v>0</v>
      </c>
      <c r="AX33" s="551">
        <f>IFERROR(((AW24*AX24)/AW33)+((AW30*AX30)/AW33),0)</f>
        <v>0</v>
      </c>
      <c r="AY33" s="543">
        <f t="shared" si="38"/>
        <v>1613793916</v>
      </c>
      <c r="AZ33" s="520">
        <f t="shared" si="39"/>
        <v>0.12135295819700671</v>
      </c>
      <c r="BA33" s="543">
        <f t="shared" si="40"/>
        <v>1613793916</v>
      </c>
      <c r="BB33" s="520">
        <f t="shared" si="41"/>
        <v>0.12135295819700671</v>
      </c>
      <c r="BC33" s="543">
        <f t="shared" si="42"/>
        <v>0</v>
      </c>
      <c r="BD33" s="520">
        <f t="shared" si="43"/>
        <v>0</v>
      </c>
      <c r="BE33" s="537"/>
      <c r="BF33" s="527"/>
      <c r="BG33" s="527"/>
      <c r="BH33" s="538"/>
    </row>
    <row r="34" spans="1:60" ht="20.25" customHeight="1">
      <c r="A34" s="511" t="s">
        <v>3</v>
      </c>
      <c r="B34" s="512" t="s">
        <v>766</v>
      </c>
      <c r="C34" s="543">
        <f t="shared" ref="C34:C39" si="44">+E34+G34</f>
        <v>0</v>
      </c>
      <c r="D34" s="523">
        <f t="shared" ref="D34:D39" si="45">IFERROR((((E34*F34)+(G34*H34))/C34),0)</f>
        <v>0</v>
      </c>
      <c r="E34" s="536"/>
      <c r="F34" s="550"/>
      <c r="G34" s="536"/>
      <c r="H34" s="550"/>
      <c r="I34" s="543">
        <f t="shared" ref="I34:I39" si="46">+K34+M34</f>
        <v>0</v>
      </c>
      <c r="J34" s="523">
        <f t="shared" ref="J34:J39" si="47">IFERROR((((K34*L34)+(M34*N34))/I34),0)</f>
        <v>0</v>
      </c>
      <c r="K34" s="536"/>
      <c r="L34" s="550"/>
      <c r="M34" s="536"/>
      <c r="N34" s="550"/>
      <c r="O34" s="543">
        <f t="shared" ref="O34:O39" si="48">+Q34+S34</f>
        <v>0</v>
      </c>
      <c r="P34" s="523">
        <f t="shared" ref="P34:P39" si="49">IFERROR((((Q34*R34)+(S34*T34))/O34),0)</f>
        <v>0</v>
      </c>
      <c r="Q34" s="536"/>
      <c r="R34" s="550"/>
      <c r="S34" s="536"/>
      <c r="T34" s="550"/>
      <c r="U34" s="543">
        <f t="shared" ref="U34:U39" si="50">+W34+Y34</f>
        <v>0</v>
      </c>
      <c r="V34" s="523">
        <f t="shared" ref="V34:V39" si="51">IFERROR((((W34*X34)+(Y34*Z34))/U34),0)</f>
        <v>0</v>
      </c>
      <c r="W34" s="536"/>
      <c r="X34" s="550"/>
      <c r="Y34" s="536"/>
      <c r="Z34" s="550"/>
      <c r="AA34" s="543">
        <f t="shared" ref="AA34:AA39" si="52">+AC34+AE34</f>
        <v>0</v>
      </c>
      <c r="AB34" s="523">
        <f t="shared" ref="AB34:AB39" si="53">IFERROR((((AC34*AD34)+(AE34*AF34))/AA34),0)</f>
        <v>0</v>
      </c>
      <c r="AC34" s="536"/>
      <c r="AD34" s="550"/>
      <c r="AE34" s="536"/>
      <c r="AF34" s="550"/>
      <c r="AG34" s="543">
        <f t="shared" ref="AG34:AG39" si="54">+AI34+AK34</f>
        <v>0</v>
      </c>
      <c r="AH34" s="523">
        <f t="shared" ref="AH34:AH39" si="55">IFERROR((((AI34*AJ34)+(AK34*AL34))/AG34),0)</f>
        <v>0</v>
      </c>
      <c r="AI34" s="536"/>
      <c r="AJ34" s="550"/>
      <c r="AK34" s="536"/>
      <c r="AL34" s="550"/>
      <c r="AM34" s="543">
        <f t="shared" ref="AM34:AM39" si="56">+AO34+AQ34</f>
        <v>0</v>
      </c>
      <c r="AN34" s="523">
        <f t="shared" ref="AN34:AN39" si="57">IFERROR((((AO34*AP34)+(AQ34*AR34))/AM34),0)</f>
        <v>0</v>
      </c>
      <c r="AO34" s="536"/>
      <c r="AP34" s="550"/>
      <c r="AQ34" s="536"/>
      <c r="AR34" s="550"/>
      <c r="AS34" s="543">
        <f t="shared" ref="AS34:AS39" si="58">+AU34+AW34</f>
        <v>0</v>
      </c>
      <c r="AT34" s="523">
        <f t="shared" ref="AT34:AT39" si="59">IFERROR((((AU34*AV34)+(AW34*AX34))/AS34),0)</f>
        <v>0</v>
      </c>
      <c r="AU34" s="536"/>
      <c r="AV34" s="550"/>
      <c r="AW34" s="536"/>
      <c r="AX34" s="550"/>
      <c r="AY34" s="543">
        <f t="shared" si="38"/>
        <v>0</v>
      </c>
      <c r="AZ34" s="520">
        <f t="shared" si="39"/>
        <v>0</v>
      </c>
      <c r="BA34" s="543">
        <f t="shared" si="40"/>
        <v>0</v>
      </c>
      <c r="BB34" s="520">
        <f t="shared" si="41"/>
        <v>0</v>
      </c>
      <c r="BC34" s="543">
        <f t="shared" si="42"/>
        <v>0</v>
      </c>
      <c r="BD34" s="520">
        <f t="shared" si="43"/>
        <v>0</v>
      </c>
      <c r="BE34" s="537"/>
      <c r="BF34" s="527"/>
      <c r="BG34" s="527"/>
      <c r="BH34" s="538"/>
    </row>
    <row r="35" spans="1:60" ht="20.25" customHeight="1">
      <c r="A35" s="511" t="s">
        <v>4</v>
      </c>
      <c r="B35" s="512" t="s">
        <v>767</v>
      </c>
      <c r="C35" s="543">
        <f t="shared" si="44"/>
        <v>0</v>
      </c>
      <c r="D35" s="523">
        <f t="shared" si="45"/>
        <v>0</v>
      </c>
      <c r="E35" s="536"/>
      <c r="F35" s="550"/>
      <c r="G35" s="536"/>
      <c r="H35" s="550"/>
      <c r="I35" s="543">
        <f t="shared" si="46"/>
        <v>0</v>
      </c>
      <c r="J35" s="523">
        <f t="shared" si="47"/>
        <v>0</v>
      </c>
      <c r="K35" s="536"/>
      <c r="L35" s="550"/>
      <c r="M35" s="536"/>
      <c r="N35" s="550"/>
      <c r="O35" s="543">
        <f t="shared" si="48"/>
        <v>0</v>
      </c>
      <c r="P35" s="523">
        <f t="shared" si="49"/>
        <v>0</v>
      </c>
      <c r="Q35" s="536"/>
      <c r="R35" s="550"/>
      <c r="S35" s="536"/>
      <c r="T35" s="550"/>
      <c r="U35" s="543">
        <f t="shared" si="50"/>
        <v>0</v>
      </c>
      <c r="V35" s="523">
        <f t="shared" si="51"/>
        <v>0</v>
      </c>
      <c r="W35" s="536"/>
      <c r="X35" s="550"/>
      <c r="Y35" s="536"/>
      <c r="Z35" s="550"/>
      <c r="AA35" s="543">
        <f t="shared" si="52"/>
        <v>0</v>
      </c>
      <c r="AB35" s="523">
        <f t="shared" si="53"/>
        <v>0</v>
      </c>
      <c r="AC35" s="536"/>
      <c r="AD35" s="550"/>
      <c r="AE35" s="536"/>
      <c r="AF35" s="550"/>
      <c r="AG35" s="543">
        <f t="shared" si="54"/>
        <v>0</v>
      </c>
      <c r="AH35" s="523">
        <f t="shared" si="55"/>
        <v>0</v>
      </c>
      <c r="AI35" s="536"/>
      <c r="AJ35" s="550"/>
      <c r="AK35" s="536"/>
      <c r="AL35" s="550"/>
      <c r="AM35" s="543">
        <f t="shared" si="56"/>
        <v>0</v>
      </c>
      <c r="AN35" s="523">
        <f t="shared" si="57"/>
        <v>0</v>
      </c>
      <c r="AO35" s="536"/>
      <c r="AP35" s="550"/>
      <c r="AQ35" s="536"/>
      <c r="AR35" s="550"/>
      <c r="AS35" s="543">
        <f t="shared" si="58"/>
        <v>0</v>
      </c>
      <c r="AT35" s="523">
        <f t="shared" si="59"/>
        <v>0</v>
      </c>
      <c r="AU35" s="536"/>
      <c r="AV35" s="550"/>
      <c r="AW35" s="536"/>
      <c r="AX35" s="550"/>
      <c r="AY35" s="543">
        <f t="shared" si="38"/>
        <v>0</v>
      </c>
      <c r="AZ35" s="520">
        <f t="shared" si="39"/>
        <v>0</v>
      </c>
      <c r="BA35" s="543">
        <f t="shared" si="40"/>
        <v>0</v>
      </c>
      <c r="BB35" s="520">
        <f t="shared" si="41"/>
        <v>0</v>
      </c>
      <c r="BC35" s="543">
        <f t="shared" si="42"/>
        <v>0</v>
      </c>
      <c r="BD35" s="520">
        <f t="shared" si="43"/>
        <v>0</v>
      </c>
      <c r="BE35" s="537"/>
      <c r="BF35" s="527"/>
      <c r="BG35" s="527"/>
      <c r="BH35" s="538"/>
    </row>
    <row r="36" spans="1:60" ht="20.25" customHeight="1">
      <c r="A36" s="511" t="s">
        <v>2</v>
      </c>
      <c r="B36" s="512" t="s">
        <v>772</v>
      </c>
      <c r="C36" s="543">
        <f t="shared" si="44"/>
        <v>0</v>
      </c>
      <c r="D36" s="523">
        <f t="shared" si="45"/>
        <v>0</v>
      </c>
      <c r="E36" s="536"/>
      <c r="F36" s="550"/>
      <c r="G36" s="536"/>
      <c r="H36" s="550"/>
      <c r="I36" s="543">
        <f t="shared" si="46"/>
        <v>0</v>
      </c>
      <c r="J36" s="523">
        <f t="shared" si="47"/>
        <v>0</v>
      </c>
      <c r="K36" s="536"/>
      <c r="L36" s="550"/>
      <c r="M36" s="536"/>
      <c r="N36" s="550"/>
      <c r="O36" s="543">
        <f t="shared" si="48"/>
        <v>0</v>
      </c>
      <c r="P36" s="523">
        <f t="shared" si="49"/>
        <v>0</v>
      </c>
      <c r="Q36" s="536"/>
      <c r="R36" s="550"/>
      <c r="S36" s="536"/>
      <c r="T36" s="550"/>
      <c r="U36" s="543">
        <f t="shared" si="50"/>
        <v>0</v>
      </c>
      <c r="V36" s="523">
        <f t="shared" si="51"/>
        <v>0</v>
      </c>
      <c r="W36" s="536"/>
      <c r="X36" s="550"/>
      <c r="Y36" s="536"/>
      <c r="Z36" s="550"/>
      <c r="AA36" s="543">
        <f t="shared" si="52"/>
        <v>0</v>
      </c>
      <c r="AB36" s="523">
        <f t="shared" si="53"/>
        <v>0</v>
      </c>
      <c r="AC36" s="536"/>
      <c r="AD36" s="550"/>
      <c r="AE36" s="536"/>
      <c r="AF36" s="550"/>
      <c r="AG36" s="543">
        <f t="shared" si="54"/>
        <v>0</v>
      </c>
      <c r="AH36" s="523">
        <f t="shared" si="55"/>
        <v>0</v>
      </c>
      <c r="AI36" s="536"/>
      <c r="AJ36" s="550"/>
      <c r="AK36" s="536"/>
      <c r="AL36" s="550"/>
      <c r="AM36" s="543">
        <f t="shared" si="56"/>
        <v>0</v>
      </c>
      <c r="AN36" s="523">
        <f t="shared" si="57"/>
        <v>0</v>
      </c>
      <c r="AO36" s="536"/>
      <c r="AP36" s="550"/>
      <c r="AQ36" s="536"/>
      <c r="AR36" s="550"/>
      <c r="AS36" s="543">
        <f t="shared" si="58"/>
        <v>0</v>
      </c>
      <c r="AT36" s="523">
        <f t="shared" si="59"/>
        <v>0</v>
      </c>
      <c r="AU36" s="536"/>
      <c r="AV36" s="550"/>
      <c r="AW36" s="536"/>
      <c r="AX36" s="550"/>
      <c r="AY36" s="543">
        <f t="shared" si="38"/>
        <v>0</v>
      </c>
      <c r="AZ36" s="520">
        <f t="shared" si="39"/>
        <v>0</v>
      </c>
      <c r="BA36" s="543">
        <f t="shared" si="40"/>
        <v>0</v>
      </c>
      <c r="BB36" s="520">
        <f t="shared" si="41"/>
        <v>0</v>
      </c>
      <c r="BC36" s="543">
        <f t="shared" si="42"/>
        <v>0</v>
      </c>
      <c r="BD36" s="520">
        <f t="shared" si="43"/>
        <v>0</v>
      </c>
      <c r="BE36" s="537"/>
      <c r="BF36" s="527"/>
      <c r="BG36" s="527"/>
      <c r="BH36" s="538"/>
    </row>
    <row r="37" spans="1:60" ht="34.5" customHeight="1">
      <c r="A37" s="511" t="s">
        <v>1</v>
      </c>
      <c r="B37" s="512" t="s">
        <v>768</v>
      </c>
      <c r="C37" s="543">
        <f t="shared" si="44"/>
        <v>0</v>
      </c>
      <c r="D37" s="523">
        <f t="shared" si="45"/>
        <v>0</v>
      </c>
      <c r="E37" s="536">
        <v>0</v>
      </c>
      <c r="F37" s="550">
        <v>0</v>
      </c>
      <c r="G37" s="536">
        <v>0</v>
      </c>
      <c r="H37" s="550">
        <v>0</v>
      </c>
      <c r="I37" s="543">
        <f t="shared" si="46"/>
        <v>2372695</v>
      </c>
      <c r="J37" s="523">
        <f t="shared" si="47"/>
        <v>0.15</v>
      </c>
      <c r="K37" s="536">
        <v>2372695</v>
      </c>
      <c r="L37" s="550">
        <v>0.15</v>
      </c>
      <c r="M37" s="536">
        <v>0</v>
      </c>
      <c r="N37" s="550">
        <v>0</v>
      </c>
      <c r="O37" s="543">
        <f t="shared" si="48"/>
        <v>4135955</v>
      </c>
      <c r="P37" s="523">
        <f t="shared" si="49"/>
        <v>0.14892696644675221</v>
      </c>
      <c r="Q37" s="536">
        <v>4135955</v>
      </c>
      <c r="R37" s="550">
        <v>0.14892696644675221</v>
      </c>
      <c r="S37" s="536">
        <v>0</v>
      </c>
      <c r="T37" s="550">
        <v>0</v>
      </c>
      <c r="U37" s="543">
        <f t="shared" si="50"/>
        <v>13555339</v>
      </c>
      <c r="V37" s="523">
        <f t="shared" si="51"/>
        <v>0.14872914379277852</v>
      </c>
      <c r="W37" s="536">
        <v>13555339</v>
      </c>
      <c r="X37" s="550">
        <v>0.14872914379277852</v>
      </c>
      <c r="Y37" s="536">
        <v>0</v>
      </c>
      <c r="Z37" s="550">
        <v>0</v>
      </c>
      <c r="AA37" s="543">
        <f t="shared" si="52"/>
        <v>712716034</v>
      </c>
      <c r="AB37" s="523">
        <f t="shared" si="53"/>
        <v>0.10211832428265136</v>
      </c>
      <c r="AC37" s="536">
        <v>89639700</v>
      </c>
      <c r="AD37" s="550">
        <v>0.1268705864942502</v>
      </c>
      <c r="AE37" s="536">
        <v>623076334</v>
      </c>
      <c r="AF37" s="550">
        <v>9.8557307376865536E-2</v>
      </c>
      <c r="AG37" s="543">
        <f t="shared" si="54"/>
        <v>2268900652</v>
      </c>
      <c r="AH37" s="523">
        <f t="shared" si="55"/>
        <v>0.10504615323739454</v>
      </c>
      <c r="AI37" s="536">
        <v>93517796</v>
      </c>
      <c r="AJ37" s="550">
        <v>0.12759807550310115</v>
      </c>
      <c r="AK37" s="536">
        <v>2175382856</v>
      </c>
      <c r="AL37" s="550">
        <v>0.10407666593081066</v>
      </c>
      <c r="AM37" s="543">
        <f t="shared" si="56"/>
        <v>973218186</v>
      </c>
      <c r="AN37" s="523">
        <f t="shared" si="57"/>
        <v>9.9095340148378841E-2</v>
      </c>
      <c r="AO37" s="536">
        <v>205948933</v>
      </c>
      <c r="AP37" s="550">
        <v>0.1289443417008776</v>
      </c>
      <c r="AQ37" s="536">
        <v>767269253</v>
      </c>
      <c r="AR37" s="550">
        <v>9.1083328723684798E-2</v>
      </c>
      <c r="AS37" s="543">
        <f t="shared" si="58"/>
        <v>2457686123</v>
      </c>
      <c r="AT37" s="523">
        <f t="shared" si="59"/>
        <v>0.11789700903921971</v>
      </c>
      <c r="AU37" s="536">
        <v>1594398621</v>
      </c>
      <c r="AV37" s="550">
        <v>0.12974185427414323</v>
      </c>
      <c r="AW37" s="536">
        <v>863287502</v>
      </c>
      <c r="AX37" s="550">
        <v>9.6020861330874382E-2</v>
      </c>
      <c r="AY37" s="543">
        <f t="shared" si="38"/>
        <v>6432584984</v>
      </c>
      <c r="AZ37" s="520">
        <f t="shared" si="39"/>
        <v>0.1088681794453893</v>
      </c>
      <c r="BA37" s="543">
        <f t="shared" si="40"/>
        <v>2003569039</v>
      </c>
      <c r="BB37" s="520">
        <f t="shared" si="41"/>
        <v>0.1296234088403786</v>
      </c>
      <c r="BC37" s="543">
        <f t="shared" si="42"/>
        <v>4429015945</v>
      </c>
      <c r="BD37" s="520">
        <f t="shared" si="43"/>
        <v>9.9479065581374274E-2</v>
      </c>
      <c r="BE37" s="537"/>
      <c r="BF37" s="527"/>
      <c r="BG37" s="527"/>
      <c r="BH37" s="538"/>
    </row>
    <row r="38" spans="1:60" ht="20.25" customHeight="1">
      <c r="A38" s="511" t="s">
        <v>6</v>
      </c>
      <c r="B38" s="512" t="s">
        <v>769</v>
      </c>
      <c r="C38" s="543">
        <f t="shared" si="44"/>
        <v>0</v>
      </c>
      <c r="D38" s="523">
        <f t="shared" si="45"/>
        <v>0</v>
      </c>
      <c r="E38" s="536"/>
      <c r="F38" s="550"/>
      <c r="G38" s="536"/>
      <c r="H38" s="550"/>
      <c r="I38" s="543">
        <f t="shared" si="46"/>
        <v>0</v>
      </c>
      <c r="J38" s="523">
        <f t="shared" si="47"/>
        <v>0</v>
      </c>
      <c r="K38" s="536"/>
      <c r="L38" s="550"/>
      <c r="M38" s="536"/>
      <c r="N38" s="550"/>
      <c r="O38" s="543">
        <f t="shared" si="48"/>
        <v>0</v>
      </c>
      <c r="P38" s="523">
        <f t="shared" si="49"/>
        <v>0</v>
      </c>
      <c r="Q38" s="536"/>
      <c r="R38" s="550"/>
      <c r="S38" s="536"/>
      <c r="T38" s="550"/>
      <c r="U38" s="543">
        <f t="shared" si="50"/>
        <v>0</v>
      </c>
      <c r="V38" s="523">
        <f t="shared" si="51"/>
        <v>0</v>
      </c>
      <c r="W38" s="536"/>
      <c r="X38" s="550"/>
      <c r="Y38" s="536"/>
      <c r="Z38" s="550"/>
      <c r="AA38" s="543">
        <f t="shared" si="52"/>
        <v>0</v>
      </c>
      <c r="AB38" s="523">
        <f t="shared" si="53"/>
        <v>0</v>
      </c>
      <c r="AC38" s="536"/>
      <c r="AD38" s="550"/>
      <c r="AE38" s="536"/>
      <c r="AF38" s="550"/>
      <c r="AG38" s="543">
        <f t="shared" si="54"/>
        <v>0</v>
      </c>
      <c r="AH38" s="523">
        <f t="shared" si="55"/>
        <v>0</v>
      </c>
      <c r="AI38" s="536"/>
      <c r="AJ38" s="550"/>
      <c r="AK38" s="536"/>
      <c r="AL38" s="550"/>
      <c r="AM38" s="543">
        <f t="shared" si="56"/>
        <v>0</v>
      </c>
      <c r="AN38" s="523">
        <f t="shared" si="57"/>
        <v>0</v>
      </c>
      <c r="AO38" s="536"/>
      <c r="AP38" s="550"/>
      <c r="AQ38" s="536"/>
      <c r="AR38" s="550"/>
      <c r="AS38" s="543">
        <f t="shared" si="58"/>
        <v>0</v>
      </c>
      <c r="AT38" s="523">
        <f t="shared" si="59"/>
        <v>0</v>
      </c>
      <c r="AU38" s="536"/>
      <c r="AV38" s="550"/>
      <c r="AW38" s="536"/>
      <c r="AX38" s="550"/>
      <c r="AY38" s="543">
        <f t="shared" si="38"/>
        <v>0</v>
      </c>
      <c r="AZ38" s="520">
        <f t="shared" si="39"/>
        <v>0</v>
      </c>
      <c r="BA38" s="543">
        <f t="shared" si="40"/>
        <v>0</v>
      </c>
      <c r="BB38" s="520">
        <f t="shared" si="41"/>
        <v>0</v>
      </c>
      <c r="BC38" s="543">
        <f t="shared" si="42"/>
        <v>0</v>
      </c>
      <c r="BD38" s="520">
        <f t="shared" si="43"/>
        <v>0</v>
      </c>
      <c r="BE38" s="537"/>
      <c r="BF38" s="527"/>
      <c r="BG38" s="527"/>
      <c r="BH38" s="538"/>
    </row>
    <row r="39" spans="1:60" ht="20.25" customHeight="1">
      <c r="A39" s="511" t="s">
        <v>5</v>
      </c>
      <c r="B39" s="512" t="s">
        <v>770</v>
      </c>
      <c r="C39" s="543">
        <f t="shared" si="44"/>
        <v>0</v>
      </c>
      <c r="D39" s="523">
        <f t="shared" si="45"/>
        <v>0</v>
      </c>
      <c r="E39" s="536"/>
      <c r="F39" s="550"/>
      <c r="G39" s="536"/>
      <c r="H39" s="550"/>
      <c r="I39" s="543">
        <f t="shared" si="46"/>
        <v>0</v>
      </c>
      <c r="J39" s="523">
        <f t="shared" si="47"/>
        <v>0</v>
      </c>
      <c r="K39" s="536"/>
      <c r="L39" s="550"/>
      <c r="M39" s="536"/>
      <c r="N39" s="550"/>
      <c r="O39" s="543">
        <f t="shared" si="48"/>
        <v>0</v>
      </c>
      <c r="P39" s="523">
        <f t="shared" si="49"/>
        <v>0</v>
      </c>
      <c r="Q39" s="536"/>
      <c r="R39" s="550"/>
      <c r="S39" s="536"/>
      <c r="T39" s="550"/>
      <c r="U39" s="543">
        <f t="shared" si="50"/>
        <v>0</v>
      </c>
      <c r="V39" s="523">
        <f t="shared" si="51"/>
        <v>0</v>
      </c>
      <c r="W39" s="536"/>
      <c r="X39" s="550"/>
      <c r="Y39" s="536"/>
      <c r="Z39" s="550"/>
      <c r="AA39" s="543">
        <f t="shared" si="52"/>
        <v>0</v>
      </c>
      <c r="AB39" s="523">
        <f t="shared" si="53"/>
        <v>0</v>
      </c>
      <c r="AC39" s="536"/>
      <c r="AD39" s="550"/>
      <c r="AE39" s="536"/>
      <c r="AF39" s="550"/>
      <c r="AG39" s="543">
        <f t="shared" si="54"/>
        <v>0</v>
      </c>
      <c r="AH39" s="523">
        <f t="shared" si="55"/>
        <v>0</v>
      </c>
      <c r="AI39" s="536"/>
      <c r="AJ39" s="550"/>
      <c r="AK39" s="536"/>
      <c r="AL39" s="550"/>
      <c r="AM39" s="543">
        <f t="shared" si="56"/>
        <v>0</v>
      </c>
      <c r="AN39" s="523">
        <f t="shared" si="57"/>
        <v>0</v>
      </c>
      <c r="AO39" s="536"/>
      <c r="AP39" s="550"/>
      <c r="AQ39" s="536"/>
      <c r="AR39" s="550"/>
      <c r="AS39" s="543">
        <f t="shared" si="58"/>
        <v>563437833</v>
      </c>
      <c r="AT39" s="523">
        <f t="shared" si="59"/>
        <v>0.12534659347236274</v>
      </c>
      <c r="AU39" s="536">
        <v>563437833</v>
      </c>
      <c r="AV39" s="550">
        <v>0.12534659347236274</v>
      </c>
      <c r="AW39" s="536"/>
      <c r="AX39" s="550"/>
      <c r="AY39" s="543">
        <f t="shared" si="38"/>
        <v>563437833</v>
      </c>
      <c r="AZ39" s="520">
        <f t="shared" si="39"/>
        <v>0.12534659347236274</v>
      </c>
      <c r="BA39" s="543">
        <f t="shared" si="40"/>
        <v>563437833</v>
      </c>
      <c r="BB39" s="520">
        <f t="shared" si="41"/>
        <v>0.12534659347236274</v>
      </c>
      <c r="BC39" s="543">
        <f t="shared" si="42"/>
        <v>0</v>
      </c>
      <c r="BD39" s="520">
        <f t="shared" si="43"/>
        <v>0</v>
      </c>
      <c r="BE39" s="537"/>
      <c r="BF39" s="527"/>
      <c r="BG39" s="527"/>
      <c r="BH39" s="538"/>
    </row>
    <row r="40" spans="1:60" ht="30" customHeight="1">
      <c r="A40" s="514" t="s">
        <v>743</v>
      </c>
      <c r="B40" s="515" t="s">
        <v>771</v>
      </c>
      <c r="C40" s="544">
        <f>SUM(C33+C34+C35+C36+C37+C38+C39)</f>
        <v>0</v>
      </c>
      <c r="D40" s="516">
        <f>IFERROR(((C33*D33)/C40)+((C34*D34)/C40)+((C35*D35)/C40)+((C36*D36)/C40)+((C37*D37)/C40)+((C38*D38)/C40)+((C39*D39)/C40),0)</f>
        <v>0</v>
      </c>
      <c r="E40" s="544">
        <f>SUM(E33+E34+E35+E36+E37+E38+E39)</f>
        <v>0</v>
      </c>
      <c r="F40" s="516">
        <f>IFERROR(((E33*F33)/E40)+((E34*F34)/E40)+((E35*F35)/E40)+((E36*F36)/E40)+((E37*F37)/E40)+((E38*F38)/E40)+((E39*F39)/E40),0)</f>
        <v>0</v>
      </c>
      <c r="G40" s="544">
        <f>SUM(G33+G34+G35+G36+G37+G38+G39)</f>
        <v>0</v>
      </c>
      <c r="H40" s="516">
        <f>IFERROR(((G33*H33)/G40)+((G34*H34)/G40)+((G35*H35)/G40)+((G36*H36)/G40)+((G37*H37)/G40)+((G38*H38)/G40)+((G39*H39)/G40),0)</f>
        <v>0</v>
      </c>
      <c r="I40" s="544">
        <f>SUM(I33+I34+I35+I36+I37+I38+I39)</f>
        <v>11919825</v>
      </c>
      <c r="J40" s="516">
        <f>IFERROR(((I33*J33)/I40)+((I34*J34)/I40)+((I35*J35)/I40)+((I36*J36)/I40)+((I37*J37)/I40)+((I38*J38)/I40)+((I39*J39)/I40),0)</f>
        <v>0.13818036630951389</v>
      </c>
      <c r="K40" s="544">
        <f>SUM(K33+K34+K35+K36+K37+K38+K39)</f>
        <v>11919825</v>
      </c>
      <c r="L40" s="516">
        <f>IFERROR(((K33*L33)/K40)+((K34*L34)/K40)+((K35*L35)/K40)+((K36*L36)/K40)+((K37*L37)/K40)+((K38*L38)/K40)+((K39*L39)/K40),0)</f>
        <v>0.13818036630951389</v>
      </c>
      <c r="M40" s="544">
        <f>SUM(M33+M34+M35+M36+M37+M38+M39)</f>
        <v>0</v>
      </c>
      <c r="N40" s="516">
        <f>IFERROR(((M33*N33)/M40)+((M34*N34)/M40)+((M35*N35)/M40)+((M36*N36)/M40)+((M37*N37)/M40)+((M38*N38)/M40)+((M39*N39)/M40),0)</f>
        <v>0</v>
      </c>
      <c r="O40" s="544">
        <f>SUM(O33+O34+O35+O36+O37+O38+O39)</f>
        <v>4588309</v>
      </c>
      <c r="P40" s="516">
        <f>IFERROR(((O33*P33)/O40)+((O34*P34)/O40)+((O35*P35)/O40)+((O36*P36)/O40)+((O37*P37)/O40)+((O38*P38)/O40)+((O39*P39)/O40),0)</f>
        <v>0.14755392923847915</v>
      </c>
      <c r="Q40" s="544">
        <f>SUM(Q33+Q34+Q35+Q36+Q37+Q38+Q39)</f>
        <v>4588309</v>
      </c>
      <c r="R40" s="516">
        <f>IFERROR(((Q33*R33)/Q40)+((Q34*R34)/Q40)+((Q35*R35)/Q40)+((Q36*R36)/Q40)+((Q37*R37)/Q40)+((Q38*R38)/Q40)+((Q39*R39)/Q40),0)</f>
        <v>0.14755392923847915</v>
      </c>
      <c r="S40" s="544">
        <f>SUM(S33+S34+S35+S36+S37+S38+S39)</f>
        <v>0</v>
      </c>
      <c r="T40" s="516">
        <f>IFERROR(((S33*T33)/S40)+((S34*T34)/S40)+((S35*T35)/S40)+((S36*T36)/S40)+((S37*T37)/S40)+((S38*T38)/S40)+((S39*T39)/S40),0)</f>
        <v>0</v>
      </c>
      <c r="U40" s="544">
        <f>SUM(U33+U34+U35+U36+U37+U38+U39)</f>
        <v>35388830</v>
      </c>
      <c r="V40" s="516">
        <f>IFERROR(((U33*V33)/U40)+((U34*V34)/U40)+((U35*V35)/U40)+((U36*V36)/U40)+((U37*V37)/U40)+((U38*V38)/U40)+((U39*V39)/U40),0)</f>
        <v>0.14050277535396355</v>
      </c>
      <c r="W40" s="544">
        <f>SUM(W33+W34+W35+W36+W37+W38+W39)</f>
        <v>35388830</v>
      </c>
      <c r="X40" s="516">
        <f>IFERROR(((W33*X33)/W40)+((W34*X34)/W40)+((W35*X35)/W40)+((W36*X36)/W40)+((W37*X37)/W40)+((W38*X38)/W40)+((W39*X39)/W40),0)</f>
        <v>0.14050277535396355</v>
      </c>
      <c r="Y40" s="544">
        <f>SUM(Y33+Y34+Y35+Y36+Y37+Y38+Y39)</f>
        <v>0</v>
      </c>
      <c r="Z40" s="516">
        <f>IFERROR(((Y33*Z33)/Y40)+((Y34*Z34)/Y40)+((Y35*Z35)/Y40)+((Y36*Z36)/Y40)+((Y37*Z37)/Y40)+((Y38*Z38)/Y40)+((Y39*Z39)/Y40),0)</f>
        <v>0</v>
      </c>
      <c r="AA40" s="544">
        <f>SUM(AA33+AA34+AA35+AA36+AA37+AA38+AA39)</f>
        <v>718049838</v>
      </c>
      <c r="AB40" s="516">
        <f>IFERROR(((AA33*AB33)/AA40)+((AA34*AB34)/AA40)+((AA35*AB35)/AA40)+((AA36*AB36)/AA40)+((AA37*AB37)/AA40)+((AA38*AB38)/AA40)+((AA39*AB39)/AA40),0)</f>
        <v>0.10237404110756591</v>
      </c>
      <c r="AC40" s="544">
        <f>SUM(AC33+AC34+AC35+AC36+AC37+AC38+AC39)</f>
        <v>94973504</v>
      </c>
      <c r="AD40" s="516">
        <f>IFERROR(((AC33*AD33)/AC40)+((AC34*AD34)/AC40)+((AC35*AD35)/AC40)+((AC36*AD36)/AC40)+((AC37*AD37)/AC40)+((AC38*AD38)/AC40)+((AC39*AD39)/AC40),0)</f>
        <v>0.1274138296866936</v>
      </c>
      <c r="AE40" s="544">
        <f>SUM(AE33+AE34+AE35+AE36+AE37+AE38+AE39)</f>
        <v>623076334</v>
      </c>
      <c r="AF40" s="516">
        <f>IFERROR(((AE33*AF33)/AE40)+((AE34*AF34)/AE40)+((AE35*AF35)/AE40)+((AE36*AF36)/AE40)+((AE37*AF37)/AE40)+((AE38*AF38)/AE40)+((AE39*AF39)/AE40),0)</f>
        <v>9.8557307376865536E-2</v>
      </c>
      <c r="AG40" s="544">
        <f>SUM(AG33+AG34+AG35+AG36+AG37+AG38+AG39)</f>
        <v>2282455913</v>
      </c>
      <c r="AH40" s="516">
        <f>IFERROR(((AG33*AH33)/AG40)+((AG34*AH34)/AG40)+((AG35*AH35)/AG40)+((AG36*AH36)/AG40)+((AG37*AH37)/AG40)+((AG38*AH38)/AG40)+((AG39*AH39)/AG40),0)</f>
        <v>0.10521412233523929</v>
      </c>
      <c r="AI40" s="544">
        <f>SUM(AI33+AI34+AI35+AI36+AI37+AI38+AI39)</f>
        <v>107073057</v>
      </c>
      <c r="AJ40" s="516">
        <f>IFERROR(((AI33*AJ33)/AI40)+((AI34*AJ34)/AI40)+((AI35*AJ35)/AI40)+((AI36*AJ36)/AI40)+((AI37*AJ37)/AI40)+((AI38*AJ38)/AI40)+((AI39*AJ39)/AI40),0)</f>
        <v>0.12832360693360514</v>
      </c>
      <c r="AK40" s="544">
        <f>SUM(AK33+AK34+AK35+AK36+AK37+AK38+AK39)</f>
        <v>2175382856</v>
      </c>
      <c r="AL40" s="516">
        <f>IFERROR(((AK33*AL33)/AK40)+((AK34*AL34)/AK40)+((AK35*AL35)/AK40)+((AK36*AL36)/AK40)+((AK37*AL37)/AK40)+((AK38*AL38)/AK40)+((AK39*AL39)/AK40),0)</f>
        <v>0.10407666593081066</v>
      </c>
      <c r="AM40" s="544">
        <f>SUM(AM33+AM34+AM35+AM36+AM37+AM38+AM39)</f>
        <v>1008869191</v>
      </c>
      <c r="AN40" s="516">
        <f>IFERROR(((AM33*AN33)/AM40)+((AM34*AN34)/AM40)+((AM35*AN35)/AM40)+((AM36*AN36)/AM40)+((AM37*AN37)/AM40)+((AM38*AN38)/AM40)+((AM39*AN39)/AM40),0)</f>
        <v>0.10024125611269415</v>
      </c>
      <c r="AO40" s="544">
        <f>SUM(AO33+AO34+AO35+AO36+AO37+AO38+AO39)</f>
        <v>241599938</v>
      </c>
      <c r="AP40" s="516">
        <f>IFERROR(((AO33*AP33)/AO40)+((AO34*AP34)/AO40)+((AO35*AP35)/AO40)+((AO36*AP36)/AO40)+((AO37*AP37)/AO40)+((AO38*AP38)/AO40)+((AO39*AP39)/AO40),0)</f>
        <v>0.1293248567334585</v>
      </c>
      <c r="AQ40" s="544">
        <f>SUM(AQ33+AQ34+AQ35+AQ36+AQ37+AQ38+AQ39)</f>
        <v>767269253</v>
      </c>
      <c r="AR40" s="516">
        <f>IFERROR(((AQ33*AR33)/AQ40)+((AQ34*AR34)/AQ40)+((AQ35*AR35)/AQ40)+((AQ36*AR36)/AQ40)+((AQ37*AR37)/AQ40)+((AQ38*AR38)/AQ40)+((AQ39*AR39)/AQ40),0)</f>
        <v>9.1083328723684812E-2</v>
      </c>
      <c r="AS40" s="544">
        <f>SUM(AS33+AS34+AS35+AS36+AS37+AS38+AS39)</f>
        <v>4548544827</v>
      </c>
      <c r="AT40" s="516">
        <f>IFERROR(((AS33*AT33)/AS40)+((AS34*AT34)/AS40)+((AS35*AT35)/AS40)+((AS36*AT36)/AS40)+((AS37*AT37)/AS40)+((AS38*AT38)/AS40)+((AS39*AT39)/AS40),0)</f>
        <v>0.1197491953568412</v>
      </c>
      <c r="AU40" s="544">
        <f>SUM(AU33+AU34+AU35+AU36+AU37+AU38+AU39)</f>
        <v>3685257325</v>
      </c>
      <c r="AV40" s="516">
        <f>IFERROR(((AU33*AV33)/AU40)+((AU34*AV34)/AU40)+((AU35*AV35)/AU40)+((AU36*AV36)/AU40)+((AU37*AV37)/AU40)+((AU38*AV38)/AU40)+((AU39*AV39)/AU40),0)</f>
        <v>0.12530766045205638</v>
      </c>
      <c r="AW40" s="544">
        <f>SUM(AW33+AW34+AW35+AW36+AW37+AW38+AW39)</f>
        <v>863287502</v>
      </c>
      <c r="AX40" s="516">
        <f>IFERROR(((AW33*AX33)/AW40)+((AW34*AX34)/AW40)+((AW35*AX35)/AW40)+((AW36*AX36)/AW40)+((AW37*AX37)/AW40)+((AW38*AX38)/AW40)+((AW39*AX39)/AW40),0)</f>
        <v>9.6020861330874369E-2</v>
      </c>
      <c r="AY40" s="544">
        <f>SUM(AY33+AY34+AY35+AY36+AY37+AY38+AY39)</f>
        <v>8609816733</v>
      </c>
      <c r="AZ40" s="516">
        <f>IFERROR(((AY33*AZ33)/AY40)+((AY34*AZ34)/AY40)+((AY35*AZ35)/AY40)+((AY36*AZ36)/AY40)+((AY37*AZ37)/AY40)+((AY38*AZ38)/AY40)+((AY39*AZ39)/AY40),0)</f>
        <v>0.11228665196290427</v>
      </c>
      <c r="BA40" s="544">
        <f>SUM(BA33+BA34+BA35+BA36+BA37+BA38+BA39)</f>
        <v>4180800788</v>
      </c>
      <c r="BB40" s="516">
        <f>IFERROR(((BA33*BB33)/BA40)+((BA34*BB34)/BA40)+((BA35*BB35)/BA40)+((BA36*BB36)/BA40)+((BA37*BB37)/BA40)+((BA38*BB38)/BA40)+((BA39*BB39)/BA40),0)</f>
        <v>0.12585462785488577</v>
      </c>
      <c r="BC40" s="544">
        <f>SUM(BC33+BC34+BC35+BC36+BC37+BC38+BC39)</f>
        <v>4429015945</v>
      </c>
      <c r="BD40" s="516">
        <f>IFERROR(((BC33*BD33)/BC40)+((BC34*BD34)/BC40)+((BC35*BD35)/BC40)+((BC36*BD36)/BC40)+((BC37*BD37)/BC40)+((BC38*BD38)/BC40)+((BC39*BD39)/BC40),0)</f>
        <v>9.9479065581374274E-2</v>
      </c>
      <c r="BF40" s="527"/>
      <c r="BG40" s="527"/>
      <c r="BH40" s="538"/>
    </row>
    <row r="41" spans="1:60" s="537" customFormat="1">
      <c r="A41" s="545"/>
      <c r="B41" s="546"/>
      <c r="D41" s="547"/>
      <c r="F41" s="547"/>
      <c r="H41" s="547"/>
      <c r="J41" s="547"/>
      <c r="L41" s="547"/>
      <c r="N41" s="547"/>
      <c r="P41" s="547"/>
      <c r="R41" s="547"/>
      <c r="T41" s="547"/>
      <c r="V41" s="547"/>
      <c r="X41" s="547"/>
      <c r="Z41" s="547"/>
      <c r="AB41" s="547"/>
      <c r="AD41" s="547"/>
      <c r="AF41" s="547"/>
      <c r="AH41" s="547"/>
      <c r="AJ41" s="547"/>
      <c r="AL41" s="547"/>
      <c r="AN41" s="547"/>
      <c r="AP41" s="547"/>
      <c r="AR41" s="547"/>
      <c r="AT41" s="547"/>
      <c r="AV41" s="547"/>
      <c r="AX41" s="547"/>
      <c r="AZ41" s="547"/>
      <c r="BB41" s="547"/>
      <c r="BD41" s="547"/>
      <c r="BH41" s="538"/>
    </row>
    <row r="42" spans="1:60" s="537" customFormat="1" ht="15" customHeight="1">
      <c r="B42" s="542" t="s">
        <v>690</v>
      </c>
      <c r="D42" s="547"/>
      <c r="F42" s="547"/>
      <c r="H42" s="547"/>
      <c r="J42" s="547"/>
      <c r="L42" s="547"/>
      <c r="N42" s="547"/>
      <c r="P42" s="547"/>
      <c r="R42" s="547"/>
      <c r="T42" s="547"/>
      <c r="V42" s="547"/>
      <c r="X42" s="547"/>
      <c r="Z42" s="547"/>
      <c r="AB42" s="547"/>
      <c r="AD42" s="547"/>
      <c r="AF42" s="547"/>
      <c r="AH42" s="547"/>
      <c r="AJ42" s="547"/>
      <c r="AL42" s="547"/>
      <c r="AN42" s="547"/>
      <c r="AP42" s="547"/>
      <c r="AR42" s="547"/>
      <c r="AT42" s="547"/>
      <c r="AV42" s="547"/>
      <c r="AX42" s="547"/>
      <c r="AZ42" s="547"/>
      <c r="BB42" s="547"/>
      <c r="BD42" s="547"/>
    </row>
    <row r="43" spans="1:60" s="537" customFormat="1" ht="11.25" customHeight="1">
      <c r="B43" s="542"/>
      <c r="D43" s="547"/>
      <c r="F43" s="547"/>
      <c r="H43" s="547"/>
      <c r="J43" s="547"/>
      <c r="L43" s="547"/>
      <c r="N43" s="547"/>
      <c r="P43" s="547"/>
      <c r="R43" s="547"/>
      <c r="T43" s="547"/>
      <c r="V43" s="547"/>
      <c r="X43" s="547"/>
      <c r="Z43" s="547"/>
      <c r="AB43" s="547"/>
      <c r="AD43" s="547"/>
      <c r="AF43" s="547"/>
      <c r="AH43" s="547"/>
      <c r="AJ43" s="547"/>
      <c r="AL43" s="547"/>
      <c r="AN43" s="547"/>
      <c r="AP43" s="547"/>
      <c r="AR43" s="547"/>
      <c r="AT43" s="547"/>
      <c r="AV43" s="547"/>
      <c r="AX43" s="547"/>
      <c r="AZ43" s="547"/>
      <c r="BB43" s="547"/>
      <c r="BD43" s="547"/>
    </row>
    <row r="44" spans="1:60" s="537" customFormat="1" ht="15" customHeight="1">
      <c r="B44" s="542" t="s">
        <v>691</v>
      </c>
      <c r="D44" s="547"/>
      <c r="F44" s="547"/>
      <c r="H44" s="547"/>
      <c r="J44" s="547"/>
      <c r="L44" s="547"/>
      <c r="N44" s="547"/>
      <c r="P44" s="547"/>
      <c r="R44" s="547"/>
      <c r="T44" s="547"/>
      <c r="V44" s="547"/>
      <c r="X44" s="547"/>
      <c r="Z44" s="547"/>
      <c r="AB44" s="547"/>
      <c r="AD44" s="547"/>
      <c r="AF44" s="547"/>
      <c r="AH44" s="547"/>
      <c r="AJ44" s="547"/>
      <c r="AL44" s="547"/>
      <c r="AN44" s="547"/>
      <c r="AP44" s="547"/>
      <c r="AR44" s="547"/>
      <c r="AT44" s="547"/>
      <c r="AV44" s="547"/>
      <c r="AX44" s="547"/>
      <c r="AZ44" s="547"/>
      <c r="BB44" s="547"/>
      <c r="BD44" s="547"/>
    </row>
    <row r="45" spans="1:60" s="537" customFormat="1">
      <c r="A45" s="545"/>
      <c r="B45" s="546"/>
      <c r="D45" s="547"/>
      <c r="F45" s="547"/>
      <c r="H45" s="547"/>
      <c r="J45" s="547"/>
      <c r="L45" s="547"/>
      <c r="N45" s="547"/>
      <c r="P45" s="547"/>
      <c r="R45" s="547"/>
      <c r="T45" s="547"/>
      <c r="V45" s="547"/>
      <c r="X45" s="547"/>
      <c r="Z45" s="547"/>
      <c r="AB45" s="547"/>
      <c r="AD45" s="547"/>
      <c r="AF45" s="547"/>
      <c r="AH45" s="547"/>
      <c r="AJ45" s="547"/>
      <c r="AL45" s="547"/>
      <c r="AN45" s="547"/>
      <c r="AP45" s="547"/>
      <c r="AR45" s="547"/>
      <c r="AT45" s="547"/>
      <c r="AV45" s="547"/>
      <c r="AX45" s="547"/>
      <c r="AZ45" s="547"/>
      <c r="BB45" s="547"/>
      <c r="BD45" s="547"/>
    </row>
  </sheetData>
  <sheetProtection password="CACA" sheet="1" objects="1" scenarios="1"/>
  <mergeCells count="40">
    <mergeCell ref="A4:A6"/>
    <mergeCell ref="B4:B6"/>
    <mergeCell ref="C4:H4"/>
    <mergeCell ref="I4:N4"/>
    <mergeCell ref="O4:T4"/>
    <mergeCell ref="D5:D6"/>
    <mergeCell ref="E5:H5"/>
    <mergeCell ref="I5:I6"/>
    <mergeCell ref="J5:J6"/>
    <mergeCell ref="K5:N5"/>
    <mergeCell ref="O5:O6"/>
    <mergeCell ref="P5:P6"/>
    <mergeCell ref="Q5:T5"/>
    <mergeCell ref="AS4:AX4"/>
    <mergeCell ref="AY4:AY6"/>
    <mergeCell ref="AZ4:AZ6"/>
    <mergeCell ref="W5:Z5"/>
    <mergeCell ref="BC1:BD1"/>
    <mergeCell ref="BA3:BB3"/>
    <mergeCell ref="U4:Z4"/>
    <mergeCell ref="AA4:AF4"/>
    <mergeCell ref="BA4:BD5"/>
    <mergeCell ref="AM5:AM6"/>
    <mergeCell ref="AN5:AN6"/>
    <mergeCell ref="AO5:AR5"/>
    <mergeCell ref="AS5:AS6"/>
    <mergeCell ref="AG4:AL4"/>
    <mergeCell ref="AM4:AR4"/>
    <mergeCell ref="A1:BB1"/>
    <mergeCell ref="U5:U6"/>
    <mergeCell ref="C5:C6"/>
    <mergeCell ref="V5:V6"/>
    <mergeCell ref="AT5:AT6"/>
    <mergeCell ref="AU5:AX5"/>
    <mergeCell ref="AA5:AA6"/>
    <mergeCell ref="AB5:AB6"/>
    <mergeCell ref="AC5:AF5"/>
    <mergeCell ref="AG5:AG6"/>
    <mergeCell ref="AH5:AH6"/>
    <mergeCell ref="AI5:AL5"/>
  </mergeCells>
  <conditionalFormatting sqref="G7:H7">
    <cfRule type="cellIs" dxfId="9" priority="1" operator="greaterThan">
      <formula>C7</formula>
    </cfRule>
  </conditionalFormatting>
  <conditionalFormatting sqref="M7:N7">
    <cfRule type="cellIs" dxfId="8" priority="2" operator="greaterThan">
      <formula>I7</formula>
    </cfRule>
  </conditionalFormatting>
  <conditionalFormatting sqref="S7:T7">
    <cfRule type="cellIs" dxfId="7" priority="3" operator="greaterThan">
      <formula>O7</formula>
    </cfRule>
  </conditionalFormatting>
  <conditionalFormatting sqref="Y7:Z7">
    <cfRule type="cellIs" dxfId="6" priority="4" operator="greaterThan">
      <formula>U7</formula>
    </cfRule>
  </conditionalFormatting>
  <conditionalFormatting sqref="AE7:AF7">
    <cfRule type="cellIs" dxfId="5" priority="5" operator="greaterThan">
      <formula>AA7</formula>
    </cfRule>
  </conditionalFormatting>
  <conditionalFormatting sqref="AK7:AL7">
    <cfRule type="cellIs" dxfId="4" priority="6" operator="greaterThan">
      <formula>AG7</formula>
    </cfRule>
  </conditionalFormatting>
  <conditionalFormatting sqref="AQ7:AR7">
    <cfRule type="cellIs" dxfId="3" priority="7" operator="greaterThan">
      <formula>AM7</formula>
    </cfRule>
  </conditionalFormatting>
  <conditionalFormatting sqref="AW7:AX7">
    <cfRule type="cellIs" dxfId="2" priority="8" operator="greaterThan">
      <formula>AS7</formula>
    </cfRule>
  </conditionalFormatting>
  <dataValidations count="3"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E00-000000000000}">
      <formula1>-1E+28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E00-000001000000}"/>
    <dataValidation type="date" operator="greaterThan" allowBlank="1" showInputMessage="1" showErrorMessage="1" prompt="Введите дату в формате ЧЧ.ММ.ГГГГ" sqref="BA3" xr:uid="{00000000-0002-0000-0E00-000002000000}">
      <formula1>DATE(96,1,1)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0"/>
  <dimension ref="A1:M52"/>
  <sheetViews>
    <sheetView view="pageBreakPreview" zoomScaleNormal="145" zoomScaleSheetLayoutView="100" workbookViewId="0">
      <pane xSplit="1" ySplit="5" topLeftCell="B6" activePane="bottomRight" state="frozen"/>
      <selection activeCell="H23" sqref="H23"/>
      <selection pane="topRight" activeCell="H23" sqref="H23"/>
      <selection pane="bottomLeft" activeCell="H23" sqref="H23"/>
      <selection pane="bottomRight" activeCell="I44" sqref="I44:I45"/>
    </sheetView>
  </sheetViews>
  <sheetFormatPr defaultColWidth="9" defaultRowHeight="12.75"/>
  <cols>
    <col min="1" max="1" width="5" style="12" customWidth="1"/>
    <col min="2" max="3" width="9" style="24" customWidth="1"/>
    <col min="4" max="4" width="25.42578125" style="24" customWidth="1"/>
    <col min="5" max="5" width="46.85546875" style="24" customWidth="1"/>
    <col min="6" max="6" width="15.42578125" style="24" bestFit="1" customWidth="1"/>
    <col min="7" max="7" width="9" style="24" customWidth="1"/>
    <col min="8" max="8" width="41.42578125" style="24" customWidth="1"/>
    <col min="9" max="9" width="20" style="24" customWidth="1"/>
    <col min="10" max="10" width="15" style="12" customWidth="1"/>
    <col min="11" max="11" width="15.5703125" style="24" customWidth="1"/>
    <col min="12" max="12" width="9" style="24"/>
    <col min="13" max="13" width="9" style="322"/>
    <col min="14" max="16384" width="9" style="24"/>
  </cols>
  <sheetData>
    <row r="1" spans="1:13" ht="27" customHeight="1">
      <c r="A1" s="580" t="s">
        <v>697</v>
      </c>
      <c r="B1" s="580"/>
      <c r="C1" s="580"/>
      <c r="D1" s="580"/>
      <c r="E1" s="580"/>
      <c r="F1" s="580"/>
      <c r="G1" s="580"/>
      <c r="H1" s="580"/>
      <c r="I1" s="773" t="s">
        <v>467</v>
      </c>
      <c r="J1" s="773"/>
      <c r="K1" s="773"/>
    </row>
    <row r="2" spans="1:13" ht="21" customHeight="1">
      <c r="A2" s="269"/>
      <c r="B2" s="780" t="str">
        <f>+'Asset quality'!B3</f>
        <v>MKBANK</v>
      </c>
      <c r="C2" s="780"/>
      <c r="D2" s="780"/>
      <c r="E2" s="270"/>
      <c r="F2" s="270"/>
      <c r="G2" s="270"/>
      <c r="H2" s="270"/>
      <c r="I2" s="156">
        <f>+'Asset quality'!Q3</f>
        <v>46021</v>
      </c>
      <c r="J2" s="34"/>
      <c r="K2" s="5"/>
    </row>
    <row r="3" spans="1:13" ht="6.75" customHeight="1">
      <c r="A3" s="774"/>
      <c r="B3" s="775"/>
      <c r="C3" s="775"/>
      <c r="D3" s="775"/>
      <c r="E3" s="775"/>
      <c r="F3" s="775"/>
      <c r="G3" s="775"/>
      <c r="H3" s="775"/>
      <c r="I3" s="775"/>
      <c r="J3" s="775"/>
      <c r="K3" s="776"/>
    </row>
    <row r="4" spans="1:13" s="99" customFormat="1" ht="48.75" customHeight="1">
      <c r="A4" s="779" t="s">
        <v>23</v>
      </c>
      <c r="B4" s="779" t="s">
        <v>468</v>
      </c>
      <c r="C4" s="779"/>
      <c r="D4" s="779"/>
      <c r="E4" s="779"/>
      <c r="F4" s="779" t="s">
        <v>469</v>
      </c>
      <c r="G4" s="779"/>
      <c r="H4" s="779"/>
      <c r="I4" s="160" t="s">
        <v>470</v>
      </c>
      <c r="J4" s="160" t="s">
        <v>471</v>
      </c>
      <c r="K4" s="160" t="s">
        <v>394</v>
      </c>
      <c r="M4" s="323"/>
    </row>
    <row r="5" spans="1:13" s="99" customFormat="1" ht="14.25" customHeight="1">
      <c r="A5" s="779"/>
      <c r="B5" s="779" t="s">
        <v>58</v>
      </c>
      <c r="C5" s="779"/>
      <c r="D5" s="779"/>
      <c r="E5" s="779"/>
      <c r="F5" s="779" t="s">
        <v>41</v>
      </c>
      <c r="G5" s="779"/>
      <c r="H5" s="779"/>
      <c r="I5" s="160" t="s">
        <v>51</v>
      </c>
      <c r="J5" s="160" t="s">
        <v>42</v>
      </c>
      <c r="K5" s="160" t="s">
        <v>43</v>
      </c>
      <c r="M5" s="323"/>
    </row>
    <row r="6" spans="1:13" s="98" customFormat="1">
      <c r="A6" s="271">
        <v>1</v>
      </c>
      <c r="B6" s="748" t="s">
        <v>472</v>
      </c>
      <c r="C6" s="744"/>
      <c r="D6" s="744"/>
      <c r="E6" s="744"/>
      <c r="F6" s="745"/>
      <c r="G6" s="745"/>
      <c r="H6" s="745"/>
      <c r="I6" s="745"/>
      <c r="J6" s="745"/>
      <c r="K6" s="745"/>
      <c r="M6" s="324"/>
    </row>
    <row r="7" spans="1:13" ht="24" customHeight="1">
      <c r="A7" s="720" t="s">
        <v>54</v>
      </c>
      <c r="B7" s="763" t="s">
        <v>473</v>
      </c>
      <c r="C7" s="764"/>
      <c r="D7" s="764"/>
      <c r="E7" s="765"/>
      <c r="F7" s="712" t="s">
        <v>476</v>
      </c>
      <c r="G7" s="713"/>
      <c r="H7" s="714"/>
      <c r="I7" s="715">
        <f>+'[9]Bank Capital Calc'!$C$51</f>
        <v>0.18458472003428575</v>
      </c>
      <c r="J7" s="95" t="s">
        <v>59</v>
      </c>
      <c r="K7" s="705" t="str">
        <f>IF(I7="",0-J8,(IF((I7-J8)&gt;0,"",I7-J8)))</f>
        <v/>
      </c>
    </row>
    <row r="8" spans="1:13">
      <c r="A8" s="721"/>
      <c r="B8" s="757"/>
      <c r="C8" s="758"/>
      <c r="D8" s="758"/>
      <c r="E8" s="759"/>
      <c r="F8" s="763" t="s">
        <v>477</v>
      </c>
      <c r="G8" s="777"/>
      <c r="H8" s="778"/>
      <c r="I8" s="769"/>
      <c r="J8" s="272">
        <v>0.13</v>
      </c>
      <c r="K8" s="706"/>
    </row>
    <row r="9" spans="1:13">
      <c r="A9" s="720" t="s">
        <v>55</v>
      </c>
      <c r="B9" s="763" t="s">
        <v>474</v>
      </c>
      <c r="C9" s="764"/>
      <c r="D9" s="764"/>
      <c r="E9" s="765"/>
      <c r="F9" s="760" t="s">
        <v>478</v>
      </c>
      <c r="G9" s="761"/>
      <c r="H9" s="762"/>
      <c r="I9" s="715">
        <f>+'[9]Bank Capital Calc'!$C$50</f>
        <v>0.16389308536483305</v>
      </c>
      <c r="J9" s="95" t="s">
        <v>59</v>
      </c>
      <c r="K9" s="705" t="str">
        <f>IF(I9="",0-J10,(IF((I9-J10)&gt;0,"",I9-J10)))</f>
        <v/>
      </c>
    </row>
    <row r="10" spans="1:13">
      <c r="A10" s="721"/>
      <c r="B10" s="766"/>
      <c r="C10" s="767"/>
      <c r="D10" s="767"/>
      <c r="E10" s="768"/>
      <c r="F10" s="770" t="s">
        <v>477</v>
      </c>
      <c r="G10" s="771"/>
      <c r="H10" s="772"/>
      <c r="I10" s="769"/>
      <c r="J10" s="272">
        <v>0.1</v>
      </c>
      <c r="K10" s="706"/>
    </row>
    <row r="11" spans="1:13" ht="12.75" customHeight="1">
      <c r="A11" s="720" t="s">
        <v>56</v>
      </c>
      <c r="B11" s="737" t="s">
        <v>475</v>
      </c>
      <c r="C11" s="750"/>
      <c r="D11" s="750"/>
      <c r="E11" s="751"/>
      <c r="F11" s="760" t="s">
        <v>479</v>
      </c>
      <c r="G11" s="761"/>
      <c r="H11" s="762"/>
      <c r="I11" s="715">
        <f>+'[9]Bank Capital Calc'!$C$49</f>
        <v>0.16388791403863695</v>
      </c>
      <c r="J11" s="95" t="s">
        <v>59</v>
      </c>
      <c r="K11" s="705" t="str">
        <f>IF(I11="",0-J12,(IF((I11-J12)&gt;0,"",I11-J12)))</f>
        <v/>
      </c>
    </row>
    <row r="12" spans="1:13" ht="24.75" customHeight="1">
      <c r="A12" s="721"/>
      <c r="B12" s="757"/>
      <c r="C12" s="758"/>
      <c r="D12" s="758"/>
      <c r="E12" s="759"/>
      <c r="F12" s="712" t="s">
        <v>477</v>
      </c>
      <c r="G12" s="713"/>
      <c r="H12" s="714"/>
      <c r="I12" s="769"/>
      <c r="J12" s="272">
        <v>0.08</v>
      </c>
      <c r="K12" s="706"/>
    </row>
    <row r="13" spans="1:13">
      <c r="A13" s="720" t="s">
        <v>57</v>
      </c>
      <c r="B13" s="737" t="s">
        <v>60</v>
      </c>
      <c r="C13" s="750"/>
      <c r="D13" s="750"/>
      <c r="E13" s="751"/>
      <c r="F13" s="717" t="s">
        <v>478</v>
      </c>
      <c r="G13" s="718"/>
      <c r="H13" s="719"/>
      <c r="I13" s="715">
        <f>+'[9]Bank Capital Calc'!$C$57</f>
        <v>0.16816535479393871</v>
      </c>
      <c r="J13" s="95" t="s">
        <v>59</v>
      </c>
      <c r="K13" s="705" t="str">
        <f>IF(I13="",0-J14,(IF((I13-J14)&gt;0,"",I13-J14)))</f>
        <v/>
      </c>
    </row>
    <row r="14" spans="1:13" ht="24.75" customHeight="1">
      <c r="A14" s="721"/>
      <c r="B14" s="757"/>
      <c r="C14" s="758"/>
      <c r="D14" s="758"/>
      <c r="E14" s="759"/>
      <c r="F14" s="712" t="s">
        <v>480</v>
      </c>
      <c r="G14" s="713"/>
      <c r="H14" s="714"/>
      <c r="I14" s="769"/>
      <c r="J14" s="272">
        <v>0.06</v>
      </c>
      <c r="K14" s="706"/>
    </row>
    <row r="15" spans="1:13" s="98" customFormat="1">
      <c r="A15" s="89">
        <v>2</v>
      </c>
      <c r="B15" s="748" t="s">
        <v>481</v>
      </c>
      <c r="C15" s="744"/>
      <c r="D15" s="744"/>
      <c r="E15" s="744"/>
      <c r="F15" s="745"/>
      <c r="G15" s="745"/>
      <c r="H15" s="745"/>
      <c r="I15" s="745"/>
      <c r="J15" s="745"/>
      <c r="K15" s="745"/>
      <c r="M15" s="324"/>
    </row>
    <row r="16" spans="1:13" s="98" customFormat="1" ht="12.75" customHeight="1">
      <c r="A16" s="720" t="s">
        <v>61</v>
      </c>
      <c r="B16" s="737" t="s">
        <v>482</v>
      </c>
      <c r="C16" s="750"/>
      <c r="D16" s="750"/>
      <c r="E16" s="751"/>
      <c r="F16" s="760" t="s">
        <v>486</v>
      </c>
      <c r="G16" s="761"/>
      <c r="H16" s="762"/>
      <c r="I16" s="715">
        <f>+'[8]Liquidity Analysis'!$C$18</f>
        <v>0.12334470234044558</v>
      </c>
      <c r="J16" s="95" t="s">
        <v>59</v>
      </c>
      <c r="K16" s="705" t="str">
        <f>IF(I16="",0-J17,(IF((I16-J17)&gt;0,"",I16-J17)))</f>
        <v/>
      </c>
      <c r="M16" s="324"/>
    </row>
    <row r="17" spans="1:13" s="98" customFormat="1">
      <c r="A17" s="721"/>
      <c r="B17" s="757"/>
      <c r="C17" s="758"/>
      <c r="D17" s="758"/>
      <c r="E17" s="759"/>
      <c r="F17" s="712" t="s">
        <v>213</v>
      </c>
      <c r="G17" s="713"/>
      <c r="H17" s="714"/>
      <c r="I17" s="732"/>
      <c r="J17" s="272">
        <v>0.1</v>
      </c>
      <c r="K17" s="706"/>
      <c r="M17" s="324"/>
    </row>
    <row r="18" spans="1:13" ht="15.75" customHeight="1">
      <c r="A18" s="720" t="s">
        <v>11</v>
      </c>
      <c r="B18" s="752" t="s">
        <v>483</v>
      </c>
      <c r="C18" s="750"/>
      <c r="D18" s="750"/>
      <c r="E18" s="273" t="s">
        <v>166</v>
      </c>
      <c r="F18" s="749" t="s">
        <v>486</v>
      </c>
      <c r="G18" s="708"/>
      <c r="H18" s="709"/>
      <c r="I18" s="159">
        <f>+'[8]Liquidity Analysis'!$C$24</f>
        <v>2.3192898327438054</v>
      </c>
      <c r="J18" s="722" t="s">
        <v>59</v>
      </c>
      <c r="K18" s="159" t="str">
        <f>IF(I18="",0-$J$20,(IF((I18-$J$20)&gt;0,"",I18-$J$20)))</f>
        <v/>
      </c>
    </row>
    <row r="19" spans="1:13" ht="15.75" customHeight="1">
      <c r="A19" s="736"/>
      <c r="B19" s="755"/>
      <c r="C19" s="727"/>
      <c r="D19" s="727"/>
      <c r="E19" s="274" t="s">
        <v>217</v>
      </c>
      <c r="F19" s="729"/>
      <c r="G19" s="730"/>
      <c r="H19" s="731"/>
      <c r="I19" s="159">
        <f>+'[8]Liquidity Analysis'!$D$24</f>
        <v>1.1756690240067305</v>
      </c>
      <c r="J19" s="723"/>
      <c r="K19" s="159" t="str">
        <f>IF(I19="",0-$J$20,(IF((I19-$J$20)&gt;0,"",I19-$J$20)))</f>
        <v/>
      </c>
    </row>
    <row r="20" spans="1:13" ht="15.75" customHeight="1">
      <c r="A20" s="721"/>
      <c r="B20" s="740"/>
      <c r="C20" s="756"/>
      <c r="D20" s="756"/>
      <c r="E20" s="274" t="s">
        <v>418</v>
      </c>
      <c r="F20" s="739" t="s">
        <v>487</v>
      </c>
      <c r="G20" s="739"/>
      <c r="H20" s="739"/>
      <c r="I20" s="159">
        <f>+'[8]Liquidity Analysis'!$E$24</f>
        <v>8.9521131830222451</v>
      </c>
      <c r="J20" s="94">
        <v>1</v>
      </c>
      <c r="K20" s="159" t="str">
        <f>IF(I20="",0-$J$20,(IF((I20-$J$20)&gt;0,"",I20-$J$20)))</f>
        <v/>
      </c>
    </row>
    <row r="21" spans="1:13" ht="15" customHeight="1">
      <c r="A21" s="720" t="s">
        <v>484</v>
      </c>
      <c r="B21" s="752" t="s">
        <v>485</v>
      </c>
      <c r="C21" s="750"/>
      <c r="D21" s="750"/>
      <c r="E21" s="273" t="s">
        <v>166</v>
      </c>
      <c r="F21" s="749" t="s">
        <v>488</v>
      </c>
      <c r="G21" s="708"/>
      <c r="H21" s="709"/>
      <c r="I21" s="159">
        <f>+'[8]Liquidity Analysis'!$C$29</f>
        <v>1.1303172827433772</v>
      </c>
      <c r="J21" s="722" t="s">
        <v>59</v>
      </c>
      <c r="K21" s="159" t="str">
        <f>IF(I21="",0-$J$23,(IF((I21-$J$23)&gt;0,"",I21-$J$23)))</f>
        <v/>
      </c>
    </row>
    <row r="22" spans="1:13" ht="15" customHeight="1">
      <c r="A22" s="736"/>
      <c r="B22" s="755"/>
      <c r="C22" s="727"/>
      <c r="D22" s="727"/>
      <c r="E22" s="274" t="s">
        <v>217</v>
      </c>
      <c r="F22" s="729"/>
      <c r="G22" s="730"/>
      <c r="H22" s="731"/>
      <c r="I22" s="159">
        <f>+'[8]Liquidity Analysis'!$D$29</f>
        <v>1.0960871206492637</v>
      </c>
      <c r="J22" s="723"/>
      <c r="K22" s="159" t="str">
        <f>IF(I22="",0-$J$23,(IF((I22-$J$23)&gt;0,"",I22-$J$23)))</f>
        <v/>
      </c>
    </row>
    <row r="23" spans="1:13" ht="15" customHeight="1">
      <c r="A23" s="721"/>
      <c r="B23" s="740"/>
      <c r="C23" s="756"/>
      <c r="D23" s="756"/>
      <c r="E23" s="274" t="s">
        <v>418</v>
      </c>
      <c r="F23" s="739" t="s">
        <v>489</v>
      </c>
      <c r="G23" s="739"/>
      <c r="H23" s="739"/>
      <c r="I23" s="159">
        <f>+'[8]Liquidity Analysis'!$E$29</f>
        <v>1.2784470830686978</v>
      </c>
      <c r="J23" s="93">
        <v>1</v>
      </c>
      <c r="K23" s="159" t="str">
        <f>IF(I23="",0-$J$23,(IF((I23-$J$23)&gt;0,"",I23-$J$23)))</f>
        <v/>
      </c>
    </row>
    <row r="24" spans="1:13" s="98" customFormat="1">
      <c r="A24" s="89">
        <v>3</v>
      </c>
      <c r="B24" s="748" t="s">
        <v>490</v>
      </c>
      <c r="C24" s="744"/>
      <c r="D24" s="744"/>
      <c r="E24" s="744"/>
      <c r="F24" s="745"/>
      <c r="G24" s="745"/>
      <c r="H24" s="745"/>
      <c r="I24" s="745"/>
      <c r="J24" s="745"/>
      <c r="K24" s="745"/>
      <c r="M24" s="324"/>
    </row>
    <row r="25" spans="1:13" ht="24" customHeight="1">
      <c r="A25" s="720" t="s">
        <v>62</v>
      </c>
      <c r="B25" s="752" t="s">
        <v>491</v>
      </c>
      <c r="C25" s="750"/>
      <c r="D25" s="750"/>
      <c r="E25" s="751"/>
      <c r="F25" s="733" t="s">
        <v>495</v>
      </c>
      <c r="G25" s="734"/>
      <c r="H25" s="735"/>
      <c r="I25" s="715">
        <f>IFERROR((+' Largest risk'!Z90/'[9]Bank Capital Calc'!$C$34),0)</f>
        <v>0.11054159260699174</v>
      </c>
      <c r="J25" s="95" t="s">
        <v>63</v>
      </c>
      <c r="K25" s="715" t="str">
        <f>IF(I25="","",IF(I25&lt;0,"ОТР",IF((I25-J26)&lt;0,"",I25-J26)))</f>
        <v/>
      </c>
    </row>
    <row r="26" spans="1:13">
      <c r="A26" s="721"/>
      <c r="B26" s="753"/>
      <c r="C26" s="710"/>
      <c r="D26" s="710"/>
      <c r="E26" s="711"/>
      <c r="F26" s="717" t="s">
        <v>478</v>
      </c>
      <c r="G26" s="718"/>
      <c r="H26" s="719"/>
      <c r="I26" s="732"/>
      <c r="J26" s="94">
        <v>0.25</v>
      </c>
      <c r="K26" s="754"/>
    </row>
    <row r="27" spans="1:13" ht="28.5" customHeight="1">
      <c r="A27" s="720" t="s">
        <v>64</v>
      </c>
      <c r="B27" s="737" t="s">
        <v>492</v>
      </c>
      <c r="C27" s="750"/>
      <c r="D27" s="750"/>
      <c r="E27" s="751"/>
      <c r="F27" s="712" t="s">
        <v>496</v>
      </c>
      <c r="G27" s="713"/>
      <c r="H27" s="714"/>
      <c r="I27" s="724"/>
      <c r="J27" s="95" t="s">
        <v>63</v>
      </c>
      <c r="K27" s="705" t="str">
        <f>IF(I27&lt;0,"ОТР",IF((I27-J28)&lt;0,"",I27-J28))</f>
        <v/>
      </c>
      <c r="M27" s="322" t="s">
        <v>686</v>
      </c>
    </row>
    <row r="28" spans="1:13">
      <c r="A28" s="721"/>
      <c r="B28" s="729"/>
      <c r="C28" s="730"/>
      <c r="D28" s="730"/>
      <c r="E28" s="731"/>
      <c r="F28" s="717" t="s">
        <v>478</v>
      </c>
      <c r="G28" s="718"/>
      <c r="H28" s="719"/>
      <c r="I28" s="725"/>
      <c r="J28" s="94">
        <v>0.25</v>
      </c>
      <c r="K28" s="706"/>
    </row>
    <row r="29" spans="1:13" ht="36" customHeight="1">
      <c r="A29" s="720" t="s">
        <v>8</v>
      </c>
      <c r="B29" s="752" t="s">
        <v>493</v>
      </c>
      <c r="C29" s="750"/>
      <c r="D29" s="750"/>
      <c r="E29" s="751"/>
      <c r="F29" s="733" t="s">
        <v>497</v>
      </c>
      <c r="G29" s="734"/>
      <c r="H29" s="735"/>
      <c r="I29" s="724"/>
      <c r="J29" s="95" t="s">
        <v>63</v>
      </c>
      <c r="K29" s="705" t="str">
        <f>IF(I29&lt;0,"ОТР",IF((I29-J30)&lt;0,"",I29-J30))</f>
        <v/>
      </c>
      <c r="M29" s="322" t="s">
        <v>686</v>
      </c>
    </row>
    <row r="30" spans="1:13">
      <c r="A30" s="721"/>
      <c r="B30" s="729"/>
      <c r="C30" s="730"/>
      <c r="D30" s="730"/>
      <c r="E30" s="731"/>
      <c r="F30" s="717" t="s">
        <v>478</v>
      </c>
      <c r="G30" s="718"/>
      <c r="H30" s="719"/>
      <c r="I30" s="725"/>
      <c r="J30" s="94">
        <v>0.05</v>
      </c>
      <c r="K30" s="706"/>
    </row>
    <row r="31" spans="1:13" ht="14.25" customHeight="1">
      <c r="A31" s="720" t="s">
        <v>101</v>
      </c>
      <c r="B31" s="726" t="s">
        <v>494</v>
      </c>
      <c r="C31" s="727"/>
      <c r="D31" s="727"/>
      <c r="E31" s="728"/>
      <c r="F31" s="717" t="s">
        <v>498</v>
      </c>
      <c r="G31" s="718"/>
      <c r="H31" s="719"/>
      <c r="I31" s="715">
        <f>IFERROR((+' Largest risk'!Z89/'[9]Bank Capital Calc'!$C$34),0)</f>
        <v>0.21238624419273253</v>
      </c>
      <c r="J31" s="93" t="s">
        <v>63</v>
      </c>
      <c r="K31" s="705" t="str">
        <f>IF(I31="","",IF(I31&lt;0,"ОТР",IF((I31-J32)&lt;0,"",I31-J32)))</f>
        <v/>
      </c>
    </row>
    <row r="32" spans="1:13">
      <c r="A32" s="721"/>
      <c r="B32" s="729"/>
      <c r="C32" s="730"/>
      <c r="D32" s="730"/>
      <c r="E32" s="731"/>
      <c r="F32" s="717" t="s">
        <v>478</v>
      </c>
      <c r="G32" s="718"/>
      <c r="H32" s="719"/>
      <c r="I32" s="732"/>
      <c r="J32" s="93">
        <v>5</v>
      </c>
      <c r="K32" s="706"/>
    </row>
    <row r="33" spans="1:13" s="98" customFormat="1">
      <c r="A33" s="89">
        <v>4</v>
      </c>
      <c r="B33" s="743" t="s">
        <v>499</v>
      </c>
      <c r="C33" s="744"/>
      <c r="D33" s="744"/>
      <c r="E33" s="744"/>
      <c r="F33" s="745"/>
      <c r="G33" s="745"/>
      <c r="H33" s="745"/>
      <c r="I33" s="745"/>
      <c r="J33" s="745"/>
      <c r="K33" s="745"/>
      <c r="M33" s="324"/>
    </row>
    <row r="34" spans="1:13" ht="29.25" customHeight="1">
      <c r="A34" s="720" t="s">
        <v>65</v>
      </c>
      <c r="B34" s="707" t="s">
        <v>500</v>
      </c>
      <c r="C34" s="708"/>
      <c r="D34" s="708"/>
      <c r="E34" s="709"/>
      <c r="F34" s="712" t="s">
        <v>500</v>
      </c>
      <c r="G34" s="713"/>
      <c r="H34" s="714"/>
      <c r="I34" s="724">
        <v>9.7219999999999997E-3</v>
      </c>
      <c r="J34" s="95" t="s">
        <v>63</v>
      </c>
      <c r="K34" s="705" t="str">
        <f>IF(I34&lt;0,"ОТР",IF((I34-J35)&lt;0,"",I34-J35))</f>
        <v/>
      </c>
      <c r="M34" s="322" t="s">
        <v>686</v>
      </c>
    </row>
    <row r="35" spans="1:13">
      <c r="A35" s="721"/>
      <c r="B35" s="710"/>
      <c r="C35" s="710"/>
      <c r="D35" s="710"/>
      <c r="E35" s="711"/>
      <c r="F35" s="717" t="s">
        <v>478</v>
      </c>
      <c r="G35" s="718"/>
      <c r="H35" s="719"/>
      <c r="I35" s="725"/>
      <c r="J35" s="94">
        <v>0.15</v>
      </c>
      <c r="K35" s="706"/>
    </row>
    <row r="36" spans="1:13" ht="36" customHeight="1">
      <c r="A36" s="720" t="s">
        <v>9</v>
      </c>
      <c r="B36" s="707" t="s">
        <v>714</v>
      </c>
      <c r="C36" s="708"/>
      <c r="D36" s="708"/>
      <c r="E36" s="709"/>
      <c r="F36" s="712" t="s">
        <v>714</v>
      </c>
      <c r="G36" s="746"/>
      <c r="H36" s="747"/>
      <c r="I36" s="715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0.1679591136621302</v>
      </c>
      <c r="J36" s="93" t="s">
        <v>63</v>
      </c>
      <c r="K36" s="705" t="str">
        <f>IF(I36="","",IF(I36&lt;0,"ОТР",IF((I36-J37)&lt;0,"",I36-J37)))</f>
        <v/>
      </c>
    </row>
    <row r="37" spans="1:13">
      <c r="A37" s="721"/>
      <c r="B37" s="710"/>
      <c r="C37" s="710"/>
      <c r="D37" s="710"/>
      <c r="E37" s="711"/>
      <c r="F37" s="717" t="s">
        <v>478</v>
      </c>
      <c r="G37" s="718"/>
      <c r="H37" s="719"/>
      <c r="I37" s="732"/>
      <c r="J37" s="93">
        <v>0.5</v>
      </c>
      <c r="K37" s="706"/>
    </row>
    <row r="38" spans="1:13" s="98" customFormat="1">
      <c r="A38" s="89">
        <v>5</v>
      </c>
      <c r="B38" s="743" t="s">
        <v>501</v>
      </c>
      <c r="C38" s="744"/>
      <c r="D38" s="744"/>
      <c r="E38" s="744"/>
      <c r="F38" s="745"/>
      <c r="G38" s="745"/>
      <c r="H38" s="745"/>
      <c r="I38" s="745"/>
      <c r="J38" s="745"/>
      <c r="K38" s="745"/>
      <c r="M38" s="324"/>
    </row>
    <row r="39" spans="1:13" ht="23.25" customHeight="1">
      <c r="A39" s="720" t="s">
        <v>66</v>
      </c>
      <c r="B39" s="738" t="s">
        <v>502</v>
      </c>
      <c r="C39" s="739"/>
      <c r="D39" s="739"/>
      <c r="E39" s="739"/>
      <c r="F39" s="712" t="s">
        <v>504</v>
      </c>
      <c r="G39" s="713"/>
      <c r="H39" s="714"/>
      <c r="I39" s="715">
        <f>IFERROR(((+'Transactions of related parties'!Z90-'[9]Bank Capital Calc'!$C$24)/'[9]Bank Capital Calc'!$C$34),0)</f>
        <v>3.8101097572978858E-5</v>
      </c>
      <c r="J39" s="95" t="s">
        <v>63</v>
      </c>
      <c r="K39" s="705" t="str">
        <f>IF(I39="","",IF(I39&lt;0,"ОТР",IF((I39-J40)&lt;0,"",I39-J40)))</f>
        <v/>
      </c>
    </row>
    <row r="40" spans="1:13">
      <c r="A40" s="721"/>
      <c r="B40" s="739"/>
      <c r="C40" s="739"/>
      <c r="D40" s="739"/>
      <c r="E40" s="739"/>
      <c r="F40" s="717" t="s">
        <v>478</v>
      </c>
      <c r="G40" s="718"/>
      <c r="H40" s="719"/>
      <c r="I40" s="716"/>
      <c r="J40" s="94">
        <v>0.15</v>
      </c>
      <c r="K40" s="706"/>
    </row>
    <row r="41" spans="1:13">
      <c r="A41" s="720" t="s">
        <v>149</v>
      </c>
      <c r="B41" s="738" t="s">
        <v>503</v>
      </c>
      <c r="C41" s="739"/>
      <c r="D41" s="739"/>
      <c r="E41" s="739"/>
      <c r="F41" s="740" t="s">
        <v>505</v>
      </c>
      <c r="G41" s="741"/>
      <c r="H41" s="742"/>
      <c r="I41" s="715">
        <f>IFERROR(((+'Transactions of related parties'!Z89-'[9]Bank Capital Calc'!$C$24)/'[9]Bank Capital Calc'!$C$34),0)</f>
        <v>6.5867620696416463E-5</v>
      </c>
      <c r="J41" s="93" t="s">
        <v>63</v>
      </c>
      <c r="K41" s="705" t="str">
        <f>IF(I41="","",IF(I41&lt;0,"ОТР",IF((I41-J42)&lt;0,"",I41-J42)))</f>
        <v/>
      </c>
    </row>
    <row r="42" spans="1:13">
      <c r="A42" s="721"/>
      <c r="B42" s="739"/>
      <c r="C42" s="739"/>
      <c r="D42" s="739"/>
      <c r="E42" s="739"/>
      <c r="F42" s="717" t="s">
        <v>478</v>
      </c>
      <c r="G42" s="718"/>
      <c r="H42" s="719"/>
      <c r="I42" s="716"/>
      <c r="J42" s="93">
        <v>0.25</v>
      </c>
      <c r="K42" s="706"/>
    </row>
    <row r="43" spans="1:13" s="98" customFormat="1">
      <c r="A43" s="89">
        <v>6</v>
      </c>
      <c r="B43" s="743" t="s">
        <v>716</v>
      </c>
      <c r="C43" s="744"/>
      <c r="D43" s="744"/>
      <c r="E43" s="744"/>
      <c r="F43" s="745"/>
      <c r="G43" s="745"/>
      <c r="H43" s="745"/>
      <c r="I43" s="745"/>
      <c r="J43" s="745"/>
      <c r="K43" s="745"/>
      <c r="M43" s="324"/>
    </row>
    <row r="44" spans="1:13">
      <c r="A44" s="720" t="s">
        <v>131</v>
      </c>
      <c r="B44" s="737" t="s">
        <v>715</v>
      </c>
      <c r="C44" s="708"/>
      <c r="D44" s="708"/>
      <c r="E44" s="709"/>
      <c r="F44" s="712" t="s">
        <v>715</v>
      </c>
      <c r="G44" s="713"/>
      <c r="H44" s="714"/>
      <c r="I44" s="724">
        <v>0.30159999999999998</v>
      </c>
      <c r="J44" s="93" t="s">
        <v>63</v>
      </c>
      <c r="K44" s="705" t="str">
        <f>IF(I44="","",IF(I44&lt;0,"ОТР",IF((I44-J45)&lt;0,"",I44-J45)))</f>
        <v/>
      </c>
      <c r="M44" s="322" t="s">
        <v>686</v>
      </c>
    </row>
    <row r="45" spans="1:13">
      <c r="A45" s="721"/>
      <c r="B45" s="729"/>
      <c r="C45" s="730"/>
      <c r="D45" s="730"/>
      <c r="E45" s="731"/>
      <c r="F45" s="717" t="s">
        <v>478</v>
      </c>
      <c r="G45" s="718"/>
      <c r="H45" s="719"/>
      <c r="I45" s="725"/>
      <c r="J45" s="94">
        <v>1</v>
      </c>
      <c r="K45" s="706"/>
    </row>
    <row r="47" spans="1:13" ht="15" customHeight="1">
      <c r="A47" s="24"/>
      <c r="B47" s="98" t="s">
        <v>690</v>
      </c>
      <c r="F47" s="81"/>
      <c r="G47" s="81"/>
      <c r="H47" s="81"/>
      <c r="I47" s="81"/>
      <c r="J47" s="81"/>
      <c r="K47" s="81"/>
      <c r="L47" s="81"/>
      <c r="M47" s="81"/>
    </row>
    <row r="48" spans="1:13" ht="11.25" customHeight="1">
      <c r="A48" s="24"/>
      <c r="B48" s="98"/>
      <c r="F48" s="81"/>
      <c r="G48" s="81"/>
      <c r="H48" s="81"/>
      <c r="I48" s="81"/>
      <c r="J48" s="81"/>
      <c r="K48" s="81"/>
      <c r="L48" s="81"/>
      <c r="M48" s="81"/>
    </row>
    <row r="49" spans="1:13" ht="15" customHeight="1">
      <c r="A49" s="24"/>
      <c r="B49" s="98" t="s">
        <v>691</v>
      </c>
      <c r="F49" s="81"/>
      <c r="G49" s="81"/>
      <c r="H49" s="81"/>
      <c r="I49" s="81"/>
      <c r="J49" s="81"/>
      <c r="K49" s="81"/>
      <c r="L49" s="81"/>
      <c r="M49" s="81"/>
    </row>
    <row r="50" spans="1:13" ht="12.75" customHeight="1"/>
    <row r="51" spans="1:13" ht="16.5" customHeight="1"/>
    <row r="52" spans="1:13" ht="27" customHeight="1"/>
  </sheetData>
  <sheetProtection algorithmName="SHA-512" hashValue="c6Y+c5QQaGBbeG1X6/6rmpluAmEW5cPqyjEgvntIrAShsW0fgKKxQZex57EMEqKBaG2X1EgYsJ6MmM0xZvAthg==" saltValue="kOsM0SjcMfkROO3dBwcsVA==" spinCount="100000" sheet="1" objects="1" scenarios="1"/>
  <mergeCells count="115"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</mergeCells>
  <phoneticPr fontId="14" type="noConversion"/>
  <dataValidations xWindow="978" yWindow="78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39:I42 I31:I32 I44:I45 I36" xr:uid="{00000000-0002-0000-0F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0F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1">
    <pageSetUpPr fitToPage="1"/>
  </sheetPr>
  <dimension ref="A1:M30"/>
  <sheetViews>
    <sheetView view="pageBreakPreview" zoomScaleNormal="100" zoomScaleSheetLayoutView="100" workbookViewId="0">
      <pane xSplit="1" ySplit="2" topLeftCell="B3" activePane="bottomRight" state="frozen"/>
      <selection activeCell="H23" sqref="H23"/>
      <selection pane="topRight" activeCell="H23" sqref="H23"/>
      <selection pane="bottomLeft" activeCell="H23" sqref="H23"/>
      <selection pane="bottomRight" activeCell="B3" sqref="B3"/>
    </sheetView>
  </sheetViews>
  <sheetFormatPr defaultRowHeight="12.75"/>
  <cols>
    <col min="1" max="1" width="6" style="24" customWidth="1"/>
    <col min="2" max="2" width="71.85546875" style="155" customWidth="1"/>
    <col min="3" max="3" width="19.28515625" style="24" customWidth="1"/>
    <col min="4" max="16384" width="9.140625" style="24"/>
  </cols>
  <sheetData>
    <row r="1" spans="1:5" s="12" customFormat="1" ht="39.75" customHeight="1">
      <c r="B1" s="13" t="s">
        <v>506</v>
      </c>
      <c r="C1" s="13" t="s">
        <v>507</v>
      </c>
    </row>
    <row r="2" spans="1:5" s="12" customFormat="1" ht="35.25" customHeight="1">
      <c r="A2" s="91"/>
      <c r="B2" s="91" t="str">
        <f>+'Asset quality'!B3</f>
        <v>MKBANK</v>
      </c>
      <c r="C2" s="304">
        <f>+'Economic Normatives'!I2</f>
        <v>46021</v>
      </c>
    </row>
    <row r="3" spans="1:5" s="12" customFormat="1" ht="32.25" customHeight="1">
      <c r="A3" s="199">
        <v>1</v>
      </c>
      <c r="B3" s="76" t="s">
        <v>508</v>
      </c>
      <c r="C3" s="15"/>
    </row>
    <row r="4" spans="1:5" s="16" customFormat="1" ht="30" customHeight="1">
      <c r="A4" s="275" t="s">
        <v>17</v>
      </c>
      <c r="B4" s="276" t="s">
        <v>509</v>
      </c>
      <c r="C4" s="15">
        <v>3704</v>
      </c>
    </row>
    <row r="5" spans="1:5" s="16" customFormat="1" ht="30" customHeight="1">
      <c r="A5" s="275" t="s">
        <v>15</v>
      </c>
      <c r="B5" s="276" t="s">
        <v>510</v>
      </c>
      <c r="C5" s="15">
        <v>3363</v>
      </c>
    </row>
    <row r="6" spans="1:5" s="12" customFormat="1" ht="32.25" customHeight="1">
      <c r="A6" s="199">
        <v>2</v>
      </c>
      <c r="B6" s="76" t="s">
        <v>511</v>
      </c>
      <c r="C6" s="15"/>
    </row>
    <row r="7" spans="1:5" s="12" customFormat="1">
      <c r="A7" s="199"/>
      <c r="B7" s="277" t="s">
        <v>512</v>
      </c>
      <c r="C7" s="139"/>
    </row>
    <row r="8" spans="1:5" s="16" customFormat="1" ht="30" customHeight="1">
      <c r="A8" s="275" t="s">
        <v>17</v>
      </c>
      <c r="B8" s="276" t="s">
        <v>513</v>
      </c>
      <c r="C8" s="15">
        <v>1</v>
      </c>
    </row>
    <row r="9" spans="1:5" s="16" customFormat="1" ht="30" customHeight="1">
      <c r="A9" s="275" t="s">
        <v>15</v>
      </c>
      <c r="B9" s="276" t="s">
        <v>514</v>
      </c>
      <c r="C9" s="15">
        <v>0</v>
      </c>
    </row>
    <row r="10" spans="1:5" s="16" customFormat="1" ht="30" customHeight="1">
      <c r="A10" s="275" t="s">
        <v>16</v>
      </c>
      <c r="B10" s="276" t="s">
        <v>515</v>
      </c>
      <c r="C10" s="15">
        <v>2</v>
      </c>
    </row>
    <row r="11" spans="1:5" s="16" customFormat="1" ht="30" customHeight="1">
      <c r="A11" s="275" t="s">
        <v>18</v>
      </c>
      <c r="B11" s="276" t="s">
        <v>516</v>
      </c>
      <c r="C11" s="15">
        <v>128</v>
      </c>
    </row>
    <row r="12" spans="1:5" s="12" customFormat="1" ht="30" customHeight="1">
      <c r="A12" s="278">
        <v>3</v>
      </c>
      <c r="B12" s="279" t="s">
        <v>517</v>
      </c>
      <c r="C12" s="119">
        <f>C14+C15+C16</f>
        <v>2883172</v>
      </c>
    </row>
    <row r="13" spans="1:5" s="12" customFormat="1">
      <c r="A13" s="280"/>
      <c r="B13" s="281" t="s">
        <v>512</v>
      </c>
      <c r="C13" s="139"/>
    </row>
    <row r="14" spans="1:5" s="16" customFormat="1" ht="30" customHeight="1">
      <c r="A14" s="92" t="s">
        <v>17</v>
      </c>
      <c r="B14" s="281" t="s">
        <v>518</v>
      </c>
      <c r="C14" s="15">
        <v>2636322</v>
      </c>
    </row>
    <row r="15" spans="1:5" s="16" customFormat="1" ht="30" customHeight="1">
      <c r="A15" s="92" t="s">
        <v>15</v>
      </c>
      <c r="B15" s="281" t="s">
        <v>519</v>
      </c>
      <c r="C15" s="15">
        <v>147854</v>
      </c>
    </row>
    <row r="16" spans="1:5" s="16" customFormat="1" ht="30" customHeight="1">
      <c r="A16" s="92" t="s">
        <v>16</v>
      </c>
      <c r="B16" s="281" t="s">
        <v>520</v>
      </c>
      <c r="C16" s="119">
        <f>+C18+C19+C20+C21+C22</f>
        <v>98996</v>
      </c>
      <c r="E16" s="16" t="s">
        <v>687</v>
      </c>
    </row>
    <row r="17" spans="1:13" s="16" customFormat="1">
      <c r="A17" s="92"/>
      <c r="B17" s="281" t="s">
        <v>521</v>
      </c>
      <c r="C17" s="15"/>
      <c r="E17" s="16" t="s">
        <v>688</v>
      </c>
    </row>
    <row r="18" spans="1:13" s="16" customFormat="1" ht="30" customHeight="1">
      <c r="A18" s="92" t="s">
        <v>150</v>
      </c>
      <c r="B18" s="282" t="s">
        <v>522</v>
      </c>
      <c r="C18" s="15">
        <v>770</v>
      </c>
    </row>
    <row r="19" spans="1:13" s="16" customFormat="1" ht="29.25" customHeight="1">
      <c r="A19" s="92" t="s">
        <v>150</v>
      </c>
      <c r="B19" s="282" t="s">
        <v>523</v>
      </c>
      <c r="C19" s="15">
        <v>73708</v>
      </c>
    </row>
    <row r="20" spans="1:13" s="16" customFormat="1" ht="30" customHeight="1">
      <c r="A20" s="92" t="s">
        <v>150</v>
      </c>
      <c r="B20" s="282" t="s">
        <v>524</v>
      </c>
      <c r="C20" s="15">
        <v>9948</v>
      </c>
    </row>
    <row r="21" spans="1:13" s="16" customFormat="1" ht="30" customHeight="1">
      <c r="A21" s="92" t="s">
        <v>150</v>
      </c>
      <c r="B21" s="282" t="s">
        <v>525</v>
      </c>
      <c r="C21" s="15">
        <v>8072</v>
      </c>
    </row>
    <row r="22" spans="1:13" s="16" customFormat="1" ht="30" customHeight="1">
      <c r="A22" s="92" t="s">
        <v>150</v>
      </c>
      <c r="B22" s="282" t="s">
        <v>526</v>
      </c>
      <c r="C22" s="15">
        <v>6498</v>
      </c>
    </row>
    <row r="23" spans="1:13" s="12" customFormat="1" ht="32.25" customHeight="1">
      <c r="A23" s="278">
        <v>4</v>
      </c>
      <c r="B23" s="88" t="s">
        <v>527</v>
      </c>
      <c r="C23" s="283"/>
    </row>
    <row r="24" spans="1:13" s="16" customFormat="1" ht="30" customHeight="1">
      <c r="A24" s="92" t="s">
        <v>17</v>
      </c>
      <c r="B24" s="281" t="s">
        <v>528</v>
      </c>
      <c r="C24" s="557" t="s">
        <v>804</v>
      </c>
    </row>
    <row r="25" spans="1:13" s="16" customFormat="1" ht="30" customHeight="1">
      <c r="A25" s="92" t="s">
        <v>15</v>
      </c>
      <c r="B25" s="281" t="s">
        <v>529</v>
      </c>
      <c r="C25" s="557" t="s">
        <v>814</v>
      </c>
    </row>
    <row r="26" spans="1:13" s="12" customFormat="1" ht="12" customHeight="1">
      <c r="B26" s="136"/>
    </row>
    <row r="27" spans="1:13" ht="15" customHeight="1">
      <c r="B27" s="98" t="s">
        <v>690</v>
      </c>
      <c r="F27" s="81"/>
      <c r="G27" s="81"/>
      <c r="H27" s="81"/>
      <c r="I27" s="81"/>
      <c r="J27" s="81"/>
      <c r="K27" s="81"/>
      <c r="L27" s="81"/>
      <c r="M27" s="81"/>
    </row>
    <row r="28" spans="1:13" ht="11.25" customHeight="1">
      <c r="B28" s="98"/>
      <c r="F28" s="81"/>
      <c r="G28" s="81"/>
      <c r="H28" s="81"/>
      <c r="I28" s="81"/>
      <c r="J28" s="81"/>
      <c r="K28" s="81"/>
      <c r="L28" s="81"/>
      <c r="M28" s="81"/>
    </row>
    <row r="29" spans="1:13" ht="15" customHeight="1">
      <c r="B29" s="98" t="s">
        <v>691</v>
      </c>
      <c r="F29" s="81"/>
      <c r="G29" s="81"/>
      <c r="H29" s="81"/>
      <c r="I29" s="81"/>
      <c r="J29" s="81"/>
      <c r="K29" s="81"/>
      <c r="L29" s="81"/>
      <c r="M29" s="81"/>
    </row>
    <row r="30" spans="1:13">
      <c r="A30" s="12"/>
      <c r="B30" s="98"/>
    </row>
  </sheetData>
  <sheetProtection password="CACA" sheet="1" objects="1" scenarios="1"/>
  <phoneticPr fontId="14" type="noConversion"/>
  <dataValidations count="1">
    <dataValidation type="whole" operator="greaterThanOrEqual" allowBlank="1" showErrorMessage="1" error="Введите как целое положительное число." sqref="C8 C4:C5" xr:uid="{00000000-0002-0000-10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31"/>
  <dimension ref="A1:P54"/>
  <sheetViews>
    <sheetView view="pageBreakPreview" zoomScale="70" zoomScaleNormal="40" zoomScaleSheetLayoutView="70" workbookViewId="0">
      <pane xSplit="1" ySplit="3" topLeftCell="B4" activePane="bottomRight" state="frozen"/>
      <selection activeCell="B84" activeCellId="1" sqref="D10 B84"/>
      <selection pane="topRight" activeCell="B84" activeCellId="1" sqref="D10 B84"/>
      <selection pane="bottomLeft" activeCell="B84" activeCellId="1" sqref="D10 B84"/>
      <selection pane="bottomRight" activeCell="B84" activeCellId="1" sqref="D10 B84"/>
    </sheetView>
  </sheetViews>
  <sheetFormatPr defaultColWidth="97.7109375" defaultRowHeight="18.75"/>
  <cols>
    <col min="1" max="1" width="103.140625" style="73" customWidth="1"/>
    <col min="2" max="2" width="24.85546875" style="74" bestFit="1" customWidth="1"/>
    <col min="3" max="3" width="14.7109375" style="71" customWidth="1"/>
    <col min="4" max="4" width="16.5703125" style="163" customWidth="1"/>
    <col min="5" max="5" width="25.85546875" style="74" bestFit="1" customWidth="1"/>
    <col min="6" max="6" width="9.7109375" style="74" customWidth="1"/>
    <col min="7" max="7" width="10.7109375" style="71" bestFit="1" customWidth="1"/>
    <col min="8" max="9" width="9.7109375" style="71" customWidth="1"/>
    <col min="10" max="10" width="19.140625" style="71" bestFit="1" customWidth="1"/>
    <col min="11" max="11" width="10.140625" style="74" customWidth="1"/>
    <col min="12" max="13" width="19.5703125" style="71" customWidth="1"/>
    <col min="14" max="14" width="3.85546875" style="71" bestFit="1" customWidth="1"/>
    <col min="15" max="16" width="26.140625" style="71" customWidth="1"/>
    <col min="17" max="16384" width="97.7109375" style="71"/>
  </cols>
  <sheetData>
    <row r="1" spans="1:16" s="75" customFormat="1" ht="33.75" customHeight="1">
      <c r="A1" s="781" t="s">
        <v>530</v>
      </c>
      <c r="B1" s="781"/>
      <c r="D1" s="161"/>
    </row>
    <row r="2" spans="1:16" ht="20.25">
      <c r="A2" s="329" t="str">
        <f>+'Asset quality'!B3</f>
        <v>MKBANK</v>
      </c>
      <c r="B2" s="176" t="str">
        <f>+'Asset quality'!T3</f>
        <v>минг. сўмда</v>
      </c>
      <c r="C2" s="77" t="s">
        <v>136</v>
      </c>
      <c r="D2" s="162"/>
      <c r="E2" s="97"/>
      <c r="F2" s="97"/>
      <c r="K2" s="71"/>
    </row>
    <row r="3" spans="1:16" s="72" customFormat="1" ht="47.25" customHeight="1">
      <c r="A3" s="91" t="s">
        <v>531</v>
      </c>
      <c r="B3" s="157">
        <f>+'Asset quality'!Q3</f>
        <v>46021</v>
      </c>
      <c r="C3" s="90"/>
      <c r="D3" s="162"/>
      <c r="E3" s="97"/>
      <c r="F3" s="97"/>
      <c r="K3" s="77" t="s">
        <v>659</v>
      </c>
      <c r="L3" s="79" t="s">
        <v>134</v>
      </c>
      <c r="M3" s="77" t="s">
        <v>135</v>
      </c>
      <c r="N3" s="97"/>
      <c r="O3" s="78" t="s">
        <v>132</v>
      </c>
      <c r="P3" s="80" t="s">
        <v>133</v>
      </c>
    </row>
    <row r="4" spans="1:16" ht="37.5">
      <c r="A4" s="180" t="s">
        <v>532</v>
      </c>
      <c r="B4" s="85">
        <f>IFERROR((B5/B6),0)</f>
        <v>0.18458472003428575</v>
      </c>
      <c r="D4" s="162"/>
      <c r="E4" s="97"/>
      <c r="F4" s="97"/>
      <c r="G4" s="72"/>
      <c r="H4" s="72"/>
      <c r="I4" s="72"/>
      <c r="J4" s="181" t="s">
        <v>148</v>
      </c>
      <c r="K4" s="74">
        <v>1</v>
      </c>
      <c r="L4" s="465">
        <v>23542526924</v>
      </c>
      <c r="M4" s="465">
        <v>3550613724</v>
      </c>
      <c r="N4" s="97"/>
      <c r="O4" s="72"/>
      <c r="P4" s="72"/>
    </row>
    <row r="5" spans="1:16" ht="24" customHeight="1">
      <c r="A5" s="182" t="s">
        <v>476</v>
      </c>
      <c r="B5" s="86">
        <f>+'[9]Bank Capital Calc'!$C$44</f>
        <v>6269666509</v>
      </c>
      <c r="D5" s="162"/>
      <c r="E5" s="97"/>
      <c r="F5" s="97"/>
      <c r="G5" s="72"/>
      <c r="H5" s="72"/>
      <c r="I5" s="72"/>
      <c r="J5" s="181" t="s">
        <v>137</v>
      </c>
      <c r="K5" s="74">
        <v>2</v>
      </c>
      <c r="L5" s="465">
        <v>23814191905</v>
      </c>
      <c r="M5" s="465">
        <v>3566182152</v>
      </c>
      <c r="N5" s="71">
        <v>1</v>
      </c>
      <c r="O5" s="284">
        <f>+(L4+L5)/2</f>
        <v>23678359414.5</v>
      </c>
      <c r="P5" s="284">
        <f>+(M4+M5)/2</f>
        <v>3558397938</v>
      </c>
    </row>
    <row r="6" spans="1:16" ht="24" customHeight="1">
      <c r="A6" s="183" t="s">
        <v>533</v>
      </c>
      <c r="B6" s="87">
        <f>+'[9]Bank Capital Calc'!$C$45</f>
        <v>33966335392.417309</v>
      </c>
      <c r="D6" s="162"/>
      <c r="E6" s="97"/>
      <c r="F6" s="97"/>
      <c r="G6" s="72"/>
      <c r="H6" s="72"/>
      <c r="I6" s="72"/>
      <c r="J6" s="181" t="s">
        <v>138</v>
      </c>
      <c r="K6" s="74">
        <v>3</v>
      </c>
      <c r="L6" s="465">
        <v>24537755077</v>
      </c>
      <c r="M6" s="465">
        <v>3554829009</v>
      </c>
      <c r="N6" s="71">
        <v>2</v>
      </c>
      <c r="O6" s="284">
        <f>+(L4+L5+L6)/3</f>
        <v>23964824635.333332</v>
      </c>
      <c r="P6" s="284">
        <f>+(M4+M5+M6)/3</f>
        <v>3557208295</v>
      </c>
    </row>
    <row r="7" spans="1:16" ht="37.5">
      <c r="A7" s="180" t="s">
        <v>534</v>
      </c>
      <c r="B7" s="85">
        <f>IFERROR((B8/B9),0)</f>
        <v>0.16389308536483305</v>
      </c>
      <c r="D7" s="162"/>
      <c r="E7" s="97"/>
      <c r="F7" s="97"/>
      <c r="G7" s="72"/>
      <c r="H7" s="72"/>
      <c r="I7" s="72"/>
      <c r="J7" s="181" t="s">
        <v>139</v>
      </c>
      <c r="K7" s="74">
        <v>4</v>
      </c>
      <c r="L7" s="465">
        <v>26207624515</v>
      </c>
      <c r="M7" s="465">
        <v>3574654778</v>
      </c>
      <c r="N7" s="71">
        <v>3</v>
      </c>
      <c r="O7" s="285">
        <f>+(L4+L7)/2</f>
        <v>24875075719.5</v>
      </c>
      <c r="P7" s="285">
        <f>+(M4+M7)/2</f>
        <v>3562634251</v>
      </c>
    </row>
    <row r="8" spans="1:16" ht="24" customHeight="1">
      <c r="A8" s="182" t="s">
        <v>478</v>
      </c>
      <c r="B8" s="86">
        <f>+'[9]Bank Capital Calc'!$C$34</f>
        <v>5566847506</v>
      </c>
      <c r="D8" s="162"/>
      <c r="E8" s="97"/>
      <c r="F8" s="97"/>
      <c r="G8" s="72"/>
      <c r="H8" s="72"/>
      <c r="I8" s="72"/>
      <c r="J8" s="181" t="s">
        <v>140</v>
      </c>
      <c r="K8" s="74">
        <v>5</v>
      </c>
      <c r="L8" s="465">
        <v>26668800904</v>
      </c>
      <c r="M8" s="465">
        <v>3581562731</v>
      </c>
      <c r="N8" s="71">
        <v>4</v>
      </c>
      <c r="O8" s="284">
        <f>+(+L4+L5+L6+L7+L8)/5</f>
        <v>24954179865</v>
      </c>
      <c r="P8" s="284">
        <f>+(+M4+M5+M6+M7+M8)/5</f>
        <v>3565568478.8000002</v>
      </c>
    </row>
    <row r="9" spans="1:16" ht="24" customHeight="1">
      <c r="A9" s="183" t="s">
        <v>533</v>
      </c>
      <c r="B9" s="87">
        <f>+'[9]Bank Capital Calc'!$C$45</f>
        <v>33966335392.417309</v>
      </c>
      <c r="D9" s="162"/>
      <c r="E9" s="97"/>
      <c r="F9" s="97"/>
      <c r="G9" s="72"/>
      <c r="H9" s="72"/>
      <c r="I9" s="72"/>
      <c r="J9" s="181" t="s">
        <v>141</v>
      </c>
      <c r="K9" s="74">
        <v>6</v>
      </c>
      <c r="L9" s="465">
        <v>27197366701</v>
      </c>
      <c r="M9" s="465">
        <v>3595698545</v>
      </c>
      <c r="N9" s="71">
        <v>5</v>
      </c>
      <c r="O9" s="284">
        <f>+(+L4+L5+L6+L7+L8+L9)/6</f>
        <v>25328044337.666668</v>
      </c>
      <c r="P9" s="284">
        <f>+(+M4+M5+M6+M7+M8+M9)/6</f>
        <v>3570590156.5</v>
      </c>
    </row>
    <row r="10" spans="1:16" ht="24" customHeight="1">
      <c r="A10" s="180" t="s">
        <v>780</v>
      </c>
      <c r="B10" s="85">
        <f>IFERROR((B11/B12),0)</f>
        <v>0.13728712560202175</v>
      </c>
      <c r="D10" s="162"/>
      <c r="E10" s="97"/>
      <c r="F10" s="97"/>
      <c r="G10" s="72"/>
      <c r="H10" s="72"/>
      <c r="I10" s="72"/>
      <c r="J10" s="181" t="s">
        <v>142</v>
      </c>
      <c r="K10" s="74">
        <v>7</v>
      </c>
      <c r="L10" s="465">
        <v>27910453799</v>
      </c>
      <c r="M10" s="465">
        <v>5627463127</v>
      </c>
      <c r="N10" s="71">
        <v>6</v>
      </c>
      <c r="O10" s="285">
        <f>+(L4+L7+L10)/3</f>
        <v>25886868412.666668</v>
      </c>
      <c r="P10" s="285">
        <f>+(M4+M7+M10)/3</f>
        <v>4250910543</v>
      </c>
    </row>
    <row r="11" spans="1:16" ht="24" customHeight="1">
      <c r="A11" s="182" t="s">
        <v>535</v>
      </c>
      <c r="B11" s="86">
        <f>+('Asset Classification'!M31-'Asset Classification'!O31+'Asset Classification'!Q31-'Asset Classification'!S31+'Asset Classification'!U31-'Asset Classification'!W31)</f>
        <v>787919774</v>
      </c>
      <c r="D11" s="162"/>
      <c r="E11" s="97"/>
      <c r="F11" s="97"/>
      <c r="G11" s="72"/>
      <c r="H11" s="72"/>
      <c r="I11" s="72"/>
      <c r="J11" s="181" t="s">
        <v>143</v>
      </c>
      <c r="K11" s="74">
        <v>8</v>
      </c>
      <c r="L11" s="465">
        <v>28236235117</v>
      </c>
      <c r="M11" s="465">
        <v>5639927719</v>
      </c>
      <c r="N11" s="71">
        <v>7</v>
      </c>
      <c r="O11" s="284">
        <f>(L4+L5+L6+L7+L8+L9+L10+L11)/8</f>
        <v>26014369367.75</v>
      </c>
      <c r="P11" s="284">
        <f>(M4+M5+M6+M7+M8+M9+M10+M11)/8</f>
        <v>4086366473.125</v>
      </c>
    </row>
    <row r="12" spans="1:16" ht="24" customHeight="1">
      <c r="A12" s="183" t="s">
        <v>778</v>
      </c>
      <c r="B12" s="87">
        <f>+B35</f>
        <v>5739210946</v>
      </c>
      <c r="D12" s="162"/>
      <c r="E12" s="97"/>
      <c r="F12" s="97"/>
      <c r="G12" s="72"/>
      <c r="H12" s="72"/>
      <c r="I12" s="72"/>
      <c r="J12" s="181" t="s">
        <v>144</v>
      </c>
      <c r="K12" s="74">
        <v>9</v>
      </c>
      <c r="L12" s="465">
        <v>28192578947</v>
      </c>
      <c r="M12" s="465">
        <v>5650498634</v>
      </c>
      <c r="N12" s="71">
        <v>8</v>
      </c>
      <c r="O12" s="284">
        <f>(L4+L5+L6+L7+L8+L9+L10+L11+L12)/9</f>
        <v>26256392654.333332</v>
      </c>
      <c r="P12" s="284">
        <f>(M4+M5+M6+M7+M8+M9+M10+M11+M12)/9</f>
        <v>4260158935.4444447</v>
      </c>
    </row>
    <row r="13" spans="1:16" ht="24" customHeight="1">
      <c r="A13" s="180" t="s">
        <v>536</v>
      </c>
      <c r="B13" s="85">
        <f>IFERROR((B14/B15),0)</f>
        <v>4.4087614327829906E-2</v>
      </c>
      <c r="D13" s="162"/>
      <c r="E13" s="97"/>
      <c r="F13" s="97"/>
      <c r="G13" s="72"/>
      <c r="H13" s="72"/>
      <c r="I13" s="72"/>
      <c r="J13" s="181" t="s">
        <v>145</v>
      </c>
      <c r="K13" s="74">
        <v>10</v>
      </c>
      <c r="L13" s="465">
        <v>28605486307</v>
      </c>
      <c r="M13" s="465">
        <v>5669288090</v>
      </c>
      <c r="N13" s="71">
        <v>9</v>
      </c>
      <c r="O13" s="285">
        <f>+(L4+L7+L10+L13)/4</f>
        <v>26566522886.25</v>
      </c>
      <c r="P13" s="285">
        <f>+(M4+M7+M10+M13)/4</f>
        <v>4605504929.75</v>
      </c>
    </row>
    <row r="14" spans="1:16" ht="24" customHeight="1">
      <c r="A14" s="182" t="s">
        <v>537</v>
      </c>
      <c r="B14" s="86">
        <f>+('Asset Classification'!M31+'Asset Classification'!Q31+'Asset Classification'!U31)</f>
        <v>894003853</v>
      </c>
      <c r="D14" s="162"/>
      <c r="E14" s="97"/>
      <c r="F14" s="97"/>
      <c r="G14" s="72"/>
      <c r="H14" s="72"/>
      <c r="I14" s="72"/>
      <c r="J14" s="181" t="s">
        <v>146</v>
      </c>
      <c r="K14" s="74">
        <v>11</v>
      </c>
      <c r="L14" s="465">
        <v>29054984881</v>
      </c>
      <c r="M14" s="465">
        <v>5682326350</v>
      </c>
      <c r="N14" s="71">
        <v>10</v>
      </c>
      <c r="O14" s="284">
        <f>(+L4+L5+L6+L7+L8+L9+L10+L11+L12+L13+L14)/11</f>
        <v>26724364097.909092</v>
      </c>
      <c r="P14" s="284">
        <f>(+M4+M5+M6+M7+M8+M9+M10+M11+M12+M13+M14)/11</f>
        <v>4517549532.636364</v>
      </c>
    </row>
    <row r="15" spans="1:16" ht="24" customHeight="1">
      <c r="A15" s="183" t="s">
        <v>538</v>
      </c>
      <c r="B15" s="87">
        <f>+'Loans Receivable'!C85</f>
        <v>20277891345</v>
      </c>
      <c r="D15" s="162"/>
      <c r="E15" s="97"/>
      <c r="F15" s="97"/>
      <c r="G15" s="72"/>
      <c r="H15" s="72"/>
      <c r="I15" s="72"/>
      <c r="J15" s="181" t="s">
        <v>147</v>
      </c>
      <c r="K15" s="74">
        <v>12</v>
      </c>
      <c r="L15" s="465">
        <v>29969505477</v>
      </c>
      <c r="M15" s="465">
        <v>5690368612</v>
      </c>
      <c r="N15" s="71">
        <v>11</v>
      </c>
      <c r="O15" s="284">
        <f>(+L4+L5+L6+L7+L8+L9+L10+L11+L12+L13+L14+L15)/12</f>
        <v>26994792546.166668</v>
      </c>
      <c r="P15" s="284">
        <f>(+M4+M5+M6+M7+M8+M9+M10+M11+M12+M13+M14+M15)/12</f>
        <v>4615284455.916667</v>
      </c>
    </row>
    <row r="16" spans="1:16" ht="24" customHeight="1">
      <c r="A16" s="180" t="s">
        <v>539</v>
      </c>
      <c r="B16" s="85">
        <f>IFERROR((B17/B18),0)</f>
        <v>5.8689286233389454E-3</v>
      </c>
      <c r="D16" s="162"/>
      <c r="E16" s="97"/>
      <c r="F16" s="97"/>
      <c r="G16" s="72"/>
      <c r="H16" s="72"/>
      <c r="I16" s="72"/>
      <c r="J16" s="181" t="s">
        <v>148</v>
      </c>
      <c r="K16" s="74">
        <v>13</v>
      </c>
      <c r="L16" s="465">
        <v>30728787180</v>
      </c>
      <c r="M16" s="465">
        <v>5739210946</v>
      </c>
      <c r="N16" s="71">
        <v>12</v>
      </c>
      <c r="O16" s="285">
        <f>+(L4+L7+L10+L13+L16)/5</f>
        <v>27398975745</v>
      </c>
      <c r="P16" s="285">
        <f>+(M4+M7+M10+M13+M16)/5</f>
        <v>4832246133</v>
      </c>
    </row>
    <row r="17" spans="1:16" ht="24" customHeight="1">
      <c r="A17" s="182" t="s">
        <v>540</v>
      </c>
      <c r="B17" s="86">
        <f>(+'Income '!C70)/MONTH(B3)*12</f>
        <v>160802633</v>
      </c>
      <c r="C17" s="84"/>
      <c r="D17" s="162"/>
      <c r="E17" s="97"/>
      <c r="F17" s="97"/>
      <c r="G17" s="72"/>
      <c r="H17" s="72"/>
      <c r="I17" s="72"/>
      <c r="J17" s="163"/>
      <c r="K17" s="71"/>
      <c r="L17" s="466"/>
      <c r="M17" s="466"/>
      <c r="O17" s="284"/>
      <c r="P17" s="284"/>
    </row>
    <row r="18" spans="1:16" ht="24" customHeight="1">
      <c r="A18" s="183" t="s">
        <v>541</v>
      </c>
      <c r="B18" s="87">
        <f>VLOOKUP(MONTH(B3),$N$4:$P$16,2,0)</f>
        <v>27398975745</v>
      </c>
      <c r="D18" s="162"/>
      <c r="E18" s="97"/>
      <c r="F18" s="97"/>
      <c r="G18" s="72"/>
      <c r="H18" s="72"/>
      <c r="I18" s="72"/>
      <c r="J18" s="163"/>
      <c r="K18" s="71"/>
    </row>
    <row r="19" spans="1:16" ht="24" customHeight="1">
      <c r="A19" s="184" t="s">
        <v>542</v>
      </c>
      <c r="B19" s="85">
        <f>IFERROR((B20/B21),0)</f>
        <v>3.3276995536684097E-2</v>
      </c>
      <c r="D19" s="162"/>
      <c r="E19" s="97"/>
      <c r="F19" s="97"/>
      <c r="G19" s="72"/>
      <c r="H19" s="72"/>
      <c r="I19" s="72"/>
      <c r="K19" s="71"/>
    </row>
    <row r="20" spans="1:16" ht="24" customHeight="1">
      <c r="A20" s="185" t="s">
        <v>543</v>
      </c>
      <c r="B20" s="86">
        <f>(+'Income '!C77)/MONTH(B3)*12</f>
        <v>160802633</v>
      </c>
      <c r="D20" s="162"/>
      <c r="E20" s="97"/>
      <c r="F20" s="97"/>
      <c r="G20" s="72"/>
      <c r="H20" s="72"/>
      <c r="I20" s="72"/>
      <c r="K20" s="71"/>
    </row>
    <row r="21" spans="1:16" ht="24" customHeight="1">
      <c r="A21" s="186" t="s">
        <v>781</v>
      </c>
      <c r="B21" s="87">
        <f>VLOOKUP(MONTH(B3),$N$4:$P$16,3,0)</f>
        <v>4832246133</v>
      </c>
      <c r="D21" s="162"/>
      <c r="E21" s="97"/>
      <c r="F21" s="97"/>
      <c r="G21" s="72"/>
      <c r="H21" s="72"/>
      <c r="I21" s="72"/>
      <c r="K21" s="71"/>
    </row>
    <row r="22" spans="1:16" ht="24" customHeight="1">
      <c r="A22" s="184" t="s">
        <v>544</v>
      </c>
      <c r="B22" s="85">
        <f>IFERROR((B23/B24),0)</f>
        <v>0.34796592172081764</v>
      </c>
      <c r="D22" s="162"/>
      <c r="E22" s="97"/>
      <c r="F22" s="97"/>
      <c r="G22" s="72"/>
      <c r="H22" s="72"/>
      <c r="I22" s="72"/>
      <c r="K22" s="71"/>
    </row>
    <row r="23" spans="1:16" ht="24" customHeight="1">
      <c r="A23" s="185" t="s">
        <v>545</v>
      </c>
      <c r="B23" s="86">
        <f>+'Income '!C29</f>
        <v>761226674</v>
      </c>
      <c r="D23" s="162"/>
      <c r="E23" s="97"/>
      <c r="F23" s="97"/>
      <c r="G23" s="72"/>
      <c r="H23" s="72"/>
      <c r="I23" s="72"/>
      <c r="K23" s="71"/>
    </row>
    <row r="24" spans="1:16" ht="24" customHeight="1">
      <c r="A24" s="186" t="s">
        <v>546</v>
      </c>
      <c r="B24" s="87">
        <f>+B27</f>
        <v>2187647199</v>
      </c>
      <c r="D24" s="162"/>
      <c r="E24" s="97"/>
      <c r="F24" s="97"/>
      <c r="G24" s="72"/>
      <c r="H24" s="72"/>
      <c r="I24" s="72"/>
      <c r="K24" s="71"/>
    </row>
    <row r="25" spans="1:16" ht="24" customHeight="1">
      <c r="A25" s="184" t="s">
        <v>547</v>
      </c>
      <c r="B25" s="85">
        <f>IFERROR((B26/B27),0)</f>
        <v>0.73245347912243508</v>
      </c>
      <c r="D25" s="162"/>
      <c r="E25" s="97"/>
      <c r="F25" s="97"/>
      <c r="G25" s="72"/>
      <c r="H25" s="72"/>
      <c r="I25" s="72"/>
      <c r="K25" s="71"/>
    </row>
    <row r="26" spans="1:16" ht="24" customHeight="1">
      <c r="A26" s="185" t="s">
        <v>548</v>
      </c>
      <c r="B26" s="86">
        <f>+'Income '!C52+'Income '!C68</f>
        <v>1602349802</v>
      </c>
      <c r="D26" s="162"/>
      <c r="E26" s="97"/>
      <c r="F26" s="97"/>
      <c r="G26" s="72"/>
      <c r="H26" s="72"/>
      <c r="I26" s="72"/>
      <c r="K26" s="71"/>
    </row>
    <row r="27" spans="1:16" ht="24" customHeight="1">
      <c r="A27" s="186" t="s">
        <v>546</v>
      </c>
      <c r="B27" s="87">
        <f>+'Income '!C29+'Income '!C44</f>
        <v>2187647199</v>
      </c>
      <c r="D27" s="162"/>
      <c r="E27" s="97"/>
      <c r="F27" s="97"/>
      <c r="G27" s="72"/>
      <c r="H27" s="72"/>
      <c r="I27" s="72"/>
      <c r="K27" s="71"/>
    </row>
    <row r="28" spans="1:16" ht="24" customHeight="1">
      <c r="A28" s="184" t="s">
        <v>549</v>
      </c>
      <c r="B28" s="85">
        <f>IFERROR((B29/B30),0)</f>
        <v>0.13634550769797091</v>
      </c>
      <c r="D28" s="162"/>
      <c r="E28" s="97"/>
      <c r="F28" s="97"/>
      <c r="G28" s="72"/>
      <c r="H28" s="72"/>
      <c r="I28" s="72"/>
      <c r="K28" s="71"/>
    </row>
    <row r="29" spans="1:16" ht="24" customHeight="1">
      <c r="A29" s="185" t="s">
        <v>550</v>
      </c>
      <c r="B29" s="86">
        <f>+B32</f>
        <v>4189732089</v>
      </c>
      <c r="D29" s="162"/>
      <c r="E29" s="97"/>
      <c r="F29" s="97"/>
      <c r="G29" s="72"/>
      <c r="H29" s="72"/>
      <c r="I29" s="72"/>
      <c r="K29" s="71"/>
    </row>
    <row r="30" spans="1:16" ht="24" customHeight="1">
      <c r="A30" s="186" t="s">
        <v>213</v>
      </c>
      <c r="B30" s="87">
        <f>+B36</f>
        <v>30728787180</v>
      </c>
      <c r="D30" s="162"/>
      <c r="E30" s="97"/>
      <c r="F30" s="97"/>
      <c r="G30" s="72"/>
      <c r="H30" s="72"/>
      <c r="I30" s="72"/>
      <c r="K30" s="71"/>
    </row>
    <row r="31" spans="1:16" ht="24" customHeight="1">
      <c r="A31" s="184" t="s">
        <v>551</v>
      </c>
      <c r="B31" s="85">
        <f>IFERROR((B29/B33),0)</f>
        <v>0.34006166717743219</v>
      </c>
      <c r="D31" s="162"/>
      <c r="E31" s="97"/>
      <c r="F31" s="97"/>
      <c r="G31" s="72"/>
      <c r="H31" s="72"/>
      <c r="I31" s="72"/>
      <c r="K31" s="71"/>
    </row>
    <row r="32" spans="1:16" ht="24" customHeight="1">
      <c r="A32" s="185" t="s">
        <v>550</v>
      </c>
      <c r="B32" s="86">
        <f>+B54</f>
        <v>4189732089</v>
      </c>
      <c r="D32" s="162"/>
      <c r="E32" s="97"/>
      <c r="F32" s="97"/>
      <c r="G32" s="72"/>
      <c r="H32" s="72"/>
      <c r="I32" s="72"/>
      <c r="K32" s="71"/>
    </row>
    <row r="33" spans="1:13" ht="24" customHeight="1">
      <c r="A33" s="186" t="s">
        <v>552</v>
      </c>
      <c r="B33" s="87">
        <f>+('[8]Bank Liabilities Analysis'!$C$42+'[8]Bank Liabilities Analysis'!$E$42+'[8]Bank Liabilities Analysis'!$G$42+'[8]Bank Liabilities Analysis'!$I$42+'[8]Bank Liabilities Analysis'!$K$42+'[8]Bank Liabilities Analysis'!$M$42)</f>
        <v>12320506818</v>
      </c>
      <c r="D33" s="162"/>
      <c r="E33" s="97"/>
      <c r="F33" s="97"/>
      <c r="G33" s="72"/>
      <c r="H33" s="72"/>
      <c r="I33" s="72"/>
      <c r="K33" s="71"/>
    </row>
    <row r="34" spans="1:13" ht="24" customHeight="1">
      <c r="A34" s="184" t="s">
        <v>782</v>
      </c>
      <c r="B34" s="85">
        <f>IFERROR((B35/B36),0)</f>
        <v>0.18676984914443343</v>
      </c>
      <c r="D34" s="162"/>
      <c r="E34" s="97"/>
      <c r="F34" s="97"/>
      <c r="G34" s="72"/>
      <c r="H34" s="72"/>
      <c r="I34" s="72"/>
      <c r="K34" s="71"/>
    </row>
    <row r="35" spans="1:13" ht="24" customHeight="1">
      <c r="A35" s="185" t="s">
        <v>779</v>
      </c>
      <c r="B35" s="86">
        <f>+[8]Balance!$C$77</f>
        <v>5739210946</v>
      </c>
      <c r="D35" s="162"/>
      <c r="E35" s="97"/>
      <c r="F35" s="97"/>
      <c r="G35" s="72"/>
      <c r="H35" s="72"/>
      <c r="I35" s="72"/>
      <c r="K35" s="71"/>
    </row>
    <row r="36" spans="1:13" ht="24" customHeight="1">
      <c r="A36" s="186" t="s">
        <v>213</v>
      </c>
      <c r="B36" s="87">
        <f>+[8]Balance!$C$47</f>
        <v>30728787180</v>
      </c>
      <c r="D36" s="162"/>
      <c r="E36" s="97"/>
      <c r="F36" s="97"/>
      <c r="G36" s="72"/>
      <c r="H36" s="72"/>
      <c r="I36" s="72"/>
      <c r="K36" s="71"/>
    </row>
    <row r="37" spans="1:13" ht="24" customHeight="1">
      <c r="A37" s="184" t="s">
        <v>783</v>
      </c>
      <c r="B37" s="85">
        <f>IFERROR((B38/B39),0)</f>
        <v>1.5973087740204488E-3</v>
      </c>
      <c r="D37" s="162"/>
      <c r="E37" s="97"/>
      <c r="F37" s="97"/>
      <c r="G37" s="72"/>
      <c r="H37" s="72"/>
      <c r="I37" s="72"/>
      <c r="K37" s="71"/>
    </row>
    <row r="38" spans="1:13" ht="24" customHeight="1">
      <c r="A38" s="185" t="s">
        <v>553</v>
      </c>
      <c r="B38" s="86">
        <f>+'[9]Calculation of Risk'!$C$26</f>
        <v>9167292</v>
      </c>
      <c r="D38" s="162"/>
      <c r="E38" s="97"/>
      <c r="F38" s="97"/>
      <c r="G38" s="72"/>
      <c r="H38" s="72"/>
      <c r="I38" s="72"/>
      <c r="K38" s="71"/>
    </row>
    <row r="39" spans="1:13" ht="24" customHeight="1">
      <c r="A39" s="186" t="s">
        <v>779</v>
      </c>
      <c r="B39" s="87">
        <f>+B35</f>
        <v>5739210946</v>
      </c>
      <c r="D39" s="162"/>
      <c r="E39" s="97"/>
      <c r="F39" s="97"/>
      <c r="G39" s="72"/>
      <c r="H39" s="72"/>
      <c r="I39" s="72"/>
      <c r="K39" s="71"/>
    </row>
    <row r="40" spans="1:13">
      <c r="E40" s="71"/>
      <c r="F40" s="71"/>
      <c r="K40" s="71"/>
    </row>
    <row r="41" spans="1:13" s="24" customFormat="1" ht="18">
      <c r="A41" s="328" t="s">
        <v>690</v>
      </c>
      <c r="F41" s="81"/>
      <c r="G41" s="81"/>
      <c r="H41" s="81"/>
      <c r="I41" s="81"/>
      <c r="J41" s="81"/>
      <c r="K41" s="81"/>
      <c r="L41" s="81"/>
      <c r="M41" s="81"/>
    </row>
    <row r="42" spans="1:13" s="24" customFormat="1" ht="11.25" customHeight="1">
      <c r="A42" s="328"/>
      <c r="F42" s="81"/>
      <c r="G42" s="81"/>
      <c r="H42" s="81"/>
      <c r="I42" s="81"/>
      <c r="J42" s="81"/>
      <c r="K42" s="81"/>
      <c r="L42" s="81"/>
      <c r="M42" s="81"/>
    </row>
    <row r="43" spans="1:13" s="24" customFormat="1" ht="18">
      <c r="A43" s="328" t="s">
        <v>691</v>
      </c>
      <c r="F43" s="81"/>
      <c r="G43" s="81"/>
      <c r="H43" s="81"/>
      <c r="I43" s="81"/>
      <c r="J43" s="81"/>
      <c r="K43" s="81"/>
      <c r="L43" s="81"/>
      <c r="M43" s="81"/>
    </row>
    <row r="44" spans="1:13" s="70" customFormat="1" ht="15.75">
      <c r="A44" s="69"/>
      <c r="D44" s="164"/>
      <c r="J44" s="68"/>
    </row>
    <row r="46" spans="1:13">
      <c r="A46" s="40" t="s">
        <v>660</v>
      </c>
      <c r="B46" s="40" t="s">
        <v>166</v>
      </c>
    </row>
    <row r="47" spans="1:13" s="24" customFormat="1" ht="13.5" customHeight="1">
      <c r="A47" s="76" t="s">
        <v>661</v>
      </c>
      <c r="B47" s="319">
        <f>+'[8]Liquidity Analysis'!C51</f>
        <v>703550721</v>
      </c>
      <c r="C47" s="71"/>
      <c r="D47" s="163"/>
      <c r="E47" s="74"/>
      <c r="F47" s="81"/>
      <c r="G47" s="81"/>
      <c r="H47" s="82"/>
      <c r="I47" s="82"/>
      <c r="J47" s="71"/>
      <c r="K47" s="81"/>
      <c r="L47" s="81"/>
    </row>
    <row r="48" spans="1:13" s="24" customFormat="1" ht="13.5" customHeight="1">
      <c r="A48" s="76" t="s">
        <v>662</v>
      </c>
      <c r="B48" s="319">
        <f>+'[8]Liquidity Analysis'!C52</f>
        <v>584034134</v>
      </c>
      <c r="C48" s="71"/>
      <c r="D48" s="163"/>
      <c r="E48" s="74"/>
      <c r="F48" s="81"/>
      <c r="G48" s="81"/>
      <c r="H48" s="82"/>
      <c r="I48" s="82"/>
      <c r="J48" s="71"/>
      <c r="K48" s="81"/>
      <c r="L48" s="81"/>
    </row>
    <row r="49" spans="1:12" s="24" customFormat="1" ht="13.5" customHeight="1">
      <c r="A49" s="76" t="s">
        <v>663</v>
      </c>
      <c r="B49" s="319">
        <f>+'[8]Liquidity Analysis'!C53</f>
        <v>1998666149</v>
      </c>
      <c r="C49" s="71"/>
      <c r="D49" s="163"/>
      <c r="E49" s="74"/>
      <c r="F49" s="81"/>
      <c r="G49" s="81"/>
      <c r="H49" s="82"/>
      <c r="I49" s="82"/>
      <c r="J49" s="81"/>
      <c r="K49" s="81"/>
      <c r="L49" s="81"/>
    </row>
    <row r="50" spans="1:12" s="24" customFormat="1" ht="13.5" customHeight="1">
      <c r="A50" s="76" t="s">
        <v>664</v>
      </c>
      <c r="B50" s="319">
        <f>+'[8]Liquidity Analysis'!C54</f>
        <v>385311765</v>
      </c>
      <c r="C50" s="71"/>
      <c r="D50" s="163"/>
      <c r="E50" s="74"/>
      <c r="F50" s="83"/>
      <c r="G50" s="83"/>
      <c r="H50" s="83"/>
      <c r="I50" s="82"/>
      <c r="J50" s="81"/>
      <c r="K50" s="81"/>
      <c r="L50" s="81"/>
    </row>
    <row r="51" spans="1:12" s="24" customFormat="1" ht="27.75" customHeight="1">
      <c r="A51" s="76" t="s">
        <v>665</v>
      </c>
      <c r="B51" s="319">
        <f>+'[8]Liquidity Analysis'!C55</f>
        <v>508169320</v>
      </c>
      <c r="C51" s="71"/>
      <c r="D51" s="163"/>
      <c r="E51" s="74"/>
      <c r="F51" s="81"/>
      <c r="G51" s="81"/>
      <c r="H51" s="82"/>
      <c r="I51" s="82"/>
      <c r="J51" s="81"/>
      <c r="K51" s="81"/>
      <c r="L51" s="81"/>
    </row>
    <row r="52" spans="1:12" s="24" customFormat="1" ht="13.5" customHeight="1">
      <c r="A52" s="76" t="s">
        <v>666</v>
      </c>
      <c r="B52" s="319">
        <f>+'[8]Liquidity Analysis'!C58</f>
        <v>10000000</v>
      </c>
      <c r="C52" s="71"/>
      <c r="D52" s="163"/>
      <c r="E52" s="74"/>
      <c r="F52" s="81"/>
      <c r="G52" s="81"/>
      <c r="H52" s="82"/>
      <c r="I52" s="82"/>
      <c r="J52" s="81"/>
      <c r="K52" s="81"/>
      <c r="L52" s="81"/>
    </row>
    <row r="53" spans="1:12" s="24" customFormat="1" ht="13.5" customHeight="1">
      <c r="A53" s="76" t="s">
        <v>667</v>
      </c>
      <c r="B53" s="319">
        <f>+'[8]Liquidity Analysis'!C59</f>
        <v>0</v>
      </c>
      <c r="C53" s="71"/>
      <c r="D53" s="163"/>
      <c r="E53" s="74"/>
      <c r="F53" s="81"/>
      <c r="G53" s="81"/>
      <c r="H53" s="82"/>
      <c r="I53" s="82"/>
      <c r="J53" s="81"/>
      <c r="K53" s="81"/>
      <c r="L53" s="81"/>
    </row>
    <row r="54" spans="1:12" s="24" customFormat="1" ht="13.5" customHeight="1">
      <c r="A54" s="88" t="s">
        <v>668</v>
      </c>
      <c r="B54" s="349">
        <f>+'[8]Liquidity Analysis'!C60</f>
        <v>4189732089</v>
      </c>
      <c r="C54" s="71"/>
      <c r="D54" s="163"/>
      <c r="E54" s="74"/>
      <c r="F54" s="81"/>
      <c r="G54" s="81"/>
      <c r="H54" s="82"/>
      <c r="I54" s="83"/>
      <c r="J54" s="81"/>
      <c r="K54" s="81"/>
      <c r="L54" s="81"/>
    </row>
  </sheetData>
  <sheetProtection password="CACA" sheet="1" objects="1" scenarios="1"/>
  <mergeCells count="1">
    <mergeCell ref="A1:B1"/>
  </mergeCells>
  <conditionalFormatting sqref="B4 B7 B10 B13 B16 B19 B22 B25 B28 B31 B34 B37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disablePrompts="1" count="1">
    <dataValidation allowBlank="1" showErrorMessage="1" prompt="Введите самостоятельно рассчитанный коэффициент" sqref="B46" xr:uid="{00000000-0002-0000-11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18</vt:i4>
      </vt:variant>
    </vt:vector>
  </HeadingPairs>
  <TitlesOfParts>
    <vt:vector size="36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loans type</vt:lpstr>
      <vt:lpstr>IRRBB_fixed%</vt:lpstr>
      <vt:lpstr>IRRBB_floating%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'Changes in Equity'!Область_печати</vt:lpstr>
      <vt:lpstr>'Charge-offs and Recoveries'!Область_печати</vt:lpstr>
      <vt:lpstr>'Economic Normatives'!Область_печати</vt:lpstr>
      <vt:lpstr>'Income '!Область_печати</vt:lpstr>
      <vt:lpstr>'IRRBB_fixed%'!Область_печати</vt:lpstr>
      <vt:lpstr>'IRRBB_floating%'!Область_печати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Boburjon Sanayev Sobirjon oʻgʻli</cp:lastModifiedBy>
  <cp:lastPrinted>2024-12-27T12:11:53Z</cp:lastPrinted>
  <dcterms:created xsi:type="dcterms:W3CDTF">2014-01-27T05:06:32Z</dcterms:created>
  <dcterms:modified xsi:type="dcterms:W3CDTF">2026-01-19T07:08:15Z</dcterms:modified>
</cp:coreProperties>
</file>